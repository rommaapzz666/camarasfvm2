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"/>
    </mc:Choice>
  </mc:AlternateContent>
  <xr:revisionPtr revIDLastSave="0" documentId="13_ncr:1_{9301B697-D7B5-4B8B-B4AA-8C93897847D7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TOTAL'!$F$7:$I$503</definedName>
    <definedName name="_25_de_agosto_3" localSheetId="0">'RESUMEN TOTAL'!$F$7:$I$515</definedName>
    <definedName name="_30_mar">#REF!</definedName>
    <definedName name="_xlnm._FilterDatabase" localSheetId="2" hidden="1">paradas!$4:$4</definedName>
    <definedName name="_xlnm._FilterDatabase" localSheetId="0" hidden="1">'RESUMEN TOTAL'!$A$7:$AV$606</definedName>
    <definedName name="_xlnm.Print_Area" localSheetId="0">'RESUMEN TOTAL'!$F$2:$AV$1200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0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49" i="2"/>
  <c r="Q449" i="2"/>
  <c r="O450" i="2"/>
  <c r="Q450" i="2"/>
  <c r="O451" i="2"/>
  <c r="Q451" i="2"/>
  <c r="O442" i="2"/>
  <c r="Q442" i="2"/>
  <c r="O452" i="2"/>
  <c r="Q452" i="2"/>
  <c r="O453" i="2"/>
  <c r="Q453" i="2"/>
  <c r="O454" i="2"/>
  <c r="Q454" i="2"/>
  <c r="O443" i="2"/>
  <c r="Q443" i="2"/>
  <c r="O455" i="2"/>
  <c r="Q455" i="2"/>
  <c r="O456" i="2"/>
  <c r="Q456" i="2"/>
  <c r="O444" i="2"/>
  <c r="Q444" i="2"/>
  <c r="O457" i="2"/>
  <c r="Q457" i="2"/>
  <c r="O445" i="2"/>
  <c r="Q445" i="2"/>
  <c r="O446" i="2"/>
  <c r="Q446" i="2"/>
  <c r="O458" i="2"/>
  <c r="Q458" i="2"/>
  <c r="O459" i="2"/>
  <c r="Q459" i="2"/>
  <c r="O460" i="2"/>
  <c r="Q460" i="2"/>
  <c r="O447" i="2"/>
  <c r="Q447" i="2"/>
  <c r="O448" i="2"/>
  <c r="Q448" i="2"/>
  <c r="O461" i="2"/>
  <c r="Q461" i="2"/>
  <c r="O462" i="2"/>
  <c r="Q462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8" i="2"/>
  <c r="Q498" i="2"/>
  <c r="O499" i="2"/>
  <c r="Q499" i="2"/>
  <c r="O500" i="2"/>
  <c r="Q500" i="2"/>
  <c r="O501" i="2"/>
  <c r="Q501" i="2"/>
  <c r="O502" i="2"/>
  <c r="Q502" i="2"/>
  <c r="O496" i="2"/>
  <c r="Q496" i="2"/>
  <c r="O497" i="2"/>
  <c r="Q497" i="2"/>
  <c r="O503" i="2"/>
  <c r="Q503" i="2"/>
  <c r="O504" i="2"/>
  <c r="Q504" i="2"/>
  <c r="O505" i="2"/>
  <c r="Q505" i="2"/>
  <c r="O506" i="2"/>
  <c r="Q506" i="2"/>
  <c r="O507" i="2"/>
  <c r="Q507" i="2"/>
  <c r="O521" i="2"/>
  <c r="Q521" i="2"/>
  <c r="O522" i="2"/>
  <c r="Q522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08" i="2"/>
  <c r="Q508" i="2"/>
  <c r="O530" i="2"/>
  <c r="Q530" i="2"/>
  <c r="O531" i="2"/>
  <c r="Q531" i="2"/>
  <c r="O532" i="2"/>
  <c r="Q532" i="2"/>
  <c r="O509" i="2"/>
  <c r="Q509" i="2"/>
  <c r="O510" i="2"/>
  <c r="Q510" i="2"/>
  <c r="O511" i="2"/>
  <c r="Q511" i="2"/>
  <c r="O512" i="2"/>
  <c r="Q512" i="2"/>
  <c r="O533" i="2"/>
  <c r="Q533" i="2"/>
  <c r="O534" i="2"/>
  <c r="Q534" i="2"/>
  <c r="O513" i="2"/>
  <c r="Q513" i="2"/>
  <c r="O514" i="2"/>
  <c r="Q514" i="2"/>
  <c r="O515" i="2"/>
  <c r="Q515" i="2"/>
  <c r="O535" i="2"/>
  <c r="Q535" i="2"/>
  <c r="O536" i="2"/>
  <c r="Q536" i="2"/>
  <c r="O516" i="2"/>
  <c r="Q516" i="2"/>
  <c r="O517" i="2"/>
  <c r="Q517" i="2"/>
  <c r="O518" i="2"/>
  <c r="Q518" i="2"/>
  <c r="O519" i="2"/>
  <c r="Q519" i="2"/>
  <c r="O520" i="2"/>
  <c r="Q520" i="2"/>
  <c r="O537" i="2"/>
  <c r="Q537" i="2"/>
  <c r="O538" i="2"/>
  <c r="Q538" i="2"/>
  <c r="O539" i="2"/>
  <c r="Q539" i="2"/>
  <c r="O540" i="2"/>
  <c r="Q540" i="2"/>
  <c r="O541" i="2"/>
  <c r="Q541" i="2"/>
  <c r="O543" i="2"/>
  <c r="Q543" i="2"/>
  <c r="O544" i="2"/>
  <c r="Q544" i="2"/>
  <c r="O545" i="2"/>
  <c r="Q545" i="2"/>
  <c r="O546" i="2"/>
  <c r="Q546" i="2"/>
  <c r="O542" i="2"/>
  <c r="Q542" i="2"/>
  <c r="O547" i="2"/>
  <c r="Q547" i="2"/>
  <c r="O549" i="2"/>
  <c r="Q549" i="2"/>
  <c r="O550" i="2"/>
  <c r="Q550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6" i="2"/>
  <c r="Q566" i="2"/>
  <c r="O567" i="2"/>
  <c r="Q567" i="2"/>
  <c r="O568" i="2"/>
  <c r="Q568" i="2"/>
  <c r="O569" i="2"/>
  <c r="Q569" i="2"/>
  <c r="O570" i="2"/>
  <c r="Q570" i="2"/>
  <c r="O557" i="2"/>
  <c r="Q557" i="2"/>
  <c r="O571" i="2"/>
  <c r="Q571" i="2"/>
  <c r="O572" i="2"/>
  <c r="Q572" i="2"/>
  <c r="O573" i="2"/>
  <c r="Q573" i="2"/>
  <c r="O574" i="2"/>
  <c r="Q574" i="2"/>
  <c r="O575" i="2"/>
  <c r="Q575" i="2"/>
  <c r="O578" i="2"/>
  <c r="Q578" i="2"/>
  <c r="O576" i="2"/>
  <c r="Q576" i="2"/>
  <c r="O577" i="2"/>
  <c r="Q577" i="2"/>
  <c r="O579" i="2"/>
  <c r="Q579" i="2"/>
  <c r="O581" i="2"/>
  <c r="Q581" i="2"/>
  <c r="O582" i="2"/>
  <c r="Q582" i="2"/>
  <c r="O583" i="2"/>
  <c r="Q583" i="2"/>
  <c r="O589" i="2"/>
  <c r="Q589" i="2"/>
  <c r="O584" i="2"/>
  <c r="Q584" i="2"/>
  <c r="O585" i="2"/>
  <c r="Q585" i="2"/>
  <c r="O586" i="2"/>
  <c r="Q586" i="2"/>
  <c r="O587" i="2"/>
  <c r="Q587" i="2"/>
  <c r="O588" i="2"/>
  <c r="Q588" i="2"/>
  <c r="O548" i="2"/>
  <c r="Q548" i="2"/>
  <c r="O596" i="2"/>
  <c r="Q596" i="2"/>
  <c r="O597" i="2"/>
  <c r="Q597" i="2"/>
  <c r="O598" i="2"/>
  <c r="Q598" i="2"/>
  <c r="O590" i="2"/>
  <c r="Q590" i="2"/>
  <c r="O591" i="2"/>
  <c r="Q591" i="2"/>
  <c r="O592" i="2"/>
  <c r="Q592" i="2"/>
  <c r="O593" i="2"/>
  <c r="Q593" i="2"/>
  <c r="O594" i="2"/>
  <c r="Q594" i="2"/>
  <c r="O595" i="2"/>
  <c r="Q595" i="2"/>
  <c r="O428" i="2"/>
  <c r="Q428" i="2"/>
  <c r="O429" i="2"/>
  <c r="Q429" i="2"/>
  <c r="O430" i="2"/>
  <c r="Q430" i="2"/>
  <c r="O435" i="2"/>
  <c r="Q435" i="2"/>
  <c r="O436" i="2"/>
  <c r="Q436" i="2"/>
  <c r="O437" i="2"/>
  <c r="Q437" i="2"/>
  <c r="O361" i="2"/>
  <c r="Q361" i="2"/>
  <c r="O362" i="2"/>
  <c r="Q362" i="2"/>
  <c r="O377" i="2"/>
  <c r="Q377" i="2"/>
  <c r="O363" i="2"/>
  <c r="Q363" i="2"/>
  <c r="O364" i="2"/>
  <c r="Q364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8" i="2"/>
  <c r="Q378" i="2"/>
  <c r="O379" i="2"/>
  <c r="Q379" i="2"/>
  <c r="O380" i="2"/>
  <c r="Q380" i="2"/>
  <c r="O381" i="2"/>
  <c r="Q381" i="2"/>
  <c r="O383" i="2"/>
  <c r="Q383" i="2"/>
  <c r="O382" i="2"/>
  <c r="Q382" i="2"/>
  <c r="O384" i="2"/>
  <c r="Q384" i="2"/>
  <c r="O385" i="2"/>
  <c r="Q385" i="2"/>
  <c r="O386" i="2"/>
  <c r="Q386" i="2"/>
  <c r="O434" i="2"/>
  <c r="Q434" i="2"/>
  <c r="O400" i="2"/>
  <c r="Q400" i="2"/>
  <c r="O387" i="2"/>
  <c r="Q387" i="2"/>
  <c r="O388" i="2"/>
  <c r="Q388" i="2"/>
  <c r="O389" i="2"/>
  <c r="Q389" i="2"/>
  <c r="O390" i="2"/>
  <c r="Q390" i="2"/>
  <c r="O391" i="2"/>
  <c r="Q391" i="2"/>
  <c r="O401" i="2"/>
  <c r="Q401" i="2"/>
  <c r="O402" i="2"/>
  <c r="Q402" i="2"/>
  <c r="O403" i="2"/>
  <c r="Q403" i="2"/>
  <c r="O404" i="2"/>
  <c r="Q404" i="2"/>
  <c r="O405" i="2"/>
  <c r="Q405" i="2"/>
  <c r="O406" i="2"/>
  <c r="Q406" i="2"/>
  <c r="O392" i="2"/>
  <c r="Q392" i="2"/>
  <c r="O393" i="2"/>
  <c r="Q393" i="2"/>
  <c r="O394" i="2"/>
  <c r="Q394" i="2"/>
  <c r="O395" i="2"/>
  <c r="Q395" i="2"/>
  <c r="O396" i="2"/>
  <c r="Q396" i="2"/>
  <c r="O397" i="2"/>
  <c r="Q397" i="2"/>
  <c r="O398" i="2"/>
  <c r="O399" i="2"/>
  <c r="Q399" i="2"/>
  <c r="O407" i="2"/>
  <c r="Q407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31" i="2"/>
  <c r="Q431" i="2"/>
  <c r="O432" i="2"/>
  <c r="Q432" i="2"/>
  <c r="O425" i="2"/>
  <c r="Q425" i="2"/>
  <c r="O426" i="2"/>
  <c r="Q426" i="2"/>
  <c r="O433" i="2"/>
  <c r="Q433" i="2"/>
  <c r="O353" i="2"/>
  <c r="Q353" i="2"/>
  <c r="O360" i="2"/>
  <c r="Q360" i="2"/>
  <c r="O339" i="2"/>
  <c r="Q339" i="2"/>
  <c r="O340" i="2"/>
  <c r="Q340" i="2"/>
  <c r="O341" i="2"/>
  <c r="Q341" i="2"/>
  <c r="O342" i="2"/>
  <c r="Q342" i="2"/>
  <c r="O343" i="2"/>
  <c r="Q343" i="2"/>
  <c r="O344" i="2"/>
  <c r="Q344" i="2"/>
  <c r="O313" i="2"/>
  <c r="Q313" i="2"/>
  <c r="O323" i="2"/>
  <c r="Q323" i="2"/>
  <c r="O324" i="2"/>
  <c r="Q324" i="2"/>
  <c r="O314" i="2"/>
  <c r="Q314" i="2"/>
  <c r="O315" i="2"/>
  <c r="Q315" i="2"/>
  <c r="O325" i="2"/>
  <c r="Q325" i="2"/>
  <c r="O316" i="2"/>
  <c r="Q316" i="2"/>
  <c r="O317" i="2"/>
  <c r="Q317" i="2"/>
  <c r="O318" i="2"/>
  <c r="Q318" i="2"/>
  <c r="O326" i="2"/>
  <c r="Q326" i="2"/>
  <c r="O327" i="2"/>
  <c r="Q327" i="2"/>
  <c r="O319" i="2"/>
  <c r="Q319" i="2"/>
  <c r="O328" i="2"/>
  <c r="Q328" i="2"/>
  <c r="O320" i="2"/>
  <c r="Q320" i="2"/>
  <c r="O321" i="2"/>
  <c r="Q321" i="2"/>
  <c r="O329" i="2"/>
  <c r="Q329" i="2"/>
  <c r="O330" i="2"/>
  <c r="Q330" i="2"/>
  <c r="O331" i="2"/>
  <c r="Q331" i="2"/>
  <c r="O332" i="2"/>
  <c r="Q332" i="2"/>
  <c r="O333" i="2"/>
  <c r="Q333" i="2"/>
  <c r="O334" i="2"/>
  <c r="Q334" i="2"/>
  <c r="O265" i="2"/>
  <c r="Q265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6" i="2"/>
  <c r="Q276" i="2"/>
  <c r="O272" i="2"/>
  <c r="Q272" i="2"/>
  <c r="O277" i="2"/>
  <c r="Q277" i="2"/>
  <c r="O273" i="2"/>
  <c r="Q273" i="2"/>
  <c r="O278" i="2"/>
  <c r="Q278" i="2"/>
  <c r="O274" i="2"/>
  <c r="Q274" i="2"/>
  <c r="O275" i="2"/>
  <c r="Q275" i="2"/>
  <c r="O279" i="2"/>
  <c r="Q279" i="2"/>
  <c r="O280" i="2"/>
  <c r="Q280" i="2"/>
  <c r="O281" i="2"/>
  <c r="Q281" i="2"/>
  <c r="O282" i="2"/>
  <c r="Q282" i="2"/>
  <c r="O283" i="2"/>
  <c r="Q283" i="2"/>
  <c r="O284" i="2"/>
  <c r="Q284" i="2"/>
  <c r="O258" i="2"/>
  <c r="Q258" i="2"/>
  <c r="O259" i="2"/>
  <c r="Q259" i="2"/>
  <c r="O285" i="2"/>
  <c r="Q285" i="2"/>
  <c r="O287" i="2"/>
  <c r="Q287" i="2"/>
  <c r="O288" i="2"/>
  <c r="Q288" i="2"/>
  <c r="O289" i="2"/>
  <c r="Q289" i="2"/>
  <c r="O290" i="2"/>
  <c r="Q290" i="2"/>
  <c r="O291" i="2"/>
  <c r="Q291" i="2"/>
  <c r="O292" i="2"/>
  <c r="Q292" i="2"/>
  <c r="O286" i="2"/>
  <c r="Q286" i="2"/>
  <c r="O293" i="2"/>
  <c r="Q293" i="2"/>
  <c r="O294" i="2"/>
  <c r="Q294" i="2"/>
  <c r="O295" i="2"/>
  <c r="Q295" i="2"/>
  <c r="O296" i="2"/>
  <c r="Q296" i="2"/>
  <c r="O300" i="2"/>
  <c r="Q300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22" i="2"/>
  <c r="Q322" i="2"/>
  <c r="O196" i="2"/>
  <c r="Q196" i="2"/>
  <c r="O207" i="2"/>
  <c r="Q207" i="2"/>
  <c r="O208" i="2"/>
  <c r="Q208" i="2"/>
  <c r="O209" i="2"/>
  <c r="Q209" i="2"/>
  <c r="O210" i="2"/>
  <c r="Q210" i="2"/>
  <c r="O211" i="2"/>
  <c r="Q211" i="2"/>
  <c r="O212" i="2"/>
  <c r="Q212" i="2"/>
  <c r="O197" i="2"/>
  <c r="Q197" i="2"/>
  <c r="O213" i="2"/>
  <c r="Q213" i="2"/>
  <c r="O214" i="2"/>
  <c r="Q214" i="2"/>
  <c r="O198" i="2"/>
  <c r="Q198" i="2"/>
  <c r="O215" i="2"/>
  <c r="Q215" i="2"/>
  <c r="O199" i="2"/>
  <c r="Q199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16" i="2"/>
  <c r="Q21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60" i="2"/>
  <c r="Q260" i="2"/>
  <c r="O180" i="2"/>
  <c r="Q180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72" i="2"/>
  <c r="Q172" i="2"/>
  <c r="O187" i="2"/>
  <c r="Q187" i="2"/>
  <c r="O188" i="2"/>
  <c r="Q188" i="2"/>
  <c r="O189" i="2"/>
  <c r="Q189" i="2"/>
  <c r="O190" i="2"/>
  <c r="Q190" i="2"/>
  <c r="O173" i="2"/>
  <c r="Q173" i="2"/>
  <c r="O174" i="2"/>
  <c r="Q174" i="2"/>
  <c r="O175" i="2"/>
  <c r="Q175" i="2"/>
  <c r="O176" i="2"/>
  <c r="Q176" i="2"/>
  <c r="O177" i="2"/>
  <c r="Q177" i="2"/>
  <c r="O178" i="2"/>
  <c r="Q178" i="2"/>
  <c r="O179" i="2"/>
  <c r="Q179" i="2"/>
  <c r="O191" i="2"/>
  <c r="Q191" i="2"/>
  <c r="O192" i="2"/>
  <c r="Q192" i="2"/>
  <c r="O193" i="2"/>
  <c r="Q193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7" i="2"/>
  <c r="Q297" i="2"/>
  <c r="O298" i="2"/>
  <c r="Q298" i="2"/>
  <c r="O299" i="2"/>
  <c r="Q299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8" i="24"/>
  <c r="D317" i="24"/>
  <c r="D316" i="24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0" i="2"/>
  <c r="R516" i="2"/>
  <c r="R532" i="2"/>
  <c r="R493" i="2"/>
  <c r="R457" i="2"/>
  <c r="R136" i="2"/>
  <c r="R41" i="2"/>
  <c r="R246" i="2"/>
  <c r="R287" i="2"/>
  <c r="R414" i="2"/>
  <c r="R410" i="2"/>
  <c r="R379" i="2"/>
  <c r="R436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3" i="2"/>
  <c r="R40" i="2"/>
  <c r="R38" i="2"/>
  <c r="R299" i="2"/>
  <c r="R76" i="2"/>
  <c r="R74" i="2"/>
  <c r="R144" i="2"/>
  <c r="R137" i="2"/>
  <c r="R114" i="2"/>
  <c r="R46" i="2"/>
  <c r="R199" i="2"/>
  <c r="R583" i="2"/>
  <c r="R581" i="2"/>
  <c r="R135" i="2"/>
  <c r="R133" i="2"/>
  <c r="R71" i="2"/>
  <c r="R62" i="2"/>
  <c r="R128" i="2"/>
  <c r="R127" i="2"/>
  <c r="R57" i="2"/>
  <c r="R208" i="2"/>
  <c r="R553" i="2"/>
  <c r="R545" i="2"/>
  <c r="R517" i="2"/>
  <c r="R23" i="2"/>
  <c r="R11" i="2"/>
  <c r="R9" i="2"/>
  <c r="R16" i="2"/>
  <c r="R238" i="2"/>
  <c r="R228" i="2"/>
  <c r="R220" i="2"/>
  <c r="R218" i="2"/>
  <c r="R204" i="2"/>
  <c r="R200" i="2"/>
  <c r="R207" i="2"/>
  <c r="R271" i="2"/>
  <c r="R265" i="2"/>
  <c r="R417" i="2"/>
  <c r="R392" i="2"/>
  <c r="R401" i="2"/>
  <c r="R386" i="2"/>
  <c r="R595" i="2"/>
  <c r="R237" i="2"/>
  <c r="R579" i="2"/>
  <c r="R518" i="2"/>
  <c r="R298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5" i="2"/>
  <c r="R225" i="2"/>
  <c r="R217" i="2"/>
  <c r="R215" i="2"/>
  <c r="R214" i="2"/>
  <c r="R211" i="2"/>
  <c r="R389" i="2"/>
  <c r="R366" i="2"/>
  <c r="R574" i="2"/>
  <c r="R567" i="2"/>
  <c r="R560" i="2"/>
  <c r="R536" i="2"/>
  <c r="R515" i="2"/>
  <c r="R533" i="2"/>
  <c r="R526" i="2"/>
  <c r="R505" i="2"/>
  <c r="R496" i="2"/>
  <c r="R473" i="2"/>
  <c r="R469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3" i="2"/>
  <c r="R254" i="2"/>
  <c r="R201" i="2"/>
  <c r="R278" i="2"/>
  <c r="R276" i="2"/>
  <c r="R334" i="2"/>
  <c r="R422" i="2"/>
  <c r="R64" i="2"/>
  <c r="R179" i="2"/>
  <c r="R329" i="2"/>
  <c r="R317" i="2"/>
  <c r="R314" i="2"/>
  <c r="R344" i="2"/>
  <c r="R433" i="2"/>
  <c r="R571" i="2"/>
  <c r="R568" i="2"/>
  <c r="R559" i="2"/>
  <c r="R546" i="2"/>
  <c r="R541" i="2"/>
  <c r="R537" i="2"/>
  <c r="R521" i="2"/>
  <c r="R502" i="2"/>
  <c r="R494" i="2"/>
  <c r="R476" i="2"/>
  <c r="R468" i="2"/>
  <c r="R162" i="2"/>
  <c r="R189" i="2"/>
  <c r="R186" i="2"/>
  <c r="R184" i="2"/>
  <c r="R182" i="2"/>
  <c r="R213" i="2"/>
  <c r="R301" i="2"/>
  <c r="R294" i="2"/>
  <c r="R409" i="2"/>
  <c r="R434" i="2"/>
  <c r="R378" i="2"/>
  <c r="R369" i="2"/>
  <c r="R367" i="2"/>
  <c r="R594" i="2"/>
  <c r="R592" i="2"/>
  <c r="R597" i="2"/>
  <c r="R481" i="2"/>
  <c r="R477" i="2"/>
  <c r="R470" i="2"/>
  <c r="R467" i="2"/>
  <c r="R465" i="2"/>
  <c r="R461" i="2"/>
  <c r="R591" i="2"/>
  <c r="R586" i="2"/>
  <c r="R488" i="2"/>
  <c r="R480" i="2"/>
  <c r="R458" i="2"/>
  <c r="R454" i="2"/>
  <c r="R451" i="2"/>
  <c r="R156" i="2"/>
  <c r="R191" i="2"/>
  <c r="R178" i="2"/>
  <c r="R190" i="2"/>
  <c r="R304" i="2"/>
  <c r="R293" i="2"/>
  <c r="R283" i="2"/>
  <c r="R318" i="2"/>
  <c r="R315" i="2"/>
  <c r="R313" i="2"/>
  <c r="R341" i="2"/>
  <c r="R406" i="2"/>
  <c r="R428" i="2"/>
  <c r="R12" i="2"/>
  <c r="R155" i="2"/>
  <c r="R148" i="2"/>
  <c r="R192" i="2"/>
  <c r="R257" i="2"/>
  <c r="R255" i="2"/>
  <c r="R252" i="2"/>
  <c r="R241" i="2"/>
  <c r="R239" i="2"/>
  <c r="R236" i="2"/>
  <c r="R221" i="2"/>
  <c r="R274" i="2"/>
  <c r="R319" i="2"/>
  <c r="R326" i="2"/>
  <c r="R353" i="2"/>
  <c r="R399" i="2"/>
  <c r="R402" i="2"/>
  <c r="R400" i="2"/>
  <c r="R385" i="2"/>
  <c r="R429" i="2"/>
  <c r="R587" i="2"/>
  <c r="R572" i="2"/>
  <c r="R549" i="2"/>
  <c r="R542" i="2"/>
  <c r="R509" i="2"/>
  <c r="R506" i="2"/>
  <c r="R484" i="2"/>
  <c r="R482" i="2"/>
  <c r="R459" i="2"/>
  <c r="R443" i="2"/>
  <c r="R442" i="2"/>
  <c r="R19" i="2"/>
  <c r="R13" i="2"/>
  <c r="R18" i="2"/>
  <c r="R17" i="2"/>
  <c r="R37" i="2"/>
  <c r="R153" i="2"/>
  <c r="R297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5" i="2"/>
  <c r="R173" i="2"/>
  <c r="R188" i="2"/>
  <c r="R305" i="2"/>
  <c r="R295" i="2"/>
  <c r="R272" i="2"/>
  <c r="R418" i="2"/>
  <c r="R411" i="2"/>
  <c r="R405" i="2"/>
  <c r="R383" i="2"/>
  <c r="R374" i="2"/>
  <c r="R377" i="2"/>
  <c r="R593" i="2"/>
  <c r="R575" i="2"/>
  <c r="R569" i="2"/>
  <c r="R566" i="2"/>
  <c r="R534" i="2"/>
  <c r="R522" i="2"/>
  <c r="R497" i="2"/>
  <c r="R501" i="2"/>
  <c r="R462" i="2"/>
  <c r="R161" i="2"/>
  <c r="R159" i="2"/>
  <c r="R151" i="2"/>
  <c r="R181" i="2"/>
  <c r="R249" i="2"/>
  <c r="R247" i="2"/>
  <c r="R244" i="2"/>
  <c r="R233" i="2"/>
  <c r="R196" i="2"/>
  <c r="R290" i="2"/>
  <c r="R259" i="2"/>
  <c r="R284" i="2"/>
  <c r="R330" i="2"/>
  <c r="R431" i="2"/>
  <c r="R423" i="2"/>
  <c r="R421" i="2"/>
  <c r="R394" i="2"/>
  <c r="R373" i="2"/>
  <c r="R365" i="2"/>
  <c r="R362" i="2"/>
  <c r="R577" i="2"/>
  <c r="R554" i="2"/>
  <c r="R538" i="2"/>
  <c r="R529" i="2"/>
  <c r="R527" i="2"/>
  <c r="R525" i="2"/>
  <c r="R489" i="2"/>
  <c r="R474" i="2"/>
  <c r="R444" i="2"/>
  <c r="R455" i="2"/>
  <c r="R333" i="2"/>
  <c r="R395" i="2"/>
  <c r="R382" i="2"/>
  <c r="R589" i="2"/>
  <c r="R508" i="2"/>
  <c r="R492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1" i="2"/>
  <c r="R268" i="2"/>
  <c r="R370" i="2"/>
  <c r="R563" i="2"/>
  <c r="R499" i="2"/>
  <c r="R149" i="2"/>
  <c r="R172" i="2"/>
  <c r="R250" i="2"/>
  <c r="R234" i="2"/>
  <c r="R285" i="2"/>
  <c r="R432" i="2"/>
  <c r="R558" i="2"/>
  <c r="R157" i="2"/>
  <c r="R176" i="2"/>
  <c r="R260" i="2"/>
  <c r="R242" i="2"/>
  <c r="R224" i="2"/>
  <c r="R280" i="2"/>
  <c r="R328" i="2"/>
  <c r="R340" i="2"/>
  <c r="R596" i="2"/>
  <c r="R550" i="2"/>
  <c r="R512" i="2"/>
  <c r="R485" i="2"/>
  <c r="R448" i="2"/>
  <c r="R227" i="2"/>
  <c r="R222" i="2"/>
  <c r="R219" i="2"/>
  <c r="R306" i="2"/>
  <c r="R258" i="2"/>
  <c r="R331" i="2"/>
  <c r="R325" i="2"/>
  <c r="R360" i="2"/>
  <c r="R419" i="2"/>
  <c r="R416" i="2"/>
  <c r="R407" i="2"/>
  <c r="R403" i="2"/>
  <c r="R375" i="2"/>
  <c r="R363" i="2"/>
  <c r="R588" i="2"/>
  <c r="R578" i="2"/>
  <c r="R555" i="2"/>
  <c r="R543" i="2"/>
  <c r="R510" i="2"/>
  <c r="R523" i="2"/>
  <c r="R490" i="2"/>
  <c r="R478" i="2"/>
  <c r="R460" i="2"/>
  <c r="R452" i="2"/>
  <c r="R81" i="2"/>
  <c r="R164" i="2"/>
  <c r="R154" i="2"/>
  <c r="R160" i="2"/>
  <c r="R150" i="2"/>
  <c r="R193" i="2"/>
  <c r="R177" i="2"/>
  <c r="R174" i="2"/>
  <c r="R187" i="2"/>
  <c r="R185" i="2"/>
  <c r="R180" i="2"/>
  <c r="R256" i="2"/>
  <c r="R251" i="2"/>
  <c r="R248" i="2"/>
  <c r="R243" i="2"/>
  <c r="R240" i="2"/>
  <c r="R235" i="2"/>
  <c r="R232" i="2"/>
  <c r="R230" i="2"/>
  <c r="R198" i="2"/>
  <c r="R292" i="2"/>
  <c r="R281" i="2"/>
  <c r="R279" i="2"/>
  <c r="R269" i="2"/>
  <c r="R267" i="2"/>
  <c r="R320" i="2"/>
  <c r="R327" i="2"/>
  <c r="R323" i="2"/>
  <c r="R425" i="2"/>
  <c r="R396" i="2"/>
  <c r="R384" i="2"/>
  <c r="R371" i="2"/>
  <c r="R584" i="2"/>
  <c r="R564" i="2"/>
  <c r="R562" i="2"/>
  <c r="R551" i="2"/>
  <c r="R535" i="2"/>
  <c r="R514" i="2"/>
  <c r="R530" i="2"/>
  <c r="R500" i="2"/>
  <c r="R498" i="2"/>
  <c r="R486" i="2"/>
  <c r="R466" i="2"/>
  <c r="R464" i="2"/>
  <c r="R445" i="2"/>
  <c r="R229" i="2"/>
  <c r="R226" i="2"/>
  <c r="R205" i="2"/>
  <c r="R203" i="2"/>
  <c r="R212" i="2"/>
  <c r="R210" i="2"/>
  <c r="R302" i="2"/>
  <c r="R300" i="2"/>
  <c r="R288" i="2"/>
  <c r="R273" i="2"/>
  <c r="R342" i="2"/>
  <c r="R415" i="2"/>
  <c r="R413" i="2"/>
  <c r="R390" i="2"/>
  <c r="R388" i="2"/>
  <c r="R380" i="2"/>
  <c r="R437" i="2"/>
  <c r="R435" i="2"/>
  <c r="R598" i="2"/>
  <c r="R557" i="2"/>
  <c r="R520" i="2"/>
  <c r="R504" i="2"/>
  <c r="R472" i="2"/>
  <c r="R449" i="2"/>
  <c r="R216" i="2"/>
  <c r="R286" i="2"/>
  <c r="R332" i="2"/>
  <c r="R424" i="2"/>
  <c r="R391" i="2"/>
  <c r="R361" i="2"/>
  <c r="R573" i="2"/>
  <c r="R539" i="2"/>
  <c r="R507" i="2"/>
  <c r="R475" i="2"/>
  <c r="R450" i="2"/>
  <c r="R223" i="2"/>
  <c r="R303" i="2"/>
  <c r="R270" i="2"/>
  <c r="R339" i="2"/>
  <c r="R393" i="2"/>
  <c r="R368" i="2"/>
  <c r="R582" i="2"/>
  <c r="R547" i="2"/>
  <c r="R528" i="2"/>
  <c r="R483" i="2"/>
  <c r="R456" i="2"/>
  <c r="R209" i="2"/>
  <c r="R275" i="2"/>
  <c r="R324" i="2"/>
  <c r="R408" i="2"/>
  <c r="R376" i="2"/>
  <c r="R548" i="2"/>
  <c r="R556" i="2"/>
  <c r="R511" i="2"/>
  <c r="R491" i="2"/>
  <c r="R447" i="2"/>
  <c r="R231" i="2"/>
  <c r="R202" i="2"/>
  <c r="R197" i="2"/>
  <c r="R322" i="2"/>
  <c r="R296" i="2"/>
  <c r="R289" i="2"/>
  <c r="R282" i="2"/>
  <c r="R277" i="2"/>
  <c r="R266" i="2"/>
  <c r="R321" i="2"/>
  <c r="R316" i="2"/>
  <c r="R343" i="2"/>
  <c r="R426" i="2"/>
  <c r="R420" i="2"/>
  <c r="R412" i="2"/>
  <c r="R397" i="2"/>
  <c r="R404" i="2"/>
  <c r="R387" i="2"/>
  <c r="R381" i="2"/>
  <c r="R372" i="2"/>
  <c r="R364" i="2"/>
  <c r="R430" i="2"/>
  <c r="R590" i="2"/>
  <c r="R585" i="2"/>
  <c r="R576" i="2"/>
  <c r="R570" i="2"/>
  <c r="R561" i="2"/>
  <c r="R552" i="2"/>
  <c r="R544" i="2"/>
  <c r="R519" i="2"/>
  <c r="R513" i="2"/>
  <c r="R531" i="2"/>
  <c r="R524" i="2"/>
  <c r="R503" i="2"/>
  <c r="R495" i="2"/>
  <c r="R487" i="2"/>
  <c r="R479" i="2"/>
  <c r="R471" i="2"/>
  <c r="R463" i="2"/>
  <c r="R446" i="2"/>
  <c r="R453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D174" i="24"/>
  <c r="E174" i="24" s="1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D186" i="24"/>
  <c r="E186" i="24" s="1"/>
  <c r="E299" i="24"/>
  <c r="D277" i="24"/>
  <c r="E277" i="24" s="1"/>
  <c r="E266" i="24"/>
  <c r="E254" i="24"/>
  <c r="E230" i="24"/>
  <c r="E218" i="24"/>
  <c r="E207" i="24"/>
  <c r="D185" i="24"/>
  <c r="E185" i="24" s="1"/>
  <c r="E141" i="24"/>
  <c r="E119" i="24"/>
  <c r="D97" i="24"/>
  <c r="E97" i="24" s="1"/>
  <c r="D98" i="24"/>
  <c r="E98" i="24" s="1"/>
  <c r="E76" i="24"/>
  <c r="E65" i="24"/>
  <c r="J5" i="25"/>
  <c r="D54" i="24" s="1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4" i="2"/>
  <c r="Q355" i="2"/>
  <c r="Q356" i="2"/>
  <c r="O354" i="2"/>
  <c r="O355" i="2"/>
  <c r="O356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4" i="2"/>
  <c r="R356" i="2"/>
  <c r="R355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7" i="2"/>
  <c r="Q357" i="2"/>
  <c r="D60" i="24" l="1"/>
  <c r="D172" i="24"/>
  <c r="R357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4" i="2"/>
  <c r="O195" i="2"/>
  <c r="O261" i="2"/>
  <c r="O262" i="2"/>
  <c r="O307" i="2"/>
  <c r="O308" i="2"/>
  <c r="O311" i="2"/>
  <c r="O312" i="2"/>
  <c r="O309" i="2"/>
  <c r="O310" i="2"/>
  <c r="O335" i="2"/>
  <c r="O336" i="2"/>
  <c r="O337" i="2"/>
  <c r="O358" i="2"/>
  <c r="O359" i="2"/>
  <c r="O345" i="2"/>
  <c r="O346" i="2"/>
  <c r="O347" i="2"/>
  <c r="O348" i="2"/>
  <c r="O349" i="2"/>
  <c r="O350" i="2"/>
  <c r="O351" i="2"/>
  <c r="O352" i="2"/>
  <c r="O427" i="2"/>
  <c r="O440" i="2"/>
  <c r="O441" i="2"/>
  <c r="O438" i="2"/>
  <c r="Q438" i="2"/>
  <c r="Q441" i="2"/>
  <c r="Q440" i="2"/>
  <c r="Q427" i="2"/>
  <c r="Q351" i="2"/>
  <c r="Q350" i="2"/>
  <c r="Q349" i="2"/>
  <c r="Q348" i="2"/>
  <c r="Q347" i="2"/>
  <c r="Q346" i="2"/>
  <c r="Q345" i="2"/>
  <c r="Q359" i="2"/>
  <c r="Q358" i="2"/>
  <c r="Q337" i="2"/>
  <c r="Q336" i="2"/>
  <c r="Q335" i="2"/>
  <c r="Q310" i="2"/>
  <c r="Q309" i="2"/>
  <c r="Q312" i="2"/>
  <c r="Q311" i="2"/>
  <c r="Q308" i="2"/>
  <c r="Q307" i="2"/>
  <c r="Q262" i="2"/>
  <c r="Q261" i="2"/>
  <c r="Q195" i="2"/>
  <c r="Q194" i="2"/>
  <c r="Q169" i="2"/>
  <c r="Q168" i="2"/>
  <c r="Q167" i="2"/>
  <c r="Q166" i="2"/>
  <c r="Q147" i="2"/>
  <c r="Q78" i="2"/>
  <c r="Q352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2" i="2"/>
  <c r="R78" i="2"/>
  <c r="R169" i="2"/>
  <c r="R441" i="2"/>
  <c r="R310" i="2"/>
  <c r="R34" i="2"/>
  <c r="R195" i="2"/>
  <c r="R33" i="2"/>
  <c r="R166" i="2"/>
  <c r="R167" i="2"/>
  <c r="R427" i="2"/>
  <c r="R307" i="2"/>
  <c r="R311" i="2"/>
  <c r="R336" i="2"/>
  <c r="R346" i="2"/>
  <c r="R32" i="2"/>
  <c r="R31" i="2"/>
  <c r="R347" i="2"/>
  <c r="R438" i="2"/>
  <c r="R262" i="2"/>
  <c r="R348" i="2"/>
  <c r="R349" i="2"/>
  <c r="R359" i="2"/>
  <c r="R351" i="2"/>
  <c r="R358" i="2"/>
  <c r="R335" i="2"/>
  <c r="R30" i="2"/>
  <c r="R352" i="2"/>
  <c r="R194" i="2"/>
  <c r="R345" i="2"/>
  <c r="R168" i="2"/>
  <c r="R308" i="2"/>
  <c r="R309" i="2"/>
  <c r="R337" i="2"/>
  <c r="R261" i="2"/>
  <c r="R350" i="2"/>
  <c r="R440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38" i="2" l="1"/>
  <c r="O338" i="2"/>
  <c r="R338" i="2" l="1"/>
  <c r="Q439" i="2" l="1"/>
  <c r="O439" i="2"/>
  <c r="R439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<sst xmlns="http://schemas.openxmlformats.org/spreadsheetml/2006/main" count="7616" uniqueCount="2482">
  <si>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</si>
  <si>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</si>
  <si>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</si>
  <si>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</si>
  <si>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</si>
  <si>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</si>
  <si>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</si>
  <si>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</si>
  <si>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</si>
  <si>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</si>
  <si>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</si>
  <si>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</si>
  <si>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</si>
  <si>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</si>
  <si>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</si>
  <si>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</si>
  <si>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</si>
  <si>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</si>
  <si>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</si>
  <si>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</si>
  <si>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</si>
  <si>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</si>
  <si>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</si>
  <si>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</si>
  <si>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</si>
  <si>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</si>
  <si>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</si>
  <si>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</si>
  <si>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</si>
  <si>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</si>
  <si>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</si>
  <si>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</si>
  <si>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</si>
  <si>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</si>
  <si>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</si>
  <si>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</si>
  <si>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</si>
  <si>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</si>
  <si>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</si>
  <si>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</si>
  <si>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</si>
  <si>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</si>
  <si>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</si>
  <si>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</si>
  <si>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</si>
  <si>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</si>
  <si>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</si>
  <si>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</si>
  <si>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</si>
  <si>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</si>
  <si>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</si>
  <si>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</si>
  <si>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</si>
  <si>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</si>
  <si>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</si>
  <si>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</si>
  <si>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</si>
  <si>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</si>
  <si>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</si>
  <si>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</si>
  <si>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</si>
  <si>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</si>
  <si>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</si>
  <si>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</si>
  <si>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</si>
  <si>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</si>
  <si>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</si>
  <si>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</si>
  <si>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</si>
  <si>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</si>
  <si>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</si>
  <si>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</si>
  <si>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</si>
  <si>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</si>
  <si>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</si>
  <si>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</si>
  <si>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</si>
  <si>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</si>
  <si>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</si>
  <si>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</si>
  <si>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</si>
  <si>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</si>
  <si>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</si>
  <si>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</si>
  <si>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</si>
  <si>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</si>
  <si>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</si>
  <si>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</si>
  <si>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</si>
  <si>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</si>
  <si>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</si>
  <si>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</si>
  <si>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</si>
  <si>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</si>
  <si>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</si>
  <si>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</si>
  <si>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</si>
  <si>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</si>
  <si>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</si>
  <si>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</si>
  <si>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</si>
  <si>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</si>
  <si>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</si>
  <si>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</si>
  <si>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</si>
  <si>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</si>
  <si>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</si>
  <si>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</si>
  <si>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</si>
  <si>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</si>
  <si>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</si>
  <si>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</si>
  <si>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</si>
  <si>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</si>
  <si>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</si>
  <si>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</si>
  <si>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</si>
  <si>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</si>
  <si>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</si>
  <si>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</si>
  <si>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</si>
  <si>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</si>
  <si>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</si>
  <si>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</si>
  <si>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</si>
  <si>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</si>
  <si>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</si>
  <si>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</si>
  <si>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</si>
  <si>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</si>
  <si>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</si>
  <si>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</si>
  <si>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</si>
  <si>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</si>
  <si>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</si>
  <si>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</si>
  <si>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</si>
  <si>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</si>
  <si>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</si>
  <si>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</si>
  <si>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</si>
  <si>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</si>
  <si>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</si>
  <si>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</si>
  <si>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</si>
  <si>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</si>
  <si>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</si>
  <si>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</si>
  <si>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</si>
  <si>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</si>
  <si>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</si>
  <si>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</si>
  <si>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</si>
  <si>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</si>
  <si>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</si>
  <si>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</si>
  <si>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</si>
  <si>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</si>
  <si>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</si>
  <si>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</si>
  <si>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</si>
  <si>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</si>
  <si>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</si>
  <si>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</si>
  <si>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</si>
  <si>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</si>
  <si>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</si>
  <si>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</si>
  <si>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</si>
  <si>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</si>
  <si>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</si>
  <si>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</si>
  <si>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</si>
  <si>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</si>
  <si>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</si>
  <si>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</si>
  <si>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</si>
  <si>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</si>
  <si>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</si>
  <si>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</si>
  <si>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</si>
  <si>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</si>
  <si>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</si>
  <si>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</si>
  <si>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</si>
  <si>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</si>
  <si>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</si>
  <si>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</si>
  <si>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</si>
  <si>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</si>
  <si>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</si>
  <si>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</si>
  <si>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</si>
  <si>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</si>
  <si>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</si>
  <si>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</si>
  <si>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</si>
  <si>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</si>
  <si>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</si>
  <si>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</si>
  <si>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</si>
  <si>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</si>
  <si>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</si>
  <si>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</si>
  <si>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</si>
  <si>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</si>
  <si>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</si>
  <si>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</si>
  <si>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</si>
  <si>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</si>
  <si>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</si>
  <si>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</si>
  <si>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</si>
  <si>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</si>
  <si>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</si>
  <si>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</si>
  <si>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</si>
  <si>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</si>
  <si>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</si>
  <si>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</si>
  <si>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</si>
  <si>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</si>
  <si>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</si>
  <si>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</si>
  <si>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</si>
  <si>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</si>
  <si>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</si>
  <si>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</si>
  <si>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</si>
  <si>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</si>
  <si>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</si>
  <si>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</si>
  <si>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</si>
  <si>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</si>
  <si>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</si>
  <si>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</si>
  <si>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</si>
  <si>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</si>
  <si>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</si>
  <si>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</si>
  <si>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</si>
  <si>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</si>
  <si>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</si>
  <si>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</si>
  <si>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</si>
  <si>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</si>
  <si>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</si>
  <si>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</si>
  <si>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</si>
  <si>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</si>
  <si>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</si>
  <si>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</si>
  <si>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</si>
  <si>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</si>
  <si>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</si>
  <si>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</si>
  <si>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</si>
  <si>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</si>
  <si>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</si>
  <si>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</si>
  <si>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</si>
  <si>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</si>
  <si>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</si>
  <si>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</si>
  <si>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</si>
  <si>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</si>
  <si>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</si>
  <si>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</si>
  <si>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</si>
  <si>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</si>
  <si>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</si>
  <si>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</si>
  <si>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</si>
  <si>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</si>
  <si>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</si>
  <si>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</si>
  <si>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</si>
  <si>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</si>
  <si>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</si>
  <si>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</si>
  <si>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</si>
  <si>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</si>
  <si>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</si>
  <si>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</si>
  <si>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</si>
  <si>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</si>
  <si>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</si>
  <si>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</si>
  <si>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</si>
  <si>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</si>
  <si>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</si>
  <si>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</si>
  <si>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</si>
  <si>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</si>
  <si>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</si>
  <si>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</si>
  <si>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</si>
  <si>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</si>
  <si>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</si>
  <si>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</si>
  <si>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</si>
  <si>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</si>
  <si>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</si>
  <si>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</si>
  <si>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</si>
  <si>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</si>
  <si>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</si>
  <si>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</si>
  <si>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</si>
  <si>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</si>
  <si>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</si>
  <si>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</si>
  <si>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</si>
  <si>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</si>
  <si>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</si>
  <si>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</si>
  <si>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</si>
  <si>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</si>
  <si>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</si>
  <si>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</si>
  <si>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</si>
  <si>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</si>
  <si>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</si>
  <si>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</si>
  <si>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</si>
  <si>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</si>
  <si>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</si>
  <si>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</si>
  <si>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</si>
  <si>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</si>
  <si>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</si>
  <si>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</si>
  <si>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</si>
  <si>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</si>
  <si>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</si>
  <si>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</si>
  <si>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</si>
  <si>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</si>
  <si>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</si>
  <si>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</si>
  <si>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</si>
  <si>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</si>
  <si>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</si>
  <si>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</si>
  <si>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</si>
  <si>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</si>
  <si>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</si>
  <si>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</si>
  <si>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</si>
  <si>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</si>
  <si>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</si>
  <si>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</si>
  <si>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</si>
  <si>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</si>
  <si>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</si>
  <si>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</si>
  <si>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</si>
  <si>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</si>
  <si>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</si>
  <si>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</si>
  <si>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</si>
  <si>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</si>
  <si>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</si>
  <si>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</si>
  <si>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</si>
  <si>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</si>
  <si>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</si>
  <si>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</si>
  <si>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</si>
  <si>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</si>
  <si>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</si>
  <si>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</si>
  <si>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</si>
  <si>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</si>
  <si>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</si>
  <si>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</si>
  <si>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</si>
  <si>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</si>
  <si>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</si>
  <si>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</si>
  <si>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</si>
  <si>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</si>
  <si>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</si>
  <si>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</si>
  <si>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</si>
  <si>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</si>
  <si>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</si>
  <si>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</si>
  <si>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</si>
  <si>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</si>
  <si>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</si>
  <si>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</si>
  <si>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</si>
  <si>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</si>
  <si>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</si>
  <si>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</si>
  <si>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</si>
  <si>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</si>
  <si>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</si>
  <si>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</si>
  <si>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</si>
  <si>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</si>
  <si>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</si>
  <si>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</si>
  <si>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</si>
  <si>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</si>
  <si>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</si>
  <si>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</si>
  <si>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</si>
  <si>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</si>
  <si>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</si>
  <si>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</si>
  <si>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</si>
  <si>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</si>
  <si>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</si>
  <si>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</si>
  <si>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</si>
  <si>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</si>
  <si>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</si>
  <si>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</si>
  <si>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</si>
  <si>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</si>
  <si>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</si>
  <si>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</si>
  <si>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</si>
  <si>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</si>
  <si>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</si>
  <si>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</si>
  <si>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</si>
  <si>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</si>
  <si>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</si>
  <si>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</si>
  <si>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</si>
  <si>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</si>
  <si>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</si>
  <si>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</si>
  <si>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</si>
  <si>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</si>
  <si>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</si>
  <si>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</si>
  <si>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</si>
  <si>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</si>
  <si>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</si>
  <si>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</si>
  <si>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</si>
  <si>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</si>
  <si>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</si>
  <si>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</si>
  <si>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</si>
  <si>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</si>
  <si>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</si>
  <si>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</si>
  <si>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</si>
  <si>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</si>
  <si>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</si>
  <si>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</si>
  <si>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</si>
  <si>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</si>
  <si>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</si>
  <si>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</si>
  <si>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</si>
  <si>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</si>
  <si>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</si>
  <si>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</si>
  <si>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</si>
  <si>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</si>
  <si>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</si>
  <si>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</si>
  <si>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</si>
  <si>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</si>
  <si>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</si>
  <si>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</si>
  <si>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</si>
  <si>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</si>
  <si>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</si>
  <si>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</si>
  <si>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</si>
  <si>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</si>
  <si>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</si>
  <si>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</si>
  <si>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</si>
  <si>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</si>
  <si>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</si>
  <si>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</si>
  <si>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</si>
  <si>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</si>
  <si>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</si>
  <si>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</si>
  <si>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</si>
  <si>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</si>
  <si>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</si>
  <si>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</si>
  <si>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</si>
  <si>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</si>
  <si>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</si>
  <si>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</si>
  <si>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</si>
  <si>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</si>
  <si>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</si>
  <si>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</si>
  <si>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</si>
  <si>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</si>
  <si>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</si>
  <si>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</si>
  <si>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</si>
  <si>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</si>
  <si>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</si>
  <si>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</si>
  <si>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</si>
  <si>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</si>
  <si>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</si>
  <si>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</si>
  <si>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</si>
  <si>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</si>
  <si>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</si>
  <si>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</si>
  <si>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</si>
  <si>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</si>
  <si>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</si>
  <si>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</si>
  <si>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</si>
  <si>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</si>
  <si>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</si>
  <si>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</si>
  <si>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</si>
  <si>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</si>
  <si>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</si>
  <si>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</si>
  <si>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</si>
  <si>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</si>
  <si>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</si>
  <si>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</si>
  <si>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</si>
  <si>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</si>
  <si>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</si>
  <si>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</si>
  <si>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</si>
  <si>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</si>
  <si>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</si>
  <si>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</si>
  <si>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</si>
  <si>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</si>
  <si>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</si>
  <si>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</si>
  <si>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</si>
  <si>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</si>
  <si>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</si>
  <si>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</si>
  <si>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</si>
  <si>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</si>
  <si>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</si>
  <si>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</si>
  <si>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</si>
  <si>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</si>
  <si>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</si>
  <si>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</si>
  <si>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</si>
  <si>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</si>
  <si>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</si>
  <si>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</si>
  <si>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</si>
  <si>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</si>
  <si>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</si>
  <si>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</si>
  <si>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</si>
  <si>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</si>
  <si>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</si>
  <si>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</si>
  <si>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</si>
  <si>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</si>
  <si>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</si>
  <si>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</si>
  <si>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</si>
  <si>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</si>
  <si>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</si>
  <si>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</si>
  <si>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</si>
  <si>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</si>
  <si>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</si>
  <si>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</si>
  <si>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</si>
  <si>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</si>
  <si>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</si>
  <si>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</si>
  <si>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</si>
  <si>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</si>
  <si>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</si>
  <si>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</si>
  <si>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</si>
  <si>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</si>
  <si>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</si>
  <si>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</si>
  <si>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</si>
  <si>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</si>
  <si>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</si>
  <si>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</si>
  <si>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</si>
  <si>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</si>
  <si>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</si>
  <si>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</si>
  <si>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</si>
  <si>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</si>
  <si>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</si>
  <si>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</si>
  <si>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</si>
  <si>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</si>
  <si>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</si>
  <si>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</si>
  <si>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</si>
  <si>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</si>
  <si>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</si>
  <si>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</si>
  <si>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</si>
  <si>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</si>
  <si>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</si>
  <si>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</si>
  <si>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</si>
  <si>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</si>
  <si>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</si>
  <si>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</si>
  <si>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</si>
  <si>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</si>
  <si>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</si>
  <si>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</si>
  <si>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</si>
  <si>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</si>
  <si>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</si>
  <si>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</si>
  <si>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</si>
  <si>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</si>
  <si>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</si>
  <si>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</si>
  <si>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</si>
  <si>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</si>
  <si>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</si>
  <si>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</si>
  <si>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</si>
  <si>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</si>
  <si>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</si>
  <si>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</si>
  <si>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</si>
  <si>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</si>
  <si>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</si>
  <si>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</si>
  <si>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</si>
  <si>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</si>
  <si>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</si>
  <si>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</si>
  <si>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</si>
  <si>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</si>
  <si>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</si>
  <si>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</si>
  <si>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</si>
  <si>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</si>
  <si>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</si>
  <si>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</si>
  <si>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</si>
  <si>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</si>
  <si>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</si>
  <si>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</si>
  <si>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</si>
  <si>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</si>
  <si>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</si>
  <si>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</si>
  <si>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</si>
  <si>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</si>
  <si>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</si>
  <si>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</si>
  <si>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</si>
  <si>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</si>
  <si>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</si>
  <si>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</si>
  <si>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</si>
  <si>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</si>
  <si>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</si>
  <si>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</si>
  <si>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</si>
  <si>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</si>
  <si>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</si>
  <si>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</si>
  <si>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</si>
  <si>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</si>
  <si>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</si>
  <si>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</si>
  <si>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</si>
  <si>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</si>
  <si>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</si>
  <si>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</si>
  <si>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</si>
  <si>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</si>
  <si>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</si>
  <si>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</si>
  <si>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</si>
  <si>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</si>
  <si>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</si>
  <si>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</si>
  <si>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</si>
  <si>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</si>
  <si>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</si>
  <si>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</si>
  <si>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</si>
  <si>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</si>
  <si>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</si>
  <si>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</si>
  <si>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</si>
  <si>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</si>
  <si>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</si>
  <si>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</si>
  <si>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</si>
  <si>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</si>
  <si>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</si>
  <si>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</si>
  <si>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</si>
  <si>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</si>
  <si>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</si>
  <si>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</si>
  <si>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</si>
  <si>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</si>
  <si>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</si>
  <si>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</si>
  <si>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</si>
  <si>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</si>
  <si>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</si>
  <si>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</si>
  <si>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</si>
  <si>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</si>
  <si>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</si>
  <si>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</si>
  <si>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</si>
  <si>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</si>
  <si>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</si>
  <si>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</si>
  <si>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</si>
  <si>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</si>
  <si>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</si>
  <si>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</si>
  <si>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</si>
  <si>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</si>
  <si>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</si>
  <si>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</si>
  <si>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</si>
  <si>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</si>
  <si>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</si>
  <si>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</si>
  <si>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</si>
  <si>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</si>
  <si>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</si>
  <si>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</si>
  <si>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</si>
  <si>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</si>
  <si>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</si>
  <si>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</si>
  <si>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</si>
  <si>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</si>
  <si>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</si>
  <si>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</si>
  <si>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</si>
  <si>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</si>
  <si>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</si>
  <si>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</si>
  <si>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</si>
  <si>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</si>
  <si>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</si>
  <si>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</si>
  <si>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</si>
  <si>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</si>
  <si>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</si>
  <si>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</si>
  <si>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</si>
  <si>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</si>
  <si>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</si>
  <si>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</si>
  <si>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</si>
  <si>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</si>
  <si>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</si>
  <si>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</si>
  <si>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</si>
  <si>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</si>
  <si>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</si>
  <si>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</si>
  <si>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</si>
  <si>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</si>
  <si>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</si>
  <si>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</si>
  <si>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</si>
  <si>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</si>
  <si>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</si>
  <si>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</si>
  <si>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</si>
  <si>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</si>
  <si>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</si>
  <si>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</si>
  <si>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</si>
  <si>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</si>
  <si>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</si>
  <si>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</si>
  <si>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</si>
  <si>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</si>
  <si>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</si>
  <si>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</si>
  <si>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</si>
  <si>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</si>
  <si>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</si>
  <si>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</si>
  <si>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</si>
  <si>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</si>
  <si>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</si>
  <si>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</si>
  <si>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</si>
  <si>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</si>
  <si>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</si>
  <si>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</si>
  <si>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</si>
  <si>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</si>
  <si>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</si>
  <si>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</si>
  <si>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</si>
  <si>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</si>
  <si>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</si>
  <si>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</si>
  <si>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</si>
  <si>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</si>
  <si>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</si>
  <si>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</si>
  <si>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</si>
  <si>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</si>
  <si>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</si>
  <si>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</si>
  <si>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</si>
  <si>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</si>
  <si>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</si>
  <si>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</si>
  <si>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</si>
  <si>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</si>
  <si>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</si>
  <si>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</si>
  <si>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</si>
  <si>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</si>
  <si>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</si>
  <si>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</si>
  <si>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</si>
  <si>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</si>
  <si>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</si>
  <si>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</si>
  <si>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</si>
  <si>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</si>
  <si>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</si>
  <si>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</si>
  <si>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</si>
  <si>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</si>
  <si>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</si>
  <si>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</si>
  <si>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</si>
  <si>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</si>
  <si>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</si>
  <si>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</si>
  <si>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</si>
  <si>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</si>
  <si>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</si>
  <si>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</si>
  <si>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</si>
  <si>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</si>
  <si>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</si>
  <si>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</si>
  <si>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</si>
  <si>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</si>
  <si>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</si>
  <si>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</si>
  <si>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</si>
  <si>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</si>
  <si>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</si>
  <si>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</si>
  <si>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</si>
  <si>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</si>
  <si>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</si>
  <si>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</si>
  <si>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</si>
  <si>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</si>
  <si>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</si>
  <si>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</si>
  <si>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</si>
  <si>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</si>
  <si>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</si>
  <si>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</si>
  <si>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</si>
  <si>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</si>
  <si>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</si>
  <si>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</si>
  <si>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</si>
  <si>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</si>
  <si>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</si>
  <si>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</si>
  <si>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</si>
  <si>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</si>
  <si>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</si>
  <si>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</si>
  <si>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</si>
  <si>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</si>
  <si>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</si>
  <si>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</si>
  <si>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</si>
  <si>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</si>
  <si>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</si>
  <si>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</si>
  <si>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</si>
  <si>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</si>
  <si>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</si>
  <si>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</si>
  <si>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</si>
  <si>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</si>
  <si>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</si>
  <si>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</si>
  <si>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</si>
  <si>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</si>
  <si>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</si>
  <si>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</si>
  <si>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</si>
  <si>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</si>
  <si>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</si>
  <si>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</si>
  <si>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</si>
  <si>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</si>
  <si>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</si>
  <si>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</si>
  <si>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</si>
  <si>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</si>
  <si>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</si>
  <si>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</si>
  <si>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</si>
  <si>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</si>
  <si>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</si>
  <si>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</si>
  <si>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</si>
  <si>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</si>
  <si>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</si>
  <si>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</si>
  <si>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</si>
  <si>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</si>
  <si>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</si>
  <si>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</si>
  <si>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</si>
  <si>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</si>
  <si>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</si>
  <si>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</si>
  <si>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</si>
  <si>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</si>
  <si>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</si>
  <si>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</si>
  <si>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</si>
  <si>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</si>
  <si>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</si>
  <si>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</si>
  <si>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</si>
  <si>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</si>
  <si>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</si>
  <si>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</si>
  <si>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</si>
  <si>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</si>
  <si>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</si>
  <si>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</si>
  <si>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</si>
  <si>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</si>
  <si>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</si>
  <si>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</si>
  <si>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</si>
  <si>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</si>
  <si>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</si>
  <si>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</si>
  <si>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</si>
  <si>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</si>
  <si>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</si>
  <si>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</si>
  <si>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</si>
  <si>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</si>
  <si>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</si>
  <si>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</si>
  <si>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</si>
  <si>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</si>
  <si>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</si>
  <si>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</si>
  <si>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</si>
  <si>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</si>
  <si>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</si>
  <si>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</si>
  <si>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</si>
  <si>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</si>
  <si>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</si>
  <si>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</si>
  <si>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</si>
  <si>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</si>
  <si>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</si>
  <si>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</si>
  <si>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</si>
  <si>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</si>
  <si>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</si>
  <si>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</si>
  <si>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</si>
  <si>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</si>
  <si>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</si>
  <si>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</si>
  <si>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</si>
  <si>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</si>
  <si>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</si>
  <si>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</si>
  <si>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</si>
  <si>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</si>
  <si>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</si>
  <si>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</si>
  <si>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</si>
  <si>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</si>
  <si>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</si>
  <si>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</si>
  <si>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</si>
  <si>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</si>
  <si>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</si>
  <si>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</si>
  <si>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</si>
  <si>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</si>
  <si>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</si>
  <si>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</si>
  <si>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</si>
  <si>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</si>
  <si>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</si>
  <si>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</si>
  <si>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</si>
  <si>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</si>
  <si>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</si>
  <si>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</si>
  <si>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</si>
  <si>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</si>
  <si>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</si>
  <si>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</si>
  <si>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</si>
  <si>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</si>
  <si>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</si>
  <si>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</si>
  <si>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</si>
  <si>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</si>
  <si>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</si>
  <si>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</si>
  <si>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</si>
  <si>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</si>
  <si>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</si>
  <si>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</si>
  <si>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</si>
  <si>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</si>
  <si>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</si>
  <si>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</si>
  <si>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</si>
  <si>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</si>
  <si>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</si>
  <si>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</si>
  <si>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</si>
  <si>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</si>
  <si>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</si>
  <si>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</si>
  <si>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</si>
  <si>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</si>
  <si>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</si>
  <si>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</si>
  <si>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</si>
  <si>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</si>
  <si>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</si>
  <si>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</si>
  <si>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</si>
  <si>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</si>
  <si>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</si>
  <si>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</si>
  <si>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</si>
  <si>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</si>
  <si>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</si>
  <si>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</si>
  <si>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</si>
  <si>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</si>
  <si>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</si>
  <si>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</si>
  <si>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</si>
  <si>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</si>
  <si>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</si>
  <si>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</si>
  <si>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</si>
  <si>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</si>
  <si>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</si>
  <si>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</si>
  <si>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</si>
  <si>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</si>
  <si>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</si>
  <si>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</si>
  <si>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</si>
  <si>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</si>
  <si>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</si>
  <si>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</si>
  <si>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</si>
  <si>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</si>
  <si>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</si>
  <si>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</si>
  <si>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</si>
  <si>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</si>
  <si>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</si>
  <si>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</si>
  <si>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</si>
  <si>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</si>
  <si>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</si>
  <si>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</si>
  <si>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</si>
  <si>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</si>
  <si>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</si>
  <si>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</si>
  <si>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</si>
  <si>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</si>
  <si>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</si>
  <si>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</si>
  <si>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</si>
  <si>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</si>
  <si>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</si>
  <si>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</si>
  <si>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</si>
  <si>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</si>
  <si>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</si>
  <si>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</si>
  <si>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</si>
  <si>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</si>
  <si>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</si>
  <si>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</si>
  <si>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</si>
  <si>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</si>
  <si>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</si>
  <si>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</si>
  <si>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</si>
  <si>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</si>
  <si>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</si>
  <si>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</si>
  <si>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</si>
  <si>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</si>
  <si>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</si>
  <si>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</si>
  <si>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</si>
  <si>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</si>
  <si>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</si>
  <si>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</si>
  <si>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</si>
  <si>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</si>
  <si>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</si>
  <si>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</si>
  <si>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</si>
  <si>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</si>
  <si>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</si>
  <si>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</si>
  <si>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</si>
  <si>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</si>
  <si>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</si>
  <si>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</si>
  <si>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</si>
  <si>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</si>
  <si>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</si>
  <si>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</si>
  <si>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</si>
  <si>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</si>
  <si>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</si>
  <si>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</si>
  <si>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</si>
  <si>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</si>
  <si>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</si>
  <si>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</si>
  <si>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</si>
  <si>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</si>
  <si>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</si>
  <si>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</si>
  <si>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</si>
  <si>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</si>
  <si>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</si>
  <si>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</si>
  <si>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</si>
  <si>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</si>
  <si>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</si>
  <si>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</si>
  <si>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</si>
  <si>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</si>
  <si>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</si>
  <si>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</si>
  <si>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</si>
  <si>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</si>
  <si>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</si>
  <si>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</si>
  <si>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</si>
  <si>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</si>
  <si>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</si>
  <si>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</si>
  <si>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</si>
  <si>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</si>
  <si>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</si>
  <si>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</si>
  <si>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</si>
  <si>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</si>
  <si>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</si>
  <si>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</si>
  <si>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</si>
  <si>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</si>
  <si>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</si>
  <si>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</si>
  <si>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</si>
  <si>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</si>
  <si>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</si>
  <si>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</si>
  <si>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</si>
  <si>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</si>
  <si>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</si>
  <si>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</si>
  <si>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</si>
  <si>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</si>
  <si>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</si>
  <si>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</si>
  <si>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</si>
  <si>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</si>
  <si>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</si>
  <si>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</si>
  <si>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</si>
  <si>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</si>
  <si>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</si>
  <si>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</si>
  <si>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</si>
  <si>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</si>
  <si>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</si>
  <si>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</si>
  <si>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</si>
  <si>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</si>
  <si>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</si>
  <si>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</si>
  <si>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</si>
  <si>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</si>
  <si>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</si>
  <si>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</si>
  <si>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</si>
  <si>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</si>
  <si>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</si>
  <si>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</si>
  <si>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</si>
  <si>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</si>
  <si>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</si>
  <si>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</si>
  <si>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</si>
  <si>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</si>
  <si>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</si>
  <si>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</si>
  <si>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</si>
  <si>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</si>
  <si>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</si>
  <si>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</si>
  <si>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</si>
  <si>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</si>
  <si>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</si>
  <si>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</si>
  <si>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</si>
  <si>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</si>
  <si>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</si>
  <si>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</si>
  <si>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</si>
  <si>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</si>
  <si>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</si>
  <si>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</si>
  <si>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</si>
  <si>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</si>
  <si>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</si>
  <si>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</si>
  <si>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</si>
  <si>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</si>
  <si>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</si>
  <si>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</si>
  <si>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</si>
  <si>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</si>
  <si>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</si>
  <si>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</si>
  <si>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</si>
  <si>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</si>
  <si>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</si>
  <si>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</si>
  <si>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</si>
  <si>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</si>
  <si>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</si>
  <si>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</si>
  <si>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</si>
  <si>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</si>
  <si>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</si>
  <si>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</si>
  <si>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</si>
  <si>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</si>
  <si>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</si>
  <si>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</si>
  <si>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</si>
  <si>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</si>
  <si>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</si>
  <si>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</si>
  <si>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</si>
  <si>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</si>
  <si>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</si>
  <si>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</si>
  <si>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</si>
  <si>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</si>
  <si>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</si>
  <si>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</si>
  <si>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</si>
  <si>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</si>
  <si>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</si>
  <si>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</si>
  <si>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</si>
  <si>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</si>
  <si>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</si>
  <si>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</si>
  <si>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</si>
  <si>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</si>
  <si>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</si>
  <si>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</si>
  <si>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</si>
  <si>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</si>
  <si>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</si>
  <si>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</si>
  <si>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</si>
  <si>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</si>
  <si>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</si>
  <si>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</si>
  <si>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</si>
  <si>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</si>
  <si>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</si>
  <si>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</si>
  <si>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</si>
  <si>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</si>
  <si>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</si>
  <si>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</si>
  <si>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</si>
  <si>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</si>
  <si>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</si>
  <si>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</si>
  <si>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</si>
  <si>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</si>
  <si>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</si>
  <si>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</si>
  <si>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</si>
  <si>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</si>
  <si>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</si>
  <si>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</si>
  <si>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</si>
  <si>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</si>
  <si>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</si>
  <si>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</si>
  <si>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</si>
  <si>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</si>
  <si>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</si>
  <si>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</si>
  <si>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</si>
  <si>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</si>
  <si>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</si>
  <si>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</si>
  <si>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</si>
  <si>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</si>
  <si>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</si>
  <si>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</si>
  <si>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</si>
  <si>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</si>
  <si>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</si>
  <si>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</si>
  <si>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</si>
  <si>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</si>
  <si>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</si>
  <si>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</si>
  <si>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</si>
  <si>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</si>
  <si>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</si>
  <si>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</si>
  <si>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</si>
  <si>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</si>
  <si>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</si>
  <si>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</si>
  <si>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</si>
  <si>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</si>
  <si>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</si>
  <si>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</si>
  <si>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</si>
  <si>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</si>
  <si>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</si>
  <si>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</si>
  <si>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</si>
  <si>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</si>
  <si>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</si>
  <si>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</si>
  <si>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</si>
  <si>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</si>
  <si>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</si>
  <si>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</si>
  <si>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</si>
  <si>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</si>
  <si>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</si>
  <si>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</si>
  <si>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</si>
  <si>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</si>
  <si>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</si>
  <si>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</si>
  <si>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</si>
  <si>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</si>
  <si>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</si>
  <si>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</si>
  <si>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</si>
  <si>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</si>
  <si>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</si>
  <si>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</si>
  <si>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</si>
  <si>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</si>
  <si>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</si>
  <si>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</si>
  <si>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</si>
  <si>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</si>
  <si>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</si>
  <si>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</si>
  <si>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</si>
  <si>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</si>
  <si>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</si>
  <si>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</si>
  <si>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</si>
  <si>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</si>
  <si>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</si>
  <si>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</si>
  <si>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</si>
  <si>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</si>
  <si>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</si>
  <si>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</si>
  <si>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</si>
  <si>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</si>
  <si>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</si>
  <si>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</si>
  <si>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</si>
  <si>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</si>
  <si>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</si>
  <si>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</si>
  <si>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</si>
  <si>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</si>
  <si>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</si>
  <si>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</si>
  <si>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</si>
  <si>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</si>
  <si>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</si>
  <si>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</si>
  <si>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</si>
  <si>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</si>
  <si>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</si>
  <si>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</si>
  <si>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</si>
  <si>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</si>
  <si>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</si>
  <si>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</si>
  <si>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</si>
  <si>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</si>
  <si>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</si>
  <si>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</si>
  <si>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</si>
  <si>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</si>
  <si>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</si>
  <si>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</si>
  <si>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</si>
  <si>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</si>
  <si>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</si>
  <si>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</si>
  <si>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</si>
  <si>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</si>
  <si>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</si>
  <si>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</si>
  <si>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</si>
  <si>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</si>
  <si>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</si>
  <si>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</si>
  <si>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</si>
  <si>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</si>
  <si>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</si>
  <si>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</si>
  <si>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</si>
  <si>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</si>
  <si>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</si>
  <si>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</si>
  <si>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</si>
  <si>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</si>
  <si>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</si>
  <si>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</si>
  <si>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</si>
  <si>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</si>
  <si>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</si>
  <si>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</si>
  <si>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</si>
  <si>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</si>
  <si>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</si>
  <si>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</si>
  <si>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</si>
  <si>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</si>
  <si>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</si>
  <si>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</si>
  <si>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</si>
  <si>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</si>
  <si>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</si>
  <si>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</si>
  <si>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</si>
  <si>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</si>
  <si>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</si>
  <si>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</si>
  <si>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</si>
  <si>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</si>
  <si>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</si>
  <si>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</si>
  <si>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</si>
  <si>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</si>
  <si>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</si>
  <si>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</si>
  <si>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</si>
  <si>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</si>
  <si>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</si>
  <si>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</si>
  <si>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</si>
  <si>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</si>
  <si>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</si>
  <si>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</si>
  <si>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</si>
  <si>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</si>
  <si>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</si>
  <si>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</si>
  <si>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</si>
  <si>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</si>
  <si>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</si>
  <si>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</si>
  <si>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</si>
  <si>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</si>
  <si>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</si>
  <si>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</si>
  <si>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</si>
  <si>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</si>
  <si>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</si>
  <si>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</si>
  <si>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</si>
  <si>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</si>
  <si>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</si>
  <si>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</si>
  <si>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</si>
  <si>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</si>
  <si>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</si>
  <si>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</si>
  <si>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</si>
  <si>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</si>
  <si>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</si>
  <si>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</si>
  <si>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</si>
  <si>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</si>
  <si>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</si>
  <si>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</si>
  <si>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</si>
  <si>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</si>
  <si>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</si>
  <si>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</si>
  <si>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</si>
  <si>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</si>
  <si>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</si>
  <si>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</si>
  <si>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</si>
  <si>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</si>
  <si>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</si>
  <si>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</si>
  <si>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</si>
  <si>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</si>
  <si>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</si>
  <si>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</si>
  <si>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</si>
  <si>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</si>
  <si>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</si>
  <si>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</si>
  <si>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</si>
  <si>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</si>
  <si>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</si>
  <si>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</si>
  <si>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</si>
  <si>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</si>
  <si>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</si>
  <si>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</si>
  <si>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</si>
  <si>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</si>
  <si>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</si>
  <si>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</si>
  <si>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</si>
  <si>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</si>
  <si>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</si>
  <si>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</si>
  <si>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</si>
  <si>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</si>
  <si>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</si>
  <si>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</si>
  <si>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</si>
  <si>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</si>
  <si>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</si>
  <si>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</si>
  <si>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</si>
  <si>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</si>
  <si>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</si>
  <si>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</si>
  <si>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</si>
  <si>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</si>
  <si>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</si>
  <si>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</si>
  <si>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</si>
  <si>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</si>
  <si>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</si>
  <si>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</si>
  <si>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</si>
  <si>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</si>
  <si>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</si>
  <si>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</si>
  <si>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</si>
  <si>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</si>
  <si>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</si>
  <si>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</si>
  <si>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</si>
  <si>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</si>
  <si>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</si>
  <si>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</si>
  <si>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</si>
  <si>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</si>
  <si>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</si>
  <si>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</si>
  <si>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</si>
  <si>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</si>
  <si>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</si>
  <si>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</si>
  <si>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</si>
  <si>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</si>
  <si>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</si>
  <si>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</si>
  <si>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</si>
  <si>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</si>
  <si>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</si>
  <si>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</si>
  <si>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</si>
  <si>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</si>
  <si>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</si>
  <si>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</si>
  <si>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</si>
  <si>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</si>
  <si>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</si>
  <si>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</si>
  <si>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</si>
  <si>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</si>
  <si>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</si>
  <si>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</si>
  <si>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</si>
  <si>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</si>
  <si>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</si>
  <si>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</si>
  <si>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</si>
  <si>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</si>
  <si>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</si>
  <si>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</si>
  <si>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</si>
  <si>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</si>
  <si>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</si>
  <si>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</si>
  <si>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</si>
  <si>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</si>
  <si>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</si>
  <si>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</si>
  <si>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</si>
  <si>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</si>
  <si>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</si>
  <si>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</si>
  <si>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</si>
  <si>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</si>
  <si>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</si>
  <si>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</si>
  <si>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</si>
  <si>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</si>
  <si>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</si>
  <si>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</si>
  <si>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</si>
  <si>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</si>
  <si>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</si>
  <si>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</si>
  <si>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</si>
  <si>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</si>
  <si>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</si>
  <si>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</si>
  <si>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</si>
  <si>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</si>
  <si>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</si>
  <si>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</si>
  <si>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</si>
  <si>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</si>
  <si>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</si>
  <si>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</si>
  <si>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</si>
  <si>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</si>
  <si>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</si>
  <si>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</si>
  <si>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</si>
  <si>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</si>
  <si>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</si>
  <si>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</si>
  <si>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</si>
  <si>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</si>
  <si>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</si>
  <si>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</si>
  <si>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</si>
  <si>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</si>
  <si>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</si>
  <si>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</si>
  <si>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</si>
  <si>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</si>
  <si>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</si>
  <si>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</si>
  <si>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</si>
  <si>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</si>
  <si>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</si>
  <si>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</si>
  <si>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</si>
  <si>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</si>
  <si>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</si>
  <si>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</si>
  <si>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</si>
  <si>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</si>
  <si>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</si>
  <si>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</si>
  <si>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</si>
  <si>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</si>
  <si>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</si>
  <si>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</si>
  <si>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</si>
  <si>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</si>
  <si>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</si>
  <si>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</si>
  <si>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</si>
  <si>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</si>
  <si>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</si>
  <si>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</si>
  <si>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</si>
  <si>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</si>
  <si>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</si>
  <si>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</si>
  <si>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</si>
  <si>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</si>
  <si>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</si>
  <si>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</si>
  <si>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</si>
  <si>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</si>
  <si>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</si>
  <si>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</si>
  <si>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</si>
  <si>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</si>
  <si>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</si>
  <si>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</si>
  <si>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</si>
  <si>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</si>
  <si>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</si>
  <si>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</si>
  <si>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</si>
  <si>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</si>
  <si>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</si>
  <si>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</si>
  <si>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</si>
  <si>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</si>
  <si>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</si>
  <si>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</si>
  <si>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</si>
  <si>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</si>
  <si>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</si>
  <si>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</si>
  <si>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</si>
  <si>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</si>
  <si>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</si>
  <si>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</si>
  <si>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</si>
  <si>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</si>
  <si>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</si>
  <si>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</si>
  <si>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</si>
  <si>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</si>
  <si>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</si>
  <si>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</si>
  <si>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</si>
  <si>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</si>
  <si>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</si>
  <si>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</si>
  <si>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</si>
  <si>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</si>
  <si>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</si>
  <si>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</si>
  <si>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</si>
  <si>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</si>
  <si>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</si>
  <si>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</si>
  <si>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</si>
  <si>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</si>
  <si>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</si>
  <si>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</si>
  <si>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</si>
  <si>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</si>
  <si>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</si>
  <si>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</si>
  <si>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</si>
  <si>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</si>
  <si>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</si>
  <si>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</si>
  <si>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</si>
  <si>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</si>
  <si>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</si>
  <si>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</si>
  <si>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</si>
  <si>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</si>
  <si>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</si>
  <si>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</si>
  <si>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</si>
  <si>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</si>
  <si>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</si>
  <si>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</si>
  <si>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</si>
  <si>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</si>
  <si>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</si>
  <si>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</si>
  <si>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</si>
  <si>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</si>
  <si>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</si>
  <si>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</si>
  <si>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</si>
  <si>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</si>
  <si>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</si>
  <si>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</si>
  <si>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</si>
  <si>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</si>
  <si>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</si>
  <si>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</si>
  <si>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</si>
  <si>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</si>
  <si>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</si>
  <si>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</si>
  <si>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</si>
  <si>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</si>
  <si>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</si>
  <si>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</si>
  <si>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</si>
  <si>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</si>
  <si>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</si>
  <si>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</si>
  <si>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</si>
  <si>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</si>
  <si>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</si>
  <si>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</si>
  <si>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</si>
  <si>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</si>
  <si>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</si>
  <si>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</si>
  <si>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</si>
  <si>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</si>
  <si>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</si>
  <si>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</si>
  <si>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</si>
  <si>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</si>
  <si>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</si>
  <si>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</si>
  <si>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</si>
  <si>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</si>
  <si>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</si>
  <si>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</si>
  <si>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</si>
  <si>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</si>
  <si>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</si>
  <si>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</si>
  <si>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</si>
  <si>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</si>
  <si>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</si>
  <si>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</si>
  <si>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</si>
  <si>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</si>
  <si>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</si>
  <si>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</si>
  <si>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</si>
  <si>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</si>
  <si>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</si>
  <si>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</si>
  <si>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</si>
  <si>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</si>
  <si>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</si>
  <si>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</si>
  <si>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</si>
  <si>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</si>
  <si>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</si>
  <si>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</si>
  <si>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</si>
  <si>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</si>
  <si>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</si>
  <si>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</si>
  <si>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</si>
  <si>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</si>
  <si>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</si>
  <si>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</si>
  <si>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</si>
  <si>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</si>
  <si>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</si>
  <si>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</si>
  <si>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</si>
  <si>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</si>
  <si>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</si>
  <si>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</si>
  <si>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</si>
  <si>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</si>
  <si>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</si>
  <si>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</si>
  <si>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</si>
  <si>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</si>
  <si>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</si>
  <si>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</si>
  <si>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</si>
  <si>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</si>
  <si>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</si>
  <si>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</si>
  <si>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</si>
  <si>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</si>
  <si>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</si>
  <si>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</si>
  <si>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</si>
  <si>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</si>
  <si>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</si>
  <si>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</si>
  <si>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</si>
  <si>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</si>
  <si>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</si>
  <si>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</si>
  <si>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</si>
  <si>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</si>
  <si>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</si>
  <si>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</si>
  <si>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</si>
  <si>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</si>
  <si>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</si>
  <si>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</si>
  <si>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</si>
  <si>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</si>
  <si>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</si>
  <si>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</si>
  <si>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</si>
  <si>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</si>
  <si>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</si>
  <si>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</si>
  <si>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</si>
  <si>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</si>
  <si>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</si>
  <si>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</si>
  <si>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</si>
  <si>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</si>
  <si>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</si>
  <si>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</si>
  <si>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</si>
  <si>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</si>
  <si>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</si>
  <si>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</si>
  <si>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</si>
  <si>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</si>
  <si>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</si>
  <si>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</si>
  <si>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</si>
  <si>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</si>
  <si>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</si>
  <si>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</si>
  <si>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</si>
  <si>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</si>
  <si>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</si>
  <si>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</si>
  <si>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</si>
  <si>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</si>
  <si>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</si>
  <si>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</si>
  <si>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</si>
  <si>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</si>
  <si>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</si>
  <si>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</si>
  <si>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</si>
  <si>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</si>
  <si>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</si>
  <si>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</si>
  <si>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</si>
  <si>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</si>
  <si>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</si>
  <si>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</si>
  <si>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</si>
  <si>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</si>
  <si>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</si>
  <si>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</si>
  <si>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</si>
  <si>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</si>
  <si>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</si>
  <si>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</si>
  <si>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</si>
  <si>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</si>
  <si>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</si>
  <si>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</si>
  <si>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</si>
  <si>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</si>
  <si>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</si>
  <si>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</si>
  <si>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</si>
  <si>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</si>
  <si>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</si>
  <si>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</si>
  <si>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</si>
  <si>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</si>
  <si>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</si>
  <si>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</si>
  <si>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</si>
  <si>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</si>
  <si>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</si>
  <si>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</si>
  <si>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</si>
  <si>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</si>
  <si>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</si>
  <si>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</si>
  <si>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</si>
  <si>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</si>
  <si>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</si>
  <si>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</si>
  <si>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</si>
  <si>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</si>
  <si>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</si>
  <si>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</si>
  <si>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</si>
  <si>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</si>
  <si>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</si>
  <si>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</si>
  <si>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</si>
  <si>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</si>
  <si>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</si>
  <si>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</si>
  <si>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</si>
  <si>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</si>
  <si>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</si>
  <si>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</si>
  <si>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</si>
  <si>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</si>
  <si>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</si>
  <si>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</si>
  <si>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</si>
  <si>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</si>
  <si>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</si>
  <si>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</si>
  <si>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</si>
  <si>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</si>
  <si>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</si>
  <si>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</si>
  <si>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</si>
  <si>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</si>
  <si>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</si>
  <si>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</si>
  <si>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</si>
  <si>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</si>
  <si>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</si>
  <si>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</si>
  <si>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</si>
  <si>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</si>
  <si>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</si>
  <si>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</si>
  <si>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</si>
  <si>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</si>
  <si>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</si>
  <si>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</si>
  <si>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</si>
  <si>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</si>
  <si>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</si>
  <si>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</si>
  <si>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</si>
  <si>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</si>
  <si>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</si>
  <si>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</si>
  <si>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</si>
  <si>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</si>
  <si>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</si>
  <si>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</si>
  <si>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</si>
  <si>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</si>
  <si>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</si>
  <si>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</si>
  <si>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</si>
  <si>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</si>
  <si>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</si>
  <si>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</si>
  <si>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</si>
  <si>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</si>
  <si>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</si>
  <si>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</si>
  <si>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</si>
  <si>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</si>
  <si>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</si>
  <si>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</si>
  <si>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</si>
  <si>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</si>
  <si>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</si>
  <si>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</si>
  <si>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</si>
  <si>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</si>
  <si>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</si>
  <si>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</si>
  <si>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</si>
  <si>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</si>
  <si>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</si>
  <si>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</si>
  <si>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</si>
  <si>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</si>
  <si>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</si>
  <si>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</si>
  <si>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</si>
  <si>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</si>
  <si>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</si>
  <si>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</si>
  <si>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</si>
  <si>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</si>
  <si>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</si>
  <si>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</si>
  <si>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</si>
  <si>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</si>
  <si>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</si>
  <si>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</si>
  <si>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</si>
  <si>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</si>
  <si>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</si>
  <si>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</si>
  <si>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</si>
  <si>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</si>
  <si>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</si>
  <si>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</si>
  <si>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</si>
  <si>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</si>
  <si>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</si>
  <si>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</si>
  <si>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</si>
  <si>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</si>
  <si>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</si>
  <si>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</si>
  <si>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</si>
  <si>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</si>
  <si>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</si>
  <si>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</si>
  <si>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</si>
  <si>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</si>
  <si>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</si>
  <si>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</si>
  <si>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</si>
  <si>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</si>
  <si>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</si>
  <si>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</si>
  <si>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</si>
  <si>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</si>
  <si>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</si>
  <si>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</si>
  <si>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</si>
  <si>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</si>
  <si>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</si>
  <si>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</si>
  <si>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</si>
  <si>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</si>
  <si>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</si>
  <si>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</si>
  <si>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</si>
  <si>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</si>
  <si>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</si>
  <si>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</si>
  <si>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</si>
  <si>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</si>
  <si>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</si>
  <si>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</si>
  <si>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</si>
  <si>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</si>
  <si>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</si>
  <si>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</si>
  <si>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</si>
  <si>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</si>
  <si>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</si>
  <si>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</si>
  <si>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</si>
  <si>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</si>
  <si>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</si>
  <si>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</si>
  <si>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</si>
  <si>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</si>
  <si>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</si>
  <si>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</si>
  <si>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</si>
  <si>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</si>
  <si>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</si>
  <si>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</si>
  <si>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</si>
  <si>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</si>
  <si>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</si>
  <si>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</si>
  <si>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</si>
  <si>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</si>
  <si>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</si>
  <si>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</si>
  <si>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</si>
  <si>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</si>
  <si>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</si>
  <si>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</si>
  <si>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</si>
  <si>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</si>
  <si>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</si>
  <si>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</si>
  <si>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</si>
  <si>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</si>
  <si>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</si>
  <si>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</si>
  <si>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</si>
  <si>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</si>
  <si>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</si>
  <si>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</si>
  <si>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</si>
  <si>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</si>
  <si>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</si>
  <si>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</si>
  <si>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</si>
  <si>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</si>
  <si>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</si>
  <si>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</si>
  <si>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</si>
  <si>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</si>
  <si>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</si>
  <si>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</si>
  <si>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</si>
  <si>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</si>
  <si>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</si>
  <si>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</si>
  <si>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</si>
  <si>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</si>
  <si>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</si>
  <si>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</si>
  <si>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</si>
  <si>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</si>
  <si>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</si>
  <si>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</si>
  <si>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</si>
  <si>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</si>
  <si>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</si>
  <si>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</si>
  <si>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</si>
  <si>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</si>
  <si>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</si>
  <si>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</si>
  <si>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</si>
  <si>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</si>
  <si>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</si>
  <si>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</si>
  <si>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</si>
  <si>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</si>
  <si>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</si>
  <si>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</si>
  <si>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</si>
  <si>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</si>
  <si>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</si>
  <si>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</si>
  <si>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</si>
  <si>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</si>
  <si>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</si>
  <si>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</si>
  <si>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</si>
  <si>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</si>
  <si>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</si>
  <si>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</si>
  <si>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</si>
  <si>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</si>
  <si>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</si>
  <si>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</si>
  <si>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</si>
  <si>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</si>
  <si>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</si>
  <si>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</si>
  <si>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</si>
  <si>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</si>
  <si>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</si>
  <si>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</si>
  <si>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</si>
  <si>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</si>
  <si>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</si>
  <si>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</si>
  <si>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</si>
  <si>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</si>
  <si>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</si>
  <si>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</si>
  <si>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</si>
  <si>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</si>
  <si>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</si>
  <si>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</si>
  <si>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</si>
  <si>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</si>
  <si>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</si>
  <si>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</si>
  <si>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</si>
  <si>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</si>
  <si>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</si>
  <si>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</si>
  <si>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</si>
  <si>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</si>
  <si>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</si>
  <si>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</si>
  <si>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</si>
  <si>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</si>
  <si>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</si>
  <si>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</si>
  <si>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</si>
  <si>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</si>
  <si>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</si>
  <si>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</si>
  <si>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</si>
  <si>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</si>
  <si>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</si>
  <si>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</si>
  <si>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</si>
  <si>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</si>
  <si>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</si>
  <si>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</si>
  <si>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</si>
  <si>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</si>
  <si>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</si>
  <si>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</si>
  <si>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</si>
  <si>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</si>
  <si>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</si>
  <si>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</si>
  <si>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</si>
  <si>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</si>
  <si>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</si>
  <si>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</si>
  <si>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</si>
  <si>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</si>
  <si>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</si>
  <si>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</si>
  <si>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</si>
  <si>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</si>
  <si>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</si>
  <si>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</si>
  <si>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</si>
  <si>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</si>
  <si>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</si>
  <si>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</si>
  <si>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</si>
  <si>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</si>
  <si>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</si>
  <si>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</si>
  <si>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</si>
  <si>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</si>
  <si>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</si>
  <si>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</si>
  <si>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</si>
  <si>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</si>
  <si>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</si>
  <si>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</si>
  <si>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</si>
  <si>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</si>
  <si>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</si>
  <si>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</si>
  <si>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</si>
  <si>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</si>
  <si>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</si>
  <si>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</si>
  <si>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</si>
  <si>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</si>
  <si>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</si>
  <si>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</si>
  <si>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</si>
  <si>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</si>
  <si>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</si>
  <si>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</si>
  <si>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</si>
  <si>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</si>
  <si>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</si>
  <si>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</si>
  <si>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</si>
  <si>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</si>
  <si>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</si>
  <si>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</si>
  <si>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</si>
  <si>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</si>
  <si>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</si>
  <si>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</si>
  <si>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</si>
  <si>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</si>
  <si>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</si>
  <si>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</si>
  <si>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</si>
  <si>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</si>
  <si>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</si>
  <si>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</si>
  <si>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</si>
  <si>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</si>
  <si>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</si>
  <si>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</si>
  <si>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</si>
  <si>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</si>
  <si>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</si>
  <si>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</si>
  <si>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</si>
  <si>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</si>
  <si>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</si>
  <si>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</si>
  <si>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</si>
  <si>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</si>
  <si>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</si>
  <si>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</si>
  <si>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</si>
  <si>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</si>
  <si>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</si>
  <si>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</si>
  <si>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</si>
  <si>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A4-18-94-05-51-D3</t>
  </si>
  <si>
    <t>A4-18-94-05-51-D4</t>
  </si>
  <si>
    <t>A4-18-94-05-51-D5</t>
  </si>
  <si>
    <t>A4-18-94-05-51-D6</t>
  </si>
  <si>
    <t>A4-18-94-05-51-D7</t>
  </si>
  <si>
    <t>A4-18-94-05-51-D8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</si>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</sst>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8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0.14487632508833923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0.14487632508833923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0.14487632508833923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0.14487632508833923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08"/>
  <sheetViews>
    <sheetView tabSelected="1" zoomScale="90" zoomScaleNormal="90" zoomScaleSheetLayoutView="100" workbookViewId="0">
      <pane xSplit="18" ySplit="7" topLeftCell="S8" activePane="bottomRight" state="frozen"/>
      <selection activeCell="G1" sqref="G1"/>
      <selection pane="topRight" activeCell="S1" sqref="S1"/>
      <selection pane="bottomLeft" activeCell="G8" sqref="G8"/>
      <selection pane="bottomRight" activeCell="I607" sqref="I607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43" style="30" customWidth="1"/>
    <col min="8" max="8" width="16.28515625" style="30" customWidth="1"/>
    <col min="9" max="9" width="32.85546875" customWidth="1"/>
    <col min="10" max="10" width="21.85546875" style="61" customWidth="1"/>
    <col min="11" max="11" width="17.5703125" style="65" customWidth="1"/>
    <col min="12" max="12" width="21.85546875" style="65" customWidth="1"/>
    <col min="13" max="13" width="15" style="65" customWidth="1"/>
    <col min="14" max="14" width="21.85546875" style="65" customWidth="1"/>
    <col min="15" max="17" width="21.85546875" customWidth="1"/>
    <col min="18" max="18" width="21.85546875" style="4" customWidth="1"/>
    <col min="19" max="19" width="21.85546875" style="14" customWidth="1"/>
    <col min="20" max="22" width="14.42578125" style="14" customWidth="1"/>
    <col min="23" max="23" width="14" style="14" customWidth="1"/>
    <col min="24" max="24" width="15.42578125" style="14" customWidth="1"/>
    <col min="25" max="25" width="13" style="14" customWidth="1"/>
    <col min="26" max="27" width="14.42578125" style="14" customWidth="1"/>
    <col min="28" max="28" width="14.140625" style="14" customWidth="1"/>
    <col min="29" max="29" width="10.140625" style="14" customWidth="1"/>
    <col min="30" max="30" width="9.5703125" style="14" customWidth="1"/>
    <col min="31" max="31" width="13.140625" style="14" customWidth="1"/>
    <col min="32" max="32" width="10.5703125" style="14" customWidth="1"/>
    <col min="33" max="33" width="9.85546875" style="14" customWidth="1"/>
    <col min="34" max="35" width="14.140625" style="14" customWidth="1"/>
    <col min="36" max="36" width="9.28515625" style="14" customWidth="1"/>
    <col min="37" max="37" width="14.28515625" style="14" customWidth="1"/>
    <col min="38" max="38" width="9.28515625" style="14" customWidth="1"/>
    <col min="39" max="39" width="13" style="14" customWidth="1"/>
    <col min="40" max="40" width="10" style="14" customWidth="1"/>
    <col min="41" max="41" width="11.140625" style="14" customWidth="1"/>
    <col min="42" max="43" width="14.140625" style="14" customWidth="1"/>
    <col min="44" max="45" width="8.7109375" style="14" customWidth="1"/>
    <col min="46" max="46" width="14.1406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2348</v>
      </c>
      <c r="F1" s="1" t="s">
        <v>0</v>
      </c>
      <c r="G1" s="23">
        <f>COUNTA(G8:G752)</f>
        <v>591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2355</v>
      </c>
      <c r="Q1" s="20"/>
      <c r="R1" s="2"/>
      <c r="S1" s="3">
        <f>(S3)/(S2+S3)</f>
        <v>0</v>
      </c>
      <c r="T1" s="3">
        <f t="shared" ref="T1:AE1" si="0">(T3)/(T2+T3)</f>
        <v>0</v>
      </c>
      <c r="U1" s="3">
        <f t="shared" si="0"/>
        <v>0</v>
      </c>
      <c r="V1" s="3">
        <f t="shared" si="0"/>
        <v>0.16288951841359772</v>
      </c>
      <c r="W1" s="3">
        <f t="shared" si="0"/>
        <v>0.15811965811965811</v>
      </c>
      <c r="X1" s="3">
        <f t="shared" si="0"/>
        <v>0.15691868758915833</v>
      </c>
      <c r="Y1" s="3">
        <f t="shared" si="0"/>
        <v>0.16407355021216408</v>
      </c>
      <c r="Z1" s="3">
        <f t="shared" si="0"/>
        <v>0.14223512336719885</v>
      </c>
      <c r="AA1" s="3">
        <f t="shared" si="0"/>
        <v>0</v>
      </c>
      <c r="AB1" s="3">
        <f t="shared" si="0"/>
        <v>0</v>
      </c>
      <c r="AC1" s="3">
        <f t="shared" si="0"/>
        <v>0.14964028776978416</v>
      </c>
      <c r="AD1" s="3">
        <f t="shared" si="0"/>
        <v>0.15329512893982808</v>
      </c>
      <c r="AE1" s="3">
        <f t="shared" si="0"/>
        <v>0.16407355021216408</v>
      </c>
      <c r="AF1" s="3"/>
      <c r="AG1" s="3">
        <f t="shared" ref="AG1:AT1" si="1">(AG3)/(AG2+AG3)</f>
        <v>0.1699438202247191</v>
      </c>
      <c r="AH1" s="3">
        <f t="shared" si="1"/>
        <v>0</v>
      </c>
      <c r="AI1" s="3">
        <f t="shared" si="1"/>
        <v>0</v>
      </c>
      <c r="AJ1" s="3">
        <f t="shared" si="1"/>
        <v>0.15691868758915833</v>
      </c>
      <c r="AK1" s="3">
        <f t="shared" si="1"/>
        <v>0.15450643776824036</v>
      </c>
      <c r="AL1" s="3">
        <f t="shared" si="1"/>
        <v>0.14471780028943559</v>
      </c>
      <c r="AM1" s="3">
        <f t="shared" si="1"/>
        <v>0.12314540059347182</v>
      </c>
      <c r="AN1" s="3">
        <f t="shared" si="1"/>
        <v>0.11922503725782414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0.12703101920236337</v>
      </c>
      <c r="AS1" s="3">
        <f t="shared" si="1"/>
        <v>0.12444444444444444</v>
      </c>
      <c r="AT1" s="3">
        <f t="shared" si="1"/>
        <v>9.3558282208588958E-2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591</v>
      </c>
      <c r="T2" s="7">
        <f t="shared" si="2"/>
        <v>591</v>
      </c>
      <c r="U2" s="7">
        <f t="shared" si="2"/>
        <v>591</v>
      </c>
      <c r="V2" s="7">
        <f t="shared" si="2"/>
        <v>591</v>
      </c>
      <c r="W2" s="7">
        <f t="shared" si="2"/>
        <v>591</v>
      </c>
      <c r="X2" s="7">
        <f t="shared" si="2"/>
        <v>591</v>
      </c>
      <c r="Y2" s="7">
        <f t="shared" si="2"/>
        <v>591</v>
      </c>
      <c r="Z2" s="7">
        <f t="shared" si="2"/>
        <v>591</v>
      </c>
      <c r="AA2" s="7">
        <f t="shared" si="2"/>
        <v>591</v>
      </c>
      <c r="AB2" s="7">
        <f t="shared" si="2"/>
        <v>591</v>
      </c>
      <c r="AC2" s="7">
        <f t="shared" si="2"/>
        <v>591</v>
      </c>
      <c r="AD2" s="7">
        <f t="shared" si="2"/>
        <v>591</v>
      </c>
      <c r="AE2" s="7">
        <f t="shared" si="2"/>
        <v>591</v>
      </c>
      <c r="AF2" s="7">
        <f t="shared" si="2"/>
        <v>591</v>
      </c>
      <c r="AG2" s="7">
        <f t="shared" si="2"/>
        <v>591</v>
      </c>
      <c r="AH2" s="7">
        <f t="shared" si="2"/>
        <v>591</v>
      </c>
      <c r="AI2" s="7">
        <f t="shared" si="2"/>
        <v>591</v>
      </c>
      <c r="AJ2" s="7">
        <f t="shared" si="2"/>
        <v>591</v>
      </c>
      <c r="AK2" s="7">
        <f t="shared" si="2"/>
        <v>591</v>
      </c>
      <c r="AL2" s="7">
        <f t="shared" si="2"/>
        <v>591</v>
      </c>
      <c r="AM2" s="7">
        <f t="shared" si="2"/>
        <v>591</v>
      </c>
      <c r="AN2" s="7">
        <f t="shared" si="2"/>
        <v>591</v>
      </c>
      <c r="AO2" s="7">
        <f t="shared" si="2"/>
        <v>591</v>
      </c>
      <c r="AP2" s="7">
        <f t="shared" si="2"/>
        <v>591</v>
      </c>
      <c r="AQ2" s="7">
        <f t="shared" si="2"/>
        <v>591</v>
      </c>
      <c r="AR2" s="7">
        <f t="shared" si="2"/>
        <v>591</v>
      </c>
      <c r="AS2" s="7">
        <f t="shared" si="2"/>
        <v>591</v>
      </c>
      <c r="AT2" s="7">
        <f t="shared" si="2"/>
        <v>591</v>
      </c>
      <c r="AU2" s="7">
        <f t="shared" si="2"/>
        <v>591</v>
      </c>
      <c r="AV2" s="7">
        <f t="shared" si="2"/>
        <v>591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COUNTIF(S7:S752, "apagado")</f>
        <v>0</v>
      </c>
      <c r="T3" s="123">
        <f t="shared" si="3"/>
        <v>0</v>
      </c>
      <c r="U3" s="123">
        <f t="shared" si="3"/>
        <v>0</v>
      </c>
      <c r="V3" s="123">
        <f t="shared" si="3"/>
        <v>115</v>
      </c>
      <c r="W3" s="123">
        <f t="shared" si="3"/>
        <v>111</v>
      </c>
      <c r="X3" s="123">
        <f t="shared" si="3"/>
        <v>110</v>
      </c>
      <c r="Y3" s="123">
        <f t="shared" si="3"/>
        <v>116</v>
      </c>
      <c r="Z3" s="123">
        <f t="shared" si="3"/>
        <v>98</v>
      </c>
      <c r="AA3" s="123">
        <f t="shared" si="3"/>
        <v>0</v>
      </c>
      <c r="AB3" s="123">
        <f t="shared" si="3"/>
        <v>0</v>
      </c>
      <c r="AC3" s="123">
        <f t="shared" si="3"/>
        <v>104</v>
      </c>
      <c r="AD3" s="123">
        <f t="shared" si="3"/>
        <v>107</v>
      </c>
      <c r="AE3" s="123">
        <f t="shared" si="3"/>
        <v>116</v>
      </c>
      <c r="AF3" s="123">
        <f t="shared" si="3"/>
        <v>119</v>
      </c>
      <c r="AG3" s="123">
        <f t="shared" si="3"/>
        <v>121</v>
      </c>
      <c r="AH3" s="123">
        <f t="shared" si="3"/>
        <v>0</v>
      </c>
      <c r="AI3" s="123">
        <f t="shared" si="3"/>
        <v>0</v>
      </c>
      <c r="AJ3" s="123">
        <f t="shared" si="3"/>
        <v>110</v>
      </c>
      <c r="AK3" s="123">
        <f t="shared" si="3"/>
        <v>108</v>
      </c>
      <c r="AL3" s="123">
        <f t="shared" si="3"/>
        <v>100</v>
      </c>
      <c r="AM3" s="123">
        <f t="shared" si="3"/>
        <v>83</v>
      </c>
      <c r="AN3" s="123">
        <f t="shared" si="3"/>
        <v>80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86</v>
      </c>
      <c r="AS3" s="123">
        <f t="shared" si="3"/>
        <v>84</v>
      </c>
      <c r="AT3" s="123">
        <f t="shared" si="3"/>
        <v>61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1435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COUNTIFS(S8:S706, "=APAGADO",K8:K706,"=Fibra Optica")</f>
        <v>0</v>
      </c>
      <c r="T4" s="10">
        <f>COUNTIFS(T8:T706, "=APAGADO",K8:K706,"=Fibra Optica")</f>
        <v>0</v>
      </c>
      <c r="U4" s="10">
        <f>COUNTIFS(U8:U706, "=APAGADO",K8:K706,"=Fibra Optica")</f>
        <v>0</v>
      </c>
      <c r="V4" s="10">
        <f>COUNTIFS(V8:V706, "=APAGADO",K8:K706,"=Fibra Optica")</f>
        <v>40</v>
      </c>
      <c r="W4" s="10">
        <f>COUNTIFS(W8:W706, "=APAGADO",K8:K706,"=Fibra Optica")</f>
        <v>39</v>
      </c>
      <c r="X4" s="10">
        <f>COUNTIFS(X8:X706, "=APAGADO",K8:K706,"=Fibra Optica")</f>
        <v>40</v>
      </c>
      <c r="Y4" s="10">
        <f>COUNTIFS(Y8:Y706, "=APAGADO",K8:K706,"=Fibra Optica")</f>
        <v>47</v>
      </c>
      <c r="Z4" s="10">
        <f>COUNTIFS(Z8:Z706, "=APAGADO",K8:K706,"=Fibra Optica")</f>
        <v>39</v>
      </c>
      <c r="AA4" s="10">
        <f>COUNTIFS(AA8:AA706, "=APAGADO",K8:K706,"=Fibra Optica")</f>
        <v>0</v>
      </c>
      <c r="AB4" s="10">
        <f>COUNTIFS(AB8:AB706, "=APAGADO",K8:K706,"=Fibra Optica")</f>
        <v>0</v>
      </c>
      <c r="AC4" s="10">
        <f>COUNTIFS(AC8:AC706, "=APAGADO",K8:K706,"=Fibra Optica")</f>
        <v>43</v>
      </c>
      <c r="AD4" s="10">
        <f>COUNTIFS(AD8:AD706, "=APAGADO",K8:K706,"=Fibra Optica")</f>
        <v>38</v>
      </c>
      <c r="AE4" s="10">
        <f>COUNTIFS(AE8:AE706, "=APAGADO",K8:K706,"=Fibra Optica")</f>
        <v>44</v>
      </c>
      <c r="AF4" s="10">
        <f>COUNTIFS(AF8:AF706, "=APAGADO",K8:K706,"=Fibra Optica")</f>
        <v>42</v>
      </c>
      <c r="AG4" s="10">
        <f>COUNTIFS(AG8:AG706, "=APAGADO",K8:K706,"=Fibra Optica")</f>
        <v>46</v>
      </c>
      <c r="AH4" s="10">
        <f>COUNTIFS(AH8:AH706, "=APAGADO",K8:K706,"=Fibra Optica")</f>
        <v>0</v>
      </c>
      <c r="AI4" s="10">
        <f>COUNTIFS(AI8:AI706, "=APAGADO",K8:K706,"=Fibra Optica")</f>
        <v>0</v>
      </c>
      <c r="AJ4" s="10">
        <f>COUNTIFS(AJ8:AJ706, "=APAGADO",K8:K706,"=Fibra Optica")</f>
        <v>38</v>
      </c>
      <c r="AK4" s="10">
        <f>COUNTIFS(AK8:AK706, "=APAGADO",K8:K706,"=Fibra Optica")</f>
        <v>34</v>
      </c>
      <c r="AL4" s="10">
        <f>COUNTIFS(AL8:AL706, "=APAGADO",K8:K706,"=Fibra Optica")</f>
        <v>29</v>
      </c>
      <c r="AM4" s="10">
        <f>COUNTIFS(AM8:AM706, "=APAGADO",K8:K706,"=Fibra Optica")</f>
        <v>25</v>
      </c>
      <c r="AN4" s="10">
        <f>COUNTIFS(AN8:AN706, "=APAGADO",K8:K706,"=Fibra Optica")</f>
        <v>28</v>
      </c>
      <c r="AO4" s="10">
        <f>COUNTIFS(AO8:AO706, "=APAGADO",K8:K706,"=Fibra Optica")</f>
        <v>0</v>
      </c>
      <c r="AP4" s="10">
        <f>COUNTIFS(AP8:AP706, "=APAGADO",K8:K706,"=Fibra Optica")</f>
        <v>0</v>
      </c>
      <c r="AQ4" s="10">
        <f>COUNTIFS(AQ8:AQ706, "=APAGADO",K8:K706,"=Fibra Optica")</f>
        <v>0</v>
      </c>
      <c r="AR4" s="10">
        <f>COUNTIFS(AR8:AR706, "=APAGADO",K8:K706,"=Fibra Optica")</f>
        <v>33</v>
      </c>
      <c r="AS4" s="10">
        <f>COUNTIFS(AS8:AS706, "=APAGADO",K8:K706,"=Fibra Optica")</f>
        <v>32</v>
      </c>
      <c r="AT4" s="10">
        <f>COUNTIFS(AT8:AT706, "=APAGADO",K8:K706,"=Fibra Optica")</f>
        <v>18</v>
      </c>
      <c r="AU4" s="10">
        <f>COUNTIFS(AU8:AU706, "=APAGADO",L8:L706,"=Fibra Optica")</f>
        <v>0</v>
      </c>
      <c r="AV4" s="10">
        <f>COUNTIFS(AV8:AV706, "=APAGADO",M8:M706,"=Fibra Optica")</f>
        <v>0</v>
      </c>
    </row>
    <row r="5" spans="1:49" s="8" customFormat="1" x14ac:dyDescent="0.25">
      <c r="F5" s="113"/>
      <c r="G5" s="58"/>
      <c r="H5" s="58"/>
      <c r="I5" s="124" t="s">
        <v>1436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COUNTIFS(S8:S706, "=APAGADO",K8:K706,"=RADIO")</f>
        <v>0</v>
      </c>
      <c r="T5" s="127">
        <f>COUNTIFS(T8:T706, "=APAGADO",K8:K706,"=RADIO")</f>
        <v>0</v>
      </c>
      <c r="U5" s="127">
        <f>COUNTIFS(U8:U706, "=APAGADO",K8:K706,"=RADIO")</f>
        <v>0</v>
      </c>
      <c r="V5" s="127">
        <f>COUNTIFS(V8:V706, "=APAGADO",K8:K706,"=RADIO")</f>
        <v>5</v>
      </c>
      <c r="W5" s="127">
        <f>COUNTIFS(W8:W706, "=APAGADO",K8:K706,"=RADIO")</f>
        <v>5</v>
      </c>
      <c r="X5" s="127">
        <f>COUNTIFS(X8:X706, "=APAGADO",K8:K706,"=RADIO")</f>
        <v>6</v>
      </c>
      <c r="Y5" s="127">
        <f>COUNTIFS(Y8:Y706, "=APAGADO",K8:K706,"=RADIO")</f>
        <v>6</v>
      </c>
      <c r="Z5" s="127">
        <f>COUNTIFS(Z8:Z706, "=APAGADO",K8:K706,"=RADIO")</f>
        <v>5</v>
      </c>
      <c r="AA5" s="127">
        <f>COUNTIFS(AA8:AA706, "=APAGADO",K8:K706,"=RADIO")</f>
        <v>0</v>
      </c>
      <c r="AB5" s="127">
        <f>COUNTIFS(AB8:AB706, "=APAGADO",K8:K706,"=RADIO")</f>
        <v>0</v>
      </c>
      <c r="AC5" s="127">
        <f>COUNTIFS(AC8:AC706, "=APAGADO",K8:K706,"=RADIO")</f>
        <v>6</v>
      </c>
      <c r="AD5" s="127">
        <f>COUNTIFS(AD8:AD706, "=APAGADO",K8:K706,"=RADIO")</f>
        <v>5</v>
      </c>
      <c r="AE5" s="127">
        <f>COUNTIFS(AE8:AE706, "=APAGADO",K8:K706,"=RADIO")</f>
        <v>6</v>
      </c>
      <c r="AF5" s="127">
        <f>COUNTIFS(AF8:AF706, "=APAGADO",K8:K706,"=RADIO")</f>
        <v>5</v>
      </c>
      <c r="AG5" s="127">
        <f>COUNTIFS(AG8:AG706, "=APAGADO",K8:K706,"=RADIO")</f>
        <v>5</v>
      </c>
      <c r="AH5" s="127">
        <f>COUNTIFS(AH8:AH706, "=APAGADO",K8:K706,"=RADIO")</f>
        <v>0</v>
      </c>
      <c r="AI5" s="127">
        <f>COUNTIFS(AI8:AI706, "=APAGADO",K8:K706,"=RADIO")</f>
        <v>0</v>
      </c>
      <c r="AJ5" s="127">
        <f>COUNTIFS(AJ8:AJ706, "=APAGADO",K8:K706,"=RADIO")</f>
        <v>6</v>
      </c>
      <c r="AK5" s="127">
        <f>COUNTIFS(AK8:AK706, "=APAGADO",K8:K706,"=RADIO")</f>
        <v>6</v>
      </c>
      <c r="AL5" s="127">
        <f>COUNTIFS(AL8:AL706, "=APAGADO",K8:K706,"=RADIO")</f>
        <v>6</v>
      </c>
      <c r="AM5" s="127">
        <f>COUNTIFS(AM8:AM706, "=APAGADO",K8:K706,"=RADIO")</f>
        <v>5</v>
      </c>
      <c r="AN5" s="127">
        <f>COUNTIFS(AN8:AN706, "=APAGADO",K8:K706,"=RADIO")</f>
        <v>5</v>
      </c>
      <c r="AO5" s="127">
        <f>COUNTIFS(AO8:AO706, "=APAGADO",K8:K706,"=RADIO")</f>
        <v>0</v>
      </c>
      <c r="AP5" s="127">
        <f>COUNTIFS(AP8:AP706, "=APAGADO",K8:K706,"=RADIO")</f>
        <v>0</v>
      </c>
      <c r="AQ5" s="127">
        <f>COUNTIFS(AQ8:AQ706, "=APAGADO",K8:K706,"=RADIO")</f>
        <v>0</v>
      </c>
      <c r="AR5" s="127">
        <f>COUNTIFS(AR8:AR706, "=APAGADO",K8:K706,"=RADIO")</f>
        <v>5</v>
      </c>
      <c r="AS5" s="127">
        <f>COUNTIFS(AS8:AS706, "=APAGADO",K8:K706,"=RADIO")</f>
        <v>5</v>
      </c>
      <c r="AT5" s="127">
        <f>COUNTIFS(AT8:AT706, "=APAGADO",K8:K706,"=RADIO")</f>
        <v>4</v>
      </c>
      <c r="AU5" s="127">
        <f>COUNTIFS(AU8:AU706, "=APAGADO",L8:L706,"=RADIO")</f>
        <v>0</v>
      </c>
      <c r="AV5" s="127">
        <f>COUNTIFS(AV8:AV706, "=APAGADO",M8:M706,"=RADIO")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1437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COUNTIFS(S8:S706, "=APAGADO",K8:K706,"=PTO A FO")</f>
        <v>0</v>
      </c>
      <c r="T6" s="10">
        <f>COUNTIFS(T8:T706, "=APAGADO",K8:K706,"=PTO A FO")</f>
        <v>0</v>
      </c>
      <c r="U6" s="10">
        <f>COUNTIFS(U8:U706, "=APAGADO",K8:K706,"=PTO A FO")</f>
        <v>0</v>
      </c>
      <c r="V6" s="10">
        <f>COUNTIFS(V8:V706, "=APAGADO",K8:K706,"=PTO A FO")</f>
        <v>12</v>
      </c>
      <c r="W6" s="10">
        <f>COUNTIFS(W8:W706, "=APAGADO",K8:K706,"=PTO A FO")</f>
        <v>12</v>
      </c>
      <c r="X6" s="10">
        <f>COUNTIFS(X8:X706, "=APAGADO",K8:K706,"=PTO A FO")</f>
        <v>11</v>
      </c>
      <c r="Y6" s="10">
        <f>COUNTIFS(Y8:Y706, "=APAGADO",K8:K706,"=PTO A FO")</f>
        <v>14</v>
      </c>
      <c r="Z6" s="10">
        <f>COUNTIFS(Z8:Z706, "=APAGADO",K8:K706,"=PTO A FO")</f>
        <v>10</v>
      </c>
      <c r="AA6" s="10">
        <f>COUNTIFS(AA8:AA706, "=APAGADO",K8:K706,"=PTO A FO")</f>
        <v>0</v>
      </c>
      <c r="AB6" s="10">
        <f>COUNTIFS(AB8:AB706, "=APAGADO",K8:K706,"=PTO A FO")</f>
        <v>0</v>
      </c>
      <c r="AC6" s="10">
        <f>COUNTIFS(AC8:AC706, "=APAGADO",K8:K706,"=PTO A FO")</f>
        <v>8</v>
      </c>
      <c r="AD6" s="10">
        <f>COUNTIFS(AD8:AD706, "=APAGADO",K8:K706,"=PTO A FO")</f>
        <v>9</v>
      </c>
      <c r="AE6" s="10">
        <f>COUNTIFS(AE8:AE706, "=APAGADO",K8:K706,"=PTO A FO")</f>
        <v>9</v>
      </c>
      <c r="AF6" s="10">
        <f>COUNTIFS(AF8:AF706, "=APAGADO",K8:K706,"=PTO A FO")</f>
        <v>11</v>
      </c>
      <c r="AG6" s="10">
        <f>COUNTIFS(AG8:AG706, "=APAGADO",K8:K706,"=PTO A FO")</f>
        <v>11</v>
      </c>
      <c r="AH6" s="10">
        <f>COUNTIFS(AH8:AH706, "=APAGADO",K8:K706,"=PTO A FO")</f>
        <v>0</v>
      </c>
      <c r="AI6" s="10">
        <f>COUNTIFS(AI8:AI706, "=APAGADO",K8:K706,"=PTO A FO")</f>
        <v>0</v>
      </c>
      <c r="AJ6" s="10">
        <f>COUNTIFS(AJ8:AJ706, "=APAGADO",K8:K706,"=PTO A FO")</f>
        <v>10</v>
      </c>
      <c r="AK6" s="10">
        <f>COUNTIFS(AK8:AK706, "=APAGADO",K8:K706,"=PTO A FO")</f>
        <v>13</v>
      </c>
      <c r="AL6" s="10">
        <f>COUNTIFS(AL8:AL706, "=APAGADO",K8:K706,"=PTO A FO")</f>
        <v>12</v>
      </c>
      <c r="AM6" s="10">
        <f>COUNTIFS(AM8:AM706, "=APAGADO",K8:K706,"=PTO A FO")</f>
        <v>7</v>
      </c>
      <c r="AN6" s="10">
        <f>COUNTIFS(AN8:AN706, "=APAGADO",K8:K706,"=PTO A FO")</f>
        <v>9</v>
      </c>
      <c r="AO6" s="10">
        <f>COUNTIFS(AO8:AO706, "=APAGADO",K8:K706,"=PTO A FO")</f>
        <v>0</v>
      </c>
      <c r="AP6" s="10">
        <f>COUNTIFS(AP8:AP706, "=APAGADO",K8:K706,"=PTO A FO")</f>
        <v>0</v>
      </c>
      <c r="AQ6" s="10">
        <f>COUNTIFS(AQ8:AQ706, "=APAGADO",K8:K706,"=PTO A FO")</f>
        <v>0</v>
      </c>
      <c r="AR6" s="10">
        <f>COUNTIFS(AR8:AR706, "=APAGADO",K8:K706,"=PTO A FO")</f>
        <v>13</v>
      </c>
      <c r="AS6" s="10">
        <f>COUNTIFS(AS8:AS706, "=APAGADO",K8:K706,"=PTO A FO")</f>
        <v>13</v>
      </c>
      <c r="AT6" s="10">
        <f>COUNTIFS(AT8:AT706, "=APAGADO",K8:K706,"=PTO A FO")</f>
        <v>7</v>
      </c>
      <c r="AU6" s="10">
        <f>COUNTIFS(AU8:AU706, "=APAGADO",L8:L706,"=PTO A FO")</f>
        <v>0</v>
      </c>
      <c r="AV6" s="10">
        <f>COUNTIFS(AV8:AV706, "=APAGADO",M8:M706,"=PTO A FO")</f>
        <v>0</v>
      </c>
    </row>
    <row r="7" spans="1:49" s="117" customFormat="1" ht="19.5" customHeight="1" thickTop="1" thickBot="1" x14ac:dyDescent="0.35">
      <c r="A7" s="144" t="s">
        <v>2323</v>
      </c>
      <c r="B7" s="144" t="s">
        <v>2324</v>
      </c>
      <c r="C7" s="144" t="s">
        <v>2325</v>
      </c>
      <c r="D7" s="144" t="s">
        <v>2326</v>
      </c>
      <c r="E7" s="144" t="s">
        <v>2328</v>
      </c>
      <c r="F7" s="35" t="s">
        <v>7</v>
      </c>
      <c r="G7" s="114" t="s">
        <v>2268</v>
      </c>
      <c r="H7" s="35" t="s">
        <v>1040</v>
      </c>
      <c r="I7" s="35" t="s">
        <v>8</v>
      </c>
      <c r="J7" s="114" t="s">
        <v>9</v>
      </c>
      <c r="K7" s="114" t="s">
        <v>10</v>
      </c>
      <c r="L7" s="114" t="s">
        <v>1225</v>
      </c>
      <c r="M7" s="114" t="s">
        <v>2322</v>
      </c>
      <c r="N7" s="114" t="s">
        <v>2264</v>
      </c>
      <c r="O7" s="19" t="s">
        <v>2</v>
      </c>
      <c r="P7" s="19" t="s">
        <v>1629</v>
      </c>
      <c r="Q7" s="19" t="s">
        <v>3</v>
      </c>
      <c r="R7" s="115" t="s">
        <v>4</v>
      </c>
      <c r="S7" s="116">
        <v>46143</v>
      </c>
      <c r="T7" s="116">
        <v>46144</v>
      </c>
      <c r="U7" s="116">
        <v>46145</v>
      </c>
      <c r="V7" s="116">
        <v>46146</v>
      </c>
      <c r="W7" s="116">
        <v>46147</v>
      </c>
      <c r="X7" s="116">
        <v>46148</v>
      </c>
      <c r="Y7" s="116">
        <v>46149</v>
      </c>
      <c r="Z7" s="116">
        <v>46150</v>
      </c>
      <c r="AA7" s="116">
        <v>46151</v>
      </c>
      <c r="AB7" s="116">
        <v>46152</v>
      </c>
      <c r="AC7" s="116">
        <v>46153</v>
      </c>
      <c r="AD7" s="116">
        <v>46154</v>
      </c>
      <c r="AE7" s="116">
        <v>46155</v>
      </c>
      <c r="AF7" s="116">
        <v>46156</v>
      </c>
      <c r="AG7" s="116">
        <v>46157</v>
      </c>
      <c r="AH7" s="116">
        <v>46158</v>
      </c>
      <c r="AI7" s="116">
        <v>46159</v>
      </c>
      <c r="AJ7" s="116">
        <v>46160</v>
      </c>
      <c r="AK7" s="116">
        <v>46161</v>
      </c>
      <c r="AL7" s="116">
        <v>46162</v>
      </c>
      <c r="AM7" s="116">
        <v>46163</v>
      </c>
      <c r="AN7" s="116">
        <v>46164</v>
      </c>
      <c r="AO7" s="116">
        <v>46165</v>
      </c>
      <c r="AP7" s="116">
        <v>46166</v>
      </c>
      <c r="AQ7" s="116">
        <v>46167</v>
      </c>
      <c r="AR7" s="116">
        <v>46168</v>
      </c>
      <c r="AS7" s="116">
        <v>46169</v>
      </c>
      <c r="AT7" s="116">
        <v>46170</v>
      </c>
      <c r="AU7" s="116">
        <v>46171</v>
      </c>
      <c r="AV7" s="116">
        <v>46172</v>
      </c>
      <c r="AW7" s="116">
        <v>46173</v>
      </c>
    </row>
    <row r="8" spans="1:49" ht="12.75" customHeight="1" thickBot="1" x14ac:dyDescent="0.3">
      <c r="E8" s="151" t="s">
        <v>2438</v>
      </c>
      <c r="F8" s="73" t="s">
        <v>25</v>
      </c>
      <c r="G8" s="73" t="s">
        <v>895</v>
      </c>
      <c r="H8" s="73" t="s">
        <v>1041</v>
      </c>
      <c r="I8" s="73" t="s">
        <v>32</v>
      </c>
      <c r="J8" s="84" t="s">
        <v>18</v>
      </c>
      <c r="K8" s="84" t="s">
        <v>1278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1632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E9" s="151" t="s">
        <v>2438</v>
      </c>
      <c r="F9" s="73" t="s">
        <v>25</v>
      </c>
      <c r="G9" s="73" t="s">
        <v>896</v>
      </c>
      <c r="H9" s="73" t="s">
        <v>1041</v>
      </c>
      <c r="I9" s="73" t="s">
        <v>33</v>
      </c>
      <c r="J9" s="84" t="s">
        <v>18</v>
      </c>
      <c r="K9" s="84" t="s">
        <v>1278</v>
      </c>
      <c r="L9" s="84"/>
      <c r="M9" s="84" t="s">
        <v>600</v>
      </c>
      <c r="N9" s="84"/>
      <c r="O9" s="131">
        <f t="shared" si="4"/>
        <v>28</v>
      </c>
      <c r="P9" s="136" t="s">
        <v>1633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151" t="s">
        <v>2438</v>
      </c>
      <c r="F10" s="73" t="s">
        <v>25</v>
      </c>
      <c r="G10" s="73" t="s">
        <v>897</v>
      </c>
      <c r="H10" s="73" t="s">
        <v>1041</v>
      </c>
      <c r="I10" s="73" t="s">
        <v>26</v>
      </c>
      <c r="J10" s="84" t="s">
        <v>18</v>
      </c>
      <c r="K10" s="84" t="s">
        <v>1278</v>
      </c>
      <c r="L10" s="84" t="s">
        <v>1227</v>
      </c>
      <c r="M10" s="84" t="s">
        <v>602</v>
      </c>
      <c r="N10" s="84"/>
      <c r="O10" s="131">
        <f t="shared" si="4"/>
        <v>28</v>
      </c>
      <c r="P10" s="136" t="s">
        <v>1635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s="151" t="s">
        <v>2438</v>
      </c>
      <c r="F11" t="s">
        <v>25</v>
      </c>
      <c r="G11" t="s">
        <v>898</v>
      </c>
      <c r="H11" t="s">
        <v>1041</v>
      </c>
      <c r="I11" t="s">
        <v>38</v>
      </c>
      <c r="J11" s="30" t="s">
        <v>14</v>
      </c>
      <c r="K11" s="30" t="s">
        <v>2364</v>
      </c>
      <c r="L11" s="30"/>
      <c r="M11" s="30" t="s">
        <v>605</v>
      </c>
      <c r="N11" s="30"/>
      <c r="O11" s="31">
        <f t="shared" si="4"/>
        <v>26</v>
      </c>
      <c r="P11" s="136" t="s">
        <v>1637</v>
      </c>
      <c r="Q11" s="31">
        <f t="shared" si="5"/>
        <v>2</v>
      </c>
      <c r="R11" s="32">
        <f t="shared" si="6"/>
        <v>0.9285714285714286</v>
      </c>
      <c r="S11" s="70"/>
      <c r="T11" s="70"/>
      <c r="U11" s="70"/>
      <c r="V11" s="70" t="s">
        <v>2221</v>
      </c>
      <c r="W11" s="70" t="s">
        <v>2221</v>
      </c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151" t="s">
        <v>2438</v>
      </c>
      <c r="F12" t="s">
        <v>25</v>
      </c>
      <c r="G12" t="s">
        <v>899</v>
      </c>
      <c r="H12" t="s">
        <v>1041</v>
      </c>
      <c r="I12" t="s">
        <v>39</v>
      </c>
      <c r="J12" s="30" t="s">
        <v>14</v>
      </c>
      <c r="K12" s="30" t="s">
        <v>2364</v>
      </c>
      <c r="L12" s="30"/>
      <c r="M12" s="30" t="s">
        <v>606</v>
      </c>
      <c r="N12" s="30"/>
      <c r="O12" s="31">
        <f t="shared" si="4"/>
        <v>26</v>
      </c>
      <c r="P12" s="136" t="s">
        <v>1638</v>
      </c>
      <c r="Q12" s="31">
        <f t="shared" si="5"/>
        <v>2</v>
      </c>
      <c r="R12" s="32">
        <f t="shared" si="6"/>
        <v>0.9285714285714286</v>
      </c>
      <c r="S12" s="70"/>
      <c r="T12" s="70"/>
      <c r="U12" s="70"/>
      <c r="V12" s="70" t="s">
        <v>2221</v>
      </c>
      <c r="W12" s="70" t="s">
        <v>2221</v>
      </c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1" t="s">
        <v>2438</v>
      </c>
      <c r="F13" s="73" t="s">
        <v>25</v>
      </c>
      <c r="G13" s="73" t="s">
        <v>900</v>
      </c>
      <c r="H13" s="73" t="s">
        <v>1041</v>
      </c>
      <c r="I13" s="73" t="s">
        <v>901</v>
      </c>
      <c r="J13" s="84" t="s">
        <v>18</v>
      </c>
      <c r="K13" s="84" t="s">
        <v>1278</v>
      </c>
      <c r="L13" s="84"/>
      <c r="M13" s="84" t="s">
        <v>1190</v>
      </c>
      <c r="N13" s="84"/>
      <c r="O13" s="131">
        <f t="shared" si="4"/>
        <v>28</v>
      </c>
      <c r="P13" s="136" t="s">
        <v>1639</v>
      </c>
      <c r="Q13" s="131">
        <f t="shared" si="5"/>
        <v>0</v>
      </c>
      <c r="R13" s="132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E14" s="151" t="s">
        <v>2438</v>
      </c>
      <c r="F14" t="s">
        <v>25</v>
      </c>
      <c r="G14" t="s">
        <v>1498</v>
      </c>
      <c r="H14" t="s">
        <v>1041</v>
      </c>
      <c r="I14" s="68" t="s">
        <v>1499</v>
      </c>
      <c r="J14" s="30" t="s">
        <v>71</v>
      </c>
      <c r="K14" s="84" t="s">
        <v>1278</v>
      </c>
      <c r="L14" s="30"/>
      <c r="M14" s="30" t="s">
        <v>1500</v>
      </c>
      <c r="N14" s="30"/>
      <c r="O14" s="31">
        <f t="shared" si="4"/>
        <v>28</v>
      </c>
      <c r="P14" s="136" t="s">
        <v>2109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2327</v>
      </c>
      <c r="F15" t="s">
        <v>25</v>
      </c>
      <c r="G15" t="s">
        <v>28</v>
      </c>
      <c r="H15" t="s">
        <v>1041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1630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2327</v>
      </c>
      <c r="F16" t="s">
        <v>25</v>
      </c>
      <c r="G16" t="s">
        <v>30</v>
      </c>
      <c r="H16" t="s">
        <v>1041</v>
      </c>
      <c r="I16" t="s">
        <v>31</v>
      </c>
      <c r="J16" s="30" t="s">
        <v>18</v>
      </c>
      <c r="K16" s="30" t="s">
        <v>1035</v>
      </c>
      <c r="L16" s="30" t="s">
        <v>1228</v>
      </c>
      <c r="M16" s="30" t="s">
        <v>598</v>
      </c>
      <c r="N16" s="30"/>
      <c r="O16" s="31">
        <f t="shared" si="4"/>
        <v>28</v>
      </c>
      <c r="P16" s="136" t="s">
        <v>1631</v>
      </c>
      <c r="Q16" s="31">
        <f t="shared" si="5"/>
        <v>0</v>
      </c>
      <c r="R16" s="32">
        <f t="shared" si="6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151" t="s">
        <v>2438</v>
      </c>
      <c r="F17" s="73" t="s">
        <v>25</v>
      </c>
      <c r="G17" s="73" t="s">
        <v>34</v>
      </c>
      <c r="H17" s="73" t="s">
        <v>1041</v>
      </c>
      <c r="I17" s="73" t="s">
        <v>35</v>
      </c>
      <c r="J17" s="84" t="s">
        <v>18</v>
      </c>
      <c r="K17" s="84" t="s">
        <v>1278</v>
      </c>
      <c r="L17" s="84" t="s">
        <v>1227</v>
      </c>
      <c r="M17" s="84" t="s">
        <v>601</v>
      </c>
      <c r="N17" s="84"/>
      <c r="O17" s="131">
        <f t="shared" si="4"/>
        <v>28</v>
      </c>
      <c r="P17" s="136" t="s">
        <v>1634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2327</v>
      </c>
      <c r="F18" t="s">
        <v>25</v>
      </c>
      <c r="G18" t="s">
        <v>36</v>
      </c>
      <c r="H18" t="s">
        <v>1041</v>
      </c>
      <c r="I18" t="s">
        <v>37</v>
      </c>
      <c r="J18" s="30" t="s">
        <v>14</v>
      </c>
      <c r="K18" s="30" t="s">
        <v>1035</v>
      </c>
      <c r="L18" s="30" t="s">
        <v>1228</v>
      </c>
      <c r="M18" s="30" t="s">
        <v>604</v>
      </c>
      <c r="N18" s="30"/>
      <c r="O18" s="31">
        <f t="shared" si="4"/>
        <v>28</v>
      </c>
      <c r="P18" s="136" t="s">
        <v>1636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E19" s="151" t="s">
        <v>2437</v>
      </c>
      <c r="F19" t="s">
        <v>40</v>
      </c>
      <c r="G19" t="s">
        <v>902</v>
      </c>
      <c r="H19" t="s">
        <v>1041</v>
      </c>
      <c r="I19" t="s">
        <v>41</v>
      </c>
      <c r="J19" s="30" t="s">
        <v>18</v>
      </c>
      <c r="K19" s="30" t="s">
        <v>1278</v>
      </c>
      <c r="L19" s="30"/>
      <c r="M19" s="30" t="s">
        <v>607</v>
      </c>
      <c r="N19" s="30"/>
      <c r="O19" s="31">
        <f t="shared" si="4"/>
        <v>28</v>
      </c>
      <c r="P19" s="136" t="s">
        <v>1640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 s="151" t="s">
        <v>2437</v>
      </c>
      <c r="F20" s="73" t="s">
        <v>40</v>
      </c>
      <c r="G20" s="73" t="s">
        <v>1511</v>
      </c>
      <c r="H20" s="73" t="s">
        <v>1041</v>
      </c>
      <c r="I20" s="73" t="s">
        <v>1512</v>
      </c>
      <c r="J20" s="84" t="s">
        <v>71</v>
      </c>
      <c r="K20" s="84" t="s">
        <v>1278</v>
      </c>
      <c r="L20" s="84"/>
      <c r="M20" s="84" t="s">
        <v>1513</v>
      </c>
      <c r="N20" s="84"/>
      <c r="O20" s="31">
        <f t="shared" si="4"/>
        <v>28</v>
      </c>
      <c r="P20" s="136" t="s">
        <v>1641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 s="151" t="s">
        <v>2437</v>
      </c>
      <c r="F21" s="73" t="s">
        <v>40</v>
      </c>
      <c r="G21" s="73" t="s">
        <v>1539</v>
      </c>
      <c r="H21" s="73" t="s">
        <v>1041</v>
      </c>
      <c r="I21" s="73" t="s">
        <v>1540</v>
      </c>
      <c r="J21" s="84" t="s">
        <v>71</v>
      </c>
      <c r="K21" s="84" t="s">
        <v>1278</v>
      </c>
      <c r="L21" s="84"/>
      <c r="M21" s="84" t="s">
        <v>1541</v>
      </c>
      <c r="N21" s="84"/>
      <c r="O21" s="31">
        <f t="shared" si="4"/>
        <v>28</v>
      </c>
      <c r="P21" s="136" t="s">
        <v>1642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2363</v>
      </c>
      <c r="F22" t="s">
        <v>42</v>
      </c>
      <c r="G22" t="s">
        <v>903</v>
      </c>
      <c r="H22" t="s">
        <v>1041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2265</v>
      </c>
      <c r="O22" s="31">
        <f t="shared" si="4"/>
        <v>18</v>
      </c>
      <c r="P22" s="136" t="s">
        <v>2267</v>
      </c>
      <c r="Q22" s="31">
        <f t="shared" si="5"/>
        <v>10</v>
      </c>
      <c r="R22" s="32">
        <f t="shared" si="6"/>
        <v>0.6428571428571429</v>
      </c>
      <c r="S22" s="70"/>
      <c r="T22" s="70"/>
      <c r="U22" s="70"/>
      <c r="V22" s="70"/>
      <c r="W22" s="70"/>
      <c r="X22" s="70" t="s">
        <v>2221</v>
      </c>
      <c r="Y22" s="70" t="s">
        <v>2221</v>
      </c>
      <c r="Z22" s="70" t="s">
        <v>2221</v>
      </c>
      <c r="AA22" s="70"/>
      <c r="AB22" s="70"/>
      <c r="AC22" s="70" t="s">
        <v>2221</v>
      </c>
      <c r="AD22" s="70" t="s">
        <v>2221</v>
      </c>
      <c r="AE22" s="70" t="s">
        <v>2221</v>
      </c>
      <c r="AF22" s="70" t="s">
        <v>2221</v>
      </c>
      <c r="AG22" s="70" t="s">
        <v>2221</v>
      </c>
      <c r="AH22" s="70"/>
      <c r="AI22" s="70"/>
      <c r="AJ22" s="70" t="s">
        <v>2221</v>
      </c>
      <c r="AK22" s="70" t="s">
        <v>2221</v>
      </c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2363</v>
      </c>
      <c r="F23" t="s">
        <v>42</v>
      </c>
      <c r="G23" t="s">
        <v>1245</v>
      </c>
      <c r="H23" t="s">
        <v>1041</v>
      </c>
      <c r="I23" t="s">
        <v>1246</v>
      </c>
      <c r="J23" s="30" t="s">
        <v>14</v>
      </c>
      <c r="K23" s="30" t="s">
        <v>27</v>
      </c>
      <c r="L23" s="30"/>
      <c r="M23" s="30" t="s">
        <v>1333</v>
      </c>
      <c r="N23" s="30"/>
      <c r="O23" s="31">
        <f t="shared" si="4"/>
        <v>18</v>
      </c>
      <c r="P23" s="136" t="s">
        <v>1643</v>
      </c>
      <c r="Q23" s="31">
        <f t="shared" si="5"/>
        <v>10</v>
      </c>
      <c r="R23" s="32">
        <f t="shared" si="6"/>
        <v>0.6428571428571429</v>
      </c>
      <c r="S23" s="70"/>
      <c r="T23" s="70"/>
      <c r="U23" s="70"/>
      <c r="V23" s="70"/>
      <c r="W23" s="70"/>
      <c r="X23" s="70" t="s">
        <v>2221</v>
      </c>
      <c r="Y23" s="70" t="s">
        <v>2221</v>
      </c>
      <c r="Z23" s="70" t="s">
        <v>2221</v>
      </c>
      <c r="AA23" s="70"/>
      <c r="AB23" s="70"/>
      <c r="AC23" s="70" t="s">
        <v>2221</v>
      </c>
      <c r="AD23" s="70" t="s">
        <v>2221</v>
      </c>
      <c r="AE23" s="70" t="s">
        <v>2221</v>
      </c>
      <c r="AF23" s="70" t="s">
        <v>2221</v>
      </c>
      <c r="AG23" s="70" t="s">
        <v>2221</v>
      </c>
      <c r="AH23" s="70"/>
      <c r="AI23" s="70"/>
      <c r="AJ23" s="70" t="s">
        <v>2221</v>
      </c>
      <c r="AK23" s="70" t="s">
        <v>2221</v>
      </c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 s="151" t="s">
        <v>2456</v>
      </c>
      <c r="F24" s="73" t="s">
        <v>1171</v>
      </c>
      <c r="G24" s="84" t="s">
        <v>2257</v>
      </c>
      <c r="H24" s="73" t="s">
        <v>1042</v>
      </c>
      <c r="I24" s="73" t="s">
        <v>1324</v>
      </c>
      <c r="J24" s="84" t="s">
        <v>18</v>
      </c>
      <c r="K24" s="84" t="s">
        <v>1278</v>
      </c>
      <c r="L24" s="84"/>
      <c r="M24" s="84" t="s">
        <v>1331</v>
      </c>
      <c r="N24" s="84"/>
      <c r="O24" s="131">
        <f t="shared" si="4"/>
        <v>27</v>
      </c>
      <c r="P24" s="136" t="s">
        <v>1650</v>
      </c>
      <c r="Q24" s="131">
        <f t="shared" si="5"/>
        <v>1</v>
      </c>
      <c r="R24" s="132">
        <f t="shared" si="6"/>
        <v>0.9642857142857143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 t="s">
        <v>2221</v>
      </c>
      <c r="AU24" s="70"/>
      <c r="AV24" s="70"/>
      <c r="AW24" s="73"/>
    </row>
    <row r="25" spans="1:49" ht="15.75" thickBot="1" x14ac:dyDescent="0.3">
      <c r="E25" s="151" t="s">
        <v>2456</v>
      </c>
      <c r="F25" s="73" t="s">
        <v>1171</v>
      </c>
      <c r="G25" s="84" t="s">
        <v>2258</v>
      </c>
      <c r="H25" s="84" t="s">
        <v>1042</v>
      </c>
      <c r="I25" s="73" t="s">
        <v>1564</v>
      </c>
      <c r="J25" s="84" t="s">
        <v>18</v>
      </c>
      <c r="K25" s="84" t="s">
        <v>1278</v>
      </c>
      <c r="L25" s="84"/>
      <c r="M25" s="84" t="s">
        <v>1565</v>
      </c>
      <c r="N25" s="84"/>
      <c r="O25" s="131">
        <f t="shared" si="4"/>
        <v>28</v>
      </c>
      <c r="P25" s="136" t="s">
        <v>2110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E26" s="151" t="s">
        <v>2456</v>
      </c>
      <c r="F26" s="73" t="s">
        <v>1171</v>
      </c>
      <c r="G26" s="84" t="s">
        <v>2259</v>
      </c>
      <c r="H26" s="84" t="s">
        <v>1042</v>
      </c>
      <c r="I26" s="73" t="s">
        <v>1568</v>
      </c>
      <c r="J26" s="84" t="s">
        <v>71</v>
      </c>
      <c r="K26" s="84" t="s">
        <v>1278</v>
      </c>
      <c r="L26" s="84"/>
      <c r="M26" s="84" t="s">
        <v>1566</v>
      </c>
      <c r="N26" s="84"/>
      <c r="O26" s="131">
        <f t="shared" si="4"/>
        <v>28</v>
      </c>
      <c r="P26" s="136" t="s">
        <v>2111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 s="151" t="s">
        <v>2456</v>
      </c>
      <c r="F27" s="73" t="s">
        <v>1171</v>
      </c>
      <c r="G27" s="84" t="s">
        <v>2260</v>
      </c>
      <c r="H27" s="84" t="s">
        <v>1042</v>
      </c>
      <c r="I27" s="73" t="s">
        <v>1568</v>
      </c>
      <c r="J27" s="84" t="s">
        <v>71</v>
      </c>
      <c r="K27" s="84" t="s">
        <v>1278</v>
      </c>
      <c r="L27" s="84"/>
      <c r="M27" s="84" t="s">
        <v>1567</v>
      </c>
      <c r="N27" s="84"/>
      <c r="O27" s="131">
        <f t="shared" si="4"/>
        <v>28</v>
      </c>
      <c r="P27" s="136" t="s">
        <v>2112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 s="151" t="s">
        <v>2456</v>
      </c>
      <c r="F28" s="73" t="s">
        <v>1171</v>
      </c>
      <c r="G28" s="84" t="s">
        <v>2261</v>
      </c>
      <c r="H28" s="84" t="s">
        <v>1042</v>
      </c>
      <c r="I28" s="73" t="s">
        <v>2240</v>
      </c>
      <c r="J28" s="84" t="s">
        <v>18</v>
      </c>
      <c r="K28" s="84" t="s">
        <v>1278</v>
      </c>
      <c r="L28" s="84"/>
      <c r="M28" s="84" t="s">
        <v>2241</v>
      </c>
      <c r="N28" s="84"/>
      <c r="O28" s="131">
        <f t="shared" si="4"/>
        <v>28</v>
      </c>
      <c r="P28" s="136" t="s">
        <v>2242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2347</v>
      </c>
      <c r="F29" s="73" t="s">
        <v>1171</v>
      </c>
      <c r="G29" s="84" t="s">
        <v>2357</v>
      </c>
      <c r="H29" s="84" t="s">
        <v>1042</v>
      </c>
      <c r="I29" s="73" t="s">
        <v>2358</v>
      </c>
      <c r="J29" s="84"/>
      <c r="K29" s="84" t="s">
        <v>27</v>
      </c>
      <c r="L29" s="84"/>
      <c r="M29" s="84" t="s">
        <v>2359</v>
      </c>
      <c r="N29" s="84"/>
      <c r="O29" s="131"/>
      <c r="P29" s="136" t="s">
        <v>2392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 t="s">
        <v>2221</v>
      </c>
      <c r="AS29" s="70" t="s">
        <v>2221</v>
      </c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2347</v>
      </c>
      <c r="F30" t="s">
        <v>1171</v>
      </c>
      <c r="G30" s="30" t="s">
        <v>1155</v>
      </c>
      <c r="H30" s="30" t="s">
        <v>1042</v>
      </c>
      <c r="I30" t="s">
        <v>1139</v>
      </c>
      <c r="J30" s="30" t="s">
        <v>71</v>
      </c>
      <c r="K30" s="30" t="s">
        <v>1035</v>
      </c>
      <c r="L30" s="30"/>
      <c r="M30" s="30" t="s">
        <v>1142</v>
      </c>
      <c r="N30" s="30"/>
      <c r="O30" s="31">
        <f t="shared" ref="O30:O61" si="7">COUNTIF(S30:AT30,"")</f>
        <v>23</v>
      </c>
      <c r="P30" s="136" t="s">
        <v>1644</v>
      </c>
      <c r="Q30" s="31">
        <f t="shared" ref="Q30:Q61" si="8">COUNTIF(S30:AT30,"APAGADO")</f>
        <v>5</v>
      </c>
      <c r="R30" s="32">
        <f t="shared" ref="R30:R61" si="9">(O30)/(Q30+O30)</f>
        <v>0.8214285714285714</v>
      </c>
      <c r="S30" s="70"/>
      <c r="T30" s="70"/>
      <c r="U30" s="70"/>
      <c r="V30" s="70"/>
      <c r="W30" s="70"/>
      <c r="X30" s="70"/>
      <c r="Y30" s="70" t="s">
        <v>2221</v>
      </c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 t="s">
        <v>2221</v>
      </c>
      <c r="AL30" s="70" t="s">
        <v>2221</v>
      </c>
      <c r="AM30" s="70"/>
      <c r="AN30" s="70"/>
      <c r="AO30" s="70"/>
      <c r="AP30" s="70"/>
      <c r="AQ30" s="70"/>
      <c r="AR30" s="70" t="s">
        <v>2221</v>
      </c>
      <c r="AS30" s="70" t="s">
        <v>2221</v>
      </c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2347</v>
      </c>
      <c r="F31" t="s">
        <v>1171</v>
      </c>
      <c r="G31" s="30" t="s">
        <v>1156</v>
      </c>
      <c r="H31" s="30" t="s">
        <v>1042</v>
      </c>
      <c r="I31" t="s">
        <v>1139</v>
      </c>
      <c r="J31" s="30" t="s">
        <v>71</v>
      </c>
      <c r="K31" s="30" t="s">
        <v>1035</v>
      </c>
      <c r="L31" s="30"/>
      <c r="M31" s="30" t="s">
        <v>1143</v>
      </c>
      <c r="N31" s="30"/>
      <c r="O31" s="31">
        <f t="shared" si="7"/>
        <v>23</v>
      </c>
      <c r="P31" s="136" t="s">
        <v>1645</v>
      </c>
      <c r="Q31" s="31">
        <f t="shared" si="8"/>
        <v>5</v>
      </c>
      <c r="R31" s="32">
        <f t="shared" si="9"/>
        <v>0.8214285714285714</v>
      </c>
      <c r="S31" s="70"/>
      <c r="T31" s="70"/>
      <c r="U31" s="70"/>
      <c r="V31" s="70"/>
      <c r="W31" s="70"/>
      <c r="X31" s="70"/>
      <c r="Y31" s="70" t="s">
        <v>2221</v>
      </c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 t="s">
        <v>2221</v>
      </c>
      <c r="AL31" s="70" t="s">
        <v>2221</v>
      </c>
      <c r="AM31" s="70"/>
      <c r="AN31" s="70"/>
      <c r="AO31" s="70"/>
      <c r="AP31" s="70"/>
      <c r="AQ31" s="70"/>
      <c r="AR31" s="70" t="s">
        <v>2221</v>
      </c>
      <c r="AS31" s="70" t="s">
        <v>2221</v>
      </c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2347</v>
      </c>
      <c r="F32" t="s">
        <v>1171</v>
      </c>
      <c r="G32" s="30" t="s">
        <v>1154</v>
      </c>
      <c r="H32" s="30" t="s">
        <v>1042</v>
      </c>
      <c r="I32" t="s">
        <v>1138</v>
      </c>
      <c r="J32" s="30" t="s">
        <v>71</v>
      </c>
      <c r="K32" s="30" t="s">
        <v>1035</v>
      </c>
      <c r="L32" s="30"/>
      <c r="M32" s="30" t="s">
        <v>1141</v>
      </c>
      <c r="N32" s="30"/>
      <c r="O32" s="31">
        <f t="shared" si="7"/>
        <v>11</v>
      </c>
      <c r="P32" s="136" t="s">
        <v>1646</v>
      </c>
      <c r="Q32" s="31">
        <f t="shared" si="8"/>
        <v>17</v>
      </c>
      <c r="R32" s="32">
        <f t="shared" si="9"/>
        <v>0.39285714285714285</v>
      </c>
      <c r="S32" s="70"/>
      <c r="T32" s="70"/>
      <c r="U32" s="70"/>
      <c r="V32" s="70" t="s">
        <v>2221</v>
      </c>
      <c r="W32" s="70" t="s">
        <v>2221</v>
      </c>
      <c r="X32" s="70" t="s">
        <v>2221</v>
      </c>
      <c r="Y32" s="70" t="s">
        <v>2221</v>
      </c>
      <c r="Z32" s="70" t="s">
        <v>2221</v>
      </c>
      <c r="AA32" s="70"/>
      <c r="AB32" s="70"/>
      <c r="AC32" s="70" t="s">
        <v>2221</v>
      </c>
      <c r="AD32" s="70" t="s">
        <v>2221</v>
      </c>
      <c r="AE32" s="70" t="s">
        <v>2221</v>
      </c>
      <c r="AF32" s="70" t="s">
        <v>2221</v>
      </c>
      <c r="AG32" s="70" t="s">
        <v>2221</v>
      </c>
      <c r="AH32" s="70"/>
      <c r="AI32" s="70"/>
      <c r="AJ32" s="70" t="s">
        <v>2221</v>
      </c>
      <c r="AK32" s="70" t="s">
        <v>2221</v>
      </c>
      <c r="AL32" s="70" t="s">
        <v>2221</v>
      </c>
      <c r="AM32" s="70" t="s">
        <v>2221</v>
      </c>
      <c r="AN32" s="70" t="s">
        <v>2221</v>
      </c>
      <c r="AO32" s="70"/>
      <c r="AP32" s="70"/>
      <c r="AQ32" s="70"/>
      <c r="AR32" s="70" t="s">
        <v>2221</v>
      </c>
      <c r="AS32" s="70" t="s">
        <v>2221</v>
      </c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2347</v>
      </c>
      <c r="F33" t="s">
        <v>1171</v>
      </c>
      <c r="G33" s="30" t="s">
        <v>1153</v>
      </c>
      <c r="H33" s="30" t="s">
        <v>1042</v>
      </c>
      <c r="I33" t="s">
        <v>1138</v>
      </c>
      <c r="J33" s="30" t="s">
        <v>71</v>
      </c>
      <c r="K33" s="30" t="s">
        <v>1035</v>
      </c>
      <c r="L33" s="30"/>
      <c r="M33" s="30" t="s">
        <v>1148</v>
      </c>
      <c r="N33" s="30"/>
      <c r="O33" s="31">
        <f t="shared" si="7"/>
        <v>22</v>
      </c>
      <c r="P33" s="136" t="s">
        <v>1647</v>
      </c>
      <c r="Q33" s="31">
        <f t="shared" si="8"/>
        <v>6</v>
      </c>
      <c r="R33" s="32">
        <f t="shared" si="9"/>
        <v>0.7857142857142857</v>
      </c>
      <c r="S33" s="70"/>
      <c r="T33" s="70"/>
      <c r="U33" s="70"/>
      <c r="V33" s="70"/>
      <c r="W33" s="70"/>
      <c r="X33" s="70"/>
      <c r="Y33" s="70" t="s">
        <v>2221</v>
      </c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 t="s">
        <v>2221</v>
      </c>
      <c r="AL33" s="70" t="s">
        <v>2221</v>
      </c>
      <c r="AM33" s="70"/>
      <c r="AN33" s="70" t="s">
        <v>2221</v>
      </c>
      <c r="AO33" s="70"/>
      <c r="AP33" s="70"/>
      <c r="AQ33" s="70"/>
      <c r="AR33" s="70" t="s">
        <v>2221</v>
      </c>
      <c r="AS33" s="70" t="s">
        <v>2221</v>
      </c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2347</v>
      </c>
      <c r="F34" t="s">
        <v>1171</v>
      </c>
      <c r="G34" s="30" t="s">
        <v>1157</v>
      </c>
      <c r="H34" s="30" t="s">
        <v>1042</v>
      </c>
      <c r="I34" t="s">
        <v>1140</v>
      </c>
      <c r="J34" s="30" t="s">
        <v>71</v>
      </c>
      <c r="K34" s="30" t="s">
        <v>1035</v>
      </c>
      <c r="L34" s="30"/>
      <c r="M34" s="30" t="s">
        <v>1144</v>
      </c>
      <c r="N34" s="30"/>
      <c r="O34" s="31">
        <f t="shared" si="7"/>
        <v>26</v>
      </c>
      <c r="P34" s="136" t="s">
        <v>1648</v>
      </c>
      <c r="Q34" s="31">
        <f t="shared" si="8"/>
        <v>2</v>
      </c>
      <c r="R34" s="32">
        <f t="shared" si="9"/>
        <v>0.9285714285714286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 t="s">
        <v>2221</v>
      </c>
      <c r="AS34" s="70" t="s">
        <v>2221</v>
      </c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2347</v>
      </c>
      <c r="F35" t="s">
        <v>1171</v>
      </c>
      <c r="G35" s="30" t="s">
        <v>1158</v>
      </c>
      <c r="H35" s="30" t="s">
        <v>1042</v>
      </c>
      <c r="I35" t="s">
        <v>1140</v>
      </c>
      <c r="J35" s="30" t="s">
        <v>71</v>
      </c>
      <c r="K35" s="30" t="s">
        <v>1035</v>
      </c>
      <c r="L35" s="30"/>
      <c r="M35" s="30" t="s">
        <v>1145</v>
      </c>
      <c r="N35" s="30"/>
      <c r="O35" s="31">
        <f t="shared" si="7"/>
        <v>26</v>
      </c>
      <c r="P35" s="136" t="s">
        <v>1649</v>
      </c>
      <c r="Q35" s="31">
        <f t="shared" si="8"/>
        <v>2</v>
      </c>
      <c r="R35" s="32">
        <f t="shared" si="9"/>
        <v>0.9285714285714286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 t="s">
        <v>2221</v>
      </c>
      <c r="AS35" s="70" t="s">
        <v>2221</v>
      </c>
      <c r="AT35" s="70"/>
      <c r="AU35" s="70"/>
      <c r="AV35" s="70"/>
      <c r="AW35"/>
    </row>
    <row r="36" spans="1:49" ht="15.75" thickBot="1" x14ac:dyDescent="0.3">
      <c r="A36">
        <v>2</v>
      </c>
      <c r="B36">
        <v>2</v>
      </c>
      <c r="E36" t="s">
        <v>2361</v>
      </c>
      <c r="F36" t="s">
        <v>1428</v>
      </c>
      <c r="G36" s="30" t="s">
        <v>1427</v>
      </c>
      <c r="H36" t="s">
        <v>1042</v>
      </c>
      <c r="I36" t="s">
        <v>1426</v>
      </c>
      <c r="J36" s="30" t="s">
        <v>71</v>
      </c>
      <c r="K36" s="30" t="s">
        <v>27</v>
      </c>
      <c r="L36" s="30"/>
      <c r="M36" s="84" t="s">
        <v>1430</v>
      </c>
      <c r="N36" s="84"/>
      <c r="O36" s="31">
        <f t="shared" si="7"/>
        <v>28</v>
      </c>
      <c r="P36" s="136" t="s">
        <v>1652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2361</v>
      </c>
      <c r="F37" t="s">
        <v>1428</v>
      </c>
      <c r="G37" s="30" t="s">
        <v>1429</v>
      </c>
      <c r="H37" t="s">
        <v>1042</v>
      </c>
      <c r="I37" t="s">
        <v>1426</v>
      </c>
      <c r="J37" s="30" t="s">
        <v>71</v>
      </c>
      <c r="K37" s="30" t="s">
        <v>27</v>
      </c>
      <c r="L37" s="30"/>
      <c r="M37" s="84" t="s">
        <v>1431</v>
      </c>
      <c r="N37" s="84"/>
      <c r="O37" s="31">
        <f t="shared" si="7"/>
        <v>28</v>
      </c>
      <c r="P37" s="136" t="s">
        <v>1653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 s="151" t="s">
        <v>2455</v>
      </c>
      <c r="F38" t="s">
        <v>1428</v>
      </c>
      <c r="G38" s="30" t="s">
        <v>1602</v>
      </c>
      <c r="H38" t="s">
        <v>1042</v>
      </c>
      <c r="I38" t="s">
        <v>1604</v>
      </c>
      <c r="J38" s="30" t="s">
        <v>71</v>
      </c>
      <c r="K38" s="30" t="s">
        <v>1278</v>
      </c>
      <c r="L38" s="30"/>
      <c r="M38" s="84" t="s">
        <v>1605</v>
      </c>
      <c r="N38" s="84"/>
      <c r="O38" s="31">
        <f t="shared" si="7"/>
        <v>28</v>
      </c>
      <c r="P38" s="136" t="s">
        <v>2115</v>
      </c>
      <c r="Q38" s="31">
        <f t="shared" si="8"/>
        <v>0</v>
      </c>
      <c r="R38" s="32">
        <f t="shared" si="9"/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thickBot="1" x14ac:dyDescent="0.3">
      <c r="A39"/>
      <c r="B39"/>
      <c r="C39"/>
      <c r="D39"/>
      <c r="E39" s="151" t="s">
        <v>2455</v>
      </c>
      <c r="F39" t="s">
        <v>1428</v>
      </c>
      <c r="G39" s="30" t="s">
        <v>1603</v>
      </c>
      <c r="H39" t="s">
        <v>1042</v>
      </c>
      <c r="I39" t="s">
        <v>1604</v>
      </c>
      <c r="J39" s="30" t="s">
        <v>71</v>
      </c>
      <c r="K39" s="30" t="s">
        <v>1278</v>
      </c>
      <c r="L39" s="30"/>
      <c r="M39" s="84" t="s">
        <v>1606</v>
      </c>
      <c r="N39" s="84"/>
      <c r="O39" s="31">
        <f t="shared" si="7"/>
        <v>28</v>
      </c>
      <c r="P39" s="136" t="s">
        <v>2139</v>
      </c>
      <c r="Q39" s="31">
        <f t="shared" si="8"/>
        <v>0</v>
      </c>
      <c r="R39" s="32">
        <f t="shared" si="9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/>
    </row>
    <row r="40" spans="1:49" ht="15.75" thickBot="1" x14ac:dyDescent="0.3">
      <c r="A40"/>
      <c r="B40"/>
      <c r="C40"/>
      <c r="D40"/>
      <c r="E40" s="151" t="s">
        <v>2455</v>
      </c>
      <c r="F40" t="s">
        <v>1428</v>
      </c>
      <c r="G40" s="30" t="s">
        <v>1610</v>
      </c>
      <c r="H40" t="s">
        <v>1042</v>
      </c>
      <c r="I40" t="s">
        <v>1604</v>
      </c>
      <c r="J40" s="30" t="s">
        <v>18</v>
      </c>
      <c r="K40" s="30" t="s">
        <v>1278</v>
      </c>
      <c r="L40" s="30"/>
      <c r="M40" s="84" t="s">
        <v>1608</v>
      </c>
      <c r="N40" s="84"/>
      <c r="O40" s="31">
        <f t="shared" si="7"/>
        <v>28</v>
      </c>
      <c r="P40" s="136" t="s">
        <v>2140</v>
      </c>
      <c r="Q40" s="31">
        <f t="shared" si="8"/>
        <v>0</v>
      </c>
      <c r="R40" s="32">
        <f t="shared" si="9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9" ht="15.75" thickBot="1" x14ac:dyDescent="0.3">
      <c r="A41">
        <v>2</v>
      </c>
      <c r="B41">
        <v>2</v>
      </c>
      <c r="C41"/>
      <c r="D41"/>
      <c r="E41" t="s">
        <v>2361</v>
      </c>
      <c r="F41" t="s">
        <v>1428</v>
      </c>
      <c r="G41" s="30" t="s">
        <v>1611</v>
      </c>
      <c r="H41" t="s">
        <v>1042</v>
      </c>
      <c r="I41" t="s">
        <v>1612</v>
      </c>
      <c r="J41" s="30" t="s">
        <v>18</v>
      </c>
      <c r="K41" s="30" t="s">
        <v>27</v>
      </c>
      <c r="L41" s="30"/>
      <c r="M41" s="84" t="s">
        <v>1613</v>
      </c>
      <c r="N41" s="84"/>
      <c r="O41" s="31">
        <f t="shared" si="7"/>
        <v>28</v>
      </c>
      <c r="P41" s="136" t="s">
        <v>2141</v>
      </c>
      <c r="Q41" s="31">
        <f t="shared" si="8"/>
        <v>0</v>
      </c>
      <c r="R41" s="32">
        <f t="shared" si="9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2347</v>
      </c>
      <c r="F42" t="s">
        <v>1428</v>
      </c>
      <c r="G42" s="30" t="s">
        <v>2184</v>
      </c>
      <c r="H42" t="s">
        <v>1042</v>
      </c>
      <c r="I42" t="s">
        <v>2188</v>
      </c>
      <c r="J42" s="30" t="s">
        <v>71</v>
      </c>
      <c r="K42" s="30" t="s">
        <v>27</v>
      </c>
      <c r="L42" s="30"/>
      <c r="M42" s="84" t="s">
        <v>2273</v>
      </c>
      <c r="N42" s="84"/>
      <c r="O42" s="31">
        <f t="shared" si="7"/>
        <v>28</v>
      </c>
      <c r="P42" s="136" t="s">
        <v>2185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thickBot="1" x14ac:dyDescent="0.3">
      <c r="A43"/>
      <c r="B43"/>
      <c r="C43"/>
      <c r="D43"/>
      <c r="E43" t="s">
        <v>2347</v>
      </c>
      <c r="F43" t="s">
        <v>1428</v>
      </c>
      <c r="G43" s="30" t="s">
        <v>2186</v>
      </c>
      <c r="H43" t="s">
        <v>1042</v>
      </c>
      <c r="I43" t="s">
        <v>2187</v>
      </c>
      <c r="J43" s="30" t="s">
        <v>71</v>
      </c>
      <c r="K43" s="30" t="s">
        <v>27</v>
      </c>
      <c r="L43" s="30"/>
      <c r="M43" s="84" t="s">
        <v>2274</v>
      </c>
      <c r="N43" s="84"/>
      <c r="O43" s="31">
        <f t="shared" si="7"/>
        <v>28</v>
      </c>
      <c r="P43" s="136" t="s">
        <v>2189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2330</v>
      </c>
      <c r="F44" t="s">
        <v>51</v>
      </c>
      <c r="G44" t="s">
        <v>904</v>
      </c>
      <c r="H44" t="s">
        <v>1041</v>
      </c>
      <c r="I44" t="s">
        <v>1060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25</v>
      </c>
      <c r="P44" s="136" t="s">
        <v>1658</v>
      </c>
      <c r="Q44" s="31">
        <f t="shared" si="8"/>
        <v>3</v>
      </c>
      <c r="R44" s="32">
        <f t="shared" si="9"/>
        <v>0.8928571428571429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 t="s">
        <v>2221</v>
      </c>
      <c r="AD44" s="70"/>
      <c r="AE44" s="70" t="s">
        <v>2221</v>
      </c>
      <c r="AF44" s="70" t="s">
        <v>2221</v>
      </c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</v>
      </c>
      <c r="C45"/>
      <c r="D45"/>
      <c r="E45" t="s">
        <v>2331</v>
      </c>
      <c r="F45" t="s">
        <v>51</v>
      </c>
      <c r="G45" t="s">
        <v>905</v>
      </c>
      <c r="H45" t="s">
        <v>1041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1664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 s="151" t="s">
        <v>2457</v>
      </c>
      <c r="F46" s="73" t="s">
        <v>51</v>
      </c>
      <c r="G46" s="73" t="s">
        <v>906</v>
      </c>
      <c r="H46" s="73" t="s">
        <v>1041</v>
      </c>
      <c r="I46" s="73" t="s">
        <v>80</v>
      </c>
      <c r="J46" s="84" t="s">
        <v>14</v>
      </c>
      <c r="K46" s="84" t="s">
        <v>1278</v>
      </c>
      <c r="L46" s="84"/>
      <c r="M46" s="84" t="s">
        <v>620</v>
      </c>
      <c r="N46" s="84"/>
      <c r="O46" s="131">
        <f t="shared" si="7"/>
        <v>28</v>
      </c>
      <c r="P46" s="136" t="s">
        <v>1665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 t="s">
        <v>2366</v>
      </c>
      <c r="F47" t="s">
        <v>51</v>
      </c>
      <c r="G47" t="s">
        <v>907</v>
      </c>
      <c r="H47" t="s">
        <v>1041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1687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 s="151" t="s">
        <v>2457</v>
      </c>
      <c r="F48" s="73" t="s">
        <v>51</v>
      </c>
      <c r="G48" s="73" t="s">
        <v>908</v>
      </c>
      <c r="H48" s="73" t="s">
        <v>1041</v>
      </c>
      <c r="I48" s="73" t="s">
        <v>139</v>
      </c>
      <c r="J48" s="84" t="s">
        <v>18</v>
      </c>
      <c r="K48" s="84" t="s">
        <v>1278</v>
      </c>
      <c r="L48" s="84"/>
      <c r="M48" s="84" t="s">
        <v>1337</v>
      </c>
      <c r="N48" s="84"/>
      <c r="O48" s="131">
        <f t="shared" si="7"/>
        <v>15</v>
      </c>
      <c r="P48" s="136" t="s">
        <v>1700</v>
      </c>
      <c r="Q48" s="131">
        <f t="shared" si="8"/>
        <v>13</v>
      </c>
      <c r="R48" s="132">
        <f t="shared" si="9"/>
        <v>0.5357142857142857</v>
      </c>
      <c r="S48" s="70"/>
      <c r="T48" s="70"/>
      <c r="U48" s="70"/>
      <c r="V48" s="70" t="s">
        <v>2221</v>
      </c>
      <c r="W48" s="70" t="s">
        <v>2221</v>
      </c>
      <c r="X48" s="70" t="s">
        <v>2221</v>
      </c>
      <c r="Y48" s="70" t="s">
        <v>2221</v>
      </c>
      <c r="Z48" s="70" t="s">
        <v>2221</v>
      </c>
      <c r="AA48" s="70"/>
      <c r="AB48" s="70"/>
      <c r="AC48" s="70" t="s">
        <v>2221</v>
      </c>
      <c r="AD48" s="70" t="s">
        <v>2221</v>
      </c>
      <c r="AE48" s="70" t="s">
        <v>2221</v>
      </c>
      <c r="AF48" s="70" t="s">
        <v>2221</v>
      </c>
      <c r="AG48" s="70" t="s">
        <v>2221</v>
      </c>
      <c r="AH48" s="70"/>
      <c r="AI48" s="70"/>
      <c r="AJ48" s="70" t="s">
        <v>2221</v>
      </c>
      <c r="AK48" s="70" t="s">
        <v>2221</v>
      </c>
      <c r="AL48" s="70" t="s">
        <v>2221</v>
      </c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909</v>
      </c>
      <c r="H49" s="73" t="s">
        <v>1041</v>
      </c>
      <c r="I49" s="73" t="s">
        <v>44</v>
      </c>
      <c r="J49" s="84" t="s">
        <v>45</v>
      </c>
      <c r="K49" s="84" t="s">
        <v>1278</v>
      </c>
      <c r="L49" s="84"/>
      <c r="M49" s="84" t="s">
        <v>650</v>
      </c>
      <c r="N49" s="84"/>
      <c r="O49" s="131">
        <f t="shared" si="7"/>
        <v>28</v>
      </c>
      <c r="P49" s="136" t="s">
        <v>1701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910</v>
      </c>
      <c r="H50" s="73" t="s">
        <v>1041</v>
      </c>
      <c r="I50" s="73" t="s">
        <v>46</v>
      </c>
      <c r="J50" s="84" t="s">
        <v>18</v>
      </c>
      <c r="K50" s="84" t="s">
        <v>1278</v>
      </c>
      <c r="L50" s="84"/>
      <c r="M50" s="84" t="s">
        <v>1344</v>
      </c>
      <c r="N50" s="84"/>
      <c r="O50" s="131">
        <f t="shared" si="7"/>
        <v>28</v>
      </c>
      <c r="P50" s="136" t="s">
        <v>1703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1041</v>
      </c>
      <c r="I51" s="73" t="s">
        <v>48</v>
      </c>
      <c r="J51" s="84" t="s">
        <v>18</v>
      </c>
      <c r="K51" s="84" t="s">
        <v>1278</v>
      </c>
      <c r="L51" s="84"/>
      <c r="M51" s="84" t="s">
        <v>1332</v>
      </c>
      <c r="N51" s="84"/>
      <c r="O51" s="131">
        <f t="shared" si="7"/>
        <v>10</v>
      </c>
      <c r="P51" s="136" t="s">
        <v>1704</v>
      </c>
      <c r="Q51" s="131">
        <f t="shared" si="8"/>
        <v>18</v>
      </c>
      <c r="R51" s="132">
        <f t="shared" si="9"/>
        <v>0.35714285714285715</v>
      </c>
      <c r="S51" s="70"/>
      <c r="T51" s="70"/>
      <c r="U51" s="70"/>
      <c r="V51" s="70" t="s">
        <v>2221</v>
      </c>
      <c r="W51" s="70" t="s">
        <v>2221</v>
      </c>
      <c r="X51" s="70" t="s">
        <v>2221</v>
      </c>
      <c r="Y51" s="70" t="s">
        <v>2221</v>
      </c>
      <c r="Z51" s="70" t="s">
        <v>2221</v>
      </c>
      <c r="AA51" s="70"/>
      <c r="AB51" s="70"/>
      <c r="AC51" s="70" t="s">
        <v>2221</v>
      </c>
      <c r="AD51" s="70" t="s">
        <v>2221</v>
      </c>
      <c r="AE51" s="70" t="s">
        <v>2221</v>
      </c>
      <c r="AF51" s="70" t="s">
        <v>2221</v>
      </c>
      <c r="AG51" s="70" t="s">
        <v>2221</v>
      </c>
      <c r="AH51" s="70"/>
      <c r="AI51" s="70"/>
      <c r="AJ51" s="70" t="s">
        <v>2221</v>
      </c>
      <c r="AK51" s="70" t="s">
        <v>2221</v>
      </c>
      <c r="AL51" s="70" t="s">
        <v>2221</v>
      </c>
      <c r="AM51" s="70" t="s">
        <v>2221</v>
      </c>
      <c r="AN51" s="70" t="s">
        <v>2221</v>
      </c>
      <c r="AO51" s="70"/>
      <c r="AP51" s="70"/>
      <c r="AQ51" s="70"/>
      <c r="AR51" s="70" t="s">
        <v>2221</v>
      </c>
      <c r="AS51" s="70" t="s">
        <v>2221</v>
      </c>
      <c r="AT51" s="70" t="s">
        <v>2221</v>
      </c>
      <c r="AU51" s="70"/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1041</v>
      </c>
      <c r="I52" s="73" t="s">
        <v>50</v>
      </c>
      <c r="J52" s="84" t="s">
        <v>18</v>
      </c>
      <c r="K52" s="84" t="s">
        <v>1278</v>
      </c>
      <c r="L52" s="84"/>
      <c r="M52" s="84" t="s">
        <v>1385</v>
      </c>
      <c r="N52" s="84"/>
      <c r="O52" s="131">
        <f t="shared" si="7"/>
        <v>28</v>
      </c>
      <c r="P52" s="136" t="s">
        <v>1705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1041</v>
      </c>
      <c r="I53" s="73" t="s">
        <v>53</v>
      </c>
      <c r="J53" s="84" t="s">
        <v>14</v>
      </c>
      <c r="K53" s="84" t="s">
        <v>1278</v>
      </c>
      <c r="L53" s="84"/>
      <c r="M53" s="84" t="s">
        <v>1401</v>
      </c>
      <c r="N53" s="84"/>
      <c r="O53" s="131">
        <f t="shared" si="7"/>
        <v>28</v>
      </c>
      <c r="P53" s="136" t="s">
        <v>1706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1041</v>
      </c>
      <c r="I54" s="73" t="s">
        <v>55</v>
      </c>
      <c r="J54" s="84" t="s">
        <v>14</v>
      </c>
      <c r="K54" s="84" t="s">
        <v>1278</v>
      </c>
      <c r="L54" s="84"/>
      <c r="M54" s="84" t="s">
        <v>1340</v>
      </c>
      <c r="N54" s="84"/>
      <c r="O54" s="131">
        <f t="shared" si="7"/>
        <v>28</v>
      </c>
      <c r="P54" s="136" t="s">
        <v>1707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2332</v>
      </c>
      <c r="F55" t="s">
        <v>51</v>
      </c>
      <c r="G55" t="s">
        <v>56</v>
      </c>
      <c r="H55" t="s">
        <v>1041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24</v>
      </c>
      <c r="P55" s="136" t="s">
        <v>1708</v>
      </c>
      <c r="Q55" s="31">
        <f t="shared" si="8"/>
        <v>4</v>
      </c>
      <c r="R55" s="32">
        <f t="shared" si="9"/>
        <v>0.8571428571428571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 t="s">
        <v>2221</v>
      </c>
      <c r="AO55" s="70"/>
      <c r="AP55" s="70"/>
      <c r="AQ55" s="70"/>
      <c r="AR55" s="70" t="s">
        <v>2221</v>
      </c>
      <c r="AS55" s="70" t="s">
        <v>2221</v>
      </c>
      <c r="AT55" s="70" t="s">
        <v>2221</v>
      </c>
      <c r="AU55" s="70"/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1041</v>
      </c>
      <c r="I56" t="s">
        <v>60</v>
      </c>
      <c r="J56" s="30" t="s">
        <v>14</v>
      </c>
      <c r="K56" s="30" t="s">
        <v>2365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1710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1041</v>
      </c>
      <c r="I57" s="73" t="s">
        <v>62</v>
      </c>
      <c r="J57" s="84" t="s">
        <v>14</v>
      </c>
      <c r="K57" s="84" t="s">
        <v>1278</v>
      </c>
      <c r="L57" s="84"/>
      <c r="M57" s="84" t="s">
        <v>1341</v>
      </c>
      <c r="N57" s="84"/>
      <c r="O57" s="131">
        <f t="shared" si="7"/>
        <v>28</v>
      </c>
      <c r="P57" s="136" t="s">
        <v>1711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 s="151" t="s">
        <v>2459</v>
      </c>
      <c r="F58" s="73" t="s">
        <v>51</v>
      </c>
      <c r="G58" s="73" t="s">
        <v>911</v>
      </c>
      <c r="H58" s="73" t="s">
        <v>1041</v>
      </c>
      <c r="I58" s="73" t="s">
        <v>144</v>
      </c>
      <c r="J58" s="84" t="s">
        <v>45</v>
      </c>
      <c r="K58" s="84" t="s">
        <v>1278</v>
      </c>
      <c r="L58" s="84"/>
      <c r="M58" s="84" t="s">
        <v>1038</v>
      </c>
      <c r="N58" s="84"/>
      <c r="O58" s="131">
        <f t="shared" si="7"/>
        <v>28</v>
      </c>
      <c r="P58" s="136" t="s">
        <v>1715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2342</v>
      </c>
      <c r="F59" t="s">
        <v>51</v>
      </c>
      <c r="G59" t="s">
        <v>64</v>
      </c>
      <c r="H59" t="s">
        <v>1041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1719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1041</v>
      </c>
      <c r="I60" s="73" t="s">
        <v>67</v>
      </c>
      <c r="J60" s="84" t="s">
        <v>18</v>
      </c>
      <c r="K60" s="84" t="s">
        <v>1278</v>
      </c>
      <c r="L60" s="84"/>
      <c r="M60" s="84" t="s">
        <v>664</v>
      </c>
      <c r="N60" s="84"/>
      <c r="O60" s="131">
        <f t="shared" si="7"/>
        <v>28</v>
      </c>
      <c r="P60" s="136" t="s">
        <v>1720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1041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1721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912</v>
      </c>
      <c r="H62" s="73" t="s">
        <v>1041</v>
      </c>
      <c r="I62" s="73" t="s">
        <v>913</v>
      </c>
      <c r="J62" s="84" t="s">
        <v>18</v>
      </c>
      <c r="K62" s="84" t="s">
        <v>1278</v>
      </c>
      <c r="L62" s="84"/>
      <c r="M62" s="84" t="s">
        <v>1191</v>
      </c>
      <c r="N62" s="84"/>
      <c r="O62" s="131">
        <f t="shared" ref="O62:O93" si="10">COUNTIF(S62:AT62,"")</f>
        <v>26</v>
      </c>
      <c r="P62" s="136" t="s">
        <v>1724</v>
      </c>
      <c r="Q62" s="131">
        <f t="shared" ref="Q62:Q93" si="11">COUNTIF(S62:AT62,"APAGADO")</f>
        <v>2</v>
      </c>
      <c r="R62" s="132">
        <f t="shared" ref="R62:R93" si="12">(O62)/(Q62+O62)</f>
        <v>0.9285714285714286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 t="s">
        <v>2221</v>
      </c>
      <c r="AG62" s="70"/>
      <c r="AH62" s="70"/>
      <c r="AI62" s="70"/>
      <c r="AJ62" s="70" t="s">
        <v>2221</v>
      </c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</v>
      </c>
      <c r="C63"/>
      <c r="D63"/>
      <c r="E63" t="s">
        <v>2331</v>
      </c>
      <c r="F63" t="s">
        <v>51</v>
      </c>
      <c r="G63" t="s">
        <v>914</v>
      </c>
      <c r="H63" t="s">
        <v>1041</v>
      </c>
      <c r="I63" t="s">
        <v>1057</v>
      </c>
      <c r="J63" s="30" t="s">
        <v>71</v>
      </c>
      <c r="K63" s="30" t="s">
        <v>27</v>
      </c>
      <c r="L63" s="30"/>
      <c r="M63" s="30" t="s">
        <v>1466</v>
      </c>
      <c r="N63" s="30"/>
      <c r="O63" s="31">
        <f t="shared" si="10"/>
        <v>28</v>
      </c>
      <c r="P63" s="136" t="s">
        <v>1725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</v>
      </c>
      <c r="C64"/>
      <c r="D64"/>
      <c r="E64" t="s">
        <v>2331</v>
      </c>
      <c r="F64" t="s">
        <v>51</v>
      </c>
      <c r="G64" t="s">
        <v>1088</v>
      </c>
      <c r="H64" t="s">
        <v>1041</v>
      </c>
      <c r="I64" t="s">
        <v>1087</v>
      </c>
      <c r="J64" s="30" t="s">
        <v>71</v>
      </c>
      <c r="K64" s="30" t="s">
        <v>27</v>
      </c>
      <c r="L64" s="30"/>
      <c r="M64" s="30" t="s">
        <v>1089</v>
      </c>
      <c r="N64" s="30"/>
      <c r="O64" s="31">
        <f t="shared" si="10"/>
        <v>28</v>
      </c>
      <c r="P64" s="136" t="s">
        <v>1726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</v>
      </c>
      <c r="C65"/>
      <c r="D65"/>
      <c r="E65" t="s">
        <v>2331</v>
      </c>
      <c r="F65" t="s">
        <v>51</v>
      </c>
      <c r="G65" s="30" t="s">
        <v>1097</v>
      </c>
      <c r="H65" s="30" t="s">
        <v>1041</v>
      </c>
      <c r="I65" t="s">
        <v>112</v>
      </c>
      <c r="J65" s="30" t="s">
        <v>71</v>
      </c>
      <c r="K65" s="30" t="s">
        <v>27</v>
      </c>
      <c r="L65" s="30"/>
      <c r="M65" s="30" t="s">
        <v>1098</v>
      </c>
      <c r="N65" s="30"/>
      <c r="O65" s="31">
        <f t="shared" si="10"/>
        <v>28</v>
      </c>
      <c r="P65" s="136" t="s">
        <v>1727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 t="s">
        <v>2366</v>
      </c>
      <c r="F66" t="s">
        <v>51</v>
      </c>
      <c r="G66" s="30" t="s">
        <v>1090</v>
      </c>
      <c r="H66" s="30" t="s">
        <v>1041</v>
      </c>
      <c r="I66" t="s">
        <v>1092</v>
      </c>
      <c r="J66" s="30" t="s">
        <v>71</v>
      </c>
      <c r="K66" s="30" t="s">
        <v>27</v>
      </c>
      <c r="L66" s="30"/>
      <c r="M66" s="30" t="s">
        <v>1099</v>
      </c>
      <c r="N66" s="30"/>
      <c r="O66" s="31">
        <f t="shared" si="10"/>
        <v>28</v>
      </c>
      <c r="P66" s="136" t="s">
        <v>1728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 t="s">
        <v>2366</v>
      </c>
      <c r="F67" t="s">
        <v>51</v>
      </c>
      <c r="G67" s="30" t="s">
        <v>1091</v>
      </c>
      <c r="H67" s="30" t="s">
        <v>1041</v>
      </c>
      <c r="I67" t="s">
        <v>1092</v>
      </c>
      <c r="J67" s="30" t="s">
        <v>71</v>
      </c>
      <c r="K67" s="30" t="s">
        <v>27</v>
      </c>
      <c r="L67" s="30"/>
      <c r="M67" s="30" t="s">
        <v>1100</v>
      </c>
      <c r="N67" s="30"/>
      <c r="O67" s="31">
        <f t="shared" si="10"/>
        <v>28</v>
      </c>
      <c r="P67" s="136" t="s">
        <v>1729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 s="8" t="s">
        <v>2436</v>
      </c>
      <c r="F68" t="s">
        <v>51</v>
      </c>
      <c r="G68" s="30" t="s">
        <v>1159</v>
      </c>
      <c r="H68" s="30" t="s">
        <v>1041</v>
      </c>
      <c r="I68" t="s">
        <v>83</v>
      </c>
      <c r="J68" s="30" t="s">
        <v>71</v>
      </c>
      <c r="K68" s="30" t="s">
        <v>1278</v>
      </c>
      <c r="L68" s="30"/>
      <c r="M68" s="30" t="s">
        <v>1160</v>
      </c>
      <c r="N68" s="30"/>
      <c r="O68" s="31">
        <f t="shared" si="10"/>
        <v>28</v>
      </c>
      <c r="P68" s="136" t="s">
        <v>1730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1175</v>
      </c>
      <c r="H69" s="84" t="s">
        <v>1041</v>
      </c>
      <c r="I69" s="73" t="s">
        <v>1176</v>
      </c>
      <c r="J69" s="84" t="s">
        <v>18</v>
      </c>
      <c r="K69" s="84" t="s">
        <v>1278</v>
      </c>
      <c r="L69" s="84"/>
      <c r="M69" s="84" t="s">
        <v>1177</v>
      </c>
      <c r="N69" s="84"/>
      <c r="O69" s="131">
        <f t="shared" si="10"/>
        <v>23</v>
      </c>
      <c r="P69" s="136" t="s">
        <v>1731</v>
      </c>
      <c r="Q69" s="131">
        <f t="shared" si="11"/>
        <v>5</v>
      </c>
      <c r="R69" s="132">
        <f t="shared" si="12"/>
        <v>0.8214285714285714</v>
      </c>
      <c r="S69" s="70"/>
      <c r="T69" s="70"/>
      <c r="U69" s="70"/>
      <c r="V69" s="70" t="s">
        <v>2221</v>
      </c>
      <c r="W69" s="70" t="s">
        <v>2221</v>
      </c>
      <c r="X69" s="70"/>
      <c r="Y69" s="70"/>
      <c r="Z69" s="70"/>
      <c r="AA69" s="70"/>
      <c r="AB69" s="70"/>
      <c r="AC69" s="70"/>
      <c r="AD69" s="70" t="s">
        <v>2221</v>
      </c>
      <c r="AE69" s="70"/>
      <c r="AF69" s="70"/>
      <c r="AG69" s="70" t="s">
        <v>2221</v>
      </c>
      <c r="AH69" s="70"/>
      <c r="AI69" s="70"/>
      <c r="AJ69" s="70" t="s">
        <v>2221</v>
      </c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F70" s="73" t="s">
        <v>51</v>
      </c>
      <c r="G70" s="73" t="s">
        <v>1200</v>
      </c>
      <c r="H70" s="84" t="s">
        <v>1041</v>
      </c>
      <c r="I70" s="73" t="s">
        <v>1201</v>
      </c>
      <c r="J70" s="73" t="s">
        <v>71</v>
      </c>
      <c r="K70" s="73" t="s">
        <v>1278</v>
      </c>
      <c r="L70" s="73"/>
      <c r="M70" s="84" t="s">
        <v>1288</v>
      </c>
      <c r="N70" s="84"/>
      <c r="O70" s="131">
        <f t="shared" si="10"/>
        <v>27</v>
      </c>
      <c r="P70" s="136" t="s">
        <v>1733</v>
      </c>
      <c r="Q70" s="131">
        <f t="shared" si="11"/>
        <v>1</v>
      </c>
      <c r="R70" s="132">
        <f t="shared" si="12"/>
        <v>0.9642857142857143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 t="s">
        <v>2221</v>
      </c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>
        <v>3</v>
      </c>
      <c r="B71">
        <v>1</v>
      </c>
      <c r="C71"/>
      <c r="D71"/>
      <c r="E71" t="s">
        <v>2331</v>
      </c>
      <c r="F71" s="73" t="s">
        <v>51</v>
      </c>
      <c r="G71" t="s">
        <v>1202</v>
      </c>
      <c r="H71" s="30" t="s">
        <v>1041</v>
      </c>
      <c r="I71" t="s">
        <v>1203</v>
      </c>
      <c r="J71" t="s">
        <v>71</v>
      </c>
      <c r="K71" t="s">
        <v>27</v>
      </c>
      <c r="L71"/>
      <c r="M71" s="30" t="s">
        <v>1299</v>
      </c>
      <c r="N71" s="30"/>
      <c r="O71" s="31">
        <f t="shared" si="10"/>
        <v>22</v>
      </c>
      <c r="P71" s="136" t="s">
        <v>1734</v>
      </c>
      <c r="Q71" s="31">
        <f t="shared" si="11"/>
        <v>6</v>
      </c>
      <c r="R71" s="32">
        <f t="shared" si="12"/>
        <v>0.7857142857142857</v>
      </c>
      <c r="S71" s="70"/>
      <c r="T71" s="70"/>
      <c r="U71" s="70"/>
      <c r="V71" s="70"/>
      <c r="W71" s="70" t="s">
        <v>2221</v>
      </c>
      <c r="X71" s="70" t="s">
        <v>2221</v>
      </c>
      <c r="Y71" s="70" t="s">
        <v>2221</v>
      </c>
      <c r="Z71" s="70" t="s">
        <v>2221</v>
      </c>
      <c r="AA71" s="70"/>
      <c r="AB71" s="70"/>
      <c r="AC71" s="70" t="s">
        <v>2221</v>
      </c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 t="s">
        <v>2221</v>
      </c>
      <c r="AS71" s="70"/>
      <c r="AT71" s="70"/>
      <c r="AU71" s="70"/>
      <c r="AV71" s="70"/>
    </row>
    <row r="72" spans="1:49" ht="15.75" thickBot="1" x14ac:dyDescent="0.3">
      <c r="A72">
        <v>3</v>
      </c>
      <c r="B72">
        <v>1</v>
      </c>
      <c r="C72"/>
      <c r="D72"/>
      <c r="E72" t="s">
        <v>2331</v>
      </c>
      <c r="F72" t="s">
        <v>51</v>
      </c>
      <c r="G72" s="30" t="s">
        <v>1276</v>
      </c>
      <c r="H72" s="30" t="s">
        <v>1041</v>
      </c>
      <c r="I72" t="s">
        <v>78</v>
      </c>
      <c r="J72" s="30" t="s">
        <v>71</v>
      </c>
      <c r="K72" s="30" t="s">
        <v>27</v>
      </c>
      <c r="L72" s="30"/>
      <c r="M72" s="30" t="s">
        <v>1275</v>
      </c>
      <c r="N72" s="30"/>
      <c r="O72" s="31">
        <f t="shared" si="10"/>
        <v>28</v>
      </c>
      <c r="P72" s="136" t="s">
        <v>1735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 s="151" t="s">
        <v>2458</v>
      </c>
      <c r="F73" t="s">
        <v>51</v>
      </c>
      <c r="G73" t="s">
        <v>2381</v>
      </c>
      <c r="H73" t="s">
        <v>1041</v>
      </c>
      <c r="I73" t="s">
        <v>70</v>
      </c>
      <c r="J73" s="30" t="s">
        <v>71</v>
      </c>
      <c r="K73" s="30" t="s">
        <v>1278</v>
      </c>
      <c r="L73" s="30"/>
      <c r="M73" s="30" t="s">
        <v>609</v>
      </c>
      <c r="N73" s="30"/>
      <c r="O73" s="31">
        <f t="shared" si="10"/>
        <v>28</v>
      </c>
      <c r="P73" s="136" t="s">
        <v>1654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 s="151" t="s">
        <v>2458</v>
      </c>
      <c r="F74" t="s">
        <v>51</v>
      </c>
      <c r="G74" t="s">
        <v>2382</v>
      </c>
      <c r="H74" t="s">
        <v>1041</v>
      </c>
      <c r="I74" t="s">
        <v>72</v>
      </c>
      <c r="J74" s="30" t="s">
        <v>71</v>
      </c>
      <c r="K74" s="30" t="s">
        <v>1278</v>
      </c>
      <c r="L74" s="30"/>
      <c r="M74" s="30" t="s">
        <v>603</v>
      </c>
      <c r="N74" s="30"/>
      <c r="O74" s="31">
        <f t="shared" si="10"/>
        <v>28</v>
      </c>
      <c r="P74" s="136" t="s">
        <v>1655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2362</v>
      </c>
      <c r="C75"/>
      <c r="D75"/>
      <c r="E75" t="s">
        <v>2330</v>
      </c>
      <c r="F75" t="s">
        <v>51</v>
      </c>
      <c r="G75" t="s">
        <v>2383</v>
      </c>
      <c r="H75" t="s">
        <v>1041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16</v>
      </c>
      <c r="P75" s="136" t="s">
        <v>2480</v>
      </c>
      <c r="Q75" s="31">
        <f t="shared" si="11"/>
        <v>12</v>
      </c>
      <c r="R75" s="32">
        <f t="shared" si="12"/>
        <v>0.5714285714285714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 t="s">
        <v>2221</v>
      </c>
      <c r="AD75" s="70" t="s">
        <v>2221</v>
      </c>
      <c r="AE75" s="70" t="s">
        <v>2221</v>
      </c>
      <c r="AF75" s="70" t="s">
        <v>2221</v>
      </c>
      <c r="AG75" s="70" t="s">
        <v>2221</v>
      </c>
      <c r="AH75" s="70"/>
      <c r="AI75" s="70"/>
      <c r="AJ75" s="70" t="s">
        <v>2221</v>
      </c>
      <c r="AK75" s="70" t="s">
        <v>2221</v>
      </c>
      <c r="AL75" s="70" t="s">
        <v>2221</v>
      </c>
      <c r="AM75" s="70" t="s">
        <v>2221</v>
      </c>
      <c r="AN75" s="70" t="s">
        <v>2221</v>
      </c>
      <c r="AO75" s="70"/>
      <c r="AP75" s="70"/>
      <c r="AQ75" s="70"/>
      <c r="AR75" s="70" t="s">
        <v>2221</v>
      </c>
      <c r="AS75" s="70" t="s">
        <v>2221</v>
      </c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2329</v>
      </c>
      <c r="F76" t="s">
        <v>51</v>
      </c>
      <c r="G76" t="s">
        <v>2384</v>
      </c>
      <c r="H76" t="s">
        <v>1041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1657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2330</v>
      </c>
      <c r="F77" t="s">
        <v>51</v>
      </c>
      <c r="G77" t="s">
        <v>2385</v>
      </c>
      <c r="H77" t="s">
        <v>1041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13</v>
      </c>
      <c r="P77" s="136" t="s">
        <v>2433</v>
      </c>
      <c r="Q77" s="31">
        <f t="shared" si="11"/>
        <v>15</v>
      </c>
      <c r="R77" s="32">
        <f t="shared" si="12"/>
        <v>0.4642857142857143</v>
      </c>
      <c r="S77" s="70"/>
      <c r="T77" s="70"/>
      <c r="U77" s="70"/>
      <c r="V77" s="70" t="s">
        <v>2221</v>
      </c>
      <c r="W77" s="70"/>
      <c r="X77" s="70"/>
      <c r="Y77" s="70" t="s">
        <v>2221</v>
      </c>
      <c r="Z77" s="70" t="s">
        <v>2221</v>
      </c>
      <c r="AA77" s="70"/>
      <c r="AB77" s="70"/>
      <c r="AC77" s="70" t="s">
        <v>2221</v>
      </c>
      <c r="AD77" s="70"/>
      <c r="AE77" s="70" t="s">
        <v>2221</v>
      </c>
      <c r="AF77" s="70" t="s">
        <v>2221</v>
      </c>
      <c r="AG77" s="70" t="s">
        <v>2221</v>
      </c>
      <c r="AH77" s="70"/>
      <c r="AI77" s="70"/>
      <c r="AJ77" s="70" t="s">
        <v>2221</v>
      </c>
      <c r="AK77" s="70" t="s">
        <v>2221</v>
      </c>
      <c r="AL77" s="70" t="s">
        <v>2221</v>
      </c>
      <c r="AM77" s="70" t="s">
        <v>2221</v>
      </c>
      <c r="AN77" s="70" t="s">
        <v>2221</v>
      </c>
      <c r="AO77" s="70"/>
      <c r="AP77" s="70"/>
      <c r="AQ77" s="70"/>
      <c r="AR77" s="70" t="s">
        <v>2221</v>
      </c>
      <c r="AS77" s="70" t="s">
        <v>2221</v>
      </c>
      <c r="AT77" s="70" t="s">
        <v>2221</v>
      </c>
      <c r="AU77" s="70"/>
      <c r="AV77" s="70"/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2363</v>
      </c>
      <c r="F78" t="s">
        <v>51</v>
      </c>
      <c r="G78" t="s">
        <v>2386</v>
      </c>
      <c r="H78" t="s">
        <v>1041</v>
      </c>
      <c r="I78" t="s">
        <v>1056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1659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2330</v>
      </c>
      <c r="F79" t="s">
        <v>51</v>
      </c>
      <c r="G79" t="s">
        <v>2387</v>
      </c>
      <c r="H79" t="s">
        <v>1041</v>
      </c>
      <c r="I79" t="s">
        <v>1055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1660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2339</v>
      </c>
      <c r="F80" t="s">
        <v>51</v>
      </c>
      <c r="G80" t="s">
        <v>2388</v>
      </c>
      <c r="H80" t="s">
        <v>1041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1661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</v>
      </c>
      <c r="C81"/>
      <c r="D81"/>
      <c r="E81" t="s">
        <v>2331</v>
      </c>
      <c r="F81" t="s">
        <v>51</v>
      </c>
      <c r="G81" t="s">
        <v>2389</v>
      </c>
      <c r="H81" t="s">
        <v>1041</v>
      </c>
      <c r="I81" t="s">
        <v>1054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1662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>
        <v>1</v>
      </c>
      <c r="B82">
        <v>14</v>
      </c>
      <c r="C82"/>
      <c r="D82"/>
      <c r="E82" t="s">
        <v>2366</v>
      </c>
      <c r="F82" s="73" t="s">
        <v>51</v>
      </c>
      <c r="G82" s="84" t="s">
        <v>2249</v>
      </c>
      <c r="H82" s="84" t="s">
        <v>1041</v>
      </c>
      <c r="I82" s="73" t="s">
        <v>2250</v>
      </c>
      <c r="J82" s="84" t="s">
        <v>18</v>
      </c>
      <c r="K82" s="30" t="s">
        <v>27</v>
      </c>
      <c r="L82" s="84"/>
      <c r="M82" s="84" t="s">
        <v>2251</v>
      </c>
      <c r="N82" s="84"/>
      <c r="O82" s="131">
        <f t="shared" si="10"/>
        <v>23</v>
      </c>
      <c r="P82" s="136" t="s">
        <v>2252</v>
      </c>
      <c r="Q82" s="131">
        <f t="shared" si="11"/>
        <v>5</v>
      </c>
      <c r="R82" s="132">
        <f t="shared" si="12"/>
        <v>0.8214285714285714</v>
      </c>
      <c r="S82" s="70"/>
      <c r="T82" s="70"/>
      <c r="U82" s="70"/>
      <c r="V82" s="70" t="s">
        <v>2221</v>
      </c>
      <c r="W82" s="70" t="s">
        <v>2221</v>
      </c>
      <c r="X82" s="70" t="s">
        <v>2221</v>
      </c>
      <c r="Y82" s="70" t="s">
        <v>2221</v>
      </c>
      <c r="Z82" s="70" t="s">
        <v>2221</v>
      </c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</v>
      </c>
      <c r="C83"/>
      <c r="D83"/>
      <c r="E83" t="s">
        <v>2331</v>
      </c>
      <c r="F83" t="s">
        <v>51</v>
      </c>
      <c r="G83" t="s">
        <v>77</v>
      </c>
      <c r="H83" t="s">
        <v>1041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1663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</v>
      </c>
      <c r="E84" t="s">
        <v>2331</v>
      </c>
      <c r="F84" t="s">
        <v>51</v>
      </c>
      <c r="G84" t="s">
        <v>81</v>
      </c>
      <c r="H84" t="s">
        <v>1041</v>
      </c>
      <c r="I84" t="s">
        <v>1058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1666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thickBot="1" x14ac:dyDescent="0.3">
      <c r="F85" s="73" t="s">
        <v>51</v>
      </c>
      <c r="G85" s="73" t="s">
        <v>82</v>
      </c>
      <c r="H85" s="73" t="s">
        <v>1041</v>
      </c>
      <c r="I85" s="73" t="s">
        <v>83</v>
      </c>
      <c r="J85" s="84" t="s">
        <v>18</v>
      </c>
      <c r="K85" s="84" t="s">
        <v>1278</v>
      </c>
      <c r="L85" s="84"/>
      <c r="M85" s="84" t="s">
        <v>622</v>
      </c>
      <c r="N85" s="84"/>
      <c r="O85" s="131">
        <f t="shared" si="10"/>
        <v>28</v>
      </c>
      <c r="P85" s="136" t="s">
        <v>1667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2330</v>
      </c>
      <c r="F86" t="s">
        <v>51</v>
      </c>
      <c r="G86" t="s">
        <v>84</v>
      </c>
      <c r="H86" t="s">
        <v>1041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1668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2330</v>
      </c>
      <c r="F87" t="s">
        <v>51</v>
      </c>
      <c r="G87" t="s">
        <v>86</v>
      </c>
      <c r="H87" t="s">
        <v>1041</v>
      </c>
      <c r="I87" t="s">
        <v>87</v>
      </c>
      <c r="J87" s="30" t="s">
        <v>18</v>
      </c>
      <c r="K87" s="30" t="s">
        <v>1035</v>
      </c>
      <c r="L87" s="30" t="s">
        <v>1229</v>
      </c>
      <c r="M87" s="30" t="s">
        <v>624</v>
      </c>
      <c r="N87" s="30"/>
      <c r="O87" s="31">
        <f t="shared" si="10"/>
        <v>21</v>
      </c>
      <c r="P87" s="136" t="s">
        <v>1669</v>
      </c>
      <c r="Q87" s="31">
        <f t="shared" si="11"/>
        <v>7</v>
      </c>
      <c r="R87" s="32">
        <f t="shared" si="12"/>
        <v>0.75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 t="s">
        <v>2221</v>
      </c>
      <c r="AD87" s="70" t="s">
        <v>2221</v>
      </c>
      <c r="AE87" s="70" t="s">
        <v>2221</v>
      </c>
      <c r="AF87" s="70" t="s">
        <v>2221</v>
      </c>
      <c r="AG87" s="70" t="s">
        <v>2221</v>
      </c>
      <c r="AH87" s="70"/>
      <c r="AI87" s="70"/>
      <c r="AJ87" s="70" t="s">
        <v>2221</v>
      </c>
      <c r="AK87" s="70" t="s">
        <v>2221</v>
      </c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</v>
      </c>
      <c r="C88"/>
      <c r="D88"/>
      <c r="E88" t="s">
        <v>2331</v>
      </c>
      <c r="F88" t="s">
        <v>51</v>
      </c>
      <c r="G88" t="s">
        <v>88</v>
      </c>
      <c r="H88" t="s">
        <v>1041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1670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2339</v>
      </c>
      <c r="F89" t="s">
        <v>51</v>
      </c>
      <c r="G89" t="s">
        <v>90</v>
      </c>
      <c r="H89" t="s">
        <v>1041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1671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1041</v>
      </c>
      <c r="I90" s="73" t="s">
        <v>93</v>
      </c>
      <c r="J90" s="84" t="s">
        <v>18</v>
      </c>
      <c r="K90" s="84" t="s">
        <v>1278</v>
      </c>
      <c r="L90" s="84"/>
      <c r="M90" s="84" t="s">
        <v>627</v>
      </c>
      <c r="N90" s="84"/>
      <c r="O90" s="131">
        <f t="shared" si="10"/>
        <v>28</v>
      </c>
      <c r="P90" s="136" t="s">
        <v>1672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1041</v>
      </c>
      <c r="I91" s="88" t="s">
        <v>95</v>
      </c>
      <c r="J91" s="89" t="s">
        <v>71</v>
      </c>
      <c r="K91" s="84" t="s">
        <v>1278</v>
      </c>
      <c r="L91" s="89"/>
      <c r="M91" s="89" t="s">
        <v>2256</v>
      </c>
      <c r="N91" s="89"/>
      <c r="O91" s="31">
        <f t="shared" si="10"/>
        <v>28</v>
      </c>
      <c r="P91" s="136" t="s">
        <v>2305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1041</v>
      </c>
      <c r="I92" s="73" t="s">
        <v>97</v>
      </c>
      <c r="J92" s="84" t="s">
        <v>18</v>
      </c>
      <c r="K92" s="84" t="s">
        <v>1278</v>
      </c>
      <c r="L92" s="84"/>
      <c r="M92" s="84" t="s">
        <v>1352</v>
      </c>
      <c r="N92" s="84"/>
      <c r="O92" s="131">
        <f t="shared" si="10"/>
        <v>10</v>
      </c>
      <c r="P92" s="136" t="s">
        <v>1673</v>
      </c>
      <c r="Q92" s="131">
        <f t="shared" si="11"/>
        <v>18</v>
      </c>
      <c r="R92" s="132">
        <f t="shared" si="12"/>
        <v>0.35714285714285715</v>
      </c>
      <c r="S92" s="70"/>
      <c r="T92" s="70"/>
      <c r="U92" s="70"/>
      <c r="V92" s="70" t="s">
        <v>2221</v>
      </c>
      <c r="W92" s="70" t="s">
        <v>2221</v>
      </c>
      <c r="X92" s="70" t="s">
        <v>2221</v>
      </c>
      <c r="Y92" s="70" t="s">
        <v>2221</v>
      </c>
      <c r="Z92" s="70" t="s">
        <v>2221</v>
      </c>
      <c r="AA92" s="70"/>
      <c r="AB92" s="70"/>
      <c r="AC92" s="70" t="s">
        <v>2221</v>
      </c>
      <c r="AD92" s="70" t="s">
        <v>2221</v>
      </c>
      <c r="AE92" s="70" t="s">
        <v>2221</v>
      </c>
      <c r="AF92" s="70" t="s">
        <v>2221</v>
      </c>
      <c r="AG92" s="70" t="s">
        <v>2221</v>
      </c>
      <c r="AH92" s="70"/>
      <c r="AI92" s="70"/>
      <c r="AJ92" s="70" t="s">
        <v>2221</v>
      </c>
      <c r="AK92" s="70" t="s">
        <v>2221</v>
      </c>
      <c r="AL92" s="70" t="s">
        <v>2221</v>
      </c>
      <c r="AM92" s="70" t="s">
        <v>2221</v>
      </c>
      <c r="AN92" s="70" t="s">
        <v>2221</v>
      </c>
      <c r="AO92" s="70"/>
      <c r="AP92" s="70"/>
      <c r="AQ92" s="70"/>
      <c r="AR92" s="70" t="s">
        <v>2221</v>
      </c>
      <c r="AS92" s="70" t="s">
        <v>2221</v>
      </c>
      <c r="AT92" s="70" t="s">
        <v>2221</v>
      </c>
      <c r="AU92" s="70"/>
      <c r="AV92" s="70"/>
      <c r="AW92" s="73"/>
    </row>
    <row r="93" spans="1:49" ht="15.75" thickBot="1" x14ac:dyDescent="0.3">
      <c r="A93">
        <v>2</v>
      </c>
      <c r="B93">
        <v>1</v>
      </c>
      <c r="C93"/>
      <c r="D93"/>
      <c r="E93" t="s">
        <v>2331</v>
      </c>
      <c r="F93" t="s">
        <v>51</v>
      </c>
      <c r="G93" t="s">
        <v>98</v>
      </c>
      <c r="H93" t="s">
        <v>1041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1674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1041</v>
      </c>
      <c r="I94" t="s">
        <v>1059</v>
      </c>
      <c r="J94" s="30" t="s">
        <v>18</v>
      </c>
      <c r="K94" s="30" t="s">
        <v>1278</v>
      </c>
      <c r="L94" s="30"/>
      <c r="M94" s="30" t="s">
        <v>2314</v>
      </c>
      <c r="N94" s="30"/>
      <c r="O94" s="31">
        <f t="shared" ref="O94:O125" si="13">COUNTIF(S94:AT94,"")</f>
        <v>28</v>
      </c>
      <c r="P94" s="136" t="s">
        <v>1675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 s="151" t="s">
        <v>2458</v>
      </c>
      <c r="F95" t="s">
        <v>51</v>
      </c>
      <c r="G95" t="s">
        <v>101</v>
      </c>
      <c r="H95" t="s">
        <v>1041</v>
      </c>
      <c r="I95" t="s">
        <v>102</v>
      </c>
      <c r="J95" s="30" t="s">
        <v>18</v>
      </c>
      <c r="K95" s="30" t="s">
        <v>1278</v>
      </c>
      <c r="L95" s="30"/>
      <c r="M95" s="30" t="s">
        <v>629</v>
      </c>
      <c r="N95" s="30"/>
      <c r="O95" s="31">
        <f t="shared" si="13"/>
        <v>28</v>
      </c>
      <c r="P95" s="136" t="s">
        <v>1676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2330</v>
      </c>
      <c r="F96" t="s">
        <v>51</v>
      </c>
      <c r="G96" t="s">
        <v>103</v>
      </c>
      <c r="H96" t="s">
        <v>1041</v>
      </c>
      <c r="I96" t="s">
        <v>1061</v>
      </c>
      <c r="J96" s="30" t="s">
        <v>18</v>
      </c>
      <c r="K96" s="30" t="s">
        <v>27</v>
      </c>
      <c r="L96" s="30"/>
      <c r="M96" s="30" t="s">
        <v>2390</v>
      </c>
      <c r="N96" s="30"/>
      <c r="O96" s="31">
        <f t="shared" si="13"/>
        <v>28</v>
      </c>
      <c r="P96" s="136" t="s">
        <v>2391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2330</v>
      </c>
      <c r="F97" t="s">
        <v>51</v>
      </c>
      <c r="G97" t="s">
        <v>104</v>
      </c>
      <c r="H97" t="s">
        <v>1041</v>
      </c>
      <c r="I97" t="s">
        <v>1062</v>
      </c>
      <c r="J97" s="30" t="s">
        <v>18</v>
      </c>
      <c r="K97" s="30" t="s">
        <v>27</v>
      </c>
      <c r="L97" s="30"/>
      <c r="M97" s="30" t="s">
        <v>1450</v>
      </c>
      <c r="N97" s="30"/>
      <c r="O97" s="31">
        <f t="shared" si="13"/>
        <v>28</v>
      </c>
      <c r="P97" s="136" t="s">
        <v>1677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2330</v>
      </c>
      <c r="F98" t="s">
        <v>51</v>
      </c>
      <c r="G98" t="s">
        <v>105</v>
      </c>
      <c r="H98" t="s">
        <v>1041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1678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2330</v>
      </c>
      <c r="F99" t="s">
        <v>51</v>
      </c>
      <c r="G99" t="s">
        <v>107</v>
      </c>
      <c r="H99" t="s">
        <v>1041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1679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2331</v>
      </c>
      <c r="F100" t="s">
        <v>51</v>
      </c>
      <c r="G100" t="s">
        <v>109</v>
      </c>
      <c r="H100" t="s">
        <v>1041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1680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2331</v>
      </c>
      <c r="F101" t="s">
        <v>51</v>
      </c>
      <c r="G101" t="s">
        <v>111</v>
      </c>
      <c r="H101" t="s">
        <v>1041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1681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2331</v>
      </c>
      <c r="F102" t="s">
        <v>51</v>
      </c>
      <c r="G102" t="s">
        <v>113</v>
      </c>
      <c r="H102" t="s">
        <v>1041</v>
      </c>
      <c r="I102" t="s">
        <v>1063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1682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2331</v>
      </c>
      <c r="F103" t="s">
        <v>51</v>
      </c>
      <c r="G103" t="s">
        <v>114</v>
      </c>
      <c r="H103" t="s">
        <v>1041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1683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2330</v>
      </c>
      <c r="F104" t="s">
        <v>51</v>
      </c>
      <c r="G104" t="s">
        <v>116</v>
      </c>
      <c r="H104" t="s">
        <v>1041</v>
      </c>
      <c r="I104" t="s">
        <v>1044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28</v>
      </c>
      <c r="P104" s="136" t="s">
        <v>1684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2366</v>
      </c>
      <c r="F105" t="s">
        <v>51</v>
      </c>
      <c r="G105" t="s">
        <v>117</v>
      </c>
      <c r="H105" t="s">
        <v>1041</v>
      </c>
      <c r="I105" t="s">
        <v>1045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27</v>
      </c>
      <c r="P105" s="136" t="s">
        <v>1685</v>
      </c>
      <c r="Q105" s="31">
        <f t="shared" si="14"/>
        <v>1</v>
      </c>
      <c r="R105" s="32">
        <f t="shared" si="15"/>
        <v>0.9642857142857143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 t="s">
        <v>2221</v>
      </c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1041</v>
      </c>
      <c r="I106" t="s">
        <v>1046</v>
      </c>
      <c r="J106" s="30" t="s">
        <v>18</v>
      </c>
      <c r="K106" s="30" t="s">
        <v>1278</v>
      </c>
      <c r="L106" s="30"/>
      <c r="M106" s="30" t="s">
        <v>638</v>
      </c>
      <c r="N106" s="30"/>
      <c r="O106" s="31">
        <f t="shared" si="13"/>
        <v>28</v>
      </c>
      <c r="P106" s="136" t="s">
        <v>1686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>
        <v>1</v>
      </c>
      <c r="B107">
        <v>14</v>
      </c>
      <c r="C107"/>
      <c r="D107"/>
      <c r="E107" t="s">
        <v>2366</v>
      </c>
      <c r="F107" t="s">
        <v>51</v>
      </c>
      <c r="G107" t="s">
        <v>120</v>
      </c>
      <c r="H107" t="s">
        <v>1041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1688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2329</v>
      </c>
      <c r="F108" t="s">
        <v>51</v>
      </c>
      <c r="G108" t="s">
        <v>122</v>
      </c>
      <c r="H108" t="s">
        <v>1041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1689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2329</v>
      </c>
      <c r="F109" t="s">
        <v>51</v>
      </c>
      <c r="G109" t="s">
        <v>124</v>
      </c>
      <c r="H109" t="s">
        <v>1041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1690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2329</v>
      </c>
      <c r="F110" t="s">
        <v>51</v>
      </c>
      <c r="G110" t="s">
        <v>126</v>
      </c>
      <c r="H110" t="s">
        <v>1041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15</v>
      </c>
      <c r="P110" s="136" t="s">
        <v>1691</v>
      </c>
      <c r="Q110" s="31">
        <f t="shared" si="14"/>
        <v>13</v>
      </c>
      <c r="R110" s="32">
        <f t="shared" si="15"/>
        <v>0.5357142857142857</v>
      </c>
      <c r="S110" s="70"/>
      <c r="T110" s="70"/>
      <c r="U110" s="70"/>
      <c r="V110" s="70"/>
      <c r="W110" s="70"/>
      <c r="X110" s="70" t="s">
        <v>2221</v>
      </c>
      <c r="Y110" s="70"/>
      <c r="Z110" s="70"/>
      <c r="AA110" s="70"/>
      <c r="AB110" s="70"/>
      <c r="AC110" s="70"/>
      <c r="AD110" s="70" t="s">
        <v>2221</v>
      </c>
      <c r="AE110" s="70" t="s">
        <v>2221</v>
      </c>
      <c r="AF110" s="70" t="s">
        <v>2221</v>
      </c>
      <c r="AG110" s="70" t="s">
        <v>2221</v>
      </c>
      <c r="AH110" s="70"/>
      <c r="AI110" s="70"/>
      <c r="AJ110" s="70" t="s">
        <v>2221</v>
      </c>
      <c r="AK110" s="70" t="s">
        <v>2221</v>
      </c>
      <c r="AL110" s="70" t="s">
        <v>2221</v>
      </c>
      <c r="AM110" s="70" t="s">
        <v>2221</v>
      </c>
      <c r="AN110" s="70" t="s">
        <v>2221</v>
      </c>
      <c r="AO110" s="70"/>
      <c r="AP110" s="70"/>
      <c r="AQ110" s="70"/>
      <c r="AR110" s="70" t="s">
        <v>2221</v>
      </c>
      <c r="AS110" s="70" t="s">
        <v>2221</v>
      </c>
      <c r="AT110" s="70" t="s">
        <v>2221</v>
      </c>
      <c r="AU110" s="70"/>
      <c r="AV110" s="70"/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1041</v>
      </c>
      <c r="I111" s="73" t="s">
        <v>1491</v>
      </c>
      <c r="J111" s="84" t="s">
        <v>18</v>
      </c>
      <c r="K111" s="84" t="s">
        <v>1278</v>
      </c>
      <c r="L111" s="84"/>
      <c r="M111" s="84" t="s">
        <v>644</v>
      </c>
      <c r="N111" s="84"/>
      <c r="O111" s="131">
        <f t="shared" si="13"/>
        <v>28</v>
      </c>
      <c r="P111" s="136" t="s">
        <v>1692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2331</v>
      </c>
      <c r="F112" t="s">
        <v>51</v>
      </c>
      <c r="G112" t="s">
        <v>129</v>
      </c>
      <c r="H112" t="s">
        <v>1041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25</v>
      </c>
      <c r="P112" s="136" t="s">
        <v>1693</v>
      </c>
      <c r="Q112" s="31">
        <f t="shared" si="14"/>
        <v>3</v>
      </c>
      <c r="R112" s="32">
        <f t="shared" si="15"/>
        <v>0.8928571428571429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 t="s">
        <v>2221</v>
      </c>
      <c r="AF112" s="70"/>
      <c r="AG112" s="70"/>
      <c r="AH112" s="70"/>
      <c r="AI112" s="70"/>
      <c r="AJ112" s="70"/>
      <c r="AK112" s="70" t="s">
        <v>2221</v>
      </c>
      <c r="AL112" s="70" t="s">
        <v>2221</v>
      </c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2331</v>
      </c>
      <c r="F113" t="s">
        <v>51</v>
      </c>
      <c r="G113" t="s">
        <v>131</v>
      </c>
      <c r="H113" t="s">
        <v>1041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27</v>
      </c>
      <c r="P113" s="136" t="s">
        <v>1694</v>
      </c>
      <c r="Q113" s="31">
        <f t="shared" si="14"/>
        <v>1</v>
      </c>
      <c r="R113" s="32">
        <f t="shared" si="15"/>
        <v>0.9642857142857143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 t="s">
        <v>2221</v>
      </c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2332</v>
      </c>
      <c r="F114" t="s">
        <v>51</v>
      </c>
      <c r="G114" t="s">
        <v>1451</v>
      </c>
      <c r="H114" t="s">
        <v>1041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24</v>
      </c>
      <c r="P114" s="136" t="s">
        <v>1695</v>
      </c>
      <c r="Q114" s="31">
        <f t="shared" si="14"/>
        <v>4</v>
      </c>
      <c r="R114" s="32">
        <f t="shared" si="15"/>
        <v>0.8571428571428571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 t="s">
        <v>2221</v>
      </c>
      <c r="AO114" s="70"/>
      <c r="AP114" s="70"/>
      <c r="AQ114" s="70"/>
      <c r="AR114" s="70" t="s">
        <v>2221</v>
      </c>
      <c r="AS114" s="70" t="s">
        <v>2221</v>
      </c>
      <c r="AT114" s="70" t="s">
        <v>2221</v>
      </c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2332</v>
      </c>
      <c r="F115" t="s">
        <v>51</v>
      </c>
      <c r="G115" t="s">
        <v>1452</v>
      </c>
      <c r="H115" t="s">
        <v>1041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24</v>
      </c>
      <c r="P115" s="136" t="s">
        <v>1696</v>
      </c>
      <c r="Q115" s="31">
        <f t="shared" si="14"/>
        <v>4</v>
      </c>
      <c r="R115" s="32">
        <f t="shared" si="15"/>
        <v>0.8571428571428571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 t="s">
        <v>2221</v>
      </c>
      <c r="AO115" s="70"/>
      <c r="AP115" s="70"/>
      <c r="AQ115" s="70"/>
      <c r="AR115" s="70" t="s">
        <v>2221</v>
      </c>
      <c r="AS115" s="70" t="s">
        <v>2221</v>
      </c>
      <c r="AT115" s="70" t="s">
        <v>2221</v>
      </c>
      <c r="AU115" s="70"/>
      <c r="AV115" s="70"/>
    </row>
    <row r="116" spans="1:49" ht="15.75" thickBot="1" x14ac:dyDescent="0.3">
      <c r="A116">
        <v>3</v>
      </c>
      <c r="B116">
        <v>1</v>
      </c>
      <c r="C116"/>
      <c r="D116"/>
      <c r="E116" t="s">
        <v>2331</v>
      </c>
      <c r="F116" t="s">
        <v>51</v>
      </c>
      <c r="G116" t="s">
        <v>133</v>
      </c>
      <c r="H116" t="s">
        <v>1041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25</v>
      </c>
      <c r="P116" s="136" t="s">
        <v>1697</v>
      </c>
      <c r="Q116" s="31">
        <f t="shared" si="14"/>
        <v>3</v>
      </c>
      <c r="R116" s="32">
        <f t="shared" si="15"/>
        <v>0.8928571428571429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 t="s">
        <v>2221</v>
      </c>
      <c r="AK116" s="70"/>
      <c r="AL116" s="70"/>
      <c r="AM116" s="70"/>
      <c r="AN116" s="70"/>
      <c r="AO116" s="70"/>
      <c r="AP116" s="70"/>
      <c r="AQ116" s="70"/>
      <c r="AR116" s="70" t="s">
        <v>2221</v>
      </c>
      <c r="AS116" s="70" t="s">
        <v>2221</v>
      </c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1041</v>
      </c>
      <c r="I117" s="73" t="s">
        <v>136</v>
      </c>
      <c r="J117" s="84" t="s">
        <v>18</v>
      </c>
      <c r="K117" s="84" t="s">
        <v>1278</v>
      </c>
      <c r="L117" s="84"/>
      <c r="M117" s="84" t="s">
        <v>1400</v>
      </c>
      <c r="N117" s="84"/>
      <c r="O117" s="131">
        <f t="shared" si="13"/>
        <v>28</v>
      </c>
      <c r="P117" s="136" t="s">
        <v>1698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2366</v>
      </c>
      <c r="F118" t="s">
        <v>51</v>
      </c>
      <c r="G118" t="s">
        <v>137</v>
      </c>
      <c r="H118" t="s">
        <v>1041</v>
      </c>
      <c r="I118" t="s">
        <v>138</v>
      </c>
      <c r="J118" s="30" t="s">
        <v>18</v>
      </c>
      <c r="K118" s="30" t="s">
        <v>27</v>
      </c>
      <c r="L118" s="30"/>
      <c r="M118" s="30" t="s">
        <v>1432</v>
      </c>
      <c r="N118" s="30"/>
      <c r="O118" s="31">
        <f t="shared" si="13"/>
        <v>11</v>
      </c>
      <c r="P118" s="136" t="s">
        <v>1699</v>
      </c>
      <c r="Q118" s="31">
        <f t="shared" si="14"/>
        <v>17</v>
      </c>
      <c r="R118" s="32">
        <f t="shared" si="15"/>
        <v>0.39285714285714285</v>
      </c>
      <c r="S118" s="70"/>
      <c r="T118" s="70"/>
      <c r="U118" s="70"/>
      <c r="V118" s="70" t="s">
        <v>2221</v>
      </c>
      <c r="W118" s="70" t="s">
        <v>2221</v>
      </c>
      <c r="X118" s="70" t="s">
        <v>2221</v>
      </c>
      <c r="Y118" s="70" t="s">
        <v>2221</v>
      </c>
      <c r="Z118" s="70" t="s">
        <v>2221</v>
      </c>
      <c r="AA118" s="70"/>
      <c r="AB118" s="70"/>
      <c r="AC118" s="70" t="s">
        <v>2221</v>
      </c>
      <c r="AD118" s="70" t="s">
        <v>2221</v>
      </c>
      <c r="AE118" s="70" t="s">
        <v>2221</v>
      </c>
      <c r="AF118" s="70" t="s">
        <v>2221</v>
      </c>
      <c r="AG118" s="70" t="s">
        <v>2221</v>
      </c>
      <c r="AH118" s="70"/>
      <c r="AI118" s="70"/>
      <c r="AJ118" s="70" t="s">
        <v>2221</v>
      </c>
      <c r="AK118" s="70" t="s">
        <v>2221</v>
      </c>
      <c r="AL118" s="70" t="s">
        <v>2221</v>
      </c>
      <c r="AM118" s="70" t="s">
        <v>2221</v>
      </c>
      <c r="AN118" s="70" t="s">
        <v>2221</v>
      </c>
      <c r="AO118" s="70"/>
      <c r="AP118" s="70"/>
      <c r="AQ118" s="70"/>
      <c r="AR118" s="70" t="s">
        <v>2221</v>
      </c>
      <c r="AS118" s="70" t="s">
        <v>2221</v>
      </c>
      <c r="AT118" s="70"/>
      <c r="AU118" s="70"/>
      <c r="AV118" s="70"/>
      <c r="AW118"/>
    </row>
    <row r="119" spans="1:49" ht="13.9" customHeight="1" thickBot="1" x14ac:dyDescent="0.3">
      <c r="A119"/>
      <c r="B119"/>
      <c r="C119"/>
      <c r="D119"/>
      <c r="E119" s="151" t="s">
        <v>2458</v>
      </c>
      <c r="F119" s="73" t="s">
        <v>51</v>
      </c>
      <c r="G119" s="73" t="s">
        <v>140</v>
      </c>
      <c r="H119" s="73" t="s">
        <v>1041</v>
      </c>
      <c r="I119" s="73" t="s">
        <v>141</v>
      </c>
      <c r="J119" s="84" t="s">
        <v>14</v>
      </c>
      <c r="K119" s="84" t="s">
        <v>1278</v>
      </c>
      <c r="L119" s="84"/>
      <c r="M119" s="84" t="s">
        <v>1408</v>
      </c>
      <c r="N119" s="84"/>
      <c r="O119" s="131">
        <f t="shared" si="13"/>
        <v>28</v>
      </c>
      <c r="P119" s="136" t="s">
        <v>1702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915</v>
      </c>
      <c r="H120" s="73" t="s">
        <v>1041</v>
      </c>
      <c r="I120" s="73" t="s">
        <v>58</v>
      </c>
      <c r="J120" s="84" t="s">
        <v>14</v>
      </c>
      <c r="K120" s="84" t="s">
        <v>1278</v>
      </c>
      <c r="L120" s="84"/>
      <c r="M120" s="84" t="s">
        <v>1351</v>
      </c>
      <c r="N120" s="84"/>
      <c r="O120" s="131">
        <f t="shared" si="13"/>
        <v>28</v>
      </c>
      <c r="P120" s="136" t="s">
        <v>1709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2329</v>
      </c>
      <c r="F121" t="s">
        <v>51</v>
      </c>
      <c r="G121" t="s">
        <v>916</v>
      </c>
      <c r="H121" t="s">
        <v>1041</v>
      </c>
      <c r="I121" t="s">
        <v>1064</v>
      </c>
      <c r="J121" s="30" t="s">
        <v>14</v>
      </c>
      <c r="K121" s="30" t="s">
        <v>1035</v>
      </c>
      <c r="L121" s="30" t="s">
        <v>1230</v>
      </c>
      <c r="M121" s="30" t="s">
        <v>653</v>
      </c>
      <c r="N121" s="30"/>
      <c r="O121" s="31">
        <f t="shared" si="13"/>
        <v>28</v>
      </c>
      <c r="P121" s="136" t="s">
        <v>1712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 s="151" t="s">
        <v>2458</v>
      </c>
      <c r="F122" t="s">
        <v>51</v>
      </c>
      <c r="G122" t="s">
        <v>917</v>
      </c>
      <c r="H122" t="s">
        <v>1041</v>
      </c>
      <c r="I122" t="s">
        <v>63</v>
      </c>
      <c r="J122" s="30" t="s">
        <v>14</v>
      </c>
      <c r="K122" s="30" t="s">
        <v>1278</v>
      </c>
      <c r="L122" s="30"/>
      <c r="M122" s="30" t="s">
        <v>654</v>
      </c>
      <c r="N122" s="30"/>
      <c r="O122" s="31">
        <f t="shared" si="13"/>
        <v>28</v>
      </c>
      <c r="P122" s="136" t="s">
        <v>1713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2330</v>
      </c>
      <c r="F123" t="s">
        <v>51</v>
      </c>
      <c r="G123" t="s">
        <v>142</v>
      </c>
      <c r="H123" t="s">
        <v>1041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28</v>
      </c>
      <c r="P123" s="136" t="s">
        <v>1714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 s="151" t="s">
        <v>2459</v>
      </c>
      <c r="F124" s="73" t="s">
        <v>51</v>
      </c>
      <c r="G124" s="73" t="s">
        <v>145</v>
      </c>
      <c r="H124" s="73" t="s">
        <v>1041</v>
      </c>
      <c r="I124" s="73" t="s">
        <v>144</v>
      </c>
      <c r="J124" s="84" t="s">
        <v>45</v>
      </c>
      <c r="K124" s="84" t="s">
        <v>1278</v>
      </c>
      <c r="L124" s="84"/>
      <c r="M124" s="84" t="s">
        <v>656</v>
      </c>
      <c r="N124" s="84"/>
      <c r="O124" s="131">
        <f t="shared" si="13"/>
        <v>28</v>
      </c>
      <c r="P124" s="136" t="s">
        <v>1715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1041</v>
      </c>
      <c r="I125" s="73" t="s">
        <v>147</v>
      </c>
      <c r="J125" s="84" t="s">
        <v>71</v>
      </c>
      <c r="K125" s="84" t="s">
        <v>1278</v>
      </c>
      <c r="L125" s="84"/>
      <c r="M125" s="84" t="s">
        <v>660</v>
      </c>
      <c r="N125" s="84"/>
      <c r="O125" s="131">
        <f t="shared" si="13"/>
        <v>28</v>
      </c>
      <c r="P125" s="136" t="s">
        <v>1717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1041</v>
      </c>
      <c r="I126" s="73" t="s">
        <v>147</v>
      </c>
      <c r="J126" s="84" t="s">
        <v>71</v>
      </c>
      <c r="K126" s="84" t="s">
        <v>1278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1716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2342</v>
      </c>
      <c r="F127" t="s">
        <v>51</v>
      </c>
      <c r="G127" t="s">
        <v>149</v>
      </c>
      <c r="H127" t="s">
        <v>1041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1718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1041</v>
      </c>
      <c r="I128" t="s">
        <v>152</v>
      </c>
      <c r="J128" s="30" t="s">
        <v>14</v>
      </c>
      <c r="K128" s="30" t="s">
        <v>1278</v>
      </c>
      <c r="L128" s="30"/>
      <c r="M128" s="30" t="s">
        <v>666</v>
      </c>
      <c r="N128" s="30"/>
      <c r="O128" s="31">
        <f t="shared" si="16"/>
        <v>28</v>
      </c>
      <c r="P128" s="136" t="s">
        <v>1722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1" t="s">
        <v>2457</v>
      </c>
      <c r="F129" t="s">
        <v>51</v>
      </c>
      <c r="G129" t="s">
        <v>153</v>
      </c>
      <c r="H129" t="s">
        <v>1041</v>
      </c>
      <c r="I129" t="s">
        <v>154</v>
      </c>
      <c r="J129" s="30" t="s">
        <v>18</v>
      </c>
      <c r="K129" s="30" t="s">
        <v>2367</v>
      </c>
      <c r="L129" s="30"/>
      <c r="M129" s="30" t="s">
        <v>667</v>
      </c>
      <c r="N129" s="30"/>
      <c r="O129" s="31">
        <f t="shared" si="16"/>
        <v>10</v>
      </c>
      <c r="P129" s="136" t="s">
        <v>1723</v>
      </c>
      <c r="Q129" s="31">
        <f t="shared" si="17"/>
        <v>18</v>
      </c>
      <c r="R129" s="32">
        <f t="shared" si="18"/>
        <v>0.35714285714285715</v>
      </c>
      <c r="S129" s="70"/>
      <c r="T129" s="70"/>
      <c r="U129" s="70"/>
      <c r="V129" s="70" t="s">
        <v>2221</v>
      </c>
      <c r="W129" s="70" t="s">
        <v>2221</v>
      </c>
      <c r="X129" s="70" t="s">
        <v>2221</v>
      </c>
      <c r="Y129" s="70" t="s">
        <v>2221</v>
      </c>
      <c r="Z129" s="70" t="s">
        <v>2221</v>
      </c>
      <c r="AA129" s="70"/>
      <c r="AB129" s="138"/>
      <c r="AC129" s="70" t="s">
        <v>2221</v>
      </c>
      <c r="AD129" s="70" t="s">
        <v>2221</v>
      </c>
      <c r="AE129" s="70" t="s">
        <v>2221</v>
      </c>
      <c r="AF129" s="70" t="s">
        <v>2221</v>
      </c>
      <c r="AG129" s="70" t="s">
        <v>2221</v>
      </c>
      <c r="AH129" s="70"/>
      <c r="AI129" s="70"/>
      <c r="AJ129" s="70" t="s">
        <v>2221</v>
      </c>
      <c r="AK129" s="70" t="s">
        <v>2221</v>
      </c>
      <c r="AL129" s="70" t="s">
        <v>2221</v>
      </c>
      <c r="AM129" s="70" t="s">
        <v>2221</v>
      </c>
      <c r="AN129" s="70" t="s">
        <v>2221</v>
      </c>
      <c r="AO129" s="70"/>
      <c r="AP129" s="70"/>
      <c r="AQ129" s="70"/>
      <c r="AR129" s="70" t="s">
        <v>2221</v>
      </c>
      <c r="AS129" s="70" t="s">
        <v>2221</v>
      </c>
      <c r="AT129" s="70" t="s">
        <v>2221</v>
      </c>
      <c r="AU129" s="70"/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1172</v>
      </c>
      <c r="H130" s="84" t="s">
        <v>1041</v>
      </c>
      <c r="I130" s="73" t="s">
        <v>1173</v>
      </c>
      <c r="J130" s="84" t="s">
        <v>18</v>
      </c>
      <c r="K130" s="84" t="s">
        <v>1278</v>
      </c>
      <c r="L130" s="84"/>
      <c r="M130" s="84" t="s">
        <v>1174</v>
      </c>
      <c r="N130" s="84"/>
      <c r="O130" s="131">
        <f t="shared" si="16"/>
        <v>28</v>
      </c>
      <c r="P130" s="136" t="s">
        <v>1732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1301</v>
      </c>
      <c r="H131" s="84" t="s">
        <v>1041</v>
      </c>
      <c r="I131" s="73" t="s">
        <v>1302</v>
      </c>
      <c r="J131" s="84" t="s">
        <v>18</v>
      </c>
      <c r="K131" s="84" t="s">
        <v>1278</v>
      </c>
      <c r="L131" s="84"/>
      <c r="M131" s="84" t="s">
        <v>1303</v>
      </c>
      <c r="N131" s="84"/>
      <c r="O131" s="131">
        <f t="shared" si="16"/>
        <v>12</v>
      </c>
      <c r="P131" s="136" t="s">
        <v>1736</v>
      </c>
      <c r="Q131" s="131">
        <f t="shared" si="17"/>
        <v>16</v>
      </c>
      <c r="R131" s="132">
        <f t="shared" si="18"/>
        <v>0.42857142857142855</v>
      </c>
      <c r="S131" s="70"/>
      <c r="T131" s="70"/>
      <c r="U131" s="70"/>
      <c r="V131" s="70" t="s">
        <v>2221</v>
      </c>
      <c r="W131" s="70" t="s">
        <v>2221</v>
      </c>
      <c r="X131" s="70" t="s">
        <v>2221</v>
      </c>
      <c r="Y131" s="70" t="s">
        <v>2221</v>
      </c>
      <c r="Z131" s="70" t="s">
        <v>2221</v>
      </c>
      <c r="AA131" s="70"/>
      <c r="AB131" s="70"/>
      <c r="AC131" s="70" t="s">
        <v>2221</v>
      </c>
      <c r="AD131" s="70" t="s">
        <v>2221</v>
      </c>
      <c r="AE131" s="70" t="s">
        <v>2221</v>
      </c>
      <c r="AF131" s="70" t="s">
        <v>2221</v>
      </c>
      <c r="AG131" s="70" t="s">
        <v>2221</v>
      </c>
      <c r="AH131" s="70"/>
      <c r="AI131" s="70"/>
      <c r="AJ131" s="70" t="s">
        <v>2221</v>
      </c>
      <c r="AK131" s="70" t="s">
        <v>2221</v>
      </c>
      <c r="AL131" s="70" t="s">
        <v>2221</v>
      </c>
      <c r="AM131" s="70" t="s">
        <v>2221</v>
      </c>
      <c r="AN131" s="70" t="s">
        <v>2221</v>
      </c>
      <c r="AO131" s="70"/>
      <c r="AP131" s="70"/>
      <c r="AQ131" s="70"/>
      <c r="AR131" s="70" t="s">
        <v>2221</v>
      </c>
      <c r="AS131" s="70"/>
      <c r="AT131" s="70"/>
      <c r="AU131" s="70"/>
      <c r="AV131" s="70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1392</v>
      </c>
      <c r="H132" s="84" t="s">
        <v>1041</v>
      </c>
      <c r="I132" s="73" t="s">
        <v>1501</v>
      </c>
      <c r="J132" s="84" t="s">
        <v>18</v>
      </c>
      <c r="K132" s="84" t="s">
        <v>1278</v>
      </c>
      <c r="L132" s="84"/>
      <c r="M132" s="84" t="s">
        <v>1393</v>
      </c>
      <c r="N132" s="84"/>
      <c r="O132" s="131">
        <f t="shared" si="16"/>
        <v>28</v>
      </c>
      <c r="P132" s="136" t="s">
        <v>1737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1478</v>
      </c>
      <c r="H133" s="84" t="s">
        <v>1041</v>
      </c>
      <c r="I133" s="73" t="s">
        <v>1479</v>
      </c>
      <c r="J133" s="84" t="s">
        <v>18</v>
      </c>
      <c r="K133" s="84" t="s">
        <v>1278</v>
      </c>
      <c r="L133" s="84"/>
      <c r="M133" s="84" t="s">
        <v>1483</v>
      </c>
      <c r="N133" s="84"/>
      <c r="O133" s="131">
        <f t="shared" si="16"/>
        <v>28</v>
      </c>
      <c r="P133" s="136" t="s">
        <v>1738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2363</v>
      </c>
      <c r="F134" t="s">
        <v>51</v>
      </c>
      <c r="G134" s="30" t="s">
        <v>1457</v>
      </c>
      <c r="H134" s="30" t="s">
        <v>1041</v>
      </c>
      <c r="I134" t="s">
        <v>1456</v>
      </c>
      <c r="J134" s="84" t="s">
        <v>71</v>
      </c>
      <c r="K134" s="84" t="s">
        <v>27</v>
      </c>
      <c r="L134" s="84"/>
      <c r="M134" s="84" t="s">
        <v>1458</v>
      </c>
      <c r="N134" s="84" t="s">
        <v>2265</v>
      </c>
      <c r="O134" s="131">
        <f t="shared" si="16"/>
        <v>28</v>
      </c>
      <c r="P134" s="136" t="s">
        <v>1739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2363</v>
      </c>
      <c r="F135" t="s">
        <v>51</v>
      </c>
      <c r="G135" s="30" t="s">
        <v>1460</v>
      </c>
      <c r="H135" s="30" t="s">
        <v>1041</v>
      </c>
      <c r="I135" t="s">
        <v>1459</v>
      </c>
      <c r="J135" s="84" t="s">
        <v>18</v>
      </c>
      <c r="K135" s="84" t="s">
        <v>27</v>
      </c>
      <c r="L135" s="84"/>
      <c r="M135" s="84" t="s">
        <v>1461</v>
      </c>
      <c r="N135" s="84" t="s">
        <v>2265</v>
      </c>
      <c r="O135" s="131">
        <f t="shared" si="16"/>
        <v>28</v>
      </c>
      <c r="P135" s="136" t="s">
        <v>1740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1492</v>
      </c>
      <c r="H136" s="84" t="s">
        <v>1041</v>
      </c>
      <c r="I136" s="73" t="s">
        <v>1493</v>
      </c>
      <c r="J136" s="84" t="s">
        <v>18</v>
      </c>
      <c r="K136" s="84" t="s">
        <v>1278</v>
      </c>
      <c r="L136" s="84"/>
      <c r="M136" s="84" t="s">
        <v>1494</v>
      </c>
      <c r="N136" s="84"/>
      <c r="O136" s="131">
        <f t="shared" si="16"/>
        <v>28</v>
      </c>
      <c r="P136" s="136" t="s">
        <v>1741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2330</v>
      </c>
      <c r="F137" t="s">
        <v>51</v>
      </c>
      <c r="G137" s="30" t="s">
        <v>1495</v>
      </c>
      <c r="H137" s="30" t="s">
        <v>1041</v>
      </c>
      <c r="I137" t="s">
        <v>1496</v>
      </c>
      <c r="J137" s="84" t="s">
        <v>18</v>
      </c>
      <c r="K137" s="84" t="s">
        <v>27</v>
      </c>
      <c r="L137" s="84"/>
      <c r="M137" s="84" t="s">
        <v>1497</v>
      </c>
      <c r="N137" s="84"/>
      <c r="O137" s="131">
        <f t="shared" si="16"/>
        <v>28</v>
      </c>
      <c r="P137" s="136" t="s">
        <v>1742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</v>
      </c>
      <c r="C138"/>
      <c r="D138"/>
      <c r="E138" t="s">
        <v>2331</v>
      </c>
      <c r="F138" t="s">
        <v>51</v>
      </c>
      <c r="G138" s="30" t="s">
        <v>1615</v>
      </c>
      <c r="H138" s="30" t="s">
        <v>1041</v>
      </c>
      <c r="I138" t="s">
        <v>1616</v>
      </c>
      <c r="J138" s="84" t="s">
        <v>18</v>
      </c>
      <c r="K138" s="84" t="s">
        <v>27</v>
      </c>
      <c r="L138" s="84"/>
      <c r="M138" s="84" t="s">
        <v>2082</v>
      </c>
      <c r="N138" s="84"/>
      <c r="O138" s="131">
        <f t="shared" si="16"/>
        <v>28</v>
      </c>
      <c r="P138" s="136" t="s">
        <v>2142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2366</v>
      </c>
      <c r="F139" s="73" t="s">
        <v>51</v>
      </c>
      <c r="G139" s="84" t="s">
        <v>1533</v>
      </c>
      <c r="H139" s="84" t="s">
        <v>1041</v>
      </c>
      <c r="I139" s="73" t="s">
        <v>1535</v>
      </c>
      <c r="J139" s="84" t="s">
        <v>18</v>
      </c>
      <c r="K139" s="84" t="s">
        <v>27</v>
      </c>
      <c r="L139" s="84"/>
      <c r="M139" s="84" t="s">
        <v>1537</v>
      </c>
      <c r="N139" s="84"/>
      <c r="O139" s="131">
        <f t="shared" si="16"/>
        <v>28</v>
      </c>
      <c r="P139" s="136" t="s">
        <v>1743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2329</v>
      </c>
      <c r="F140" s="73" t="s">
        <v>51</v>
      </c>
      <c r="G140" s="84" t="s">
        <v>1534</v>
      </c>
      <c r="H140" s="84" t="s">
        <v>1041</v>
      </c>
      <c r="I140" s="73" t="s">
        <v>1536</v>
      </c>
      <c r="J140" s="84" t="s">
        <v>18</v>
      </c>
      <c r="K140" s="84" t="s">
        <v>27</v>
      </c>
      <c r="L140" s="84"/>
      <c r="M140" s="84" t="s">
        <v>1538</v>
      </c>
      <c r="N140" s="84"/>
      <c r="O140" s="131">
        <f t="shared" si="16"/>
        <v>28</v>
      </c>
      <c r="P140" s="136" t="s">
        <v>1744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2087</v>
      </c>
      <c r="H141" s="84" t="s">
        <v>1041</v>
      </c>
      <c r="I141" s="73" t="s">
        <v>2088</v>
      </c>
      <c r="J141" s="84" t="s">
        <v>18</v>
      </c>
      <c r="K141" s="84" t="s">
        <v>1278</v>
      </c>
      <c r="L141" s="84"/>
      <c r="M141" s="84" t="s">
        <v>2143</v>
      </c>
      <c r="N141" s="84"/>
      <c r="O141" s="131">
        <f t="shared" si="16"/>
        <v>28</v>
      </c>
      <c r="P141" s="136" t="s">
        <v>2144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2167</v>
      </c>
      <c r="H142" s="84" t="s">
        <v>1041</v>
      </c>
      <c r="I142" s="73" t="s">
        <v>2168</v>
      </c>
      <c r="J142" s="84" t="s">
        <v>18</v>
      </c>
      <c r="K142" s="84" t="s">
        <v>1278</v>
      </c>
      <c r="L142" s="84"/>
      <c r="M142" s="84" t="s">
        <v>2269</v>
      </c>
      <c r="N142" s="84"/>
      <c r="O142" s="131">
        <f t="shared" si="16"/>
        <v>28</v>
      </c>
      <c r="P142" s="136" t="s">
        <v>2169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1" t="s">
        <v>2457</v>
      </c>
      <c r="F143" s="73" t="s">
        <v>51</v>
      </c>
      <c r="G143" s="84" t="s">
        <v>2196</v>
      </c>
      <c r="H143" s="84" t="s">
        <v>1041</v>
      </c>
      <c r="I143" s="73" t="s">
        <v>2197</v>
      </c>
      <c r="J143" s="84" t="s">
        <v>18</v>
      </c>
      <c r="K143" s="30" t="s">
        <v>2367</v>
      </c>
      <c r="L143" s="84"/>
      <c r="M143" s="84" t="s">
        <v>2198</v>
      </c>
      <c r="N143" s="84"/>
      <c r="O143" s="131">
        <f t="shared" si="16"/>
        <v>10</v>
      </c>
      <c r="P143" s="136" t="s">
        <v>2199</v>
      </c>
      <c r="Q143" s="131">
        <f t="shared" si="17"/>
        <v>18</v>
      </c>
      <c r="R143" s="132">
        <f t="shared" si="18"/>
        <v>0.35714285714285715</v>
      </c>
      <c r="S143" s="70"/>
      <c r="T143" s="70"/>
      <c r="U143" s="70"/>
      <c r="V143" s="70" t="s">
        <v>2221</v>
      </c>
      <c r="W143" s="70" t="s">
        <v>2221</v>
      </c>
      <c r="X143" s="70" t="s">
        <v>2221</v>
      </c>
      <c r="Y143" s="70" t="s">
        <v>2221</v>
      </c>
      <c r="Z143" s="70" t="s">
        <v>2221</v>
      </c>
      <c r="AA143" s="70"/>
      <c r="AB143" s="70"/>
      <c r="AC143" s="70" t="s">
        <v>2221</v>
      </c>
      <c r="AD143" s="70" t="s">
        <v>2221</v>
      </c>
      <c r="AE143" s="70" t="s">
        <v>2221</v>
      </c>
      <c r="AF143" s="70" t="s">
        <v>2221</v>
      </c>
      <c r="AG143" s="70" t="s">
        <v>2221</v>
      </c>
      <c r="AH143" s="70"/>
      <c r="AI143" s="70"/>
      <c r="AJ143" s="70" t="s">
        <v>2221</v>
      </c>
      <c r="AK143" s="70" t="s">
        <v>2221</v>
      </c>
      <c r="AL143" s="70" t="s">
        <v>2221</v>
      </c>
      <c r="AM143" s="70" t="s">
        <v>2221</v>
      </c>
      <c r="AN143" s="70" t="s">
        <v>2221</v>
      </c>
      <c r="AO143" s="70"/>
      <c r="AP143" s="70"/>
      <c r="AQ143" s="70"/>
      <c r="AR143" s="70" t="s">
        <v>2221</v>
      </c>
      <c r="AS143" s="70" t="s">
        <v>2221</v>
      </c>
      <c r="AT143" s="70" t="s">
        <v>2221</v>
      </c>
      <c r="AU143" s="70"/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1041</v>
      </c>
      <c r="I144" t="s">
        <v>157</v>
      </c>
      <c r="J144" s="30" t="s">
        <v>18</v>
      </c>
      <c r="K144" s="30" t="s">
        <v>1035</v>
      </c>
      <c r="L144" s="30"/>
      <c r="M144" s="30" t="s">
        <v>1383</v>
      </c>
      <c r="N144" s="30"/>
      <c r="O144" s="31">
        <f t="shared" si="16"/>
        <v>26</v>
      </c>
      <c r="P144" s="136" t="s">
        <v>1745</v>
      </c>
      <c r="Q144" s="31">
        <f t="shared" si="17"/>
        <v>2</v>
      </c>
      <c r="R144" s="32">
        <f t="shared" si="18"/>
        <v>0.9285714285714286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 t="s">
        <v>2221</v>
      </c>
      <c r="AG144" s="70" t="s">
        <v>2221</v>
      </c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1041</v>
      </c>
      <c r="I145" t="s">
        <v>160</v>
      </c>
      <c r="J145" s="30" t="s">
        <v>18</v>
      </c>
      <c r="K145" s="30" t="s">
        <v>1035</v>
      </c>
      <c r="L145" s="30"/>
      <c r="M145" s="30" t="s">
        <v>668</v>
      </c>
      <c r="N145" s="30"/>
      <c r="O145" s="31">
        <f t="shared" si="16"/>
        <v>23</v>
      </c>
      <c r="P145" s="136"/>
      <c r="Q145" s="31">
        <f t="shared" si="17"/>
        <v>5</v>
      </c>
      <c r="R145" s="32">
        <f t="shared" si="18"/>
        <v>0.8214285714285714</v>
      </c>
      <c r="S145" s="70"/>
      <c r="T145" s="70"/>
      <c r="U145" s="70"/>
      <c r="V145" s="70"/>
      <c r="W145" s="70"/>
      <c r="X145" s="70" t="s">
        <v>2221</v>
      </c>
      <c r="Y145" s="70"/>
      <c r="Z145" s="70" t="s">
        <v>2221</v>
      </c>
      <c r="AA145" s="70"/>
      <c r="AB145" s="70"/>
      <c r="AC145" s="70"/>
      <c r="AD145" s="70"/>
      <c r="AE145" s="70"/>
      <c r="AF145" s="70"/>
      <c r="AG145" s="70"/>
      <c r="AH145" s="70"/>
      <c r="AI145" s="70"/>
      <c r="AJ145" s="70" t="s">
        <v>2221</v>
      </c>
      <c r="AK145" s="70"/>
      <c r="AL145" s="70"/>
      <c r="AM145" s="70"/>
      <c r="AN145" s="70" t="s">
        <v>2221</v>
      </c>
      <c r="AO145" s="70"/>
      <c r="AP145" s="70"/>
      <c r="AQ145" s="70"/>
      <c r="AR145" s="70" t="s">
        <v>2221</v>
      </c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2340</v>
      </c>
      <c r="F146" t="s">
        <v>158</v>
      </c>
      <c r="G146" t="s">
        <v>161</v>
      </c>
      <c r="H146" t="s">
        <v>1041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28</v>
      </c>
      <c r="P146" s="136" t="s">
        <v>1746</v>
      </c>
      <c r="Q146" s="31">
        <f t="shared" si="17"/>
        <v>0</v>
      </c>
      <c r="R146" s="32">
        <f t="shared" si="18"/>
        <v>1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1041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1747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2334</v>
      </c>
      <c r="F148" t="s">
        <v>165</v>
      </c>
      <c r="G148" t="s">
        <v>2353</v>
      </c>
      <c r="H148" t="s">
        <v>1042</v>
      </c>
      <c r="I148" t="s">
        <v>166</v>
      </c>
      <c r="J148" s="30" t="s">
        <v>18</v>
      </c>
      <c r="K148" s="30" t="s">
        <v>27</v>
      </c>
      <c r="L148" s="30"/>
      <c r="M148" s="30" t="s">
        <v>2159</v>
      </c>
      <c r="N148" s="30"/>
      <c r="O148" s="31">
        <f t="shared" si="16"/>
        <v>18</v>
      </c>
      <c r="P148" s="136" t="s">
        <v>1748</v>
      </c>
      <c r="Q148" s="31">
        <f t="shared" si="17"/>
        <v>10</v>
      </c>
      <c r="R148" s="32">
        <f t="shared" si="18"/>
        <v>0.6428571428571429</v>
      </c>
      <c r="S148" s="70"/>
      <c r="T148" s="70"/>
      <c r="U148" s="70"/>
      <c r="V148" s="70" t="s">
        <v>2221</v>
      </c>
      <c r="W148" s="70" t="s">
        <v>2221</v>
      </c>
      <c r="X148" s="70" t="s">
        <v>2221</v>
      </c>
      <c r="Y148" s="70" t="s">
        <v>2221</v>
      </c>
      <c r="Z148" s="70" t="s">
        <v>2221</v>
      </c>
      <c r="AA148" s="70"/>
      <c r="AB148" s="70"/>
      <c r="AC148" s="70" t="s">
        <v>2221</v>
      </c>
      <c r="AD148" s="70" t="s">
        <v>2221</v>
      </c>
      <c r="AE148" s="70" t="s">
        <v>2221</v>
      </c>
      <c r="AF148" s="70" t="s">
        <v>2221</v>
      </c>
      <c r="AG148" s="70" t="s">
        <v>2221</v>
      </c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2334</v>
      </c>
      <c r="F149" t="s">
        <v>167</v>
      </c>
      <c r="G149" t="s">
        <v>2354</v>
      </c>
      <c r="H149" t="s">
        <v>1042</v>
      </c>
      <c r="I149" t="s">
        <v>168</v>
      </c>
      <c r="J149" s="30" t="s">
        <v>18</v>
      </c>
      <c r="K149" s="30" t="s">
        <v>1035</v>
      </c>
      <c r="L149" s="30"/>
      <c r="M149" s="30" t="s">
        <v>1286</v>
      </c>
      <c r="N149" s="30"/>
      <c r="O149" s="31">
        <f t="shared" si="16"/>
        <v>13</v>
      </c>
      <c r="P149" s="136" t="s">
        <v>1749</v>
      </c>
      <c r="Q149" s="31">
        <f t="shared" si="17"/>
        <v>15</v>
      </c>
      <c r="R149" s="32">
        <f t="shared" si="18"/>
        <v>0.4642857142857143</v>
      </c>
      <c r="S149" s="70"/>
      <c r="T149" s="70"/>
      <c r="U149" s="70"/>
      <c r="V149" s="70" t="s">
        <v>2221</v>
      </c>
      <c r="W149" s="70" t="s">
        <v>2221</v>
      </c>
      <c r="X149" s="70" t="s">
        <v>2221</v>
      </c>
      <c r="Y149" s="70" t="s">
        <v>2221</v>
      </c>
      <c r="Z149" s="70" t="s">
        <v>2221</v>
      </c>
      <c r="AA149" s="70"/>
      <c r="AB149" s="70"/>
      <c r="AC149" s="70" t="s">
        <v>2221</v>
      </c>
      <c r="AD149" s="70" t="s">
        <v>2221</v>
      </c>
      <c r="AE149" s="70" t="s">
        <v>2221</v>
      </c>
      <c r="AF149" s="70" t="s">
        <v>2221</v>
      </c>
      <c r="AG149" s="70" t="s">
        <v>2221</v>
      </c>
      <c r="AH149" s="70"/>
      <c r="AI149" s="70"/>
      <c r="AJ149" s="70"/>
      <c r="AK149" s="70" t="s">
        <v>2221</v>
      </c>
      <c r="AL149" s="70" t="s">
        <v>2221</v>
      </c>
      <c r="AM149" s="70"/>
      <c r="AN149" s="70"/>
      <c r="AO149" s="70"/>
      <c r="AP149" s="70"/>
      <c r="AQ149" s="70"/>
      <c r="AR149" s="70" t="s">
        <v>2221</v>
      </c>
      <c r="AS149" s="70" t="s">
        <v>2221</v>
      </c>
      <c r="AT149" s="70" t="s">
        <v>2221</v>
      </c>
      <c r="AU149" s="70"/>
      <c r="AV149" s="70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918</v>
      </c>
      <c r="H150" t="s">
        <v>1042</v>
      </c>
      <c r="I150" t="s">
        <v>169</v>
      </c>
      <c r="J150" s="30" t="s">
        <v>14</v>
      </c>
      <c r="K150" s="30" t="s">
        <v>19</v>
      </c>
      <c r="L150" s="30"/>
      <c r="M150" s="30" t="s">
        <v>2356</v>
      </c>
      <c r="N150" s="30"/>
      <c r="O150" s="31">
        <f t="shared" si="16"/>
        <v>24</v>
      </c>
      <c r="P150" s="136" t="s">
        <v>1748</v>
      </c>
      <c r="Q150" s="31">
        <f t="shared" si="17"/>
        <v>4</v>
      </c>
      <c r="R150" s="32">
        <f t="shared" si="18"/>
        <v>0.8571428571428571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 t="s">
        <v>2221</v>
      </c>
      <c r="AD150" s="70"/>
      <c r="AE150" s="70"/>
      <c r="AF150" s="70"/>
      <c r="AG150" s="70"/>
      <c r="AH150" s="70"/>
      <c r="AI150" s="70"/>
      <c r="AJ150" s="70" t="s">
        <v>2221</v>
      </c>
      <c r="AK150" s="70" t="s">
        <v>2221</v>
      </c>
      <c r="AL150" s="70" t="s">
        <v>2221</v>
      </c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2334</v>
      </c>
      <c r="F151" s="69" t="s">
        <v>167</v>
      </c>
      <c r="G151" t="s">
        <v>1204</v>
      </c>
      <c r="H151" t="s">
        <v>1042</v>
      </c>
      <c r="I151" t="s">
        <v>1205</v>
      </c>
      <c r="J151" t="s">
        <v>18</v>
      </c>
      <c r="K151" t="s">
        <v>27</v>
      </c>
      <c r="L151"/>
      <c r="M151" s="30" t="s">
        <v>1215</v>
      </c>
      <c r="N151" s="30"/>
      <c r="O151" s="31">
        <f t="shared" si="16"/>
        <v>18</v>
      </c>
      <c r="P151" s="136" t="s">
        <v>1750</v>
      </c>
      <c r="Q151" s="31">
        <f t="shared" si="17"/>
        <v>10</v>
      </c>
      <c r="R151" s="32">
        <f t="shared" si="18"/>
        <v>0.6428571428571429</v>
      </c>
      <c r="S151" s="70"/>
      <c r="T151" s="70"/>
      <c r="U151" s="70"/>
      <c r="V151" s="70" t="s">
        <v>2221</v>
      </c>
      <c r="W151" s="70" t="s">
        <v>2221</v>
      </c>
      <c r="X151" s="70" t="s">
        <v>2221</v>
      </c>
      <c r="Y151" s="70" t="s">
        <v>2221</v>
      </c>
      <c r="Z151" s="70" t="s">
        <v>2221</v>
      </c>
      <c r="AA151" s="70"/>
      <c r="AB151" s="70"/>
      <c r="AC151" s="70" t="s">
        <v>2221</v>
      </c>
      <c r="AD151" s="70" t="s">
        <v>2221</v>
      </c>
      <c r="AE151" s="70" t="s">
        <v>2221</v>
      </c>
      <c r="AF151" s="70" t="s">
        <v>2221</v>
      </c>
      <c r="AG151" s="70" t="s">
        <v>2221</v>
      </c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2343</v>
      </c>
      <c r="H152" t="s">
        <v>1042</v>
      </c>
      <c r="I152" t="s">
        <v>2344</v>
      </c>
      <c r="J152" s="30" t="s">
        <v>14</v>
      </c>
      <c r="K152" s="30" t="s">
        <v>1278</v>
      </c>
      <c r="L152"/>
      <c r="M152" s="30" t="s">
        <v>2345</v>
      </c>
      <c r="N152" s="30"/>
      <c r="O152" s="31"/>
      <c r="P152" s="136" t="s">
        <v>2346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1171</v>
      </c>
      <c r="G153" s="84" t="s">
        <v>1480</v>
      </c>
      <c r="H153" s="73" t="s">
        <v>1042</v>
      </c>
      <c r="I153" s="73" t="s">
        <v>1481</v>
      </c>
      <c r="J153" s="84" t="s">
        <v>18</v>
      </c>
      <c r="K153" s="84" t="s">
        <v>1278</v>
      </c>
      <c r="L153" s="84"/>
      <c r="M153" s="84" t="s">
        <v>1482</v>
      </c>
      <c r="N153" s="84"/>
      <c r="O153" s="131">
        <f t="shared" ref="O153:O184" si="19">COUNTIF(S153:AT153,"")</f>
        <v>28</v>
      </c>
      <c r="P153" s="136" t="s">
        <v>2114</v>
      </c>
      <c r="Q153" s="131">
        <f t="shared" ref="Q153:Q184" si="20">COUNTIF(S153:AT153,"APAGADO")</f>
        <v>0</v>
      </c>
      <c r="R153" s="132">
        <f t="shared" ref="R153:R184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2444</v>
      </c>
      <c r="H154" t="s">
        <v>1041</v>
      </c>
      <c r="I154" t="s">
        <v>1108</v>
      </c>
      <c r="J154" s="30" t="s">
        <v>71</v>
      </c>
      <c r="K154" s="30" t="s">
        <v>1035</v>
      </c>
      <c r="L154" s="30" t="s">
        <v>1226</v>
      </c>
      <c r="M154" s="30" t="s">
        <v>1120</v>
      </c>
      <c r="N154" s="30"/>
      <c r="O154" s="31">
        <f t="shared" si="19"/>
        <v>28</v>
      </c>
      <c r="P154" s="136" t="s">
        <v>1754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2443</v>
      </c>
      <c r="H155" s="73" t="s">
        <v>1041</v>
      </c>
      <c r="I155" s="73" t="s">
        <v>1525</v>
      </c>
      <c r="J155" s="84" t="s">
        <v>45</v>
      </c>
      <c r="K155" s="84" t="s">
        <v>1278</v>
      </c>
      <c r="L155" s="84"/>
      <c r="M155" s="84" t="s">
        <v>1526</v>
      </c>
      <c r="N155" s="84"/>
      <c r="O155" s="31">
        <f t="shared" si="19"/>
        <v>28</v>
      </c>
      <c r="P155" s="136" t="s">
        <v>2310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2442</v>
      </c>
      <c r="H156" s="73" t="s">
        <v>1041</v>
      </c>
      <c r="I156" s="73" t="s">
        <v>2083</v>
      </c>
      <c r="J156" s="84" t="s">
        <v>45</v>
      </c>
      <c r="K156" s="84" t="s">
        <v>1278</v>
      </c>
      <c r="L156" s="84"/>
      <c r="M156" s="84" t="s">
        <v>2085</v>
      </c>
      <c r="N156" s="84"/>
      <c r="O156" s="31">
        <f t="shared" si="19"/>
        <v>28</v>
      </c>
      <c r="P156" s="136" t="s">
        <v>2311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thickBot="1" x14ac:dyDescent="0.3">
      <c r="A157"/>
      <c r="B157"/>
      <c r="C157"/>
      <c r="D157"/>
      <c r="E157"/>
      <c r="F157" t="s">
        <v>171</v>
      </c>
      <c r="G157" t="s">
        <v>2441</v>
      </c>
      <c r="H157" t="s">
        <v>1041</v>
      </c>
      <c r="I157" t="s">
        <v>1108</v>
      </c>
      <c r="J157" s="30" t="s">
        <v>71</v>
      </c>
      <c r="K157" s="30" t="s">
        <v>1035</v>
      </c>
      <c r="L157" s="30" t="s">
        <v>1226</v>
      </c>
      <c r="M157" s="30" t="s">
        <v>1119</v>
      </c>
      <c r="N157" s="30"/>
      <c r="O157" s="31">
        <f t="shared" si="19"/>
        <v>28</v>
      </c>
      <c r="P157" s="136" t="s">
        <v>1753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thickBot="1" x14ac:dyDescent="0.3">
      <c r="A158">
        <v>6</v>
      </c>
      <c r="B158">
        <v>12</v>
      </c>
      <c r="C158"/>
      <c r="D158"/>
      <c r="E158" t="s">
        <v>2334</v>
      </c>
      <c r="F158" t="s">
        <v>171</v>
      </c>
      <c r="G158" t="s">
        <v>919</v>
      </c>
      <c r="H158" t="s">
        <v>1041</v>
      </c>
      <c r="I158" t="s">
        <v>172</v>
      </c>
      <c r="J158" s="30" t="s">
        <v>71</v>
      </c>
      <c r="K158" s="30" t="s">
        <v>1035</v>
      </c>
      <c r="L158" s="30" t="s">
        <v>1226</v>
      </c>
      <c r="M158" s="30" t="s">
        <v>671</v>
      </c>
      <c r="N158" s="30"/>
      <c r="O158" s="31">
        <f t="shared" si="19"/>
        <v>28</v>
      </c>
      <c r="P158" s="136" t="s">
        <v>1751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thickBot="1" x14ac:dyDescent="0.3">
      <c r="A159">
        <v>6</v>
      </c>
      <c r="B159">
        <v>12</v>
      </c>
      <c r="C159"/>
      <c r="D159"/>
      <c r="E159" t="s">
        <v>2334</v>
      </c>
      <c r="F159" t="s">
        <v>171</v>
      </c>
      <c r="G159" t="s">
        <v>920</v>
      </c>
      <c r="H159" t="s">
        <v>1041</v>
      </c>
      <c r="I159" t="s">
        <v>172</v>
      </c>
      <c r="J159" s="30" t="s">
        <v>71</v>
      </c>
      <c r="K159" s="30" t="s">
        <v>1035</v>
      </c>
      <c r="L159" s="30" t="s">
        <v>1226</v>
      </c>
      <c r="M159" s="30" t="s">
        <v>672</v>
      </c>
      <c r="N159" s="30"/>
      <c r="O159" s="31">
        <f t="shared" si="19"/>
        <v>28</v>
      </c>
      <c r="P159" s="136" t="s">
        <v>1752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thickBot="1" x14ac:dyDescent="0.3">
      <c r="F160" s="73" t="s">
        <v>171</v>
      </c>
      <c r="G160" s="73" t="s">
        <v>921</v>
      </c>
      <c r="H160" s="88" t="s">
        <v>1041</v>
      </c>
      <c r="I160" s="73" t="s">
        <v>922</v>
      </c>
      <c r="J160" s="89" t="s">
        <v>71</v>
      </c>
      <c r="K160" s="84" t="s">
        <v>1278</v>
      </c>
      <c r="L160" s="84" t="s">
        <v>1226</v>
      </c>
      <c r="M160" s="84" t="s">
        <v>1192</v>
      </c>
      <c r="N160" s="84"/>
      <c r="O160" s="31">
        <f t="shared" si="19"/>
        <v>28</v>
      </c>
      <c r="P160" s="136" t="s">
        <v>2308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customHeight="1" thickBot="1" x14ac:dyDescent="0.3">
      <c r="F161" s="73" t="s">
        <v>171</v>
      </c>
      <c r="G161" s="73" t="s">
        <v>923</v>
      </c>
      <c r="H161" s="88" t="s">
        <v>1041</v>
      </c>
      <c r="I161" s="73" t="s">
        <v>922</v>
      </c>
      <c r="J161" s="89" t="s">
        <v>71</v>
      </c>
      <c r="K161" s="84" t="s">
        <v>1278</v>
      </c>
      <c r="L161" s="84" t="s">
        <v>1226</v>
      </c>
      <c r="M161" s="84" t="s">
        <v>1193</v>
      </c>
      <c r="N161" s="84"/>
      <c r="O161" s="31">
        <f t="shared" si="19"/>
        <v>28</v>
      </c>
      <c r="P161" s="136" t="s">
        <v>2309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2440</v>
      </c>
      <c r="H162" s="88" t="s">
        <v>1041</v>
      </c>
      <c r="I162" s="73" t="s">
        <v>170</v>
      </c>
      <c r="J162" s="89" t="s">
        <v>18</v>
      </c>
      <c r="K162" s="84" t="s">
        <v>1278</v>
      </c>
      <c r="L162" s="84"/>
      <c r="M162" s="84" t="s">
        <v>2306</v>
      </c>
      <c r="N162" s="84"/>
      <c r="O162" s="85">
        <f t="shared" si="19"/>
        <v>28</v>
      </c>
      <c r="P162" s="136" t="s">
        <v>2307</v>
      </c>
      <c r="Q162" s="85">
        <f t="shared" si="20"/>
        <v>0</v>
      </c>
      <c r="R162" s="130">
        <f t="shared" si="21"/>
        <v>1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thickBot="1" x14ac:dyDescent="0.3">
      <c r="A163"/>
      <c r="B163"/>
      <c r="C163"/>
      <c r="D163"/>
      <c r="E163"/>
      <c r="F163" s="73" t="s">
        <v>1306</v>
      </c>
      <c r="G163" s="73" t="s">
        <v>1310</v>
      </c>
      <c r="H163" s="73" t="s">
        <v>1042</v>
      </c>
      <c r="I163" s="73" t="s">
        <v>1311</v>
      </c>
      <c r="J163" s="84" t="s">
        <v>14</v>
      </c>
      <c r="K163" s="84" t="s">
        <v>1278</v>
      </c>
      <c r="L163" s="84"/>
      <c r="M163" s="84" t="s">
        <v>1467</v>
      </c>
      <c r="N163" s="84"/>
      <c r="O163" s="131">
        <f t="shared" si="19"/>
        <v>28</v>
      </c>
      <c r="P163" s="136" t="s">
        <v>1756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thickBot="1" x14ac:dyDescent="0.3">
      <c r="A164"/>
      <c r="B164"/>
      <c r="C164"/>
      <c r="D164"/>
      <c r="E164"/>
      <c r="F164" s="73" t="s">
        <v>1306</v>
      </c>
      <c r="G164" s="73" t="s">
        <v>2243</v>
      </c>
      <c r="H164" s="73" t="s">
        <v>1042</v>
      </c>
      <c r="I164" s="73" t="s">
        <v>2244</v>
      </c>
      <c r="J164" s="84" t="s">
        <v>14</v>
      </c>
      <c r="K164" s="84" t="s">
        <v>1278</v>
      </c>
      <c r="L164" s="84"/>
      <c r="M164" s="84" t="s">
        <v>2245</v>
      </c>
      <c r="N164" s="84"/>
      <c r="O164" s="131">
        <f t="shared" si="19"/>
        <v>28</v>
      </c>
      <c r="P164" s="136" t="s">
        <v>2312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thickBot="1" x14ac:dyDescent="0.3">
      <c r="A165"/>
      <c r="B165"/>
      <c r="C165"/>
      <c r="D165"/>
      <c r="E165"/>
      <c r="F165" s="73" t="s">
        <v>1306</v>
      </c>
      <c r="G165" s="73" t="s">
        <v>1294</v>
      </c>
      <c r="H165" s="73" t="s">
        <v>1042</v>
      </c>
      <c r="I165" s="73" t="s">
        <v>1295</v>
      </c>
      <c r="J165" s="84" t="s">
        <v>18</v>
      </c>
      <c r="K165" s="84" t="s">
        <v>1278</v>
      </c>
      <c r="L165" s="84"/>
      <c r="M165" s="84" t="s">
        <v>2313</v>
      </c>
      <c r="N165" s="84"/>
      <c r="O165" s="131">
        <f t="shared" si="19"/>
        <v>28</v>
      </c>
      <c r="P165" s="136" t="s">
        <v>1755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 t="s">
        <v>2347</v>
      </c>
      <c r="F166" t="s">
        <v>173</v>
      </c>
      <c r="G166" t="s">
        <v>924</v>
      </c>
      <c r="H166" t="s">
        <v>1042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10</v>
      </c>
      <c r="P166" s="136" t="s">
        <v>1757</v>
      </c>
      <c r="Q166" s="31">
        <f t="shared" si="20"/>
        <v>18</v>
      </c>
      <c r="R166" s="32">
        <f t="shared" si="21"/>
        <v>0.35714285714285715</v>
      </c>
      <c r="S166" s="70"/>
      <c r="T166" s="70"/>
      <c r="U166" s="70"/>
      <c r="V166" s="70" t="s">
        <v>2221</v>
      </c>
      <c r="W166" s="70" t="s">
        <v>2221</v>
      </c>
      <c r="X166" s="70" t="s">
        <v>2221</v>
      </c>
      <c r="Y166" s="70" t="s">
        <v>2221</v>
      </c>
      <c r="Z166" s="70" t="s">
        <v>2221</v>
      </c>
      <c r="AA166" s="70"/>
      <c r="AB166" s="70"/>
      <c r="AC166" s="70" t="s">
        <v>2221</v>
      </c>
      <c r="AD166" s="70" t="s">
        <v>2221</v>
      </c>
      <c r="AE166" s="70" t="s">
        <v>2221</v>
      </c>
      <c r="AF166" s="70" t="s">
        <v>2221</v>
      </c>
      <c r="AG166" s="70" t="s">
        <v>2221</v>
      </c>
      <c r="AH166" s="70"/>
      <c r="AI166" s="70"/>
      <c r="AJ166" s="70" t="s">
        <v>2221</v>
      </c>
      <c r="AK166" s="70" t="s">
        <v>2221</v>
      </c>
      <c r="AL166" s="70" t="s">
        <v>2221</v>
      </c>
      <c r="AM166" s="70" t="s">
        <v>2221</v>
      </c>
      <c r="AN166" s="70" t="s">
        <v>2221</v>
      </c>
      <c r="AO166" s="70"/>
      <c r="AP166" s="70"/>
      <c r="AQ166" s="70"/>
      <c r="AR166" s="70" t="s">
        <v>2221</v>
      </c>
      <c r="AS166" s="70" t="s">
        <v>2221</v>
      </c>
      <c r="AT166" s="70" t="s">
        <v>2221</v>
      </c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2347</v>
      </c>
      <c r="F167" t="s">
        <v>173</v>
      </c>
      <c r="G167" t="s">
        <v>925</v>
      </c>
      <c r="H167" t="s">
        <v>1042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28</v>
      </c>
      <c r="P167" s="136" t="s">
        <v>1758</v>
      </c>
      <c r="Q167" s="31">
        <f t="shared" si="20"/>
        <v>0</v>
      </c>
      <c r="R167" s="32">
        <f t="shared" si="21"/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thickBot="1" x14ac:dyDescent="0.3">
      <c r="A168"/>
      <c r="B168"/>
      <c r="C168"/>
      <c r="D168"/>
      <c r="E168" t="s">
        <v>2347</v>
      </c>
      <c r="F168" t="s">
        <v>173</v>
      </c>
      <c r="G168" t="s">
        <v>926</v>
      </c>
      <c r="H168" t="s">
        <v>1042</v>
      </c>
      <c r="I168" t="s">
        <v>176</v>
      </c>
      <c r="J168" s="30" t="s">
        <v>18</v>
      </c>
      <c r="K168" s="30" t="s">
        <v>27</v>
      </c>
      <c r="L168" s="30"/>
      <c r="M168" s="30" t="s">
        <v>1287</v>
      </c>
      <c r="N168" s="30"/>
      <c r="O168" s="31">
        <f t="shared" si="19"/>
        <v>28</v>
      </c>
      <c r="P168" s="136" t="s">
        <v>1759</v>
      </c>
      <c r="Q168" s="31">
        <f t="shared" si="20"/>
        <v>0</v>
      </c>
      <c r="R168" s="32">
        <f t="shared" si="21"/>
        <v>1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thickBot="1" x14ac:dyDescent="0.3">
      <c r="A169"/>
      <c r="B169"/>
      <c r="C169"/>
      <c r="D169"/>
      <c r="E169" t="s">
        <v>2347</v>
      </c>
      <c r="F169" t="s">
        <v>173</v>
      </c>
      <c r="G169" t="s">
        <v>927</v>
      </c>
      <c r="H169" t="s">
        <v>1042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28</v>
      </c>
      <c r="P169" s="136" t="s">
        <v>1760</v>
      </c>
      <c r="Q169" s="31">
        <f t="shared" si="20"/>
        <v>0</v>
      </c>
      <c r="R169" s="32">
        <f t="shared" si="21"/>
        <v>1</v>
      </c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thickBot="1" x14ac:dyDescent="0.3">
      <c r="A170"/>
      <c r="B170"/>
      <c r="C170"/>
      <c r="D170"/>
      <c r="E170" t="s">
        <v>2347</v>
      </c>
      <c r="F170" t="s">
        <v>173</v>
      </c>
      <c r="G170" t="s">
        <v>1517</v>
      </c>
      <c r="H170" t="s">
        <v>1042</v>
      </c>
      <c r="I170" t="s">
        <v>958</v>
      </c>
      <c r="J170" s="30" t="s">
        <v>45</v>
      </c>
      <c r="K170" s="30" t="s">
        <v>27</v>
      </c>
      <c r="L170" s="30"/>
      <c r="M170" s="30" t="s">
        <v>1520</v>
      </c>
      <c r="N170" s="30"/>
      <c r="O170" s="31">
        <f t="shared" si="19"/>
        <v>28</v>
      </c>
      <c r="P170" s="136" t="s">
        <v>1761</v>
      </c>
      <c r="Q170" s="31">
        <f t="shared" si="20"/>
        <v>0</v>
      </c>
      <c r="R170" s="32">
        <f t="shared" si="21"/>
        <v>1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thickBot="1" x14ac:dyDescent="0.3">
      <c r="A171" s="69"/>
      <c r="B171" s="69"/>
      <c r="C171" s="69"/>
      <c r="D171" s="69"/>
      <c r="E171" s="69" t="s">
        <v>2347</v>
      </c>
      <c r="F171" s="69" t="s">
        <v>173</v>
      </c>
      <c r="G171" s="69" t="s">
        <v>1518</v>
      </c>
      <c r="H171" s="69" t="s">
        <v>1042</v>
      </c>
      <c r="I171" s="69" t="s">
        <v>1519</v>
      </c>
      <c r="J171" s="137" t="s">
        <v>14</v>
      </c>
      <c r="K171" s="137" t="s">
        <v>27</v>
      </c>
      <c r="L171" s="137"/>
      <c r="M171" s="137" t="s">
        <v>1521</v>
      </c>
      <c r="N171" s="137"/>
      <c r="O171" s="139">
        <f t="shared" si="19"/>
        <v>10</v>
      </c>
      <c r="P171" s="140" t="s">
        <v>1762</v>
      </c>
      <c r="Q171" s="139">
        <f t="shared" si="20"/>
        <v>18</v>
      </c>
      <c r="R171" s="141">
        <f t="shared" si="21"/>
        <v>0.35714285714285715</v>
      </c>
      <c r="S171" s="142"/>
      <c r="T171" s="142"/>
      <c r="U171" s="142"/>
      <c r="V171" s="70" t="s">
        <v>2221</v>
      </c>
      <c r="W171" s="70" t="s">
        <v>2221</v>
      </c>
      <c r="X171" s="70" t="s">
        <v>2221</v>
      </c>
      <c r="Y171" s="70" t="s">
        <v>2221</v>
      </c>
      <c r="Z171" s="70" t="s">
        <v>2221</v>
      </c>
      <c r="AA171" s="142"/>
      <c r="AB171" s="142"/>
      <c r="AC171" s="70" t="s">
        <v>2221</v>
      </c>
      <c r="AD171" s="70" t="s">
        <v>2221</v>
      </c>
      <c r="AE171" s="70" t="s">
        <v>2221</v>
      </c>
      <c r="AF171" s="70" t="s">
        <v>2221</v>
      </c>
      <c r="AG171" s="70" t="s">
        <v>2221</v>
      </c>
      <c r="AH171" s="70"/>
      <c r="AI171" s="70"/>
      <c r="AJ171" s="70" t="s">
        <v>2221</v>
      </c>
      <c r="AK171" s="70" t="s">
        <v>2221</v>
      </c>
      <c r="AL171" s="70" t="s">
        <v>2221</v>
      </c>
      <c r="AM171" s="70" t="s">
        <v>2221</v>
      </c>
      <c r="AN171" s="70" t="s">
        <v>2221</v>
      </c>
      <c r="AO171" s="70"/>
      <c r="AP171" s="70"/>
      <c r="AQ171" s="142"/>
      <c r="AR171" s="70" t="s">
        <v>2221</v>
      </c>
      <c r="AS171" s="70" t="s">
        <v>2221</v>
      </c>
      <c r="AT171" s="70" t="s">
        <v>2221</v>
      </c>
      <c r="AU171" s="70"/>
      <c r="AV171" s="70"/>
    </row>
    <row r="172" spans="1:49" ht="15.75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1042</v>
      </c>
      <c r="I172" t="s">
        <v>928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2375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thickBot="1" x14ac:dyDescent="0.3">
      <c r="A173"/>
      <c r="B173"/>
      <c r="C173"/>
      <c r="D173"/>
      <c r="E173" s="151" t="s">
        <v>2453</v>
      </c>
      <c r="F173" t="s">
        <v>178</v>
      </c>
      <c r="G173" s="30" t="s">
        <v>1147</v>
      </c>
      <c r="H173" s="30" t="s">
        <v>1042</v>
      </c>
      <c r="I173" t="s">
        <v>1130</v>
      </c>
      <c r="J173" s="30" t="s">
        <v>1093</v>
      </c>
      <c r="K173" s="30" t="s">
        <v>2367</v>
      </c>
      <c r="L173" s="30"/>
      <c r="M173" s="30" t="s">
        <v>1131</v>
      </c>
      <c r="N173" s="30"/>
      <c r="O173" s="31">
        <f t="shared" si="19"/>
        <v>28</v>
      </c>
      <c r="P173" s="136" t="s">
        <v>1774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thickBot="1" x14ac:dyDescent="0.3">
      <c r="A174"/>
      <c r="B174"/>
      <c r="C174"/>
      <c r="D174"/>
      <c r="E174" s="151" t="s">
        <v>2453</v>
      </c>
      <c r="F174" t="s">
        <v>178</v>
      </c>
      <c r="G174" s="30" t="s">
        <v>1146</v>
      </c>
      <c r="H174" s="30" t="s">
        <v>1042</v>
      </c>
      <c r="I174" t="s">
        <v>1130</v>
      </c>
      <c r="J174" s="30" t="s">
        <v>1093</v>
      </c>
      <c r="K174" s="30" t="s">
        <v>2367</v>
      </c>
      <c r="L174" s="30"/>
      <c r="M174" s="30" t="s">
        <v>1132</v>
      </c>
      <c r="N174" s="30"/>
      <c r="O174" s="31">
        <f t="shared" si="19"/>
        <v>28</v>
      </c>
      <c r="P174" s="136" t="s">
        <v>2452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ht="15.75" thickBot="1" x14ac:dyDescent="0.3">
      <c r="A175"/>
      <c r="B175"/>
      <c r="C175"/>
      <c r="D175"/>
      <c r="E175"/>
      <c r="F175" t="s">
        <v>178</v>
      </c>
      <c r="G175" s="30" t="s">
        <v>1149</v>
      </c>
      <c r="H175" s="30" t="s">
        <v>1042</v>
      </c>
      <c r="I175" t="s">
        <v>1127</v>
      </c>
      <c r="J175" s="30" t="s">
        <v>71</v>
      </c>
      <c r="K175" s="30" t="s">
        <v>27</v>
      </c>
      <c r="L175" s="30"/>
      <c r="M175" s="30" t="s">
        <v>1128</v>
      </c>
      <c r="N175" s="30"/>
      <c r="O175" s="31">
        <f t="shared" si="19"/>
        <v>10</v>
      </c>
      <c r="P175" s="136" t="s">
        <v>1775</v>
      </c>
      <c r="Q175" s="31">
        <f t="shared" si="20"/>
        <v>18</v>
      </c>
      <c r="R175" s="32">
        <f t="shared" si="21"/>
        <v>0.35714285714285715</v>
      </c>
      <c r="S175" s="70"/>
      <c r="T175" s="70"/>
      <c r="U175" s="70"/>
      <c r="V175" s="70" t="s">
        <v>2221</v>
      </c>
      <c r="W175" s="70" t="s">
        <v>2221</v>
      </c>
      <c r="X175" s="70" t="s">
        <v>2221</v>
      </c>
      <c r="Y175" s="70" t="s">
        <v>2221</v>
      </c>
      <c r="Z175" s="70" t="s">
        <v>2221</v>
      </c>
      <c r="AA175" s="70"/>
      <c r="AB175" s="70"/>
      <c r="AC175" s="70" t="s">
        <v>2221</v>
      </c>
      <c r="AD175" s="70" t="s">
        <v>2221</v>
      </c>
      <c r="AE175" s="70" t="s">
        <v>2221</v>
      </c>
      <c r="AF175" s="70" t="s">
        <v>2221</v>
      </c>
      <c r="AG175" s="70" t="s">
        <v>2221</v>
      </c>
      <c r="AH175" s="70"/>
      <c r="AI175" s="70"/>
      <c r="AJ175" s="70" t="s">
        <v>2221</v>
      </c>
      <c r="AK175" s="70" t="s">
        <v>2221</v>
      </c>
      <c r="AL175" s="70" t="s">
        <v>2221</v>
      </c>
      <c r="AM175" s="70" t="s">
        <v>2221</v>
      </c>
      <c r="AN175" s="70" t="s">
        <v>2221</v>
      </c>
      <c r="AO175" s="70"/>
      <c r="AP175" s="70"/>
      <c r="AQ175" s="70"/>
      <c r="AR175" s="70" t="s">
        <v>2221</v>
      </c>
      <c r="AS175" s="70" t="s">
        <v>2221</v>
      </c>
      <c r="AT175" s="70" t="s">
        <v>2221</v>
      </c>
      <c r="AU175" s="70"/>
      <c r="AV175" s="70"/>
      <c r="AW175" s="73"/>
    </row>
    <row r="176" spans="1:49" ht="15.75" thickBot="1" x14ac:dyDescent="0.3">
      <c r="A176"/>
      <c r="B176"/>
      <c r="C176"/>
      <c r="D176"/>
      <c r="E176"/>
      <c r="F176" t="s">
        <v>178</v>
      </c>
      <c r="G176" s="30" t="s">
        <v>1150</v>
      </c>
      <c r="H176" s="30" t="s">
        <v>1042</v>
      </c>
      <c r="I176" t="s">
        <v>1127</v>
      </c>
      <c r="J176" s="30" t="s">
        <v>71</v>
      </c>
      <c r="K176" s="30" t="s">
        <v>27</v>
      </c>
      <c r="L176" s="30"/>
      <c r="M176" s="30" t="s">
        <v>1129</v>
      </c>
      <c r="N176" s="30"/>
      <c r="O176" s="31">
        <f t="shared" si="19"/>
        <v>10</v>
      </c>
      <c r="P176" s="136" t="s">
        <v>1776</v>
      </c>
      <c r="Q176" s="31">
        <f t="shared" si="20"/>
        <v>18</v>
      </c>
      <c r="R176" s="32">
        <f t="shared" si="21"/>
        <v>0.35714285714285715</v>
      </c>
      <c r="S176" s="70"/>
      <c r="T176" s="70"/>
      <c r="U176" s="70"/>
      <c r="V176" s="70" t="s">
        <v>2221</v>
      </c>
      <c r="W176" s="70" t="s">
        <v>2221</v>
      </c>
      <c r="X176" s="70" t="s">
        <v>2221</v>
      </c>
      <c r="Y176" s="70" t="s">
        <v>2221</v>
      </c>
      <c r="Z176" s="70" t="s">
        <v>2221</v>
      </c>
      <c r="AA176" s="70"/>
      <c r="AB176" s="70"/>
      <c r="AC176" s="70" t="s">
        <v>2221</v>
      </c>
      <c r="AD176" s="70" t="s">
        <v>2221</v>
      </c>
      <c r="AE176" s="70" t="s">
        <v>2221</v>
      </c>
      <c r="AF176" s="70" t="s">
        <v>2221</v>
      </c>
      <c r="AG176" s="70" t="s">
        <v>2221</v>
      </c>
      <c r="AH176" s="70"/>
      <c r="AI176" s="70"/>
      <c r="AJ176" s="70" t="s">
        <v>2221</v>
      </c>
      <c r="AK176" s="70" t="s">
        <v>2221</v>
      </c>
      <c r="AL176" s="70" t="s">
        <v>2221</v>
      </c>
      <c r="AM176" s="70" t="s">
        <v>2221</v>
      </c>
      <c r="AN176" s="70" t="s">
        <v>2221</v>
      </c>
      <c r="AO176" s="70"/>
      <c r="AP176" s="70"/>
      <c r="AQ176" s="70"/>
      <c r="AR176" s="70" t="s">
        <v>2221</v>
      </c>
      <c r="AS176" s="70" t="s">
        <v>2221</v>
      </c>
      <c r="AT176" s="70" t="s">
        <v>2221</v>
      </c>
      <c r="AU176" s="70"/>
      <c r="AV176" s="70"/>
      <c r="AW176" s="88"/>
    </row>
    <row r="177" spans="1:49" ht="15.75" thickBot="1" x14ac:dyDescent="0.3">
      <c r="A177">
        <v>5</v>
      </c>
      <c r="B177">
        <v>23</v>
      </c>
      <c r="C177"/>
      <c r="D177"/>
      <c r="E177" t="s">
        <v>2335</v>
      </c>
      <c r="F177" t="s">
        <v>178</v>
      </c>
      <c r="G177" s="30" t="s">
        <v>1484</v>
      </c>
      <c r="H177" s="30" t="s">
        <v>1042</v>
      </c>
      <c r="I177" t="s">
        <v>1485</v>
      </c>
      <c r="J177" s="30" t="s">
        <v>18</v>
      </c>
      <c r="K177" s="30" t="s">
        <v>27</v>
      </c>
      <c r="L177" s="30"/>
      <c r="M177" s="30" t="s">
        <v>1486</v>
      </c>
      <c r="N177" s="30"/>
      <c r="O177" s="31">
        <f t="shared" si="19"/>
        <v>22</v>
      </c>
      <c r="P177" s="136" t="s">
        <v>2376</v>
      </c>
      <c r="Q177" s="31">
        <f t="shared" si="20"/>
        <v>6</v>
      </c>
      <c r="R177" s="32">
        <f t="shared" si="21"/>
        <v>0.7857142857142857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142"/>
      <c r="AH177" s="70"/>
      <c r="AI177" s="70"/>
      <c r="AJ177" s="70" t="s">
        <v>2221</v>
      </c>
      <c r="AK177" s="70" t="s">
        <v>2221</v>
      </c>
      <c r="AL177" s="70" t="s">
        <v>2221</v>
      </c>
      <c r="AM177" s="70" t="s">
        <v>2221</v>
      </c>
      <c r="AN177" s="70" t="s">
        <v>2221</v>
      </c>
      <c r="AO177" s="70"/>
      <c r="AP177" s="70"/>
      <c r="AQ177" s="70"/>
      <c r="AR177" s="70" t="s">
        <v>2221</v>
      </c>
      <c r="AS177" s="70"/>
      <c r="AT177" s="70"/>
      <c r="AU177" s="70"/>
      <c r="AV177" s="70"/>
      <c r="AW177" s="73"/>
    </row>
    <row r="178" spans="1:49" ht="15.75" thickBot="1" x14ac:dyDescent="0.3">
      <c r="A178"/>
      <c r="B178"/>
      <c r="C178"/>
      <c r="D178"/>
      <c r="E178"/>
      <c r="F178" s="73" t="s">
        <v>178</v>
      </c>
      <c r="G178" s="84" t="s">
        <v>1522</v>
      </c>
      <c r="H178" s="84" t="s">
        <v>1042</v>
      </c>
      <c r="I178" s="73" t="s">
        <v>1523</v>
      </c>
      <c r="J178" s="84" t="s">
        <v>18</v>
      </c>
      <c r="K178" s="84" t="s">
        <v>1278</v>
      </c>
      <c r="L178" s="84"/>
      <c r="M178" s="84" t="s">
        <v>1524</v>
      </c>
      <c r="N178" s="84"/>
      <c r="O178" s="31">
        <f t="shared" si="19"/>
        <v>27</v>
      </c>
      <c r="P178" s="136" t="s">
        <v>1777</v>
      </c>
      <c r="Q178" s="31">
        <f t="shared" si="20"/>
        <v>1</v>
      </c>
      <c r="R178" s="32">
        <f t="shared" si="21"/>
        <v>0.9642857142857143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 t="s">
        <v>2221</v>
      </c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thickBot="1" x14ac:dyDescent="0.3">
      <c r="A179"/>
      <c r="B179"/>
      <c r="C179"/>
      <c r="D179"/>
      <c r="E179"/>
      <c r="F179" s="73" t="s">
        <v>178</v>
      </c>
      <c r="G179" s="84" t="s">
        <v>2246</v>
      </c>
      <c r="H179" s="84" t="s">
        <v>1042</v>
      </c>
      <c r="I179" s="73" t="s">
        <v>2247</v>
      </c>
      <c r="J179" s="84" t="s">
        <v>1093</v>
      </c>
      <c r="K179" s="84" t="s">
        <v>1278</v>
      </c>
      <c r="L179" s="84"/>
      <c r="M179" s="84" t="s">
        <v>2248</v>
      </c>
      <c r="N179" s="84"/>
      <c r="O179" s="31">
        <f t="shared" si="19"/>
        <v>28</v>
      </c>
      <c r="P179" s="136" t="s">
        <v>2377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s="73" customFormat="1" ht="15.75" thickBot="1" x14ac:dyDescent="0.3">
      <c r="A180">
        <v>4</v>
      </c>
      <c r="B180">
        <v>12</v>
      </c>
      <c r="C180"/>
      <c r="D180"/>
      <c r="E180" t="s">
        <v>2332</v>
      </c>
      <c r="F180" t="s">
        <v>178</v>
      </c>
      <c r="G180" t="s">
        <v>181</v>
      </c>
      <c r="H180" t="s">
        <v>1042</v>
      </c>
      <c r="I180" t="s">
        <v>182</v>
      </c>
      <c r="J180" s="30" t="s">
        <v>18</v>
      </c>
      <c r="K180" s="30" t="s">
        <v>1035</v>
      </c>
      <c r="L180" s="30"/>
      <c r="M180" s="30" t="s">
        <v>1414</v>
      </c>
      <c r="N180" s="30"/>
      <c r="O180" s="31">
        <f t="shared" si="19"/>
        <v>28</v>
      </c>
      <c r="P180" s="136" t="s">
        <v>1763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</row>
    <row r="181" spans="1:49" ht="15.75" thickBot="1" x14ac:dyDescent="0.3">
      <c r="A181"/>
      <c r="B181"/>
      <c r="C181"/>
      <c r="D181"/>
      <c r="E181" s="151" t="s">
        <v>2453</v>
      </c>
      <c r="F181" t="s">
        <v>183</v>
      </c>
      <c r="G181" t="s">
        <v>184</v>
      </c>
      <c r="H181" t="s">
        <v>1042</v>
      </c>
      <c r="I181" t="s">
        <v>185</v>
      </c>
      <c r="J181" s="30" t="s">
        <v>18</v>
      </c>
      <c r="K181" s="30" t="s">
        <v>1035</v>
      </c>
      <c r="L181" s="30" t="s">
        <v>445</v>
      </c>
      <c r="M181" s="30" t="s">
        <v>676</v>
      </c>
      <c r="N181" s="30"/>
      <c r="O181" s="31">
        <f t="shared" si="19"/>
        <v>28</v>
      </c>
      <c r="P181" s="136" t="s">
        <v>1764</v>
      </c>
      <c r="Q181" s="31">
        <f t="shared" si="20"/>
        <v>0</v>
      </c>
      <c r="R181" s="32">
        <f t="shared" si="21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3"/>
    </row>
    <row r="182" spans="1:49" ht="15.75" thickBot="1" x14ac:dyDescent="0.3">
      <c r="A182"/>
      <c r="B182"/>
      <c r="C182"/>
      <c r="D182"/>
      <c r="E182"/>
      <c r="F182" t="s">
        <v>183</v>
      </c>
      <c r="G182" t="s">
        <v>187</v>
      </c>
      <c r="H182" t="s">
        <v>1042</v>
      </c>
      <c r="I182" t="s">
        <v>188</v>
      </c>
      <c r="J182" s="30" t="s">
        <v>14</v>
      </c>
      <c r="K182" s="30" t="s">
        <v>1035</v>
      </c>
      <c r="L182" s="30" t="s">
        <v>445</v>
      </c>
      <c r="M182" s="30" t="s">
        <v>677</v>
      </c>
      <c r="N182" s="30"/>
      <c r="O182" s="31">
        <f t="shared" si="19"/>
        <v>28</v>
      </c>
      <c r="P182" s="136" t="s">
        <v>1765</v>
      </c>
      <c r="Q182" s="31">
        <f t="shared" si="20"/>
        <v>0</v>
      </c>
      <c r="R182" s="32">
        <f t="shared" si="21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88"/>
    </row>
    <row r="183" spans="1:49" ht="15.75" thickBot="1" x14ac:dyDescent="0.3">
      <c r="A183">
        <v>5</v>
      </c>
      <c r="B183">
        <v>23</v>
      </c>
      <c r="C183"/>
      <c r="D183"/>
      <c r="E183" t="s">
        <v>2335</v>
      </c>
      <c r="F183" t="s">
        <v>178</v>
      </c>
      <c r="G183" t="s">
        <v>189</v>
      </c>
      <c r="H183" t="s">
        <v>1042</v>
      </c>
      <c r="I183" t="s">
        <v>190</v>
      </c>
      <c r="J183" s="30" t="s">
        <v>18</v>
      </c>
      <c r="K183" s="30" t="s">
        <v>27</v>
      </c>
      <c r="L183" s="30"/>
      <c r="M183" s="30" t="s">
        <v>678</v>
      </c>
      <c r="N183" s="30"/>
      <c r="O183" s="31">
        <f t="shared" si="19"/>
        <v>27</v>
      </c>
      <c r="P183" s="136" t="s">
        <v>1766</v>
      </c>
      <c r="Q183" s="31">
        <f t="shared" si="20"/>
        <v>1</v>
      </c>
      <c r="R183" s="32">
        <f t="shared" si="21"/>
        <v>0.9642857142857143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 t="s">
        <v>2221</v>
      </c>
      <c r="AN183" s="70"/>
      <c r="AO183" s="70"/>
      <c r="AP183" s="70"/>
      <c r="AQ183" s="70"/>
      <c r="AR183" s="70"/>
      <c r="AS183" s="70"/>
      <c r="AT183" s="70"/>
      <c r="AU183" s="70"/>
      <c r="AV183" s="70"/>
      <c r="AW183" s="73"/>
    </row>
    <row r="184" spans="1:49" ht="15.75" thickBot="1" x14ac:dyDescent="0.3">
      <c r="A184">
        <v>5</v>
      </c>
      <c r="B184">
        <v>23</v>
      </c>
      <c r="C184"/>
      <c r="D184"/>
      <c r="E184" t="s">
        <v>2335</v>
      </c>
      <c r="F184" t="s">
        <v>178</v>
      </c>
      <c r="G184" t="s">
        <v>191</v>
      </c>
      <c r="H184" t="s">
        <v>1042</v>
      </c>
      <c r="I184" t="s">
        <v>192</v>
      </c>
      <c r="J184" s="30" t="s">
        <v>18</v>
      </c>
      <c r="K184" s="30" t="s">
        <v>27</v>
      </c>
      <c r="L184" s="30"/>
      <c r="M184" s="30" t="s">
        <v>679</v>
      </c>
      <c r="N184" s="30"/>
      <c r="O184" s="31">
        <f t="shared" si="19"/>
        <v>28</v>
      </c>
      <c r="P184" s="136" t="s">
        <v>1767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thickBot="1" x14ac:dyDescent="0.3">
      <c r="A185"/>
      <c r="B185"/>
      <c r="C185"/>
      <c r="D185"/>
      <c r="E185"/>
      <c r="F185" s="73" t="s">
        <v>178</v>
      </c>
      <c r="G185" s="73" t="s">
        <v>193</v>
      </c>
      <c r="H185" s="73" t="s">
        <v>1042</v>
      </c>
      <c r="I185" s="73" t="s">
        <v>194</v>
      </c>
      <c r="J185" s="84" t="s">
        <v>18</v>
      </c>
      <c r="K185" s="84" t="s">
        <v>1278</v>
      </c>
      <c r="L185" s="84"/>
      <c r="M185" s="84" t="s">
        <v>1405</v>
      </c>
      <c r="N185" s="84"/>
      <c r="O185" s="131">
        <f t="shared" ref="O185:O205" si="22">COUNTIF(S185:AT185,"")</f>
        <v>27</v>
      </c>
      <c r="P185" s="136" t="s">
        <v>1768</v>
      </c>
      <c r="Q185" s="131">
        <f t="shared" ref="Q185:Q205" si="23">COUNTIF(S185:AT185,"APAGADO")</f>
        <v>1</v>
      </c>
      <c r="R185" s="132">
        <f t="shared" ref="R185:R205" si="24">(O185)/(Q185+O185)</f>
        <v>0.9642857142857143</v>
      </c>
      <c r="S185" s="70"/>
      <c r="T185" s="70"/>
      <c r="U185" s="70"/>
      <c r="V185" s="70"/>
      <c r="W185" s="70"/>
      <c r="X185" s="70"/>
      <c r="Y185" s="70" t="s">
        <v>2221</v>
      </c>
      <c r="Z185" s="70"/>
      <c r="AA185" s="70"/>
      <c r="AB185" s="70"/>
      <c r="AC185" s="70"/>
      <c r="AD185" s="70"/>
      <c r="AE185" s="70"/>
      <c r="AF185" s="70"/>
      <c r="AG185" s="142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/>
      <c r="B186"/>
      <c r="C186"/>
      <c r="D186"/>
      <c r="E186" s="151" t="s">
        <v>2453</v>
      </c>
      <c r="F186" t="s">
        <v>178</v>
      </c>
      <c r="G186" t="s">
        <v>929</v>
      </c>
      <c r="H186" t="s">
        <v>1042</v>
      </c>
      <c r="I186" t="s">
        <v>179</v>
      </c>
      <c r="J186" s="30" t="s">
        <v>14</v>
      </c>
      <c r="K186" s="30" t="s">
        <v>1035</v>
      </c>
      <c r="L186" s="30" t="s">
        <v>445</v>
      </c>
      <c r="M186" s="30" t="s">
        <v>680</v>
      </c>
      <c r="N186" s="30"/>
      <c r="O186" s="31">
        <f t="shared" si="22"/>
        <v>28</v>
      </c>
      <c r="P186" s="136" t="s">
        <v>1769</v>
      </c>
      <c r="Q186" s="31">
        <f t="shared" si="23"/>
        <v>0</v>
      </c>
      <c r="R186" s="32">
        <f t="shared" si="24"/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>
        <v>4</v>
      </c>
      <c r="B187">
        <v>12</v>
      </c>
      <c r="C187"/>
      <c r="D187"/>
      <c r="E187" t="s">
        <v>2332</v>
      </c>
      <c r="F187" t="s">
        <v>178</v>
      </c>
      <c r="G187" t="s">
        <v>195</v>
      </c>
      <c r="H187" t="s">
        <v>1042</v>
      </c>
      <c r="I187" t="s">
        <v>196</v>
      </c>
      <c r="J187" s="30" t="s">
        <v>71</v>
      </c>
      <c r="K187" s="30" t="s">
        <v>27</v>
      </c>
      <c r="L187" s="30"/>
      <c r="M187" s="30" t="s">
        <v>682</v>
      </c>
      <c r="N187" s="30"/>
      <c r="O187" s="31">
        <f t="shared" si="22"/>
        <v>28</v>
      </c>
      <c r="P187" s="136" t="s">
        <v>1770</v>
      </c>
      <c r="Q187" s="31">
        <f t="shared" si="23"/>
        <v>0</v>
      </c>
      <c r="R187" s="32">
        <f t="shared" si="24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>
        <v>4</v>
      </c>
      <c r="B188">
        <v>12</v>
      </c>
      <c r="C188"/>
      <c r="D188"/>
      <c r="E188" t="s">
        <v>2332</v>
      </c>
      <c r="F188" t="s">
        <v>178</v>
      </c>
      <c r="G188" t="s">
        <v>197</v>
      </c>
      <c r="H188" t="s">
        <v>1042</v>
      </c>
      <c r="I188" t="s">
        <v>196</v>
      </c>
      <c r="J188" s="30" t="s">
        <v>71</v>
      </c>
      <c r="K188" s="30" t="s">
        <v>27</v>
      </c>
      <c r="L188" s="30"/>
      <c r="M188" s="30" t="s">
        <v>683</v>
      </c>
      <c r="N188" s="30"/>
      <c r="O188" s="31">
        <f t="shared" si="22"/>
        <v>28</v>
      </c>
      <c r="P188" s="136" t="s">
        <v>1771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/>
      <c r="B189"/>
      <c r="C189"/>
      <c r="D189"/>
      <c r="E189" s="151" t="s">
        <v>2453</v>
      </c>
      <c r="F189" t="s">
        <v>178</v>
      </c>
      <c r="G189" t="s">
        <v>198</v>
      </c>
      <c r="H189" t="s">
        <v>1042</v>
      </c>
      <c r="I189" t="s">
        <v>199</v>
      </c>
      <c r="J189" s="30" t="s">
        <v>71</v>
      </c>
      <c r="K189" s="30" t="s">
        <v>2367</v>
      </c>
      <c r="L189" s="30"/>
      <c r="M189" s="30" t="s">
        <v>658</v>
      </c>
      <c r="N189" s="30"/>
      <c r="O189" s="31">
        <f t="shared" si="22"/>
        <v>28</v>
      </c>
      <c r="P189" s="136" t="s">
        <v>1772</v>
      </c>
      <c r="Q189" s="31">
        <f t="shared" si="23"/>
        <v>0</v>
      </c>
      <c r="R189" s="32">
        <f t="shared" si="24"/>
        <v>1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</row>
    <row r="190" spans="1:49" ht="15.75" thickBot="1" x14ac:dyDescent="0.3">
      <c r="A190"/>
      <c r="B190"/>
      <c r="C190"/>
      <c r="D190"/>
      <c r="E190" s="151" t="s">
        <v>2453</v>
      </c>
      <c r="F190" t="s">
        <v>178</v>
      </c>
      <c r="G190" t="s">
        <v>200</v>
      </c>
      <c r="H190" t="s">
        <v>1042</v>
      </c>
      <c r="I190" t="s">
        <v>199</v>
      </c>
      <c r="J190" s="30" t="s">
        <v>71</v>
      </c>
      <c r="K190" s="30" t="s">
        <v>2367</v>
      </c>
      <c r="L190" s="30"/>
      <c r="M190" s="30" t="s">
        <v>659</v>
      </c>
      <c r="N190" s="30"/>
      <c r="O190" s="31">
        <f t="shared" si="22"/>
        <v>28</v>
      </c>
      <c r="P190" s="136" t="s">
        <v>1773</v>
      </c>
      <c r="Q190" s="31">
        <f t="shared" si="23"/>
        <v>0</v>
      </c>
      <c r="R190" s="32">
        <f t="shared" si="24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thickBot="1" x14ac:dyDescent="0.3">
      <c r="A191"/>
      <c r="B191"/>
      <c r="C191"/>
      <c r="D191"/>
      <c r="E191"/>
      <c r="F191" s="73" t="s">
        <v>178</v>
      </c>
      <c r="G191" s="84" t="s">
        <v>2120</v>
      </c>
      <c r="H191" s="84" t="s">
        <v>1042</v>
      </c>
      <c r="I191" s="73" t="s">
        <v>2121</v>
      </c>
      <c r="J191" s="84" t="s">
        <v>18</v>
      </c>
      <c r="K191" s="84" t="s">
        <v>1278</v>
      </c>
      <c r="L191" s="84"/>
      <c r="M191" s="84" t="s">
        <v>2122</v>
      </c>
      <c r="N191" s="84"/>
      <c r="O191" s="31">
        <f t="shared" si="22"/>
        <v>28</v>
      </c>
      <c r="P191" s="136" t="s">
        <v>2123</v>
      </c>
      <c r="Q191" s="31">
        <f t="shared" si="23"/>
        <v>0</v>
      </c>
      <c r="R191" s="32">
        <f t="shared" si="24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s="73" customFormat="1" ht="15.75" thickBot="1" x14ac:dyDescent="0.3">
      <c r="A192">
        <v>4</v>
      </c>
      <c r="B192">
        <v>12</v>
      </c>
      <c r="C192"/>
      <c r="D192"/>
      <c r="E192" t="s">
        <v>2332</v>
      </c>
      <c r="F192" s="73" t="s">
        <v>178</v>
      </c>
      <c r="G192" s="84" t="s">
        <v>2177</v>
      </c>
      <c r="H192" s="84" t="s">
        <v>1042</v>
      </c>
      <c r="I192" s="73" t="s">
        <v>2178</v>
      </c>
      <c r="J192" s="84" t="s">
        <v>18</v>
      </c>
      <c r="K192" s="84" t="s">
        <v>27</v>
      </c>
      <c r="L192" s="84"/>
      <c r="M192" s="84" t="s">
        <v>2275</v>
      </c>
      <c r="N192" s="84"/>
      <c r="O192" s="31">
        <f t="shared" si="22"/>
        <v>28</v>
      </c>
      <c r="P192" s="136" t="s">
        <v>2123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thickBot="1" x14ac:dyDescent="0.3">
      <c r="A193"/>
      <c r="B193"/>
      <c r="C193"/>
      <c r="D193"/>
      <c r="E193"/>
      <c r="G193" s="84" t="s">
        <v>2222</v>
      </c>
      <c r="H193" s="84" t="s">
        <v>1042</v>
      </c>
      <c r="I193" s="73" t="s">
        <v>1505</v>
      </c>
      <c r="J193" s="84" t="s">
        <v>1093</v>
      </c>
      <c r="K193" s="84" t="s">
        <v>1278</v>
      </c>
      <c r="L193" s="84"/>
      <c r="M193" s="84" t="s">
        <v>1506</v>
      </c>
      <c r="N193" s="84"/>
      <c r="O193" s="31">
        <f t="shared" si="22"/>
        <v>28</v>
      </c>
      <c r="P193" s="136" t="s">
        <v>1778</v>
      </c>
      <c r="Q193" s="31">
        <f t="shared" si="23"/>
        <v>0</v>
      </c>
      <c r="R193" s="32">
        <f t="shared" si="24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/>
    </row>
    <row r="194" spans="1:49" s="73" customFormat="1" ht="15.75" thickBot="1" x14ac:dyDescent="0.3">
      <c r="A194"/>
      <c r="B194"/>
      <c r="C194"/>
      <c r="D194"/>
      <c r="E194" t="s">
        <v>2347</v>
      </c>
      <c r="F194" t="s">
        <v>201</v>
      </c>
      <c r="G194" t="s">
        <v>930</v>
      </c>
      <c r="H194" t="s">
        <v>1042</v>
      </c>
      <c r="I194" t="s">
        <v>202</v>
      </c>
      <c r="J194" s="30" t="s">
        <v>14</v>
      </c>
      <c r="K194" s="30" t="s">
        <v>27</v>
      </c>
      <c r="L194" s="30"/>
      <c r="M194" s="30" t="s">
        <v>685</v>
      </c>
      <c r="N194" s="30"/>
      <c r="O194" s="31">
        <f t="shared" si="22"/>
        <v>28</v>
      </c>
      <c r="P194" s="136" t="s">
        <v>1779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thickBot="1" x14ac:dyDescent="0.3">
      <c r="A195"/>
      <c r="B195"/>
      <c r="C195"/>
      <c r="D195"/>
      <c r="E195" t="s">
        <v>2347</v>
      </c>
      <c r="F195" t="s">
        <v>201</v>
      </c>
      <c r="G195" t="s">
        <v>931</v>
      </c>
      <c r="H195" t="s">
        <v>1042</v>
      </c>
      <c r="I195" t="s">
        <v>203</v>
      </c>
      <c r="J195" s="30" t="s">
        <v>14</v>
      </c>
      <c r="K195" s="30" t="s">
        <v>27</v>
      </c>
      <c r="L195" s="30"/>
      <c r="M195" s="30" t="s">
        <v>686</v>
      </c>
      <c r="N195" s="30"/>
      <c r="O195" s="31">
        <f t="shared" si="22"/>
        <v>28</v>
      </c>
      <c r="P195" s="136" t="s">
        <v>1780</v>
      </c>
      <c r="Q195" s="31">
        <f t="shared" si="23"/>
        <v>0</v>
      </c>
      <c r="R195" s="32">
        <f t="shared" si="24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</row>
    <row r="196" spans="1:49" s="73" customFormat="1" ht="15.75" thickBot="1" x14ac:dyDescent="0.3">
      <c r="A196" s="69"/>
      <c r="B196" s="69"/>
      <c r="C196" s="69"/>
      <c r="D196" s="69"/>
      <c r="E196" s="152" t="s">
        <v>2460</v>
      </c>
      <c r="F196" s="69" t="s">
        <v>204</v>
      </c>
      <c r="G196" s="69" t="s">
        <v>932</v>
      </c>
      <c r="H196" s="69" t="s">
        <v>1042</v>
      </c>
      <c r="I196" s="69" t="s">
        <v>205</v>
      </c>
      <c r="J196" s="137" t="s">
        <v>18</v>
      </c>
      <c r="K196" s="137" t="s">
        <v>1278</v>
      </c>
      <c r="L196" s="137"/>
      <c r="M196" s="137" t="s">
        <v>687</v>
      </c>
      <c r="N196" s="137"/>
      <c r="O196" s="139">
        <f t="shared" si="22"/>
        <v>10</v>
      </c>
      <c r="P196" s="140"/>
      <c r="Q196" s="139">
        <f t="shared" si="23"/>
        <v>18</v>
      </c>
      <c r="R196" s="141">
        <f t="shared" si="24"/>
        <v>0.35714285714285715</v>
      </c>
      <c r="S196" s="142"/>
      <c r="T196" s="142"/>
      <c r="U196" s="142"/>
      <c r="V196" s="70" t="s">
        <v>2221</v>
      </c>
      <c r="W196" s="70" t="s">
        <v>2221</v>
      </c>
      <c r="X196" s="70" t="s">
        <v>2221</v>
      </c>
      <c r="Y196" s="70" t="s">
        <v>2221</v>
      </c>
      <c r="Z196" s="70" t="s">
        <v>2221</v>
      </c>
      <c r="AA196" s="142"/>
      <c r="AB196" s="142"/>
      <c r="AC196" s="70" t="s">
        <v>2221</v>
      </c>
      <c r="AD196" s="70" t="s">
        <v>2221</v>
      </c>
      <c r="AE196" s="70" t="s">
        <v>2221</v>
      </c>
      <c r="AF196" s="70" t="s">
        <v>2221</v>
      </c>
      <c r="AG196" s="70" t="s">
        <v>2221</v>
      </c>
      <c r="AH196" s="70"/>
      <c r="AI196" s="70"/>
      <c r="AJ196" s="70" t="s">
        <v>2221</v>
      </c>
      <c r="AK196" s="70" t="s">
        <v>2221</v>
      </c>
      <c r="AL196" s="70" t="s">
        <v>2221</v>
      </c>
      <c r="AM196" s="70" t="s">
        <v>2221</v>
      </c>
      <c r="AN196" s="70" t="s">
        <v>2221</v>
      </c>
      <c r="AO196" s="70"/>
      <c r="AP196" s="70"/>
      <c r="AQ196" s="142"/>
      <c r="AR196" s="70" t="s">
        <v>2221</v>
      </c>
      <c r="AS196" s="70" t="s">
        <v>2221</v>
      </c>
      <c r="AT196" s="70" t="s">
        <v>2221</v>
      </c>
      <c r="AU196" s="70"/>
      <c r="AV196" s="70"/>
      <c r="AW196" s="69"/>
    </row>
    <row r="197" spans="1:49" ht="15.75" thickBot="1" x14ac:dyDescent="0.3">
      <c r="A197"/>
      <c r="B197"/>
      <c r="C197"/>
      <c r="D197"/>
      <c r="E197"/>
      <c r="F197" s="73" t="s">
        <v>206</v>
      </c>
      <c r="G197" s="73" t="s">
        <v>207</v>
      </c>
      <c r="H197" s="73" t="s">
        <v>1041</v>
      </c>
      <c r="I197" s="73" t="s">
        <v>208</v>
      </c>
      <c r="J197" s="84" t="s">
        <v>14</v>
      </c>
      <c r="K197" s="84" t="s">
        <v>1278</v>
      </c>
      <c r="L197" s="84"/>
      <c r="M197" s="84" t="s">
        <v>1560</v>
      </c>
      <c r="N197" s="84"/>
      <c r="O197" s="131">
        <f t="shared" si="22"/>
        <v>26</v>
      </c>
      <c r="P197" s="136" t="s">
        <v>1786</v>
      </c>
      <c r="Q197" s="131">
        <f t="shared" si="23"/>
        <v>2</v>
      </c>
      <c r="R197" s="132">
        <f t="shared" si="24"/>
        <v>0.9285714285714286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 t="s">
        <v>2221</v>
      </c>
      <c r="AD197" s="70"/>
      <c r="AE197" s="70"/>
      <c r="AF197" s="70"/>
      <c r="AG197" s="70"/>
      <c r="AH197" s="70"/>
      <c r="AI197" s="70"/>
      <c r="AJ197" s="70"/>
      <c r="AK197" s="70"/>
      <c r="AL197" s="70"/>
      <c r="AM197" s="70" t="s">
        <v>2221</v>
      </c>
      <c r="AN197" s="70"/>
      <c r="AO197" s="70"/>
      <c r="AP197" s="70"/>
      <c r="AQ197" s="70"/>
      <c r="AR197" s="70"/>
      <c r="AS197" s="70"/>
      <c r="AT197" s="70"/>
      <c r="AU197" s="70"/>
      <c r="AV197" s="70"/>
    </row>
    <row r="198" spans="1:49" ht="15.75" thickBot="1" x14ac:dyDescent="0.3">
      <c r="A198"/>
      <c r="B198"/>
      <c r="C198"/>
      <c r="D198"/>
      <c r="E198"/>
      <c r="F198" s="73" t="s">
        <v>206</v>
      </c>
      <c r="G198" s="73" t="s">
        <v>211</v>
      </c>
      <c r="H198" s="73" t="s">
        <v>1041</v>
      </c>
      <c r="I198" s="73" t="s">
        <v>212</v>
      </c>
      <c r="J198" s="84" t="s">
        <v>14</v>
      </c>
      <c r="K198" s="84" t="s">
        <v>1278</v>
      </c>
      <c r="L198" s="84"/>
      <c r="M198" s="84" t="s">
        <v>1381</v>
      </c>
      <c r="N198" s="84"/>
      <c r="O198" s="131">
        <f t="shared" si="22"/>
        <v>28</v>
      </c>
      <c r="P198" s="136" t="s">
        <v>1789</v>
      </c>
      <c r="Q198" s="131">
        <f t="shared" si="23"/>
        <v>0</v>
      </c>
      <c r="R198" s="132">
        <f t="shared" si="24"/>
        <v>1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s="69" customFormat="1" ht="15.75" thickBot="1" x14ac:dyDescent="0.3">
      <c r="A199"/>
      <c r="B199"/>
      <c r="C199"/>
      <c r="D199"/>
      <c r="E199" t="s">
        <v>1226</v>
      </c>
      <c r="F199" t="s">
        <v>206</v>
      </c>
      <c r="G199" t="s">
        <v>213</v>
      </c>
      <c r="H199" t="s">
        <v>1041</v>
      </c>
      <c r="I199" t="s">
        <v>214</v>
      </c>
      <c r="J199" s="30" t="s">
        <v>71</v>
      </c>
      <c r="K199" s="30" t="s">
        <v>1035</v>
      </c>
      <c r="L199" s="30" t="s">
        <v>1226</v>
      </c>
      <c r="M199" s="30" t="s">
        <v>689</v>
      </c>
      <c r="N199" s="30"/>
      <c r="O199" s="31">
        <f t="shared" si="22"/>
        <v>28</v>
      </c>
      <c r="P199" s="136" t="s">
        <v>1791</v>
      </c>
      <c r="Q199" s="31">
        <f t="shared" si="23"/>
        <v>0</v>
      </c>
      <c r="R199" s="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/>
    </row>
    <row r="200" spans="1:49" s="73" customFormat="1" ht="15.75" thickBot="1" x14ac:dyDescent="0.3">
      <c r="A200"/>
      <c r="B200"/>
      <c r="C200"/>
      <c r="D200"/>
      <c r="E200" t="s">
        <v>1226</v>
      </c>
      <c r="F200" t="s">
        <v>206</v>
      </c>
      <c r="G200" t="s">
        <v>215</v>
      </c>
      <c r="H200" t="s">
        <v>1041</v>
      </c>
      <c r="I200" t="s">
        <v>214</v>
      </c>
      <c r="J200" s="30" t="s">
        <v>71</v>
      </c>
      <c r="K200" s="30" t="s">
        <v>1035</v>
      </c>
      <c r="L200" s="30" t="s">
        <v>1226</v>
      </c>
      <c r="M200" s="30" t="s">
        <v>690</v>
      </c>
      <c r="N200" s="30"/>
      <c r="O200" s="31">
        <f t="shared" si="22"/>
        <v>28</v>
      </c>
      <c r="P200" s="136" t="s">
        <v>1792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thickBot="1" x14ac:dyDescent="0.3">
      <c r="A201">
        <v>12</v>
      </c>
      <c r="B201">
        <v>45</v>
      </c>
      <c r="C201"/>
      <c r="D201"/>
      <c r="E201" t="s">
        <v>1226</v>
      </c>
      <c r="F201" t="s">
        <v>206</v>
      </c>
      <c r="G201" t="s">
        <v>933</v>
      </c>
      <c r="H201" t="s">
        <v>1041</v>
      </c>
      <c r="I201" t="s">
        <v>231</v>
      </c>
      <c r="J201" s="30" t="s">
        <v>71</v>
      </c>
      <c r="K201" s="30" t="s">
        <v>1035</v>
      </c>
      <c r="L201" s="30" t="s">
        <v>1226</v>
      </c>
      <c r="M201" s="30" t="s">
        <v>691</v>
      </c>
      <c r="N201" s="30"/>
      <c r="O201" s="31">
        <f t="shared" si="22"/>
        <v>28</v>
      </c>
      <c r="P201" s="136" t="s">
        <v>1793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</row>
    <row r="202" spans="1:49" ht="15.75" thickBot="1" x14ac:dyDescent="0.3">
      <c r="A202">
        <v>12</v>
      </c>
      <c r="B202">
        <v>45</v>
      </c>
      <c r="C202"/>
      <c r="D202"/>
      <c r="E202" t="s">
        <v>1226</v>
      </c>
      <c r="F202" t="s">
        <v>206</v>
      </c>
      <c r="G202" t="s">
        <v>934</v>
      </c>
      <c r="H202" t="s">
        <v>1041</v>
      </c>
      <c r="I202" t="s">
        <v>231</v>
      </c>
      <c r="J202" s="30" t="s">
        <v>71</v>
      </c>
      <c r="K202" s="30" t="s">
        <v>1035</v>
      </c>
      <c r="L202" s="30" t="s">
        <v>1226</v>
      </c>
      <c r="M202" s="30" t="s">
        <v>692</v>
      </c>
      <c r="N202" s="30"/>
      <c r="O202" s="31">
        <f t="shared" si="22"/>
        <v>28</v>
      </c>
      <c r="P202" s="136" t="s">
        <v>1794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thickBot="1" x14ac:dyDescent="0.3">
      <c r="A203">
        <v>12</v>
      </c>
      <c r="B203">
        <v>45</v>
      </c>
      <c r="C203"/>
      <c r="D203"/>
      <c r="E203" t="s">
        <v>1226</v>
      </c>
      <c r="F203" t="s">
        <v>206</v>
      </c>
      <c r="G203" t="s">
        <v>935</v>
      </c>
      <c r="H203" t="s">
        <v>1041</v>
      </c>
      <c r="I203" t="s">
        <v>232</v>
      </c>
      <c r="J203" s="30" t="s">
        <v>71</v>
      </c>
      <c r="K203" s="30" t="s">
        <v>1035</v>
      </c>
      <c r="L203" s="30" t="s">
        <v>1226</v>
      </c>
      <c r="M203" s="30" t="s">
        <v>693</v>
      </c>
      <c r="N203" s="30"/>
      <c r="O203" s="31">
        <f t="shared" si="22"/>
        <v>28</v>
      </c>
      <c r="P203" s="136" t="s">
        <v>1795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69"/>
    </row>
    <row r="204" spans="1:49" ht="15.75" thickBot="1" x14ac:dyDescent="0.3">
      <c r="A204">
        <v>12</v>
      </c>
      <c r="B204">
        <v>45</v>
      </c>
      <c r="C204"/>
      <c r="D204"/>
      <c r="E204" t="s">
        <v>1226</v>
      </c>
      <c r="F204" t="s">
        <v>206</v>
      </c>
      <c r="G204" t="s">
        <v>936</v>
      </c>
      <c r="H204" t="s">
        <v>1041</v>
      </c>
      <c r="I204" t="s">
        <v>232</v>
      </c>
      <c r="J204" s="30" t="s">
        <v>71</v>
      </c>
      <c r="K204" s="30" t="s">
        <v>1035</v>
      </c>
      <c r="L204" s="30" t="s">
        <v>1226</v>
      </c>
      <c r="M204" s="30" t="s">
        <v>694</v>
      </c>
      <c r="N204" s="30"/>
      <c r="O204" s="31">
        <f t="shared" si="22"/>
        <v>28</v>
      </c>
      <c r="P204" s="136" t="s">
        <v>1655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thickBot="1" x14ac:dyDescent="0.3">
      <c r="A205"/>
      <c r="B205"/>
      <c r="C205"/>
      <c r="D205"/>
      <c r="E205" s="151" t="s">
        <v>2437</v>
      </c>
      <c r="F205" s="73" t="s">
        <v>206</v>
      </c>
      <c r="G205" s="73" t="s">
        <v>1207</v>
      </c>
      <c r="H205" s="73" t="s">
        <v>1041</v>
      </c>
      <c r="I205" s="73" t="s">
        <v>1206</v>
      </c>
      <c r="J205" s="73" t="s">
        <v>18</v>
      </c>
      <c r="K205" s="73" t="s">
        <v>1278</v>
      </c>
      <c r="L205" s="73"/>
      <c r="M205" s="84" t="s">
        <v>1216</v>
      </c>
      <c r="N205" s="84"/>
      <c r="O205" s="131">
        <f t="shared" si="22"/>
        <v>10</v>
      </c>
      <c r="P205" s="136" t="s">
        <v>1796</v>
      </c>
      <c r="Q205" s="131">
        <f t="shared" si="23"/>
        <v>18</v>
      </c>
      <c r="R205" s="132">
        <f t="shared" si="24"/>
        <v>0.35714285714285715</v>
      </c>
      <c r="S205" s="70"/>
      <c r="T205" s="70"/>
      <c r="U205" s="70"/>
      <c r="V205" s="70" t="s">
        <v>2221</v>
      </c>
      <c r="W205" s="70" t="s">
        <v>2221</v>
      </c>
      <c r="X205" s="70" t="s">
        <v>2221</v>
      </c>
      <c r="Y205" s="70" t="s">
        <v>2221</v>
      </c>
      <c r="Z205" s="70" t="s">
        <v>2221</v>
      </c>
      <c r="AA205" s="70"/>
      <c r="AB205" s="70"/>
      <c r="AC205" s="70" t="s">
        <v>2221</v>
      </c>
      <c r="AD205" s="70" t="s">
        <v>2221</v>
      </c>
      <c r="AE205" s="70" t="s">
        <v>2221</v>
      </c>
      <c r="AF205" s="70" t="s">
        <v>2221</v>
      </c>
      <c r="AG205" s="70" t="s">
        <v>2221</v>
      </c>
      <c r="AH205" s="70"/>
      <c r="AI205" s="70"/>
      <c r="AJ205" s="70" t="s">
        <v>2221</v>
      </c>
      <c r="AK205" s="70" t="s">
        <v>2221</v>
      </c>
      <c r="AL205" s="70" t="s">
        <v>2221</v>
      </c>
      <c r="AM205" s="70" t="s">
        <v>2221</v>
      </c>
      <c r="AN205" s="70" t="s">
        <v>2221</v>
      </c>
      <c r="AO205" s="70"/>
      <c r="AP205" s="70"/>
      <c r="AQ205" s="70"/>
      <c r="AR205" s="70" t="s">
        <v>2221</v>
      </c>
      <c r="AS205" s="70" t="s">
        <v>2221</v>
      </c>
      <c r="AT205" s="70" t="s">
        <v>2221</v>
      </c>
      <c r="AU205" s="70"/>
      <c r="AV205" s="70"/>
    </row>
    <row r="206" spans="1:49" s="73" customFormat="1" ht="15.75" thickBot="1" x14ac:dyDescent="0.3">
      <c r="A206"/>
      <c r="B206"/>
      <c r="C206"/>
      <c r="D206"/>
      <c r="E206" s="151" t="s">
        <v>2437</v>
      </c>
      <c r="G206" s="73" t="s">
        <v>2349</v>
      </c>
      <c r="H206" s="73" t="s">
        <v>1041</v>
      </c>
      <c r="I206" s="73" t="s">
        <v>2351</v>
      </c>
      <c r="J206" s="84"/>
      <c r="K206" s="84" t="s">
        <v>1278</v>
      </c>
      <c r="M206" s="84" t="s">
        <v>2350</v>
      </c>
      <c r="N206" s="84"/>
      <c r="O206" s="131"/>
      <c r="P206" s="136" t="s">
        <v>2352</v>
      </c>
      <c r="Q206" s="131"/>
      <c r="R206" s="132"/>
      <c r="S206" s="70"/>
      <c r="T206" s="70"/>
      <c r="U206" s="70"/>
      <c r="V206" s="70" t="s">
        <v>2221</v>
      </c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/>
    </row>
    <row r="207" spans="1:49" ht="15.75" thickBot="1" x14ac:dyDescent="0.3">
      <c r="A207"/>
      <c r="B207"/>
      <c r="C207"/>
      <c r="D207"/>
      <c r="E207" s="151" t="s">
        <v>2437</v>
      </c>
      <c r="F207" s="73" t="s">
        <v>216</v>
      </c>
      <c r="G207" s="73" t="s">
        <v>217</v>
      </c>
      <c r="H207" s="73" t="s">
        <v>1041</v>
      </c>
      <c r="I207" s="73" t="s">
        <v>218</v>
      </c>
      <c r="J207" s="84" t="s">
        <v>14</v>
      </c>
      <c r="K207" s="84" t="s">
        <v>1278</v>
      </c>
      <c r="L207" s="84"/>
      <c r="M207" s="84" t="s">
        <v>1367</v>
      </c>
      <c r="N207" s="84"/>
      <c r="O207" s="131">
        <f t="shared" ref="O207:O238" si="25">COUNTIF(S207:AT207,"")</f>
        <v>28</v>
      </c>
      <c r="P207" s="136" t="s">
        <v>1781</v>
      </c>
      <c r="Q207" s="131">
        <f t="shared" ref="Q207:Q238" si="26">COUNTIF(S207:AT207,"APAGADO")</f>
        <v>0</v>
      </c>
      <c r="R207" s="132">
        <f t="shared" ref="R207:R238" si="27">(O207)/(Q207+O207)</f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9" ht="15.75" thickBot="1" x14ac:dyDescent="0.3">
      <c r="A208"/>
      <c r="B208"/>
      <c r="C208"/>
      <c r="D208"/>
      <c r="E208" s="151" t="s">
        <v>2437</v>
      </c>
      <c r="F208" s="73" t="s">
        <v>158</v>
      </c>
      <c r="G208" s="73" t="s">
        <v>219</v>
      </c>
      <c r="H208" s="73" t="s">
        <v>1041</v>
      </c>
      <c r="I208" s="73" t="s">
        <v>220</v>
      </c>
      <c r="J208" s="84" t="s">
        <v>18</v>
      </c>
      <c r="K208" s="84" t="s">
        <v>1278</v>
      </c>
      <c r="L208" s="84"/>
      <c r="M208" s="84" t="s">
        <v>1402</v>
      </c>
      <c r="N208" s="84"/>
      <c r="O208" s="131">
        <f t="shared" si="25"/>
        <v>28</v>
      </c>
      <c r="P208" s="136" t="s">
        <v>1782</v>
      </c>
      <c r="Q208" s="131">
        <f t="shared" si="26"/>
        <v>0</v>
      </c>
      <c r="R208" s="132">
        <f t="shared" si="27"/>
        <v>1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s="73" customFormat="1" ht="15.75" thickBot="1" x14ac:dyDescent="0.3">
      <c r="A209"/>
      <c r="B209"/>
      <c r="C209"/>
      <c r="D209"/>
      <c r="E209" s="151" t="s">
        <v>2437</v>
      </c>
      <c r="F209" t="s">
        <v>206</v>
      </c>
      <c r="G209" t="s">
        <v>221</v>
      </c>
      <c r="H209" t="s">
        <v>1041</v>
      </c>
      <c r="I209" t="s">
        <v>222</v>
      </c>
      <c r="J209" s="30" t="s">
        <v>18</v>
      </c>
      <c r="K209" s="30" t="s">
        <v>1035</v>
      </c>
      <c r="L209" s="30"/>
      <c r="M209" s="30" t="s">
        <v>1384</v>
      </c>
      <c r="N209" s="30"/>
      <c r="O209" s="31">
        <f t="shared" si="25"/>
        <v>26</v>
      </c>
      <c r="P209" s="136" t="s">
        <v>1783</v>
      </c>
      <c r="Q209" s="31">
        <f t="shared" si="26"/>
        <v>2</v>
      </c>
      <c r="R209" s="32">
        <f t="shared" si="27"/>
        <v>0.9285714285714286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 t="s">
        <v>2221</v>
      </c>
      <c r="AG209" s="70" t="s">
        <v>2221</v>
      </c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69"/>
    </row>
    <row r="210" spans="1:49" ht="15.75" thickBot="1" x14ac:dyDescent="0.3">
      <c r="A210">
        <v>12</v>
      </c>
      <c r="B210" t="s">
        <v>2374</v>
      </c>
      <c r="C210"/>
      <c r="D210"/>
      <c r="E210" t="s">
        <v>1226</v>
      </c>
      <c r="F210" t="s">
        <v>206</v>
      </c>
      <c r="G210" t="s">
        <v>223</v>
      </c>
      <c r="H210" t="s">
        <v>1041</v>
      </c>
      <c r="I210" t="s">
        <v>224</v>
      </c>
      <c r="J210" s="30" t="s">
        <v>18</v>
      </c>
      <c r="K210" s="30" t="s">
        <v>1035</v>
      </c>
      <c r="L210" s="30"/>
      <c r="M210" s="30" t="s">
        <v>2276</v>
      </c>
      <c r="N210" s="30"/>
      <c r="O210" s="31">
        <f t="shared" si="25"/>
        <v>28</v>
      </c>
      <c r="P210" s="136" t="s">
        <v>1784</v>
      </c>
      <c r="Q210" s="31">
        <f t="shared" si="26"/>
        <v>0</v>
      </c>
      <c r="R210" s="32">
        <f t="shared" si="27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29"/>
      <c r="AW210" s="69"/>
    </row>
    <row r="211" spans="1:49" ht="15.75" thickBot="1" x14ac:dyDescent="0.3">
      <c r="A211">
        <v>12</v>
      </c>
      <c r="B211" t="s">
        <v>2373</v>
      </c>
      <c r="C211"/>
      <c r="D211"/>
      <c r="E211" t="s">
        <v>2372</v>
      </c>
      <c r="F211" t="s">
        <v>206</v>
      </c>
      <c r="G211" t="s">
        <v>225</v>
      </c>
      <c r="H211" t="s">
        <v>1041</v>
      </c>
      <c r="I211" t="s">
        <v>226</v>
      </c>
      <c r="J211" s="30" t="s">
        <v>18</v>
      </c>
      <c r="K211" s="30" t="s">
        <v>1035</v>
      </c>
      <c r="L211" s="30"/>
      <c r="M211" s="30" t="s">
        <v>2277</v>
      </c>
      <c r="N211" s="30"/>
      <c r="O211" s="31">
        <f t="shared" si="25"/>
        <v>23</v>
      </c>
      <c r="P211" s="136" t="s">
        <v>1785</v>
      </c>
      <c r="Q211" s="31">
        <f t="shared" si="26"/>
        <v>5</v>
      </c>
      <c r="R211" s="32">
        <f t="shared" si="27"/>
        <v>0.8214285714285714</v>
      </c>
      <c r="S211" s="70"/>
      <c r="T211" s="70"/>
      <c r="U211" s="70"/>
      <c r="V211" s="70" t="s">
        <v>2221</v>
      </c>
      <c r="W211" s="70" t="s">
        <v>2221</v>
      </c>
      <c r="X211" s="70" t="s">
        <v>2221</v>
      </c>
      <c r="Y211" s="70" t="s">
        <v>2221</v>
      </c>
      <c r="Z211" s="70" t="s">
        <v>2221</v>
      </c>
      <c r="AA211" s="70"/>
      <c r="AB211" s="70"/>
      <c r="AC211" s="70"/>
      <c r="AD211" s="70"/>
      <c r="AE211" s="70"/>
      <c r="AF211" s="70"/>
      <c r="AG211" s="142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</row>
    <row r="212" spans="1:49" ht="15.75" thickBot="1" x14ac:dyDescent="0.3">
      <c r="A212"/>
      <c r="B212"/>
      <c r="C212"/>
      <c r="D212"/>
      <c r="E212" s="151" t="s">
        <v>2437</v>
      </c>
      <c r="F212" t="s">
        <v>206</v>
      </c>
      <c r="G212" t="s">
        <v>227</v>
      </c>
      <c r="H212" t="s">
        <v>1041</v>
      </c>
      <c r="I212" t="s">
        <v>228</v>
      </c>
      <c r="J212" s="30" t="s">
        <v>14</v>
      </c>
      <c r="K212" s="30" t="s">
        <v>1278</v>
      </c>
      <c r="L212" s="30"/>
      <c r="M212" s="30" t="s">
        <v>2262</v>
      </c>
      <c r="N212" s="30"/>
      <c r="O212" s="31">
        <f t="shared" si="25"/>
        <v>28</v>
      </c>
      <c r="P212" s="136" t="s">
        <v>2378</v>
      </c>
      <c r="Q212" s="31">
        <f t="shared" si="26"/>
        <v>0</v>
      </c>
      <c r="R212" s="32">
        <f t="shared" si="27"/>
        <v>1</v>
      </c>
      <c r="S212" s="70"/>
      <c r="T212" s="138"/>
      <c r="U212" s="138"/>
      <c r="V212" s="138"/>
      <c r="W212" s="138"/>
      <c r="X212" s="70"/>
      <c r="Y212" s="70"/>
      <c r="Z212" s="70"/>
      <c r="AA212" s="138"/>
      <c r="AB212" s="138"/>
      <c r="AC212" s="138"/>
      <c r="AD212" s="138"/>
      <c r="AE212" s="70"/>
      <c r="AF212" s="70"/>
      <c r="AG212" s="142"/>
      <c r="AH212" s="70"/>
      <c r="AI212" s="70"/>
      <c r="AJ212" s="138"/>
      <c r="AK212" s="138"/>
      <c r="AL212" s="70"/>
      <c r="AM212" s="70"/>
      <c r="AN212" s="70"/>
      <c r="AO212" s="138"/>
      <c r="AP212" s="138"/>
      <c r="AQ212" s="138"/>
      <c r="AR212" s="138"/>
      <c r="AS212" s="138"/>
      <c r="AT212" s="138"/>
      <c r="AU212" s="138"/>
      <c r="AV212" s="129"/>
    </row>
    <row r="213" spans="1:49" ht="15.75" thickBot="1" x14ac:dyDescent="0.3">
      <c r="E213" s="151" t="s">
        <v>2437</v>
      </c>
      <c r="F213" t="s">
        <v>206</v>
      </c>
      <c r="G213" t="s">
        <v>937</v>
      </c>
      <c r="H213" t="s">
        <v>1041</v>
      </c>
      <c r="I213" t="s">
        <v>209</v>
      </c>
      <c r="J213" s="30" t="s">
        <v>14</v>
      </c>
      <c r="K213" s="30" t="s">
        <v>1278</v>
      </c>
      <c r="L213" s="30"/>
      <c r="M213" s="30" t="s">
        <v>1382</v>
      </c>
      <c r="N213" s="30"/>
      <c r="O213" s="31">
        <f t="shared" si="25"/>
        <v>17</v>
      </c>
      <c r="P213" s="136" t="s">
        <v>1787</v>
      </c>
      <c r="Q213" s="31">
        <f t="shared" si="26"/>
        <v>11</v>
      </c>
      <c r="R213" s="32">
        <f t="shared" si="27"/>
        <v>0.6071428571428571</v>
      </c>
      <c r="S213" s="70"/>
      <c r="T213" s="70"/>
      <c r="U213" s="70"/>
      <c r="V213" s="70" t="s">
        <v>2221</v>
      </c>
      <c r="W213" s="70" t="s">
        <v>2221</v>
      </c>
      <c r="X213" s="70" t="s">
        <v>2221</v>
      </c>
      <c r="Y213" s="70" t="s">
        <v>2221</v>
      </c>
      <c r="Z213" s="70" t="s">
        <v>2221</v>
      </c>
      <c r="AA213" s="70"/>
      <c r="AB213" s="70"/>
      <c r="AC213" s="70" t="s">
        <v>2221</v>
      </c>
      <c r="AD213" s="70" t="s">
        <v>2221</v>
      </c>
      <c r="AE213" s="70" t="s">
        <v>2221</v>
      </c>
      <c r="AF213" s="70" t="s">
        <v>2221</v>
      </c>
      <c r="AG213" s="70" t="s">
        <v>2221</v>
      </c>
      <c r="AH213" s="70"/>
      <c r="AI213" s="70"/>
      <c r="AJ213" s="70"/>
      <c r="AK213" s="70"/>
      <c r="AL213" s="70"/>
      <c r="AM213" s="70" t="s">
        <v>2221</v>
      </c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1:49" ht="15.75" thickBot="1" x14ac:dyDescent="0.3">
      <c r="A214"/>
      <c r="B214"/>
      <c r="C214"/>
      <c r="D214"/>
      <c r="E214" s="151" t="s">
        <v>2437</v>
      </c>
      <c r="F214" t="s">
        <v>206</v>
      </c>
      <c r="G214" t="s">
        <v>938</v>
      </c>
      <c r="H214" t="s">
        <v>1041</v>
      </c>
      <c r="I214" t="s">
        <v>210</v>
      </c>
      <c r="J214" s="30" t="s">
        <v>14</v>
      </c>
      <c r="K214" s="30" t="s">
        <v>1035</v>
      </c>
      <c r="L214" s="30"/>
      <c r="M214" s="30" t="s">
        <v>1189</v>
      </c>
      <c r="N214" s="30"/>
      <c r="O214" s="31">
        <f t="shared" si="25"/>
        <v>28</v>
      </c>
      <c r="P214" s="136" t="s">
        <v>1788</v>
      </c>
      <c r="Q214" s="31">
        <f t="shared" si="26"/>
        <v>0</v>
      </c>
      <c r="R214" s="32">
        <f t="shared" si="27"/>
        <v>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3"/>
    </row>
    <row r="215" spans="1:49" ht="15.75" thickBot="1" x14ac:dyDescent="0.3">
      <c r="A215"/>
      <c r="B215"/>
      <c r="C215"/>
      <c r="D215"/>
      <c r="E215" s="151" t="s">
        <v>2437</v>
      </c>
      <c r="F215" t="s">
        <v>206</v>
      </c>
      <c r="G215" t="s">
        <v>229</v>
      </c>
      <c r="H215" t="s">
        <v>1041</v>
      </c>
      <c r="I215" t="s">
        <v>230</v>
      </c>
      <c r="J215" s="30" t="s">
        <v>14</v>
      </c>
      <c r="K215" s="30" t="s">
        <v>1278</v>
      </c>
      <c r="L215" s="30"/>
      <c r="M215" s="30" t="s">
        <v>688</v>
      </c>
      <c r="N215" s="30"/>
      <c r="O215" s="31">
        <f t="shared" si="25"/>
        <v>26</v>
      </c>
      <c r="P215" s="136" t="s">
        <v>1790</v>
      </c>
      <c r="Q215" s="31">
        <f t="shared" si="26"/>
        <v>2</v>
      </c>
      <c r="R215" s="32">
        <f t="shared" si="27"/>
        <v>0.9285714285714286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 t="s">
        <v>2221</v>
      </c>
      <c r="AG215" s="70" t="s">
        <v>2221</v>
      </c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thickBot="1" x14ac:dyDescent="0.3">
      <c r="A216"/>
      <c r="B216"/>
      <c r="C216"/>
      <c r="D216"/>
      <c r="E216" s="151" t="s">
        <v>2437</v>
      </c>
      <c r="F216" s="73" t="s">
        <v>206</v>
      </c>
      <c r="G216" s="73" t="s">
        <v>1557</v>
      </c>
      <c r="H216" s="73" t="s">
        <v>1041</v>
      </c>
      <c r="I216" s="73" t="s">
        <v>1558</v>
      </c>
      <c r="J216" s="84" t="s">
        <v>71</v>
      </c>
      <c r="K216" s="84" t="s">
        <v>1278</v>
      </c>
      <c r="L216" s="73"/>
      <c r="M216" s="84" t="s">
        <v>1559</v>
      </c>
      <c r="N216" s="84"/>
      <c r="O216" s="131">
        <f t="shared" si="25"/>
        <v>28</v>
      </c>
      <c r="P216" s="136" t="s">
        <v>1797</v>
      </c>
      <c r="Q216" s="131">
        <f t="shared" si="26"/>
        <v>0</v>
      </c>
      <c r="R216" s="1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88"/>
    </row>
    <row r="217" spans="1:49" s="73" customFormat="1" ht="15.75" thickBot="1" x14ac:dyDescent="0.3">
      <c r="A217"/>
      <c r="B217"/>
      <c r="C217"/>
      <c r="D217"/>
      <c r="E217" s="151" t="s">
        <v>2437</v>
      </c>
      <c r="F217" s="73" t="s">
        <v>206</v>
      </c>
      <c r="G217" s="73" t="s">
        <v>2155</v>
      </c>
      <c r="H217" s="73" t="s">
        <v>1041</v>
      </c>
      <c r="I217" s="73" t="s">
        <v>2156</v>
      </c>
      <c r="J217" s="84" t="s">
        <v>71</v>
      </c>
      <c r="K217" s="84" t="s">
        <v>1278</v>
      </c>
      <c r="M217" s="84" t="s">
        <v>2157</v>
      </c>
      <c r="N217" s="84"/>
      <c r="O217" s="131">
        <f t="shared" si="25"/>
        <v>28</v>
      </c>
      <c r="P217" s="136" t="s">
        <v>2158</v>
      </c>
      <c r="Q217" s="131">
        <f t="shared" si="26"/>
        <v>0</v>
      </c>
      <c r="R217" s="1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</row>
    <row r="218" spans="1:49" s="73" customFormat="1" ht="15.75" thickBot="1" x14ac:dyDescent="0.3">
      <c r="A218"/>
      <c r="B218"/>
      <c r="C218"/>
      <c r="D218"/>
      <c r="E218"/>
      <c r="F218" t="s">
        <v>91</v>
      </c>
      <c r="G218" t="s">
        <v>233</v>
      </c>
      <c r="H218" t="s">
        <v>1041</v>
      </c>
      <c r="I218" t="s">
        <v>234</v>
      </c>
      <c r="J218" s="30" t="s">
        <v>14</v>
      </c>
      <c r="K218" s="30" t="s">
        <v>1035</v>
      </c>
      <c r="L218" s="30" t="s">
        <v>44</v>
      </c>
      <c r="M218" s="30" t="s">
        <v>695</v>
      </c>
      <c r="N218" s="30"/>
      <c r="O218" s="31">
        <f t="shared" si="25"/>
        <v>28</v>
      </c>
      <c r="P218" s="136" t="s">
        <v>1798</v>
      </c>
      <c r="Q218" s="31">
        <f t="shared" si="26"/>
        <v>0</v>
      </c>
      <c r="R218" s="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/>
    </row>
    <row r="219" spans="1:49" s="73" customFormat="1" ht="15.75" thickBot="1" x14ac:dyDescent="0.3">
      <c r="A219"/>
      <c r="B219"/>
      <c r="C219"/>
      <c r="D219"/>
      <c r="E219"/>
      <c r="F219" s="73" t="s">
        <v>91</v>
      </c>
      <c r="G219" s="73" t="s">
        <v>235</v>
      </c>
      <c r="H219" s="73" t="s">
        <v>1041</v>
      </c>
      <c r="I219" s="73" t="s">
        <v>236</v>
      </c>
      <c r="J219" s="84" t="s">
        <v>14</v>
      </c>
      <c r="K219" s="84" t="s">
        <v>1278</v>
      </c>
      <c r="L219" s="84" t="s">
        <v>44</v>
      </c>
      <c r="M219" s="84" t="s">
        <v>696</v>
      </c>
      <c r="N219" s="84"/>
      <c r="O219" s="131">
        <f t="shared" si="25"/>
        <v>25</v>
      </c>
      <c r="P219" s="136" t="s">
        <v>1799</v>
      </c>
      <c r="Q219" s="131">
        <f t="shared" si="26"/>
        <v>3</v>
      </c>
      <c r="R219" s="132">
        <f t="shared" si="27"/>
        <v>0.8928571428571429</v>
      </c>
      <c r="S219" s="70"/>
      <c r="T219" s="70"/>
      <c r="U219" s="70"/>
      <c r="V219" s="70" t="s">
        <v>2221</v>
      </c>
      <c r="W219" s="70" t="s">
        <v>2221</v>
      </c>
      <c r="X219" s="70" t="s">
        <v>2221</v>
      </c>
      <c r="Y219" s="70"/>
      <c r="Z219" s="70"/>
      <c r="AA219" s="70"/>
      <c r="AB219" s="70"/>
      <c r="AC219" s="70"/>
      <c r="AD219" s="70"/>
      <c r="AE219" s="70"/>
      <c r="AF219" s="70"/>
      <c r="AG219" s="142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thickBot="1" x14ac:dyDescent="0.3">
      <c r="A220"/>
      <c r="B220"/>
      <c r="C220"/>
      <c r="D220"/>
      <c r="E220"/>
      <c r="F220" s="73" t="s">
        <v>91</v>
      </c>
      <c r="G220" s="73" t="s">
        <v>237</v>
      </c>
      <c r="H220" s="73" t="s">
        <v>1041</v>
      </c>
      <c r="I220" s="73" t="s">
        <v>238</v>
      </c>
      <c r="J220" s="84" t="s">
        <v>14</v>
      </c>
      <c r="K220" s="84" t="s">
        <v>1278</v>
      </c>
      <c r="L220" s="84" t="s">
        <v>44</v>
      </c>
      <c r="M220" s="84" t="s">
        <v>2270</v>
      </c>
      <c r="N220" s="84"/>
      <c r="O220" s="131">
        <f t="shared" si="25"/>
        <v>25</v>
      </c>
      <c r="P220" s="136" t="s">
        <v>1800</v>
      </c>
      <c r="Q220" s="131">
        <f t="shared" si="26"/>
        <v>3</v>
      </c>
      <c r="R220" s="132">
        <f t="shared" si="27"/>
        <v>0.8928571428571429</v>
      </c>
      <c r="S220" s="70"/>
      <c r="T220" s="70"/>
      <c r="U220" s="70"/>
      <c r="V220" s="70" t="s">
        <v>2221</v>
      </c>
      <c r="W220" s="70" t="s">
        <v>2221</v>
      </c>
      <c r="X220" s="70" t="s">
        <v>2221</v>
      </c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ht="15.75" thickBot="1" x14ac:dyDescent="0.3">
      <c r="A221"/>
      <c r="B221"/>
      <c r="C221"/>
      <c r="D221"/>
      <c r="E221"/>
      <c r="F221" t="s">
        <v>91</v>
      </c>
      <c r="G221" t="s">
        <v>1488</v>
      </c>
      <c r="H221" t="s">
        <v>1041</v>
      </c>
      <c r="I221" t="s">
        <v>1489</v>
      </c>
      <c r="J221" s="30" t="s">
        <v>14</v>
      </c>
      <c r="K221" s="30" t="s">
        <v>2367</v>
      </c>
      <c r="L221" s="30" t="s">
        <v>2368</v>
      </c>
      <c r="M221" s="30" t="s">
        <v>1490</v>
      </c>
      <c r="N221" s="30"/>
      <c r="O221" s="131">
        <f t="shared" si="25"/>
        <v>25</v>
      </c>
      <c r="P221" s="136" t="s">
        <v>1801</v>
      </c>
      <c r="Q221" s="131">
        <f t="shared" si="26"/>
        <v>3</v>
      </c>
      <c r="R221" s="132">
        <f t="shared" si="27"/>
        <v>0.8928571428571429</v>
      </c>
      <c r="S221" s="70"/>
      <c r="T221" s="70"/>
      <c r="U221" s="70"/>
      <c r="V221" s="70" t="s">
        <v>2221</v>
      </c>
      <c r="W221" s="70" t="s">
        <v>2221</v>
      </c>
      <c r="X221" s="70" t="s">
        <v>2221</v>
      </c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</row>
    <row r="222" spans="1:49" s="73" customFormat="1" ht="15.75" thickBot="1" x14ac:dyDescent="0.3">
      <c r="A222"/>
      <c r="B222"/>
      <c r="C222"/>
      <c r="D222"/>
      <c r="E222"/>
      <c r="F222" t="s">
        <v>91</v>
      </c>
      <c r="G222" t="s">
        <v>2209</v>
      </c>
      <c r="H222" t="s">
        <v>1041</v>
      </c>
      <c r="I222" t="s">
        <v>2210</v>
      </c>
      <c r="J222" s="30" t="s">
        <v>14</v>
      </c>
      <c r="K222" s="84" t="s">
        <v>1278</v>
      </c>
      <c r="L222" s="30"/>
      <c r="M222" s="30" t="s">
        <v>2211</v>
      </c>
      <c r="N222" s="30"/>
      <c r="O222" s="131">
        <f t="shared" si="25"/>
        <v>28</v>
      </c>
      <c r="P222" s="136" t="s">
        <v>2212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/>
    </row>
    <row r="223" spans="1:49" s="73" customFormat="1" ht="15.75" thickBot="1" x14ac:dyDescent="0.3">
      <c r="A223"/>
      <c r="B223"/>
      <c r="C223"/>
      <c r="D223"/>
      <c r="E223"/>
      <c r="F223" t="s">
        <v>186</v>
      </c>
      <c r="G223" t="s">
        <v>1161</v>
      </c>
      <c r="H223" t="s">
        <v>1042</v>
      </c>
      <c r="I223" t="s">
        <v>1162</v>
      </c>
      <c r="J223" s="30" t="s">
        <v>71</v>
      </c>
      <c r="K223" s="30" t="s">
        <v>19</v>
      </c>
      <c r="L223" s="30"/>
      <c r="M223" s="30" t="s">
        <v>1247</v>
      </c>
      <c r="N223" s="30"/>
      <c r="O223" s="31">
        <f t="shared" si="25"/>
        <v>28</v>
      </c>
      <c r="P223" s="136" t="s">
        <v>2379</v>
      </c>
      <c r="Q223" s="31">
        <f t="shared" si="26"/>
        <v>0</v>
      </c>
      <c r="R223" s="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9" ht="15.75" thickBot="1" x14ac:dyDescent="0.3">
      <c r="A224"/>
      <c r="B224"/>
      <c r="C224"/>
      <c r="D224"/>
      <c r="E224"/>
      <c r="F224" t="s">
        <v>186</v>
      </c>
      <c r="G224" t="s">
        <v>1163</v>
      </c>
      <c r="H224" t="s">
        <v>1042</v>
      </c>
      <c r="I224" t="s">
        <v>1164</v>
      </c>
      <c r="J224" s="30" t="s">
        <v>71</v>
      </c>
      <c r="K224" s="30" t="s">
        <v>19</v>
      </c>
      <c r="L224" s="30"/>
      <c r="M224" s="30" t="s">
        <v>1248</v>
      </c>
      <c r="N224" s="30"/>
      <c r="O224" s="31">
        <f t="shared" si="25"/>
        <v>28</v>
      </c>
      <c r="P224" s="136" t="s">
        <v>2380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3"/>
    </row>
    <row r="225" spans="1:49" ht="15.75" thickBot="1" x14ac:dyDescent="0.3">
      <c r="A225">
        <v>10</v>
      </c>
      <c r="B225">
        <v>14</v>
      </c>
      <c r="C225"/>
      <c r="D225"/>
      <c r="E225" t="s">
        <v>2341</v>
      </c>
      <c r="F225" t="s">
        <v>1415</v>
      </c>
      <c r="G225" t="s">
        <v>939</v>
      </c>
      <c r="H225" t="s">
        <v>1041</v>
      </c>
      <c r="I225" t="s">
        <v>1065</v>
      </c>
      <c r="J225" s="30" t="s">
        <v>18</v>
      </c>
      <c r="K225" s="30" t="s">
        <v>1035</v>
      </c>
      <c r="L225" s="30"/>
      <c r="M225" s="30" t="s">
        <v>2278</v>
      </c>
      <c r="N225" s="30"/>
      <c r="O225" s="31">
        <f t="shared" si="25"/>
        <v>28</v>
      </c>
      <c r="P225" s="136" t="s">
        <v>1802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9" ht="15.75" thickBot="1" x14ac:dyDescent="0.3">
      <c r="A226"/>
      <c r="B226"/>
      <c r="C226"/>
      <c r="D226"/>
      <c r="E226"/>
      <c r="F226" s="73" t="s">
        <v>158</v>
      </c>
      <c r="G226" s="73" t="s">
        <v>239</v>
      </c>
      <c r="H226" s="73" t="s">
        <v>1041</v>
      </c>
      <c r="I226" s="73" t="s">
        <v>240</v>
      </c>
      <c r="J226" s="84" t="s">
        <v>18</v>
      </c>
      <c r="K226" s="84" t="s">
        <v>1278</v>
      </c>
      <c r="L226" s="84"/>
      <c r="M226" s="84" t="s">
        <v>1391</v>
      </c>
      <c r="N226" s="84"/>
      <c r="O226" s="131">
        <f t="shared" si="25"/>
        <v>24</v>
      </c>
      <c r="P226" s="136" t="s">
        <v>1803</v>
      </c>
      <c r="Q226" s="131">
        <f t="shared" si="26"/>
        <v>4</v>
      </c>
      <c r="R226" s="132">
        <f t="shared" si="27"/>
        <v>0.8571428571428571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 t="s">
        <v>2221</v>
      </c>
      <c r="AE226" s="70" t="s">
        <v>2221</v>
      </c>
      <c r="AF226" s="70" t="s">
        <v>2221</v>
      </c>
      <c r="AG226" s="70" t="s">
        <v>2221</v>
      </c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thickBot="1" x14ac:dyDescent="0.3">
      <c r="A227">
        <v>10</v>
      </c>
      <c r="B227">
        <v>14</v>
      </c>
      <c r="C227"/>
      <c r="D227"/>
      <c r="E227" t="s">
        <v>2341</v>
      </c>
      <c r="F227" t="s">
        <v>241</v>
      </c>
      <c r="G227" t="s">
        <v>242</v>
      </c>
      <c r="H227" t="s">
        <v>1041</v>
      </c>
      <c r="I227" t="s">
        <v>243</v>
      </c>
      <c r="J227" s="30" t="s">
        <v>71</v>
      </c>
      <c r="K227" s="30" t="s">
        <v>27</v>
      </c>
      <c r="L227" s="30"/>
      <c r="M227" s="30" t="s">
        <v>697</v>
      </c>
      <c r="N227" s="30"/>
      <c r="O227" s="31">
        <f t="shared" si="25"/>
        <v>28</v>
      </c>
      <c r="P227" s="136" t="s">
        <v>1804</v>
      </c>
      <c r="Q227" s="31">
        <f t="shared" si="26"/>
        <v>0</v>
      </c>
      <c r="R227" s="32">
        <f t="shared" si="27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3"/>
    </row>
    <row r="228" spans="1:49" ht="15.75" thickBot="1" x14ac:dyDescent="0.3">
      <c r="A228">
        <v>10</v>
      </c>
      <c r="B228">
        <v>14</v>
      </c>
      <c r="C228"/>
      <c r="D228"/>
      <c r="E228" t="s">
        <v>2341</v>
      </c>
      <c r="F228" t="s">
        <v>241</v>
      </c>
      <c r="G228" t="s">
        <v>244</v>
      </c>
      <c r="H228" t="s">
        <v>1041</v>
      </c>
      <c r="I228" t="s">
        <v>243</v>
      </c>
      <c r="J228" s="30" t="s">
        <v>45</v>
      </c>
      <c r="K228" s="30" t="s">
        <v>27</v>
      </c>
      <c r="L228" s="30"/>
      <c r="M228" s="30" t="s">
        <v>684</v>
      </c>
      <c r="N228" s="30"/>
      <c r="O228" s="31">
        <f t="shared" si="25"/>
        <v>28</v>
      </c>
      <c r="P228" s="136" t="s">
        <v>1805</v>
      </c>
      <c r="Q228" s="31">
        <f t="shared" si="26"/>
        <v>0</v>
      </c>
      <c r="R228" s="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s="73" customFormat="1" ht="15.75" thickBot="1" x14ac:dyDescent="0.3">
      <c r="A229"/>
      <c r="B229"/>
      <c r="C229"/>
      <c r="D229"/>
      <c r="E229"/>
      <c r="F229" s="73" t="s">
        <v>241</v>
      </c>
      <c r="G229" s="73" t="s">
        <v>1300</v>
      </c>
      <c r="H229" s="73" t="s">
        <v>1041</v>
      </c>
      <c r="I229" s="73" t="s">
        <v>1304</v>
      </c>
      <c r="J229" s="84" t="s">
        <v>14</v>
      </c>
      <c r="K229" s="84" t="s">
        <v>1278</v>
      </c>
      <c r="L229" s="84"/>
      <c r="M229" s="84" t="s">
        <v>1309</v>
      </c>
      <c r="N229" s="84"/>
      <c r="O229" s="131">
        <f t="shared" si="25"/>
        <v>28</v>
      </c>
      <c r="P229" s="136" t="s">
        <v>1806</v>
      </c>
      <c r="Q229" s="131">
        <f t="shared" si="26"/>
        <v>0</v>
      </c>
      <c r="R229" s="1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</row>
    <row r="230" spans="1:49" ht="15.75" thickBot="1" x14ac:dyDescent="0.3">
      <c r="A230"/>
      <c r="B230"/>
      <c r="C230"/>
      <c r="D230"/>
      <c r="E230"/>
      <c r="F230" s="73" t="s">
        <v>241</v>
      </c>
      <c r="G230" s="73" t="s">
        <v>1394</v>
      </c>
      <c r="H230" s="73" t="s">
        <v>1041</v>
      </c>
      <c r="I230" s="73" t="s">
        <v>1395</v>
      </c>
      <c r="J230" s="84" t="s">
        <v>14</v>
      </c>
      <c r="K230" s="84" t="s">
        <v>1278</v>
      </c>
      <c r="L230" s="84"/>
      <c r="M230" s="84" t="s">
        <v>1396</v>
      </c>
      <c r="N230" s="84"/>
      <c r="O230" s="131">
        <f t="shared" si="25"/>
        <v>28</v>
      </c>
      <c r="P230" s="136" t="s">
        <v>1807</v>
      </c>
      <c r="Q230" s="131">
        <f t="shared" si="26"/>
        <v>0</v>
      </c>
      <c r="R230" s="1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3"/>
    </row>
    <row r="231" spans="1:49" ht="15.75" thickBot="1" x14ac:dyDescent="0.3">
      <c r="A231"/>
      <c r="B231"/>
      <c r="C231"/>
      <c r="D231"/>
      <c r="E231"/>
      <c r="F231" s="73" t="s">
        <v>241</v>
      </c>
      <c r="G231" s="73" t="s">
        <v>1561</v>
      </c>
      <c r="H231" s="73" t="s">
        <v>1041</v>
      </c>
      <c r="I231" s="73" t="s">
        <v>1562</v>
      </c>
      <c r="J231" s="84" t="s">
        <v>14</v>
      </c>
      <c r="K231" s="84" t="s">
        <v>1278</v>
      </c>
      <c r="L231" s="84"/>
      <c r="M231" s="84" t="s">
        <v>1563</v>
      </c>
      <c r="N231" s="84"/>
      <c r="O231" s="131">
        <f t="shared" si="25"/>
        <v>21</v>
      </c>
      <c r="P231" s="136" t="s">
        <v>2434</v>
      </c>
      <c r="Q231" s="131">
        <f t="shared" si="26"/>
        <v>7</v>
      </c>
      <c r="R231" s="132">
        <f t="shared" si="27"/>
        <v>0.75</v>
      </c>
      <c r="S231" s="70"/>
      <c r="T231" s="70"/>
      <c r="U231" s="70"/>
      <c r="V231" s="70" t="s">
        <v>2221</v>
      </c>
      <c r="W231" s="70" t="s">
        <v>2221</v>
      </c>
      <c r="X231" s="70" t="s">
        <v>2221</v>
      </c>
      <c r="Y231" s="70" t="s">
        <v>2221</v>
      </c>
      <c r="Z231" s="70" t="s">
        <v>2221</v>
      </c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 t="s">
        <v>2221</v>
      </c>
      <c r="AT231" s="70" t="s">
        <v>2221</v>
      </c>
      <c r="AU231" s="70"/>
      <c r="AV231" s="70"/>
    </row>
    <row r="232" spans="1:49" s="73" customFormat="1" ht="15.75" thickBot="1" x14ac:dyDescent="0.3">
      <c r="A232"/>
      <c r="B232"/>
      <c r="C232"/>
      <c r="D232"/>
      <c r="E232"/>
      <c r="F232" s="73" t="s">
        <v>241</v>
      </c>
      <c r="G232" s="73" t="s">
        <v>2223</v>
      </c>
      <c r="H232" s="73" t="s">
        <v>1041</v>
      </c>
      <c r="I232" s="73" t="s">
        <v>2224</v>
      </c>
      <c r="J232" s="84" t="s">
        <v>14</v>
      </c>
      <c r="K232" s="84" t="s">
        <v>1278</v>
      </c>
      <c r="L232" s="84"/>
      <c r="M232" s="84" t="s">
        <v>2279</v>
      </c>
      <c r="N232" s="84"/>
      <c r="O232" s="131">
        <f t="shared" si="25"/>
        <v>28</v>
      </c>
      <c r="P232" s="136" t="s">
        <v>2225</v>
      </c>
      <c r="Q232" s="131">
        <f t="shared" si="26"/>
        <v>0</v>
      </c>
      <c r="R232" s="132">
        <f t="shared" si="27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/>
    </row>
    <row r="233" spans="1:49" s="73" customFormat="1" ht="15.75" thickBot="1" x14ac:dyDescent="0.3">
      <c r="A233"/>
      <c r="B233"/>
      <c r="C233"/>
      <c r="D233"/>
      <c r="E233"/>
      <c r="F233" s="73" t="s">
        <v>245</v>
      </c>
      <c r="G233" s="73" t="s">
        <v>940</v>
      </c>
      <c r="H233" s="73" t="s">
        <v>1042</v>
      </c>
      <c r="I233" s="73" t="s">
        <v>246</v>
      </c>
      <c r="J233" s="84" t="s">
        <v>14</v>
      </c>
      <c r="K233" s="84" t="s">
        <v>1278</v>
      </c>
      <c r="L233" s="84"/>
      <c r="M233" s="84" t="s">
        <v>698</v>
      </c>
      <c r="N233" s="84"/>
      <c r="O233" s="131">
        <f t="shared" si="25"/>
        <v>28</v>
      </c>
      <c r="P233" s="136" t="s">
        <v>1808</v>
      </c>
      <c r="Q233" s="131">
        <f t="shared" si="26"/>
        <v>0</v>
      </c>
      <c r="R233" s="132">
        <f t="shared" si="27"/>
        <v>1</v>
      </c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0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/>
    </row>
    <row r="234" spans="1:49" s="73" customFormat="1" ht="15.75" thickBot="1" x14ac:dyDescent="0.3">
      <c r="A234"/>
      <c r="B234"/>
      <c r="C234"/>
      <c r="D234"/>
      <c r="E234"/>
      <c r="F234" s="73" t="s">
        <v>245</v>
      </c>
      <c r="G234" s="73" t="s">
        <v>247</v>
      </c>
      <c r="H234" s="73" t="s">
        <v>1042</v>
      </c>
      <c r="I234" s="73" t="s">
        <v>248</v>
      </c>
      <c r="J234" s="84" t="s">
        <v>71</v>
      </c>
      <c r="K234" s="84" t="s">
        <v>1278</v>
      </c>
      <c r="L234" s="84"/>
      <c r="M234" s="84" t="s">
        <v>699</v>
      </c>
      <c r="N234" s="84"/>
      <c r="O234" s="131">
        <f t="shared" si="25"/>
        <v>28</v>
      </c>
      <c r="P234" s="136" t="s">
        <v>1809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0"/>
      <c r="W234" s="70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0"/>
      <c r="AI234" s="70"/>
      <c r="AJ234" s="71"/>
      <c r="AK234" s="71"/>
      <c r="AL234" s="70"/>
      <c r="AM234" s="70"/>
      <c r="AN234" s="70"/>
      <c r="AO234" s="70"/>
      <c r="AP234" s="70"/>
      <c r="AQ234" s="71"/>
      <c r="AR234" s="70"/>
      <c r="AS234" s="70"/>
      <c r="AT234" s="70"/>
      <c r="AU234" s="70"/>
      <c r="AV234" s="70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249</v>
      </c>
      <c r="H235" s="73" t="s">
        <v>1042</v>
      </c>
      <c r="I235" s="73" t="s">
        <v>248</v>
      </c>
      <c r="J235" s="84" t="s">
        <v>71</v>
      </c>
      <c r="K235" s="84" t="s">
        <v>1278</v>
      </c>
      <c r="L235" s="84"/>
      <c r="M235" s="84" t="s">
        <v>700</v>
      </c>
      <c r="N235" s="84"/>
      <c r="O235" s="131">
        <f t="shared" si="25"/>
        <v>28</v>
      </c>
      <c r="P235" s="136" t="s">
        <v>1810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2217</v>
      </c>
      <c r="H236" s="73" t="s">
        <v>1042</v>
      </c>
      <c r="I236" s="73" t="s">
        <v>2218</v>
      </c>
      <c r="J236" s="84" t="s">
        <v>14</v>
      </c>
      <c r="K236" s="84" t="s">
        <v>1278</v>
      </c>
      <c r="L236" s="84"/>
      <c r="M236" s="84" t="s">
        <v>2280</v>
      </c>
      <c r="N236" s="84"/>
      <c r="O236" s="131">
        <f t="shared" si="25"/>
        <v>28</v>
      </c>
      <c r="P236" s="136" t="s">
        <v>2219</v>
      </c>
      <c r="Q236" s="131">
        <f t="shared" si="26"/>
        <v>0</v>
      </c>
      <c r="R236" s="132">
        <f t="shared" si="27"/>
        <v>1</v>
      </c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/>
    </row>
    <row r="237" spans="1:49" s="73" customFormat="1" ht="15.75" thickBot="1" x14ac:dyDescent="0.3">
      <c r="A237">
        <v>1</v>
      </c>
      <c r="B237">
        <v>19</v>
      </c>
      <c r="C237"/>
      <c r="D237"/>
      <c r="E237" t="s">
        <v>2327</v>
      </c>
      <c r="F237" t="s">
        <v>254</v>
      </c>
      <c r="G237" t="s">
        <v>941</v>
      </c>
      <c r="H237" t="s">
        <v>1041</v>
      </c>
      <c r="I237" t="s">
        <v>259</v>
      </c>
      <c r="J237" s="30" t="s">
        <v>71</v>
      </c>
      <c r="K237" s="30" t="s">
        <v>27</v>
      </c>
      <c r="L237" s="30"/>
      <c r="M237" s="30" t="s">
        <v>705</v>
      </c>
      <c r="N237" s="30"/>
      <c r="O237" s="31">
        <f t="shared" si="25"/>
        <v>28</v>
      </c>
      <c r="P237" s="136" t="s">
        <v>1811</v>
      </c>
      <c r="Q237" s="31">
        <f t="shared" si="26"/>
        <v>0</v>
      </c>
      <c r="R237" s="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thickBot="1" x14ac:dyDescent="0.3">
      <c r="A238">
        <v>1</v>
      </c>
      <c r="B238">
        <v>19</v>
      </c>
      <c r="C238"/>
      <c r="D238"/>
      <c r="E238" t="s">
        <v>2327</v>
      </c>
      <c r="F238" t="s">
        <v>254</v>
      </c>
      <c r="G238" t="s">
        <v>942</v>
      </c>
      <c r="H238" t="s">
        <v>1041</v>
      </c>
      <c r="I238" t="s">
        <v>1066</v>
      </c>
      <c r="J238" s="30" t="s">
        <v>18</v>
      </c>
      <c r="K238" s="30" t="s">
        <v>27</v>
      </c>
      <c r="L238" s="30"/>
      <c r="M238" s="30" t="s">
        <v>707</v>
      </c>
      <c r="N238" s="30"/>
      <c r="O238" s="31">
        <f t="shared" si="25"/>
        <v>28</v>
      </c>
      <c r="P238" s="136" t="s">
        <v>1812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2327</v>
      </c>
      <c r="F239" t="s">
        <v>254</v>
      </c>
      <c r="G239" t="s">
        <v>943</v>
      </c>
      <c r="H239" t="s">
        <v>1041</v>
      </c>
      <c r="I239" t="s">
        <v>266</v>
      </c>
      <c r="J239" s="30" t="s">
        <v>18</v>
      </c>
      <c r="K239" s="30" t="s">
        <v>27</v>
      </c>
      <c r="L239" s="30"/>
      <c r="M239" s="30" t="s">
        <v>1453</v>
      </c>
      <c r="N239" s="30"/>
      <c r="O239" s="31">
        <f t="shared" ref="O239:O262" si="28">COUNTIF(S239:AT239,"")</f>
        <v>28</v>
      </c>
      <c r="P239" s="136" t="s">
        <v>1813</v>
      </c>
      <c r="Q239" s="31">
        <f t="shared" ref="Q239:Q262" si="29">COUNTIF(S239:AT239,"APAGADO")</f>
        <v>0</v>
      </c>
      <c r="R239" s="32">
        <f t="shared" ref="R239:R262" si="30">(O239)/(Q239+O239)</f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</row>
    <row r="240" spans="1:49" ht="15.75" thickBot="1" x14ac:dyDescent="0.3">
      <c r="A240">
        <v>1</v>
      </c>
      <c r="B240">
        <v>19</v>
      </c>
      <c r="C240"/>
      <c r="D240"/>
      <c r="E240" t="s">
        <v>2327</v>
      </c>
      <c r="F240" t="s">
        <v>254</v>
      </c>
      <c r="G240" t="s">
        <v>944</v>
      </c>
      <c r="H240" t="s">
        <v>1041</v>
      </c>
      <c r="I240" t="s">
        <v>269</v>
      </c>
      <c r="J240" s="30" t="s">
        <v>71</v>
      </c>
      <c r="K240" s="30" t="s">
        <v>27</v>
      </c>
      <c r="L240" s="30"/>
      <c r="M240" s="30" t="s">
        <v>709</v>
      </c>
      <c r="N240" s="30"/>
      <c r="O240" s="31">
        <f t="shared" si="28"/>
        <v>28</v>
      </c>
      <c r="P240" s="136" t="s">
        <v>1814</v>
      </c>
      <c r="Q240" s="31">
        <f t="shared" si="29"/>
        <v>0</v>
      </c>
      <c r="R240" s="32">
        <f t="shared" si="30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3"/>
    </row>
    <row r="241" spans="1:49" ht="15.75" thickBot="1" x14ac:dyDescent="0.3">
      <c r="A241">
        <v>1</v>
      </c>
      <c r="B241">
        <v>19</v>
      </c>
      <c r="C241"/>
      <c r="D241"/>
      <c r="E241" t="s">
        <v>2327</v>
      </c>
      <c r="F241" t="s">
        <v>254</v>
      </c>
      <c r="G241" t="s">
        <v>945</v>
      </c>
      <c r="H241" t="s">
        <v>1041</v>
      </c>
      <c r="I241" t="s">
        <v>269</v>
      </c>
      <c r="J241" s="30" t="s">
        <v>71</v>
      </c>
      <c r="K241" s="30" t="s">
        <v>27</v>
      </c>
      <c r="L241" s="30"/>
      <c r="M241" s="30" t="s">
        <v>710</v>
      </c>
      <c r="N241" s="30"/>
      <c r="O241" s="31">
        <f t="shared" si="28"/>
        <v>28</v>
      </c>
      <c r="P241" s="136" t="s">
        <v>1815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9" ht="15.75" thickBot="1" x14ac:dyDescent="0.3">
      <c r="A242">
        <v>1</v>
      </c>
      <c r="B242">
        <v>19</v>
      </c>
      <c r="C242"/>
      <c r="D242"/>
      <c r="E242" t="s">
        <v>2327</v>
      </c>
      <c r="F242" t="s">
        <v>254</v>
      </c>
      <c r="G242" t="s">
        <v>946</v>
      </c>
      <c r="H242" t="s">
        <v>1041</v>
      </c>
      <c r="I242" t="s">
        <v>250</v>
      </c>
      <c r="J242" s="30" t="s">
        <v>45</v>
      </c>
      <c r="K242" s="30" t="s">
        <v>27</v>
      </c>
      <c r="L242" s="30"/>
      <c r="M242" s="30" t="s">
        <v>701</v>
      </c>
      <c r="N242" s="30"/>
      <c r="O242" s="31">
        <f t="shared" si="28"/>
        <v>28</v>
      </c>
      <c r="P242" s="136" t="s">
        <v>1816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3"/>
    </row>
    <row r="243" spans="1:49" ht="15.75" thickBot="1" x14ac:dyDescent="0.3">
      <c r="A243">
        <v>1</v>
      </c>
      <c r="B243">
        <v>19</v>
      </c>
      <c r="C243"/>
      <c r="D243"/>
      <c r="E243" t="s">
        <v>2327</v>
      </c>
      <c r="F243" t="s">
        <v>251</v>
      </c>
      <c r="G243" t="s">
        <v>252</v>
      </c>
      <c r="H243" t="s">
        <v>1041</v>
      </c>
      <c r="I243" t="s">
        <v>253</v>
      </c>
      <c r="J243" s="30" t="s">
        <v>18</v>
      </c>
      <c r="K243" s="30" t="s">
        <v>27</v>
      </c>
      <c r="L243" s="30"/>
      <c r="M243" s="30" t="s">
        <v>702</v>
      </c>
      <c r="N243" s="30"/>
      <c r="O243" s="31">
        <f t="shared" si="28"/>
        <v>28</v>
      </c>
      <c r="P243" s="136" t="s">
        <v>1817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thickBot="1" x14ac:dyDescent="0.3">
      <c r="A244">
        <v>1</v>
      </c>
      <c r="B244">
        <v>19</v>
      </c>
      <c r="C244"/>
      <c r="D244"/>
      <c r="E244" t="s">
        <v>2327</v>
      </c>
      <c r="F244" t="s">
        <v>254</v>
      </c>
      <c r="G244" t="s">
        <v>255</v>
      </c>
      <c r="H244" t="s">
        <v>1041</v>
      </c>
      <c r="I244" t="s">
        <v>256</v>
      </c>
      <c r="J244" s="30" t="s">
        <v>71</v>
      </c>
      <c r="K244" s="30" t="s">
        <v>27</v>
      </c>
      <c r="L244" s="30"/>
      <c r="M244" s="30" t="s">
        <v>703</v>
      </c>
      <c r="N244" s="30"/>
      <c r="O244" s="31">
        <f t="shared" si="28"/>
        <v>28</v>
      </c>
      <c r="P244" s="136" t="s">
        <v>1818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</row>
    <row r="245" spans="1:49" ht="15.75" thickBot="1" x14ac:dyDescent="0.3">
      <c r="A245">
        <v>1</v>
      </c>
      <c r="B245">
        <v>19</v>
      </c>
      <c r="C245"/>
      <c r="D245"/>
      <c r="E245" t="s">
        <v>2327</v>
      </c>
      <c r="F245" t="s">
        <v>254</v>
      </c>
      <c r="G245" t="s">
        <v>257</v>
      </c>
      <c r="H245" t="s">
        <v>1041</v>
      </c>
      <c r="I245" t="s">
        <v>258</v>
      </c>
      <c r="J245" s="30" t="s">
        <v>45</v>
      </c>
      <c r="K245" s="30" t="s">
        <v>27</v>
      </c>
      <c r="L245" s="30"/>
      <c r="M245" s="30" t="s">
        <v>704</v>
      </c>
      <c r="N245" s="30"/>
      <c r="O245" s="31">
        <f t="shared" si="28"/>
        <v>28</v>
      </c>
      <c r="P245" s="136" t="s">
        <v>1819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thickBot="1" x14ac:dyDescent="0.3">
      <c r="A246">
        <v>1</v>
      </c>
      <c r="B246">
        <v>19</v>
      </c>
      <c r="C246"/>
      <c r="D246"/>
      <c r="E246" t="s">
        <v>2327</v>
      </c>
      <c r="F246" t="s">
        <v>251</v>
      </c>
      <c r="G246" t="s">
        <v>260</v>
      </c>
      <c r="H246" t="s">
        <v>1041</v>
      </c>
      <c r="I246" t="s">
        <v>261</v>
      </c>
      <c r="J246" s="30" t="s">
        <v>18</v>
      </c>
      <c r="K246" s="30" t="s">
        <v>27</v>
      </c>
      <c r="L246" s="30"/>
      <c r="M246" s="30" t="s">
        <v>706</v>
      </c>
      <c r="N246" s="30"/>
      <c r="O246" s="31">
        <f t="shared" si="28"/>
        <v>27</v>
      </c>
      <c r="P246" s="136" t="s">
        <v>1820</v>
      </c>
      <c r="Q246" s="31">
        <f t="shared" si="29"/>
        <v>1</v>
      </c>
      <c r="R246" s="32">
        <f t="shared" si="30"/>
        <v>0.9642857142857143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 t="s">
        <v>2221</v>
      </c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2327</v>
      </c>
      <c r="F247" t="s">
        <v>254</v>
      </c>
      <c r="G247" t="s">
        <v>262</v>
      </c>
      <c r="H247" t="s">
        <v>1041</v>
      </c>
      <c r="I247" t="s">
        <v>263</v>
      </c>
      <c r="J247" s="30" t="s">
        <v>18</v>
      </c>
      <c r="K247" s="30" t="s">
        <v>27</v>
      </c>
      <c r="L247" s="30"/>
      <c r="M247" s="30" t="s">
        <v>2271</v>
      </c>
      <c r="N247" s="30"/>
      <c r="O247" s="31">
        <f t="shared" si="28"/>
        <v>28</v>
      </c>
      <c r="P247" s="136" t="s">
        <v>1821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>
        <v>1</v>
      </c>
      <c r="B248">
        <v>19</v>
      </c>
      <c r="C248"/>
      <c r="D248"/>
      <c r="E248" t="s">
        <v>2327</v>
      </c>
      <c r="F248" t="s">
        <v>254</v>
      </c>
      <c r="G248" t="s">
        <v>264</v>
      </c>
      <c r="H248" t="s">
        <v>1041</v>
      </c>
      <c r="I248" t="s">
        <v>265</v>
      </c>
      <c r="J248" s="30" t="s">
        <v>18</v>
      </c>
      <c r="K248" s="30" t="s">
        <v>27</v>
      </c>
      <c r="L248" s="30"/>
      <c r="M248" s="30" t="s">
        <v>1413</v>
      </c>
      <c r="N248" s="30"/>
      <c r="O248" s="31">
        <f t="shared" si="28"/>
        <v>26</v>
      </c>
      <c r="P248" s="136" t="s">
        <v>1822</v>
      </c>
      <c r="Q248" s="31">
        <f t="shared" si="29"/>
        <v>2</v>
      </c>
      <c r="R248" s="32">
        <f t="shared" si="30"/>
        <v>0.9285714285714286</v>
      </c>
      <c r="S248" s="70"/>
      <c r="T248" s="70"/>
      <c r="U248" s="70"/>
      <c r="V248" s="70" t="s">
        <v>2221</v>
      </c>
      <c r="W248" s="70" t="s">
        <v>2221</v>
      </c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2327</v>
      </c>
      <c r="F249" t="s">
        <v>254</v>
      </c>
      <c r="G249" t="s">
        <v>267</v>
      </c>
      <c r="H249" t="s">
        <v>1041</v>
      </c>
      <c r="I249" t="s">
        <v>268</v>
      </c>
      <c r="J249" s="30" t="s">
        <v>18</v>
      </c>
      <c r="K249" s="30" t="s">
        <v>27</v>
      </c>
      <c r="L249" s="30"/>
      <c r="M249" s="30" t="s">
        <v>708</v>
      </c>
      <c r="N249" s="30"/>
      <c r="O249" s="31">
        <f t="shared" si="28"/>
        <v>27</v>
      </c>
      <c r="P249" s="136" t="s">
        <v>1823</v>
      </c>
      <c r="Q249" s="31">
        <f t="shared" si="29"/>
        <v>1</v>
      </c>
      <c r="R249" s="32">
        <f t="shared" si="30"/>
        <v>0.9642857142857143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 t="s">
        <v>2221</v>
      </c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>
        <v>1</v>
      </c>
      <c r="B250">
        <v>19</v>
      </c>
      <c r="C250"/>
      <c r="D250"/>
      <c r="E250" t="s">
        <v>2454</v>
      </c>
      <c r="F250" t="s">
        <v>254</v>
      </c>
      <c r="G250" t="s">
        <v>270</v>
      </c>
      <c r="H250" t="s">
        <v>1041</v>
      </c>
      <c r="I250" t="s">
        <v>271</v>
      </c>
      <c r="J250" s="30" t="s">
        <v>14</v>
      </c>
      <c r="K250" s="30" t="s">
        <v>27</v>
      </c>
      <c r="L250" s="30"/>
      <c r="M250" s="30" t="s">
        <v>711</v>
      </c>
      <c r="N250" s="30"/>
      <c r="O250" s="31">
        <f t="shared" si="28"/>
        <v>10</v>
      </c>
      <c r="P250" s="136" t="s">
        <v>1824</v>
      </c>
      <c r="Q250" s="31">
        <f t="shared" si="29"/>
        <v>18</v>
      </c>
      <c r="R250" s="32">
        <f t="shared" si="30"/>
        <v>0.35714285714285715</v>
      </c>
      <c r="S250" s="70"/>
      <c r="T250" s="70"/>
      <c r="U250" s="70"/>
      <c r="V250" s="70" t="s">
        <v>2221</v>
      </c>
      <c r="W250" s="70" t="s">
        <v>2221</v>
      </c>
      <c r="X250" s="70" t="s">
        <v>2221</v>
      </c>
      <c r="Y250" s="70" t="s">
        <v>2221</v>
      </c>
      <c r="Z250" s="70" t="s">
        <v>2221</v>
      </c>
      <c r="AA250" s="70"/>
      <c r="AB250" s="70"/>
      <c r="AC250" s="70" t="s">
        <v>2221</v>
      </c>
      <c r="AD250" s="70" t="s">
        <v>2221</v>
      </c>
      <c r="AE250" s="70" t="s">
        <v>2221</v>
      </c>
      <c r="AF250" s="70" t="s">
        <v>2221</v>
      </c>
      <c r="AG250" s="70" t="s">
        <v>2221</v>
      </c>
      <c r="AH250" s="70"/>
      <c r="AI250" s="70"/>
      <c r="AJ250" s="70" t="s">
        <v>2221</v>
      </c>
      <c r="AK250" s="70" t="s">
        <v>2221</v>
      </c>
      <c r="AL250" s="70" t="s">
        <v>2221</v>
      </c>
      <c r="AM250" s="70" t="s">
        <v>2221</v>
      </c>
      <c r="AN250" s="70" t="s">
        <v>2221</v>
      </c>
      <c r="AO250" s="70"/>
      <c r="AP250" s="70"/>
      <c r="AQ250" s="70"/>
      <c r="AR250" s="70" t="s">
        <v>2221</v>
      </c>
      <c r="AS250" s="70" t="s">
        <v>2221</v>
      </c>
      <c r="AT250" s="70" t="s">
        <v>2221</v>
      </c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2327</v>
      </c>
      <c r="F251" t="s">
        <v>254</v>
      </c>
      <c r="G251" s="30" t="s">
        <v>1188</v>
      </c>
      <c r="H251" s="30" t="s">
        <v>1041</v>
      </c>
      <c r="I251" t="s">
        <v>1183</v>
      </c>
      <c r="J251" s="30" t="s">
        <v>14</v>
      </c>
      <c r="K251" s="30" t="s">
        <v>27</v>
      </c>
      <c r="L251" s="30"/>
      <c r="M251" s="30" t="s">
        <v>1184</v>
      </c>
      <c r="N251" s="30"/>
      <c r="O251" s="31">
        <f t="shared" si="28"/>
        <v>21</v>
      </c>
      <c r="P251" s="136" t="s">
        <v>1825</v>
      </c>
      <c r="Q251" s="31">
        <f t="shared" si="29"/>
        <v>7</v>
      </c>
      <c r="R251" s="32">
        <f t="shared" si="30"/>
        <v>0.75</v>
      </c>
      <c r="S251" s="70"/>
      <c r="T251" s="70"/>
      <c r="U251" s="70"/>
      <c r="V251" s="70" t="s">
        <v>2221</v>
      </c>
      <c r="W251" s="70" t="s">
        <v>2221</v>
      </c>
      <c r="X251" s="70" t="s">
        <v>2221</v>
      </c>
      <c r="Y251" s="70" t="s">
        <v>2221</v>
      </c>
      <c r="Z251" s="70"/>
      <c r="AA251" s="70"/>
      <c r="AB251" s="70"/>
      <c r="AC251" s="70"/>
      <c r="AD251" s="70"/>
      <c r="AE251" s="70"/>
      <c r="AF251" s="70"/>
      <c r="AG251" s="70" t="s">
        <v>2221</v>
      </c>
      <c r="AH251" s="70"/>
      <c r="AI251" s="70"/>
      <c r="AJ251" s="70" t="s">
        <v>2221</v>
      </c>
      <c r="AK251" s="70"/>
      <c r="AL251" s="70"/>
      <c r="AM251" s="70"/>
      <c r="AN251" s="70" t="s">
        <v>2221</v>
      </c>
      <c r="AO251" s="70"/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 s="88"/>
      <c r="B252" s="88"/>
      <c r="C252" s="88"/>
      <c r="D252" s="88"/>
      <c r="E252" s="88"/>
      <c r="F252" s="73" t="s">
        <v>274</v>
      </c>
      <c r="G252" s="73" t="s">
        <v>947</v>
      </c>
      <c r="H252" s="88" t="s">
        <v>1042</v>
      </c>
      <c r="I252" s="73" t="s">
        <v>1067</v>
      </c>
      <c r="J252" s="89" t="s">
        <v>18</v>
      </c>
      <c r="K252" s="84" t="s">
        <v>1278</v>
      </c>
      <c r="L252" s="84"/>
      <c r="M252" s="84" t="s">
        <v>2195</v>
      </c>
      <c r="N252" s="84"/>
      <c r="O252" s="31">
        <f t="shared" si="28"/>
        <v>28</v>
      </c>
      <c r="P252" s="136" t="s">
        <v>2304</v>
      </c>
      <c r="Q252" s="31">
        <f t="shared" si="29"/>
        <v>0</v>
      </c>
      <c r="R252" s="32">
        <f t="shared" si="30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90"/>
      <c r="AL252" s="90"/>
      <c r="AM252" s="70"/>
      <c r="AN252" s="90"/>
      <c r="AO252" s="90"/>
      <c r="AP252" s="90"/>
      <c r="AQ252" s="90"/>
      <c r="AR252" s="90"/>
      <c r="AS252" s="90"/>
      <c r="AT252" s="90"/>
      <c r="AU252" s="90"/>
      <c r="AV252" s="90"/>
    </row>
    <row r="253" spans="1:49" ht="15.75" thickBot="1" x14ac:dyDescent="0.3">
      <c r="A253"/>
      <c r="B253"/>
      <c r="C253"/>
      <c r="D253"/>
      <c r="E253"/>
      <c r="F253" t="s">
        <v>216</v>
      </c>
      <c r="G253" t="s">
        <v>272</v>
      </c>
      <c r="H253" t="s">
        <v>1042</v>
      </c>
      <c r="I253" t="s">
        <v>273</v>
      </c>
      <c r="J253" s="30" t="s">
        <v>14</v>
      </c>
      <c r="K253" s="30" t="s">
        <v>1035</v>
      </c>
      <c r="L253" s="30"/>
      <c r="M253" s="30" t="s">
        <v>1043</v>
      </c>
      <c r="N253" s="30"/>
      <c r="O253" s="31">
        <f t="shared" si="28"/>
        <v>23</v>
      </c>
      <c r="P253" s="136" t="s">
        <v>1781</v>
      </c>
      <c r="Q253" s="31">
        <f t="shared" si="29"/>
        <v>5</v>
      </c>
      <c r="R253" s="32">
        <f t="shared" si="30"/>
        <v>0.8214285714285714</v>
      </c>
      <c r="S253" s="70"/>
      <c r="T253" s="70"/>
      <c r="U253" s="70"/>
      <c r="V253" s="70" t="s">
        <v>2221</v>
      </c>
      <c r="W253" s="70" t="s">
        <v>2221</v>
      </c>
      <c r="X253" s="70" t="s">
        <v>2221</v>
      </c>
      <c r="Y253" s="70" t="s">
        <v>2221</v>
      </c>
      <c r="Z253" s="70" t="s">
        <v>2221</v>
      </c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</row>
    <row r="254" spans="1:49" ht="15.75" thickBot="1" x14ac:dyDescent="0.3">
      <c r="A254" s="69"/>
      <c r="B254" s="69"/>
      <c r="C254" s="69"/>
      <c r="D254" s="69"/>
      <c r="E254" s="152" t="s">
        <v>2463</v>
      </c>
      <c r="F254" s="69" t="s">
        <v>274</v>
      </c>
      <c r="G254" s="69" t="s">
        <v>275</v>
      </c>
      <c r="H254" s="69" t="s">
        <v>1042</v>
      </c>
      <c r="I254" s="69" t="s">
        <v>276</v>
      </c>
      <c r="J254" s="137" t="s">
        <v>14</v>
      </c>
      <c r="K254" s="137" t="s">
        <v>1278</v>
      </c>
      <c r="L254" s="137"/>
      <c r="M254" s="137" t="s">
        <v>712</v>
      </c>
      <c r="N254" s="137"/>
      <c r="O254" s="139">
        <f t="shared" si="28"/>
        <v>10</v>
      </c>
      <c r="P254" s="140" t="s">
        <v>1826</v>
      </c>
      <c r="Q254" s="139">
        <f t="shared" si="29"/>
        <v>18</v>
      </c>
      <c r="R254" s="141">
        <f t="shared" si="30"/>
        <v>0.35714285714285715</v>
      </c>
      <c r="S254" s="142"/>
      <c r="T254" s="142"/>
      <c r="U254" s="142"/>
      <c r="V254" s="70" t="s">
        <v>2221</v>
      </c>
      <c r="W254" s="70" t="s">
        <v>2221</v>
      </c>
      <c r="X254" s="70" t="s">
        <v>2221</v>
      </c>
      <c r="Y254" s="70" t="s">
        <v>2221</v>
      </c>
      <c r="Z254" s="70" t="s">
        <v>2221</v>
      </c>
      <c r="AA254" s="142"/>
      <c r="AB254" s="142"/>
      <c r="AC254" s="70" t="s">
        <v>2221</v>
      </c>
      <c r="AD254" s="70" t="s">
        <v>2221</v>
      </c>
      <c r="AE254" s="70" t="s">
        <v>2221</v>
      </c>
      <c r="AF254" s="70" t="s">
        <v>2221</v>
      </c>
      <c r="AG254" s="70" t="s">
        <v>2221</v>
      </c>
      <c r="AH254" s="70"/>
      <c r="AI254" s="70"/>
      <c r="AJ254" s="70" t="s">
        <v>2221</v>
      </c>
      <c r="AK254" s="70" t="s">
        <v>2221</v>
      </c>
      <c r="AL254" s="70" t="s">
        <v>2221</v>
      </c>
      <c r="AM254" s="70" t="s">
        <v>2221</v>
      </c>
      <c r="AN254" s="70" t="s">
        <v>2221</v>
      </c>
      <c r="AO254" s="70"/>
      <c r="AP254" s="70"/>
      <c r="AQ254" s="142"/>
      <c r="AR254" s="70" t="s">
        <v>2221</v>
      </c>
      <c r="AS254" s="70" t="s">
        <v>2221</v>
      </c>
      <c r="AT254" s="70" t="s">
        <v>2221</v>
      </c>
      <c r="AU254" s="70"/>
      <c r="AV254" s="70"/>
    </row>
    <row r="255" spans="1:49" s="88" customFormat="1" ht="15.75" thickBot="1" x14ac:dyDescent="0.3">
      <c r="A255" s="69"/>
      <c r="B255" s="69"/>
      <c r="C255" s="69"/>
      <c r="D255" s="69"/>
      <c r="E255" s="69"/>
      <c r="F255" s="69" t="s">
        <v>274</v>
      </c>
      <c r="G255" s="69" t="s">
        <v>2232</v>
      </c>
      <c r="H255" s="69" t="s">
        <v>1042</v>
      </c>
      <c r="I255" s="69" t="s">
        <v>2233</v>
      </c>
      <c r="J255" s="137" t="s">
        <v>71</v>
      </c>
      <c r="K255" s="137" t="s">
        <v>1278</v>
      </c>
      <c r="L255" s="137"/>
      <c r="M255" s="137" t="s">
        <v>2234</v>
      </c>
      <c r="N255" s="137"/>
      <c r="O255" s="139">
        <f t="shared" si="28"/>
        <v>10</v>
      </c>
      <c r="P255" s="140" t="s">
        <v>2235</v>
      </c>
      <c r="Q255" s="139">
        <f t="shared" si="29"/>
        <v>18</v>
      </c>
      <c r="R255" s="141">
        <f t="shared" si="30"/>
        <v>0.35714285714285715</v>
      </c>
      <c r="S255" s="142"/>
      <c r="T255" s="142"/>
      <c r="U255" s="142"/>
      <c r="V255" s="70" t="s">
        <v>2221</v>
      </c>
      <c r="W255" s="70" t="s">
        <v>2221</v>
      </c>
      <c r="X255" s="70" t="s">
        <v>2221</v>
      </c>
      <c r="Y255" s="70" t="s">
        <v>2221</v>
      </c>
      <c r="Z255" s="70" t="s">
        <v>2221</v>
      </c>
      <c r="AA255" s="142"/>
      <c r="AB255" s="142"/>
      <c r="AC255" s="70" t="s">
        <v>2221</v>
      </c>
      <c r="AD255" s="70" t="s">
        <v>2221</v>
      </c>
      <c r="AE255" s="70" t="s">
        <v>2221</v>
      </c>
      <c r="AF255" s="70" t="s">
        <v>2221</v>
      </c>
      <c r="AG255" s="70" t="s">
        <v>2221</v>
      </c>
      <c r="AH255" s="70"/>
      <c r="AI255" s="70"/>
      <c r="AJ255" s="70" t="s">
        <v>2221</v>
      </c>
      <c r="AK255" s="70" t="s">
        <v>2221</v>
      </c>
      <c r="AL255" s="70" t="s">
        <v>2221</v>
      </c>
      <c r="AM255" s="70" t="s">
        <v>2221</v>
      </c>
      <c r="AN255" s="70" t="s">
        <v>2221</v>
      </c>
      <c r="AO255" s="70"/>
      <c r="AP255" s="70"/>
      <c r="AQ255" s="142"/>
      <c r="AR255" s="70" t="s">
        <v>2221</v>
      </c>
      <c r="AS255" s="70" t="s">
        <v>2221</v>
      </c>
      <c r="AT255" s="70" t="s">
        <v>2221</v>
      </c>
      <c r="AU255" s="70"/>
      <c r="AV255" s="70"/>
      <c r="AW255"/>
    </row>
    <row r="256" spans="1:49" ht="15.75" thickBot="1" x14ac:dyDescent="0.3">
      <c r="A256"/>
      <c r="B256"/>
      <c r="C256"/>
      <c r="D256"/>
      <c r="E256"/>
      <c r="F256" t="s">
        <v>274</v>
      </c>
      <c r="G256" t="s">
        <v>2236</v>
      </c>
      <c r="H256" t="s">
        <v>1042</v>
      </c>
      <c r="I256" t="s">
        <v>2233</v>
      </c>
      <c r="J256" s="30" t="s">
        <v>14</v>
      </c>
      <c r="K256" s="84" t="s">
        <v>1278</v>
      </c>
      <c r="L256" s="30"/>
      <c r="M256" s="30" t="s">
        <v>2281</v>
      </c>
      <c r="N256" s="30"/>
      <c r="O256" s="31">
        <f t="shared" si="28"/>
        <v>27</v>
      </c>
      <c r="P256" s="136" t="s">
        <v>2393</v>
      </c>
      <c r="Q256" s="31">
        <f t="shared" si="29"/>
        <v>1</v>
      </c>
      <c r="R256" s="32">
        <f t="shared" si="30"/>
        <v>0.9642857142857143</v>
      </c>
      <c r="S256" s="70"/>
      <c r="T256" s="70"/>
      <c r="U256" s="70"/>
      <c r="V256" s="70"/>
      <c r="W256" s="70"/>
      <c r="X256" s="70"/>
      <c r="Y256" s="71"/>
      <c r="Z256" s="70"/>
      <c r="AA256" s="70"/>
      <c r="AB256" s="70"/>
      <c r="AC256" s="70"/>
      <c r="AD256" s="70"/>
      <c r="AE256" s="70"/>
      <c r="AF256" s="70" t="s">
        <v>2221</v>
      </c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</row>
    <row r="257" spans="1:49" s="69" customFormat="1" ht="15.75" thickBot="1" x14ac:dyDescent="0.3">
      <c r="A257"/>
      <c r="B257"/>
      <c r="C257"/>
      <c r="D257"/>
      <c r="E257"/>
      <c r="F257" t="s">
        <v>274</v>
      </c>
      <c r="G257" t="s">
        <v>2237</v>
      </c>
      <c r="H257" t="s">
        <v>1042</v>
      </c>
      <c r="I257" t="s">
        <v>2238</v>
      </c>
      <c r="J257" s="30" t="s">
        <v>14</v>
      </c>
      <c r="K257" s="84" t="s">
        <v>1278</v>
      </c>
      <c r="L257" s="30"/>
      <c r="M257" s="30" t="s">
        <v>2321</v>
      </c>
      <c r="N257" s="30"/>
      <c r="O257" s="31">
        <f t="shared" si="28"/>
        <v>28</v>
      </c>
      <c r="P257" s="136" t="s">
        <v>2394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/>
    </row>
    <row r="258" spans="1:49" s="69" customFormat="1" ht="15.75" thickBot="1" x14ac:dyDescent="0.3">
      <c r="A258"/>
      <c r="B258"/>
      <c r="C258"/>
      <c r="D258"/>
      <c r="E258"/>
      <c r="F258" t="s">
        <v>2160</v>
      </c>
      <c r="G258" t="s">
        <v>2161</v>
      </c>
      <c r="H258" t="s">
        <v>1042</v>
      </c>
      <c r="I258" t="s">
        <v>2162</v>
      </c>
      <c r="J258" s="30" t="s">
        <v>18</v>
      </c>
      <c r="K258" s="84" t="s">
        <v>1278</v>
      </c>
      <c r="L258" s="30"/>
      <c r="M258" s="30" t="s">
        <v>2282</v>
      </c>
      <c r="N258" s="30"/>
      <c r="O258" s="131">
        <f t="shared" si="28"/>
        <v>28</v>
      </c>
      <c r="P258" s="136" t="s">
        <v>2163</v>
      </c>
      <c r="Q258" s="131">
        <f t="shared" si="29"/>
        <v>0</v>
      </c>
      <c r="R258" s="1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ht="15.75" thickBot="1" x14ac:dyDescent="0.3">
      <c r="A259"/>
      <c r="B259"/>
      <c r="C259"/>
      <c r="D259"/>
      <c r="E259"/>
      <c r="F259" t="s">
        <v>2160</v>
      </c>
      <c r="G259" t="s">
        <v>2164</v>
      </c>
      <c r="H259" t="s">
        <v>1042</v>
      </c>
      <c r="I259" t="s">
        <v>2165</v>
      </c>
      <c r="J259" s="30" t="s">
        <v>18</v>
      </c>
      <c r="K259" s="84" t="s">
        <v>1278</v>
      </c>
      <c r="L259" s="30"/>
      <c r="M259" s="30" t="s">
        <v>2283</v>
      </c>
      <c r="N259" s="30"/>
      <c r="O259" s="131">
        <f t="shared" si="28"/>
        <v>28</v>
      </c>
      <c r="P259" s="136" t="s">
        <v>2166</v>
      </c>
      <c r="Q259" s="131">
        <f t="shared" si="29"/>
        <v>0</v>
      </c>
      <c r="R259" s="132">
        <f t="shared" si="30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3"/>
    </row>
    <row r="260" spans="1:49" ht="15.75" thickBot="1" x14ac:dyDescent="0.3">
      <c r="A260"/>
      <c r="B260"/>
      <c r="C260"/>
      <c r="D260"/>
      <c r="E260"/>
      <c r="F260" t="s">
        <v>11</v>
      </c>
      <c r="G260" s="33" t="s">
        <v>12</v>
      </c>
      <c r="H260" t="s">
        <v>1042</v>
      </c>
      <c r="I260" t="s">
        <v>13</v>
      </c>
      <c r="J260" s="30" t="s">
        <v>14</v>
      </c>
      <c r="K260" s="30" t="s">
        <v>1278</v>
      </c>
      <c r="L260" s="30"/>
      <c r="M260" s="30" t="s">
        <v>713</v>
      </c>
      <c r="N260" s="30"/>
      <c r="O260" s="31">
        <f t="shared" si="28"/>
        <v>15</v>
      </c>
      <c r="P260" s="136" t="s">
        <v>2395</v>
      </c>
      <c r="Q260" s="31">
        <f t="shared" si="29"/>
        <v>13</v>
      </c>
      <c r="R260" s="32">
        <f t="shared" si="30"/>
        <v>0.5357142857142857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 t="s">
        <v>2221</v>
      </c>
      <c r="AD260" s="70" t="s">
        <v>2221</v>
      </c>
      <c r="AE260" s="70" t="s">
        <v>2221</v>
      </c>
      <c r="AF260" s="70" t="s">
        <v>2221</v>
      </c>
      <c r="AG260" s="70" t="s">
        <v>2221</v>
      </c>
      <c r="AH260" s="70"/>
      <c r="AI260" s="70"/>
      <c r="AJ260" s="70" t="s">
        <v>2221</v>
      </c>
      <c r="AK260" s="70" t="s">
        <v>2221</v>
      </c>
      <c r="AL260" s="70" t="s">
        <v>2221</v>
      </c>
      <c r="AM260" s="70" t="s">
        <v>2221</v>
      </c>
      <c r="AN260" s="70" t="s">
        <v>2221</v>
      </c>
      <c r="AO260" s="70"/>
      <c r="AP260" s="70"/>
      <c r="AQ260" s="70"/>
      <c r="AR260" s="70" t="s">
        <v>2221</v>
      </c>
      <c r="AS260" s="70" t="s">
        <v>2221</v>
      </c>
      <c r="AT260" s="70" t="s">
        <v>2221</v>
      </c>
      <c r="AU260" s="70"/>
      <c r="AV260" s="70"/>
    </row>
    <row r="261" spans="1:49" ht="15.75" thickBot="1" x14ac:dyDescent="0.3">
      <c r="A261"/>
      <c r="B261"/>
      <c r="C261"/>
      <c r="D261"/>
      <c r="E261" t="s">
        <v>2347</v>
      </c>
      <c r="F261" t="s">
        <v>362</v>
      </c>
      <c r="G261" t="s">
        <v>948</v>
      </c>
      <c r="H261" t="s">
        <v>1042</v>
      </c>
      <c r="I261" t="s">
        <v>949</v>
      </c>
      <c r="J261" s="30" t="s">
        <v>71</v>
      </c>
      <c r="K261" s="30" t="s">
        <v>27</v>
      </c>
      <c r="L261" s="30"/>
      <c r="M261" s="30" t="s">
        <v>1194</v>
      </c>
      <c r="N261" s="30"/>
      <c r="O261" s="31">
        <f t="shared" si="28"/>
        <v>28</v>
      </c>
      <c r="P261" s="136" t="s">
        <v>1827</v>
      </c>
      <c r="Q261" s="31">
        <f t="shared" si="29"/>
        <v>0</v>
      </c>
      <c r="R261" s="32">
        <f t="shared" si="30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thickBot="1" x14ac:dyDescent="0.3">
      <c r="A262"/>
      <c r="B262"/>
      <c r="C262"/>
      <c r="D262"/>
      <c r="E262" t="s">
        <v>2347</v>
      </c>
      <c r="F262" t="s">
        <v>950</v>
      </c>
      <c r="G262" t="s">
        <v>2316</v>
      </c>
      <c r="H262" t="s">
        <v>1042</v>
      </c>
      <c r="I262" t="s">
        <v>949</v>
      </c>
      <c r="J262" s="30" t="s">
        <v>71</v>
      </c>
      <c r="K262" s="30" t="s">
        <v>27</v>
      </c>
      <c r="L262" s="30"/>
      <c r="M262" s="30" t="s">
        <v>1195</v>
      </c>
      <c r="N262" s="30"/>
      <c r="O262" s="31">
        <f t="shared" si="28"/>
        <v>28</v>
      </c>
      <c r="P262" s="136" t="s">
        <v>1828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thickBot="1" x14ac:dyDescent="0.3">
      <c r="A263"/>
      <c r="B263"/>
      <c r="C263"/>
      <c r="D263"/>
      <c r="E263"/>
      <c r="G263" t="s">
        <v>2315</v>
      </c>
      <c r="H263" t="s">
        <v>1042</v>
      </c>
      <c r="I263" t="s">
        <v>2318</v>
      </c>
      <c r="J263" s="30" t="s">
        <v>45</v>
      </c>
      <c r="K263" s="30" t="s">
        <v>1278</v>
      </c>
      <c r="L263" s="30"/>
      <c r="M263" s="30" t="s">
        <v>2319</v>
      </c>
      <c r="N263" s="30"/>
      <c r="O263" s="31"/>
      <c r="P263" s="136" t="s">
        <v>2420</v>
      </c>
      <c r="Q263" s="31"/>
      <c r="R263" s="32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/>
      <c r="G264" t="s">
        <v>2317</v>
      </c>
      <c r="H264" t="s">
        <v>1042</v>
      </c>
      <c r="I264" t="s">
        <v>2318</v>
      </c>
      <c r="J264" s="30" t="s">
        <v>14</v>
      </c>
      <c r="K264" s="30" t="s">
        <v>1278</v>
      </c>
      <c r="L264" s="30"/>
      <c r="M264" s="30" t="s">
        <v>2320</v>
      </c>
      <c r="N264" s="30"/>
      <c r="O264" s="31"/>
      <c r="P264" s="136" t="s">
        <v>2396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/>
      <c r="F265" s="73" t="s">
        <v>16</v>
      </c>
      <c r="G265" s="133" t="s">
        <v>17</v>
      </c>
      <c r="H265" s="73" t="s">
        <v>1042</v>
      </c>
      <c r="I265" s="73" t="s">
        <v>1068</v>
      </c>
      <c r="J265" s="84" t="s">
        <v>18</v>
      </c>
      <c r="K265" s="84" t="s">
        <v>1278</v>
      </c>
      <c r="L265" s="84"/>
      <c r="M265" s="84" t="s">
        <v>1353</v>
      </c>
      <c r="N265" s="84"/>
      <c r="O265" s="131">
        <f t="shared" ref="O265:O328" si="31">COUNTIF(S265:AT265,"")</f>
        <v>28</v>
      </c>
      <c r="P265" s="136" t="s">
        <v>1829</v>
      </c>
      <c r="Q265" s="131">
        <f t="shared" ref="Q265:Q328" si="32">COUNTIF(S265:AT265,"APAGADO")</f>
        <v>0</v>
      </c>
      <c r="R265" s="132">
        <f t="shared" ref="R265:R328" si="33">(O265)/(Q265+O265)</f>
        <v>1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s="73" customFormat="1" ht="15.75" thickBot="1" x14ac:dyDescent="0.3">
      <c r="A266"/>
      <c r="B266"/>
      <c r="C266"/>
      <c r="D266"/>
      <c r="E266"/>
      <c r="F266" s="73" t="s">
        <v>16</v>
      </c>
      <c r="G266" s="133" t="s">
        <v>20</v>
      </c>
      <c r="H266" s="73" t="s">
        <v>1042</v>
      </c>
      <c r="I266" s="73" t="s">
        <v>21</v>
      </c>
      <c r="J266" s="84" t="s">
        <v>18</v>
      </c>
      <c r="K266" s="84" t="s">
        <v>1278</v>
      </c>
      <c r="L266" s="84"/>
      <c r="M266" s="84" t="s">
        <v>1354</v>
      </c>
      <c r="N266" s="84"/>
      <c r="O266" s="131">
        <f t="shared" si="31"/>
        <v>28</v>
      </c>
      <c r="P266" s="136" t="s">
        <v>1830</v>
      </c>
      <c r="Q266" s="131">
        <f t="shared" si="32"/>
        <v>0</v>
      </c>
      <c r="R266" s="132">
        <f t="shared" si="33"/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/>
    </row>
    <row r="267" spans="1:49" s="73" customFormat="1" ht="15.75" thickBot="1" x14ac:dyDescent="0.3">
      <c r="A267"/>
      <c r="B267"/>
      <c r="C267"/>
      <c r="D267"/>
      <c r="E267"/>
      <c r="F267" t="s">
        <v>16</v>
      </c>
      <c r="G267" s="33" t="s">
        <v>22</v>
      </c>
      <c r="H267" t="s">
        <v>1042</v>
      </c>
      <c r="I267" t="s">
        <v>596</v>
      </c>
      <c r="J267" s="30" t="s">
        <v>14</v>
      </c>
      <c r="K267" s="30" t="s">
        <v>1035</v>
      </c>
      <c r="L267" s="30" t="s">
        <v>1231</v>
      </c>
      <c r="M267" s="30" t="s">
        <v>714</v>
      </c>
      <c r="N267" s="30"/>
      <c r="O267" s="31">
        <f t="shared" si="31"/>
        <v>28</v>
      </c>
      <c r="P267" s="136" t="s">
        <v>1831</v>
      </c>
      <c r="Q267" s="31">
        <f t="shared" si="32"/>
        <v>0</v>
      </c>
      <c r="R267" s="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ht="15.75" thickBot="1" x14ac:dyDescent="0.3">
      <c r="A268"/>
      <c r="B268"/>
      <c r="C268"/>
      <c r="D268"/>
      <c r="E268"/>
      <c r="F268" t="s">
        <v>16</v>
      </c>
      <c r="G268" s="33" t="s">
        <v>23</v>
      </c>
      <c r="H268" t="s">
        <v>1042</v>
      </c>
      <c r="I268" t="s">
        <v>24</v>
      </c>
      <c r="J268" s="30" t="s">
        <v>14</v>
      </c>
      <c r="K268" s="30" t="s">
        <v>19</v>
      </c>
      <c r="L268" s="30"/>
      <c r="M268" s="30" t="s">
        <v>715</v>
      </c>
      <c r="N268" s="30"/>
      <c r="O268" s="31">
        <f t="shared" si="31"/>
        <v>28</v>
      </c>
      <c r="P268" s="136" t="s">
        <v>2397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</row>
    <row r="269" spans="1:49" ht="13.5" customHeight="1" thickBot="1" x14ac:dyDescent="0.3">
      <c r="A269">
        <v>1</v>
      </c>
      <c r="B269">
        <v>14</v>
      </c>
      <c r="C269"/>
      <c r="D269"/>
      <c r="E269" t="s">
        <v>2366</v>
      </c>
      <c r="F269" s="69"/>
      <c r="G269" t="s">
        <v>1208</v>
      </c>
      <c r="H269" t="s">
        <v>1041</v>
      </c>
      <c r="I269" t="s">
        <v>1209</v>
      </c>
      <c r="J269" t="s">
        <v>18</v>
      </c>
      <c r="K269" t="s">
        <v>27</v>
      </c>
      <c r="L269"/>
      <c r="M269" s="30" t="s">
        <v>1249</v>
      </c>
      <c r="N269" s="30"/>
      <c r="O269" s="31">
        <f t="shared" si="31"/>
        <v>28</v>
      </c>
      <c r="P269" s="136" t="s">
        <v>1832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142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129"/>
    </row>
    <row r="270" spans="1:49" ht="14.25" customHeight="1" thickBot="1" x14ac:dyDescent="0.3">
      <c r="A270">
        <v>1</v>
      </c>
      <c r="B270">
        <v>14</v>
      </c>
      <c r="C270"/>
      <c r="D270"/>
      <c r="E270" t="s">
        <v>2366</v>
      </c>
      <c r="F270" s="73"/>
      <c r="G270" t="s">
        <v>1293</v>
      </c>
      <c r="H270" t="s">
        <v>1041</v>
      </c>
      <c r="I270" t="s">
        <v>1296</v>
      </c>
      <c r="J270" s="30" t="s">
        <v>14</v>
      </c>
      <c r="K270" s="30" t="s">
        <v>27</v>
      </c>
      <c r="L270"/>
      <c r="M270" s="30" t="s">
        <v>1308</v>
      </c>
      <c r="N270" s="30"/>
      <c r="O270" s="31">
        <f t="shared" si="31"/>
        <v>12</v>
      </c>
      <c r="P270" s="136" t="s">
        <v>1833</v>
      </c>
      <c r="Q270" s="31">
        <f t="shared" si="32"/>
        <v>16</v>
      </c>
      <c r="R270" s="32">
        <f t="shared" si="33"/>
        <v>0.42857142857142855</v>
      </c>
      <c r="S270" s="70"/>
      <c r="T270" s="70"/>
      <c r="U270" s="70"/>
      <c r="V270" s="70" t="s">
        <v>2221</v>
      </c>
      <c r="W270" s="70" t="s">
        <v>2221</v>
      </c>
      <c r="X270" s="70" t="s">
        <v>2221</v>
      </c>
      <c r="Y270" s="70" t="s">
        <v>2221</v>
      </c>
      <c r="Z270" s="70" t="s">
        <v>2221</v>
      </c>
      <c r="AA270" s="70"/>
      <c r="AB270" s="70"/>
      <c r="AC270" s="70" t="s">
        <v>2221</v>
      </c>
      <c r="AD270" s="70" t="s">
        <v>2221</v>
      </c>
      <c r="AE270" s="70" t="s">
        <v>2221</v>
      </c>
      <c r="AF270" s="70" t="s">
        <v>2221</v>
      </c>
      <c r="AG270" s="70" t="s">
        <v>2221</v>
      </c>
      <c r="AH270" s="70"/>
      <c r="AI270" s="70"/>
      <c r="AJ270" s="70" t="s">
        <v>2221</v>
      </c>
      <c r="AK270" s="70" t="s">
        <v>2221</v>
      </c>
      <c r="AL270" s="70" t="s">
        <v>2221</v>
      </c>
      <c r="AM270" s="70" t="s">
        <v>2221</v>
      </c>
      <c r="AN270" s="70" t="s">
        <v>2221</v>
      </c>
      <c r="AO270" s="70"/>
      <c r="AP270" s="70"/>
      <c r="AQ270" s="70"/>
      <c r="AR270" s="70" t="s">
        <v>2221</v>
      </c>
      <c r="AS270" s="70"/>
      <c r="AT270" s="70"/>
      <c r="AU270" s="70"/>
      <c r="AV270" s="70"/>
    </row>
    <row r="271" spans="1:49" ht="15" customHeight="1" thickBot="1" x14ac:dyDescent="0.3">
      <c r="A271"/>
      <c r="B271"/>
      <c r="C271"/>
      <c r="D271"/>
      <c r="E271"/>
      <c r="F271" s="73" t="s">
        <v>277</v>
      </c>
      <c r="G271" s="73" t="s">
        <v>951</v>
      </c>
      <c r="H271" s="73" t="s">
        <v>1041</v>
      </c>
      <c r="I271" s="73" t="s">
        <v>278</v>
      </c>
      <c r="J271" s="84" t="s">
        <v>71</v>
      </c>
      <c r="K271" s="84" t="s">
        <v>1278</v>
      </c>
      <c r="L271" s="84"/>
      <c r="M271" s="84" t="s">
        <v>716</v>
      </c>
      <c r="N271" s="84"/>
      <c r="O271" s="131">
        <f t="shared" si="31"/>
        <v>28</v>
      </c>
      <c r="P271" s="136" t="s">
        <v>1834</v>
      </c>
      <c r="Q271" s="131">
        <f t="shared" si="32"/>
        <v>0</v>
      </c>
      <c r="R271" s="1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s="73" customFormat="1" ht="15.75" thickBot="1" x14ac:dyDescent="0.3">
      <c r="A272"/>
      <c r="B272"/>
      <c r="C272"/>
      <c r="D272"/>
      <c r="E272" s="151" t="s">
        <v>2438</v>
      </c>
      <c r="F272" t="s">
        <v>281</v>
      </c>
      <c r="G272" t="s">
        <v>952</v>
      </c>
      <c r="H272" t="s">
        <v>1041</v>
      </c>
      <c r="I272" t="s">
        <v>282</v>
      </c>
      <c r="J272" s="30" t="s">
        <v>18</v>
      </c>
      <c r="K272" s="30" t="s">
        <v>1278</v>
      </c>
      <c r="L272" s="30"/>
      <c r="M272" s="30" t="s">
        <v>717</v>
      </c>
      <c r="N272" s="30"/>
      <c r="O272" s="31">
        <f t="shared" si="31"/>
        <v>28</v>
      </c>
      <c r="P272" s="136" t="s">
        <v>1836</v>
      </c>
      <c r="Q272" s="31">
        <f t="shared" si="32"/>
        <v>0</v>
      </c>
      <c r="R272" s="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/>
    </row>
    <row r="273" spans="1:49" ht="15.75" thickBot="1" x14ac:dyDescent="0.3">
      <c r="A273"/>
      <c r="B273"/>
      <c r="C273"/>
      <c r="D273"/>
      <c r="E273" s="151" t="s">
        <v>2438</v>
      </c>
      <c r="F273" t="s">
        <v>281</v>
      </c>
      <c r="G273" t="s">
        <v>953</v>
      </c>
      <c r="H273" t="s">
        <v>1041</v>
      </c>
      <c r="I273" t="s">
        <v>285</v>
      </c>
      <c r="J273" s="30" t="s">
        <v>18</v>
      </c>
      <c r="K273" s="30" t="s">
        <v>2439</v>
      </c>
      <c r="L273" s="30"/>
      <c r="M273" s="30" t="s">
        <v>719</v>
      </c>
      <c r="N273" s="30"/>
      <c r="O273" s="31">
        <f t="shared" si="31"/>
        <v>28</v>
      </c>
      <c r="P273" s="136" t="s">
        <v>1837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9" ht="15.75" thickBot="1" x14ac:dyDescent="0.3">
      <c r="A274"/>
      <c r="B274"/>
      <c r="C274"/>
      <c r="D274"/>
      <c r="E274"/>
      <c r="F274" s="73" t="s">
        <v>277</v>
      </c>
      <c r="G274" s="73" t="s">
        <v>1222</v>
      </c>
      <c r="H274" s="73" t="s">
        <v>1041</v>
      </c>
      <c r="I274" s="73" t="s">
        <v>1223</v>
      </c>
      <c r="J274" s="84" t="s">
        <v>18</v>
      </c>
      <c r="K274" s="84" t="s">
        <v>1278</v>
      </c>
      <c r="L274" s="84"/>
      <c r="M274" s="84" t="s">
        <v>1224</v>
      </c>
      <c r="N274" s="84" t="s">
        <v>2265</v>
      </c>
      <c r="O274" s="131">
        <f t="shared" si="31"/>
        <v>23</v>
      </c>
      <c r="P274" s="136" t="s">
        <v>1839</v>
      </c>
      <c r="Q274" s="131">
        <f t="shared" si="32"/>
        <v>5</v>
      </c>
      <c r="R274" s="132">
        <f t="shared" si="33"/>
        <v>0.8214285714285714</v>
      </c>
      <c r="S274" s="70"/>
      <c r="T274" s="70"/>
      <c r="U274" s="70"/>
      <c r="V274" s="70" t="s">
        <v>2221</v>
      </c>
      <c r="W274" s="70" t="s">
        <v>2221</v>
      </c>
      <c r="X274" s="70" t="s">
        <v>2221</v>
      </c>
      <c r="Y274" s="70" t="s">
        <v>2221</v>
      </c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 t="s">
        <v>2221</v>
      </c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thickBot="1" x14ac:dyDescent="0.3">
      <c r="A275">
        <v>1</v>
      </c>
      <c r="B275">
        <v>19</v>
      </c>
      <c r="C275"/>
      <c r="D275"/>
      <c r="E275" t="s">
        <v>2327</v>
      </c>
      <c r="F275" t="s">
        <v>277</v>
      </c>
      <c r="G275" t="s">
        <v>1261</v>
      </c>
      <c r="H275" t="s">
        <v>1041</v>
      </c>
      <c r="I275" t="s">
        <v>1262</v>
      </c>
      <c r="J275" s="30" t="s">
        <v>18</v>
      </c>
      <c r="K275" s="30" t="s">
        <v>1035</v>
      </c>
      <c r="L275" s="30"/>
      <c r="M275" s="30" t="s">
        <v>1336</v>
      </c>
      <c r="N275" s="30"/>
      <c r="O275" s="31">
        <f t="shared" si="31"/>
        <v>11</v>
      </c>
      <c r="P275" s="136" t="s">
        <v>1840</v>
      </c>
      <c r="Q275" s="31">
        <f t="shared" si="32"/>
        <v>17</v>
      </c>
      <c r="R275" s="32">
        <f t="shared" si="33"/>
        <v>0.39285714285714285</v>
      </c>
      <c r="S275" s="70"/>
      <c r="T275" s="70"/>
      <c r="U275" s="70"/>
      <c r="V275" s="70"/>
      <c r="W275" s="70" t="s">
        <v>2221</v>
      </c>
      <c r="X275" s="70" t="s">
        <v>2221</v>
      </c>
      <c r="Y275" s="70" t="s">
        <v>2221</v>
      </c>
      <c r="Z275" s="70" t="s">
        <v>2221</v>
      </c>
      <c r="AA275" s="70"/>
      <c r="AB275" s="70"/>
      <c r="AC275" s="70" t="s">
        <v>2221</v>
      </c>
      <c r="AD275" s="70" t="s">
        <v>2221</v>
      </c>
      <c r="AE275" s="70" t="s">
        <v>2221</v>
      </c>
      <c r="AF275" s="70" t="s">
        <v>2221</v>
      </c>
      <c r="AG275" s="70" t="s">
        <v>2221</v>
      </c>
      <c r="AH275" s="70"/>
      <c r="AI275" s="70"/>
      <c r="AJ275" s="70" t="s">
        <v>2221</v>
      </c>
      <c r="AK275" s="70" t="s">
        <v>2221</v>
      </c>
      <c r="AL275" s="70" t="s">
        <v>2221</v>
      </c>
      <c r="AM275" s="70" t="s">
        <v>2221</v>
      </c>
      <c r="AN275" s="70" t="s">
        <v>2221</v>
      </c>
      <c r="AO275" s="70"/>
      <c r="AP275" s="70"/>
      <c r="AQ275" s="70"/>
      <c r="AR275" s="70" t="s">
        <v>2221</v>
      </c>
      <c r="AS275" s="70" t="s">
        <v>2221</v>
      </c>
      <c r="AT275" s="70" t="s">
        <v>2221</v>
      </c>
      <c r="AU275" s="70"/>
      <c r="AV275" s="70"/>
    </row>
    <row r="276" spans="1:49" ht="15.75" thickBot="1" x14ac:dyDescent="0.3">
      <c r="A276">
        <v>1</v>
      </c>
      <c r="B276">
        <v>19</v>
      </c>
      <c r="C276"/>
      <c r="D276"/>
      <c r="E276" t="s">
        <v>2327</v>
      </c>
      <c r="F276" t="s">
        <v>254</v>
      </c>
      <c r="G276" t="s">
        <v>279</v>
      </c>
      <c r="H276" t="s">
        <v>1041</v>
      </c>
      <c r="I276" t="s">
        <v>280</v>
      </c>
      <c r="J276" s="30" t="s">
        <v>71</v>
      </c>
      <c r="K276" s="30" t="s">
        <v>27</v>
      </c>
      <c r="L276" s="30"/>
      <c r="M276" s="30" t="s">
        <v>1039</v>
      </c>
      <c r="N276" s="30"/>
      <c r="O276" s="31">
        <f t="shared" si="31"/>
        <v>28</v>
      </c>
      <c r="P276" s="136" t="s">
        <v>1835</v>
      </c>
      <c r="Q276" s="31">
        <f t="shared" si="32"/>
        <v>0</v>
      </c>
      <c r="R276" s="32">
        <f t="shared" si="33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>
        <v>1</v>
      </c>
      <c r="B277">
        <v>19</v>
      </c>
      <c r="C277"/>
      <c r="D277"/>
      <c r="E277" t="s">
        <v>2327</v>
      </c>
      <c r="F277" t="s">
        <v>277</v>
      </c>
      <c r="G277" t="s">
        <v>283</v>
      </c>
      <c r="H277" t="s">
        <v>1041</v>
      </c>
      <c r="I277" t="s">
        <v>284</v>
      </c>
      <c r="J277" s="30" t="s">
        <v>18</v>
      </c>
      <c r="K277" s="30" t="s">
        <v>27</v>
      </c>
      <c r="L277" s="30"/>
      <c r="M277" s="30" t="s">
        <v>718</v>
      </c>
      <c r="N277" s="30"/>
      <c r="O277" s="31">
        <f t="shared" si="31"/>
        <v>28</v>
      </c>
      <c r="P277" s="136" t="s">
        <v>1823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s="73" customFormat="1" ht="15.75" thickBot="1" x14ac:dyDescent="0.3">
      <c r="A278"/>
      <c r="B278"/>
      <c r="C278"/>
      <c r="D278"/>
      <c r="E278"/>
      <c r="F278" t="s">
        <v>281</v>
      </c>
      <c r="G278" t="s">
        <v>286</v>
      </c>
      <c r="H278" t="s">
        <v>1041</v>
      </c>
      <c r="I278" t="s">
        <v>287</v>
      </c>
      <c r="J278" s="30" t="s">
        <v>14</v>
      </c>
      <c r="K278" s="30" t="s">
        <v>1035</v>
      </c>
      <c r="L278" s="30"/>
      <c r="M278" s="30" t="s">
        <v>720</v>
      </c>
      <c r="N278" s="30"/>
      <c r="O278" s="31">
        <f t="shared" si="31"/>
        <v>28</v>
      </c>
      <c r="P278" s="136" t="s">
        <v>1838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ht="15.75" thickBot="1" x14ac:dyDescent="0.3">
      <c r="A279">
        <v>1</v>
      </c>
      <c r="B279">
        <v>18</v>
      </c>
      <c r="C279"/>
      <c r="D279"/>
      <c r="E279" t="s">
        <v>2360</v>
      </c>
      <c r="F279" t="s">
        <v>288</v>
      </c>
      <c r="G279" t="s">
        <v>289</v>
      </c>
      <c r="H279" t="s">
        <v>1041</v>
      </c>
      <c r="I279" t="s">
        <v>290</v>
      </c>
      <c r="J279" s="30" t="s">
        <v>71</v>
      </c>
      <c r="K279" s="30" t="s">
        <v>27</v>
      </c>
      <c r="L279" s="30"/>
      <c r="M279" s="30" t="s">
        <v>721</v>
      </c>
      <c r="N279" s="30" t="s">
        <v>2265</v>
      </c>
      <c r="O279" s="31">
        <f t="shared" si="31"/>
        <v>28</v>
      </c>
      <c r="P279" s="136" t="s">
        <v>1841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73"/>
    </row>
    <row r="280" spans="1:49" ht="15.75" thickBot="1" x14ac:dyDescent="0.3">
      <c r="A280">
        <v>1</v>
      </c>
      <c r="B280">
        <v>14</v>
      </c>
      <c r="C280"/>
      <c r="D280"/>
      <c r="E280" t="s">
        <v>2366</v>
      </c>
      <c r="F280" t="s">
        <v>288</v>
      </c>
      <c r="G280" t="s">
        <v>291</v>
      </c>
      <c r="H280" t="s">
        <v>1041</v>
      </c>
      <c r="I280" t="s">
        <v>292</v>
      </c>
      <c r="J280" s="30" t="s">
        <v>18</v>
      </c>
      <c r="K280" s="30" t="s">
        <v>27</v>
      </c>
      <c r="L280" s="30"/>
      <c r="M280" s="30" t="s">
        <v>2263</v>
      </c>
      <c r="N280" s="30"/>
      <c r="O280" s="31">
        <f t="shared" si="31"/>
        <v>28</v>
      </c>
      <c r="P280" s="136" t="s">
        <v>1842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142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129"/>
      <c r="AW280" s="73"/>
    </row>
    <row r="281" spans="1:49" ht="15.75" thickBot="1" x14ac:dyDescent="0.3">
      <c r="A281"/>
      <c r="B281"/>
      <c r="C281"/>
      <c r="D281"/>
      <c r="E281"/>
      <c r="F281" t="s">
        <v>288</v>
      </c>
      <c r="G281" t="s">
        <v>293</v>
      </c>
      <c r="H281" t="s">
        <v>1041</v>
      </c>
      <c r="I281" t="s">
        <v>294</v>
      </c>
      <c r="J281" s="30" t="s">
        <v>18</v>
      </c>
      <c r="K281" s="30" t="s">
        <v>1035</v>
      </c>
      <c r="L281" s="30"/>
      <c r="M281" s="30" t="s">
        <v>1468</v>
      </c>
      <c r="N281" s="30"/>
      <c r="O281" s="31">
        <f t="shared" si="31"/>
        <v>28</v>
      </c>
      <c r="P281" s="136" t="s">
        <v>1843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3"/>
    </row>
    <row r="282" spans="1:49" ht="15.75" thickBot="1" x14ac:dyDescent="0.3">
      <c r="A282"/>
      <c r="B282"/>
      <c r="C282"/>
      <c r="D282"/>
      <c r="E282"/>
      <c r="F282" s="73" t="s">
        <v>288</v>
      </c>
      <c r="G282" s="73" t="s">
        <v>295</v>
      </c>
      <c r="H282" s="73" t="s">
        <v>1041</v>
      </c>
      <c r="I282" s="73" t="s">
        <v>296</v>
      </c>
      <c r="J282" s="84" t="s">
        <v>18</v>
      </c>
      <c r="K282" s="84" t="s">
        <v>1278</v>
      </c>
      <c r="L282" s="84"/>
      <c r="M282" s="84" t="s">
        <v>1469</v>
      </c>
      <c r="N282" s="84"/>
      <c r="O282" s="131">
        <f t="shared" si="31"/>
        <v>28</v>
      </c>
      <c r="P282" s="136" t="s">
        <v>1844</v>
      </c>
      <c r="Q282" s="131">
        <f t="shared" si="32"/>
        <v>0</v>
      </c>
      <c r="R282" s="1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s="73" customFormat="1" ht="15.75" thickBot="1" x14ac:dyDescent="0.3">
      <c r="A283">
        <v>1</v>
      </c>
      <c r="B283">
        <v>14</v>
      </c>
      <c r="C283"/>
      <c r="D283"/>
      <c r="E283" t="s">
        <v>2366</v>
      </c>
      <c r="F283" t="s">
        <v>288</v>
      </c>
      <c r="G283" t="s">
        <v>1463</v>
      </c>
      <c r="H283" t="s">
        <v>1041</v>
      </c>
      <c r="I283" t="s">
        <v>1462</v>
      </c>
      <c r="J283" s="30" t="s">
        <v>71</v>
      </c>
      <c r="K283" s="30" t="s">
        <v>27</v>
      </c>
      <c r="L283" s="30"/>
      <c r="M283" s="30" t="s">
        <v>1464</v>
      </c>
      <c r="N283" s="30" t="s">
        <v>2265</v>
      </c>
      <c r="O283" s="131">
        <f t="shared" si="31"/>
        <v>28</v>
      </c>
      <c r="P283" s="136" t="s">
        <v>1845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</row>
    <row r="284" spans="1:49" ht="15.75" thickBot="1" x14ac:dyDescent="0.3">
      <c r="A284">
        <v>1</v>
      </c>
      <c r="B284">
        <v>14</v>
      </c>
      <c r="C284"/>
      <c r="D284"/>
      <c r="E284" t="s">
        <v>2366</v>
      </c>
      <c r="F284" t="s">
        <v>288</v>
      </c>
      <c r="G284" t="s">
        <v>1465</v>
      </c>
      <c r="H284" t="s">
        <v>1041</v>
      </c>
      <c r="I284" t="s">
        <v>1462</v>
      </c>
      <c r="J284" s="30" t="s">
        <v>71</v>
      </c>
      <c r="K284" s="30" t="s">
        <v>27</v>
      </c>
      <c r="L284" s="30"/>
      <c r="M284" s="30" t="s">
        <v>1470</v>
      </c>
      <c r="N284" s="30" t="s">
        <v>2265</v>
      </c>
      <c r="O284" s="131">
        <f t="shared" si="31"/>
        <v>28</v>
      </c>
      <c r="P284" s="136" t="s">
        <v>1846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69"/>
    </row>
    <row r="285" spans="1:49" ht="15.75" thickBot="1" x14ac:dyDescent="0.3">
      <c r="A285">
        <v>3</v>
      </c>
      <c r="B285">
        <v>1</v>
      </c>
      <c r="C285"/>
      <c r="D285"/>
      <c r="E285" t="s">
        <v>2331</v>
      </c>
      <c r="F285" t="s">
        <v>297</v>
      </c>
      <c r="G285" t="s">
        <v>954</v>
      </c>
      <c r="H285" t="s">
        <v>1041</v>
      </c>
      <c r="I285" t="s">
        <v>300</v>
      </c>
      <c r="J285" s="30" t="s">
        <v>18</v>
      </c>
      <c r="K285" s="30" t="s">
        <v>27</v>
      </c>
      <c r="L285" s="30"/>
      <c r="M285" s="30" t="s">
        <v>722</v>
      </c>
      <c r="N285" s="30"/>
      <c r="O285" s="31">
        <f t="shared" si="31"/>
        <v>26</v>
      </c>
      <c r="P285" s="136" t="s">
        <v>1847</v>
      </c>
      <c r="Q285" s="31">
        <f t="shared" si="32"/>
        <v>2</v>
      </c>
      <c r="R285" s="32">
        <f t="shared" si="33"/>
        <v>0.9285714285714286</v>
      </c>
      <c r="S285" s="70"/>
      <c r="T285" s="70"/>
      <c r="U285" s="70"/>
      <c r="V285" s="70" t="s">
        <v>2221</v>
      </c>
      <c r="W285" s="70" t="s">
        <v>2221</v>
      </c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129"/>
    </row>
    <row r="286" spans="1:49" ht="15.75" thickBot="1" x14ac:dyDescent="0.3">
      <c r="A286"/>
      <c r="B286"/>
      <c r="C286"/>
      <c r="D286"/>
      <c r="E286"/>
      <c r="F286" s="73" t="s">
        <v>297</v>
      </c>
      <c r="G286" s="73" t="s">
        <v>298</v>
      </c>
      <c r="H286" s="73" t="s">
        <v>1041</v>
      </c>
      <c r="I286" s="73" t="s">
        <v>299</v>
      </c>
      <c r="J286" s="84" t="s">
        <v>14</v>
      </c>
      <c r="K286" s="84" t="s">
        <v>1278</v>
      </c>
      <c r="L286" s="84"/>
      <c r="M286" s="84" t="s">
        <v>1347</v>
      </c>
      <c r="N286" s="84"/>
      <c r="O286" s="131">
        <f t="shared" si="31"/>
        <v>28</v>
      </c>
      <c r="P286" s="136" t="s">
        <v>1853</v>
      </c>
      <c r="Q286" s="131">
        <f t="shared" si="32"/>
        <v>0</v>
      </c>
      <c r="R286" s="132">
        <f t="shared" si="33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</row>
    <row r="287" spans="1:49" ht="15.75" thickBot="1" x14ac:dyDescent="0.3">
      <c r="A287"/>
      <c r="B287"/>
      <c r="C287"/>
      <c r="D287"/>
      <c r="E287"/>
      <c r="F287" s="73" t="s">
        <v>297</v>
      </c>
      <c r="G287" s="73" t="s">
        <v>301</v>
      </c>
      <c r="H287" s="73" t="s">
        <v>1041</v>
      </c>
      <c r="I287" s="73" t="s">
        <v>302</v>
      </c>
      <c r="J287" s="84" t="s">
        <v>18</v>
      </c>
      <c r="K287" s="84" t="s">
        <v>1278</v>
      </c>
      <c r="L287" s="84"/>
      <c r="M287" s="84" t="s">
        <v>1348</v>
      </c>
      <c r="N287" s="84"/>
      <c r="O287" s="131">
        <f t="shared" si="31"/>
        <v>28</v>
      </c>
      <c r="P287" s="136" t="s">
        <v>1848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thickBot="1" x14ac:dyDescent="0.3">
      <c r="A288"/>
      <c r="B288"/>
      <c r="C288"/>
      <c r="D288"/>
      <c r="E288"/>
      <c r="F288" t="s">
        <v>297</v>
      </c>
      <c r="G288" t="s">
        <v>303</v>
      </c>
      <c r="H288" t="s">
        <v>1041</v>
      </c>
      <c r="I288" t="s">
        <v>304</v>
      </c>
      <c r="J288" s="30" t="s">
        <v>18</v>
      </c>
      <c r="K288" s="30" t="s">
        <v>1035</v>
      </c>
      <c r="L288" s="30" t="s">
        <v>1232</v>
      </c>
      <c r="M288" s="30" t="s">
        <v>723</v>
      </c>
      <c r="N288" s="30"/>
      <c r="O288" s="31">
        <f t="shared" si="31"/>
        <v>27</v>
      </c>
      <c r="P288" s="136" t="s">
        <v>1849</v>
      </c>
      <c r="Q288" s="31">
        <f t="shared" si="32"/>
        <v>1</v>
      </c>
      <c r="R288" s="32">
        <f t="shared" si="33"/>
        <v>0.9642857142857143</v>
      </c>
      <c r="S288" s="70"/>
      <c r="T288" s="70"/>
      <c r="U288" s="70"/>
      <c r="V288" s="70"/>
      <c r="W288" s="70"/>
      <c r="X288" s="70"/>
      <c r="Y288" s="70" t="s">
        <v>2221</v>
      </c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s="73" customFormat="1" ht="15.75" thickBot="1" x14ac:dyDescent="0.3">
      <c r="A289"/>
      <c r="B289"/>
      <c r="C289"/>
      <c r="D289"/>
      <c r="E289"/>
      <c r="F289" s="73" t="s">
        <v>297</v>
      </c>
      <c r="G289" s="73" t="s">
        <v>305</v>
      </c>
      <c r="H289" s="73" t="s">
        <v>1041</v>
      </c>
      <c r="I289" s="73" t="s">
        <v>306</v>
      </c>
      <c r="J289" s="84" t="s">
        <v>18</v>
      </c>
      <c r="K289" s="84" t="s">
        <v>1278</v>
      </c>
      <c r="L289" s="84"/>
      <c r="M289" s="84" t="s">
        <v>1338</v>
      </c>
      <c r="N289" s="84"/>
      <c r="O289" s="131">
        <f t="shared" si="31"/>
        <v>24</v>
      </c>
      <c r="P289" s="136" t="s">
        <v>1850</v>
      </c>
      <c r="Q289" s="131">
        <f t="shared" si="32"/>
        <v>4</v>
      </c>
      <c r="R289" s="132">
        <f t="shared" si="33"/>
        <v>0.8571428571428571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 t="s">
        <v>2221</v>
      </c>
      <c r="AF289" s="70" t="s">
        <v>2221</v>
      </c>
      <c r="AG289" s="70" t="s">
        <v>2221</v>
      </c>
      <c r="AH289" s="70"/>
      <c r="AI289" s="70"/>
      <c r="AJ289" s="70" t="s">
        <v>2221</v>
      </c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/>
    </row>
    <row r="290" spans="1:49" ht="15.75" thickBot="1" x14ac:dyDescent="0.3">
      <c r="A290"/>
      <c r="B290"/>
      <c r="C290"/>
      <c r="D290"/>
      <c r="E290"/>
      <c r="F290" s="73" t="s">
        <v>307</v>
      </c>
      <c r="G290" s="73" t="s">
        <v>308</v>
      </c>
      <c r="H290" s="73" t="s">
        <v>1041</v>
      </c>
      <c r="I290" s="73" t="s">
        <v>309</v>
      </c>
      <c r="J290" s="84" t="s">
        <v>18</v>
      </c>
      <c r="K290" s="84" t="s">
        <v>1278</v>
      </c>
      <c r="L290" s="84"/>
      <c r="M290" s="134" t="s">
        <v>1339</v>
      </c>
      <c r="N290" s="134"/>
      <c r="O290" s="131">
        <f t="shared" si="31"/>
        <v>27</v>
      </c>
      <c r="P290" s="136" t="s">
        <v>1851</v>
      </c>
      <c r="Q290" s="131">
        <f t="shared" si="32"/>
        <v>1</v>
      </c>
      <c r="R290" s="132">
        <f t="shared" si="33"/>
        <v>0.9642857142857143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 t="s">
        <v>2221</v>
      </c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9" s="73" customFormat="1" ht="15.75" thickBot="1" x14ac:dyDescent="0.3">
      <c r="A291">
        <v>3</v>
      </c>
      <c r="B291">
        <v>1</v>
      </c>
      <c r="C291"/>
      <c r="D291"/>
      <c r="E291" t="s">
        <v>2331</v>
      </c>
      <c r="F291" t="s">
        <v>51</v>
      </c>
      <c r="G291" t="s">
        <v>310</v>
      </c>
      <c r="H291" t="s">
        <v>1041</v>
      </c>
      <c r="I291" t="s">
        <v>311</v>
      </c>
      <c r="J291" s="30" t="s">
        <v>18</v>
      </c>
      <c r="K291" s="30" t="s">
        <v>27</v>
      </c>
      <c r="L291" s="30"/>
      <c r="M291" s="30" t="s">
        <v>724</v>
      </c>
      <c r="N291" s="30"/>
      <c r="O291" s="31">
        <f t="shared" si="31"/>
        <v>27</v>
      </c>
      <c r="P291" s="136" t="s">
        <v>1656</v>
      </c>
      <c r="Q291" s="31">
        <f t="shared" si="32"/>
        <v>1</v>
      </c>
      <c r="R291" s="32">
        <f t="shared" si="33"/>
        <v>0.9642857142857143</v>
      </c>
      <c r="S291" s="70"/>
      <c r="T291" s="70"/>
      <c r="U291" s="70"/>
      <c r="V291" s="70" t="s">
        <v>2221</v>
      </c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/>
    </row>
    <row r="292" spans="1:49" s="73" customFormat="1" ht="15.75" thickBot="1" x14ac:dyDescent="0.3">
      <c r="A292">
        <v>3</v>
      </c>
      <c r="B292">
        <v>1</v>
      </c>
      <c r="C292"/>
      <c r="D292"/>
      <c r="E292" t="s">
        <v>2331</v>
      </c>
      <c r="F292" t="s">
        <v>297</v>
      </c>
      <c r="G292" t="s">
        <v>312</v>
      </c>
      <c r="H292" t="s">
        <v>1041</v>
      </c>
      <c r="I292" t="s">
        <v>313</v>
      </c>
      <c r="J292" s="30" t="s">
        <v>18</v>
      </c>
      <c r="K292" s="30" t="s">
        <v>27</v>
      </c>
      <c r="L292" s="30"/>
      <c r="M292" s="30" t="s">
        <v>725</v>
      </c>
      <c r="N292" s="30"/>
      <c r="O292" s="31">
        <f t="shared" si="31"/>
        <v>27</v>
      </c>
      <c r="P292" s="136" t="s">
        <v>1852</v>
      </c>
      <c r="Q292" s="31">
        <f t="shared" si="32"/>
        <v>1</v>
      </c>
      <c r="R292" s="32">
        <f t="shared" si="33"/>
        <v>0.9642857142857143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 t="s">
        <v>2221</v>
      </c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ht="15.75" thickBot="1" x14ac:dyDescent="0.3">
      <c r="A293"/>
      <c r="B293"/>
      <c r="C293"/>
      <c r="D293"/>
      <c r="E293"/>
      <c r="F293" s="73" t="s">
        <v>297</v>
      </c>
      <c r="G293" s="73" t="s">
        <v>314</v>
      </c>
      <c r="H293" s="73" t="s">
        <v>1041</v>
      </c>
      <c r="I293" s="73" t="s">
        <v>315</v>
      </c>
      <c r="J293" s="84" t="s">
        <v>14</v>
      </c>
      <c r="K293" s="84" t="s">
        <v>1278</v>
      </c>
      <c r="L293" s="84"/>
      <c r="M293" s="84" t="s">
        <v>726</v>
      </c>
      <c r="N293" s="84"/>
      <c r="O293" s="131">
        <f t="shared" si="31"/>
        <v>21</v>
      </c>
      <c r="P293" s="136" t="s">
        <v>1854</v>
      </c>
      <c r="Q293" s="131">
        <f t="shared" si="32"/>
        <v>7</v>
      </c>
      <c r="R293" s="132">
        <f t="shared" si="33"/>
        <v>0.75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 t="s">
        <v>2221</v>
      </c>
      <c r="AD293" s="70" t="s">
        <v>2221</v>
      </c>
      <c r="AE293" s="70" t="s">
        <v>2221</v>
      </c>
      <c r="AF293" s="70" t="s">
        <v>2221</v>
      </c>
      <c r="AG293" s="70"/>
      <c r="AH293" s="70"/>
      <c r="AI293" s="70"/>
      <c r="AJ293" s="70" t="s">
        <v>2221</v>
      </c>
      <c r="AK293" s="70" t="s">
        <v>2221</v>
      </c>
      <c r="AL293" s="70" t="s">
        <v>2221</v>
      </c>
      <c r="AM293" s="70"/>
      <c r="AN293" s="70"/>
      <c r="AO293" s="70"/>
      <c r="AP293" s="70"/>
      <c r="AQ293" s="70"/>
      <c r="AR293" s="70"/>
      <c r="AS293" s="70"/>
      <c r="AT293" s="70"/>
      <c r="AU293" s="70"/>
      <c r="AV293" s="129"/>
    </row>
    <row r="294" spans="1:49" ht="15.75" thickBot="1" x14ac:dyDescent="0.3">
      <c r="A294"/>
      <c r="B294"/>
      <c r="C294"/>
      <c r="D294"/>
      <c r="E294"/>
      <c r="F294" s="73" t="s">
        <v>297</v>
      </c>
      <c r="G294" s="73" t="s">
        <v>1319</v>
      </c>
      <c r="H294" s="73" t="s">
        <v>1041</v>
      </c>
      <c r="I294" s="73" t="s">
        <v>1320</v>
      </c>
      <c r="J294" s="84" t="s">
        <v>14</v>
      </c>
      <c r="K294" s="84" t="s">
        <v>1278</v>
      </c>
      <c r="L294" s="84"/>
      <c r="M294" s="84" t="s">
        <v>1334</v>
      </c>
      <c r="N294" s="84"/>
      <c r="O294" s="131">
        <f t="shared" si="31"/>
        <v>20</v>
      </c>
      <c r="P294" s="136" t="s">
        <v>1855</v>
      </c>
      <c r="Q294" s="131">
        <f t="shared" si="32"/>
        <v>8</v>
      </c>
      <c r="R294" s="132">
        <f t="shared" si="33"/>
        <v>0.7142857142857143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 t="s">
        <v>2221</v>
      </c>
      <c r="AD294" s="70"/>
      <c r="AE294" s="70" t="s">
        <v>2221</v>
      </c>
      <c r="AF294" s="70" t="s">
        <v>2221</v>
      </c>
      <c r="AG294" s="70" t="s">
        <v>2221</v>
      </c>
      <c r="AH294" s="70"/>
      <c r="AI294" s="70"/>
      <c r="AJ294" s="70" t="s">
        <v>2221</v>
      </c>
      <c r="AK294" s="70" t="s">
        <v>2221</v>
      </c>
      <c r="AL294" s="70" t="s">
        <v>2221</v>
      </c>
      <c r="AM294" s="70" t="s">
        <v>2221</v>
      </c>
      <c r="AN294" s="70"/>
      <c r="AO294" s="70"/>
      <c r="AP294" s="70"/>
      <c r="AQ294" s="70"/>
      <c r="AR294" s="70"/>
      <c r="AS294" s="70"/>
      <c r="AT294" s="70"/>
      <c r="AU294" s="70"/>
      <c r="AV294" s="70"/>
    </row>
    <row r="295" spans="1:49" s="73" customFormat="1" ht="15.75" thickBot="1" x14ac:dyDescent="0.3">
      <c r="A295"/>
      <c r="B295"/>
      <c r="C295"/>
      <c r="D295"/>
      <c r="E295"/>
      <c r="F295" s="73" t="s">
        <v>1508</v>
      </c>
      <c r="G295" s="73" t="s">
        <v>1507</v>
      </c>
      <c r="H295" s="73" t="s">
        <v>1041</v>
      </c>
      <c r="I295" s="73" t="s">
        <v>1509</v>
      </c>
      <c r="J295" s="84" t="s">
        <v>18</v>
      </c>
      <c r="K295" s="84" t="s">
        <v>1278</v>
      </c>
      <c r="L295" s="84"/>
      <c r="M295" s="84" t="s">
        <v>1510</v>
      </c>
      <c r="N295" s="84"/>
      <c r="O295" s="131">
        <f t="shared" si="31"/>
        <v>28</v>
      </c>
      <c r="P295" s="136" t="s">
        <v>1856</v>
      </c>
      <c r="Q295" s="131">
        <f t="shared" si="32"/>
        <v>0</v>
      </c>
      <c r="R295" s="132">
        <f t="shared" si="33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69"/>
    </row>
    <row r="296" spans="1:49" s="73" customFormat="1" ht="15.75" thickBot="1" x14ac:dyDescent="0.3">
      <c r="A296">
        <v>3</v>
      </c>
      <c r="B296">
        <v>1</v>
      </c>
      <c r="C296"/>
      <c r="D296"/>
      <c r="E296" t="s">
        <v>2331</v>
      </c>
      <c r="F296" s="73" t="s">
        <v>1508</v>
      </c>
      <c r="G296" s="73" t="s">
        <v>1617</v>
      </c>
      <c r="H296" s="73" t="s">
        <v>1041</v>
      </c>
      <c r="I296" s="73" t="s">
        <v>1618</v>
      </c>
      <c r="J296" s="84" t="s">
        <v>18</v>
      </c>
      <c r="K296" s="84" t="s">
        <v>27</v>
      </c>
      <c r="L296" s="84"/>
      <c r="M296" s="84" t="s">
        <v>1619</v>
      </c>
      <c r="N296" s="84"/>
      <c r="O296" s="131">
        <f t="shared" si="31"/>
        <v>28</v>
      </c>
      <c r="P296" s="136" t="s">
        <v>2145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/>
    </row>
    <row r="297" spans="1:49" s="73" customFormat="1" ht="14.25" customHeight="1" thickBot="1" x14ac:dyDescent="0.3">
      <c r="A297" s="8"/>
      <c r="B297" s="8"/>
      <c r="C297" s="8"/>
      <c r="D297" s="8"/>
      <c r="E297" s="151" t="s">
        <v>2456</v>
      </c>
      <c r="F297" s="69" t="s">
        <v>2108</v>
      </c>
      <c r="G297" s="30" t="s">
        <v>1325</v>
      </c>
      <c r="H297" t="s">
        <v>1042</v>
      </c>
      <c r="I297" t="s">
        <v>1326</v>
      </c>
      <c r="J297" s="30" t="s">
        <v>18</v>
      </c>
      <c r="K297" s="30" t="s">
        <v>1278</v>
      </c>
      <c r="L297" s="137"/>
      <c r="M297" s="30" t="s">
        <v>1416</v>
      </c>
      <c r="N297" s="137"/>
      <c r="O297" s="139">
        <f t="shared" si="31"/>
        <v>27</v>
      </c>
      <c r="P297" s="143" t="s">
        <v>1651</v>
      </c>
      <c r="Q297" s="139">
        <f t="shared" si="32"/>
        <v>1</v>
      </c>
      <c r="R297" s="141">
        <f t="shared" si="33"/>
        <v>0.9642857142857143</v>
      </c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  <c r="AD297" s="138"/>
      <c r="AE297" s="138"/>
      <c r="AF297" s="138"/>
      <c r="AG297" s="138"/>
      <c r="AH297" s="138"/>
      <c r="AI297" s="138"/>
      <c r="AJ297" s="138"/>
      <c r="AK297" s="138"/>
      <c r="AL297" s="138"/>
      <c r="AM297" s="138"/>
      <c r="AN297" s="138"/>
      <c r="AO297" s="138"/>
      <c r="AP297" s="138"/>
      <c r="AQ297" s="138"/>
      <c r="AR297" s="138"/>
      <c r="AS297" s="138"/>
      <c r="AT297" s="70" t="s">
        <v>2221</v>
      </c>
      <c r="AU297" s="138"/>
      <c r="AV297" s="138"/>
      <c r="AW297"/>
    </row>
    <row r="298" spans="1:49" s="73" customFormat="1" ht="15.75" thickBot="1" x14ac:dyDescent="0.3">
      <c r="A298" s="8"/>
      <c r="B298" s="8"/>
      <c r="C298" s="8"/>
      <c r="D298" s="8"/>
      <c r="E298" s="8"/>
      <c r="F298" s="73" t="s">
        <v>2108</v>
      </c>
      <c r="G298" s="84" t="s">
        <v>1375</v>
      </c>
      <c r="H298" s="73" t="s">
        <v>1042</v>
      </c>
      <c r="I298" s="73" t="s">
        <v>1376</v>
      </c>
      <c r="J298" s="84" t="s">
        <v>18</v>
      </c>
      <c r="K298" s="84" t="s">
        <v>1278</v>
      </c>
      <c r="L298" s="84"/>
      <c r="M298" s="84" t="s">
        <v>1377</v>
      </c>
      <c r="N298" s="84"/>
      <c r="O298" s="131">
        <f t="shared" si="31"/>
        <v>10</v>
      </c>
      <c r="P298" s="136" t="s">
        <v>2113</v>
      </c>
      <c r="Q298" s="131">
        <f t="shared" si="32"/>
        <v>18</v>
      </c>
      <c r="R298" s="132">
        <f t="shared" si="33"/>
        <v>0.35714285714285715</v>
      </c>
      <c r="S298" s="70"/>
      <c r="T298" s="70"/>
      <c r="U298" s="70"/>
      <c r="V298" s="70" t="s">
        <v>2221</v>
      </c>
      <c r="W298" s="70" t="s">
        <v>2221</v>
      </c>
      <c r="X298" s="70" t="s">
        <v>2221</v>
      </c>
      <c r="Y298" s="70" t="s">
        <v>2221</v>
      </c>
      <c r="Z298" s="70" t="s">
        <v>2221</v>
      </c>
      <c r="AA298" s="70"/>
      <c r="AB298" s="70"/>
      <c r="AC298" s="70" t="s">
        <v>2221</v>
      </c>
      <c r="AD298" s="70" t="s">
        <v>2221</v>
      </c>
      <c r="AE298" s="70" t="s">
        <v>2221</v>
      </c>
      <c r="AF298" s="70" t="s">
        <v>2221</v>
      </c>
      <c r="AG298" s="70" t="s">
        <v>2221</v>
      </c>
      <c r="AH298" s="70"/>
      <c r="AI298" s="70"/>
      <c r="AJ298" s="70" t="s">
        <v>2221</v>
      </c>
      <c r="AK298" s="70" t="s">
        <v>2221</v>
      </c>
      <c r="AL298" s="70" t="s">
        <v>2221</v>
      </c>
      <c r="AM298" s="70" t="s">
        <v>2221</v>
      </c>
      <c r="AN298" s="70" t="s">
        <v>2221</v>
      </c>
      <c r="AO298" s="70"/>
      <c r="AP298" s="70"/>
      <c r="AQ298" s="70"/>
      <c r="AR298" s="70" t="s">
        <v>2221</v>
      </c>
      <c r="AS298" s="70" t="s">
        <v>2221</v>
      </c>
      <c r="AT298" s="70" t="s">
        <v>2221</v>
      </c>
      <c r="AU298" s="70"/>
      <c r="AV298" s="70"/>
      <c r="AW298"/>
    </row>
    <row r="299" spans="1:49" s="73" customFormat="1" ht="15.75" thickBot="1" x14ac:dyDescent="0.3">
      <c r="A299"/>
      <c r="B299"/>
      <c r="C299"/>
      <c r="D299"/>
      <c r="E299"/>
      <c r="F299" s="73" t="s">
        <v>2108</v>
      </c>
      <c r="G299" s="84" t="s">
        <v>2105</v>
      </c>
      <c r="H299" s="73" t="s">
        <v>1042</v>
      </c>
      <c r="I299" s="73" t="s">
        <v>2106</v>
      </c>
      <c r="J299" s="84" t="s">
        <v>18</v>
      </c>
      <c r="K299" s="84" t="s">
        <v>1278</v>
      </c>
      <c r="L299" s="84"/>
      <c r="M299" s="84" t="s">
        <v>2272</v>
      </c>
      <c r="N299" s="84"/>
      <c r="O299" s="131">
        <f t="shared" si="31"/>
        <v>10</v>
      </c>
      <c r="P299" s="136" t="s">
        <v>2107</v>
      </c>
      <c r="Q299" s="131">
        <f t="shared" si="32"/>
        <v>18</v>
      </c>
      <c r="R299" s="132">
        <f t="shared" si="33"/>
        <v>0.35714285714285715</v>
      </c>
      <c r="S299" s="70"/>
      <c r="T299" s="70"/>
      <c r="U299" s="70"/>
      <c r="V299" s="70" t="s">
        <v>2221</v>
      </c>
      <c r="W299" s="70" t="s">
        <v>2221</v>
      </c>
      <c r="X299" s="70" t="s">
        <v>2221</v>
      </c>
      <c r="Y299" s="70" t="s">
        <v>2221</v>
      </c>
      <c r="Z299" s="70" t="s">
        <v>2221</v>
      </c>
      <c r="AA299" s="70"/>
      <c r="AB299" s="70"/>
      <c r="AC299" s="70" t="s">
        <v>2221</v>
      </c>
      <c r="AD299" s="70" t="s">
        <v>2221</v>
      </c>
      <c r="AE299" s="70" t="s">
        <v>2221</v>
      </c>
      <c r="AF299" s="70" t="s">
        <v>2221</v>
      </c>
      <c r="AG299" s="70" t="s">
        <v>2221</v>
      </c>
      <c r="AH299" s="70"/>
      <c r="AI299" s="70"/>
      <c r="AJ299" s="70" t="s">
        <v>2221</v>
      </c>
      <c r="AK299" s="70" t="s">
        <v>2221</v>
      </c>
      <c r="AL299" s="70" t="s">
        <v>2221</v>
      </c>
      <c r="AM299" s="70" t="s">
        <v>2221</v>
      </c>
      <c r="AN299" s="70" t="s">
        <v>2221</v>
      </c>
      <c r="AO299" s="70"/>
      <c r="AP299" s="70"/>
      <c r="AQ299" s="70"/>
      <c r="AR299" s="70" t="s">
        <v>2221</v>
      </c>
      <c r="AS299" s="70" t="s">
        <v>2221</v>
      </c>
      <c r="AT299" s="70" t="s">
        <v>2221</v>
      </c>
      <c r="AU299" s="70"/>
      <c r="AV299" s="70"/>
      <c r="AW299"/>
    </row>
    <row r="300" spans="1:49" ht="15.75" thickBot="1" x14ac:dyDescent="0.3">
      <c r="A300">
        <v>6</v>
      </c>
      <c r="B300">
        <v>12</v>
      </c>
      <c r="C300"/>
      <c r="D300"/>
      <c r="E300" t="s">
        <v>2334</v>
      </c>
      <c r="F300" t="s">
        <v>318</v>
      </c>
      <c r="G300" t="s">
        <v>316</v>
      </c>
      <c r="H300" t="s">
        <v>1042</v>
      </c>
      <c r="I300" t="s">
        <v>317</v>
      </c>
      <c r="J300" s="30" t="s">
        <v>14</v>
      </c>
      <c r="K300" s="30" t="s">
        <v>27</v>
      </c>
      <c r="L300" s="30"/>
      <c r="M300" s="30" t="s">
        <v>727</v>
      </c>
      <c r="N300" s="30"/>
      <c r="O300" s="31">
        <f t="shared" si="31"/>
        <v>20</v>
      </c>
      <c r="P300" s="136" t="s">
        <v>1857</v>
      </c>
      <c r="Q300" s="31">
        <f t="shared" si="32"/>
        <v>8</v>
      </c>
      <c r="R300" s="32">
        <f t="shared" si="33"/>
        <v>0.7142857142857143</v>
      </c>
      <c r="S300" s="70"/>
      <c r="T300" s="70"/>
      <c r="U300" s="70"/>
      <c r="V300" s="70" t="s">
        <v>2221</v>
      </c>
      <c r="W300" s="70" t="s">
        <v>2221</v>
      </c>
      <c r="X300" s="70" t="s">
        <v>2221</v>
      </c>
      <c r="Y300" s="70" t="s">
        <v>2221</v>
      </c>
      <c r="Z300" s="70" t="s">
        <v>2221</v>
      </c>
      <c r="AA300" s="70"/>
      <c r="AB300" s="70"/>
      <c r="AC300" s="70"/>
      <c r="AD300" s="70"/>
      <c r="AE300" s="70" t="s">
        <v>2221</v>
      </c>
      <c r="AF300" s="70" t="s">
        <v>2221</v>
      </c>
      <c r="AG300" s="70" t="s">
        <v>2221</v>
      </c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</row>
    <row r="301" spans="1:49" ht="15.75" thickBot="1" x14ac:dyDescent="0.3">
      <c r="A301">
        <v>6</v>
      </c>
      <c r="B301">
        <v>12</v>
      </c>
      <c r="C301"/>
      <c r="D301"/>
      <c r="E301" t="s">
        <v>2334</v>
      </c>
      <c r="F301" t="s">
        <v>318</v>
      </c>
      <c r="G301" t="s">
        <v>319</v>
      </c>
      <c r="H301" t="s">
        <v>1042</v>
      </c>
      <c r="I301" t="s">
        <v>320</v>
      </c>
      <c r="J301" s="30" t="s">
        <v>71</v>
      </c>
      <c r="K301" s="30" t="s">
        <v>27</v>
      </c>
      <c r="L301" s="30"/>
      <c r="M301" s="30" t="s">
        <v>728</v>
      </c>
      <c r="N301" s="30"/>
      <c r="O301" s="31">
        <f t="shared" si="31"/>
        <v>20</v>
      </c>
      <c r="P301" s="136" t="s">
        <v>1858</v>
      </c>
      <c r="Q301" s="31">
        <f t="shared" si="32"/>
        <v>8</v>
      </c>
      <c r="R301" s="32">
        <f t="shared" si="33"/>
        <v>0.7142857142857143</v>
      </c>
      <c r="S301" s="70"/>
      <c r="T301" s="70"/>
      <c r="U301" s="70"/>
      <c r="V301" s="70" t="s">
        <v>2221</v>
      </c>
      <c r="W301" s="70" t="s">
        <v>2221</v>
      </c>
      <c r="X301" s="70" t="s">
        <v>2221</v>
      </c>
      <c r="Y301" s="70" t="s">
        <v>2221</v>
      </c>
      <c r="Z301" s="70" t="s">
        <v>2221</v>
      </c>
      <c r="AA301" s="70"/>
      <c r="AB301" s="70"/>
      <c r="AC301" s="70"/>
      <c r="AD301" s="70"/>
      <c r="AE301" s="70" t="s">
        <v>2221</v>
      </c>
      <c r="AF301" s="70" t="s">
        <v>2221</v>
      </c>
      <c r="AG301" s="70" t="s">
        <v>2221</v>
      </c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thickBot="1" x14ac:dyDescent="0.3">
      <c r="A302">
        <v>6</v>
      </c>
      <c r="B302">
        <v>12</v>
      </c>
      <c r="C302"/>
      <c r="D302"/>
      <c r="E302" t="s">
        <v>2334</v>
      </c>
      <c r="F302" t="s">
        <v>318</v>
      </c>
      <c r="G302" t="s">
        <v>321</v>
      </c>
      <c r="H302" t="s">
        <v>1042</v>
      </c>
      <c r="I302" t="s">
        <v>320</v>
      </c>
      <c r="J302" s="30" t="s">
        <v>71</v>
      </c>
      <c r="K302" s="30" t="s">
        <v>27</v>
      </c>
      <c r="L302" s="30"/>
      <c r="M302" s="30" t="s">
        <v>729</v>
      </c>
      <c r="N302" s="30"/>
      <c r="O302" s="31">
        <f t="shared" si="31"/>
        <v>20</v>
      </c>
      <c r="P302" s="136" t="s">
        <v>1859</v>
      </c>
      <c r="Q302" s="31">
        <f t="shared" si="32"/>
        <v>8</v>
      </c>
      <c r="R302" s="32">
        <f t="shared" si="33"/>
        <v>0.7142857142857143</v>
      </c>
      <c r="S302" s="70"/>
      <c r="T302" s="70"/>
      <c r="U302" s="70"/>
      <c r="V302" s="70" t="s">
        <v>2221</v>
      </c>
      <c r="W302" s="70" t="s">
        <v>2221</v>
      </c>
      <c r="X302" s="70" t="s">
        <v>2221</v>
      </c>
      <c r="Y302" s="70" t="s">
        <v>2221</v>
      </c>
      <c r="Z302" s="70" t="s">
        <v>2221</v>
      </c>
      <c r="AA302" s="70"/>
      <c r="AB302" s="70"/>
      <c r="AC302" s="70"/>
      <c r="AD302" s="70"/>
      <c r="AE302" s="70" t="s">
        <v>2221</v>
      </c>
      <c r="AF302" s="70" t="s">
        <v>2221</v>
      </c>
      <c r="AG302" s="70" t="s">
        <v>2221</v>
      </c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thickBot="1" x14ac:dyDescent="0.3">
      <c r="A303">
        <v>6</v>
      </c>
      <c r="B303">
        <v>12</v>
      </c>
      <c r="C303"/>
      <c r="D303"/>
      <c r="E303" t="s">
        <v>2334</v>
      </c>
      <c r="F303" t="s">
        <v>318</v>
      </c>
      <c r="G303" t="s">
        <v>322</v>
      </c>
      <c r="H303" t="s">
        <v>1042</v>
      </c>
      <c r="I303" t="s">
        <v>323</v>
      </c>
      <c r="J303" s="30" t="s">
        <v>71</v>
      </c>
      <c r="K303" s="30" t="s">
        <v>27</v>
      </c>
      <c r="L303" s="30"/>
      <c r="M303" s="30" t="s">
        <v>730</v>
      </c>
      <c r="N303" s="30"/>
      <c r="O303" s="31">
        <f t="shared" si="31"/>
        <v>18</v>
      </c>
      <c r="P303" s="136" t="s">
        <v>1860</v>
      </c>
      <c r="Q303" s="31">
        <f t="shared" si="32"/>
        <v>10</v>
      </c>
      <c r="R303" s="32">
        <f t="shared" si="33"/>
        <v>0.6428571428571429</v>
      </c>
      <c r="S303" s="70"/>
      <c r="T303" s="70"/>
      <c r="U303" s="70"/>
      <c r="V303" s="70" t="s">
        <v>2221</v>
      </c>
      <c r="W303" s="70" t="s">
        <v>2221</v>
      </c>
      <c r="X303" s="70" t="s">
        <v>2221</v>
      </c>
      <c r="Y303" s="70" t="s">
        <v>2221</v>
      </c>
      <c r="Z303" s="70" t="s">
        <v>2221</v>
      </c>
      <c r="AA303" s="70"/>
      <c r="AB303" s="70"/>
      <c r="AC303" s="70" t="s">
        <v>2221</v>
      </c>
      <c r="AD303" s="70" t="s">
        <v>2221</v>
      </c>
      <c r="AE303" s="70" t="s">
        <v>2221</v>
      </c>
      <c r="AF303" s="70" t="s">
        <v>2221</v>
      </c>
      <c r="AG303" s="70" t="s">
        <v>2221</v>
      </c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thickBot="1" x14ac:dyDescent="0.3">
      <c r="A304">
        <v>6</v>
      </c>
      <c r="B304">
        <v>12</v>
      </c>
      <c r="C304"/>
      <c r="D304"/>
      <c r="E304" t="s">
        <v>2334</v>
      </c>
      <c r="F304" t="s">
        <v>318</v>
      </c>
      <c r="G304" t="s">
        <v>324</v>
      </c>
      <c r="H304" t="s">
        <v>1042</v>
      </c>
      <c r="I304" t="s">
        <v>323</v>
      </c>
      <c r="J304" s="30" t="s">
        <v>71</v>
      </c>
      <c r="K304" s="30" t="s">
        <v>27</v>
      </c>
      <c r="L304" s="30"/>
      <c r="M304" s="30" t="s">
        <v>731</v>
      </c>
      <c r="N304" s="30"/>
      <c r="O304" s="31">
        <f t="shared" si="31"/>
        <v>18</v>
      </c>
      <c r="P304" s="136" t="s">
        <v>1861</v>
      </c>
      <c r="Q304" s="31">
        <f t="shared" si="32"/>
        <v>10</v>
      </c>
      <c r="R304" s="32">
        <f t="shared" si="33"/>
        <v>0.6428571428571429</v>
      </c>
      <c r="S304" s="70"/>
      <c r="T304" s="70"/>
      <c r="U304" s="70"/>
      <c r="V304" s="70" t="s">
        <v>2221</v>
      </c>
      <c r="W304" s="70" t="s">
        <v>2221</v>
      </c>
      <c r="X304" s="70" t="s">
        <v>2221</v>
      </c>
      <c r="Y304" s="70" t="s">
        <v>2221</v>
      </c>
      <c r="Z304" s="70" t="s">
        <v>2221</v>
      </c>
      <c r="AA304" s="70"/>
      <c r="AB304" s="70"/>
      <c r="AC304" s="70" t="s">
        <v>2221</v>
      </c>
      <c r="AD304" s="70" t="s">
        <v>2221</v>
      </c>
      <c r="AE304" s="70" t="s">
        <v>2221</v>
      </c>
      <c r="AF304" s="70" t="s">
        <v>2221</v>
      </c>
      <c r="AG304" s="70" t="s">
        <v>2221</v>
      </c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thickBot="1" x14ac:dyDescent="0.3">
      <c r="A305">
        <v>10</v>
      </c>
      <c r="B305">
        <v>10</v>
      </c>
      <c r="C305"/>
      <c r="D305"/>
      <c r="E305" t="s">
        <v>2333</v>
      </c>
      <c r="F305" t="s">
        <v>40</v>
      </c>
      <c r="G305" t="s">
        <v>326</v>
      </c>
      <c r="H305" t="s">
        <v>1041</v>
      </c>
      <c r="I305" t="s">
        <v>327</v>
      </c>
      <c r="J305" s="30" t="s">
        <v>14</v>
      </c>
      <c r="K305" s="30" t="s">
        <v>27</v>
      </c>
      <c r="L305" s="30"/>
      <c r="M305" s="30" t="s">
        <v>734</v>
      </c>
      <c r="N305" s="30"/>
      <c r="O305" s="31">
        <f t="shared" si="31"/>
        <v>28</v>
      </c>
      <c r="P305" s="136" t="s">
        <v>1862</v>
      </c>
      <c r="Q305" s="31">
        <f t="shared" si="32"/>
        <v>0</v>
      </c>
      <c r="R305" s="32">
        <f t="shared" si="33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3"/>
    </row>
    <row r="306" spans="1:49" ht="15.75" thickBot="1" x14ac:dyDescent="0.3">
      <c r="A306">
        <v>10</v>
      </c>
      <c r="B306">
        <v>10</v>
      </c>
      <c r="C306"/>
      <c r="D306"/>
      <c r="E306" t="s">
        <v>2333</v>
      </c>
      <c r="F306" t="s">
        <v>40</v>
      </c>
      <c r="G306" t="s">
        <v>328</v>
      </c>
      <c r="H306" t="s">
        <v>1041</v>
      </c>
      <c r="I306" t="s">
        <v>327</v>
      </c>
      <c r="J306" s="30" t="s">
        <v>71</v>
      </c>
      <c r="K306" s="30" t="s">
        <v>27</v>
      </c>
      <c r="L306" s="30"/>
      <c r="M306" s="30" t="s">
        <v>735</v>
      </c>
      <c r="N306" s="30"/>
      <c r="O306" s="31">
        <f t="shared" si="31"/>
        <v>28</v>
      </c>
      <c r="P306" s="136" t="s">
        <v>1863</v>
      </c>
      <c r="Q306" s="31">
        <f t="shared" si="32"/>
        <v>0</v>
      </c>
      <c r="R306" s="32">
        <f t="shared" si="33"/>
        <v>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thickBot="1" x14ac:dyDescent="0.3">
      <c r="A307"/>
      <c r="B307"/>
      <c r="C307"/>
      <c r="D307"/>
      <c r="E307" t="s">
        <v>2347</v>
      </c>
      <c r="F307" t="s">
        <v>173</v>
      </c>
      <c r="G307" t="s">
        <v>329</v>
      </c>
      <c r="H307" t="s">
        <v>1042</v>
      </c>
      <c r="I307" t="s">
        <v>330</v>
      </c>
      <c r="J307" s="30" t="s">
        <v>14</v>
      </c>
      <c r="K307" s="30" t="s">
        <v>27</v>
      </c>
      <c r="L307" s="30"/>
      <c r="M307" s="30" t="s">
        <v>736</v>
      </c>
      <c r="N307" s="30"/>
      <c r="O307" s="31">
        <f t="shared" si="31"/>
        <v>18</v>
      </c>
      <c r="P307" s="136" t="s">
        <v>1865</v>
      </c>
      <c r="Q307" s="31">
        <f t="shared" si="32"/>
        <v>10</v>
      </c>
      <c r="R307" s="32">
        <f t="shared" si="33"/>
        <v>0.6428571428571429</v>
      </c>
      <c r="S307" s="70"/>
      <c r="T307" s="70"/>
      <c r="U307" s="70"/>
      <c r="V307" s="70" t="s">
        <v>2221</v>
      </c>
      <c r="W307" s="70" t="s">
        <v>2221</v>
      </c>
      <c r="X307" s="70" t="s">
        <v>2221</v>
      </c>
      <c r="Y307" s="70" t="s">
        <v>2221</v>
      </c>
      <c r="Z307" s="70" t="s">
        <v>2221</v>
      </c>
      <c r="AA307" s="70"/>
      <c r="AB307" s="70"/>
      <c r="AC307" s="70" t="s">
        <v>2221</v>
      </c>
      <c r="AD307" s="70" t="s">
        <v>2221</v>
      </c>
      <c r="AE307" s="70" t="s">
        <v>2221</v>
      </c>
      <c r="AF307" s="70" t="s">
        <v>2221</v>
      </c>
      <c r="AG307" s="70" t="s">
        <v>2221</v>
      </c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thickBot="1" x14ac:dyDescent="0.3">
      <c r="A308" s="69"/>
      <c r="B308" s="69"/>
      <c r="C308" s="69"/>
      <c r="D308" s="69"/>
      <c r="E308" t="s">
        <v>2347</v>
      </c>
      <c r="F308" s="69" t="s">
        <v>173</v>
      </c>
      <c r="G308" s="69" t="s">
        <v>331</v>
      </c>
      <c r="H308" s="69" t="s">
        <v>1042</v>
      </c>
      <c r="I308" s="69" t="s">
        <v>330</v>
      </c>
      <c r="J308" s="137" t="s">
        <v>71</v>
      </c>
      <c r="K308" s="137" t="s">
        <v>27</v>
      </c>
      <c r="L308" s="137"/>
      <c r="M308" s="137" t="s">
        <v>737</v>
      </c>
      <c r="N308" s="137"/>
      <c r="O308" s="139">
        <f t="shared" si="31"/>
        <v>10</v>
      </c>
      <c r="P308" s="140" t="s">
        <v>1866</v>
      </c>
      <c r="Q308" s="139">
        <f t="shared" si="32"/>
        <v>18</v>
      </c>
      <c r="R308" s="141">
        <f t="shared" si="33"/>
        <v>0.35714285714285715</v>
      </c>
      <c r="S308" s="142"/>
      <c r="T308" s="142"/>
      <c r="U308" s="142"/>
      <c r="V308" s="70" t="s">
        <v>2221</v>
      </c>
      <c r="W308" s="70" t="s">
        <v>2221</v>
      </c>
      <c r="X308" s="70" t="s">
        <v>2221</v>
      </c>
      <c r="Y308" s="70" t="s">
        <v>2221</v>
      </c>
      <c r="Z308" s="70" t="s">
        <v>2221</v>
      </c>
      <c r="AA308" s="142"/>
      <c r="AB308" s="142"/>
      <c r="AC308" s="70" t="s">
        <v>2221</v>
      </c>
      <c r="AD308" s="70" t="s">
        <v>2221</v>
      </c>
      <c r="AE308" s="70" t="s">
        <v>2221</v>
      </c>
      <c r="AF308" s="70" t="s">
        <v>2221</v>
      </c>
      <c r="AG308" s="70" t="s">
        <v>2221</v>
      </c>
      <c r="AH308" s="70"/>
      <c r="AI308" s="70"/>
      <c r="AJ308" s="70" t="s">
        <v>2221</v>
      </c>
      <c r="AK308" s="70" t="s">
        <v>2221</v>
      </c>
      <c r="AL308" s="70" t="s">
        <v>2221</v>
      </c>
      <c r="AM308" s="70" t="s">
        <v>2221</v>
      </c>
      <c r="AN308" s="70" t="s">
        <v>2221</v>
      </c>
      <c r="AO308" s="70"/>
      <c r="AP308" s="70"/>
      <c r="AQ308" s="142"/>
      <c r="AR308" s="70" t="s">
        <v>2221</v>
      </c>
      <c r="AS308" s="70" t="s">
        <v>2221</v>
      </c>
      <c r="AT308" s="70" t="s">
        <v>2221</v>
      </c>
      <c r="AU308" s="70"/>
      <c r="AV308" s="70"/>
      <c r="AW308" s="73"/>
    </row>
    <row r="309" spans="1:49" s="69" customFormat="1" ht="21" customHeight="1" thickBot="1" x14ac:dyDescent="0.3">
      <c r="A309"/>
      <c r="B309"/>
      <c r="C309"/>
      <c r="D309"/>
      <c r="E309" t="s">
        <v>2347</v>
      </c>
      <c r="F309" t="s">
        <v>173</v>
      </c>
      <c r="G309" t="s">
        <v>1272</v>
      </c>
      <c r="H309" t="s">
        <v>1042</v>
      </c>
      <c r="I309" t="s">
        <v>958</v>
      </c>
      <c r="J309" s="30" t="s">
        <v>71</v>
      </c>
      <c r="K309" s="30" t="s">
        <v>27</v>
      </c>
      <c r="L309" s="30"/>
      <c r="M309" s="30" t="s">
        <v>1251</v>
      </c>
      <c r="N309" s="30"/>
      <c r="O309" s="31">
        <f t="shared" si="31"/>
        <v>26</v>
      </c>
      <c r="P309" s="136" t="s">
        <v>1867</v>
      </c>
      <c r="Q309" s="31">
        <f t="shared" si="32"/>
        <v>2</v>
      </c>
      <c r="R309" s="32">
        <f t="shared" si="33"/>
        <v>0.9285714285714286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 t="s">
        <v>2221</v>
      </c>
      <c r="AT309" s="70" t="s">
        <v>2221</v>
      </c>
      <c r="AU309" s="70"/>
      <c r="AV309" s="70"/>
      <c r="AW309" s="73"/>
    </row>
    <row r="310" spans="1:49" ht="15.75" thickBot="1" x14ac:dyDescent="0.3">
      <c r="A310"/>
      <c r="B310"/>
      <c r="C310"/>
      <c r="D310"/>
      <c r="E310" t="s">
        <v>2347</v>
      </c>
      <c r="F310" t="s">
        <v>201</v>
      </c>
      <c r="G310" t="s">
        <v>1271</v>
      </c>
      <c r="H310" t="s">
        <v>1042</v>
      </c>
      <c r="I310" t="s">
        <v>959</v>
      </c>
      <c r="J310" s="30" t="s">
        <v>18</v>
      </c>
      <c r="K310" s="30" t="s">
        <v>27</v>
      </c>
      <c r="L310" s="30"/>
      <c r="M310" s="30" t="s">
        <v>1252</v>
      </c>
      <c r="N310" s="30"/>
      <c r="O310" s="31">
        <f t="shared" si="31"/>
        <v>18</v>
      </c>
      <c r="P310" s="136" t="s">
        <v>1870</v>
      </c>
      <c r="Q310" s="31">
        <f t="shared" si="32"/>
        <v>10</v>
      </c>
      <c r="R310" s="32">
        <f t="shared" si="33"/>
        <v>0.6428571428571429</v>
      </c>
      <c r="S310" s="70"/>
      <c r="T310" s="70"/>
      <c r="U310" s="70"/>
      <c r="V310" s="70" t="s">
        <v>2221</v>
      </c>
      <c r="W310" s="70" t="s">
        <v>2221</v>
      </c>
      <c r="X310" s="70" t="s">
        <v>2221</v>
      </c>
      <c r="Y310" s="70" t="s">
        <v>2221</v>
      </c>
      <c r="Z310" s="70" t="s">
        <v>2221</v>
      </c>
      <c r="AA310" s="70"/>
      <c r="AB310" s="70"/>
      <c r="AC310" s="70" t="s">
        <v>2221</v>
      </c>
      <c r="AD310" s="70" t="s">
        <v>2221</v>
      </c>
      <c r="AE310" s="70" t="s">
        <v>2221</v>
      </c>
      <c r="AF310" s="70" t="s">
        <v>2221</v>
      </c>
      <c r="AG310" s="70" t="s">
        <v>2221</v>
      </c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</row>
    <row r="311" spans="1:49" ht="15.75" thickBot="1" x14ac:dyDescent="0.3">
      <c r="A311"/>
      <c r="B311"/>
      <c r="C311"/>
      <c r="D311"/>
      <c r="E311" t="s">
        <v>2347</v>
      </c>
      <c r="F311" t="s">
        <v>201</v>
      </c>
      <c r="G311" t="s">
        <v>332</v>
      </c>
      <c r="H311" t="s">
        <v>1042</v>
      </c>
      <c r="I311" t="s">
        <v>333</v>
      </c>
      <c r="J311" s="30" t="s">
        <v>14</v>
      </c>
      <c r="K311" s="30" t="s">
        <v>27</v>
      </c>
      <c r="L311" s="30"/>
      <c r="M311" s="30" t="s">
        <v>738</v>
      </c>
      <c r="N311" s="30"/>
      <c r="O311" s="31">
        <f t="shared" si="31"/>
        <v>28</v>
      </c>
      <c r="P311" s="136" t="s">
        <v>1868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thickBot="1" x14ac:dyDescent="0.3">
      <c r="A312"/>
      <c r="B312"/>
      <c r="C312"/>
      <c r="D312"/>
      <c r="E312" t="s">
        <v>2347</v>
      </c>
      <c r="F312" t="s">
        <v>201</v>
      </c>
      <c r="G312" t="s">
        <v>334</v>
      </c>
      <c r="H312" t="s">
        <v>1042</v>
      </c>
      <c r="I312" t="s">
        <v>333</v>
      </c>
      <c r="J312" s="30" t="s">
        <v>71</v>
      </c>
      <c r="K312" s="30" t="s">
        <v>27</v>
      </c>
      <c r="L312" s="30"/>
      <c r="M312" s="30" t="s">
        <v>739</v>
      </c>
      <c r="N312" s="30"/>
      <c r="O312" s="31">
        <f t="shared" si="31"/>
        <v>18</v>
      </c>
      <c r="P312" s="136" t="s">
        <v>1869</v>
      </c>
      <c r="Q312" s="31">
        <f t="shared" si="32"/>
        <v>10</v>
      </c>
      <c r="R312" s="32">
        <f t="shared" si="33"/>
        <v>0.6428571428571429</v>
      </c>
      <c r="S312" s="70"/>
      <c r="T312" s="70"/>
      <c r="U312" s="70"/>
      <c r="V312" s="70" t="s">
        <v>2221</v>
      </c>
      <c r="W312" s="70" t="s">
        <v>2221</v>
      </c>
      <c r="X312" s="70" t="s">
        <v>2221</v>
      </c>
      <c r="Y312" s="70" t="s">
        <v>2221</v>
      </c>
      <c r="Z312" s="70" t="s">
        <v>2221</v>
      </c>
      <c r="AA312" s="70"/>
      <c r="AB312" s="70"/>
      <c r="AC312" s="70" t="s">
        <v>2221</v>
      </c>
      <c r="AD312" s="70" t="s">
        <v>2221</v>
      </c>
      <c r="AE312" s="70" t="s">
        <v>2221</v>
      </c>
      <c r="AF312" s="70" t="s">
        <v>2221</v>
      </c>
      <c r="AG312" s="70" t="s">
        <v>2221</v>
      </c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3"/>
    </row>
    <row r="313" spans="1:49" ht="15.75" thickBot="1" x14ac:dyDescent="0.3">
      <c r="A313"/>
      <c r="B313"/>
      <c r="C313"/>
      <c r="D313"/>
      <c r="E313" s="151" t="s">
        <v>2445</v>
      </c>
      <c r="F313" t="s">
        <v>274</v>
      </c>
      <c r="G313" t="s">
        <v>335</v>
      </c>
      <c r="H313" t="s">
        <v>1042</v>
      </c>
      <c r="I313" t="s">
        <v>336</v>
      </c>
      <c r="J313" s="30" t="s">
        <v>71</v>
      </c>
      <c r="K313" s="30" t="s">
        <v>1278</v>
      </c>
      <c r="L313" s="30"/>
      <c r="M313" s="30" t="s">
        <v>741</v>
      </c>
      <c r="N313" s="30"/>
      <c r="O313" s="31">
        <f t="shared" si="31"/>
        <v>27</v>
      </c>
      <c r="P313" s="136" t="s">
        <v>1871</v>
      </c>
      <c r="Q313" s="31">
        <f t="shared" si="32"/>
        <v>1</v>
      </c>
      <c r="R313" s="32">
        <f t="shared" si="33"/>
        <v>0.9642857142857143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 t="s">
        <v>2221</v>
      </c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thickBot="1" x14ac:dyDescent="0.3">
      <c r="A314">
        <v>6</v>
      </c>
      <c r="B314">
        <v>12</v>
      </c>
      <c r="C314"/>
      <c r="D314"/>
      <c r="E314" t="s">
        <v>2334</v>
      </c>
      <c r="F314" t="s">
        <v>337</v>
      </c>
      <c r="G314" t="s">
        <v>338</v>
      </c>
      <c r="H314" t="s">
        <v>1042</v>
      </c>
      <c r="I314" t="s">
        <v>339</v>
      </c>
      <c r="J314" s="30" t="s">
        <v>14</v>
      </c>
      <c r="K314" s="30" t="s">
        <v>27</v>
      </c>
      <c r="L314" s="30"/>
      <c r="M314" s="30" t="s">
        <v>743</v>
      </c>
      <c r="N314" s="30"/>
      <c r="O314" s="31">
        <f t="shared" si="31"/>
        <v>28</v>
      </c>
      <c r="P314" s="136" t="s">
        <v>1874</v>
      </c>
      <c r="Q314" s="31">
        <f t="shared" si="32"/>
        <v>0</v>
      </c>
      <c r="R314" s="32">
        <f t="shared" si="33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9" ht="15.75" thickBot="1" x14ac:dyDescent="0.3">
      <c r="A315">
        <v>6</v>
      </c>
      <c r="B315">
        <v>12</v>
      </c>
      <c r="C315"/>
      <c r="D315"/>
      <c r="E315" t="s">
        <v>2334</v>
      </c>
      <c r="F315" t="s">
        <v>337</v>
      </c>
      <c r="G315" t="s">
        <v>340</v>
      </c>
      <c r="H315" t="s">
        <v>1042</v>
      </c>
      <c r="I315" t="s">
        <v>339</v>
      </c>
      <c r="J315" s="30" t="s">
        <v>71</v>
      </c>
      <c r="K315" s="30" t="s">
        <v>27</v>
      </c>
      <c r="L315" s="30"/>
      <c r="M315" s="30" t="s">
        <v>744</v>
      </c>
      <c r="N315" s="30"/>
      <c r="O315" s="31">
        <f t="shared" si="31"/>
        <v>28</v>
      </c>
      <c r="P315" s="136" t="s">
        <v>1875</v>
      </c>
      <c r="Q315" s="31">
        <f t="shared" si="32"/>
        <v>0</v>
      </c>
      <c r="R315" s="32">
        <f t="shared" si="33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3"/>
    </row>
    <row r="316" spans="1:49" ht="15.75" thickBot="1" x14ac:dyDescent="0.3">
      <c r="A316"/>
      <c r="B316"/>
      <c r="C316"/>
      <c r="D316"/>
      <c r="E316" s="151" t="s">
        <v>2463</v>
      </c>
      <c r="F316" t="s">
        <v>341</v>
      </c>
      <c r="G316" s="69" t="s">
        <v>955</v>
      </c>
      <c r="H316" s="69" t="s">
        <v>1042</v>
      </c>
      <c r="I316" s="69" t="s">
        <v>342</v>
      </c>
      <c r="J316" s="137" t="s">
        <v>14</v>
      </c>
      <c r="K316" s="137" t="s">
        <v>1278</v>
      </c>
      <c r="L316" s="30"/>
      <c r="M316" s="137" t="s">
        <v>749</v>
      </c>
      <c r="N316" s="30"/>
      <c r="O316" s="139">
        <f t="shared" si="31"/>
        <v>28</v>
      </c>
      <c r="P316" s="140"/>
      <c r="Q316" s="139">
        <f t="shared" si="32"/>
        <v>0</v>
      </c>
      <c r="R316" s="141">
        <f t="shared" si="33"/>
        <v>1</v>
      </c>
      <c r="S316" s="142"/>
      <c r="T316" s="142"/>
      <c r="U316" s="142"/>
      <c r="V316" s="142"/>
      <c r="W316" s="142"/>
      <c r="X316" s="142"/>
      <c r="Y316" s="142"/>
      <c r="Z316" s="142"/>
      <c r="AA316" s="142"/>
      <c r="AB316" s="142"/>
      <c r="AC316" s="142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42"/>
      <c r="AQ316" s="142"/>
      <c r="AR316" s="142"/>
      <c r="AS316" s="142"/>
      <c r="AT316" s="142"/>
      <c r="AU316" s="142"/>
      <c r="AV316" s="142"/>
    </row>
    <row r="317" spans="1:49" ht="15.75" thickBot="1" x14ac:dyDescent="0.3">
      <c r="A317"/>
      <c r="B317"/>
      <c r="C317"/>
      <c r="D317"/>
      <c r="E317" t="s">
        <v>2446</v>
      </c>
      <c r="F317" s="73" t="s">
        <v>183</v>
      </c>
      <c r="G317" s="73" t="s">
        <v>343</v>
      </c>
      <c r="H317" s="73" t="s">
        <v>1042</v>
      </c>
      <c r="I317" s="73" t="s">
        <v>344</v>
      </c>
      <c r="J317" s="84" t="s">
        <v>14</v>
      </c>
      <c r="K317" s="84" t="s">
        <v>1278</v>
      </c>
      <c r="L317" s="84"/>
      <c r="M317" s="84" t="s">
        <v>745</v>
      </c>
      <c r="N317" s="84"/>
      <c r="O317" s="131">
        <f t="shared" si="31"/>
        <v>10</v>
      </c>
      <c r="P317" s="136" t="s">
        <v>1877</v>
      </c>
      <c r="Q317" s="131">
        <f t="shared" si="32"/>
        <v>18</v>
      </c>
      <c r="R317" s="132">
        <f t="shared" si="33"/>
        <v>0.35714285714285715</v>
      </c>
      <c r="S317" s="70"/>
      <c r="T317" s="70"/>
      <c r="U317" s="70"/>
      <c r="V317" s="70" t="s">
        <v>2221</v>
      </c>
      <c r="W317" s="70" t="s">
        <v>2221</v>
      </c>
      <c r="X317" s="70" t="s">
        <v>2221</v>
      </c>
      <c r="Y317" s="70" t="s">
        <v>2221</v>
      </c>
      <c r="Z317" s="70" t="s">
        <v>2221</v>
      </c>
      <c r="AA317" s="70"/>
      <c r="AB317" s="70"/>
      <c r="AC317" s="70" t="s">
        <v>2221</v>
      </c>
      <c r="AD317" s="70" t="s">
        <v>2221</v>
      </c>
      <c r="AE317" s="70" t="s">
        <v>2221</v>
      </c>
      <c r="AF317" s="70" t="s">
        <v>2221</v>
      </c>
      <c r="AG317" s="70" t="s">
        <v>2221</v>
      </c>
      <c r="AH317" s="70"/>
      <c r="AI317" s="70"/>
      <c r="AJ317" s="70" t="s">
        <v>2221</v>
      </c>
      <c r="AK317" s="70" t="s">
        <v>2221</v>
      </c>
      <c r="AL317" s="70" t="s">
        <v>2221</v>
      </c>
      <c r="AM317" s="70" t="s">
        <v>2221</v>
      </c>
      <c r="AN317" s="70" t="s">
        <v>2221</v>
      </c>
      <c r="AO317" s="70"/>
      <c r="AP317" s="70"/>
      <c r="AQ317" s="70"/>
      <c r="AR317" s="70" t="s">
        <v>2221</v>
      </c>
      <c r="AS317" s="70" t="s">
        <v>2221</v>
      </c>
      <c r="AT317" s="70" t="s">
        <v>2221</v>
      </c>
      <c r="AU317" s="70"/>
      <c r="AV317" s="70"/>
    </row>
    <row r="318" spans="1:49" ht="15.75" thickBot="1" x14ac:dyDescent="0.3">
      <c r="A318"/>
      <c r="B318"/>
      <c r="C318"/>
      <c r="D318"/>
      <c r="E318" t="s">
        <v>2446</v>
      </c>
      <c r="F318" s="73" t="s">
        <v>183</v>
      </c>
      <c r="G318" s="73" t="s">
        <v>345</v>
      </c>
      <c r="H318" s="73" t="s">
        <v>1042</v>
      </c>
      <c r="I318" s="73" t="s">
        <v>344</v>
      </c>
      <c r="J318" s="84" t="s">
        <v>71</v>
      </c>
      <c r="K318" s="84" t="s">
        <v>1278</v>
      </c>
      <c r="L318" s="84"/>
      <c r="M318" s="84" t="s">
        <v>1596</v>
      </c>
      <c r="N318" s="84"/>
      <c r="O318" s="131">
        <f t="shared" si="31"/>
        <v>28</v>
      </c>
      <c r="P318" s="136" t="s">
        <v>2104</v>
      </c>
      <c r="Q318" s="131">
        <f t="shared" si="32"/>
        <v>0</v>
      </c>
      <c r="R318" s="132">
        <f t="shared" si="33"/>
        <v>1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</row>
    <row r="319" spans="1:49" ht="15.75" thickBot="1" x14ac:dyDescent="0.3">
      <c r="A319"/>
      <c r="B319"/>
      <c r="C319"/>
      <c r="D319"/>
      <c r="E319"/>
      <c r="F319" s="73" t="s">
        <v>346</v>
      </c>
      <c r="G319" s="73" t="s">
        <v>347</v>
      </c>
      <c r="H319" s="73" t="s">
        <v>1042</v>
      </c>
      <c r="I319" s="73" t="s">
        <v>1187</v>
      </c>
      <c r="J319" s="84" t="s">
        <v>71</v>
      </c>
      <c r="K319" s="84" t="s">
        <v>1278</v>
      </c>
      <c r="L319" s="84"/>
      <c r="M319" s="84" t="s">
        <v>751</v>
      </c>
      <c r="N319" s="84"/>
      <c r="O319" s="131">
        <f t="shared" si="31"/>
        <v>10</v>
      </c>
      <c r="P319" s="136" t="s">
        <v>2146</v>
      </c>
      <c r="Q319" s="131">
        <f t="shared" si="32"/>
        <v>18</v>
      </c>
      <c r="R319" s="132">
        <f t="shared" si="33"/>
        <v>0.35714285714285715</v>
      </c>
      <c r="S319" s="70"/>
      <c r="T319" s="70"/>
      <c r="U319" s="70"/>
      <c r="V319" s="70" t="s">
        <v>2221</v>
      </c>
      <c r="W319" s="70" t="s">
        <v>2221</v>
      </c>
      <c r="X319" s="70" t="s">
        <v>2221</v>
      </c>
      <c r="Y319" s="70" t="s">
        <v>2221</v>
      </c>
      <c r="Z319" s="70" t="s">
        <v>2221</v>
      </c>
      <c r="AA319" s="70"/>
      <c r="AB319" s="70"/>
      <c r="AC319" s="70" t="s">
        <v>2221</v>
      </c>
      <c r="AD319" s="70" t="s">
        <v>2221</v>
      </c>
      <c r="AE319" s="70" t="s">
        <v>2221</v>
      </c>
      <c r="AF319" s="70" t="s">
        <v>2221</v>
      </c>
      <c r="AG319" s="70" t="s">
        <v>2221</v>
      </c>
      <c r="AH319" s="70"/>
      <c r="AI319" s="70"/>
      <c r="AJ319" s="70" t="s">
        <v>2221</v>
      </c>
      <c r="AK319" s="70" t="s">
        <v>2221</v>
      </c>
      <c r="AL319" s="70" t="s">
        <v>2221</v>
      </c>
      <c r="AM319" s="70" t="s">
        <v>2221</v>
      </c>
      <c r="AN319" s="70" t="s">
        <v>2221</v>
      </c>
      <c r="AO319" s="70"/>
      <c r="AP319" s="70"/>
      <c r="AQ319" s="70"/>
      <c r="AR319" s="70" t="s">
        <v>2221</v>
      </c>
      <c r="AS319" s="70" t="s">
        <v>2221</v>
      </c>
      <c r="AT319" s="70" t="s">
        <v>2221</v>
      </c>
      <c r="AU319" s="70"/>
      <c r="AV319" s="70"/>
    </row>
    <row r="320" spans="1:49" s="69" customFormat="1" ht="15.75" thickBot="1" x14ac:dyDescent="0.3">
      <c r="A320"/>
      <c r="B320"/>
      <c r="C320"/>
      <c r="D320"/>
      <c r="E320" t="s">
        <v>2445</v>
      </c>
      <c r="F320" t="s">
        <v>337</v>
      </c>
      <c r="G320" t="s">
        <v>348</v>
      </c>
      <c r="H320" t="s">
        <v>1042</v>
      </c>
      <c r="I320" t="s">
        <v>349</v>
      </c>
      <c r="J320" s="30" t="s">
        <v>14</v>
      </c>
      <c r="K320" s="30" t="s">
        <v>27</v>
      </c>
      <c r="L320" s="30"/>
      <c r="M320" s="30" t="s">
        <v>747</v>
      </c>
      <c r="N320" s="30"/>
      <c r="O320" s="31">
        <f t="shared" si="31"/>
        <v>19</v>
      </c>
      <c r="P320" s="136" t="s">
        <v>1881</v>
      </c>
      <c r="Q320" s="31">
        <f t="shared" si="32"/>
        <v>9</v>
      </c>
      <c r="R320" s="32">
        <f t="shared" si="33"/>
        <v>0.6785714285714286</v>
      </c>
      <c r="S320" s="70"/>
      <c r="T320" s="70"/>
      <c r="U320" s="70"/>
      <c r="V320" s="70" t="s">
        <v>2221</v>
      </c>
      <c r="W320" s="70" t="s">
        <v>2221</v>
      </c>
      <c r="X320" s="70"/>
      <c r="Y320" s="70" t="s">
        <v>2221</v>
      </c>
      <c r="Z320" s="70"/>
      <c r="AA320" s="70"/>
      <c r="AB320" s="70"/>
      <c r="AC320" s="70"/>
      <c r="AD320" s="70" t="s">
        <v>2221</v>
      </c>
      <c r="AE320" s="70" t="s">
        <v>2221</v>
      </c>
      <c r="AF320" s="70"/>
      <c r="AG320" s="70"/>
      <c r="AH320" s="70"/>
      <c r="AI320" s="70"/>
      <c r="AJ320" s="70" t="s">
        <v>2221</v>
      </c>
      <c r="AK320" s="70" t="s">
        <v>2221</v>
      </c>
      <c r="AL320" s="70" t="s">
        <v>2221</v>
      </c>
      <c r="AM320" s="70"/>
      <c r="AN320" s="70" t="s">
        <v>2221</v>
      </c>
      <c r="AO320" s="70"/>
      <c r="AP320" s="70"/>
      <c r="AQ320" s="70"/>
      <c r="AR320" s="70"/>
      <c r="AS320" s="70"/>
      <c r="AT320" s="70"/>
      <c r="AU320" s="70"/>
      <c r="AV320" s="70"/>
      <c r="AW320"/>
    </row>
    <row r="321" spans="1:49" s="73" customFormat="1" ht="15.75" thickBot="1" x14ac:dyDescent="0.3">
      <c r="A321"/>
      <c r="B321"/>
      <c r="C321"/>
      <c r="D321"/>
      <c r="E321" t="s">
        <v>2445</v>
      </c>
      <c r="F321" t="s">
        <v>337</v>
      </c>
      <c r="G321" t="s">
        <v>350</v>
      </c>
      <c r="H321" t="s">
        <v>1042</v>
      </c>
      <c r="I321" t="s">
        <v>349</v>
      </c>
      <c r="J321" s="30" t="s">
        <v>71</v>
      </c>
      <c r="K321" s="30" t="s">
        <v>27</v>
      </c>
      <c r="L321" s="30"/>
      <c r="M321" s="30" t="s">
        <v>746</v>
      </c>
      <c r="N321" s="30"/>
      <c r="O321" s="31">
        <f t="shared" si="31"/>
        <v>25</v>
      </c>
      <c r="P321" s="136" t="s">
        <v>1882</v>
      </c>
      <c r="Q321" s="31">
        <f t="shared" si="32"/>
        <v>3</v>
      </c>
      <c r="R321" s="32">
        <f t="shared" si="33"/>
        <v>0.8928571428571429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 t="s">
        <v>2221</v>
      </c>
      <c r="AK321" s="70" t="s">
        <v>2221</v>
      </c>
      <c r="AL321" s="70" t="s">
        <v>2221</v>
      </c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</row>
    <row r="322" spans="1:49" s="73" customFormat="1" ht="15.75" thickBot="1" x14ac:dyDescent="0.3">
      <c r="A322">
        <v>10</v>
      </c>
      <c r="B322">
        <v>10</v>
      </c>
      <c r="C322"/>
      <c r="D322"/>
      <c r="E322" t="s">
        <v>2333</v>
      </c>
      <c r="F322" t="s">
        <v>40</v>
      </c>
      <c r="G322" t="s">
        <v>956</v>
      </c>
      <c r="H322" t="s">
        <v>1041</v>
      </c>
      <c r="I322" t="s">
        <v>957</v>
      </c>
      <c r="J322" s="30" t="s">
        <v>71</v>
      </c>
      <c r="K322" s="30" t="s">
        <v>27</v>
      </c>
      <c r="L322" s="30"/>
      <c r="M322" s="30" t="s">
        <v>1250</v>
      </c>
      <c r="N322" s="30"/>
      <c r="O322" s="31">
        <f t="shared" si="31"/>
        <v>28</v>
      </c>
      <c r="P322" s="136" t="s">
        <v>1864</v>
      </c>
      <c r="Q322" s="31">
        <f t="shared" si="32"/>
        <v>0</v>
      </c>
      <c r="R322" s="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/>
    </row>
    <row r="323" spans="1:49" s="73" customFormat="1" ht="15.75" thickBot="1" x14ac:dyDescent="0.3">
      <c r="A323"/>
      <c r="B323"/>
      <c r="C323"/>
      <c r="D323"/>
      <c r="E323" s="151" t="s">
        <v>2445</v>
      </c>
      <c r="F323" t="s">
        <v>274</v>
      </c>
      <c r="G323" t="s">
        <v>351</v>
      </c>
      <c r="H323" t="s">
        <v>1042</v>
      </c>
      <c r="I323" t="s">
        <v>336</v>
      </c>
      <c r="J323" s="30" t="s">
        <v>14</v>
      </c>
      <c r="K323" s="30" t="s">
        <v>1278</v>
      </c>
      <c r="L323" s="30"/>
      <c r="M323" s="30" t="s">
        <v>742</v>
      </c>
      <c r="N323" s="30"/>
      <c r="O323" s="31">
        <f t="shared" si="31"/>
        <v>27</v>
      </c>
      <c r="P323" s="136" t="s">
        <v>1872</v>
      </c>
      <c r="Q323" s="31">
        <f t="shared" si="32"/>
        <v>1</v>
      </c>
      <c r="R323" s="32">
        <f t="shared" si="33"/>
        <v>0.9642857142857143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 t="s">
        <v>2221</v>
      </c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/>
    </row>
    <row r="324" spans="1:49" s="73" customFormat="1" ht="15.75" thickBot="1" x14ac:dyDescent="0.3">
      <c r="A324"/>
      <c r="B324"/>
      <c r="C324"/>
      <c r="D324"/>
      <c r="E324" s="151" t="s">
        <v>2445</v>
      </c>
      <c r="F324" t="s">
        <v>274</v>
      </c>
      <c r="G324" t="s">
        <v>960</v>
      </c>
      <c r="H324" t="s">
        <v>1042</v>
      </c>
      <c r="I324" t="s">
        <v>961</v>
      </c>
      <c r="J324" s="30" t="s">
        <v>71</v>
      </c>
      <c r="K324" s="30" t="s">
        <v>1278</v>
      </c>
      <c r="L324" s="30"/>
      <c r="M324" s="30" t="s">
        <v>1253</v>
      </c>
      <c r="N324" s="30"/>
      <c r="O324" s="31">
        <f t="shared" si="31"/>
        <v>27</v>
      </c>
      <c r="P324" s="136" t="s">
        <v>1873</v>
      </c>
      <c r="Q324" s="31">
        <f t="shared" si="32"/>
        <v>1</v>
      </c>
      <c r="R324" s="32">
        <f t="shared" si="33"/>
        <v>0.9642857142857143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 t="s">
        <v>2221</v>
      </c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thickBot="1" x14ac:dyDescent="0.3">
      <c r="A325">
        <v>6</v>
      </c>
      <c r="B325">
        <v>12</v>
      </c>
      <c r="C325"/>
      <c r="D325"/>
      <c r="E325" t="s">
        <v>2334</v>
      </c>
      <c r="F325" t="s">
        <v>337</v>
      </c>
      <c r="G325" t="s">
        <v>962</v>
      </c>
      <c r="H325" t="s">
        <v>1042</v>
      </c>
      <c r="I325" t="s">
        <v>339</v>
      </c>
      <c r="J325" s="30" t="s">
        <v>18</v>
      </c>
      <c r="K325" s="30" t="s">
        <v>27</v>
      </c>
      <c r="L325" s="30"/>
      <c r="M325" s="30" t="s">
        <v>1254</v>
      </c>
      <c r="N325" s="30"/>
      <c r="O325" s="31">
        <f t="shared" si="31"/>
        <v>28</v>
      </c>
      <c r="P325" s="136" t="s">
        <v>1876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thickBot="1" x14ac:dyDescent="0.3">
      <c r="A326"/>
      <c r="B326"/>
      <c r="C326"/>
      <c r="D326"/>
      <c r="E326" t="s">
        <v>2446</v>
      </c>
      <c r="F326" s="73" t="s">
        <v>183</v>
      </c>
      <c r="G326" s="73" t="s">
        <v>963</v>
      </c>
      <c r="H326" s="73" t="s">
        <v>1042</v>
      </c>
      <c r="I326" s="73" t="s">
        <v>964</v>
      </c>
      <c r="J326" s="84" t="s">
        <v>71</v>
      </c>
      <c r="K326" s="84" t="s">
        <v>1278</v>
      </c>
      <c r="L326" s="84"/>
      <c r="M326" s="84" t="s">
        <v>1255</v>
      </c>
      <c r="N326" s="84"/>
      <c r="O326" s="31">
        <f t="shared" si="31"/>
        <v>10</v>
      </c>
      <c r="P326" s="136" t="s">
        <v>1878</v>
      </c>
      <c r="Q326" s="31">
        <f t="shared" si="32"/>
        <v>18</v>
      </c>
      <c r="R326" s="32">
        <f t="shared" si="33"/>
        <v>0.35714285714285715</v>
      </c>
      <c r="S326" s="70"/>
      <c r="T326" s="70"/>
      <c r="U326" s="70"/>
      <c r="V326" s="70" t="s">
        <v>2221</v>
      </c>
      <c r="W326" s="70" t="s">
        <v>2221</v>
      </c>
      <c r="X326" s="70" t="s">
        <v>2221</v>
      </c>
      <c r="Y326" s="70" t="s">
        <v>2221</v>
      </c>
      <c r="Z326" s="70" t="s">
        <v>2221</v>
      </c>
      <c r="AA326" s="70"/>
      <c r="AB326" s="70"/>
      <c r="AC326" s="70" t="s">
        <v>2221</v>
      </c>
      <c r="AD326" s="70" t="s">
        <v>2221</v>
      </c>
      <c r="AE326" s="70" t="s">
        <v>2221</v>
      </c>
      <c r="AF326" s="70" t="s">
        <v>2221</v>
      </c>
      <c r="AG326" s="70" t="s">
        <v>2221</v>
      </c>
      <c r="AH326" s="70"/>
      <c r="AI326" s="70"/>
      <c r="AJ326" s="70" t="s">
        <v>2221</v>
      </c>
      <c r="AK326" s="70" t="s">
        <v>2221</v>
      </c>
      <c r="AL326" s="70" t="s">
        <v>2221</v>
      </c>
      <c r="AM326" s="70" t="s">
        <v>2221</v>
      </c>
      <c r="AN326" s="70" t="s">
        <v>2221</v>
      </c>
      <c r="AO326" s="70"/>
      <c r="AP326" s="70"/>
      <c r="AQ326" s="70"/>
      <c r="AR326" s="70" t="s">
        <v>2221</v>
      </c>
      <c r="AS326" s="70" t="s">
        <v>2221</v>
      </c>
      <c r="AT326" s="70" t="s">
        <v>2221</v>
      </c>
      <c r="AU326" s="70"/>
      <c r="AV326" s="70"/>
    </row>
    <row r="327" spans="1:49" ht="15.75" thickBot="1" x14ac:dyDescent="0.3">
      <c r="A327"/>
      <c r="B327"/>
      <c r="C327"/>
      <c r="D327"/>
      <c r="E327"/>
      <c r="F327" s="73" t="s">
        <v>346</v>
      </c>
      <c r="G327" s="73" t="s">
        <v>1186</v>
      </c>
      <c r="H327" s="73" t="s">
        <v>1042</v>
      </c>
      <c r="I327" s="73" t="s">
        <v>1187</v>
      </c>
      <c r="J327" s="84" t="s">
        <v>14</v>
      </c>
      <c r="K327" s="84" t="s">
        <v>1278</v>
      </c>
      <c r="L327" s="84"/>
      <c r="M327" s="84" t="s">
        <v>750</v>
      </c>
      <c r="N327" s="84"/>
      <c r="O327" s="131">
        <f t="shared" si="31"/>
        <v>10</v>
      </c>
      <c r="P327" s="136" t="s">
        <v>1879</v>
      </c>
      <c r="Q327" s="131">
        <f t="shared" si="32"/>
        <v>18</v>
      </c>
      <c r="R327" s="132">
        <f t="shared" si="33"/>
        <v>0.35714285714285715</v>
      </c>
      <c r="S327" s="70"/>
      <c r="T327" s="70"/>
      <c r="U327" s="70"/>
      <c r="V327" s="70" t="s">
        <v>2221</v>
      </c>
      <c r="W327" s="70" t="s">
        <v>2221</v>
      </c>
      <c r="X327" s="70" t="s">
        <v>2221</v>
      </c>
      <c r="Y327" s="70" t="s">
        <v>2221</v>
      </c>
      <c r="Z327" s="70" t="s">
        <v>2221</v>
      </c>
      <c r="AA327" s="70"/>
      <c r="AB327" s="70"/>
      <c r="AC327" s="70" t="s">
        <v>2221</v>
      </c>
      <c r="AD327" s="70" t="s">
        <v>2221</v>
      </c>
      <c r="AE327" s="70" t="s">
        <v>2221</v>
      </c>
      <c r="AF327" s="70" t="s">
        <v>2221</v>
      </c>
      <c r="AG327" s="70" t="s">
        <v>2221</v>
      </c>
      <c r="AH327" s="70"/>
      <c r="AI327" s="70"/>
      <c r="AJ327" s="70" t="s">
        <v>2221</v>
      </c>
      <c r="AK327" s="70" t="s">
        <v>2221</v>
      </c>
      <c r="AL327" s="70" t="s">
        <v>2221</v>
      </c>
      <c r="AM327" s="70" t="s">
        <v>2221</v>
      </c>
      <c r="AN327" s="70" t="s">
        <v>2221</v>
      </c>
      <c r="AO327" s="70"/>
      <c r="AP327" s="70"/>
      <c r="AQ327" s="70"/>
      <c r="AR327" s="70" t="s">
        <v>2221</v>
      </c>
      <c r="AS327" s="70" t="s">
        <v>2221</v>
      </c>
      <c r="AT327" s="70" t="s">
        <v>2221</v>
      </c>
      <c r="AU327" s="70"/>
      <c r="AV327" s="70"/>
    </row>
    <row r="328" spans="1:49" ht="15.75" thickBot="1" x14ac:dyDescent="0.3">
      <c r="A328"/>
      <c r="B328"/>
      <c r="C328"/>
      <c r="D328"/>
      <c r="E328"/>
      <c r="F328" s="73" t="s">
        <v>346</v>
      </c>
      <c r="G328" s="73" t="s">
        <v>965</v>
      </c>
      <c r="H328" s="73" t="s">
        <v>1042</v>
      </c>
      <c r="I328" s="73" t="s">
        <v>966</v>
      </c>
      <c r="J328" s="84" t="s">
        <v>18</v>
      </c>
      <c r="K328" s="84" t="s">
        <v>1278</v>
      </c>
      <c r="L328" s="84"/>
      <c r="M328" s="84" t="s">
        <v>1256</v>
      </c>
      <c r="N328" s="84"/>
      <c r="O328" s="131">
        <f t="shared" si="31"/>
        <v>10</v>
      </c>
      <c r="P328" s="136" t="s">
        <v>1880</v>
      </c>
      <c r="Q328" s="131">
        <f t="shared" si="32"/>
        <v>18</v>
      </c>
      <c r="R328" s="132">
        <f t="shared" si="33"/>
        <v>0.35714285714285715</v>
      </c>
      <c r="S328" s="70"/>
      <c r="T328" s="70"/>
      <c r="U328" s="70"/>
      <c r="V328" s="70" t="s">
        <v>2221</v>
      </c>
      <c r="W328" s="70" t="s">
        <v>2221</v>
      </c>
      <c r="X328" s="70" t="s">
        <v>2221</v>
      </c>
      <c r="Y328" s="70" t="s">
        <v>2221</v>
      </c>
      <c r="Z328" s="70" t="s">
        <v>2221</v>
      </c>
      <c r="AA328" s="70"/>
      <c r="AB328" s="71"/>
      <c r="AC328" s="70" t="s">
        <v>2221</v>
      </c>
      <c r="AD328" s="70" t="s">
        <v>2221</v>
      </c>
      <c r="AE328" s="70" t="s">
        <v>2221</v>
      </c>
      <c r="AF328" s="70" t="s">
        <v>2221</v>
      </c>
      <c r="AG328" s="70" t="s">
        <v>2221</v>
      </c>
      <c r="AH328" s="70"/>
      <c r="AI328" s="70"/>
      <c r="AJ328" s="70" t="s">
        <v>2221</v>
      </c>
      <c r="AK328" s="70" t="s">
        <v>2221</v>
      </c>
      <c r="AL328" s="70" t="s">
        <v>2221</v>
      </c>
      <c r="AM328" s="70" t="s">
        <v>2221</v>
      </c>
      <c r="AN328" s="70" t="s">
        <v>2221</v>
      </c>
      <c r="AO328" s="70"/>
      <c r="AP328" s="70"/>
      <c r="AQ328" s="70"/>
      <c r="AR328" s="70" t="s">
        <v>2221</v>
      </c>
      <c r="AS328" s="70" t="s">
        <v>2221</v>
      </c>
      <c r="AT328" s="70" t="s">
        <v>2221</v>
      </c>
      <c r="AU328" s="70"/>
      <c r="AV328" s="70"/>
    </row>
    <row r="329" spans="1:49" ht="15.75" thickBot="1" x14ac:dyDescent="0.3">
      <c r="A329"/>
      <c r="B329"/>
      <c r="C329"/>
      <c r="D329"/>
      <c r="E329" t="s">
        <v>2445</v>
      </c>
      <c r="F329" t="s">
        <v>337</v>
      </c>
      <c r="G329" t="s">
        <v>967</v>
      </c>
      <c r="H329" t="s">
        <v>1042</v>
      </c>
      <c r="I329" t="s">
        <v>968</v>
      </c>
      <c r="J329" s="30" t="s">
        <v>71</v>
      </c>
      <c r="K329" s="30" t="s">
        <v>27</v>
      </c>
      <c r="L329" s="30"/>
      <c r="M329" s="30" t="s">
        <v>1257</v>
      </c>
      <c r="N329" s="30"/>
      <c r="O329" s="31">
        <f t="shared" ref="O329:O392" si="34">COUNTIF(S329:AT329,"")</f>
        <v>25</v>
      </c>
      <c r="P329" s="136" t="s">
        <v>1883</v>
      </c>
      <c r="Q329" s="31">
        <f t="shared" ref="Q329:Q392" si="35">COUNTIF(S329:AT329,"APAGADO")</f>
        <v>3</v>
      </c>
      <c r="R329" s="32">
        <f t="shared" ref="R329:R392" si="36">(O329)/(Q329+O329)</f>
        <v>0.8928571428571429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 t="s">
        <v>2221</v>
      </c>
      <c r="AK329" s="70" t="s">
        <v>2221</v>
      </c>
      <c r="AL329" s="70" t="s">
        <v>2221</v>
      </c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</row>
    <row r="330" spans="1:49" ht="15.75" thickBot="1" x14ac:dyDescent="0.3">
      <c r="A330">
        <v>12</v>
      </c>
      <c r="B330" t="s">
        <v>2373</v>
      </c>
      <c r="C330"/>
      <c r="D330"/>
      <c r="E330" t="s">
        <v>2372</v>
      </c>
      <c r="F330" t="s">
        <v>216</v>
      </c>
      <c r="G330" t="s">
        <v>1268</v>
      </c>
      <c r="H330" t="s">
        <v>1042</v>
      </c>
      <c r="I330" t="s">
        <v>970</v>
      </c>
      <c r="J330" s="30" t="s">
        <v>71</v>
      </c>
      <c r="K330" s="30" t="s">
        <v>27</v>
      </c>
      <c r="L330" s="30"/>
      <c r="M330" s="30" t="s">
        <v>748</v>
      </c>
      <c r="N330" s="30"/>
      <c r="O330" s="31">
        <f t="shared" si="34"/>
        <v>28</v>
      </c>
      <c r="P330" s="136" t="s">
        <v>1884</v>
      </c>
      <c r="Q330" s="31">
        <f t="shared" si="35"/>
        <v>0</v>
      </c>
      <c r="R330" s="32">
        <f t="shared" si="36"/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</row>
    <row r="331" spans="1:49" ht="15.75" thickBot="1" x14ac:dyDescent="0.3">
      <c r="A331">
        <v>12</v>
      </c>
      <c r="B331" t="s">
        <v>2373</v>
      </c>
      <c r="C331"/>
      <c r="D331"/>
      <c r="E331" t="s">
        <v>2372</v>
      </c>
      <c r="F331" t="s">
        <v>216</v>
      </c>
      <c r="G331" t="s">
        <v>1269</v>
      </c>
      <c r="H331" t="s">
        <v>1042</v>
      </c>
      <c r="I331" t="s">
        <v>970</v>
      </c>
      <c r="J331" s="30" t="s">
        <v>71</v>
      </c>
      <c r="K331" s="30" t="s">
        <v>27</v>
      </c>
      <c r="L331" s="30"/>
      <c r="M331" s="30" t="s">
        <v>740</v>
      </c>
      <c r="N331" s="30"/>
      <c r="O331" s="31">
        <f t="shared" si="34"/>
        <v>27</v>
      </c>
      <c r="P331" s="136" t="s">
        <v>1885</v>
      </c>
      <c r="Q331" s="31">
        <f t="shared" si="35"/>
        <v>1</v>
      </c>
      <c r="R331" s="32">
        <f t="shared" si="36"/>
        <v>0.9642857142857143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 t="s">
        <v>2221</v>
      </c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thickBot="1" x14ac:dyDescent="0.3">
      <c r="A332">
        <v>12</v>
      </c>
      <c r="B332" t="s">
        <v>2373</v>
      </c>
      <c r="C332"/>
      <c r="D332"/>
      <c r="E332" t="s">
        <v>2372</v>
      </c>
      <c r="F332" t="s">
        <v>216</v>
      </c>
      <c r="G332" t="s">
        <v>969</v>
      </c>
      <c r="H332" t="s">
        <v>1042</v>
      </c>
      <c r="I332" t="s">
        <v>970</v>
      </c>
      <c r="J332" s="30" t="s">
        <v>71</v>
      </c>
      <c r="K332" s="30" t="s">
        <v>27</v>
      </c>
      <c r="L332" s="30"/>
      <c r="M332" s="30" t="s">
        <v>1270</v>
      </c>
      <c r="N332" s="30"/>
      <c r="O332" s="31">
        <f t="shared" si="34"/>
        <v>28</v>
      </c>
      <c r="P332" s="136" t="s">
        <v>1886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73"/>
    </row>
    <row r="333" spans="1:49" ht="15.75" thickBot="1" x14ac:dyDescent="0.3">
      <c r="A333"/>
      <c r="B333"/>
      <c r="C333"/>
      <c r="D333"/>
      <c r="E333" t="s">
        <v>2347</v>
      </c>
      <c r="F333" t="s">
        <v>352</v>
      </c>
      <c r="G333" t="s">
        <v>353</v>
      </c>
      <c r="H333" t="s">
        <v>1042</v>
      </c>
      <c r="I333" t="s">
        <v>354</v>
      </c>
      <c r="J333" s="30" t="s">
        <v>14</v>
      </c>
      <c r="K333" s="30" t="s">
        <v>27</v>
      </c>
      <c r="L333" s="30"/>
      <c r="M333" s="30" t="s">
        <v>752</v>
      </c>
      <c r="N333" s="30"/>
      <c r="O333" s="31">
        <f t="shared" si="34"/>
        <v>27</v>
      </c>
      <c r="P333" s="136" t="s">
        <v>1887</v>
      </c>
      <c r="Q333" s="31">
        <f t="shared" si="35"/>
        <v>1</v>
      </c>
      <c r="R333" s="32">
        <f t="shared" si="36"/>
        <v>0.9642857142857143</v>
      </c>
      <c r="S333" s="70"/>
      <c r="T333" s="70"/>
      <c r="U333" s="70"/>
      <c r="V333" s="70"/>
      <c r="W333" s="70"/>
      <c r="X333" s="70"/>
      <c r="Y333" s="70"/>
      <c r="Z333" s="70" t="s">
        <v>2221</v>
      </c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9" ht="15.75" thickBot="1" x14ac:dyDescent="0.3">
      <c r="A334"/>
      <c r="B334"/>
      <c r="C334"/>
      <c r="D334"/>
      <c r="E334" t="s">
        <v>2347</v>
      </c>
      <c r="F334" t="s">
        <v>352</v>
      </c>
      <c r="G334" t="s">
        <v>971</v>
      </c>
      <c r="H334" t="s">
        <v>1042</v>
      </c>
      <c r="I334" t="s">
        <v>355</v>
      </c>
      <c r="J334" s="30" t="s">
        <v>14</v>
      </c>
      <c r="K334" s="30" t="s">
        <v>27</v>
      </c>
      <c r="L334" s="30"/>
      <c r="M334" s="30" t="s">
        <v>753</v>
      </c>
      <c r="N334" s="30"/>
      <c r="O334" s="31">
        <f t="shared" si="34"/>
        <v>28</v>
      </c>
      <c r="P334" s="136" t="s">
        <v>1888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thickBot="1" x14ac:dyDescent="0.3">
      <c r="A335"/>
      <c r="B335"/>
      <c r="C335"/>
      <c r="D335"/>
      <c r="E335" t="s">
        <v>2347</v>
      </c>
      <c r="F335" t="s">
        <v>352</v>
      </c>
      <c r="G335" t="s">
        <v>356</v>
      </c>
      <c r="H335" t="s">
        <v>1042</v>
      </c>
      <c r="I335" t="s">
        <v>357</v>
      </c>
      <c r="J335" s="30" t="s">
        <v>71</v>
      </c>
      <c r="K335" s="30" t="s">
        <v>27</v>
      </c>
      <c r="L335" s="30"/>
      <c r="M335" s="30" t="s">
        <v>754</v>
      </c>
      <c r="N335" s="30"/>
      <c r="O335" s="31">
        <f t="shared" si="34"/>
        <v>27</v>
      </c>
      <c r="P335" s="136" t="s">
        <v>1889</v>
      </c>
      <c r="Q335" s="31">
        <f t="shared" si="35"/>
        <v>1</v>
      </c>
      <c r="R335" s="32">
        <f t="shared" si="36"/>
        <v>0.9642857142857143</v>
      </c>
      <c r="S335" s="70"/>
      <c r="T335" s="70"/>
      <c r="U335" s="70"/>
      <c r="V335" s="70"/>
      <c r="W335" s="70"/>
      <c r="X335" s="70"/>
      <c r="Y335" s="70" t="s">
        <v>2221</v>
      </c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thickBot="1" x14ac:dyDescent="0.3">
      <c r="A336"/>
      <c r="B336"/>
      <c r="C336"/>
      <c r="D336"/>
      <c r="E336" t="s">
        <v>2347</v>
      </c>
      <c r="F336" t="s">
        <v>352</v>
      </c>
      <c r="G336" t="s">
        <v>358</v>
      </c>
      <c r="H336" t="s">
        <v>1042</v>
      </c>
      <c r="I336" t="s">
        <v>357</v>
      </c>
      <c r="J336" s="30" t="s">
        <v>71</v>
      </c>
      <c r="K336" s="30" t="s">
        <v>27</v>
      </c>
      <c r="L336" s="30"/>
      <c r="M336" s="30" t="s">
        <v>755</v>
      </c>
      <c r="N336" s="30"/>
      <c r="O336" s="31">
        <f t="shared" si="34"/>
        <v>27</v>
      </c>
      <c r="P336" s="136" t="s">
        <v>1890</v>
      </c>
      <c r="Q336" s="31">
        <f t="shared" si="35"/>
        <v>1</v>
      </c>
      <c r="R336" s="32">
        <f t="shared" si="36"/>
        <v>0.9642857142857143</v>
      </c>
      <c r="S336" s="70"/>
      <c r="T336" s="70"/>
      <c r="U336" s="70"/>
      <c r="V336" s="70"/>
      <c r="W336" s="70"/>
      <c r="X336" s="70"/>
      <c r="Y336" s="70" t="s">
        <v>2221</v>
      </c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thickBot="1" x14ac:dyDescent="0.3">
      <c r="A337"/>
      <c r="B337"/>
      <c r="C337"/>
      <c r="D337"/>
      <c r="E337" t="s">
        <v>2347</v>
      </c>
      <c r="F337" t="s">
        <v>352</v>
      </c>
      <c r="G337" t="s">
        <v>359</v>
      </c>
      <c r="H337" t="s">
        <v>1042</v>
      </c>
      <c r="I337" t="s">
        <v>360</v>
      </c>
      <c r="J337" s="30" t="s">
        <v>71</v>
      </c>
      <c r="K337" s="30" t="s">
        <v>27</v>
      </c>
      <c r="L337" s="30"/>
      <c r="M337" s="30" t="s">
        <v>756</v>
      </c>
      <c r="N337" s="30"/>
      <c r="O337" s="31">
        <f t="shared" si="34"/>
        <v>28</v>
      </c>
      <c r="P337" s="136" t="s">
        <v>1891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3"/>
    </row>
    <row r="338" spans="1:49" ht="15.75" thickBot="1" x14ac:dyDescent="0.3">
      <c r="A338"/>
      <c r="B338"/>
      <c r="C338"/>
      <c r="D338"/>
      <c r="E338" t="s">
        <v>2347</v>
      </c>
      <c r="F338" t="s">
        <v>352</v>
      </c>
      <c r="G338" t="s">
        <v>361</v>
      </c>
      <c r="H338" t="s">
        <v>1042</v>
      </c>
      <c r="I338" t="s">
        <v>360</v>
      </c>
      <c r="J338" s="30" t="s">
        <v>45</v>
      </c>
      <c r="K338" s="30" t="s">
        <v>27</v>
      </c>
      <c r="L338" s="30"/>
      <c r="M338" s="30" t="s">
        <v>757</v>
      </c>
      <c r="N338" s="30"/>
      <c r="O338" s="31">
        <f t="shared" si="34"/>
        <v>28</v>
      </c>
      <c r="P338" s="136" t="s">
        <v>1892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3"/>
    </row>
    <row r="339" spans="1:49" ht="15.75" thickBot="1" x14ac:dyDescent="0.3">
      <c r="A339">
        <v>2</v>
      </c>
      <c r="B339">
        <v>2</v>
      </c>
      <c r="C339"/>
      <c r="D339"/>
      <c r="E339" t="s">
        <v>2361</v>
      </c>
      <c r="F339" t="s">
        <v>352</v>
      </c>
      <c r="G339" t="s">
        <v>1312</v>
      </c>
      <c r="H339" t="s">
        <v>1041</v>
      </c>
      <c r="I339" t="s">
        <v>1313</v>
      </c>
      <c r="J339" s="30"/>
      <c r="K339" s="30" t="s">
        <v>27</v>
      </c>
      <c r="L339" s="30"/>
      <c r="M339" s="30" t="s">
        <v>1323</v>
      </c>
      <c r="N339" s="30"/>
      <c r="O339" s="31">
        <f t="shared" si="34"/>
        <v>10</v>
      </c>
      <c r="P339" s="136" t="s">
        <v>1893</v>
      </c>
      <c r="Q339" s="31">
        <f t="shared" si="35"/>
        <v>18</v>
      </c>
      <c r="R339" s="32">
        <f t="shared" si="36"/>
        <v>0.35714285714285715</v>
      </c>
      <c r="S339" s="70"/>
      <c r="T339" s="70"/>
      <c r="U339" s="70"/>
      <c r="V339" s="70" t="s">
        <v>2221</v>
      </c>
      <c r="W339" s="70" t="s">
        <v>2221</v>
      </c>
      <c r="X339" s="70" t="s">
        <v>2221</v>
      </c>
      <c r="Y339" s="70" t="s">
        <v>2221</v>
      </c>
      <c r="Z339" s="70" t="s">
        <v>2221</v>
      </c>
      <c r="AA339" s="70"/>
      <c r="AB339" s="70"/>
      <c r="AC339" s="70" t="s">
        <v>2221</v>
      </c>
      <c r="AD339" s="70" t="s">
        <v>2221</v>
      </c>
      <c r="AE339" s="70" t="s">
        <v>2221</v>
      </c>
      <c r="AF339" s="70" t="s">
        <v>2221</v>
      </c>
      <c r="AG339" s="70" t="s">
        <v>2221</v>
      </c>
      <c r="AH339" s="70"/>
      <c r="AI339" s="70"/>
      <c r="AJ339" s="70" t="s">
        <v>2221</v>
      </c>
      <c r="AK339" s="70" t="s">
        <v>2221</v>
      </c>
      <c r="AL339" s="70" t="s">
        <v>2221</v>
      </c>
      <c r="AM339" s="70" t="s">
        <v>2221</v>
      </c>
      <c r="AN339" s="70" t="s">
        <v>2221</v>
      </c>
      <c r="AO339" s="70"/>
      <c r="AP339" s="70"/>
      <c r="AQ339" s="70"/>
      <c r="AR339" s="70" t="s">
        <v>2221</v>
      </c>
      <c r="AS339" s="70" t="s">
        <v>2221</v>
      </c>
      <c r="AT339" s="70" t="s">
        <v>2221</v>
      </c>
      <c r="AU339" s="70"/>
      <c r="AV339" s="70"/>
    </row>
    <row r="340" spans="1:49" ht="15.75" thickBot="1" x14ac:dyDescent="0.3">
      <c r="A340">
        <v>2</v>
      </c>
      <c r="B340">
        <v>2</v>
      </c>
      <c r="C340"/>
      <c r="D340"/>
      <c r="E340" t="s">
        <v>2361</v>
      </c>
      <c r="F340" t="s">
        <v>352</v>
      </c>
      <c r="G340" t="s">
        <v>1355</v>
      </c>
      <c r="H340" t="s">
        <v>1042</v>
      </c>
      <c r="I340" s="68" t="s">
        <v>1358</v>
      </c>
      <c r="J340" s="30" t="s">
        <v>18</v>
      </c>
      <c r="K340" s="30" t="s">
        <v>27</v>
      </c>
      <c r="L340" s="30"/>
      <c r="M340" s="30" t="s">
        <v>1370</v>
      </c>
      <c r="N340" s="30"/>
      <c r="O340" s="31">
        <f t="shared" si="34"/>
        <v>26</v>
      </c>
      <c r="P340" s="136" t="s">
        <v>1894</v>
      </c>
      <c r="Q340" s="31">
        <f t="shared" si="35"/>
        <v>2</v>
      </c>
      <c r="R340" s="32">
        <f t="shared" si="36"/>
        <v>0.9285714285714286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 t="s">
        <v>2221</v>
      </c>
      <c r="AD340" s="70"/>
      <c r="AE340" s="70"/>
      <c r="AF340" s="70"/>
      <c r="AG340" s="70" t="s">
        <v>2221</v>
      </c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thickBot="1" x14ac:dyDescent="0.3">
      <c r="A341">
        <v>2</v>
      </c>
      <c r="B341">
        <v>2</v>
      </c>
      <c r="C341"/>
      <c r="D341"/>
      <c r="E341" t="s">
        <v>2361</v>
      </c>
      <c r="F341" t="s">
        <v>352</v>
      </c>
      <c r="G341" t="s">
        <v>1356</v>
      </c>
      <c r="H341" t="s">
        <v>1042</v>
      </c>
      <c r="I341" s="68" t="s">
        <v>1359</v>
      </c>
      <c r="J341" s="30" t="s">
        <v>71</v>
      </c>
      <c r="K341" s="30" t="s">
        <v>27</v>
      </c>
      <c r="L341" s="30"/>
      <c r="M341" s="30" t="s">
        <v>1371</v>
      </c>
      <c r="N341" s="30"/>
      <c r="O341" s="31">
        <f t="shared" si="34"/>
        <v>26</v>
      </c>
      <c r="P341" s="136" t="s">
        <v>1895</v>
      </c>
      <c r="Q341" s="31">
        <f t="shared" si="35"/>
        <v>2</v>
      </c>
      <c r="R341" s="32">
        <f t="shared" si="36"/>
        <v>0.9285714285714286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 t="s">
        <v>2221</v>
      </c>
      <c r="AD341" s="70"/>
      <c r="AE341" s="70"/>
      <c r="AF341" s="70"/>
      <c r="AG341" s="70" t="s">
        <v>2221</v>
      </c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thickBot="1" x14ac:dyDescent="0.3">
      <c r="A342">
        <v>2</v>
      </c>
      <c r="B342">
        <v>2</v>
      </c>
      <c r="C342"/>
      <c r="D342"/>
      <c r="E342" t="s">
        <v>2361</v>
      </c>
      <c r="F342" t="s">
        <v>352</v>
      </c>
      <c r="G342" t="s">
        <v>1357</v>
      </c>
      <c r="H342" t="s">
        <v>1042</v>
      </c>
      <c r="I342" s="68" t="s">
        <v>1360</v>
      </c>
      <c r="J342" s="30" t="s">
        <v>71</v>
      </c>
      <c r="K342" s="30" t="s">
        <v>27</v>
      </c>
      <c r="L342" s="30"/>
      <c r="M342" s="30" t="s">
        <v>1372</v>
      </c>
      <c r="N342" s="30"/>
      <c r="O342" s="31">
        <f t="shared" si="34"/>
        <v>26</v>
      </c>
      <c r="P342" s="136" t="s">
        <v>1896</v>
      </c>
      <c r="Q342" s="31">
        <f t="shared" si="35"/>
        <v>2</v>
      </c>
      <c r="R342" s="32">
        <f t="shared" si="36"/>
        <v>0.9285714285714286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 t="s">
        <v>2221</v>
      </c>
      <c r="AD342" s="70"/>
      <c r="AE342" s="70"/>
      <c r="AF342" s="70"/>
      <c r="AG342" s="70" t="s">
        <v>2221</v>
      </c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thickBot="1" x14ac:dyDescent="0.3">
      <c r="A343">
        <v>2</v>
      </c>
      <c r="B343">
        <v>2</v>
      </c>
      <c r="C343"/>
      <c r="D343"/>
      <c r="E343" t="s">
        <v>2361</v>
      </c>
      <c r="F343" t="s">
        <v>352</v>
      </c>
      <c r="G343" t="s">
        <v>2193</v>
      </c>
      <c r="H343" t="s">
        <v>1042</v>
      </c>
      <c r="I343" s="68" t="s">
        <v>2179</v>
      </c>
      <c r="J343" s="84" t="s">
        <v>14</v>
      </c>
      <c r="K343" s="30" t="s">
        <v>27</v>
      </c>
      <c r="L343" s="30"/>
      <c r="M343" s="30" t="s">
        <v>2194</v>
      </c>
      <c r="N343" s="30"/>
      <c r="O343" s="31">
        <f t="shared" si="34"/>
        <v>26</v>
      </c>
      <c r="P343" s="136" t="s">
        <v>2180</v>
      </c>
      <c r="Q343" s="31">
        <f t="shared" si="35"/>
        <v>2</v>
      </c>
      <c r="R343" s="32">
        <f t="shared" si="36"/>
        <v>0.9285714285714286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 t="s">
        <v>2221</v>
      </c>
      <c r="AD343" s="70"/>
      <c r="AE343" s="70"/>
      <c r="AF343" s="70"/>
      <c r="AG343" s="70" t="s">
        <v>2221</v>
      </c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thickBot="1" x14ac:dyDescent="0.3">
      <c r="A344">
        <v>2</v>
      </c>
      <c r="B344">
        <v>2</v>
      </c>
      <c r="C344"/>
      <c r="D344"/>
      <c r="E344" t="s">
        <v>2361</v>
      </c>
      <c r="F344" t="s">
        <v>352</v>
      </c>
      <c r="G344" t="s">
        <v>2181</v>
      </c>
      <c r="H344" t="s">
        <v>1042</v>
      </c>
      <c r="I344" s="68" t="s">
        <v>2182</v>
      </c>
      <c r="J344" s="84" t="s">
        <v>14</v>
      </c>
      <c r="K344" s="30" t="s">
        <v>27</v>
      </c>
      <c r="L344" s="30"/>
      <c r="M344" s="30" t="s">
        <v>2284</v>
      </c>
      <c r="N344" s="30"/>
      <c r="O344" s="31">
        <f t="shared" si="34"/>
        <v>26</v>
      </c>
      <c r="P344" s="136" t="s">
        <v>2183</v>
      </c>
      <c r="Q344" s="31">
        <f t="shared" si="35"/>
        <v>2</v>
      </c>
      <c r="R344" s="32">
        <f t="shared" si="36"/>
        <v>0.9285714285714286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 t="s">
        <v>2221</v>
      </c>
      <c r="AD344" s="70"/>
      <c r="AE344" s="70"/>
      <c r="AF344" s="70"/>
      <c r="AG344" s="70" t="s">
        <v>2221</v>
      </c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s="73" customFormat="1" ht="15.75" thickBot="1" x14ac:dyDescent="0.3">
      <c r="A345"/>
      <c r="B345"/>
      <c r="C345"/>
      <c r="D345"/>
      <c r="E345" t="s">
        <v>2347</v>
      </c>
      <c r="F345" t="s">
        <v>362</v>
      </c>
      <c r="G345" t="s">
        <v>972</v>
      </c>
      <c r="H345" t="s">
        <v>1042</v>
      </c>
      <c r="I345" t="s">
        <v>368</v>
      </c>
      <c r="J345" s="30" t="s">
        <v>14</v>
      </c>
      <c r="K345" s="30" t="s">
        <v>27</v>
      </c>
      <c r="L345" s="30"/>
      <c r="M345" s="30" t="s">
        <v>762</v>
      </c>
      <c r="N345" s="30"/>
      <c r="O345" s="31">
        <f t="shared" si="34"/>
        <v>28</v>
      </c>
      <c r="P345" s="136" t="s">
        <v>1901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/>
    </row>
    <row r="346" spans="1:49" ht="15.75" thickBot="1" x14ac:dyDescent="0.3">
      <c r="A346"/>
      <c r="B346"/>
      <c r="C346"/>
      <c r="D346"/>
      <c r="E346" t="s">
        <v>2347</v>
      </c>
      <c r="F346" t="s">
        <v>362</v>
      </c>
      <c r="G346" t="s">
        <v>973</v>
      </c>
      <c r="H346" t="s">
        <v>1042</v>
      </c>
      <c r="I346" t="s">
        <v>974</v>
      </c>
      <c r="J346" s="30" t="s">
        <v>18</v>
      </c>
      <c r="K346" s="30" t="s">
        <v>27</v>
      </c>
      <c r="L346" s="30"/>
      <c r="M346" s="30" t="s">
        <v>887</v>
      </c>
      <c r="N346" s="30"/>
      <c r="O346" s="31">
        <f t="shared" si="34"/>
        <v>24</v>
      </c>
      <c r="P346" s="136" t="s">
        <v>1902</v>
      </c>
      <c r="Q346" s="31">
        <f t="shared" si="35"/>
        <v>4</v>
      </c>
      <c r="R346" s="32">
        <f t="shared" si="36"/>
        <v>0.8571428571428571</v>
      </c>
      <c r="S346" s="70"/>
      <c r="T346" s="70"/>
      <c r="U346" s="70"/>
      <c r="V346" s="70"/>
      <c r="W346" s="70"/>
      <c r="X346" s="70"/>
      <c r="Y346" s="70" t="s">
        <v>2221</v>
      </c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 t="s">
        <v>2221</v>
      </c>
      <c r="AL346" s="70"/>
      <c r="AM346" s="70"/>
      <c r="AN346" s="70"/>
      <c r="AO346" s="70"/>
      <c r="AP346" s="70"/>
      <c r="AQ346" s="70"/>
      <c r="AR346" s="70" t="s">
        <v>2221</v>
      </c>
      <c r="AS346" s="70" t="s">
        <v>2221</v>
      </c>
      <c r="AT346" s="70"/>
      <c r="AU346" s="70"/>
      <c r="AV346" s="70"/>
      <c r="AW346" s="69"/>
    </row>
    <row r="347" spans="1:49" ht="15.75" thickBot="1" x14ac:dyDescent="0.3">
      <c r="A347"/>
      <c r="B347"/>
      <c r="C347"/>
      <c r="D347"/>
      <c r="E347" t="s">
        <v>2347</v>
      </c>
      <c r="F347" t="s">
        <v>362</v>
      </c>
      <c r="G347" t="s">
        <v>975</v>
      </c>
      <c r="H347" t="s">
        <v>1042</v>
      </c>
      <c r="I347" t="s">
        <v>976</v>
      </c>
      <c r="J347" s="30" t="s">
        <v>18</v>
      </c>
      <c r="K347" s="30" t="s">
        <v>27</v>
      </c>
      <c r="L347" s="30"/>
      <c r="M347" s="30" t="s">
        <v>888</v>
      </c>
      <c r="N347" s="30"/>
      <c r="O347" s="31">
        <f t="shared" si="34"/>
        <v>26</v>
      </c>
      <c r="P347" s="136" t="s">
        <v>1903</v>
      </c>
      <c r="Q347" s="31">
        <f t="shared" si="35"/>
        <v>2</v>
      </c>
      <c r="R347" s="32">
        <f t="shared" si="36"/>
        <v>0.9285714285714286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 t="s">
        <v>2221</v>
      </c>
      <c r="AS347" s="70" t="s">
        <v>2221</v>
      </c>
      <c r="AT347" s="70"/>
      <c r="AU347" s="70"/>
      <c r="AV347" s="70"/>
      <c r="AW347" s="69"/>
    </row>
    <row r="348" spans="1:49" ht="15.75" thickBot="1" x14ac:dyDescent="0.3">
      <c r="A348"/>
      <c r="B348"/>
      <c r="C348"/>
      <c r="D348"/>
      <c r="E348" t="s">
        <v>2347</v>
      </c>
      <c r="F348" t="s">
        <v>362</v>
      </c>
      <c r="G348" t="s">
        <v>977</v>
      </c>
      <c r="H348" t="s">
        <v>1042</v>
      </c>
      <c r="I348" t="s">
        <v>978</v>
      </c>
      <c r="J348" s="30" t="s">
        <v>18</v>
      </c>
      <c r="K348" s="30" t="s">
        <v>27</v>
      </c>
      <c r="L348" s="30"/>
      <c r="M348" s="30" t="s">
        <v>889</v>
      </c>
      <c r="N348" s="30"/>
      <c r="O348" s="31">
        <f t="shared" si="34"/>
        <v>25</v>
      </c>
      <c r="P348" s="136" t="s">
        <v>1904</v>
      </c>
      <c r="Q348" s="31">
        <f t="shared" si="35"/>
        <v>3</v>
      </c>
      <c r="R348" s="32">
        <f t="shared" si="36"/>
        <v>0.8928571428571429</v>
      </c>
      <c r="S348" s="70"/>
      <c r="T348" s="70"/>
      <c r="U348" s="70"/>
      <c r="V348" s="70"/>
      <c r="W348" s="70"/>
      <c r="X348" s="70"/>
      <c r="Y348" s="70" t="s">
        <v>2221</v>
      </c>
      <c r="Z348" s="70"/>
      <c r="AA348" s="70"/>
      <c r="AB348" s="70"/>
      <c r="AC348" s="70"/>
      <c r="AD348" s="70"/>
      <c r="AE348" s="70"/>
      <c r="AF348" s="70"/>
      <c r="AG348" s="70"/>
      <c r="AH348" s="70"/>
      <c r="AI348" s="138"/>
      <c r="AJ348" s="70"/>
      <c r="AK348" s="70"/>
      <c r="AL348" s="70"/>
      <c r="AM348" s="70"/>
      <c r="AN348" s="70"/>
      <c r="AO348" s="70"/>
      <c r="AP348" s="70"/>
      <c r="AQ348" s="70"/>
      <c r="AR348" s="70" t="s">
        <v>2221</v>
      </c>
      <c r="AS348" s="70" t="s">
        <v>2221</v>
      </c>
      <c r="AT348" s="70"/>
      <c r="AU348" s="70"/>
      <c r="AV348" s="70"/>
    </row>
    <row r="349" spans="1:49" ht="15.75" thickBot="1" x14ac:dyDescent="0.3">
      <c r="A349"/>
      <c r="B349"/>
      <c r="C349"/>
      <c r="D349"/>
      <c r="E349" t="s">
        <v>2347</v>
      </c>
      <c r="F349" t="s">
        <v>362</v>
      </c>
      <c r="G349" t="s">
        <v>979</v>
      </c>
      <c r="H349" t="s">
        <v>1042</v>
      </c>
      <c r="I349" t="s">
        <v>980</v>
      </c>
      <c r="J349" s="30" t="s">
        <v>18</v>
      </c>
      <c r="K349" s="30" t="s">
        <v>27</v>
      </c>
      <c r="L349" s="30"/>
      <c r="M349" s="30" t="s">
        <v>890</v>
      </c>
      <c r="N349" s="30"/>
      <c r="O349" s="31">
        <f t="shared" si="34"/>
        <v>25</v>
      </c>
      <c r="P349" s="136" t="s">
        <v>1905</v>
      </c>
      <c r="Q349" s="31">
        <f t="shared" si="35"/>
        <v>3</v>
      </c>
      <c r="R349" s="32">
        <f t="shared" si="36"/>
        <v>0.8928571428571429</v>
      </c>
      <c r="S349" s="70"/>
      <c r="T349" s="70"/>
      <c r="U349" s="70"/>
      <c r="V349" s="70"/>
      <c r="W349" s="70"/>
      <c r="X349" s="70"/>
      <c r="Y349" s="70" t="s">
        <v>2221</v>
      </c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 t="s">
        <v>2221</v>
      </c>
      <c r="AS349" s="70" t="s">
        <v>2221</v>
      </c>
      <c r="AT349" s="70"/>
      <c r="AU349" s="70"/>
      <c r="AV349" s="70"/>
      <c r="AW349" s="88"/>
    </row>
    <row r="350" spans="1:49" ht="15.75" thickBot="1" x14ac:dyDescent="0.3">
      <c r="A350"/>
      <c r="B350"/>
      <c r="C350"/>
      <c r="D350"/>
      <c r="E350" t="s">
        <v>2347</v>
      </c>
      <c r="F350" t="s">
        <v>362</v>
      </c>
      <c r="G350" t="s">
        <v>1151</v>
      </c>
      <c r="H350" t="s">
        <v>1042</v>
      </c>
      <c r="I350" t="s">
        <v>1134</v>
      </c>
      <c r="J350" s="30" t="s">
        <v>18</v>
      </c>
      <c r="K350" s="30" t="s">
        <v>27</v>
      </c>
      <c r="L350" s="30"/>
      <c r="M350" s="30" t="s">
        <v>1136</v>
      </c>
      <c r="N350" s="30"/>
      <c r="O350" s="31">
        <f t="shared" si="34"/>
        <v>27</v>
      </c>
      <c r="P350" s="136" t="s">
        <v>1906</v>
      </c>
      <c r="Q350" s="31">
        <f t="shared" si="35"/>
        <v>1</v>
      </c>
      <c r="R350" s="32">
        <f t="shared" si="36"/>
        <v>0.9642857142857143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 t="s">
        <v>2221</v>
      </c>
      <c r="AT350" s="70"/>
      <c r="AU350" s="70"/>
      <c r="AV350" s="70"/>
    </row>
    <row r="351" spans="1:49" ht="15.75" thickBot="1" x14ac:dyDescent="0.3">
      <c r="A351"/>
      <c r="B351"/>
      <c r="C351"/>
      <c r="D351"/>
      <c r="E351" t="s">
        <v>2347</v>
      </c>
      <c r="F351" t="s">
        <v>362</v>
      </c>
      <c r="G351" t="s">
        <v>1152</v>
      </c>
      <c r="H351" t="s">
        <v>1042</v>
      </c>
      <c r="I351" t="s">
        <v>1134</v>
      </c>
      <c r="J351" s="30" t="s">
        <v>18</v>
      </c>
      <c r="K351" s="30" t="s">
        <v>27</v>
      </c>
      <c r="L351" s="30"/>
      <c r="M351" s="30" t="s">
        <v>1137</v>
      </c>
      <c r="N351" s="30"/>
      <c r="O351" s="31">
        <f t="shared" si="34"/>
        <v>27</v>
      </c>
      <c r="P351" s="136" t="s">
        <v>1907</v>
      </c>
      <c r="Q351" s="31">
        <f t="shared" si="35"/>
        <v>1</v>
      </c>
      <c r="R351" s="32">
        <f t="shared" si="36"/>
        <v>0.9642857142857143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83"/>
      <c r="AR351" s="70"/>
      <c r="AS351" s="70" t="s">
        <v>2221</v>
      </c>
      <c r="AT351" s="70"/>
      <c r="AU351" s="70"/>
      <c r="AV351" s="70"/>
    </row>
    <row r="352" spans="1:49" ht="15.75" thickBot="1" x14ac:dyDescent="0.3">
      <c r="A352"/>
      <c r="B352"/>
      <c r="C352"/>
      <c r="D352"/>
      <c r="E352" t="s">
        <v>2347</v>
      </c>
      <c r="F352" t="s">
        <v>362</v>
      </c>
      <c r="G352" t="s">
        <v>1170</v>
      </c>
      <c r="H352" t="s">
        <v>1042</v>
      </c>
      <c r="I352" t="s">
        <v>1133</v>
      </c>
      <c r="J352" s="30" t="s">
        <v>14</v>
      </c>
      <c r="K352" s="30" t="s">
        <v>27</v>
      </c>
      <c r="L352" s="30"/>
      <c r="M352" s="30" t="s">
        <v>1135</v>
      </c>
      <c r="N352" s="30"/>
      <c r="O352" s="31">
        <f t="shared" si="34"/>
        <v>28</v>
      </c>
      <c r="P352" s="136" t="s">
        <v>1908</v>
      </c>
      <c r="Q352" s="31">
        <f t="shared" si="35"/>
        <v>0</v>
      </c>
      <c r="R352" s="32">
        <f t="shared" si="36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1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</row>
    <row r="353" spans="1:49" ht="15.75" thickBot="1" x14ac:dyDescent="0.3">
      <c r="A353"/>
      <c r="B353"/>
      <c r="C353"/>
      <c r="D353"/>
      <c r="E353" t="s">
        <v>2347</v>
      </c>
      <c r="F353" t="s">
        <v>362</v>
      </c>
      <c r="G353" t="s">
        <v>1273</v>
      </c>
      <c r="H353" t="s">
        <v>1042</v>
      </c>
      <c r="I353" t="s">
        <v>1274</v>
      </c>
      <c r="J353" s="30" t="s">
        <v>71</v>
      </c>
      <c r="K353" s="30" t="s">
        <v>27</v>
      </c>
      <c r="L353" s="30"/>
      <c r="M353" s="30" t="s">
        <v>1455</v>
      </c>
      <c r="N353" s="30"/>
      <c r="O353" s="31">
        <f t="shared" si="34"/>
        <v>28</v>
      </c>
      <c r="P353" s="136" t="s">
        <v>1909</v>
      </c>
      <c r="Q353" s="31">
        <f t="shared" si="35"/>
        <v>0</v>
      </c>
      <c r="R353" s="32">
        <f t="shared" si="36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thickBot="1" x14ac:dyDescent="0.3">
      <c r="A354"/>
      <c r="B354"/>
      <c r="C354"/>
      <c r="D354"/>
      <c r="E354" t="s">
        <v>2347</v>
      </c>
      <c r="F354" t="s">
        <v>362</v>
      </c>
      <c r="G354" t="s">
        <v>1361</v>
      </c>
      <c r="H354" t="s">
        <v>1042</v>
      </c>
      <c r="I354" s="68" t="s">
        <v>1364</v>
      </c>
      <c r="J354" s="30" t="s">
        <v>14</v>
      </c>
      <c r="K354" s="30" t="s">
        <v>1035</v>
      </c>
      <c r="L354" s="30"/>
      <c r="M354" s="30" t="s">
        <v>1368</v>
      </c>
      <c r="N354" s="30"/>
      <c r="O354" s="31">
        <f t="shared" si="34"/>
        <v>10</v>
      </c>
      <c r="P354" s="136"/>
      <c r="Q354" s="31">
        <f t="shared" si="35"/>
        <v>18</v>
      </c>
      <c r="R354" s="32">
        <f t="shared" si="36"/>
        <v>0.35714285714285715</v>
      </c>
      <c r="S354" s="70"/>
      <c r="T354" s="70"/>
      <c r="U354" s="70"/>
      <c r="V354" s="70" t="s">
        <v>2221</v>
      </c>
      <c r="W354" s="70" t="s">
        <v>2221</v>
      </c>
      <c r="X354" s="70" t="s">
        <v>2221</v>
      </c>
      <c r="Y354" s="70" t="s">
        <v>2221</v>
      </c>
      <c r="Z354" s="70" t="s">
        <v>2221</v>
      </c>
      <c r="AA354" s="70"/>
      <c r="AB354" s="70"/>
      <c r="AC354" s="70" t="s">
        <v>2221</v>
      </c>
      <c r="AD354" s="70" t="s">
        <v>2221</v>
      </c>
      <c r="AE354" s="70" t="s">
        <v>2221</v>
      </c>
      <c r="AF354" s="70" t="s">
        <v>2221</v>
      </c>
      <c r="AG354" s="70" t="s">
        <v>2221</v>
      </c>
      <c r="AH354" s="70"/>
      <c r="AI354" s="70"/>
      <c r="AJ354" s="70" t="s">
        <v>2221</v>
      </c>
      <c r="AK354" s="70" t="s">
        <v>2221</v>
      </c>
      <c r="AL354" s="70" t="s">
        <v>2221</v>
      </c>
      <c r="AM354" s="70" t="s">
        <v>2221</v>
      </c>
      <c r="AN354" s="70" t="s">
        <v>2221</v>
      </c>
      <c r="AO354" s="70"/>
      <c r="AP354" s="70"/>
      <c r="AQ354" s="70"/>
      <c r="AR354" s="70" t="s">
        <v>2221</v>
      </c>
      <c r="AS354" s="70" t="s">
        <v>2221</v>
      </c>
      <c r="AT354" s="70" t="s">
        <v>2221</v>
      </c>
      <c r="AU354" s="70"/>
      <c r="AV354" s="70"/>
    </row>
    <row r="355" spans="1:49" ht="15.75" thickBot="1" x14ac:dyDescent="0.3">
      <c r="A355"/>
      <c r="B355"/>
      <c r="C355"/>
      <c r="D355"/>
      <c r="E355" t="s">
        <v>2347</v>
      </c>
      <c r="F355" t="s">
        <v>362</v>
      </c>
      <c r="G355" t="s">
        <v>1362</v>
      </c>
      <c r="H355" t="s">
        <v>1042</v>
      </c>
      <c r="I355" s="68" t="s">
        <v>1365</v>
      </c>
      <c r="J355" s="30" t="s">
        <v>71</v>
      </c>
      <c r="K355" s="30" t="s">
        <v>1035</v>
      </c>
      <c r="L355" s="30"/>
      <c r="M355" s="30" t="s">
        <v>1369</v>
      </c>
      <c r="N355" s="30"/>
      <c r="O355" s="31">
        <f t="shared" si="34"/>
        <v>10</v>
      </c>
      <c r="P355" s="136"/>
      <c r="Q355" s="31">
        <f t="shared" si="35"/>
        <v>18</v>
      </c>
      <c r="R355" s="32">
        <f t="shared" si="36"/>
        <v>0.35714285714285715</v>
      </c>
      <c r="S355" s="70"/>
      <c r="T355" s="70"/>
      <c r="U355" s="70"/>
      <c r="V355" s="70" t="s">
        <v>2221</v>
      </c>
      <c r="W355" s="70" t="s">
        <v>2221</v>
      </c>
      <c r="X355" s="70" t="s">
        <v>2221</v>
      </c>
      <c r="Y355" s="70" t="s">
        <v>2221</v>
      </c>
      <c r="Z355" s="70" t="s">
        <v>2221</v>
      </c>
      <c r="AA355" s="70"/>
      <c r="AB355" s="70"/>
      <c r="AC355" s="70" t="s">
        <v>2221</v>
      </c>
      <c r="AD355" s="70" t="s">
        <v>2221</v>
      </c>
      <c r="AE355" s="70" t="s">
        <v>2221</v>
      </c>
      <c r="AF355" s="70" t="s">
        <v>2221</v>
      </c>
      <c r="AG355" s="70" t="s">
        <v>2221</v>
      </c>
      <c r="AH355" s="70"/>
      <c r="AI355" s="70"/>
      <c r="AJ355" s="70" t="s">
        <v>2221</v>
      </c>
      <c r="AK355" s="70" t="s">
        <v>2221</v>
      </c>
      <c r="AL355" s="70" t="s">
        <v>2221</v>
      </c>
      <c r="AM355" s="70" t="s">
        <v>2221</v>
      </c>
      <c r="AN355" s="70" t="s">
        <v>2221</v>
      </c>
      <c r="AO355" s="70"/>
      <c r="AP355" s="70"/>
      <c r="AQ355" s="70"/>
      <c r="AR355" s="70" t="s">
        <v>2221</v>
      </c>
      <c r="AS355" s="70" t="s">
        <v>2221</v>
      </c>
      <c r="AT355" s="70" t="s">
        <v>2221</v>
      </c>
      <c r="AU355" s="70"/>
      <c r="AV355" s="70"/>
    </row>
    <row r="356" spans="1:49" ht="15.75" thickBot="1" x14ac:dyDescent="0.3">
      <c r="A356"/>
      <c r="B356"/>
      <c r="C356"/>
      <c r="D356"/>
      <c r="E356" t="s">
        <v>2347</v>
      </c>
      <c r="F356" t="s">
        <v>362</v>
      </c>
      <c r="G356" t="s">
        <v>1363</v>
      </c>
      <c r="H356" t="s">
        <v>1042</v>
      </c>
      <c r="I356" s="68" t="s">
        <v>1366</v>
      </c>
      <c r="J356" s="30" t="s">
        <v>14</v>
      </c>
      <c r="K356" s="30" t="s">
        <v>27</v>
      </c>
      <c r="L356" s="30"/>
      <c r="M356" s="30" t="s">
        <v>1472</v>
      </c>
      <c r="N356" s="30"/>
      <c r="O356" s="31">
        <f t="shared" si="34"/>
        <v>10</v>
      </c>
      <c r="P356" s="136" t="s">
        <v>1910</v>
      </c>
      <c r="Q356" s="31">
        <f t="shared" si="35"/>
        <v>18</v>
      </c>
      <c r="R356" s="32">
        <f t="shared" si="36"/>
        <v>0.35714285714285715</v>
      </c>
      <c r="S356" s="70"/>
      <c r="T356" s="70"/>
      <c r="U356" s="70"/>
      <c r="V356" s="70" t="s">
        <v>2221</v>
      </c>
      <c r="W356" s="70" t="s">
        <v>2221</v>
      </c>
      <c r="X356" s="70" t="s">
        <v>2221</v>
      </c>
      <c r="Y356" s="70" t="s">
        <v>2221</v>
      </c>
      <c r="Z356" s="70" t="s">
        <v>2221</v>
      </c>
      <c r="AA356" s="70"/>
      <c r="AB356" s="70"/>
      <c r="AC356" s="70" t="s">
        <v>2221</v>
      </c>
      <c r="AD356" s="70" t="s">
        <v>2221</v>
      </c>
      <c r="AE356" s="70" t="s">
        <v>2221</v>
      </c>
      <c r="AF356" s="70" t="s">
        <v>2221</v>
      </c>
      <c r="AG356" s="70" t="s">
        <v>2221</v>
      </c>
      <c r="AH356" s="70"/>
      <c r="AI356" s="70"/>
      <c r="AJ356" s="70" t="s">
        <v>2221</v>
      </c>
      <c r="AK356" s="70" t="s">
        <v>2221</v>
      </c>
      <c r="AL356" s="70" t="s">
        <v>2221</v>
      </c>
      <c r="AM356" s="70" t="s">
        <v>2221</v>
      </c>
      <c r="AN356" s="70" t="s">
        <v>2221</v>
      </c>
      <c r="AO356" s="70"/>
      <c r="AP356" s="70"/>
      <c r="AQ356" s="70"/>
      <c r="AR356" s="70" t="s">
        <v>2221</v>
      </c>
      <c r="AS356" s="70" t="s">
        <v>2221</v>
      </c>
      <c r="AT356" s="70" t="s">
        <v>2221</v>
      </c>
      <c r="AU356" s="70"/>
      <c r="AV356" s="70"/>
    </row>
    <row r="357" spans="1:49" ht="15.75" thickBot="1" x14ac:dyDescent="0.3">
      <c r="A357"/>
      <c r="B357"/>
      <c r="C357"/>
      <c r="D357"/>
      <c r="E357" t="s">
        <v>2347</v>
      </c>
      <c r="F357" s="73" t="s">
        <v>362</v>
      </c>
      <c r="G357" s="73" t="s">
        <v>981</v>
      </c>
      <c r="H357" s="73" t="s">
        <v>1042</v>
      </c>
      <c r="I357" s="73" t="s">
        <v>363</v>
      </c>
      <c r="J357" s="84" t="s">
        <v>14</v>
      </c>
      <c r="K357" s="84" t="s">
        <v>27</v>
      </c>
      <c r="L357" s="84"/>
      <c r="M357" s="84" t="s">
        <v>758</v>
      </c>
      <c r="N357" s="84"/>
      <c r="O357" s="85">
        <f t="shared" si="34"/>
        <v>28</v>
      </c>
      <c r="P357" s="136" t="s">
        <v>1897</v>
      </c>
      <c r="Q357" s="85">
        <f t="shared" si="35"/>
        <v>0</v>
      </c>
      <c r="R357" s="86">
        <f t="shared" si="36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thickBot="1" x14ac:dyDescent="0.3">
      <c r="A358"/>
      <c r="B358"/>
      <c r="C358"/>
      <c r="D358"/>
      <c r="E358" t="s">
        <v>2347</v>
      </c>
      <c r="F358" t="s">
        <v>362</v>
      </c>
      <c r="G358" t="s">
        <v>982</v>
      </c>
      <c r="H358" t="s">
        <v>1042</v>
      </c>
      <c r="I358" t="s">
        <v>364</v>
      </c>
      <c r="J358" s="30" t="s">
        <v>14</v>
      </c>
      <c r="K358" s="30" t="s">
        <v>27</v>
      </c>
      <c r="L358" s="30"/>
      <c r="M358" s="30" t="s">
        <v>761</v>
      </c>
      <c r="N358" s="30"/>
      <c r="O358" s="31">
        <f t="shared" si="34"/>
        <v>28</v>
      </c>
      <c r="P358" s="136" t="s">
        <v>1898</v>
      </c>
      <c r="Q358" s="31">
        <f t="shared" si="35"/>
        <v>0</v>
      </c>
      <c r="R358" s="32">
        <f t="shared" si="36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2347</v>
      </c>
      <c r="F359" t="s">
        <v>362</v>
      </c>
      <c r="G359" t="s">
        <v>365</v>
      </c>
      <c r="H359" t="s">
        <v>1042</v>
      </c>
      <c r="I359" t="s">
        <v>366</v>
      </c>
      <c r="J359" s="30" t="s">
        <v>71</v>
      </c>
      <c r="K359" s="30" t="s">
        <v>27</v>
      </c>
      <c r="L359" s="30"/>
      <c r="M359" s="30" t="s">
        <v>759</v>
      </c>
      <c r="N359" s="30"/>
      <c r="O359" s="31">
        <f t="shared" si="34"/>
        <v>10</v>
      </c>
      <c r="P359" s="136" t="s">
        <v>1899</v>
      </c>
      <c r="Q359" s="31">
        <f t="shared" si="35"/>
        <v>18</v>
      </c>
      <c r="R359" s="32">
        <f t="shared" si="36"/>
        <v>0.35714285714285715</v>
      </c>
      <c r="S359" s="70"/>
      <c r="T359" s="70"/>
      <c r="U359" s="70"/>
      <c r="V359" s="70" t="s">
        <v>2221</v>
      </c>
      <c r="W359" s="70" t="s">
        <v>2221</v>
      </c>
      <c r="X359" s="70" t="s">
        <v>2221</v>
      </c>
      <c r="Y359" s="70" t="s">
        <v>2221</v>
      </c>
      <c r="Z359" s="70" t="s">
        <v>2221</v>
      </c>
      <c r="AA359" s="70"/>
      <c r="AB359" s="70"/>
      <c r="AC359" s="70" t="s">
        <v>2221</v>
      </c>
      <c r="AD359" s="70" t="s">
        <v>2221</v>
      </c>
      <c r="AE359" s="70" t="s">
        <v>2221</v>
      </c>
      <c r="AF359" s="70" t="s">
        <v>2221</v>
      </c>
      <c r="AG359" s="70" t="s">
        <v>2221</v>
      </c>
      <c r="AH359" s="70"/>
      <c r="AI359" s="70"/>
      <c r="AJ359" s="70" t="s">
        <v>2221</v>
      </c>
      <c r="AK359" s="70" t="s">
        <v>2221</v>
      </c>
      <c r="AL359" s="70" t="s">
        <v>2221</v>
      </c>
      <c r="AM359" s="70" t="s">
        <v>2221</v>
      </c>
      <c r="AN359" s="70" t="s">
        <v>2221</v>
      </c>
      <c r="AO359" s="70"/>
      <c r="AP359" s="70"/>
      <c r="AQ359" s="70"/>
      <c r="AR359" s="70" t="s">
        <v>2221</v>
      </c>
      <c r="AS359" s="70" t="s">
        <v>2221</v>
      </c>
      <c r="AT359" s="70" t="s">
        <v>2221</v>
      </c>
      <c r="AU359" s="70"/>
      <c r="AV359" s="70"/>
    </row>
    <row r="360" spans="1:49" ht="15.75" thickBot="1" x14ac:dyDescent="0.3">
      <c r="A360"/>
      <c r="B360"/>
      <c r="C360"/>
      <c r="D360"/>
      <c r="E360" t="s">
        <v>2347</v>
      </c>
      <c r="F360" t="s">
        <v>362</v>
      </c>
      <c r="G360" t="s">
        <v>367</v>
      </c>
      <c r="H360" t="s">
        <v>1042</v>
      </c>
      <c r="I360" t="s">
        <v>366</v>
      </c>
      <c r="J360" s="30" t="s">
        <v>71</v>
      </c>
      <c r="K360" s="30" t="s">
        <v>27</v>
      </c>
      <c r="L360" s="30"/>
      <c r="M360" s="30" t="s">
        <v>760</v>
      </c>
      <c r="N360" s="30"/>
      <c r="O360" s="31">
        <f t="shared" si="34"/>
        <v>10</v>
      </c>
      <c r="P360" s="136" t="s">
        <v>1900</v>
      </c>
      <c r="Q360" s="31">
        <f t="shared" si="35"/>
        <v>18</v>
      </c>
      <c r="R360" s="32">
        <f t="shared" si="36"/>
        <v>0.35714285714285715</v>
      </c>
      <c r="S360" s="70"/>
      <c r="T360" s="70"/>
      <c r="U360" s="70"/>
      <c r="V360" s="70" t="s">
        <v>2221</v>
      </c>
      <c r="W360" s="70" t="s">
        <v>2221</v>
      </c>
      <c r="X360" s="70" t="s">
        <v>2221</v>
      </c>
      <c r="Y360" s="70" t="s">
        <v>2221</v>
      </c>
      <c r="Z360" s="70" t="s">
        <v>2221</v>
      </c>
      <c r="AA360" s="70"/>
      <c r="AB360" s="70"/>
      <c r="AC360" s="70" t="s">
        <v>2221</v>
      </c>
      <c r="AD360" s="70" t="s">
        <v>2221</v>
      </c>
      <c r="AE360" s="70" t="s">
        <v>2221</v>
      </c>
      <c r="AF360" s="70" t="s">
        <v>2221</v>
      </c>
      <c r="AG360" s="70" t="s">
        <v>2221</v>
      </c>
      <c r="AH360" s="70"/>
      <c r="AI360" s="70"/>
      <c r="AJ360" s="70" t="s">
        <v>2221</v>
      </c>
      <c r="AK360" s="70" t="s">
        <v>2221</v>
      </c>
      <c r="AL360" s="70" t="s">
        <v>2221</v>
      </c>
      <c r="AM360" s="70" t="s">
        <v>2221</v>
      </c>
      <c r="AN360" s="70" t="s">
        <v>2221</v>
      </c>
      <c r="AO360" s="70"/>
      <c r="AP360" s="70"/>
      <c r="AQ360" s="70"/>
      <c r="AR360" s="70" t="s">
        <v>2221</v>
      </c>
      <c r="AS360" s="70" t="s">
        <v>2221</v>
      </c>
      <c r="AT360" s="70" t="s">
        <v>2221</v>
      </c>
      <c r="AU360" s="70"/>
      <c r="AV360" s="70"/>
    </row>
    <row r="361" spans="1:49" s="73" customFormat="1" ht="15.75" thickBot="1" x14ac:dyDescent="0.3">
      <c r="A361"/>
      <c r="B361"/>
      <c r="C361"/>
      <c r="D361"/>
      <c r="E361"/>
      <c r="F361" s="73" t="s">
        <v>880</v>
      </c>
      <c r="G361" s="73" t="s">
        <v>983</v>
      </c>
      <c r="H361" s="73" t="s">
        <v>1042</v>
      </c>
      <c r="I361" s="73" t="s">
        <v>984</v>
      </c>
      <c r="J361" s="84" t="s">
        <v>1036</v>
      </c>
      <c r="K361" s="84" t="s">
        <v>1278</v>
      </c>
      <c r="L361" s="30"/>
      <c r="M361" s="84" t="s">
        <v>882</v>
      </c>
      <c r="N361" s="84"/>
      <c r="O361" s="131">
        <f t="shared" si="34"/>
        <v>28</v>
      </c>
      <c r="P361" s="136" t="s">
        <v>2398</v>
      </c>
      <c r="Q361" s="131">
        <f t="shared" si="35"/>
        <v>0</v>
      </c>
      <c r="R361" s="132">
        <f t="shared" si="36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/>
    </row>
    <row r="362" spans="1:49" s="73" customFormat="1" ht="15.75" thickBot="1" x14ac:dyDescent="0.3">
      <c r="A362"/>
      <c r="B362"/>
      <c r="C362"/>
      <c r="D362"/>
      <c r="E362"/>
      <c r="F362" s="73" t="s">
        <v>880</v>
      </c>
      <c r="G362" s="73" t="s">
        <v>879</v>
      </c>
      <c r="H362" s="73" t="s">
        <v>1042</v>
      </c>
      <c r="I362" s="73" t="s">
        <v>984</v>
      </c>
      <c r="J362" s="84" t="s">
        <v>1037</v>
      </c>
      <c r="K362" s="84" t="s">
        <v>1278</v>
      </c>
      <c r="L362" s="30"/>
      <c r="M362" s="84" t="s">
        <v>881</v>
      </c>
      <c r="N362" s="84"/>
      <c r="O362" s="131">
        <f t="shared" si="34"/>
        <v>28</v>
      </c>
      <c r="P362" s="136" t="s">
        <v>2399</v>
      </c>
      <c r="Q362" s="131">
        <f t="shared" si="35"/>
        <v>0</v>
      </c>
      <c r="R362" s="132">
        <f t="shared" si="36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/>
    </row>
    <row r="363" spans="1:49" ht="15.75" thickBot="1" x14ac:dyDescent="0.3">
      <c r="A363"/>
      <c r="B363"/>
      <c r="C363"/>
      <c r="D363"/>
      <c r="E363"/>
      <c r="F363" s="73" t="s">
        <v>251</v>
      </c>
      <c r="G363" s="73" t="s">
        <v>985</v>
      </c>
      <c r="H363" s="73" t="s">
        <v>1041</v>
      </c>
      <c r="I363" s="73" t="s">
        <v>325</v>
      </c>
      <c r="J363" s="84" t="s">
        <v>71</v>
      </c>
      <c r="K363" s="84" t="s">
        <v>1278</v>
      </c>
      <c r="L363" s="30"/>
      <c r="M363" s="84" t="s">
        <v>732</v>
      </c>
      <c r="N363" s="84"/>
      <c r="O363" s="131">
        <f t="shared" si="34"/>
        <v>28</v>
      </c>
      <c r="P363" s="136" t="s">
        <v>1912</v>
      </c>
      <c r="Q363" s="131">
        <f t="shared" si="35"/>
        <v>0</v>
      </c>
      <c r="R363" s="1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s="73" customFormat="1" ht="15.75" thickBot="1" x14ac:dyDescent="0.3">
      <c r="A364"/>
      <c r="B364"/>
      <c r="C364"/>
      <c r="D364"/>
      <c r="E364"/>
      <c r="F364" s="73" t="s">
        <v>251</v>
      </c>
      <c r="G364" s="73" t="s">
        <v>986</v>
      </c>
      <c r="H364" s="73" t="s">
        <v>1041</v>
      </c>
      <c r="I364" s="73" t="s">
        <v>325</v>
      </c>
      <c r="J364" s="84" t="s">
        <v>71</v>
      </c>
      <c r="K364" s="84" t="s">
        <v>1278</v>
      </c>
      <c r="L364" s="30"/>
      <c r="M364" s="84" t="s">
        <v>733</v>
      </c>
      <c r="N364" s="84"/>
      <c r="O364" s="131">
        <f t="shared" si="34"/>
        <v>28</v>
      </c>
      <c r="P364" s="136" t="s">
        <v>1913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/>
    </row>
    <row r="365" spans="1:49" s="73" customFormat="1" ht="15.75" thickBot="1" x14ac:dyDescent="0.3">
      <c r="A365">
        <v>1</v>
      </c>
      <c r="B365">
        <v>19</v>
      </c>
      <c r="C365"/>
      <c r="D365"/>
      <c r="E365" t="s">
        <v>2327</v>
      </c>
      <c r="F365" t="s">
        <v>251</v>
      </c>
      <c r="G365" t="s">
        <v>987</v>
      </c>
      <c r="H365" t="s">
        <v>1041</v>
      </c>
      <c r="I365" t="s">
        <v>988</v>
      </c>
      <c r="J365" s="30" t="s">
        <v>18</v>
      </c>
      <c r="K365" s="30" t="s">
        <v>27</v>
      </c>
      <c r="L365" s="30"/>
      <c r="M365" s="30" t="s">
        <v>2176</v>
      </c>
      <c r="N365" s="30"/>
      <c r="O365" s="31">
        <f t="shared" si="34"/>
        <v>28</v>
      </c>
      <c r="P365" s="136" t="s">
        <v>1914</v>
      </c>
      <c r="Q365" s="31">
        <f t="shared" si="35"/>
        <v>0</v>
      </c>
      <c r="R365" s="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thickBot="1" x14ac:dyDescent="0.3">
      <c r="A366">
        <v>1</v>
      </c>
      <c r="B366">
        <v>19</v>
      </c>
      <c r="C366"/>
      <c r="D366"/>
      <c r="E366" t="s">
        <v>2327</v>
      </c>
      <c r="F366" t="s">
        <v>251</v>
      </c>
      <c r="G366" t="s">
        <v>989</v>
      </c>
      <c r="H366" t="s">
        <v>1041</v>
      </c>
      <c r="I366" t="s">
        <v>990</v>
      </c>
      <c r="J366" s="30" t="s">
        <v>18</v>
      </c>
      <c r="K366" s="30" t="s">
        <v>27</v>
      </c>
      <c r="L366" s="30"/>
      <c r="M366" s="30" t="s">
        <v>2285</v>
      </c>
      <c r="N366" s="30"/>
      <c r="O366" s="31">
        <f t="shared" si="34"/>
        <v>28</v>
      </c>
      <c r="P366" s="136" t="s">
        <v>1915</v>
      </c>
      <c r="Q366" s="31">
        <f t="shared" si="35"/>
        <v>0</v>
      </c>
      <c r="R366" s="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73"/>
    </row>
    <row r="367" spans="1:49" ht="15.75" thickBot="1" x14ac:dyDescent="0.3">
      <c r="A367">
        <v>1</v>
      </c>
      <c r="B367">
        <v>19</v>
      </c>
      <c r="C367"/>
      <c r="D367"/>
      <c r="E367" t="s">
        <v>2327</v>
      </c>
      <c r="F367" t="s">
        <v>251</v>
      </c>
      <c r="G367" t="s">
        <v>1109</v>
      </c>
      <c r="H367" t="s">
        <v>1041</v>
      </c>
      <c r="I367" t="s">
        <v>1106</v>
      </c>
      <c r="J367" s="30" t="s">
        <v>71</v>
      </c>
      <c r="K367" s="30" t="s">
        <v>27</v>
      </c>
      <c r="L367" s="30"/>
      <c r="M367" s="30" t="s">
        <v>1113</v>
      </c>
      <c r="N367" s="30"/>
      <c r="O367" s="31">
        <f t="shared" si="34"/>
        <v>28</v>
      </c>
      <c r="P367" s="136" t="s">
        <v>1916</v>
      </c>
      <c r="Q367" s="31">
        <f t="shared" si="35"/>
        <v>0</v>
      </c>
      <c r="R367" s="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3"/>
    </row>
    <row r="368" spans="1:49" ht="15.75" thickBot="1" x14ac:dyDescent="0.3">
      <c r="A368">
        <v>1</v>
      </c>
      <c r="B368">
        <v>19</v>
      </c>
      <c r="C368"/>
      <c r="D368"/>
      <c r="E368" t="s">
        <v>2327</v>
      </c>
      <c r="F368" t="s">
        <v>251</v>
      </c>
      <c r="G368" t="s">
        <v>1110</v>
      </c>
      <c r="H368" t="s">
        <v>1041</v>
      </c>
      <c r="I368" t="s">
        <v>1106</v>
      </c>
      <c r="J368" s="30" t="s">
        <v>71</v>
      </c>
      <c r="K368" s="30" t="s">
        <v>27</v>
      </c>
      <c r="L368" s="30"/>
      <c r="M368" s="30" t="s">
        <v>1114</v>
      </c>
      <c r="N368" s="30"/>
      <c r="O368" s="31">
        <f t="shared" si="34"/>
        <v>28</v>
      </c>
      <c r="P368" s="136" t="s">
        <v>1917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thickBot="1" x14ac:dyDescent="0.3">
      <c r="A369">
        <v>1</v>
      </c>
      <c r="B369">
        <v>19</v>
      </c>
      <c r="C369"/>
      <c r="D369"/>
      <c r="E369" t="s">
        <v>2327</v>
      </c>
      <c r="F369" t="s">
        <v>251</v>
      </c>
      <c r="G369" t="s">
        <v>1111</v>
      </c>
      <c r="H369" t="s">
        <v>1041</v>
      </c>
      <c r="I369" t="s">
        <v>1107</v>
      </c>
      <c r="J369" s="30" t="s">
        <v>71</v>
      </c>
      <c r="K369" s="30" t="s">
        <v>27</v>
      </c>
      <c r="L369" s="30"/>
      <c r="M369" s="30" t="s">
        <v>1115</v>
      </c>
      <c r="N369" s="30"/>
      <c r="O369" s="31">
        <f t="shared" si="34"/>
        <v>28</v>
      </c>
      <c r="P369" s="136" t="s">
        <v>1918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thickBot="1" x14ac:dyDescent="0.3">
      <c r="A370">
        <v>1</v>
      </c>
      <c r="B370">
        <v>19</v>
      </c>
      <c r="C370"/>
      <c r="D370"/>
      <c r="E370" t="s">
        <v>2327</v>
      </c>
      <c r="F370" t="s">
        <v>251</v>
      </c>
      <c r="G370" t="s">
        <v>1112</v>
      </c>
      <c r="H370" t="s">
        <v>1041</v>
      </c>
      <c r="I370" t="s">
        <v>1107</v>
      </c>
      <c r="J370" s="30" t="s">
        <v>71</v>
      </c>
      <c r="K370" s="30" t="s">
        <v>27</v>
      </c>
      <c r="L370" s="30"/>
      <c r="M370" s="30" t="s">
        <v>1116</v>
      </c>
      <c r="N370" s="30"/>
      <c r="O370" s="31">
        <f t="shared" si="34"/>
        <v>28</v>
      </c>
      <c r="P370" s="136" t="s">
        <v>1919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thickBot="1" x14ac:dyDescent="0.3">
      <c r="A371">
        <v>1</v>
      </c>
      <c r="B371">
        <v>14</v>
      </c>
      <c r="C371"/>
      <c r="D371"/>
      <c r="E371" t="s">
        <v>2366</v>
      </c>
      <c r="F371" s="73" t="s">
        <v>1297</v>
      </c>
      <c r="G371" t="s">
        <v>1210</v>
      </c>
      <c r="H371" t="s">
        <v>1041</v>
      </c>
      <c r="I371" t="s">
        <v>1211</v>
      </c>
      <c r="J371" t="s">
        <v>18</v>
      </c>
      <c r="K371" t="s">
        <v>27</v>
      </c>
      <c r="L371"/>
      <c r="M371" s="30" t="s">
        <v>1217</v>
      </c>
      <c r="N371" s="30"/>
      <c r="O371" s="31">
        <f t="shared" si="34"/>
        <v>28</v>
      </c>
      <c r="P371" s="136" t="s">
        <v>1920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142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thickBot="1" x14ac:dyDescent="0.3">
      <c r="A372">
        <v>1</v>
      </c>
      <c r="B372">
        <v>14</v>
      </c>
      <c r="C372"/>
      <c r="D372"/>
      <c r="E372" t="s">
        <v>2366</v>
      </c>
      <c r="F372" s="73" t="s">
        <v>1297</v>
      </c>
      <c r="G372" t="s">
        <v>1212</v>
      </c>
      <c r="H372" t="s">
        <v>1041</v>
      </c>
      <c r="I372" t="s">
        <v>1213</v>
      </c>
      <c r="J372" t="s">
        <v>18</v>
      </c>
      <c r="K372" t="s">
        <v>27</v>
      </c>
      <c r="L372"/>
      <c r="M372" s="30" t="s">
        <v>1218</v>
      </c>
      <c r="N372" s="30"/>
      <c r="O372" s="31">
        <f t="shared" si="34"/>
        <v>28</v>
      </c>
      <c r="P372" s="136" t="s">
        <v>1921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142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thickBot="1" x14ac:dyDescent="0.3">
      <c r="A373"/>
      <c r="B373"/>
      <c r="C373"/>
      <c r="D373"/>
      <c r="E373"/>
      <c r="F373" s="73" t="s">
        <v>1297</v>
      </c>
      <c r="G373" s="73" t="s">
        <v>1542</v>
      </c>
      <c r="H373" s="73" t="s">
        <v>1041</v>
      </c>
      <c r="I373" s="73" t="s">
        <v>1545</v>
      </c>
      <c r="J373" s="84" t="s">
        <v>71</v>
      </c>
      <c r="K373" s="84" t="s">
        <v>1278</v>
      </c>
      <c r="L373"/>
      <c r="M373" s="84" t="s">
        <v>1546</v>
      </c>
      <c r="N373" s="84"/>
      <c r="O373" s="31">
        <f t="shared" si="34"/>
        <v>28</v>
      </c>
      <c r="P373" s="136" t="s">
        <v>1922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</row>
    <row r="374" spans="1:49" s="73" customFormat="1" ht="15.75" thickBot="1" x14ac:dyDescent="0.3">
      <c r="A374"/>
      <c r="B374"/>
      <c r="C374"/>
      <c r="D374"/>
      <c r="E374"/>
      <c r="F374" s="73" t="s">
        <v>1297</v>
      </c>
      <c r="G374" s="73" t="s">
        <v>1543</v>
      </c>
      <c r="H374" s="73" t="s">
        <v>1041</v>
      </c>
      <c r="I374" s="73" t="s">
        <v>1547</v>
      </c>
      <c r="J374" s="73" t="s">
        <v>71</v>
      </c>
      <c r="K374" s="84" t="s">
        <v>1278</v>
      </c>
      <c r="L374"/>
      <c r="M374" s="84" t="s">
        <v>1548</v>
      </c>
      <c r="N374" s="84"/>
      <c r="O374" s="31">
        <f t="shared" si="34"/>
        <v>10</v>
      </c>
      <c r="P374" s="136" t="s">
        <v>1923</v>
      </c>
      <c r="Q374" s="31">
        <f t="shared" si="35"/>
        <v>18</v>
      </c>
      <c r="R374" s="32">
        <f t="shared" si="36"/>
        <v>0.35714285714285715</v>
      </c>
      <c r="S374" s="70"/>
      <c r="T374" s="70"/>
      <c r="U374" s="70"/>
      <c r="V374" s="70" t="s">
        <v>2221</v>
      </c>
      <c r="W374" s="70" t="s">
        <v>2221</v>
      </c>
      <c r="X374" s="70" t="s">
        <v>2221</v>
      </c>
      <c r="Y374" s="70" t="s">
        <v>2221</v>
      </c>
      <c r="Z374" s="70" t="s">
        <v>2221</v>
      </c>
      <c r="AA374" s="70"/>
      <c r="AB374" s="70"/>
      <c r="AC374" s="70" t="s">
        <v>2221</v>
      </c>
      <c r="AD374" s="70" t="s">
        <v>2221</v>
      </c>
      <c r="AE374" s="70" t="s">
        <v>2221</v>
      </c>
      <c r="AF374" s="70" t="s">
        <v>2221</v>
      </c>
      <c r="AG374" s="70" t="s">
        <v>2221</v>
      </c>
      <c r="AH374" s="70"/>
      <c r="AI374" s="70"/>
      <c r="AJ374" s="70" t="s">
        <v>2221</v>
      </c>
      <c r="AK374" s="70" t="s">
        <v>2221</v>
      </c>
      <c r="AL374" s="70" t="s">
        <v>2221</v>
      </c>
      <c r="AM374" s="70" t="s">
        <v>2221</v>
      </c>
      <c r="AN374" s="70" t="s">
        <v>2221</v>
      </c>
      <c r="AO374" s="70"/>
      <c r="AP374" s="70"/>
      <c r="AQ374" s="70"/>
      <c r="AR374" s="70" t="s">
        <v>2221</v>
      </c>
      <c r="AS374" s="70" t="s">
        <v>2221</v>
      </c>
      <c r="AT374" s="70" t="s">
        <v>2221</v>
      </c>
      <c r="AU374" s="70"/>
      <c r="AV374" s="70"/>
      <c r="AW374"/>
    </row>
    <row r="375" spans="1:49" s="73" customFormat="1" ht="15.75" thickBot="1" x14ac:dyDescent="0.3">
      <c r="A375"/>
      <c r="B375"/>
      <c r="C375"/>
      <c r="D375"/>
      <c r="E375"/>
      <c r="F375" s="73" t="s">
        <v>1297</v>
      </c>
      <c r="G375" s="73" t="s">
        <v>1544</v>
      </c>
      <c r="H375" s="73" t="s">
        <v>1041</v>
      </c>
      <c r="I375" s="73" t="s">
        <v>1549</v>
      </c>
      <c r="J375" s="73" t="s">
        <v>71</v>
      </c>
      <c r="K375" s="84" t="s">
        <v>1278</v>
      </c>
      <c r="L375"/>
      <c r="M375" s="84" t="s">
        <v>1550</v>
      </c>
      <c r="N375" s="84"/>
      <c r="O375" s="31">
        <f t="shared" si="34"/>
        <v>28</v>
      </c>
      <c r="P375" s="136" t="s">
        <v>1924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</row>
    <row r="376" spans="1:49" s="73" customFormat="1" ht="15.75" thickBot="1" x14ac:dyDescent="0.3">
      <c r="A376"/>
      <c r="B376"/>
      <c r="C376"/>
      <c r="D376"/>
      <c r="E376"/>
      <c r="F376" s="73" t="s">
        <v>1297</v>
      </c>
      <c r="G376" s="73" t="s">
        <v>1599</v>
      </c>
      <c r="H376" s="73" t="s">
        <v>1041</v>
      </c>
      <c r="I376" s="73" t="s">
        <v>1600</v>
      </c>
      <c r="J376" s="73" t="s">
        <v>18</v>
      </c>
      <c r="K376" s="84" t="s">
        <v>1278</v>
      </c>
      <c r="L376"/>
      <c r="M376" s="84" t="s">
        <v>1601</v>
      </c>
      <c r="N376" s="84"/>
      <c r="O376" s="31">
        <f t="shared" si="34"/>
        <v>28</v>
      </c>
      <c r="P376" s="136" t="s">
        <v>2099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/>
    </row>
    <row r="377" spans="1:49" s="73" customFormat="1" ht="15.75" thickBot="1" x14ac:dyDescent="0.3">
      <c r="A377">
        <v>1</v>
      </c>
      <c r="B377">
        <v>7</v>
      </c>
      <c r="C377"/>
      <c r="D377"/>
      <c r="E377" t="s">
        <v>2327</v>
      </c>
      <c r="F377" t="s">
        <v>251</v>
      </c>
      <c r="G377" t="s">
        <v>369</v>
      </c>
      <c r="H377" t="s">
        <v>1041</v>
      </c>
      <c r="I377" t="s">
        <v>370</v>
      </c>
      <c r="J377" s="30" t="s">
        <v>18</v>
      </c>
      <c r="K377" s="30" t="s">
        <v>27</v>
      </c>
      <c r="L377" s="30"/>
      <c r="M377" s="30" t="s">
        <v>763</v>
      </c>
      <c r="N377" s="30"/>
      <c r="O377" s="31">
        <f t="shared" si="34"/>
        <v>28</v>
      </c>
      <c r="P377" s="136" t="s">
        <v>1911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/>
    </row>
    <row r="378" spans="1:49" ht="15.75" thickBot="1" x14ac:dyDescent="0.3">
      <c r="A378">
        <v>1</v>
      </c>
      <c r="B378">
        <v>18</v>
      </c>
      <c r="C378"/>
      <c r="D378"/>
      <c r="E378" t="s">
        <v>2360</v>
      </c>
      <c r="F378" t="s">
        <v>371</v>
      </c>
      <c r="G378" t="s">
        <v>372</v>
      </c>
      <c r="H378" t="s">
        <v>1041</v>
      </c>
      <c r="I378" t="s">
        <v>373</v>
      </c>
      <c r="J378" s="30" t="s">
        <v>18</v>
      </c>
      <c r="K378" s="30" t="s">
        <v>27</v>
      </c>
      <c r="L378"/>
      <c r="M378" s="30" t="s">
        <v>764</v>
      </c>
      <c r="N378" s="30" t="s">
        <v>2265</v>
      </c>
      <c r="O378" s="31">
        <f t="shared" si="34"/>
        <v>24</v>
      </c>
      <c r="P378" s="136" t="s">
        <v>1925</v>
      </c>
      <c r="Q378" s="31">
        <f t="shared" si="35"/>
        <v>4</v>
      </c>
      <c r="R378" s="32">
        <f t="shared" si="36"/>
        <v>0.8571428571428571</v>
      </c>
      <c r="S378" s="70"/>
      <c r="T378" s="70"/>
      <c r="U378" s="70"/>
      <c r="V378" s="70" t="s">
        <v>2221</v>
      </c>
      <c r="W378" s="70" t="s">
        <v>2221</v>
      </c>
      <c r="X378" s="70" t="s">
        <v>2221</v>
      </c>
      <c r="Y378" s="70" t="s">
        <v>2221</v>
      </c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</row>
    <row r="379" spans="1:49" ht="15.75" thickBot="1" x14ac:dyDescent="0.3">
      <c r="A379"/>
      <c r="B379"/>
      <c r="C379"/>
      <c r="D379"/>
      <c r="E379" s="151" t="s">
        <v>2461</v>
      </c>
      <c r="F379" t="s">
        <v>371</v>
      </c>
      <c r="G379" t="s">
        <v>374</v>
      </c>
      <c r="H379" t="s">
        <v>1041</v>
      </c>
      <c r="I379" t="s">
        <v>375</v>
      </c>
      <c r="J379" s="30" t="s">
        <v>18</v>
      </c>
      <c r="K379" s="30" t="s">
        <v>1278</v>
      </c>
      <c r="L379"/>
      <c r="M379" s="30" t="s">
        <v>765</v>
      </c>
      <c r="N379" s="30"/>
      <c r="O379" s="31">
        <f t="shared" si="34"/>
        <v>28</v>
      </c>
      <c r="P379" s="136" t="s">
        <v>1926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s="73" customFormat="1" ht="15.75" thickBot="1" x14ac:dyDescent="0.3">
      <c r="A380"/>
      <c r="B380"/>
      <c r="C380"/>
      <c r="D380"/>
      <c r="E380" s="151" t="s">
        <v>2461</v>
      </c>
      <c r="F380" s="73" t="s">
        <v>376</v>
      </c>
      <c r="G380" s="73" t="s">
        <v>377</v>
      </c>
      <c r="H380" s="73" t="s">
        <v>1041</v>
      </c>
      <c r="I380" s="73" t="s">
        <v>378</v>
      </c>
      <c r="J380" s="84" t="s">
        <v>18</v>
      </c>
      <c r="K380" s="84" t="s">
        <v>1278</v>
      </c>
      <c r="L380"/>
      <c r="M380" s="84" t="s">
        <v>1454</v>
      </c>
      <c r="N380" s="84"/>
      <c r="O380" s="131">
        <f t="shared" si="34"/>
        <v>28</v>
      </c>
      <c r="P380" s="136" t="s">
        <v>2400</v>
      </c>
      <c r="Q380" s="131">
        <f t="shared" si="35"/>
        <v>0</v>
      </c>
      <c r="R380" s="1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/>
    </row>
    <row r="381" spans="1:49" s="73" customFormat="1" ht="15.75" thickBot="1" x14ac:dyDescent="0.3">
      <c r="A381"/>
      <c r="B381"/>
      <c r="C381"/>
      <c r="D381"/>
      <c r="E381" s="151" t="s">
        <v>2461</v>
      </c>
      <c r="F381" s="73" t="s">
        <v>371</v>
      </c>
      <c r="G381" s="73" t="s">
        <v>2126</v>
      </c>
      <c r="H381" s="73" t="s">
        <v>1041</v>
      </c>
      <c r="I381" s="73" t="s">
        <v>2127</v>
      </c>
      <c r="J381" s="84" t="s">
        <v>71</v>
      </c>
      <c r="K381" s="30" t="s">
        <v>1278</v>
      </c>
      <c r="L381"/>
      <c r="M381" s="84" t="s">
        <v>2128</v>
      </c>
      <c r="N381" s="84" t="s">
        <v>2265</v>
      </c>
      <c r="O381" s="131">
        <f t="shared" si="34"/>
        <v>28</v>
      </c>
      <c r="P381" s="136" t="s">
        <v>2129</v>
      </c>
      <c r="Q381" s="131">
        <f t="shared" si="35"/>
        <v>0</v>
      </c>
      <c r="R381" s="1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9" ht="15.75" thickBot="1" x14ac:dyDescent="0.3">
      <c r="A382"/>
      <c r="B382"/>
      <c r="C382"/>
      <c r="D382"/>
      <c r="E382" s="151" t="s">
        <v>2438</v>
      </c>
      <c r="F382" t="s">
        <v>281</v>
      </c>
      <c r="G382" t="s">
        <v>991</v>
      </c>
      <c r="H382" t="s">
        <v>1041</v>
      </c>
      <c r="I382" t="s">
        <v>381</v>
      </c>
      <c r="J382" s="30" t="s">
        <v>18</v>
      </c>
      <c r="K382" s="30" t="s">
        <v>1278</v>
      </c>
      <c r="L382" s="30"/>
      <c r="M382" s="30" t="s">
        <v>769</v>
      </c>
      <c r="N382" s="30"/>
      <c r="O382" s="31">
        <f t="shared" si="34"/>
        <v>28</v>
      </c>
      <c r="P382" s="136" t="s">
        <v>2401</v>
      </c>
      <c r="Q382" s="31">
        <f t="shared" si="35"/>
        <v>0</v>
      </c>
      <c r="R382" s="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73"/>
    </row>
    <row r="383" spans="1:49" ht="15.75" thickBot="1" x14ac:dyDescent="0.3">
      <c r="A383">
        <v>1</v>
      </c>
      <c r="B383">
        <v>18</v>
      </c>
      <c r="C383"/>
      <c r="D383"/>
      <c r="E383" t="s">
        <v>2360</v>
      </c>
      <c r="F383" t="s">
        <v>281</v>
      </c>
      <c r="G383" t="s">
        <v>379</v>
      </c>
      <c r="H383" t="s">
        <v>1041</v>
      </c>
      <c r="I383" t="s">
        <v>380</v>
      </c>
      <c r="J383" s="30" t="s">
        <v>18</v>
      </c>
      <c r="K383" s="30" t="s">
        <v>27</v>
      </c>
      <c r="L383"/>
      <c r="M383" s="30" t="s">
        <v>768</v>
      </c>
      <c r="N383" s="30" t="s">
        <v>2265</v>
      </c>
      <c r="O383" s="31">
        <f t="shared" si="34"/>
        <v>28</v>
      </c>
      <c r="P383" s="136" t="s">
        <v>1927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</row>
    <row r="384" spans="1:49" ht="15.75" thickBot="1" x14ac:dyDescent="0.3">
      <c r="A384">
        <v>1</v>
      </c>
      <c r="B384">
        <v>18</v>
      </c>
      <c r="C384"/>
      <c r="D384"/>
      <c r="E384" t="s">
        <v>2360</v>
      </c>
      <c r="F384" t="s">
        <v>281</v>
      </c>
      <c r="G384" t="s">
        <v>382</v>
      </c>
      <c r="H384" t="s">
        <v>1041</v>
      </c>
      <c r="I384" t="s">
        <v>383</v>
      </c>
      <c r="J384" s="30" t="s">
        <v>71</v>
      </c>
      <c r="K384" s="30" t="s">
        <v>27</v>
      </c>
      <c r="L384" s="30"/>
      <c r="M384" s="30" t="s">
        <v>766</v>
      </c>
      <c r="N384" s="30" t="s">
        <v>2265</v>
      </c>
      <c r="O384" s="31">
        <f t="shared" si="34"/>
        <v>28</v>
      </c>
      <c r="P384" s="136" t="s">
        <v>1928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142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3"/>
    </row>
    <row r="385" spans="1:49" ht="15.75" thickBot="1" x14ac:dyDescent="0.3">
      <c r="A385">
        <v>1</v>
      </c>
      <c r="B385">
        <v>18</v>
      </c>
      <c r="C385"/>
      <c r="D385"/>
      <c r="E385" t="s">
        <v>2360</v>
      </c>
      <c r="F385" t="s">
        <v>281</v>
      </c>
      <c r="G385" t="s">
        <v>384</v>
      </c>
      <c r="H385" t="s">
        <v>1041</v>
      </c>
      <c r="I385" t="s">
        <v>383</v>
      </c>
      <c r="J385" s="30" t="s">
        <v>71</v>
      </c>
      <c r="K385" s="30" t="s">
        <v>27</v>
      </c>
      <c r="L385" s="30"/>
      <c r="M385" s="30" t="s">
        <v>767</v>
      </c>
      <c r="N385" s="30" t="s">
        <v>2265</v>
      </c>
      <c r="O385" s="31">
        <f t="shared" si="34"/>
        <v>28</v>
      </c>
      <c r="P385" s="136" t="s">
        <v>1929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42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3"/>
    </row>
    <row r="386" spans="1:49" ht="15.75" thickBot="1" x14ac:dyDescent="0.3">
      <c r="A386">
        <v>1</v>
      </c>
      <c r="B386">
        <v>18</v>
      </c>
      <c r="C386"/>
      <c r="D386"/>
      <c r="E386" t="s">
        <v>2360</v>
      </c>
      <c r="F386" t="s">
        <v>281</v>
      </c>
      <c r="G386" t="s">
        <v>1241</v>
      </c>
      <c r="H386" t="s">
        <v>1041</v>
      </c>
      <c r="I386" t="s">
        <v>1242</v>
      </c>
      <c r="J386" s="30" t="s">
        <v>14</v>
      </c>
      <c r="K386" s="30" t="s">
        <v>1035</v>
      </c>
      <c r="L386" s="30" t="s">
        <v>1244</v>
      </c>
      <c r="M386" s="30" t="s">
        <v>1243</v>
      </c>
      <c r="N386" s="30" t="s">
        <v>2265</v>
      </c>
      <c r="O386" s="31">
        <f t="shared" si="34"/>
        <v>28</v>
      </c>
      <c r="P386" s="136" t="s">
        <v>1930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s="73" customFormat="1" ht="15.75" thickBot="1" x14ac:dyDescent="0.3">
      <c r="A387"/>
      <c r="B387"/>
      <c r="C387"/>
      <c r="D387"/>
      <c r="E387"/>
      <c r="F387" s="73" t="s">
        <v>371</v>
      </c>
      <c r="G387" s="73" t="s">
        <v>385</v>
      </c>
      <c r="H387" s="73" t="s">
        <v>1041</v>
      </c>
      <c r="I387" s="73" t="s">
        <v>386</v>
      </c>
      <c r="J387" s="84" t="s">
        <v>18</v>
      </c>
      <c r="K387" s="84" t="s">
        <v>1278</v>
      </c>
      <c r="L387" s="84"/>
      <c r="M387" s="84" t="s">
        <v>2081</v>
      </c>
      <c r="N387" s="84" t="s">
        <v>2265</v>
      </c>
      <c r="O387" s="131">
        <f t="shared" si="34"/>
        <v>20</v>
      </c>
      <c r="P387" s="136" t="s">
        <v>2266</v>
      </c>
      <c r="Q387" s="131">
        <f t="shared" si="35"/>
        <v>8</v>
      </c>
      <c r="R387" s="132">
        <f t="shared" si="36"/>
        <v>0.7142857142857143</v>
      </c>
      <c r="S387" s="70"/>
      <c r="T387" s="70"/>
      <c r="U387" s="70"/>
      <c r="V387" s="70" t="s">
        <v>2221</v>
      </c>
      <c r="W387" s="70" t="s">
        <v>2221</v>
      </c>
      <c r="X387" s="70" t="s">
        <v>2221</v>
      </c>
      <c r="Y387" s="70"/>
      <c r="Z387" s="70"/>
      <c r="AA387" s="70"/>
      <c r="AB387" s="70"/>
      <c r="AC387" s="70" t="s">
        <v>2221</v>
      </c>
      <c r="AD387" s="70" t="s">
        <v>2221</v>
      </c>
      <c r="AE387" s="70" t="s">
        <v>2221</v>
      </c>
      <c r="AF387" s="70" t="s">
        <v>2221</v>
      </c>
      <c r="AG387" s="70" t="s">
        <v>2221</v>
      </c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9" s="88" customFormat="1" ht="15.75" thickBot="1" x14ac:dyDescent="0.3">
      <c r="A388">
        <v>1</v>
      </c>
      <c r="B388">
        <v>15</v>
      </c>
      <c r="C388"/>
      <c r="D388"/>
      <c r="E388" t="s">
        <v>2363</v>
      </c>
      <c r="F388" s="73" t="s">
        <v>371</v>
      </c>
      <c r="G388" s="73" t="s">
        <v>387</v>
      </c>
      <c r="H388" s="73" t="s">
        <v>1041</v>
      </c>
      <c r="I388" s="73" t="s">
        <v>388</v>
      </c>
      <c r="J388" s="84" t="s">
        <v>14</v>
      </c>
      <c r="K388" s="84" t="s">
        <v>27</v>
      </c>
      <c r="L388" s="84"/>
      <c r="M388" s="84" t="s">
        <v>1487</v>
      </c>
      <c r="N388" s="84"/>
      <c r="O388" s="85">
        <f t="shared" si="34"/>
        <v>18</v>
      </c>
      <c r="P388" s="136" t="s">
        <v>1932</v>
      </c>
      <c r="Q388" s="85">
        <f t="shared" si="35"/>
        <v>10</v>
      </c>
      <c r="R388" s="86">
        <f t="shared" si="36"/>
        <v>0.6428571428571429</v>
      </c>
      <c r="S388" s="87"/>
      <c r="T388" s="87"/>
      <c r="U388" s="87"/>
      <c r="V388" s="87"/>
      <c r="W388" s="87"/>
      <c r="X388" s="70" t="s">
        <v>2221</v>
      </c>
      <c r="Y388" s="70" t="s">
        <v>2221</v>
      </c>
      <c r="Z388" s="70" t="s">
        <v>2221</v>
      </c>
      <c r="AA388" s="87"/>
      <c r="AB388" s="87"/>
      <c r="AC388" s="70" t="s">
        <v>2221</v>
      </c>
      <c r="AD388" s="70" t="s">
        <v>2221</v>
      </c>
      <c r="AE388" s="70" t="s">
        <v>2221</v>
      </c>
      <c r="AF388" s="70" t="s">
        <v>2221</v>
      </c>
      <c r="AG388" s="70" t="s">
        <v>2221</v>
      </c>
      <c r="AH388" s="87"/>
      <c r="AI388" s="87"/>
      <c r="AJ388" s="70" t="s">
        <v>2221</v>
      </c>
      <c r="AK388" s="70" t="s">
        <v>2221</v>
      </c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/>
    </row>
    <row r="389" spans="1:49" s="73" customFormat="1" ht="15.75" thickBot="1" x14ac:dyDescent="0.3">
      <c r="A389">
        <v>1</v>
      </c>
      <c r="B389">
        <v>18</v>
      </c>
      <c r="C389"/>
      <c r="D389"/>
      <c r="E389" t="s">
        <v>2360</v>
      </c>
      <c r="F389" t="s">
        <v>389</v>
      </c>
      <c r="G389" t="s">
        <v>390</v>
      </c>
      <c r="H389" t="s">
        <v>1041</v>
      </c>
      <c r="I389" t="s">
        <v>391</v>
      </c>
      <c r="J389" s="30" t="s">
        <v>18</v>
      </c>
      <c r="K389" s="30" t="s">
        <v>27</v>
      </c>
      <c r="L389" s="30"/>
      <c r="M389" s="30" t="s">
        <v>771</v>
      </c>
      <c r="N389" s="30" t="s">
        <v>2265</v>
      </c>
      <c r="O389" s="31">
        <f t="shared" si="34"/>
        <v>28</v>
      </c>
      <c r="P389" s="136" t="s">
        <v>1933</v>
      </c>
      <c r="Q389" s="31">
        <f t="shared" si="35"/>
        <v>0</v>
      </c>
      <c r="R389" s="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142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/>
    </row>
    <row r="390" spans="1:49" s="73" customFormat="1" ht="15.75" thickBot="1" x14ac:dyDescent="0.3">
      <c r="A390">
        <v>1</v>
      </c>
      <c r="B390">
        <v>18</v>
      </c>
      <c r="C390"/>
      <c r="D390"/>
      <c r="E390" t="s">
        <v>2360</v>
      </c>
      <c r="F390" t="s">
        <v>389</v>
      </c>
      <c r="G390" t="s">
        <v>392</v>
      </c>
      <c r="H390" t="s">
        <v>1041</v>
      </c>
      <c r="I390" t="s">
        <v>391</v>
      </c>
      <c r="J390" s="30" t="s">
        <v>71</v>
      </c>
      <c r="K390" s="30" t="s">
        <v>27</v>
      </c>
      <c r="L390" s="30"/>
      <c r="M390" s="30" t="s">
        <v>772</v>
      </c>
      <c r="N390" s="30" t="s">
        <v>2265</v>
      </c>
      <c r="O390" s="31">
        <f t="shared" si="34"/>
        <v>28</v>
      </c>
      <c r="P390" s="136" t="s">
        <v>1934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/>
    </row>
    <row r="391" spans="1:49" ht="15.75" thickBot="1" x14ac:dyDescent="0.3">
      <c r="A391">
        <v>1</v>
      </c>
      <c r="B391">
        <v>18</v>
      </c>
      <c r="C391"/>
      <c r="D391"/>
      <c r="E391" t="s">
        <v>2360</v>
      </c>
      <c r="F391" t="s">
        <v>389</v>
      </c>
      <c r="G391" t="s">
        <v>393</v>
      </c>
      <c r="H391" t="s">
        <v>1041</v>
      </c>
      <c r="I391" t="s">
        <v>391</v>
      </c>
      <c r="J391" s="30" t="s">
        <v>71</v>
      </c>
      <c r="K391" s="30" t="s">
        <v>27</v>
      </c>
      <c r="L391" s="30"/>
      <c r="M391" s="30" t="s">
        <v>773</v>
      </c>
      <c r="N391" s="30" t="s">
        <v>2265</v>
      </c>
      <c r="O391" s="31">
        <f t="shared" si="34"/>
        <v>28</v>
      </c>
      <c r="P391" s="136" t="s">
        <v>1935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</row>
    <row r="392" spans="1:49" ht="15.75" thickBot="1" x14ac:dyDescent="0.3">
      <c r="A392" s="69">
        <v>1</v>
      </c>
      <c r="B392" s="69">
        <v>18</v>
      </c>
      <c r="C392" s="69"/>
      <c r="D392" s="69"/>
      <c r="E392" s="69" t="s">
        <v>2360</v>
      </c>
      <c r="F392" s="69" t="s">
        <v>396</v>
      </c>
      <c r="G392" s="69" t="s">
        <v>883</v>
      </c>
      <c r="H392" s="69" t="s">
        <v>1041</v>
      </c>
      <c r="I392" s="69" t="s">
        <v>884</v>
      </c>
      <c r="J392" s="137" t="s">
        <v>18</v>
      </c>
      <c r="K392" s="137" t="s">
        <v>27</v>
      </c>
      <c r="L392" s="137"/>
      <c r="M392" s="137" t="s">
        <v>891</v>
      </c>
      <c r="N392" s="137" t="s">
        <v>2265</v>
      </c>
      <c r="O392" s="139">
        <f t="shared" si="34"/>
        <v>10</v>
      </c>
      <c r="P392" s="140" t="s">
        <v>1942</v>
      </c>
      <c r="Q392" s="139">
        <f t="shared" si="35"/>
        <v>18</v>
      </c>
      <c r="R392" s="141">
        <f t="shared" si="36"/>
        <v>0.35714285714285715</v>
      </c>
      <c r="S392" s="142"/>
      <c r="T392" s="142"/>
      <c r="U392" s="142"/>
      <c r="V392" s="70" t="s">
        <v>2221</v>
      </c>
      <c r="W392" s="70" t="s">
        <v>2221</v>
      </c>
      <c r="X392" s="70" t="s">
        <v>2221</v>
      </c>
      <c r="Y392" s="70" t="s">
        <v>2221</v>
      </c>
      <c r="Z392" s="70" t="s">
        <v>2221</v>
      </c>
      <c r="AA392" s="142"/>
      <c r="AB392" s="142"/>
      <c r="AC392" s="70" t="s">
        <v>2221</v>
      </c>
      <c r="AD392" s="70" t="s">
        <v>2221</v>
      </c>
      <c r="AE392" s="70" t="s">
        <v>2221</v>
      </c>
      <c r="AF392" s="70" t="s">
        <v>2221</v>
      </c>
      <c r="AG392" s="70" t="s">
        <v>2221</v>
      </c>
      <c r="AH392" s="70"/>
      <c r="AI392" s="70"/>
      <c r="AJ392" s="70" t="s">
        <v>2221</v>
      </c>
      <c r="AK392" s="70" t="s">
        <v>2221</v>
      </c>
      <c r="AL392" s="70" t="s">
        <v>2221</v>
      </c>
      <c r="AM392" s="70" t="s">
        <v>2221</v>
      </c>
      <c r="AN392" s="70" t="s">
        <v>2221</v>
      </c>
      <c r="AO392" s="70"/>
      <c r="AP392" s="70"/>
      <c r="AQ392" s="142"/>
      <c r="AR392" s="70" t="s">
        <v>2221</v>
      </c>
      <c r="AS392" s="70" t="s">
        <v>2221</v>
      </c>
      <c r="AT392" s="70" t="s">
        <v>2221</v>
      </c>
      <c r="AU392" s="70"/>
      <c r="AV392" s="70"/>
    </row>
    <row r="393" spans="1:49" ht="15.75" thickBot="1" x14ac:dyDescent="0.3">
      <c r="A393" s="69">
        <v>1</v>
      </c>
      <c r="B393" s="69">
        <v>18</v>
      </c>
      <c r="C393" s="69"/>
      <c r="D393" s="69"/>
      <c r="E393" s="69" t="s">
        <v>2360</v>
      </c>
      <c r="F393" s="69" t="s">
        <v>389</v>
      </c>
      <c r="G393" t="s">
        <v>885</v>
      </c>
      <c r="H393" t="s">
        <v>1041</v>
      </c>
      <c r="I393" t="s">
        <v>886</v>
      </c>
      <c r="J393" s="30" t="s">
        <v>18</v>
      </c>
      <c r="K393" s="30" t="s">
        <v>27</v>
      </c>
      <c r="L393" s="30"/>
      <c r="M393" s="30" t="s">
        <v>892</v>
      </c>
      <c r="N393" s="30" t="s">
        <v>2265</v>
      </c>
      <c r="O393" s="31">
        <f t="shared" ref="O393:O456" si="37">COUNTIF(S393:AT393,"")</f>
        <v>11</v>
      </c>
      <c r="P393" s="143" t="s">
        <v>1943</v>
      </c>
      <c r="Q393" s="31">
        <f t="shared" ref="Q393:Q456" si="38">COUNTIF(S393:AT393,"APAGADO")</f>
        <v>17</v>
      </c>
      <c r="R393" s="158">
        <f t="shared" ref="R393:R456" si="39">(O393)/(Q393+O393)</f>
        <v>0.39285714285714285</v>
      </c>
      <c r="S393" s="138"/>
      <c r="T393" s="138"/>
      <c r="U393" s="138"/>
      <c r="V393" s="138" t="s">
        <v>2221</v>
      </c>
      <c r="W393" s="138" t="s">
        <v>2221</v>
      </c>
      <c r="X393" s="138" t="s">
        <v>2221</v>
      </c>
      <c r="Y393" s="138" t="s">
        <v>2221</v>
      </c>
      <c r="Z393" s="138" t="s">
        <v>2221</v>
      </c>
      <c r="AA393" s="138"/>
      <c r="AB393" s="138"/>
      <c r="AC393" s="138" t="s">
        <v>2221</v>
      </c>
      <c r="AD393" s="138" t="s">
        <v>2221</v>
      </c>
      <c r="AE393" s="138" t="s">
        <v>2221</v>
      </c>
      <c r="AF393" s="138" t="s">
        <v>2221</v>
      </c>
      <c r="AG393" s="138" t="s">
        <v>2221</v>
      </c>
      <c r="AH393" s="138"/>
      <c r="AI393" s="138"/>
      <c r="AJ393" s="138" t="s">
        <v>2221</v>
      </c>
      <c r="AK393" s="138" t="s">
        <v>2221</v>
      </c>
      <c r="AL393" s="138" t="s">
        <v>2221</v>
      </c>
      <c r="AM393" s="138" t="s">
        <v>2221</v>
      </c>
      <c r="AN393" s="138" t="s">
        <v>2221</v>
      </c>
      <c r="AO393" s="138"/>
      <c r="AP393" s="138"/>
      <c r="AQ393" s="138"/>
      <c r="AR393" s="138" t="s">
        <v>2221</v>
      </c>
      <c r="AS393" s="138" t="s">
        <v>2221</v>
      </c>
      <c r="AT393" s="138"/>
      <c r="AU393" s="138"/>
      <c r="AV393" s="138"/>
    </row>
    <row r="394" spans="1:49" s="69" customFormat="1" ht="15.75" thickBot="1" x14ac:dyDescent="0.3">
      <c r="A394"/>
      <c r="B394"/>
      <c r="C394"/>
      <c r="D394"/>
      <c r="E394"/>
      <c r="F394" t="s">
        <v>389</v>
      </c>
      <c r="G394" t="s">
        <v>992</v>
      </c>
      <c r="H394" t="s">
        <v>1041</v>
      </c>
      <c r="I394" t="s">
        <v>993</v>
      </c>
      <c r="J394" s="30" t="s">
        <v>18</v>
      </c>
      <c r="K394" s="30" t="s">
        <v>1278</v>
      </c>
      <c r="L394" s="30"/>
      <c r="M394" s="30" t="s">
        <v>1196</v>
      </c>
      <c r="N394" s="30" t="s">
        <v>2265</v>
      </c>
      <c r="O394" s="31">
        <f t="shared" si="37"/>
        <v>27</v>
      </c>
      <c r="P394" s="136" t="s">
        <v>1944</v>
      </c>
      <c r="Q394" s="31">
        <f t="shared" si="38"/>
        <v>1</v>
      </c>
      <c r="R394" s="32">
        <f t="shared" si="39"/>
        <v>0.9642857142857143</v>
      </c>
      <c r="S394" s="70"/>
      <c r="T394" s="70"/>
      <c r="U394" s="70"/>
      <c r="V394" s="70" t="s">
        <v>2221</v>
      </c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/>
    </row>
    <row r="395" spans="1:49" s="69" customFormat="1" ht="15.75" thickBot="1" x14ac:dyDescent="0.3">
      <c r="A395"/>
      <c r="B395"/>
      <c r="C395"/>
      <c r="D395"/>
      <c r="E395"/>
      <c r="F395" s="73" t="s">
        <v>389</v>
      </c>
      <c r="G395" s="73" t="s">
        <v>1409</v>
      </c>
      <c r="H395" s="73" t="s">
        <v>1041</v>
      </c>
      <c r="I395" s="73" t="s">
        <v>1412</v>
      </c>
      <c r="J395" s="30" t="s">
        <v>18</v>
      </c>
      <c r="K395" s="84" t="s">
        <v>1278</v>
      </c>
      <c r="L395" s="30"/>
      <c r="M395" s="84" t="s">
        <v>2286</v>
      </c>
      <c r="N395" s="84"/>
      <c r="O395" s="131">
        <f t="shared" si="37"/>
        <v>28</v>
      </c>
      <c r="P395" s="136" t="s">
        <v>1945</v>
      </c>
      <c r="Q395" s="131">
        <f t="shared" si="38"/>
        <v>0</v>
      </c>
      <c r="R395" s="132">
        <f t="shared" si="39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3"/>
    </row>
    <row r="396" spans="1:49" ht="15.75" thickBot="1" x14ac:dyDescent="0.3">
      <c r="A396"/>
      <c r="B396"/>
      <c r="C396"/>
      <c r="D396"/>
      <c r="E396"/>
      <c r="F396" t="s">
        <v>389</v>
      </c>
      <c r="G396" t="s">
        <v>1410</v>
      </c>
      <c r="H396" t="s">
        <v>1041</v>
      </c>
      <c r="I396" t="s">
        <v>1412</v>
      </c>
      <c r="J396" s="30" t="s">
        <v>71</v>
      </c>
      <c r="K396" s="30" t="s">
        <v>1278</v>
      </c>
      <c r="L396" s="30"/>
      <c r="M396" s="84" t="s">
        <v>1473</v>
      </c>
      <c r="N396" s="84"/>
      <c r="O396" s="31">
        <f t="shared" si="37"/>
        <v>28</v>
      </c>
      <c r="P396" s="136" t="s">
        <v>1946</v>
      </c>
      <c r="Q396" s="31">
        <f t="shared" si="38"/>
        <v>0</v>
      </c>
      <c r="R396" s="32">
        <f t="shared" si="39"/>
        <v>1</v>
      </c>
      <c r="S396" s="70"/>
      <c r="T396" s="70"/>
      <c r="U396" s="70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  <c r="AJ396" s="147"/>
      <c r="AK396" s="147"/>
      <c r="AL396" s="147"/>
      <c r="AM396" s="147"/>
      <c r="AN396" s="147"/>
      <c r="AO396" s="147"/>
      <c r="AP396" s="147"/>
      <c r="AQ396" s="147"/>
      <c r="AR396" s="147"/>
      <c r="AS396" s="147"/>
      <c r="AT396" s="147"/>
      <c r="AU396" s="147"/>
      <c r="AV396" s="147"/>
    </row>
    <row r="397" spans="1:49" ht="15.75" thickBot="1" x14ac:dyDescent="0.3">
      <c r="A397"/>
      <c r="B397"/>
      <c r="C397"/>
      <c r="D397"/>
      <c r="E397"/>
      <c r="F397" t="s">
        <v>389</v>
      </c>
      <c r="G397" t="s">
        <v>1411</v>
      </c>
      <c r="H397" t="s">
        <v>1041</v>
      </c>
      <c r="I397" t="s">
        <v>1412</v>
      </c>
      <c r="J397" s="30" t="s">
        <v>71</v>
      </c>
      <c r="K397" s="30" t="s">
        <v>1278</v>
      </c>
      <c r="L397" s="30"/>
      <c r="M397" s="84" t="s">
        <v>1471</v>
      </c>
      <c r="N397" s="84"/>
      <c r="O397" s="31">
        <f t="shared" si="37"/>
        <v>28</v>
      </c>
      <c r="P397" s="136" t="s">
        <v>1947</v>
      </c>
      <c r="Q397" s="31">
        <f t="shared" si="38"/>
        <v>0</v>
      </c>
      <c r="R397" s="32">
        <f t="shared" si="39"/>
        <v>1</v>
      </c>
      <c r="S397" s="70"/>
      <c r="T397" s="70"/>
      <c r="U397" s="70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</row>
    <row r="398" spans="1:49" ht="15.75" thickBot="1" x14ac:dyDescent="0.3">
      <c r="A398">
        <v>1</v>
      </c>
      <c r="B398">
        <v>18</v>
      </c>
      <c r="C398"/>
      <c r="D398"/>
      <c r="E398" t="s">
        <v>2360</v>
      </c>
      <c r="F398" t="s">
        <v>389</v>
      </c>
      <c r="G398" t="s">
        <v>1597</v>
      </c>
      <c r="H398" t="s">
        <v>1041</v>
      </c>
      <c r="I398" t="s">
        <v>2255</v>
      </c>
      <c r="J398" s="30" t="s">
        <v>18</v>
      </c>
      <c r="K398" s="30" t="s">
        <v>27</v>
      </c>
      <c r="L398" s="30"/>
      <c r="M398" s="84" t="s">
        <v>1598</v>
      </c>
      <c r="N398" s="84"/>
      <c r="O398" s="31">
        <f t="shared" si="37"/>
        <v>22</v>
      </c>
      <c r="P398" s="136" t="s">
        <v>2402</v>
      </c>
      <c r="Q398" s="136" t="s">
        <v>2403</v>
      </c>
      <c r="R398" s="136" t="s">
        <v>2404</v>
      </c>
      <c r="S398" s="136" t="s">
        <v>2405</v>
      </c>
      <c r="T398" s="136" t="s">
        <v>2406</v>
      </c>
      <c r="U398" s="136" t="s">
        <v>2407</v>
      </c>
      <c r="V398" s="136" t="s">
        <v>2408</v>
      </c>
      <c r="W398" s="136" t="s">
        <v>2409</v>
      </c>
      <c r="X398" s="136" t="s">
        <v>2410</v>
      </c>
      <c r="Y398" s="70"/>
      <c r="Z398" s="70"/>
      <c r="AA398" s="147"/>
      <c r="AB398" s="147"/>
      <c r="AC398" s="147"/>
      <c r="AD398" s="70"/>
      <c r="AE398" s="70"/>
      <c r="AF398" s="70"/>
      <c r="AG398" s="142"/>
      <c r="AH398" s="70"/>
      <c r="AI398" s="70"/>
      <c r="AJ398" s="147"/>
      <c r="AK398" s="147"/>
      <c r="AL398" s="70"/>
      <c r="AM398" s="70"/>
      <c r="AN398" s="70"/>
      <c r="AO398" s="70"/>
      <c r="AP398" s="70"/>
      <c r="AQ398" s="147"/>
      <c r="AR398" s="147"/>
      <c r="AS398" s="147"/>
      <c r="AT398" s="147"/>
      <c r="AU398" s="147"/>
      <c r="AV398" s="129"/>
      <c r="AW398" s="73"/>
    </row>
    <row r="399" spans="1:49" ht="15.75" thickBot="1" x14ac:dyDescent="0.3">
      <c r="A399"/>
      <c r="B399"/>
      <c r="C399"/>
      <c r="D399"/>
      <c r="E399"/>
      <c r="F399" t="s">
        <v>389</v>
      </c>
      <c r="G399" t="s">
        <v>2215</v>
      </c>
      <c r="H399" t="s">
        <v>1041</v>
      </c>
      <c r="I399" t="s">
        <v>2216</v>
      </c>
      <c r="J399" s="30" t="s">
        <v>18</v>
      </c>
      <c r="K399" s="84" t="s">
        <v>1278</v>
      </c>
      <c r="L399" s="30"/>
      <c r="M399" s="84" t="s">
        <v>2287</v>
      </c>
      <c r="N399" s="84"/>
      <c r="O399" s="31">
        <f t="shared" si="37"/>
        <v>28</v>
      </c>
      <c r="P399" s="136" t="s">
        <v>2411</v>
      </c>
      <c r="Q399" s="31">
        <f t="shared" si="38"/>
        <v>0</v>
      </c>
      <c r="R399" s="32">
        <f t="shared" si="39"/>
        <v>1</v>
      </c>
      <c r="S399" s="70"/>
      <c r="T399" s="70"/>
      <c r="U399" s="70"/>
      <c r="V399" s="147"/>
      <c r="W399" s="147"/>
      <c r="X399" s="70"/>
      <c r="Y399" s="70"/>
      <c r="Z399" s="70"/>
      <c r="AA399" s="147"/>
      <c r="AB399" s="147"/>
      <c r="AC399" s="147"/>
      <c r="AD399" s="147"/>
      <c r="AE399" s="70"/>
      <c r="AF399" s="70"/>
      <c r="AG399" s="142"/>
      <c r="AH399" s="70"/>
      <c r="AI399" s="70"/>
      <c r="AJ399" s="147"/>
      <c r="AK399" s="147"/>
      <c r="AL399" s="70"/>
      <c r="AM399" s="70"/>
      <c r="AN399" s="70"/>
      <c r="AO399" s="70"/>
      <c r="AP399" s="70"/>
      <c r="AQ399" s="147"/>
      <c r="AR399" s="147"/>
      <c r="AS399" s="70"/>
      <c r="AT399" s="147"/>
      <c r="AU399" s="147"/>
      <c r="AV399" s="70"/>
    </row>
    <row r="400" spans="1:49" s="69" customFormat="1" ht="15.75" thickBot="1" x14ac:dyDescent="0.3">
      <c r="A400" s="88"/>
      <c r="B400" s="88"/>
      <c r="C400" s="88"/>
      <c r="D400" s="88"/>
      <c r="E400" s="88"/>
      <c r="F400" s="88" t="s">
        <v>389</v>
      </c>
      <c r="G400" s="88" t="s">
        <v>394</v>
      </c>
      <c r="H400" s="88" t="s">
        <v>1041</v>
      </c>
      <c r="I400" s="88" t="s">
        <v>395</v>
      </c>
      <c r="J400" s="89" t="s">
        <v>14</v>
      </c>
      <c r="K400" s="89" t="s">
        <v>19</v>
      </c>
      <c r="L400" s="89"/>
      <c r="M400" s="89" t="s">
        <v>770</v>
      </c>
      <c r="N400" s="89"/>
      <c r="O400" s="31">
        <f t="shared" si="37"/>
        <v>10</v>
      </c>
      <c r="P400" s="136"/>
      <c r="Q400" s="31">
        <f t="shared" si="38"/>
        <v>18</v>
      </c>
      <c r="R400" s="32">
        <f t="shared" si="39"/>
        <v>0.35714285714285715</v>
      </c>
      <c r="S400" s="70"/>
      <c r="T400" s="70"/>
      <c r="U400" s="70"/>
      <c r="V400" s="70" t="s">
        <v>2221</v>
      </c>
      <c r="W400" s="70" t="s">
        <v>2221</v>
      </c>
      <c r="X400" s="70" t="s">
        <v>2221</v>
      </c>
      <c r="Y400" s="70" t="s">
        <v>2221</v>
      </c>
      <c r="Z400" s="70" t="s">
        <v>2221</v>
      </c>
      <c r="AA400" s="70"/>
      <c r="AB400" s="70"/>
      <c r="AC400" s="70" t="s">
        <v>2221</v>
      </c>
      <c r="AD400" s="70" t="s">
        <v>2221</v>
      </c>
      <c r="AE400" s="70" t="s">
        <v>2221</v>
      </c>
      <c r="AF400" s="70" t="s">
        <v>2221</v>
      </c>
      <c r="AG400" s="70" t="s">
        <v>2221</v>
      </c>
      <c r="AH400" s="70"/>
      <c r="AI400" s="70"/>
      <c r="AJ400" s="70" t="s">
        <v>2221</v>
      </c>
      <c r="AK400" s="70" t="s">
        <v>2221</v>
      </c>
      <c r="AL400" s="70" t="s">
        <v>2221</v>
      </c>
      <c r="AM400" s="70" t="s">
        <v>2221</v>
      </c>
      <c r="AN400" s="70" t="s">
        <v>2221</v>
      </c>
      <c r="AO400" s="70"/>
      <c r="AP400" s="70"/>
      <c r="AQ400" s="90"/>
      <c r="AR400" s="70" t="s">
        <v>2221</v>
      </c>
      <c r="AS400" s="70" t="s">
        <v>2221</v>
      </c>
      <c r="AT400" s="70" t="s">
        <v>2221</v>
      </c>
      <c r="AU400" s="70"/>
      <c r="AV400" s="70"/>
      <c r="AW400"/>
    </row>
    <row r="401" spans="1:49" ht="15.75" thickBot="1" x14ac:dyDescent="0.3">
      <c r="A401" s="69">
        <v>1</v>
      </c>
      <c r="B401" s="69">
        <v>18</v>
      </c>
      <c r="C401" s="69"/>
      <c r="D401" s="69"/>
      <c r="E401" s="69" t="s">
        <v>2360</v>
      </c>
      <c r="F401" s="69" t="s">
        <v>396</v>
      </c>
      <c r="G401" t="s">
        <v>397</v>
      </c>
      <c r="H401" t="s">
        <v>1041</v>
      </c>
      <c r="I401" t="s">
        <v>398</v>
      </c>
      <c r="J401" s="30" t="s">
        <v>71</v>
      </c>
      <c r="K401" s="30" t="s">
        <v>27</v>
      </c>
      <c r="L401" s="137"/>
      <c r="M401" s="30" t="s">
        <v>774</v>
      </c>
      <c r="N401" s="137" t="s">
        <v>2265</v>
      </c>
      <c r="O401" s="139">
        <f t="shared" si="37"/>
        <v>12</v>
      </c>
      <c r="P401" s="143" t="s">
        <v>1936</v>
      </c>
      <c r="Q401" s="139">
        <f t="shared" si="38"/>
        <v>16</v>
      </c>
      <c r="R401" s="141">
        <f t="shared" si="39"/>
        <v>0.42857142857142855</v>
      </c>
      <c r="S401" s="138"/>
      <c r="T401" s="138"/>
      <c r="U401" s="138"/>
      <c r="V401" s="138" t="s">
        <v>2221</v>
      </c>
      <c r="W401" s="138" t="s">
        <v>2221</v>
      </c>
      <c r="X401" s="138" t="s">
        <v>2221</v>
      </c>
      <c r="Y401" s="138" t="s">
        <v>2221</v>
      </c>
      <c r="Z401" s="138" t="s">
        <v>2221</v>
      </c>
      <c r="AA401" s="138"/>
      <c r="AB401" s="138"/>
      <c r="AC401" s="138" t="s">
        <v>2221</v>
      </c>
      <c r="AD401" s="138" t="s">
        <v>2221</v>
      </c>
      <c r="AE401" s="138" t="s">
        <v>2221</v>
      </c>
      <c r="AF401" s="138" t="s">
        <v>2221</v>
      </c>
      <c r="AG401" s="138"/>
      <c r="AH401" s="138"/>
      <c r="AI401" s="138"/>
      <c r="AJ401" s="138" t="s">
        <v>2221</v>
      </c>
      <c r="AK401" s="138" t="s">
        <v>2221</v>
      </c>
      <c r="AL401" s="138" t="s">
        <v>2221</v>
      </c>
      <c r="AM401" s="138" t="s">
        <v>2221</v>
      </c>
      <c r="AN401" s="138" t="s">
        <v>2221</v>
      </c>
      <c r="AO401" s="138"/>
      <c r="AP401" s="138"/>
      <c r="AQ401" s="138"/>
      <c r="AR401" s="138" t="s">
        <v>2221</v>
      </c>
      <c r="AS401" s="138" t="s">
        <v>2221</v>
      </c>
      <c r="AT401" s="138"/>
      <c r="AU401" s="138"/>
      <c r="AV401" s="138"/>
    </row>
    <row r="402" spans="1:49" ht="15.75" thickBot="1" x14ac:dyDescent="0.3">
      <c r="A402" s="69">
        <v>1</v>
      </c>
      <c r="B402" s="69">
        <v>18</v>
      </c>
      <c r="C402" s="69"/>
      <c r="D402" s="69"/>
      <c r="E402" s="69" t="s">
        <v>2360</v>
      </c>
      <c r="F402" s="69" t="s">
        <v>396</v>
      </c>
      <c r="G402" t="s">
        <v>399</v>
      </c>
      <c r="H402" t="s">
        <v>1041</v>
      </c>
      <c r="I402" t="s">
        <v>398</v>
      </c>
      <c r="J402" s="30" t="s">
        <v>71</v>
      </c>
      <c r="K402" s="30" t="s">
        <v>27</v>
      </c>
      <c r="L402" s="137"/>
      <c r="M402" s="30" t="s">
        <v>775</v>
      </c>
      <c r="N402" s="137" t="s">
        <v>2265</v>
      </c>
      <c r="O402" s="139">
        <f t="shared" si="37"/>
        <v>12</v>
      </c>
      <c r="P402" s="143" t="s">
        <v>1937</v>
      </c>
      <c r="Q402" s="139">
        <f t="shared" si="38"/>
        <v>16</v>
      </c>
      <c r="R402" s="141">
        <f t="shared" si="39"/>
        <v>0.42857142857142855</v>
      </c>
      <c r="S402" s="138"/>
      <c r="T402" s="138"/>
      <c r="U402" s="138"/>
      <c r="V402" s="138" t="s">
        <v>2221</v>
      </c>
      <c r="W402" s="138" t="s">
        <v>2221</v>
      </c>
      <c r="X402" s="138" t="s">
        <v>2221</v>
      </c>
      <c r="Y402" s="138" t="s">
        <v>2221</v>
      </c>
      <c r="Z402" s="138" t="s">
        <v>2221</v>
      </c>
      <c r="AA402" s="138"/>
      <c r="AB402" s="138"/>
      <c r="AC402" s="138" t="s">
        <v>2221</v>
      </c>
      <c r="AD402" s="138" t="s">
        <v>2221</v>
      </c>
      <c r="AE402" s="138" t="s">
        <v>2221</v>
      </c>
      <c r="AF402" s="138" t="s">
        <v>2221</v>
      </c>
      <c r="AG402" s="138"/>
      <c r="AH402" s="138"/>
      <c r="AI402" s="138"/>
      <c r="AJ402" s="138" t="s">
        <v>2221</v>
      </c>
      <c r="AK402" s="138" t="s">
        <v>2221</v>
      </c>
      <c r="AL402" s="138" t="s">
        <v>2221</v>
      </c>
      <c r="AM402" s="138" t="s">
        <v>2221</v>
      </c>
      <c r="AN402" s="138" t="s">
        <v>2221</v>
      </c>
      <c r="AO402" s="138"/>
      <c r="AP402" s="138"/>
      <c r="AQ402" s="138"/>
      <c r="AR402" s="138" t="s">
        <v>2221</v>
      </c>
      <c r="AS402" s="138" t="s">
        <v>2221</v>
      </c>
      <c r="AT402" s="138"/>
      <c r="AU402" s="138"/>
      <c r="AV402" s="138"/>
    </row>
    <row r="403" spans="1:49" s="73" customFormat="1" ht="15.75" thickBot="1" x14ac:dyDescent="0.3">
      <c r="A403">
        <v>1</v>
      </c>
      <c r="B403">
        <v>18</v>
      </c>
      <c r="C403"/>
      <c r="D403"/>
      <c r="E403" t="s">
        <v>2360</v>
      </c>
      <c r="F403" t="s">
        <v>389</v>
      </c>
      <c r="G403" t="s">
        <v>400</v>
      </c>
      <c r="H403" t="s">
        <v>1041</v>
      </c>
      <c r="I403" t="s">
        <v>401</v>
      </c>
      <c r="J403" s="30" t="s">
        <v>71</v>
      </c>
      <c r="K403" s="30" t="s">
        <v>27</v>
      </c>
      <c r="L403" s="30"/>
      <c r="M403" s="30" t="s">
        <v>776</v>
      </c>
      <c r="N403" s="30" t="s">
        <v>2265</v>
      </c>
      <c r="O403" s="31">
        <f t="shared" si="37"/>
        <v>28</v>
      </c>
      <c r="P403" s="136" t="s">
        <v>1938</v>
      </c>
      <c r="Q403" s="31">
        <f t="shared" si="38"/>
        <v>0</v>
      </c>
      <c r="R403" s="32">
        <f t="shared" si="39"/>
        <v>1</v>
      </c>
      <c r="S403" s="70"/>
      <c r="T403" s="70"/>
      <c r="U403" s="70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148"/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150"/>
    </row>
    <row r="404" spans="1:49" ht="15.75" thickBot="1" x14ac:dyDescent="0.3">
      <c r="A404">
        <v>1</v>
      </c>
      <c r="B404">
        <v>18</v>
      </c>
      <c r="C404"/>
      <c r="D404"/>
      <c r="E404" t="s">
        <v>2360</v>
      </c>
      <c r="F404" t="s">
        <v>389</v>
      </c>
      <c r="G404" t="s">
        <v>402</v>
      </c>
      <c r="H404" t="s">
        <v>1041</v>
      </c>
      <c r="I404" t="s">
        <v>401</v>
      </c>
      <c r="J404" s="30" t="s">
        <v>71</v>
      </c>
      <c r="K404" s="30" t="s">
        <v>27</v>
      </c>
      <c r="L404" s="30"/>
      <c r="M404" s="30" t="s">
        <v>777</v>
      </c>
      <c r="N404" s="30" t="s">
        <v>2265</v>
      </c>
      <c r="O404" s="31">
        <f t="shared" si="37"/>
        <v>28</v>
      </c>
      <c r="P404" s="136" t="s">
        <v>1939</v>
      </c>
      <c r="Q404" s="31">
        <f t="shared" si="38"/>
        <v>0</v>
      </c>
      <c r="R404" s="32">
        <f t="shared" si="39"/>
        <v>1</v>
      </c>
      <c r="S404" s="70"/>
      <c r="T404" s="70"/>
      <c r="U404" s="70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148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  <c r="AW404" s="73"/>
    </row>
    <row r="405" spans="1:49" ht="15.75" thickBot="1" x14ac:dyDescent="0.3">
      <c r="A405">
        <v>1</v>
      </c>
      <c r="B405">
        <v>18</v>
      </c>
      <c r="C405"/>
      <c r="D405"/>
      <c r="E405" t="s">
        <v>2360</v>
      </c>
      <c r="F405" t="s">
        <v>389</v>
      </c>
      <c r="G405" t="s">
        <v>403</v>
      </c>
      <c r="H405" t="s">
        <v>1041</v>
      </c>
      <c r="I405" t="s">
        <v>404</v>
      </c>
      <c r="J405" s="30" t="s">
        <v>71</v>
      </c>
      <c r="K405" s="30" t="s">
        <v>27</v>
      </c>
      <c r="L405" s="30"/>
      <c r="M405" s="30" t="s">
        <v>778</v>
      </c>
      <c r="N405" s="30" t="s">
        <v>2265</v>
      </c>
      <c r="O405" s="31">
        <f t="shared" si="37"/>
        <v>28</v>
      </c>
      <c r="P405" s="136" t="s">
        <v>1940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69"/>
    </row>
    <row r="406" spans="1:49" ht="15.75" thickBot="1" x14ac:dyDescent="0.3">
      <c r="A406">
        <v>1</v>
      </c>
      <c r="B406">
        <v>18</v>
      </c>
      <c r="C406"/>
      <c r="D406"/>
      <c r="E406" t="s">
        <v>2360</v>
      </c>
      <c r="F406" t="s">
        <v>389</v>
      </c>
      <c r="G406" t="s">
        <v>405</v>
      </c>
      <c r="H406" t="s">
        <v>1041</v>
      </c>
      <c r="I406" t="s">
        <v>404</v>
      </c>
      <c r="J406" s="30" t="s">
        <v>71</v>
      </c>
      <c r="K406" s="30" t="s">
        <v>27</v>
      </c>
      <c r="L406" s="30"/>
      <c r="M406" s="30" t="s">
        <v>779</v>
      </c>
      <c r="N406" s="30" t="s">
        <v>2265</v>
      </c>
      <c r="O406" s="31">
        <f t="shared" si="37"/>
        <v>28</v>
      </c>
      <c r="P406" s="136" t="s">
        <v>1941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0"/>
      <c r="Y406" s="70"/>
      <c r="Z406" s="70"/>
      <c r="AA406" s="71"/>
      <c r="AB406" s="71"/>
      <c r="AC406" s="71"/>
      <c r="AD406" s="70"/>
      <c r="AE406" s="70"/>
      <c r="AF406" s="70"/>
      <c r="AG406" s="142"/>
      <c r="AH406" s="70"/>
      <c r="AI406" s="70"/>
      <c r="AJ406" s="71"/>
      <c r="AK406" s="71"/>
      <c r="AL406" s="70"/>
      <c r="AM406" s="70"/>
      <c r="AN406" s="70"/>
      <c r="AO406" s="70"/>
      <c r="AP406" s="70"/>
      <c r="AQ406" s="71"/>
      <c r="AR406" s="71"/>
      <c r="AS406" s="71"/>
      <c r="AT406" s="71"/>
      <c r="AU406" s="71"/>
      <c r="AV406" s="70"/>
    </row>
    <row r="407" spans="1:49" ht="15.75" thickBot="1" x14ac:dyDescent="0.3">
      <c r="A407" s="69"/>
      <c r="B407" s="69"/>
      <c r="C407" s="69"/>
      <c r="D407" s="69"/>
      <c r="E407" s="69"/>
      <c r="F407" s="69" t="s">
        <v>183</v>
      </c>
      <c r="G407" s="69" t="s">
        <v>406</v>
      </c>
      <c r="H407" s="69" t="s">
        <v>1042</v>
      </c>
      <c r="I407" s="69" t="s">
        <v>407</v>
      </c>
      <c r="J407" s="137" t="s">
        <v>14</v>
      </c>
      <c r="K407" s="137" t="s">
        <v>19</v>
      </c>
      <c r="L407" s="137"/>
      <c r="M407" s="137" t="s">
        <v>781</v>
      </c>
      <c r="N407" s="137"/>
      <c r="O407" s="139">
        <f t="shared" si="37"/>
        <v>10</v>
      </c>
      <c r="P407" s="140"/>
      <c r="Q407" s="139">
        <f t="shared" si="38"/>
        <v>18</v>
      </c>
      <c r="R407" s="141">
        <f t="shared" si="39"/>
        <v>0.35714285714285715</v>
      </c>
      <c r="S407" s="142"/>
      <c r="T407" s="142"/>
      <c r="U407" s="142"/>
      <c r="V407" s="71" t="s">
        <v>2221</v>
      </c>
      <c r="W407" s="71" t="s">
        <v>2221</v>
      </c>
      <c r="X407" s="70" t="s">
        <v>2221</v>
      </c>
      <c r="Y407" s="70" t="s">
        <v>2221</v>
      </c>
      <c r="Z407" s="70" t="s">
        <v>2221</v>
      </c>
      <c r="AA407" s="148"/>
      <c r="AB407" s="148"/>
      <c r="AC407" s="70" t="s">
        <v>2221</v>
      </c>
      <c r="AD407" s="70" t="s">
        <v>2221</v>
      </c>
      <c r="AE407" s="70" t="s">
        <v>2221</v>
      </c>
      <c r="AF407" s="70" t="s">
        <v>2221</v>
      </c>
      <c r="AG407" s="70" t="s">
        <v>2221</v>
      </c>
      <c r="AH407" s="70"/>
      <c r="AI407" s="70"/>
      <c r="AJ407" s="70" t="s">
        <v>2221</v>
      </c>
      <c r="AK407" s="70" t="s">
        <v>2221</v>
      </c>
      <c r="AL407" s="70" t="s">
        <v>2221</v>
      </c>
      <c r="AM407" s="70" t="s">
        <v>2221</v>
      </c>
      <c r="AN407" s="70" t="s">
        <v>2221</v>
      </c>
      <c r="AO407" s="70"/>
      <c r="AP407" s="70"/>
      <c r="AQ407" s="148"/>
      <c r="AR407" s="70" t="s">
        <v>2221</v>
      </c>
      <c r="AS407" s="70" t="s">
        <v>2221</v>
      </c>
      <c r="AT407" s="70" t="s">
        <v>2221</v>
      </c>
      <c r="AU407" s="71"/>
      <c r="AV407" s="70"/>
    </row>
    <row r="408" spans="1:49" s="69" customFormat="1" ht="15.75" thickBot="1" x14ac:dyDescent="0.3">
      <c r="A408"/>
      <c r="B408"/>
      <c r="C408"/>
      <c r="D408"/>
      <c r="E408"/>
      <c r="F408" s="73" t="s">
        <v>183</v>
      </c>
      <c r="G408" s="73" t="s">
        <v>408</v>
      </c>
      <c r="H408" s="73" t="s">
        <v>1042</v>
      </c>
      <c r="I408" s="73" t="s">
        <v>409</v>
      </c>
      <c r="J408" s="84" t="s">
        <v>14</v>
      </c>
      <c r="K408" s="84" t="s">
        <v>1278</v>
      </c>
      <c r="L408" s="84"/>
      <c r="M408" s="84" t="s">
        <v>1406</v>
      </c>
      <c r="N408" s="84"/>
      <c r="O408" s="131">
        <f t="shared" si="37"/>
        <v>25</v>
      </c>
      <c r="P408" s="136" t="s">
        <v>1948</v>
      </c>
      <c r="Q408" s="131">
        <f t="shared" si="38"/>
        <v>3</v>
      </c>
      <c r="R408" s="132">
        <f t="shared" si="39"/>
        <v>0.8928571428571429</v>
      </c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 t="s">
        <v>2221</v>
      </c>
      <c r="AK408" s="70" t="s">
        <v>2221</v>
      </c>
      <c r="AL408" s="70" t="s">
        <v>2221</v>
      </c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  <c r="AW408" s="73"/>
    </row>
    <row r="409" spans="1:49" s="73" customFormat="1" ht="15.75" thickBot="1" x14ac:dyDescent="0.3">
      <c r="A409"/>
      <c r="B409"/>
      <c r="C409"/>
      <c r="D409"/>
      <c r="E409"/>
      <c r="F409" t="s">
        <v>183</v>
      </c>
      <c r="G409" t="s">
        <v>994</v>
      </c>
      <c r="H409" t="s">
        <v>1042</v>
      </c>
      <c r="I409" t="s">
        <v>995</v>
      </c>
      <c r="J409" s="30" t="s">
        <v>71</v>
      </c>
      <c r="K409" s="30" t="s">
        <v>19</v>
      </c>
      <c r="L409" s="30"/>
      <c r="M409" s="30" t="s">
        <v>1258</v>
      </c>
      <c r="N409" s="30"/>
      <c r="O409" s="31">
        <f t="shared" si="37"/>
        <v>28</v>
      </c>
      <c r="P409" s="136" t="s">
        <v>2412</v>
      </c>
      <c r="Q409" s="31">
        <f t="shared" si="38"/>
        <v>0</v>
      </c>
      <c r="R409" s="32">
        <f t="shared" si="39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</row>
    <row r="410" spans="1:49" ht="15.75" thickBot="1" x14ac:dyDescent="0.3">
      <c r="A410"/>
      <c r="B410"/>
      <c r="C410"/>
      <c r="D410"/>
      <c r="E410"/>
      <c r="F410" t="s">
        <v>183</v>
      </c>
      <c r="G410" t="s">
        <v>996</v>
      </c>
      <c r="H410" t="s">
        <v>1042</v>
      </c>
      <c r="I410" t="s">
        <v>995</v>
      </c>
      <c r="J410" s="30" t="s">
        <v>71</v>
      </c>
      <c r="K410" s="30" t="s">
        <v>19</v>
      </c>
      <c r="L410" s="30"/>
      <c r="M410" s="30" t="s">
        <v>1374</v>
      </c>
      <c r="N410" s="30"/>
      <c r="O410" s="31">
        <f t="shared" si="37"/>
        <v>28</v>
      </c>
      <c r="P410" s="136" t="s">
        <v>2413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73"/>
    </row>
    <row r="411" spans="1:49" ht="15.75" thickBot="1" x14ac:dyDescent="0.3">
      <c r="A411"/>
      <c r="B411"/>
      <c r="C411"/>
      <c r="D411"/>
      <c r="E411"/>
      <c r="F411" s="73" t="s">
        <v>183</v>
      </c>
      <c r="G411" s="73" t="s">
        <v>410</v>
      </c>
      <c r="H411" s="73" t="s">
        <v>1042</v>
      </c>
      <c r="I411" s="73" t="s">
        <v>411</v>
      </c>
      <c r="J411" s="84" t="s">
        <v>18</v>
      </c>
      <c r="K411" s="30" t="s">
        <v>1035</v>
      </c>
      <c r="L411" s="84"/>
      <c r="M411" s="84" t="s">
        <v>1407</v>
      </c>
      <c r="N411" s="84"/>
      <c r="O411" s="85">
        <f t="shared" si="37"/>
        <v>27</v>
      </c>
      <c r="P411" s="136" t="s">
        <v>1949</v>
      </c>
      <c r="Q411" s="85">
        <f t="shared" si="38"/>
        <v>1</v>
      </c>
      <c r="R411" s="86">
        <f t="shared" si="39"/>
        <v>0.9642857142857143</v>
      </c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70" t="s">
        <v>2221</v>
      </c>
      <c r="AU411" s="87"/>
      <c r="AV411" s="87"/>
      <c r="AW411" s="73"/>
    </row>
    <row r="412" spans="1:49" s="73" customFormat="1" ht="15.75" thickBot="1" x14ac:dyDescent="0.3">
      <c r="A412"/>
      <c r="B412"/>
      <c r="C412"/>
      <c r="D412"/>
      <c r="E412"/>
      <c r="F412" t="s">
        <v>183</v>
      </c>
      <c r="G412" t="s">
        <v>412</v>
      </c>
      <c r="H412" t="s">
        <v>1042</v>
      </c>
      <c r="I412" t="s">
        <v>413</v>
      </c>
      <c r="J412" s="30" t="s">
        <v>18</v>
      </c>
      <c r="K412" s="30" t="s">
        <v>19</v>
      </c>
      <c r="L412" s="30"/>
      <c r="M412" s="30" t="s">
        <v>780</v>
      </c>
      <c r="N412" s="30"/>
      <c r="O412" s="31">
        <f t="shared" si="37"/>
        <v>28</v>
      </c>
      <c r="P412" s="136" t="s">
        <v>1853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</row>
    <row r="413" spans="1:49" ht="15.75" thickBot="1" x14ac:dyDescent="0.3">
      <c r="A413"/>
      <c r="B413"/>
      <c r="C413"/>
      <c r="D413"/>
      <c r="E413" s="151" t="s">
        <v>2445</v>
      </c>
      <c r="F413" t="s">
        <v>183</v>
      </c>
      <c r="G413" t="s">
        <v>414</v>
      </c>
      <c r="H413" t="s">
        <v>1042</v>
      </c>
      <c r="I413" t="s">
        <v>415</v>
      </c>
      <c r="J413" s="30" t="s">
        <v>71</v>
      </c>
      <c r="K413" s="30" t="s">
        <v>2367</v>
      </c>
      <c r="L413" s="30"/>
      <c r="M413" s="30" t="s">
        <v>783</v>
      </c>
      <c r="N413" s="30"/>
      <c r="O413" s="31">
        <f t="shared" si="37"/>
        <v>10</v>
      </c>
      <c r="P413" s="136" t="s">
        <v>1950</v>
      </c>
      <c r="Q413" s="31">
        <f t="shared" si="38"/>
        <v>18</v>
      </c>
      <c r="R413" s="32">
        <f t="shared" si="39"/>
        <v>0.35714285714285715</v>
      </c>
      <c r="S413" s="70"/>
      <c r="T413" s="70"/>
      <c r="U413" s="70"/>
      <c r="V413" s="70" t="s">
        <v>2221</v>
      </c>
      <c r="W413" s="70" t="s">
        <v>2221</v>
      </c>
      <c r="X413" s="70" t="s">
        <v>2221</v>
      </c>
      <c r="Y413" s="70" t="s">
        <v>2221</v>
      </c>
      <c r="Z413" s="70" t="s">
        <v>2221</v>
      </c>
      <c r="AA413" s="70"/>
      <c r="AB413" s="70"/>
      <c r="AC413" s="70" t="s">
        <v>2221</v>
      </c>
      <c r="AD413" s="70" t="s">
        <v>2221</v>
      </c>
      <c r="AE413" s="70" t="s">
        <v>2221</v>
      </c>
      <c r="AF413" s="70" t="s">
        <v>2221</v>
      </c>
      <c r="AG413" s="70" t="s">
        <v>2221</v>
      </c>
      <c r="AH413" s="70"/>
      <c r="AI413" s="70"/>
      <c r="AJ413" s="70" t="s">
        <v>2221</v>
      </c>
      <c r="AK413" s="70" t="s">
        <v>2221</v>
      </c>
      <c r="AL413" s="70" t="s">
        <v>2221</v>
      </c>
      <c r="AM413" s="70" t="s">
        <v>2221</v>
      </c>
      <c r="AN413" s="70" t="s">
        <v>2221</v>
      </c>
      <c r="AO413" s="70"/>
      <c r="AP413" s="70"/>
      <c r="AQ413" s="70"/>
      <c r="AR413" s="70" t="s">
        <v>2221</v>
      </c>
      <c r="AS413" s="70" t="s">
        <v>2221</v>
      </c>
      <c r="AT413" s="70" t="s">
        <v>2221</v>
      </c>
      <c r="AU413" s="70"/>
      <c r="AV413" s="70"/>
    </row>
    <row r="414" spans="1:49" ht="15.75" thickBot="1" x14ac:dyDescent="0.3">
      <c r="A414"/>
      <c r="B414"/>
      <c r="C414"/>
      <c r="D414"/>
      <c r="E414" s="151" t="s">
        <v>2445</v>
      </c>
      <c r="F414" t="s">
        <v>183</v>
      </c>
      <c r="G414" t="s">
        <v>416</v>
      </c>
      <c r="H414" t="s">
        <v>1042</v>
      </c>
      <c r="I414" t="s">
        <v>415</v>
      </c>
      <c r="J414" s="30" t="s">
        <v>71</v>
      </c>
      <c r="K414" s="30" t="s">
        <v>2367</v>
      </c>
      <c r="L414" s="30"/>
      <c r="M414" s="30" t="s">
        <v>784</v>
      </c>
      <c r="N414" s="30"/>
      <c r="O414" s="31">
        <f t="shared" si="37"/>
        <v>10</v>
      </c>
      <c r="P414" s="136" t="s">
        <v>1951</v>
      </c>
      <c r="Q414" s="31">
        <f t="shared" si="38"/>
        <v>18</v>
      </c>
      <c r="R414" s="32">
        <f t="shared" si="39"/>
        <v>0.35714285714285715</v>
      </c>
      <c r="S414" s="70"/>
      <c r="T414" s="70"/>
      <c r="U414" s="70"/>
      <c r="V414" s="70" t="s">
        <v>2221</v>
      </c>
      <c r="W414" s="70" t="s">
        <v>2221</v>
      </c>
      <c r="X414" s="70" t="s">
        <v>2221</v>
      </c>
      <c r="Y414" s="70" t="s">
        <v>2221</v>
      </c>
      <c r="Z414" s="70" t="s">
        <v>2221</v>
      </c>
      <c r="AA414" s="70"/>
      <c r="AB414" s="70"/>
      <c r="AC414" s="70" t="s">
        <v>2221</v>
      </c>
      <c r="AD414" s="70" t="s">
        <v>2221</v>
      </c>
      <c r="AE414" s="70" t="s">
        <v>2221</v>
      </c>
      <c r="AF414" s="70" t="s">
        <v>2221</v>
      </c>
      <c r="AG414" s="70" t="s">
        <v>2221</v>
      </c>
      <c r="AH414" s="70"/>
      <c r="AI414" s="70"/>
      <c r="AJ414" s="70" t="s">
        <v>2221</v>
      </c>
      <c r="AK414" s="70" t="s">
        <v>2221</v>
      </c>
      <c r="AL414" s="70" t="s">
        <v>2221</v>
      </c>
      <c r="AM414" s="70" t="s">
        <v>2221</v>
      </c>
      <c r="AN414" s="70" t="s">
        <v>2221</v>
      </c>
      <c r="AO414" s="70"/>
      <c r="AP414" s="70"/>
      <c r="AQ414" s="70"/>
      <c r="AR414" s="70" t="s">
        <v>2221</v>
      </c>
      <c r="AS414" s="70" t="s">
        <v>2221</v>
      </c>
      <c r="AT414" s="70" t="s">
        <v>2221</v>
      </c>
      <c r="AU414" s="70"/>
      <c r="AV414" s="70"/>
    </row>
    <row r="415" spans="1:49" ht="15.75" thickBot="1" x14ac:dyDescent="0.3">
      <c r="A415"/>
      <c r="B415"/>
      <c r="C415"/>
      <c r="D415"/>
      <c r="E415" s="151" t="s">
        <v>2445</v>
      </c>
      <c r="F415" s="73" t="s">
        <v>183</v>
      </c>
      <c r="G415" s="73" t="s">
        <v>417</v>
      </c>
      <c r="H415" s="73" t="s">
        <v>1042</v>
      </c>
      <c r="I415" s="73" t="s">
        <v>418</v>
      </c>
      <c r="J415" s="84" t="s">
        <v>71</v>
      </c>
      <c r="K415" s="84" t="s">
        <v>1278</v>
      </c>
      <c r="L415" s="84"/>
      <c r="M415" s="84" t="s">
        <v>785</v>
      </c>
      <c r="N415" s="84"/>
      <c r="O415" s="131">
        <f t="shared" si="37"/>
        <v>18</v>
      </c>
      <c r="P415" s="136" t="s">
        <v>1952</v>
      </c>
      <c r="Q415" s="131">
        <f t="shared" si="38"/>
        <v>10</v>
      </c>
      <c r="R415" s="132">
        <f t="shared" si="39"/>
        <v>0.6428571428571429</v>
      </c>
      <c r="S415" s="70"/>
      <c r="T415" s="70"/>
      <c r="U415" s="70"/>
      <c r="V415" s="70" t="s">
        <v>2221</v>
      </c>
      <c r="W415" s="70" t="s">
        <v>2221</v>
      </c>
      <c r="X415" s="70" t="s">
        <v>2221</v>
      </c>
      <c r="Y415" s="70" t="s">
        <v>2221</v>
      </c>
      <c r="Z415" s="70" t="s">
        <v>2221</v>
      </c>
      <c r="AA415" s="70"/>
      <c r="AB415" s="70"/>
      <c r="AC415" s="70" t="s">
        <v>2221</v>
      </c>
      <c r="AD415" s="70" t="s">
        <v>2221</v>
      </c>
      <c r="AE415" s="70" t="s">
        <v>2221</v>
      </c>
      <c r="AF415" s="70" t="s">
        <v>2221</v>
      </c>
      <c r="AG415" s="70" t="s">
        <v>2221</v>
      </c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s="73" customFormat="1" ht="15.75" thickBot="1" x14ac:dyDescent="0.3">
      <c r="A416"/>
      <c r="B416"/>
      <c r="C416"/>
      <c r="D416"/>
      <c r="E416" s="151" t="s">
        <v>2445</v>
      </c>
      <c r="F416" s="73" t="s">
        <v>183</v>
      </c>
      <c r="G416" s="73" t="s">
        <v>419</v>
      </c>
      <c r="H416" s="73" t="s">
        <v>1042</v>
      </c>
      <c r="I416" s="73" t="s">
        <v>418</v>
      </c>
      <c r="J416" s="84" t="s">
        <v>71</v>
      </c>
      <c r="K416" s="84" t="s">
        <v>1278</v>
      </c>
      <c r="L416" s="84"/>
      <c r="M416" s="84" t="s">
        <v>786</v>
      </c>
      <c r="N416" s="84"/>
      <c r="O416" s="131">
        <f t="shared" si="37"/>
        <v>18</v>
      </c>
      <c r="P416" s="136" t="s">
        <v>1953</v>
      </c>
      <c r="Q416" s="131">
        <f t="shared" si="38"/>
        <v>10</v>
      </c>
      <c r="R416" s="132">
        <f t="shared" si="39"/>
        <v>0.6428571428571429</v>
      </c>
      <c r="S416" s="70"/>
      <c r="T416" s="70"/>
      <c r="U416" s="70"/>
      <c r="V416" s="70" t="s">
        <v>2221</v>
      </c>
      <c r="W416" s="70" t="s">
        <v>2221</v>
      </c>
      <c r="X416" s="70" t="s">
        <v>2221</v>
      </c>
      <c r="Y416" s="70" t="s">
        <v>2221</v>
      </c>
      <c r="Z416" s="70" t="s">
        <v>2221</v>
      </c>
      <c r="AA416" s="70"/>
      <c r="AB416" s="70"/>
      <c r="AC416" s="70" t="s">
        <v>2221</v>
      </c>
      <c r="AD416" s="70" t="s">
        <v>2221</v>
      </c>
      <c r="AE416" s="70" t="s">
        <v>2221</v>
      </c>
      <c r="AF416" s="70" t="s">
        <v>2221</v>
      </c>
      <c r="AG416" s="70" t="s">
        <v>2221</v>
      </c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/>
    </row>
    <row r="417" spans="1:49" s="73" customFormat="1" ht="17.25" customHeight="1" thickBot="1" x14ac:dyDescent="0.3">
      <c r="A417"/>
      <c r="B417"/>
      <c r="C417"/>
      <c r="D417"/>
      <c r="E417"/>
      <c r="F417" s="73" t="s">
        <v>183</v>
      </c>
      <c r="G417" s="73" t="s">
        <v>1514</v>
      </c>
      <c r="H417" s="73" t="s">
        <v>1042</v>
      </c>
      <c r="I417" s="73" t="s">
        <v>1515</v>
      </c>
      <c r="J417" s="84" t="s">
        <v>71</v>
      </c>
      <c r="K417" s="84" t="s">
        <v>1278</v>
      </c>
      <c r="L417" s="84"/>
      <c r="M417" s="84" t="s">
        <v>2300</v>
      </c>
      <c r="N417" s="84"/>
      <c r="O417" s="131">
        <f t="shared" si="37"/>
        <v>28</v>
      </c>
      <c r="P417" s="136" t="s">
        <v>2302</v>
      </c>
      <c r="Q417" s="131">
        <f t="shared" si="38"/>
        <v>0</v>
      </c>
      <c r="R417" s="1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/>
    </row>
    <row r="418" spans="1:49" s="73" customFormat="1" ht="15.75" thickBot="1" x14ac:dyDescent="0.3">
      <c r="A418"/>
      <c r="B418"/>
      <c r="C418"/>
      <c r="D418"/>
      <c r="E418"/>
      <c r="F418" s="73" t="s">
        <v>183</v>
      </c>
      <c r="G418" s="73" t="s">
        <v>1516</v>
      </c>
      <c r="H418" s="73" t="s">
        <v>1042</v>
      </c>
      <c r="I418" s="73" t="s">
        <v>1515</v>
      </c>
      <c r="J418" s="84" t="s">
        <v>71</v>
      </c>
      <c r="K418" s="84" t="s">
        <v>1278</v>
      </c>
      <c r="L418" s="84"/>
      <c r="M418" s="84" t="s">
        <v>2301</v>
      </c>
      <c r="N418" s="84"/>
      <c r="O418" s="131">
        <f t="shared" si="37"/>
        <v>28</v>
      </c>
      <c r="P418" s="136" t="s">
        <v>2303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5.75" thickBot="1" x14ac:dyDescent="0.3">
      <c r="A419"/>
      <c r="B419"/>
      <c r="C419"/>
      <c r="D419"/>
      <c r="E419"/>
      <c r="F419" s="73" t="s">
        <v>183</v>
      </c>
      <c r="G419" s="73" t="s">
        <v>1593</v>
      </c>
      <c r="H419" s="73" t="s">
        <v>1042</v>
      </c>
      <c r="I419" s="73" t="s">
        <v>1594</v>
      </c>
      <c r="J419" s="84" t="s">
        <v>71</v>
      </c>
      <c r="K419" s="84" t="s">
        <v>1278</v>
      </c>
      <c r="L419" s="84"/>
      <c r="M419" s="84" t="s">
        <v>1595</v>
      </c>
      <c r="N419" s="84"/>
      <c r="O419" s="131">
        <f t="shared" si="37"/>
        <v>28</v>
      </c>
      <c r="P419" s="136" t="s">
        <v>2103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thickBot="1" x14ac:dyDescent="0.3">
      <c r="A420"/>
      <c r="B420"/>
      <c r="C420"/>
      <c r="D420"/>
      <c r="E420"/>
      <c r="F420" s="73" t="s">
        <v>183</v>
      </c>
      <c r="G420" s="73" t="s">
        <v>2100</v>
      </c>
      <c r="H420" s="73" t="s">
        <v>1042</v>
      </c>
      <c r="I420" s="73" t="s">
        <v>2101</v>
      </c>
      <c r="J420" s="89" t="s">
        <v>18</v>
      </c>
      <c r="K420" s="84" t="s">
        <v>1278</v>
      </c>
      <c r="L420" s="84"/>
      <c r="M420" s="84" t="s">
        <v>2288</v>
      </c>
      <c r="N420" s="84"/>
      <c r="O420" s="131">
        <f t="shared" si="37"/>
        <v>24</v>
      </c>
      <c r="P420" s="136" t="s">
        <v>2102</v>
      </c>
      <c r="Q420" s="131">
        <f t="shared" si="38"/>
        <v>4</v>
      </c>
      <c r="R420" s="132">
        <f t="shared" si="39"/>
        <v>0.8571428571428571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 t="s">
        <v>2221</v>
      </c>
      <c r="AE420" s="70" t="s">
        <v>2221</v>
      </c>
      <c r="AF420" s="70"/>
      <c r="AG420" s="70"/>
      <c r="AH420" s="70"/>
      <c r="AI420" s="70"/>
      <c r="AJ420" s="70"/>
      <c r="AK420" s="70"/>
      <c r="AL420" s="70"/>
      <c r="AM420" s="70"/>
      <c r="AN420" s="70" t="s">
        <v>2221</v>
      </c>
      <c r="AO420" s="70"/>
      <c r="AP420" s="70"/>
      <c r="AQ420" s="70"/>
      <c r="AR420" s="70" t="s">
        <v>2221</v>
      </c>
      <c r="AS420" s="70"/>
      <c r="AT420" s="70"/>
      <c r="AU420" s="70"/>
      <c r="AV420" s="70"/>
      <c r="AW420"/>
    </row>
    <row r="421" spans="1:49" s="73" customFormat="1" ht="15.75" thickBot="1" x14ac:dyDescent="0.3">
      <c r="A421" s="88"/>
      <c r="B421" s="88"/>
      <c r="C421" s="88"/>
      <c r="D421" s="88"/>
      <c r="E421" s="88"/>
      <c r="F421" s="73" t="s">
        <v>2208</v>
      </c>
      <c r="G421" s="73" t="s">
        <v>421</v>
      </c>
      <c r="H421" s="88" t="s">
        <v>1042</v>
      </c>
      <c r="I421" s="73" t="s">
        <v>422</v>
      </c>
      <c r="J421" s="89" t="s">
        <v>18</v>
      </c>
      <c r="K421" s="84" t="s">
        <v>1278</v>
      </c>
      <c r="L421" s="84"/>
      <c r="M421" s="84" t="s">
        <v>2149</v>
      </c>
      <c r="N421" s="84"/>
      <c r="O421" s="31">
        <f t="shared" si="37"/>
        <v>28</v>
      </c>
      <c r="P421" s="136" t="s">
        <v>2150</v>
      </c>
      <c r="Q421" s="31">
        <f t="shared" si="38"/>
        <v>0</v>
      </c>
      <c r="R421" s="32">
        <f t="shared" si="39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90"/>
      <c r="AL421" s="90"/>
      <c r="AM421" s="70"/>
      <c r="AN421" s="90"/>
      <c r="AO421" s="90"/>
      <c r="AP421" s="90"/>
      <c r="AQ421" s="90"/>
      <c r="AR421" s="90"/>
      <c r="AS421" s="90"/>
      <c r="AT421" s="90"/>
      <c r="AU421" s="90"/>
      <c r="AV421" s="90"/>
      <c r="AW421"/>
    </row>
    <row r="422" spans="1:49" s="88" customFormat="1" ht="15.75" thickBot="1" x14ac:dyDescent="0.3">
      <c r="A422"/>
      <c r="B422"/>
      <c r="C422"/>
      <c r="D422"/>
      <c r="E422"/>
      <c r="F422" s="73" t="s">
        <v>2208</v>
      </c>
      <c r="G422" s="73" t="s">
        <v>1329</v>
      </c>
      <c r="H422" s="73" t="s">
        <v>1042</v>
      </c>
      <c r="I422" s="73" t="s">
        <v>1330</v>
      </c>
      <c r="J422" s="89" t="s">
        <v>18</v>
      </c>
      <c r="K422" s="84" t="s">
        <v>1278</v>
      </c>
      <c r="L422" s="84"/>
      <c r="M422" s="84" t="s">
        <v>1390</v>
      </c>
      <c r="N422" s="84"/>
      <c r="O422" s="131">
        <f t="shared" si="37"/>
        <v>27</v>
      </c>
      <c r="P422" s="136" t="s">
        <v>1954</v>
      </c>
      <c r="Q422" s="131">
        <f t="shared" si="38"/>
        <v>1</v>
      </c>
      <c r="R422" s="132">
        <f t="shared" si="39"/>
        <v>0.9642857142857143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 t="s">
        <v>2221</v>
      </c>
      <c r="AN422" s="70"/>
      <c r="AO422" s="70"/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5.75" thickBot="1" x14ac:dyDescent="0.3">
      <c r="A423"/>
      <c r="B423"/>
      <c r="C423"/>
      <c r="D423"/>
      <c r="E423"/>
      <c r="F423" s="73" t="s">
        <v>2208</v>
      </c>
      <c r="G423" s="73" t="s">
        <v>1378</v>
      </c>
      <c r="H423" s="73" t="s">
        <v>1042</v>
      </c>
      <c r="I423" s="73" t="s">
        <v>1379</v>
      </c>
      <c r="J423" s="89" t="s">
        <v>18</v>
      </c>
      <c r="K423" s="84" t="s">
        <v>1278</v>
      </c>
      <c r="L423" s="84"/>
      <c r="M423" s="84" t="s">
        <v>1380</v>
      </c>
      <c r="N423" s="84"/>
      <c r="O423" s="131">
        <f t="shared" si="37"/>
        <v>28</v>
      </c>
      <c r="P423" s="136" t="s">
        <v>1955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thickBot="1" x14ac:dyDescent="0.3">
      <c r="A424"/>
      <c r="B424"/>
      <c r="C424"/>
      <c r="D424"/>
      <c r="E424"/>
      <c r="F424" s="73" t="s">
        <v>2208</v>
      </c>
      <c r="G424" s="73" t="s">
        <v>2204</v>
      </c>
      <c r="H424" s="73" t="s">
        <v>1042</v>
      </c>
      <c r="I424" s="73" t="s">
        <v>2205</v>
      </c>
      <c r="J424" s="89" t="s">
        <v>18</v>
      </c>
      <c r="K424" s="84" t="s">
        <v>1278</v>
      </c>
      <c r="L424" s="84"/>
      <c r="M424" s="84" t="s">
        <v>2206</v>
      </c>
      <c r="N424" s="84"/>
      <c r="O424" s="131">
        <f t="shared" si="37"/>
        <v>28</v>
      </c>
      <c r="P424" s="136" t="s">
        <v>2207</v>
      </c>
      <c r="Q424" s="131">
        <f t="shared" si="38"/>
        <v>0</v>
      </c>
      <c r="R424" s="132">
        <f t="shared" si="39"/>
        <v>1</v>
      </c>
      <c r="S424" s="70"/>
      <c r="T424" s="70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</row>
    <row r="425" spans="1:49" s="73" customFormat="1" ht="15.75" thickBot="1" x14ac:dyDescent="0.3">
      <c r="A425" s="88"/>
      <c r="B425" s="88"/>
      <c r="C425" s="88"/>
      <c r="D425" s="88"/>
      <c r="E425" s="88"/>
      <c r="F425" s="88" t="s">
        <v>425</v>
      </c>
      <c r="G425" s="88" t="s">
        <v>423</v>
      </c>
      <c r="H425" s="88" t="s">
        <v>1042</v>
      </c>
      <c r="I425" s="88" t="s">
        <v>424</v>
      </c>
      <c r="J425" s="89" t="s">
        <v>18</v>
      </c>
      <c r="K425" s="89" t="s">
        <v>19</v>
      </c>
      <c r="L425" s="89"/>
      <c r="M425" s="89" t="s">
        <v>787</v>
      </c>
      <c r="N425" s="89"/>
      <c r="O425" s="31">
        <f t="shared" si="37"/>
        <v>10</v>
      </c>
      <c r="P425" s="136"/>
      <c r="Q425" s="31">
        <f t="shared" si="38"/>
        <v>18</v>
      </c>
      <c r="R425" s="32">
        <f t="shared" si="39"/>
        <v>0.35714285714285715</v>
      </c>
      <c r="S425" s="70"/>
      <c r="T425" s="70"/>
      <c r="U425" s="71"/>
      <c r="V425" s="71" t="s">
        <v>2221</v>
      </c>
      <c r="W425" s="71" t="s">
        <v>2221</v>
      </c>
      <c r="X425" s="70" t="s">
        <v>2221</v>
      </c>
      <c r="Y425" s="70" t="s">
        <v>2221</v>
      </c>
      <c r="Z425" s="70" t="s">
        <v>2221</v>
      </c>
      <c r="AA425" s="71"/>
      <c r="AB425" s="71"/>
      <c r="AC425" s="70" t="s">
        <v>2221</v>
      </c>
      <c r="AD425" s="70" t="s">
        <v>2221</v>
      </c>
      <c r="AE425" s="70" t="s">
        <v>2221</v>
      </c>
      <c r="AF425" s="70" t="s">
        <v>2221</v>
      </c>
      <c r="AG425" s="70" t="s">
        <v>2221</v>
      </c>
      <c r="AH425" s="71"/>
      <c r="AI425" s="71"/>
      <c r="AJ425" s="70" t="s">
        <v>2221</v>
      </c>
      <c r="AK425" s="70" t="s">
        <v>2221</v>
      </c>
      <c r="AL425" s="70" t="s">
        <v>2221</v>
      </c>
      <c r="AM425" s="70" t="s">
        <v>2221</v>
      </c>
      <c r="AN425" s="70" t="s">
        <v>2221</v>
      </c>
      <c r="AO425" s="71"/>
      <c r="AP425" s="71"/>
      <c r="AQ425" s="149"/>
      <c r="AR425" s="70" t="s">
        <v>2221</v>
      </c>
      <c r="AS425" s="70" t="s">
        <v>2221</v>
      </c>
      <c r="AT425" s="70" t="s">
        <v>2221</v>
      </c>
      <c r="AU425" s="71"/>
      <c r="AV425" s="71"/>
      <c r="AW425"/>
    </row>
    <row r="426" spans="1:49" s="73" customFormat="1" ht="15.75" thickBot="1" x14ac:dyDescent="0.3">
      <c r="A426"/>
      <c r="B426"/>
      <c r="C426"/>
      <c r="D426"/>
      <c r="E426"/>
      <c r="F426" s="73" t="s">
        <v>425</v>
      </c>
      <c r="G426" s="73" t="s">
        <v>426</v>
      </c>
      <c r="H426" s="73" t="s">
        <v>1042</v>
      </c>
      <c r="I426" s="73" t="s">
        <v>427</v>
      </c>
      <c r="J426" s="84" t="s">
        <v>45</v>
      </c>
      <c r="K426" s="84" t="s">
        <v>1278</v>
      </c>
      <c r="L426" s="84"/>
      <c r="M426" s="84" t="s">
        <v>1350</v>
      </c>
      <c r="N426" s="84"/>
      <c r="O426" s="131">
        <f t="shared" si="37"/>
        <v>27</v>
      </c>
      <c r="P426" s="136" t="s">
        <v>1958</v>
      </c>
      <c r="Q426" s="131">
        <f t="shared" si="38"/>
        <v>1</v>
      </c>
      <c r="R426" s="132">
        <f t="shared" si="39"/>
        <v>0.9642857142857143</v>
      </c>
      <c r="S426" s="70"/>
      <c r="T426" s="70"/>
      <c r="U426" s="70"/>
      <c r="V426" s="70"/>
      <c r="W426" s="70"/>
      <c r="X426" s="70" t="s">
        <v>2221</v>
      </c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thickBot="1" x14ac:dyDescent="0.3">
      <c r="A427"/>
      <c r="B427"/>
      <c r="C427"/>
      <c r="D427"/>
      <c r="E427" t="s">
        <v>2347</v>
      </c>
      <c r="F427" t="s">
        <v>425</v>
      </c>
      <c r="G427" t="s">
        <v>428</v>
      </c>
      <c r="H427" t="s">
        <v>1042</v>
      </c>
      <c r="I427" t="s">
        <v>429</v>
      </c>
      <c r="J427" s="30" t="s">
        <v>14</v>
      </c>
      <c r="K427" s="30" t="s">
        <v>27</v>
      </c>
      <c r="L427" s="30"/>
      <c r="M427" s="30" t="s">
        <v>789</v>
      </c>
      <c r="N427" s="30"/>
      <c r="O427" s="31">
        <f t="shared" si="37"/>
        <v>28</v>
      </c>
      <c r="P427" s="136" t="s">
        <v>2414</v>
      </c>
      <c r="Q427" s="31">
        <f t="shared" si="38"/>
        <v>0</v>
      </c>
      <c r="R427" s="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88" customFormat="1" ht="15.75" thickBot="1" x14ac:dyDescent="0.3">
      <c r="A428"/>
      <c r="B428"/>
      <c r="C428"/>
      <c r="D428"/>
      <c r="E428"/>
      <c r="F428" s="73" t="s">
        <v>425</v>
      </c>
      <c r="G428" s="73" t="s">
        <v>430</v>
      </c>
      <c r="H428" s="73" t="s">
        <v>1042</v>
      </c>
      <c r="I428" s="73" t="s">
        <v>431</v>
      </c>
      <c r="J428" s="84" t="s">
        <v>14</v>
      </c>
      <c r="K428" s="84" t="s">
        <v>1278</v>
      </c>
      <c r="L428" s="84"/>
      <c r="M428" s="84" t="s">
        <v>790</v>
      </c>
      <c r="N428" s="84"/>
      <c r="O428" s="131">
        <f t="shared" si="37"/>
        <v>15</v>
      </c>
      <c r="P428" s="136" t="s">
        <v>1960</v>
      </c>
      <c r="Q428" s="131">
        <f t="shared" si="38"/>
        <v>13</v>
      </c>
      <c r="R428" s="132">
        <f t="shared" si="39"/>
        <v>0.5357142857142857</v>
      </c>
      <c r="S428" s="70"/>
      <c r="T428" s="70"/>
      <c r="U428" s="70"/>
      <c r="V428" s="70" t="s">
        <v>2221</v>
      </c>
      <c r="W428" s="70"/>
      <c r="X428" s="70"/>
      <c r="Y428" s="70"/>
      <c r="Z428" s="70" t="s">
        <v>2221</v>
      </c>
      <c r="AA428" s="70"/>
      <c r="AB428" s="70"/>
      <c r="AC428" s="70" t="s">
        <v>2221</v>
      </c>
      <c r="AD428" s="70" t="s">
        <v>2221</v>
      </c>
      <c r="AE428" s="70" t="s">
        <v>2221</v>
      </c>
      <c r="AF428" s="70" t="s">
        <v>2221</v>
      </c>
      <c r="AG428" s="70" t="s">
        <v>2221</v>
      </c>
      <c r="AH428" s="70"/>
      <c r="AI428" s="70"/>
      <c r="AJ428" s="70" t="s">
        <v>2221</v>
      </c>
      <c r="AK428" s="70" t="s">
        <v>2221</v>
      </c>
      <c r="AL428" s="70" t="s">
        <v>2221</v>
      </c>
      <c r="AM428" s="70" t="s">
        <v>2221</v>
      </c>
      <c r="AN428" s="70" t="s">
        <v>2221</v>
      </c>
      <c r="AO428" s="70"/>
      <c r="AP428" s="70"/>
      <c r="AQ428" s="70"/>
      <c r="AR428" s="70" t="s">
        <v>2221</v>
      </c>
      <c r="AS428" s="70"/>
      <c r="AT428" s="70"/>
      <c r="AU428" s="70"/>
      <c r="AV428" s="70"/>
      <c r="AW428"/>
    </row>
    <row r="429" spans="1:49" s="73" customFormat="1" ht="15.75" thickBot="1" x14ac:dyDescent="0.3">
      <c r="A429"/>
      <c r="B429"/>
      <c r="C429"/>
      <c r="D429"/>
      <c r="E429" s="151" t="s">
        <v>2460</v>
      </c>
      <c r="F429" t="s">
        <v>1103</v>
      </c>
      <c r="G429" t="s">
        <v>1104</v>
      </c>
      <c r="H429" t="s">
        <v>1042</v>
      </c>
      <c r="I429" t="s">
        <v>1105</v>
      </c>
      <c r="J429" s="30" t="s">
        <v>1093</v>
      </c>
      <c r="K429" s="30" t="s">
        <v>2367</v>
      </c>
      <c r="L429" s="30"/>
      <c r="M429" s="30" t="s">
        <v>1117</v>
      </c>
      <c r="N429" s="30"/>
      <c r="O429" s="31">
        <f t="shared" si="37"/>
        <v>28</v>
      </c>
      <c r="P429" s="136" t="s">
        <v>1961</v>
      </c>
      <c r="Q429" s="31">
        <f t="shared" si="38"/>
        <v>0</v>
      </c>
      <c r="R429" s="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ht="15.75" thickBot="1" x14ac:dyDescent="0.3">
      <c r="A430"/>
      <c r="B430"/>
      <c r="C430"/>
      <c r="D430"/>
      <c r="E430" s="151" t="s">
        <v>2460</v>
      </c>
      <c r="F430" t="s">
        <v>1103</v>
      </c>
      <c r="G430" t="s">
        <v>1121</v>
      </c>
      <c r="H430" t="s">
        <v>1042</v>
      </c>
      <c r="I430" t="s">
        <v>1105</v>
      </c>
      <c r="J430" s="30" t="s">
        <v>1093</v>
      </c>
      <c r="K430" s="30" t="s">
        <v>2367</v>
      </c>
      <c r="L430" s="30"/>
      <c r="M430" s="30" t="s">
        <v>1118</v>
      </c>
      <c r="N430" s="30"/>
      <c r="O430" s="31">
        <f t="shared" si="37"/>
        <v>28</v>
      </c>
      <c r="P430" s="136" t="s">
        <v>1962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69"/>
    </row>
    <row r="431" spans="1:49" ht="15.75" thickBot="1" x14ac:dyDescent="0.3">
      <c r="A431"/>
      <c r="B431"/>
      <c r="C431"/>
      <c r="D431"/>
      <c r="E431"/>
      <c r="F431" s="73" t="s">
        <v>425</v>
      </c>
      <c r="G431" s="73" t="s">
        <v>432</v>
      </c>
      <c r="H431" s="73" t="s">
        <v>1042</v>
      </c>
      <c r="I431" s="73" t="s">
        <v>433</v>
      </c>
      <c r="J431" s="84" t="s">
        <v>14</v>
      </c>
      <c r="K431" s="84" t="s">
        <v>1278</v>
      </c>
      <c r="L431" s="84"/>
      <c r="M431" s="84" t="s">
        <v>1349</v>
      </c>
      <c r="N431" s="84"/>
      <c r="O431" s="131">
        <f t="shared" si="37"/>
        <v>28</v>
      </c>
      <c r="P431" s="136" t="s">
        <v>1956</v>
      </c>
      <c r="Q431" s="131">
        <f t="shared" si="38"/>
        <v>0</v>
      </c>
      <c r="R431" s="1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</row>
    <row r="432" spans="1:49" s="73" customFormat="1" ht="15.75" thickBot="1" x14ac:dyDescent="0.3">
      <c r="A432"/>
      <c r="B432"/>
      <c r="C432"/>
      <c r="D432"/>
      <c r="E432"/>
      <c r="F432" s="73" t="s">
        <v>425</v>
      </c>
      <c r="G432" s="73" t="s">
        <v>434</v>
      </c>
      <c r="H432" s="73" t="s">
        <v>1042</v>
      </c>
      <c r="I432" s="73" t="s">
        <v>435</v>
      </c>
      <c r="J432" s="84" t="s">
        <v>18</v>
      </c>
      <c r="K432" s="84" t="s">
        <v>1278</v>
      </c>
      <c r="L432" s="84"/>
      <c r="M432" s="84" t="s">
        <v>1399</v>
      </c>
      <c r="N432" s="84"/>
      <c r="O432" s="131">
        <f t="shared" si="37"/>
        <v>10</v>
      </c>
      <c r="P432" s="136" t="s">
        <v>1957</v>
      </c>
      <c r="Q432" s="131">
        <f t="shared" si="38"/>
        <v>18</v>
      </c>
      <c r="R432" s="132">
        <f t="shared" si="39"/>
        <v>0.35714285714285715</v>
      </c>
      <c r="S432" s="70"/>
      <c r="T432" s="70"/>
      <c r="U432" s="70"/>
      <c r="V432" s="70" t="s">
        <v>2221</v>
      </c>
      <c r="W432" s="70" t="s">
        <v>2221</v>
      </c>
      <c r="X432" s="70" t="s">
        <v>2221</v>
      </c>
      <c r="Y432" s="70" t="s">
        <v>2221</v>
      </c>
      <c r="Z432" s="70" t="s">
        <v>2221</v>
      </c>
      <c r="AA432" s="70"/>
      <c r="AB432" s="70"/>
      <c r="AC432" s="70" t="s">
        <v>2221</v>
      </c>
      <c r="AD432" s="70" t="s">
        <v>2221</v>
      </c>
      <c r="AE432" s="70" t="s">
        <v>2221</v>
      </c>
      <c r="AF432" s="70" t="s">
        <v>2221</v>
      </c>
      <c r="AG432" s="70" t="s">
        <v>2221</v>
      </c>
      <c r="AH432" s="70"/>
      <c r="AI432" s="70"/>
      <c r="AJ432" s="70" t="s">
        <v>2221</v>
      </c>
      <c r="AK432" s="70" t="s">
        <v>2221</v>
      </c>
      <c r="AL432" s="70" t="s">
        <v>2221</v>
      </c>
      <c r="AM432" s="70" t="s">
        <v>2221</v>
      </c>
      <c r="AN432" s="70" t="s">
        <v>2221</v>
      </c>
      <c r="AO432" s="70"/>
      <c r="AP432" s="70"/>
      <c r="AQ432" s="70"/>
      <c r="AR432" s="70" t="s">
        <v>2221</v>
      </c>
      <c r="AS432" s="70" t="s">
        <v>2221</v>
      </c>
      <c r="AT432" s="70" t="s">
        <v>2221</v>
      </c>
      <c r="AU432" s="70"/>
      <c r="AV432" s="70"/>
      <c r="AW432"/>
    </row>
    <row r="433" spans="1:49" ht="15.75" thickBot="1" x14ac:dyDescent="0.3">
      <c r="A433">
        <v>5</v>
      </c>
      <c r="B433">
        <v>3</v>
      </c>
      <c r="C433"/>
      <c r="D433"/>
      <c r="E433" t="s">
        <v>1233</v>
      </c>
      <c r="F433" t="s">
        <v>425</v>
      </c>
      <c r="G433" t="s">
        <v>436</v>
      </c>
      <c r="H433" t="s">
        <v>1042</v>
      </c>
      <c r="I433" t="s">
        <v>437</v>
      </c>
      <c r="J433" s="30" t="s">
        <v>14</v>
      </c>
      <c r="K433" s="30" t="s">
        <v>1035</v>
      </c>
      <c r="L433" s="30" t="s">
        <v>1233</v>
      </c>
      <c r="M433" s="30" t="s">
        <v>788</v>
      </c>
      <c r="N433" s="30"/>
      <c r="O433" s="31">
        <f t="shared" si="37"/>
        <v>28</v>
      </c>
      <c r="P433" s="136" t="s">
        <v>1959</v>
      </c>
      <c r="Q433" s="31">
        <f t="shared" si="38"/>
        <v>0</v>
      </c>
      <c r="R433" s="32">
        <f t="shared" si="39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</row>
    <row r="434" spans="1:49" ht="16.899999999999999" customHeight="1" thickBot="1" x14ac:dyDescent="0.3">
      <c r="A434"/>
      <c r="B434"/>
      <c r="C434"/>
      <c r="D434"/>
      <c r="E434"/>
      <c r="F434" s="73" t="s">
        <v>281</v>
      </c>
      <c r="G434" s="73" t="s">
        <v>1290</v>
      </c>
      <c r="H434" s="73" t="s">
        <v>1042</v>
      </c>
      <c r="I434" s="73" t="s">
        <v>1291</v>
      </c>
      <c r="J434" s="84" t="s">
        <v>14</v>
      </c>
      <c r="K434" s="84" t="s">
        <v>1278</v>
      </c>
      <c r="L434" s="84"/>
      <c r="M434" s="84" t="s">
        <v>1292</v>
      </c>
      <c r="N434" s="84"/>
      <c r="O434" s="31">
        <f t="shared" si="37"/>
        <v>26</v>
      </c>
      <c r="P434" s="136" t="s">
        <v>1931</v>
      </c>
      <c r="Q434" s="31">
        <f t="shared" si="38"/>
        <v>2</v>
      </c>
      <c r="R434" s="32">
        <f t="shared" si="39"/>
        <v>0.9285714285714286</v>
      </c>
      <c r="S434" s="70"/>
      <c r="T434" s="70"/>
      <c r="U434" s="70"/>
      <c r="V434" s="70"/>
      <c r="W434" s="70"/>
      <c r="X434" s="70"/>
      <c r="Y434" s="70"/>
      <c r="Z434" s="70" t="s">
        <v>2221</v>
      </c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 t="s">
        <v>2221</v>
      </c>
      <c r="AT434" s="70"/>
      <c r="AU434" s="70"/>
      <c r="AV434" s="70"/>
    </row>
    <row r="435" spans="1:49" s="73" customFormat="1" ht="16.899999999999999" customHeight="1" thickBot="1" x14ac:dyDescent="0.3">
      <c r="A435"/>
      <c r="B435"/>
      <c r="C435"/>
      <c r="D435"/>
      <c r="E435"/>
      <c r="F435" t="s">
        <v>1103</v>
      </c>
      <c r="G435" s="73" t="s">
        <v>1528</v>
      </c>
      <c r="H435" s="73" t="s">
        <v>1042</v>
      </c>
      <c r="I435" s="73" t="s">
        <v>1529</v>
      </c>
      <c r="J435" s="84" t="s">
        <v>1093</v>
      </c>
      <c r="K435" s="84" t="s">
        <v>1278</v>
      </c>
      <c r="L435" s="84"/>
      <c r="M435" s="84" t="s">
        <v>1531</v>
      </c>
      <c r="N435" s="84"/>
      <c r="O435" s="31">
        <f t="shared" si="37"/>
        <v>28</v>
      </c>
      <c r="P435" s="136" t="s">
        <v>1963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s="73" customFormat="1" ht="16.899999999999999" customHeight="1" thickBot="1" x14ac:dyDescent="0.3">
      <c r="A436"/>
      <c r="B436"/>
      <c r="C436"/>
      <c r="D436"/>
      <c r="E436"/>
      <c r="F436" t="s">
        <v>1103</v>
      </c>
      <c r="G436" s="73" t="s">
        <v>1527</v>
      </c>
      <c r="H436" s="73" t="s">
        <v>1042</v>
      </c>
      <c r="I436" s="73" t="s">
        <v>1530</v>
      </c>
      <c r="J436" s="84" t="s">
        <v>1093</v>
      </c>
      <c r="K436" s="84" t="s">
        <v>1278</v>
      </c>
      <c r="L436" s="84"/>
      <c r="M436" s="84" t="s">
        <v>1532</v>
      </c>
      <c r="N436" s="84"/>
      <c r="O436" s="31">
        <f t="shared" si="37"/>
        <v>28</v>
      </c>
      <c r="P436" s="136" t="s">
        <v>1964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</row>
    <row r="437" spans="1:49" s="73" customFormat="1" ht="16.899999999999999" customHeight="1" thickBot="1" x14ac:dyDescent="0.3">
      <c r="A437"/>
      <c r="B437"/>
      <c r="C437"/>
      <c r="D437"/>
      <c r="E437"/>
      <c r="F437" t="s">
        <v>1103</v>
      </c>
      <c r="G437" s="73" t="s">
        <v>2190</v>
      </c>
      <c r="H437" s="73" t="s">
        <v>1042</v>
      </c>
      <c r="I437" s="73" t="s">
        <v>2191</v>
      </c>
      <c r="J437" s="84" t="s">
        <v>1093</v>
      </c>
      <c r="K437" s="84" t="s">
        <v>1278</v>
      </c>
      <c r="L437" s="84"/>
      <c r="M437" s="84" t="s">
        <v>2289</v>
      </c>
      <c r="N437" s="84"/>
      <c r="O437" s="31">
        <f t="shared" si="37"/>
        <v>28</v>
      </c>
      <c r="P437" s="136" t="s">
        <v>2421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ht="15.75" thickBot="1" x14ac:dyDescent="0.3">
      <c r="A438">
        <v>9</v>
      </c>
      <c r="B438">
        <v>2</v>
      </c>
      <c r="C438"/>
      <c r="D438"/>
      <c r="E438" t="s">
        <v>44</v>
      </c>
      <c r="F438" t="s">
        <v>155</v>
      </c>
      <c r="G438" t="s">
        <v>997</v>
      </c>
      <c r="H438" t="s">
        <v>1041</v>
      </c>
      <c r="I438" t="s">
        <v>441</v>
      </c>
      <c r="J438" s="30" t="s">
        <v>71</v>
      </c>
      <c r="K438" s="30" t="s">
        <v>27</v>
      </c>
      <c r="L438" s="30"/>
      <c r="M438" s="30" t="s">
        <v>793</v>
      </c>
      <c r="N438" s="30"/>
      <c r="O438" s="31">
        <f t="shared" si="37"/>
        <v>28</v>
      </c>
      <c r="P438" s="136" t="s">
        <v>1967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142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73"/>
    </row>
    <row r="439" spans="1:49" ht="15.75" thickBot="1" x14ac:dyDescent="0.3">
      <c r="A439">
        <v>9</v>
      </c>
      <c r="B439">
        <v>2</v>
      </c>
      <c r="C439"/>
      <c r="D439"/>
      <c r="E439" t="s">
        <v>44</v>
      </c>
      <c r="F439" t="s">
        <v>155</v>
      </c>
      <c r="G439" t="s">
        <v>998</v>
      </c>
      <c r="H439" t="s">
        <v>1041</v>
      </c>
      <c r="I439" t="s">
        <v>441</v>
      </c>
      <c r="J439" s="30" t="s">
        <v>71</v>
      </c>
      <c r="K439" s="30" t="s">
        <v>27</v>
      </c>
      <c r="L439" s="30"/>
      <c r="M439" s="30" t="s">
        <v>794</v>
      </c>
      <c r="N439" s="30"/>
      <c r="O439" s="31">
        <f t="shared" si="37"/>
        <v>28</v>
      </c>
      <c r="P439" s="136" t="s">
        <v>1968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142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3"/>
    </row>
    <row r="440" spans="1:49" ht="15.75" thickBot="1" x14ac:dyDescent="0.3">
      <c r="A440">
        <v>9</v>
      </c>
      <c r="B440">
        <v>2</v>
      </c>
      <c r="C440"/>
      <c r="D440"/>
      <c r="E440" t="s">
        <v>44</v>
      </c>
      <c r="F440" t="s">
        <v>155</v>
      </c>
      <c r="G440" t="s">
        <v>438</v>
      </c>
      <c r="H440" t="s">
        <v>1041</v>
      </c>
      <c r="I440" t="s">
        <v>439</v>
      </c>
      <c r="J440" s="30" t="s">
        <v>71</v>
      </c>
      <c r="K440" s="30" t="s">
        <v>27</v>
      </c>
      <c r="L440" s="30"/>
      <c r="M440" s="30" t="s">
        <v>791</v>
      </c>
      <c r="N440" s="30"/>
      <c r="O440" s="31">
        <f t="shared" si="37"/>
        <v>28</v>
      </c>
      <c r="P440" s="136" t="s">
        <v>1965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440</v>
      </c>
      <c r="H441" t="s">
        <v>1041</v>
      </c>
      <c r="I441" t="s">
        <v>439</v>
      </c>
      <c r="J441" s="30" t="s">
        <v>71</v>
      </c>
      <c r="K441" s="30" t="s">
        <v>27</v>
      </c>
      <c r="L441" s="30"/>
      <c r="M441" s="30" t="s">
        <v>792</v>
      </c>
      <c r="N441" s="30"/>
      <c r="O441" s="31">
        <f t="shared" si="37"/>
        <v>28</v>
      </c>
      <c r="P441" s="136" t="s">
        <v>1966</v>
      </c>
      <c r="Q441" s="31">
        <f t="shared" si="38"/>
        <v>0</v>
      </c>
      <c r="R441" s="32">
        <f t="shared" si="39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1:49" ht="15.75" thickBot="1" x14ac:dyDescent="0.3">
      <c r="A442"/>
      <c r="B442"/>
      <c r="C442"/>
      <c r="D442"/>
      <c r="E442"/>
      <c r="F442" s="73" t="s">
        <v>442</v>
      </c>
      <c r="G442" s="73" t="s">
        <v>999</v>
      </c>
      <c r="H442" s="73" t="s">
        <v>1042</v>
      </c>
      <c r="I442" s="73" t="s">
        <v>455</v>
      </c>
      <c r="J442" s="84" t="s">
        <v>18</v>
      </c>
      <c r="K442" s="84" t="s">
        <v>1278</v>
      </c>
      <c r="L442" s="84"/>
      <c r="M442" s="84" t="s">
        <v>1305</v>
      </c>
      <c r="N442" s="84"/>
      <c r="O442" s="131">
        <f t="shared" si="37"/>
        <v>10</v>
      </c>
      <c r="P442" s="136" t="s">
        <v>1972</v>
      </c>
      <c r="Q442" s="131">
        <f t="shared" si="38"/>
        <v>18</v>
      </c>
      <c r="R442" s="132">
        <f t="shared" si="39"/>
        <v>0.35714285714285715</v>
      </c>
      <c r="S442" s="70"/>
      <c r="T442" s="70"/>
      <c r="U442" s="70"/>
      <c r="V442" s="70" t="s">
        <v>2221</v>
      </c>
      <c r="W442" s="70" t="s">
        <v>2221</v>
      </c>
      <c r="X442" s="70" t="s">
        <v>2221</v>
      </c>
      <c r="Y442" s="70" t="s">
        <v>2221</v>
      </c>
      <c r="Z442" s="70" t="s">
        <v>2221</v>
      </c>
      <c r="AA442" s="70"/>
      <c r="AB442" s="70"/>
      <c r="AC442" s="70" t="s">
        <v>2221</v>
      </c>
      <c r="AD442" s="70" t="s">
        <v>2221</v>
      </c>
      <c r="AE442" s="70" t="s">
        <v>2221</v>
      </c>
      <c r="AF442" s="70" t="s">
        <v>2221</v>
      </c>
      <c r="AG442" s="70" t="s">
        <v>2221</v>
      </c>
      <c r="AH442" s="70"/>
      <c r="AI442" s="70"/>
      <c r="AJ442" s="70" t="s">
        <v>2221</v>
      </c>
      <c r="AK442" s="70" t="s">
        <v>2221</v>
      </c>
      <c r="AL442" s="70" t="s">
        <v>2221</v>
      </c>
      <c r="AM442" s="70" t="s">
        <v>2221</v>
      </c>
      <c r="AN442" s="70" t="s">
        <v>2221</v>
      </c>
      <c r="AO442" s="70"/>
      <c r="AP442" s="70"/>
      <c r="AQ442" s="70"/>
      <c r="AR442" s="70" t="s">
        <v>2221</v>
      </c>
      <c r="AS442" s="70" t="s">
        <v>2221</v>
      </c>
      <c r="AT442" s="70" t="s">
        <v>2221</v>
      </c>
      <c r="AU442" s="70"/>
      <c r="AV442" s="70"/>
    </row>
    <row r="443" spans="1:49" ht="15.75" thickBot="1" x14ac:dyDescent="0.3">
      <c r="A443"/>
      <c r="B443"/>
      <c r="C443"/>
      <c r="D443"/>
      <c r="E443" s="151" t="s">
        <v>2459</v>
      </c>
      <c r="F443" t="s">
        <v>442</v>
      </c>
      <c r="G443" t="s">
        <v>446</v>
      </c>
      <c r="H443" t="s">
        <v>1042</v>
      </c>
      <c r="I443" t="s">
        <v>447</v>
      </c>
      <c r="J443" s="30" t="s">
        <v>18</v>
      </c>
      <c r="K443" s="30" t="s">
        <v>1278</v>
      </c>
      <c r="L443" s="30"/>
      <c r="M443" s="30" t="s">
        <v>800</v>
      </c>
      <c r="N443" s="30"/>
      <c r="O443" s="31">
        <f t="shared" si="37"/>
        <v>27</v>
      </c>
      <c r="P443" s="136" t="s">
        <v>1975</v>
      </c>
      <c r="Q443" s="31">
        <f t="shared" si="38"/>
        <v>1</v>
      </c>
      <c r="R443" s="32">
        <f t="shared" si="39"/>
        <v>0.9642857142857143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 t="s">
        <v>2221</v>
      </c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88"/>
    </row>
    <row r="444" spans="1:49" s="73" customFormat="1" ht="15.75" thickBot="1" x14ac:dyDescent="0.3">
      <c r="A444" s="69"/>
      <c r="B444" s="69"/>
      <c r="C444" s="69"/>
      <c r="D444" s="69"/>
      <c r="E444" s="69"/>
      <c r="F444" s="69" t="s">
        <v>442</v>
      </c>
      <c r="G444" s="69" t="s">
        <v>1000</v>
      </c>
      <c r="H444" s="69" t="s">
        <v>1042</v>
      </c>
      <c r="I444" s="69" t="s">
        <v>456</v>
      </c>
      <c r="J444" s="137" t="s">
        <v>14</v>
      </c>
      <c r="K444" s="137" t="s">
        <v>19</v>
      </c>
      <c r="L444" s="137"/>
      <c r="M444" s="137" t="s">
        <v>795</v>
      </c>
      <c r="N444" s="137"/>
      <c r="O444" s="139">
        <f t="shared" si="37"/>
        <v>10</v>
      </c>
      <c r="P444" s="140"/>
      <c r="Q444" s="139">
        <f t="shared" si="38"/>
        <v>18</v>
      </c>
      <c r="R444" s="141">
        <f t="shared" si="39"/>
        <v>0.35714285714285715</v>
      </c>
      <c r="S444" s="142"/>
      <c r="T444" s="142"/>
      <c r="U444" s="142"/>
      <c r="V444" s="70" t="s">
        <v>2221</v>
      </c>
      <c r="W444" s="70" t="s">
        <v>2221</v>
      </c>
      <c r="X444" s="70" t="s">
        <v>2221</v>
      </c>
      <c r="Y444" s="70" t="s">
        <v>2221</v>
      </c>
      <c r="Z444" s="70" t="s">
        <v>2221</v>
      </c>
      <c r="AA444" s="142"/>
      <c r="AB444" s="142"/>
      <c r="AC444" s="70" t="s">
        <v>2221</v>
      </c>
      <c r="AD444" s="70" t="s">
        <v>2221</v>
      </c>
      <c r="AE444" s="70" t="s">
        <v>2221</v>
      </c>
      <c r="AF444" s="70" t="s">
        <v>2221</v>
      </c>
      <c r="AG444" s="70" t="s">
        <v>2221</v>
      </c>
      <c r="AH444" s="70"/>
      <c r="AI444" s="70"/>
      <c r="AJ444" s="70" t="s">
        <v>2221</v>
      </c>
      <c r="AK444" s="70" t="s">
        <v>2221</v>
      </c>
      <c r="AL444" s="70" t="s">
        <v>2221</v>
      </c>
      <c r="AM444" s="70" t="s">
        <v>2221</v>
      </c>
      <c r="AN444" s="70" t="s">
        <v>2221</v>
      </c>
      <c r="AO444" s="70"/>
      <c r="AP444" s="70"/>
      <c r="AQ444" s="142"/>
      <c r="AR444" s="70" t="s">
        <v>2221</v>
      </c>
      <c r="AS444" s="70" t="s">
        <v>2221</v>
      </c>
      <c r="AT444" s="70" t="s">
        <v>2221</v>
      </c>
      <c r="AU444" s="70"/>
      <c r="AV444" s="70"/>
      <c r="AW444" s="88"/>
    </row>
    <row r="445" spans="1:49" s="73" customFormat="1" ht="15.75" thickBot="1" x14ac:dyDescent="0.3">
      <c r="A445"/>
      <c r="B445"/>
      <c r="C445"/>
      <c r="D445"/>
      <c r="E445" s="151" t="s">
        <v>2445</v>
      </c>
      <c r="F445" t="s">
        <v>337</v>
      </c>
      <c r="G445" t="s">
        <v>1001</v>
      </c>
      <c r="H445" t="s">
        <v>1042</v>
      </c>
      <c r="I445" t="s">
        <v>459</v>
      </c>
      <c r="J445" s="30" t="s">
        <v>71</v>
      </c>
      <c r="K445" s="30" t="s">
        <v>2367</v>
      </c>
      <c r="L445" s="30"/>
      <c r="M445" s="30" t="s">
        <v>1388</v>
      </c>
      <c r="N445" s="30"/>
      <c r="O445" s="31">
        <f t="shared" si="37"/>
        <v>25</v>
      </c>
      <c r="P445" s="136" t="s">
        <v>1976</v>
      </c>
      <c r="Q445" s="31">
        <f t="shared" si="38"/>
        <v>3</v>
      </c>
      <c r="R445" s="32">
        <f t="shared" si="39"/>
        <v>0.8928571428571429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 t="s">
        <v>2221</v>
      </c>
      <c r="AK445" s="70" t="s">
        <v>2221</v>
      </c>
      <c r="AL445" s="70" t="s">
        <v>2221</v>
      </c>
      <c r="AM445" s="70"/>
      <c r="AN445" s="70"/>
      <c r="AO445" s="70"/>
      <c r="AP445" s="70"/>
      <c r="AQ445" s="70"/>
      <c r="AR445" s="70"/>
      <c r="AS445" s="70"/>
      <c r="AT445" s="70"/>
      <c r="AU445" s="70"/>
      <c r="AV445" s="129"/>
      <c r="AW445"/>
    </row>
    <row r="446" spans="1:49" ht="15.75" thickBot="1" x14ac:dyDescent="0.3">
      <c r="A446"/>
      <c r="B446"/>
      <c r="C446"/>
      <c r="D446"/>
      <c r="E446" s="151" t="s">
        <v>2445</v>
      </c>
      <c r="F446" t="s">
        <v>337</v>
      </c>
      <c r="G446" t="s">
        <v>1002</v>
      </c>
      <c r="H446" t="s">
        <v>1042</v>
      </c>
      <c r="I446" t="s">
        <v>459</v>
      </c>
      <c r="J446" s="30" t="s">
        <v>71</v>
      </c>
      <c r="K446" s="30" t="s">
        <v>2367</v>
      </c>
      <c r="L446" s="30"/>
      <c r="M446" s="30" t="s">
        <v>1389</v>
      </c>
      <c r="N446" s="30"/>
      <c r="O446" s="31">
        <f t="shared" si="37"/>
        <v>25</v>
      </c>
      <c r="P446" s="136" t="s">
        <v>1977</v>
      </c>
      <c r="Q446" s="31">
        <f t="shared" si="38"/>
        <v>3</v>
      </c>
      <c r="R446" s="32">
        <f t="shared" si="39"/>
        <v>0.8928571428571429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142"/>
      <c r="AH446" s="70"/>
      <c r="AI446" s="70"/>
      <c r="AJ446" s="70" t="s">
        <v>2221</v>
      </c>
      <c r="AK446" s="70" t="s">
        <v>2221</v>
      </c>
      <c r="AL446" s="70" t="s">
        <v>2221</v>
      </c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9" ht="15.75" thickBot="1" x14ac:dyDescent="0.3">
      <c r="A447"/>
      <c r="B447"/>
      <c r="C447"/>
      <c r="D447"/>
      <c r="E447" s="151" t="s">
        <v>2445</v>
      </c>
      <c r="F447" t="s">
        <v>442</v>
      </c>
      <c r="G447" t="s">
        <v>1003</v>
      </c>
      <c r="H447" t="s">
        <v>1042</v>
      </c>
      <c r="I447" t="s">
        <v>462</v>
      </c>
      <c r="J447" s="30" t="s">
        <v>71</v>
      </c>
      <c r="K447" s="30" t="s">
        <v>2367</v>
      </c>
      <c r="L447" s="30" t="s">
        <v>2369</v>
      </c>
      <c r="M447" s="30" t="s">
        <v>805</v>
      </c>
      <c r="N447" s="30"/>
      <c r="O447" s="31">
        <f t="shared" si="37"/>
        <v>25</v>
      </c>
      <c r="P447" s="136" t="s">
        <v>1981</v>
      </c>
      <c r="Q447" s="31">
        <f t="shared" si="38"/>
        <v>3</v>
      </c>
      <c r="R447" s="32">
        <f t="shared" si="39"/>
        <v>0.8928571428571429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 t="s">
        <v>2221</v>
      </c>
      <c r="AK447" s="70" t="s">
        <v>2221</v>
      </c>
      <c r="AL447" s="70" t="s">
        <v>2221</v>
      </c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88"/>
    </row>
    <row r="448" spans="1:49" ht="15.75" thickBot="1" x14ac:dyDescent="0.3">
      <c r="A448"/>
      <c r="B448"/>
      <c r="C448"/>
      <c r="D448"/>
      <c r="E448" s="151" t="s">
        <v>2445</v>
      </c>
      <c r="F448" t="s">
        <v>442</v>
      </c>
      <c r="G448" t="s">
        <v>1004</v>
      </c>
      <c r="H448" t="s">
        <v>1042</v>
      </c>
      <c r="I448" t="s">
        <v>462</v>
      </c>
      <c r="J448" s="30" t="s">
        <v>71</v>
      </c>
      <c r="K448" s="30" t="s">
        <v>2367</v>
      </c>
      <c r="L448" s="30" t="s">
        <v>2369</v>
      </c>
      <c r="M448" s="30" t="s">
        <v>806</v>
      </c>
      <c r="N448" s="30"/>
      <c r="O448" s="31">
        <f t="shared" si="37"/>
        <v>25</v>
      </c>
      <c r="P448" s="136" t="s">
        <v>1982</v>
      </c>
      <c r="Q448" s="31">
        <f t="shared" si="38"/>
        <v>3</v>
      </c>
      <c r="R448" s="32">
        <f t="shared" si="39"/>
        <v>0.8928571428571429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 t="s">
        <v>2221</v>
      </c>
      <c r="AK448" s="70" t="s">
        <v>2221</v>
      </c>
      <c r="AL448" s="70" t="s">
        <v>2221</v>
      </c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thickBot="1" x14ac:dyDescent="0.3">
      <c r="A449"/>
      <c r="B449"/>
      <c r="C449"/>
      <c r="D449"/>
      <c r="E449" t="s">
        <v>2447</v>
      </c>
      <c r="F449" t="s">
        <v>442</v>
      </c>
      <c r="G449" t="s">
        <v>451</v>
      </c>
      <c r="H449" t="s">
        <v>1042</v>
      </c>
      <c r="I449" t="s">
        <v>2370</v>
      </c>
      <c r="J449" s="30" t="s">
        <v>18</v>
      </c>
      <c r="K449" s="30" t="s">
        <v>1035</v>
      </c>
      <c r="L449" s="30"/>
      <c r="M449" s="30" t="s">
        <v>1386</v>
      </c>
      <c r="N449" s="30"/>
      <c r="O449" s="31">
        <f t="shared" si="37"/>
        <v>25</v>
      </c>
      <c r="P449" s="136" t="s">
        <v>1969</v>
      </c>
      <c r="Q449" s="31">
        <f t="shared" si="38"/>
        <v>3</v>
      </c>
      <c r="R449" s="32">
        <f t="shared" si="39"/>
        <v>0.8928571428571429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 t="s">
        <v>2221</v>
      </c>
      <c r="AK449" s="70" t="s">
        <v>2221</v>
      </c>
      <c r="AL449" s="70" t="s">
        <v>2221</v>
      </c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thickBot="1" x14ac:dyDescent="0.3">
      <c r="A450"/>
      <c r="B450"/>
      <c r="C450"/>
      <c r="D450"/>
      <c r="E450" s="151" t="s">
        <v>2445</v>
      </c>
      <c r="F450" t="s">
        <v>337</v>
      </c>
      <c r="G450" t="s">
        <v>452</v>
      </c>
      <c r="H450" t="s">
        <v>1042</v>
      </c>
      <c r="I450" t="s">
        <v>1298</v>
      </c>
      <c r="J450" s="30" t="s">
        <v>18</v>
      </c>
      <c r="K450" s="30" t="s">
        <v>2365</v>
      </c>
      <c r="L450" s="30"/>
      <c r="M450" s="30" t="s">
        <v>1387</v>
      </c>
      <c r="N450" s="30"/>
      <c r="O450" s="31">
        <f t="shared" si="37"/>
        <v>25</v>
      </c>
      <c r="P450" s="136" t="s">
        <v>1970</v>
      </c>
      <c r="Q450" s="31">
        <f t="shared" si="38"/>
        <v>3</v>
      </c>
      <c r="R450" s="32">
        <f t="shared" si="39"/>
        <v>0.8928571428571429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 t="s">
        <v>2221</v>
      </c>
      <c r="AK450" s="70" t="s">
        <v>2221</v>
      </c>
      <c r="AL450" s="70" t="s">
        <v>2221</v>
      </c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s="69" customFormat="1" ht="15.75" thickBot="1" x14ac:dyDescent="0.3">
      <c r="A451"/>
      <c r="B451"/>
      <c r="C451"/>
      <c r="D451"/>
      <c r="E451" s="151" t="s">
        <v>2463</v>
      </c>
      <c r="F451" s="73" t="s">
        <v>442</v>
      </c>
      <c r="G451" s="73" t="s">
        <v>453</v>
      </c>
      <c r="H451" s="73" t="s">
        <v>1042</v>
      </c>
      <c r="I451" s="73" t="s">
        <v>454</v>
      </c>
      <c r="J451" s="84" t="s">
        <v>18</v>
      </c>
      <c r="K451" s="84" t="s">
        <v>1278</v>
      </c>
      <c r="L451" s="84"/>
      <c r="M451" s="84" t="s">
        <v>1398</v>
      </c>
      <c r="N451" s="84"/>
      <c r="O451" s="131">
        <f t="shared" si="37"/>
        <v>28</v>
      </c>
      <c r="P451" s="136" t="s">
        <v>1971</v>
      </c>
      <c r="Q451" s="131">
        <f t="shared" si="38"/>
        <v>0</v>
      </c>
      <c r="R451" s="1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/>
    </row>
    <row r="452" spans="1:49" s="69" customFormat="1" ht="15.75" thickBot="1" x14ac:dyDescent="0.3">
      <c r="A452"/>
      <c r="B452"/>
      <c r="C452"/>
      <c r="D452"/>
      <c r="E452" t="s">
        <v>2448</v>
      </c>
      <c r="F452" t="s">
        <v>442</v>
      </c>
      <c r="G452" t="s">
        <v>1005</v>
      </c>
      <c r="H452" t="s">
        <v>1042</v>
      </c>
      <c r="I452" t="s">
        <v>443</v>
      </c>
      <c r="J452" s="30" t="s">
        <v>14</v>
      </c>
      <c r="K452" s="30" t="s">
        <v>19</v>
      </c>
      <c r="L452" s="30"/>
      <c r="M452" s="30" t="s">
        <v>797</v>
      </c>
      <c r="N452" s="30"/>
      <c r="O452" s="31">
        <f t="shared" si="37"/>
        <v>28</v>
      </c>
      <c r="P452" s="136" t="s">
        <v>2415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/>
    </row>
    <row r="453" spans="1:49" ht="15.75" thickBot="1" x14ac:dyDescent="0.3">
      <c r="A453"/>
      <c r="B453"/>
      <c r="C453"/>
      <c r="D453"/>
      <c r="E453" s="151" t="s">
        <v>2453</v>
      </c>
      <c r="F453" t="s">
        <v>442</v>
      </c>
      <c r="G453" t="s">
        <v>1006</v>
      </c>
      <c r="H453" t="s">
        <v>1042</v>
      </c>
      <c r="I453" t="s">
        <v>444</v>
      </c>
      <c r="J453" s="30" t="s">
        <v>18</v>
      </c>
      <c r="K453" s="30" t="s">
        <v>1278</v>
      </c>
      <c r="L453" s="30"/>
      <c r="M453" s="30" t="s">
        <v>798</v>
      </c>
      <c r="N453" s="30"/>
      <c r="O453" s="31">
        <f t="shared" si="37"/>
        <v>27</v>
      </c>
      <c r="P453" s="136" t="s">
        <v>1973</v>
      </c>
      <c r="Q453" s="31">
        <f t="shared" si="38"/>
        <v>1</v>
      </c>
      <c r="R453" s="32">
        <f t="shared" si="39"/>
        <v>0.9642857142857143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 t="s">
        <v>2221</v>
      </c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9" ht="15.75" thickBot="1" x14ac:dyDescent="0.3">
      <c r="A454"/>
      <c r="B454"/>
      <c r="C454"/>
      <c r="D454"/>
      <c r="E454" s="151" t="s">
        <v>2453</v>
      </c>
      <c r="F454" t="s">
        <v>442</v>
      </c>
      <c r="G454" t="s">
        <v>1007</v>
      </c>
      <c r="H454" t="s">
        <v>1042</v>
      </c>
      <c r="I454" t="s">
        <v>445</v>
      </c>
      <c r="J454" s="30" t="s">
        <v>18</v>
      </c>
      <c r="K454" s="30" t="s">
        <v>1278</v>
      </c>
      <c r="L454" s="30"/>
      <c r="M454" s="30" t="s">
        <v>799</v>
      </c>
      <c r="N454" s="30"/>
      <c r="O454" s="31">
        <f t="shared" si="37"/>
        <v>28</v>
      </c>
      <c r="P454" s="136" t="s">
        <v>1974</v>
      </c>
      <c r="Q454" s="31">
        <f t="shared" si="38"/>
        <v>0</v>
      </c>
      <c r="R454" s="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thickBot="1" x14ac:dyDescent="0.3">
      <c r="A455"/>
      <c r="B455"/>
      <c r="C455"/>
      <c r="D455"/>
      <c r="E455" t="s">
        <v>2449</v>
      </c>
      <c r="F455" t="s">
        <v>442</v>
      </c>
      <c r="G455" t="s">
        <v>1008</v>
      </c>
      <c r="H455" t="s">
        <v>1042</v>
      </c>
      <c r="I455" t="s">
        <v>448</v>
      </c>
      <c r="J455" s="30" t="s">
        <v>14</v>
      </c>
      <c r="K455" s="30" t="s">
        <v>19</v>
      </c>
      <c r="L455" s="30"/>
      <c r="M455" s="30" t="s">
        <v>782</v>
      </c>
      <c r="N455" s="30"/>
      <c r="O455" s="31">
        <f t="shared" si="37"/>
        <v>28</v>
      </c>
      <c r="P455" s="136" t="s">
        <v>2416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s="73" customFormat="1" ht="15.75" thickBot="1" x14ac:dyDescent="0.3">
      <c r="A456" s="69"/>
      <c r="B456" s="69"/>
      <c r="C456" s="69"/>
      <c r="D456" s="69"/>
      <c r="E456" s="69" t="s">
        <v>2450</v>
      </c>
      <c r="F456" s="69" t="s">
        <v>442</v>
      </c>
      <c r="G456" s="69" t="s">
        <v>1009</v>
      </c>
      <c r="H456" s="69" t="s">
        <v>1042</v>
      </c>
      <c r="I456" s="69" t="s">
        <v>449</v>
      </c>
      <c r="J456" s="137" t="s">
        <v>14</v>
      </c>
      <c r="K456" s="137" t="s">
        <v>19</v>
      </c>
      <c r="L456" s="137"/>
      <c r="M456" s="137" t="s">
        <v>801</v>
      </c>
      <c r="N456" s="137"/>
      <c r="O456" s="139">
        <f t="shared" si="37"/>
        <v>11</v>
      </c>
      <c r="P456" s="140"/>
      <c r="Q456" s="139">
        <f t="shared" si="38"/>
        <v>17</v>
      </c>
      <c r="R456" s="141">
        <f t="shared" si="39"/>
        <v>0.39285714285714285</v>
      </c>
      <c r="S456" s="142"/>
      <c r="T456" s="142"/>
      <c r="U456" s="142"/>
      <c r="V456" s="70" t="s">
        <v>2221</v>
      </c>
      <c r="W456" s="70" t="s">
        <v>2221</v>
      </c>
      <c r="X456" s="70" t="s">
        <v>2221</v>
      </c>
      <c r="Y456" s="70" t="s">
        <v>2221</v>
      </c>
      <c r="Z456" s="70" t="s">
        <v>2221</v>
      </c>
      <c r="AA456" s="142"/>
      <c r="AB456" s="142"/>
      <c r="AC456" s="70" t="s">
        <v>2221</v>
      </c>
      <c r="AD456" s="70" t="s">
        <v>2221</v>
      </c>
      <c r="AE456" s="70" t="s">
        <v>2221</v>
      </c>
      <c r="AF456" s="70" t="s">
        <v>2221</v>
      </c>
      <c r="AG456" s="70" t="s">
        <v>2221</v>
      </c>
      <c r="AH456" s="70"/>
      <c r="AI456" s="70"/>
      <c r="AJ456" s="70" t="s">
        <v>2221</v>
      </c>
      <c r="AK456" s="70" t="s">
        <v>2221</v>
      </c>
      <c r="AL456" s="70" t="s">
        <v>2221</v>
      </c>
      <c r="AM456" s="70" t="s">
        <v>2221</v>
      </c>
      <c r="AN456" s="70" t="s">
        <v>2221</v>
      </c>
      <c r="AO456" s="70"/>
      <c r="AP456" s="70"/>
      <c r="AQ456" s="142"/>
      <c r="AR456" s="70" t="s">
        <v>2221</v>
      </c>
      <c r="AS456" s="70" t="s">
        <v>2221</v>
      </c>
      <c r="AT456" s="70"/>
      <c r="AU456" s="70"/>
      <c r="AV456" s="70"/>
      <c r="AW456"/>
    </row>
    <row r="457" spans="1:49" s="73" customFormat="1" ht="15.75" thickBot="1" x14ac:dyDescent="0.3">
      <c r="A457"/>
      <c r="B457"/>
      <c r="C457"/>
      <c r="D457"/>
      <c r="E457" t="s">
        <v>2451</v>
      </c>
      <c r="F457" t="s">
        <v>442</v>
      </c>
      <c r="G457" t="s">
        <v>457</v>
      </c>
      <c r="H457" t="s">
        <v>1042</v>
      </c>
      <c r="I457" t="s">
        <v>458</v>
      </c>
      <c r="J457" s="30" t="s">
        <v>14</v>
      </c>
      <c r="K457" s="30" t="s">
        <v>19</v>
      </c>
      <c r="L457" s="30"/>
      <c r="M457" s="30" t="s">
        <v>796</v>
      </c>
      <c r="N457" s="30"/>
      <c r="O457" s="31">
        <f t="shared" ref="O457:O520" si="40">COUNTIF(S457:AT457,"")</f>
        <v>28</v>
      </c>
      <c r="P457" s="136" t="s">
        <v>2417</v>
      </c>
      <c r="Q457" s="31">
        <f t="shared" ref="Q457:Q520" si="41">COUNTIF(S457:AT457,"APAGADO")</f>
        <v>0</v>
      </c>
      <c r="R457" s="32">
        <f t="shared" ref="R457:R520" si="42">(O457)/(Q457+O457)</f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s="73" customFormat="1" ht="15.75" thickBot="1" x14ac:dyDescent="0.3">
      <c r="A458"/>
      <c r="B458"/>
      <c r="C458"/>
      <c r="D458"/>
      <c r="E458" s="151" t="s">
        <v>2453</v>
      </c>
      <c r="F458" s="73" t="s">
        <v>442</v>
      </c>
      <c r="G458" s="73" t="s">
        <v>460</v>
      </c>
      <c r="H458" s="73" t="s">
        <v>1042</v>
      </c>
      <c r="I458" s="73" t="s">
        <v>461</v>
      </c>
      <c r="J458" s="84" t="s">
        <v>14</v>
      </c>
      <c r="K458" s="84" t="s">
        <v>1278</v>
      </c>
      <c r="L458" s="84"/>
      <c r="M458" s="84" t="s">
        <v>802</v>
      </c>
      <c r="N458" s="84"/>
      <c r="O458" s="131">
        <f t="shared" si="40"/>
        <v>28</v>
      </c>
      <c r="P458" s="136" t="s">
        <v>1978</v>
      </c>
      <c r="Q458" s="131">
        <f t="shared" si="41"/>
        <v>0</v>
      </c>
      <c r="R458" s="132">
        <f t="shared" si="42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142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ht="15.75" thickBot="1" x14ac:dyDescent="0.3">
      <c r="A459"/>
      <c r="B459"/>
      <c r="C459"/>
      <c r="D459"/>
      <c r="E459" s="151" t="s">
        <v>2453</v>
      </c>
      <c r="F459" s="73" t="s">
        <v>442</v>
      </c>
      <c r="G459" s="73" t="s">
        <v>1010</v>
      </c>
      <c r="H459" s="73" t="s">
        <v>1042</v>
      </c>
      <c r="I459" s="73" t="s">
        <v>450</v>
      </c>
      <c r="J459" s="84" t="s">
        <v>71</v>
      </c>
      <c r="K459" s="84" t="s">
        <v>1278</v>
      </c>
      <c r="L459" s="84"/>
      <c r="M459" s="84" t="s">
        <v>803</v>
      </c>
      <c r="N459" s="84"/>
      <c r="O459" s="131">
        <f t="shared" si="40"/>
        <v>28</v>
      </c>
      <c r="P459" s="136" t="s">
        <v>1979</v>
      </c>
      <c r="Q459" s="131">
        <f t="shared" si="41"/>
        <v>0</v>
      </c>
      <c r="R459" s="132">
        <f t="shared" si="42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73"/>
    </row>
    <row r="460" spans="1:49" ht="15.75" thickBot="1" x14ac:dyDescent="0.3">
      <c r="A460"/>
      <c r="B460"/>
      <c r="C460"/>
      <c r="D460"/>
      <c r="E460" s="151" t="s">
        <v>2453</v>
      </c>
      <c r="F460" s="73" t="s">
        <v>442</v>
      </c>
      <c r="G460" s="73" t="s">
        <v>1011</v>
      </c>
      <c r="H460" s="73" t="s">
        <v>1042</v>
      </c>
      <c r="I460" s="73" t="s">
        <v>450</v>
      </c>
      <c r="J460" s="84" t="s">
        <v>71</v>
      </c>
      <c r="K460" s="84" t="s">
        <v>1278</v>
      </c>
      <c r="L460" s="84"/>
      <c r="M460" s="84" t="s">
        <v>804</v>
      </c>
      <c r="N460" s="84"/>
      <c r="O460" s="131">
        <f t="shared" si="40"/>
        <v>28</v>
      </c>
      <c r="P460" s="136" t="s">
        <v>1980</v>
      </c>
      <c r="Q460" s="131">
        <f t="shared" si="41"/>
        <v>0</v>
      </c>
      <c r="R460" s="132">
        <f t="shared" si="42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3"/>
    </row>
    <row r="461" spans="1:49" ht="15.75" thickBot="1" x14ac:dyDescent="0.3">
      <c r="A461"/>
      <c r="B461"/>
      <c r="C461"/>
      <c r="D461"/>
      <c r="E461" s="151" t="s">
        <v>2453</v>
      </c>
      <c r="F461" t="s">
        <v>442</v>
      </c>
      <c r="G461" s="30" t="s">
        <v>1265</v>
      </c>
      <c r="H461" t="s">
        <v>1042</v>
      </c>
      <c r="I461" s="68" t="s">
        <v>1264</v>
      </c>
      <c r="J461" s="30" t="s">
        <v>71</v>
      </c>
      <c r="K461" s="30" t="s">
        <v>1278</v>
      </c>
      <c r="L461" s="30"/>
      <c r="M461" s="30" t="s">
        <v>1266</v>
      </c>
      <c r="N461" s="30"/>
      <c r="O461" s="31">
        <f t="shared" si="40"/>
        <v>26</v>
      </c>
      <c r="P461" s="136" t="s">
        <v>1983</v>
      </c>
      <c r="Q461" s="31">
        <f t="shared" si="41"/>
        <v>2</v>
      </c>
      <c r="R461" s="32">
        <f t="shared" si="42"/>
        <v>0.9285714285714286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 t="s">
        <v>2221</v>
      </c>
      <c r="AL461" s="70" t="s">
        <v>2221</v>
      </c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3"/>
    </row>
    <row r="462" spans="1:49" ht="15.75" thickBot="1" x14ac:dyDescent="0.3">
      <c r="A462"/>
      <c r="B462"/>
      <c r="C462"/>
      <c r="D462"/>
      <c r="E462" s="151" t="s">
        <v>2453</v>
      </c>
      <c r="F462" t="s">
        <v>442</v>
      </c>
      <c r="G462" t="s">
        <v>1263</v>
      </c>
      <c r="H462" t="s">
        <v>1042</v>
      </c>
      <c r="I462" s="68" t="s">
        <v>1264</v>
      </c>
      <c r="J462" s="30" t="s">
        <v>71</v>
      </c>
      <c r="K462" s="30" t="s">
        <v>1278</v>
      </c>
      <c r="L462" s="30"/>
      <c r="M462" s="30" t="s">
        <v>1267</v>
      </c>
      <c r="N462" s="30"/>
      <c r="O462" s="31">
        <f t="shared" si="40"/>
        <v>26</v>
      </c>
      <c r="P462" s="136" t="s">
        <v>1984</v>
      </c>
      <c r="Q462" s="31">
        <f t="shared" si="41"/>
        <v>2</v>
      </c>
      <c r="R462" s="32">
        <f t="shared" si="42"/>
        <v>0.9285714285714286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 t="s">
        <v>2221</v>
      </c>
      <c r="AL462" s="70" t="s">
        <v>2221</v>
      </c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3"/>
    </row>
    <row r="463" spans="1:49" s="73" customFormat="1" ht="15.75" thickBot="1" x14ac:dyDescent="0.3">
      <c r="A463"/>
      <c r="B463"/>
      <c r="C463"/>
      <c r="D463"/>
      <c r="E463" s="151" t="s">
        <v>2453</v>
      </c>
      <c r="F463" s="73" t="s">
        <v>1569</v>
      </c>
      <c r="G463" s="73" t="s">
        <v>1570</v>
      </c>
      <c r="H463" s="73" t="s">
        <v>1042</v>
      </c>
      <c r="I463" s="135" t="s">
        <v>1571</v>
      </c>
      <c r="J463" s="84" t="s">
        <v>14</v>
      </c>
      <c r="K463" s="84" t="s">
        <v>1278</v>
      </c>
      <c r="L463" s="84"/>
      <c r="M463" s="84" t="s">
        <v>1572</v>
      </c>
      <c r="N463" s="84"/>
      <c r="O463" s="31">
        <f t="shared" si="40"/>
        <v>28</v>
      </c>
      <c r="P463" s="136" t="s">
        <v>2418</v>
      </c>
      <c r="Q463" s="31">
        <f t="shared" si="41"/>
        <v>0</v>
      </c>
      <c r="R463" s="32">
        <f t="shared" si="42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/>
    </row>
    <row r="464" spans="1:49" s="73" customFormat="1" ht="15.75" thickBot="1" x14ac:dyDescent="0.3">
      <c r="A464"/>
      <c r="B464"/>
      <c r="C464"/>
      <c r="D464"/>
      <c r="E464" s="151" t="s">
        <v>2453</v>
      </c>
      <c r="F464" s="73" t="s">
        <v>1569</v>
      </c>
      <c r="G464" s="73" t="s">
        <v>1581</v>
      </c>
      <c r="H464" s="73" t="s">
        <v>1042</v>
      </c>
      <c r="I464" s="135" t="s">
        <v>1582</v>
      </c>
      <c r="J464" s="84" t="s">
        <v>18</v>
      </c>
      <c r="K464" s="84" t="s">
        <v>1278</v>
      </c>
      <c r="L464" s="84"/>
      <c r="M464" s="84" t="s">
        <v>1583</v>
      </c>
      <c r="N464" s="84"/>
      <c r="O464" s="31">
        <f t="shared" si="40"/>
        <v>28</v>
      </c>
      <c r="P464" s="136" t="s">
        <v>2419</v>
      </c>
      <c r="Q464" s="31">
        <f t="shared" si="41"/>
        <v>0</v>
      </c>
      <c r="R464" s="32">
        <f t="shared" si="42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/>
    </row>
    <row r="465" spans="1:49" s="73" customFormat="1" ht="15.75" thickBot="1" x14ac:dyDescent="0.3">
      <c r="A465"/>
      <c r="B465"/>
      <c r="C465"/>
      <c r="D465"/>
      <c r="E465" s="151" t="s">
        <v>2453</v>
      </c>
      <c r="F465" s="73" t="s">
        <v>1575</v>
      </c>
      <c r="G465" s="73" t="s">
        <v>1574</v>
      </c>
      <c r="H465" s="73" t="s">
        <v>1042</v>
      </c>
      <c r="I465" s="135" t="s">
        <v>1576</v>
      </c>
      <c r="J465" s="84" t="s">
        <v>71</v>
      </c>
      <c r="K465" s="84" t="s">
        <v>1278</v>
      </c>
      <c r="L465" s="84"/>
      <c r="M465" s="84" t="s">
        <v>1577</v>
      </c>
      <c r="N465" s="84"/>
      <c r="O465" s="31">
        <f t="shared" si="40"/>
        <v>28</v>
      </c>
      <c r="P465" s="136" t="s">
        <v>2422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1:49" s="73" customFormat="1" ht="15.75" thickBot="1" x14ac:dyDescent="0.3">
      <c r="A466"/>
      <c r="B466"/>
      <c r="C466"/>
      <c r="D466"/>
      <c r="E466" s="151" t="s">
        <v>2453</v>
      </c>
      <c r="F466" s="73" t="s">
        <v>1569</v>
      </c>
      <c r="G466" s="73" t="s">
        <v>1625</v>
      </c>
      <c r="H466" s="73" t="s">
        <v>1042</v>
      </c>
      <c r="I466" s="135" t="s">
        <v>1623</v>
      </c>
      <c r="J466" s="84" t="s">
        <v>71</v>
      </c>
      <c r="K466" s="84" t="s">
        <v>1278</v>
      </c>
      <c r="L466" s="84"/>
      <c r="M466" s="84" t="s">
        <v>1627</v>
      </c>
      <c r="N466" s="84"/>
      <c r="O466" s="31">
        <f t="shared" si="40"/>
        <v>28</v>
      </c>
      <c r="P466" s="136" t="s">
        <v>2423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/>
    </row>
    <row r="467" spans="1:49" s="73" customFormat="1" ht="15.75" thickBot="1" x14ac:dyDescent="0.3">
      <c r="A467"/>
      <c r="B467"/>
      <c r="C467"/>
      <c r="D467"/>
      <c r="E467" s="151" t="s">
        <v>2453</v>
      </c>
      <c r="F467" s="73" t="s">
        <v>1569</v>
      </c>
      <c r="G467" s="73" t="s">
        <v>1626</v>
      </c>
      <c r="H467" s="73" t="s">
        <v>1042</v>
      </c>
      <c r="I467" s="135" t="s">
        <v>1624</v>
      </c>
      <c r="J467" s="84" t="s">
        <v>71</v>
      </c>
      <c r="K467" s="84" t="s">
        <v>1278</v>
      </c>
      <c r="L467" s="84"/>
      <c r="M467" s="84" t="s">
        <v>1628</v>
      </c>
      <c r="N467" s="84"/>
      <c r="O467" s="31">
        <f t="shared" si="40"/>
        <v>28</v>
      </c>
      <c r="P467" s="136" t="s">
        <v>2424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thickBot="1" x14ac:dyDescent="0.3">
      <c r="A468"/>
      <c r="B468"/>
      <c r="C468"/>
      <c r="D468"/>
      <c r="E468" s="151" t="s">
        <v>2453</v>
      </c>
      <c r="F468" s="73" t="s">
        <v>1569</v>
      </c>
      <c r="G468" s="73" t="s">
        <v>2124</v>
      </c>
      <c r="H468" s="73" t="s">
        <v>1042</v>
      </c>
      <c r="I468" s="135" t="s">
        <v>2125</v>
      </c>
      <c r="J468" s="84"/>
      <c r="K468" s="84" t="s">
        <v>1278</v>
      </c>
      <c r="L468" s="84"/>
      <c r="M468" s="84" t="s">
        <v>2290</v>
      </c>
      <c r="N468" s="84"/>
      <c r="O468" s="31">
        <f t="shared" si="40"/>
        <v>24</v>
      </c>
      <c r="P468" s="136" t="s">
        <v>2425</v>
      </c>
      <c r="Q468" s="31">
        <f t="shared" si="41"/>
        <v>4</v>
      </c>
      <c r="R468" s="32">
        <f t="shared" si="42"/>
        <v>0.8571428571428571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 t="s">
        <v>2221</v>
      </c>
      <c r="AK468" s="70" t="s">
        <v>2221</v>
      </c>
      <c r="AL468" s="70" t="s">
        <v>2221</v>
      </c>
      <c r="AM468" s="70" t="s">
        <v>2221</v>
      </c>
      <c r="AN468" s="70"/>
      <c r="AO468" s="70"/>
      <c r="AP468" s="70"/>
      <c r="AQ468" s="70"/>
      <c r="AR468" s="70"/>
      <c r="AS468" s="70"/>
      <c r="AT468" s="70"/>
      <c r="AU468" s="70"/>
      <c r="AV468" s="70"/>
    </row>
    <row r="469" spans="1:49" s="73" customFormat="1" ht="15.75" thickBot="1" x14ac:dyDescent="0.3">
      <c r="A469"/>
      <c r="B469"/>
      <c r="C469"/>
      <c r="D469"/>
      <c r="E469"/>
      <c r="F469" s="73" t="s">
        <v>346</v>
      </c>
      <c r="G469" s="73" t="s">
        <v>463</v>
      </c>
      <c r="H469" s="73" t="s">
        <v>1042</v>
      </c>
      <c r="I469" s="73" t="s">
        <v>464</v>
      </c>
      <c r="J469" s="84" t="s">
        <v>71</v>
      </c>
      <c r="K469" s="84" t="s">
        <v>1278</v>
      </c>
      <c r="L469" s="84"/>
      <c r="M469" s="84" t="s">
        <v>807</v>
      </c>
      <c r="N469" s="84"/>
      <c r="O469" s="131">
        <f t="shared" si="40"/>
        <v>10</v>
      </c>
      <c r="P469" s="136" t="s">
        <v>1985</v>
      </c>
      <c r="Q469" s="131">
        <f t="shared" si="41"/>
        <v>18</v>
      </c>
      <c r="R469" s="132">
        <f t="shared" si="42"/>
        <v>0.35714285714285715</v>
      </c>
      <c r="S469" s="70"/>
      <c r="T469" s="70"/>
      <c r="U469" s="70"/>
      <c r="V469" s="70" t="s">
        <v>2221</v>
      </c>
      <c r="W469" s="70" t="s">
        <v>2221</v>
      </c>
      <c r="X469" s="70" t="s">
        <v>2221</v>
      </c>
      <c r="Y469" s="70" t="s">
        <v>2221</v>
      </c>
      <c r="Z469" s="70" t="s">
        <v>2221</v>
      </c>
      <c r="AA469" s="70"/>
      <c r="AB469" s="70"/>
      <c r="AC469" s="70" t="s">
        <v>2221</v>
      </c>
      <c r="AD469" s="70" t="s">
        <v>2221</v>
      </c>
      <c r="AE469" s="70" t="s">
        <v>2221</v>
      </c>
      <c r="AF469" s="70" t="s">
        <v>2221</v>
      </c>
      <c r="AG469" s="70" t="s">
        <v>2221</v>
      </c>
      <c r="AH469" s="70"/>
      <c r="AI469" s="70"/>
      <c r="AJ469" s="70" t="s">
        <v>2221</v>
      </c>
      <c r="AK469" s="70" t="s">
        <v>2221</v>
      </c>
      <c r="AL469" s="70" t="s">
        <v>2221</v>
      </c>
      <c r="AM469" s="70" t="s">
        <v>2221</v>
      </c>
      <c r="AN469" s="70" t="s">
        <v>2221</v>
      </c>
      <c r="AO469" s="70"/>
      <c r="AP469" s="70"/>
      <c r="AQ469" s="70"/>
      <c r="AR469" s="70" t="s">
        <v>2221</v>
      </c>
      <c r="AS469" s="70" t="s">
        <v>2221</v>
      </c>
      <c r="AT469" s="70" t="s">
        <v>2221</v>
      </c>
      <c r="AU469" s="70"/>
      <c r="AV469" s="70"/>
    </row>
    <row r="470" spans="1:49" s="73" customFormat="1" ht="15.75" thickBot="1" x14ac:dyDescent="0.3">
      <c r="A470"/>
      <c r="B470"/>
      <c r="C470"/>
      <c r="D470"/>
      <c r="E470"/>
      <c r="F470" s="73" t="s">
        <v>346</v>
      </c>
      <c r="G470" s="73" t="s">
        <v>465</v>
      </c>
      <c r="H470" s="73" t="s">
        <v>1042</v>
      </c>
      <c r="I470" s="73" t="s">
        <v>464</v>
      </c>
      <c r="J470" s="84" t="s">
        <v>71</v>
      </c>
      <c r="K470" s="84" t="s">
        <v>1278</v>
      </c>
      <c r="L470" s="84"/>
      <c r="M470" s="84" t="s">
        <v>808</v>
      </c>
      <c r="N470" s="84"/>
      <c r="O470" s="131">
        <f t="shared" si="40"/>
        <v>10</v>
      </c>
      <c r="P470" s="136" t="s">
        <v>1986</v>
      </c>
      <c r="Q470" s="131">
        <f t="shared" si="41"/>
        <v>18</v>
      </c>
      <c r="R470" s="132">
        <f t="shared" si="42"/>
        <v>0.35714285714285715</v>
      </c>
      <c r="S470" s="70"/>
      <c r="T470" s="70"/>
      <c r="U470" s="70"/>
      <c r="V470" s="70" t="s">
        <v>2221</v>
      </c>
      <c r="W470" s="70" t="s">
        <v>2221</v>
      </c>
      <c r="X470" s="70" t="s">
        <v>2221</v>
      </c>
      <c r="Y470" s="70" t="s">
        <v>2221</v>
      </c>
      <c r="Z470" s="70" t="s">
        <v>2221</v>
      </c>
      <c r="AA470" s="70"/>
      <c r="AB470" s="70"/>
      <c r="AC470" s="70" t="s">
        <v>2221</v>
      </c>
      <c r="AD470" s="70" t="s">
        <v>2221</v>
      </c>
      <c r="AE470" s="70" t="s">
        <v>2221</v>
      </c>
      <c r="AF470" s="70" t="s">
        <v>2221</v>
      </c>
      <c r="AG470" s="70" t="s">
        <v>2221</v>
      </c>
      <c r="AH470" s="70"/>
      <c r="AI470" s="70"/>
      <c r="AJ470" s="70" t="s">
        <v>2221</v>
      </c>
      <c r="AK470" s="70" t="s">
        <v>2221</v>
      </c>
      <c r="AL470" s="70" t="s">
        <v>2221</v>
      </c>
      <c r="AM470" s="70" t="s">
        <v>2221</v>
      </c>
      <c r="AN470" s="70" t="s">
        <v>2221</v>
      </c>
      <c r="AO470" s="70"/>
      <c r="AP470" s="70"/>
      <c r="AQ470" s="70"/>
      <c r="AR470" s="70" t="s">
        <v>2221</v>
      </c>
      <c r="AS470" s="70" t="s">
        <v>2221</v>
      </c>
      <c r="AT470" s="70" t="s">
        <v>2221</v>
      </c>
      <c r="AU470" s="70"/>
      <c r="AV470" s="70"/>
    </row>
    <row r="471" spans="1:49" s="73" customFormat="1" ht="15.75" thickBot="1" x14ac:dyDescent="0.3">
      <c r="A471"/>
      <c r="B471"/>
      <c r="C471"/>
      <c r="D471"/>
      <c r="E471"/>
      <c r="F471" s="73" t="s">
        <v>346</v>
      </c>
      <c r="G471" s="84" t="s">
        <v>1084</v>
      </c>
      <c r="H471" s="84" t="s">
        <v>1042</v>
      </c>
      <c r="I471" s="73" t="s">
        <v>1083</v>
      </c>
      <c r="J471" s="84" t="s">
        <v>14</v>
      </c>
      <c r="K471" s="84" t="s">
        <v>1278</v>
      </c>
      <c r="L471" s="84"/>
      <c r="M471" s="84" t="s">
        <v>1085</v>
      </c>
      <c r="N471" s="84"/>
      <c r="O471" s="131">
        <f t="shared" si="40"/>
        <v>10</v>
      </c>
      <c r="P471" s="136"/>
      <c r="Q471" s="131">
        <f t="shared" si="41"/>
        <v>18</v>
      </c>
      <c r="R471" s="132">
        <f t="shared" si="42"/>
        <v>0.35714285714285715</v>
      </c>
      <c r="S471" s="70"/>
      <c r="T471" s="70"/>
      <c r="U471" s="70"/>
      <c r="V471" s="70" t="s">
        <v>2221</v>
      </c>
      <c r="W471" s="70" t="s">
        <v>2221</v>
      </c>
      <c r="X471" s="70" t="s">
        <v>2221</v>
      </c>
      <c r="Y471" s="70" t="s">
        <v>2221</v>
      </c>
      <c r="Z471" s="70" t="s">
        <v>2221</v>
      </c>
      <c r="AA471" s="70"/>
      <c r="AB471" s="70"/>
      <c r="AC471" s="70" t="s">
        <v>2221</v>
      </c>
      <c r="AD471" s="70" t="s">
        <v>2221</v>
      </c>
      <c r="AE471" s="70" t="s">
        <v>2221</v>
      </c>
      <c r="AF471" s="70" t="s">
        <v>2221</v>
      </c>
      <c r="AG471" s="70" t="s">
        <v>2221</v>
      </c>
      <c r="AH471" s="70"/>
      <c r="AI471" s="70"/>
      <c r="AJ471" s="70" t="s">
        <v>2221</v>
      </c>
      <c r="AK471" s="70" t="s">
        <v>2221</v>
      </c>
      <c r="AL471" s="70" t="s">
        <v>2221</v>
      </c>
      <c r="AM471" s="70" t="s">
        <v>2221</v>
      </c>
      <c r="AN471" s="70" t="s">
        <v>2221</v>
      </c>
      <c r="AO471" s="70"/>
      <c r="AP471" s="70"/>
      <c r="AQ471" s="70"/>
      <c r="AR471" s="70" t="s">
        <v>2221</v>
      </c>
      <c r="AS471" s="70" t="s">
        <v>2221</v>
      </c>
      <c r="AT471" s="70" t="s">
        <v>2221</v>
      </c>
      <c r="AU471" s="70"/>
      <c r="AV471" s="70"/>
      <c r="AW471"/>
    </row>
    <row r="472" spans="1:49" s="73" customFormat="1" ht="15.75" thickBot="1" x14ac:dyDescent="0.3">
      <c r="A472"/>
      <c r="B472"/>
      <c r="C472"/>
      <c r="D472"/>
      <c r="E472"/>
      <c r="F472" s="73" t="s">
        <v>420</v>
      </c>
      <c r="G472" s="84" t="s">
        <v>2096</v>
      </c>
      <c r="H472" t="s">
        <v>1041</v>
      </c>
      <c r="I472" s="73" t="s">
        <v>2097</v>
      </c>
      <c r="J472" s="84" t="s">
        <v>14</v>
      </c>
      <c r="K472" s="84" t="s">
        <v>1278</v>
      </c>
      <c r="L472" s="84"/>
      <c r="M472" s="84" t="s">
        <v>2291</v>
      </c>
      <c r="N472" s="84"/>
      <c r="O472" s="131">
        <f t="shared" si="40"/>
        <v>28</v>
      </c>
      <c r="P472" s="136" t="s">
        <v>2098</v>
      </c>
      <c r="Q472" s="131">
        <f t="shared" si="41"/>
        <v>0</v>
      </c>
      <c r="R472" s="132">
        <f t="shared" si="42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142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thickBot="1" x14ac:dyDescent="0.3">
      <c r="A473"/>
      <c r="B473"/>
      <c r="C473"/>
      <c r="D473"/>
      <c r="E473"/>
      <c r="G473" s="84" t="s">
        <v>2220</v>
      </c>
      <c r="H473" t="s">
        <v>1041</v>
      </c>
      <c r="I473" s="73" t="s">
        <v>2239</v>
      </c>
      <c r="J473" s="84" t="s">
        <v>71</v>
      </c>
      <c r="K473" s="84" t="s">
        <v>1278</v>
      </c>
      <c r="L473" s="84"/>
      <c r="M473" s="84" t="s">
        <v>2299</v>
      </c>
      <c r="N473" s="84"/>
      <c r="O473" s="131">
        <f t="shared" si="40"/>
        <v>10</v>
      </c>
      <c r="P473" s="136"/>
      <c r="Q473" s="131">
        <f t="shared" si="41"/>
        <v>18</v>
      </c>
      <c r="R473" s="132">
        <f t="shared" si="42"/>
        <v>0.35714285714285715</v>
      </c>
      <c r="S473" s="70"/>
      <c r="T473" s="70"/>
      <c r="U473" s="70"/>
      <c r="V473" s="70" t="s">
        <v>2221</v>
      </c>
      <c r="W473" s="70" t="s">
        <v>2221</v>
      </c>
      <c r="X473" s="70" t="s">
        <v>2221</v>
      </c>
      <c r="Y473" s="70" t="s">
        <v>2221</v>
      </c>
      <c r="Z473" s="70" t="s">
        <v>2221</v>
      </c>
      <c r="AA473" s="70"/>
      <c r="AB473" s="70"/>
      <c r="AC473" s="70" t="s">
        <v>2221</v>
      </c>
      <c r="AD473" s="70" t="s">
        <v>2221</v>
      </c>
      <c r="AE473" s="70" t="s">
        <v>2221</v>
      </c>
      <c r="AF473" s="70" t="s">
        <v>2221</v>
      </c>
      <c r="AG473" s="70" t="s">
        <v>2221</v>
      </c>
      <c r="AH473" s="70"/>
      <c r="AI473" s="70"/>
      <c r="AJ473" s="70" t="s">
        <v>2221</v>
      </c>
      <c r="AK473" s="70" t="s">
        <v>2221</v>
      </c>
      <c r="AL473" s="70" t="s">
        <v>2221</v>
      </c>
      <c r="AM473" s="70" t="s">
        <v>2221</v>
      </c>
      <c r="AN473" s="70" t="s">
        <v>2221</v>
      </c>
      <c r="AO473" s="70"/>
      <c r="AP473" s="70"/>
      <c r="AQ473" s="70"/>
      <c r="AR473" s="70" t="s">
        <v>2221</v>
      </c>
      <c r="AS473" s="70" t="s">
        <v>2221</v>
      </c>
      <c r="AT473" s="70" t="s">
        <v>2221</v>
      </c>
      <c r="AU473" s="70"/>
      <c r="AV473" s="70"/>
    </row>
    <row r="474" spans="1:49" ht="15.75" thickBot="1" x14ac:dyDescent="0.3">
      <c r="A474"/>
      <c r="B474"/>
      <c r="C474"/>
      <c r="D474"/>
      <c r="E474"/>
      <c r="F474" t="s">
        <v>251</v>
      </c>
      <c r="G474" t="s">
        <v>1012</v>
      </c>
      <c r="H474" t="s">
        <v>1041</v>
      </c>
      <c r="I474" t="s">
        <v>483</v>
      </c>
      <c r="J474" s="30" t="s">
        <v>18</v>
      </c>
      <c r="K474" s="30" t="s">
        <v>1035</v>
      </c>
      <c r="L474" s="30" t="s">
        <v>1234</v>
      </c>
      <c r="M474" s="30" t="s">
        <v>817</v>
      </c>
      <c r="N474" s="30"/>
      <c r="O474" s="31">
        <f t="shared" si="40"/>
        <v>26</v>
      </c>
      <c r="P474" s="136" t="s">
        <v>1987</v>
      </c>
      <c r="Q474" s="31">
        <f t="shared" si="41"/>
        <v>2</v>
      </c>
      <c r="R474" s="32">
        <f t="shared" si="42"/>
        <v>0.9285714285714286</v>
      </c>
      <c r="S474" s="70"/>
      <c r="T474" s="70"/>
      <c r="U474" s="70"/>
      <c r="V474" s="70" t="s">
        <v>2221</v>
      </c>
      <c r="W474" s="70" t="s">
        <v>2221</v>
      </c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73"/>
    </row>
    <row r="475" spans="1:49" ht="15.75" thickBot="1" x14ac:dyDescent="0.3">
      <c r="A475">
        <v>1</v>
      </c>
      <c r="B475">
        <v>19</v>
      </c>
      <c r="C475"/>
      <c r="D475"/>
      <c r="E475" t="s">
        <v>2327</v>
      </c>
      <c r="F475" t="s">
        <v>466</v>
      </c>
      <c r="G475" t="s">
        <v>467</v>
      </c>
      <c r="H475" t="s">
        <v>1041</v>
      </c>
      <c r="I475" t="s">
        <v>1579</v>
      </c>
      <c r="J475" s="30" t="s">
        <v>18</v>
      </c>
      <c r="K475" s="30" t="s">
        <v>1035</v>
      </c>
      <c r="L475" s="30" t="s">
        <v>1234</v>
      </c>
      <c r="M475" s="30" t="s">
        <v>809</v>
      </c>
      <c r="N475" s="30"/>
      <c r="O475" s="31">
        <f t="shared" si="40"/>
        <v>26</v>
      </c>
      <c r="P475" s="136" t="s">
        <v>1988</v>
      </c>
      <c r="Q475" s="31">
        <f t="shared" si="41"/>
        <v>2</v>
      </c>
      <c r="R475" s="32">
        <f t="shared" si="42"/>
        <v>0.9285714285714286</v>
      </c>
      <c r="S475" s="70"/>
      <c r="T475" s="70"/>
      <c r="U475" s="70"/>
      <c r="V475" s="70" t="s">
        <v>2221</v>
      </c>
      <c r="W475" s="70" t="s">
        <v>2221</v>
      </c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3"/>
    </row>
    <row r="476" spans="1:49" ht="15.75" thickBot="1" x14ac:dyDescent="0.3">
      <c r="A476">
        <v>6</v>
      </c>
      <c r="B476">
        <v>13</v>
      </c>
      <c r="C476"/>
      <c r="D476"/>
      <c r="E476" t="s">
        <v>2336</v>
      </c>
      <c r="F476" t="s">
        <v>466</v>
      </c>
      <c r="G476" t="s">
        <v>468</v>
      </c>
      <c r="H476" t="s">
        <v>1041</v>
      </c>
      <c r="I476" t="s">
        <v>469</v>
      </c>
      <c r="J476" s="30" t="s">
        <v>18</v>
      </c>
      <c r="K476" s="30" t="s">
        <v>27</v>
      </c>
      <c r="L476" s="30"/>
      <c r="M476" s="30" t="s">
        <v>810</v>
      </c>
      <c r="N476" s="30"/>
      <c r="O476" s="31">
        <f t="shared" si="40"/>
        <v>28</v>
      </c>
      <c r="P476" s="136" t="s">
        <v>1989</v>
      </c>
      <c r="Q476" s="31">
        <f t="shared" si="41"/>
        <v>0</v>
      </c>
      <c r="R476" s="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142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9" ht="15.75" thickBot="1" x14ac:dyDescent="0.3">
      <c r="A477">
        <v>6</v>
      </c>
      <c r="B477">
        <v>13</v>
      </c>
      <c r="C477"/>
      <c r="D477"/>
      <c r="E477" t="s">
        <v>2336</v>
      </c>
      <c r="F477" t="s">
        <v>470</v>
      </c>
      <c r="G477" t="s">
        <v>471</v>
      </c>
      <c r="H477" t="s">
        <v>1041</v>
      </c>
      <c r="I477" t="s">
        <v>472</v>
      </c>
      <c r="J477" s="30" t="s">
        <v>18</v>
      </c>
      <c r="K477" s="30" t="s">
        <v>27</v>
      </c>
      <c r="L477" s="30"/>
      <c r="M477" s="30" t="s">
        <v>811</v>
      </c>
      <c r="N477" s="30"/>
      <c r="O477" s="31">
        <f t="shared" si="40"/>
        <v>28</v>
      </c>
      <c r="P477" s="136" t="s">
        <v>1990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ht="15.75" thickBot="1" x14ac:dyDescent="0.3">
      <c r="A478">
        <v>6</v>
      </c>
      <c r="B478">
        <v>14</v>
      </c>
      <c r="C478"/>
      <c r="D478"/>
      <c r="E478" t="s">
        <v>2337</v>
      </c>
      <c r="F478" t="s">
        <v>466</v>
      </c>
      <c r="G478" t="s">
        <v>473</v>
      </c>
      <c r="H478" t="s">
        <v>1041</v>
      </c>
      <c r="I478" t="s">
        <v>474</v>
      </c>
      <c r="J478" s="30" t="s">
        <v>14</v>
      </c>
      <c r="K478" s="30" t="s">
        <v>27</v>
      </c>
      <c r="L478" s="30"/>
      <c r="M478" s="30" t="s">
        <v>812</v>
      </c>
      <c r="N478" s="30"/>
      <c r="O478" s="31">
        <f t="shared" si="40"/>
        <v>28</v>
      </c>
      <c r="P478" s="136" t="s">
        <v>1991</v>
      </c>
      <c r="Q478" s="31">
        <f t="shared" si="41"/>
        <v>0</v>
      </c>
      <c r="R478" s="32">
        <f t="shared" si="42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thickBot="1" x14ac:dyDescent="0.3">
      <c r="A479"/>
      <c r="B479"/>
      <c r="C479"/>
      <c r="D479"/>
      <c r="E479" t="s">
        <v>2337</v>
      </c>
      <c r="F479" t="s">
        <v>466</v>
      </c>
      <c r="G479" t="s">
        <v>475</v>
      </c>
      <c r="H479" t="s">
        <v>1041</v>
      </c>
      <c r="I479" t="s">
        <v>476</v>
      </c>
      <c r="J479" s="30" t="s">
        <v>18</v>
      </c>
      <c r="K479" s="30" t="s">
        <v>27</v>
      </c>
      <c r="L479" s="30"/>
      <c r="M479" s="30" t="s">
        <v>813</v>
      </c>
      <c r="N479" s="30"/>
      <c r="O479" s="31">
        <f t="shared" si="40"/>
        <v>28</v>
      </c>
      <c r="P479" s="136" t="s">
        <v>1992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s="73" customFormat="1" ht="15.75" thickBot="1" x14ac:dyDescent="0.3">
      <c r="A480"/>
      <c r="B480"/>
      <c r="C480"/>
      <c r="D480"/>
      <c r="E480"/>
      <c r="F480" s="73" t="s">
        <v>466</v>
      </c>
      <c r="G480" s="73" t="s">
        <v>477</v>
      </c>
      <c r="H480" s="73" t="s">
        <v>1041</v>
      </c>
      <c r="I480" s="73" t="s">
        <v>478</v>
      </c>
      <c r="J480" s="84" t="s">
        <v>14</v>
      </c>
      <c r="K480" s="84" t="s">
        <v>1278</v>
      </c>
      <c r="L480" s="84"/>
      <c r="M480" s="84" t="s">
        <v>814</v>
      </c>
      <c r="N480" s="84"/>
      <c r="O480" s="131">
        <f t="shared" si="40"/>
        <v>28</v>
      </c>
      <c r="P480" s="136" t="s">
        <v>1993</v>
      </c>
      <c r="Q480" s="131">
        <f t="shared" si="41"/>
        <v>0</v>
      </c>
      <c r="R480" s="1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/>
    </row>
    <row r="481" spans="1:49" s="73" customFormat="1" ht="15.75" thickBot="1" x14ac:dyDescent="0.3">
      <c r="A481"/>
      <c r="B481"/>
      <c r="C481"/>
      <c r="D481"/>
      <c r="E481" s="151" t="s">
        <v>2462</v>
      </c>
      <c r="F481" s="73" t="s">
        <v>466</v>
      </c>
      <c r="G481" s="73" t="s">
        <v>479</v>
      </c>
      <c r="H481" s="73" t="s">
        <v>1041</v>
      </c>
      <c r="I481" s="73" t="s">
        <v>480</v>
      </c>
      <c r="J481" s="84" t="s">
        <v>18</v>
      </c>
      <c r="K481" s="84" t="s">
        <v>1278</v>
      </c>
      <c r="L481" s="84"/>
      <c r="M481" s="84" t="s">
        <v>815</v>
      </c>
      <c r="N481" s="84"/>
      <c r="O481" s="31">
        <f t="shared" si="40"/>
        <v>28</v>
      </c>
      <c r="P481" s="136" t="s">
        <v>1994</v>
      </c>
      <c r="Q481" s="31">
        <f t="shared" si="41"/>
        <v>0</v>
      </c>
      <c r="R481" s="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/>
    </row>
    <row r="482" spans="1:49" ht="15.75" thickBot="1" x14ac:dyDescent="0.3">
      <c r="A482"/>
      <c r="B482"/>
      <c r="C482"/>
      <c r="D482"/>
      <c r="E482" t="s">
        <v>2337</v>
      </c>
      <c r="F482" t="s">
        <v>466</v>
      </c>
      <c r="G482" t="s">
        <v>481</v>
      </c>
      <c r="H482" t="s">
        <v>1041</v>
      </c>
      <c r="I482" t="s">
        <v>482</v>
      </c>
      <c r="J482" s="30" t="s">
        <v>18</v>
      </c>
      <c r="K482" s="30" t="s">
        <v>1035</v>
      </c>
      <c r="L482" s="30" t="s">
        <v>1235</v>
      </c>
      <c r="M482" s="30" t="s">
        <v>816</v>
      </c>
      <c r="N482" s="30"/>
      <c r="O482" s="31">
        <f t="shared" si="40"/>
        <v>27</v>
      </c>
      <c r="P482" s="136" t="s">
        <v>1995</v>
      </c>
      <c r="Q482" s="31">
        <f t="shared" si="41"/>
        <v>1</v>
      </c>
      <c r="R482" s="32">
        <f t="shared" si="42"/>
        <v>0.9642857142857143</v>
      </c>
      <c r="S482" s="70"/>
      <c r="T482" s="70"/>
      <c r="U482" s="70"/>
      <c r="V482" s="70" t="s">
        <v>2221</v>
      </c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142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3"/>
    </row>
    <row r="483" spans="1:49" s="73" customFormat="1" ht="15.75" thickBot="1" x14ac:dyDescent="0.3">
      <c r="A483"/>
      <c r="B483"/>
      <c r="C483"/>
      <c r="D483"/>
      <c r="E483"/>
      <c r="F483" s="73" t="s">
        <v>466</v>
      </c>
      <c r="G483" s="73" t="s">
        <v>1165</v>
      </c>
      <c r="H483" s="73" t="s">
        <v>1041</v>
      </c>
      <c r="I483" s="73" t="s">
        <v>1166</v>
      </c>
      <c r="J483" s="84" t="s">
        <v>1093</v>
      </c>
      <c r="K483" s="84" t="s">
        <v>1278</v>
      </c>
      <c r="L483" s="84"/>
      <c r="M483" s="84" t="s">
        <v>1167</v>
      </c>
      <c r="N483" s="84"/>
      <c r="O483" s="131">
        <f t="shared" si="40"/>
        <v>28</v>
      </c>
      <c r="P483" s="136" t="s">
        <v>1996</v>
      </c>
      <c r="Q483" s="131">
        <f t="shared" si="41"/>
        <v>0</v>
      </c>
      <c r="R483" s="1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/>
    </row>
    <row r="484" spans="1:49" s="73" customFormat="1" ht="15.75" thickBot="1" x14ac:dyDescent="0.3">
      <c r="A484"/>
      <c r="B484"/>
      <c r="C484"/>
      <c r="D484"/>
      <c r="E484" t="s">
        <v>2371</v>
      </c>
      <c r="F484" s="73" t="s">
        <v>466</v>
      </c>
      <c r="G484" s="73" t="s">
        <v>1168</v>
      </c>
      <c r="H484" s="73" t="s">
        <v>1041</v>
      </c>
      <c r="I484" s="73" t="s">
        <v>1166</v>
      </c>
      <c r="J484" s="84" t="s">
        <v>1093</v>
      </c>
      <c r="K484" s="84" t="s">
        <v>27</v>
      </c>
      <c r="L484" s="84"/>
      <c r="M484" s="84" t="s">
        <v>1169</v>
      </c>
      <c r="N484" s="84"/>
      <c r="O484" s="85">
        <f t="shared" si="40"/>
        <v>28</v>
      </c>
      <c r="P484" s="136" t="s">
        <v>1997</v>
      </c>
      <c r="Q484" s="85">
        <f t="shared" si="41"/>
        <v>0</v>
      </c>
      <c r="R484" s="86">
        <f t="shared" si="42"/>
        <v>1</v>
      </c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70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70"/>
      <c r="AS484" s="70"/>
      <c r="AT484" s="70"/>
      <c r="AU484" s="70"/>
      <c r="AV484" s="70"/>
      <c r="AW484"/>
    </row>
    <row r="485" spans="1:49" ht="15.75" thickBot="1" x14ac:dyDescent="0.3">
      <c r="A485">
        <v>7</v>
      </c>
      <c r="B485">
        <v>6</v>
      </c>
      <c r="C485"/>
      <c r="D485"/>
      <c r="E485" t="s">
        <v>2338</v>
      </c>
      <c r="F485" t="s">
        <v>466</v>
      </c>
      <c r="G485" t="s">
        <v>1198</v>
      </c>
      <c r="H485" t="s">
        <v>1041</v>
      </c>
      <c r="I485" t="s">
        <v>1214</v>
      </c>
      <c r="J485" t="s">
        <v>71</v>
      </c>
      <c r="K485" t="s">
        <v>27</v>
      </c>
      <c r="L485"/>
      <c r="M485" s="30" t="s">
        <v>1259</v>
      </c>
      <c r="N485" s="30"/>
      <c r="O485" s="31">
        <f t="shared" si="40"/>
        <v>28</v>
      </c>
      <c r="P485" s="136" t="s">
        <v>1998</v>
      </c>
      <c r="Q485" s="31">
        <f t="shared" si="41"/>
        <v>0</v>
      </c>
      <c r="R485" s="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thickBot="1" x14ac:dyDescent="0.3">
      <c r="A486">
        <v>7</v>
      </c>
      <c r="B486">
        <v>6</v>
      </c>
      <c r="C486"/>
      <c r="D486"/>
      <c r="E486" t="s">
        <v>2338</v>
      </c>
      <c r="F486" t="s">
        <v>466</v>
      </c>
      <c r="G486" t="s">
        <v>1199</v>
      </c>
      <c r="H486" t="s">
        <v>1041</v>
      </c>
      <c r="I486" t="s">
        <v>1214</v>
      </c>
      <c r="J486" t="s">
        <v>71</v>
      </c>
      <c r="K486" t="s">
        <v>27</v>
      </c>
      <c r="L486"/>
      <c r="M486" s="30" t="s">
        <v>1260</v>
      </c>
      <c r="N486" s="30"/>
      <c r="O486" s="31">
        <f t="shared" si="40"/>
        <v>28</v>
      </c>
      <c r="P486" s="136" t="s">
        <v>1999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73"/>
    </row>
    <row r="487" spans="1:49" ht="15.75" thickBot="1" x14ac:dyDescent="0.3">
      <c r="A487">
        <v>6</v>
      </c>
      <c r="B487">
        <v>14</v>
      </c>
      <c r="C487"/>
      <c r="D487"/>
      <c r="E487" t="s">
        <v>2337</v>
      </c>
      <c r="F487" t="s">
        <v>466</v>
      </c>
      <c r="G487" t="s">
        <v>1317</v>
      </c>
      <c r="H487" t="s">
        <v>1041</v>
      </c>
      <c r="I487" s="68" t="s">
        <v>1318</v>
      </c>
      <c r="J487" t="s">
        <v>71</v>
      </c>
      <c r="K487" t="s">
        <v>27</v>
      </c>
      <c r="L487"/>
      <c r="M487" s="30" t="s">
        <v>1307</v>
      </c>
      <c r="N487" s="30"/>
      <c r="O487" s="31">
        <f t="shared" si="40"/>
        <v>28</v>
      </c>
      <c r="P487" s="136" t="s">
        <v>2000</v>
      </c>
      <c r="Q487" s="31">
        <f t="shared" si="41"/>
        <v>0</v>
      </c>
      <c r="R487" s="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</row>
    <row r="488" spans="1:49" s="73" customFormat="1" ht="15.75" thickBot="1" x14ac:dyDescent="0.3">
      <c r="A488"/>
      <c r="B488"/>
      <c r="C488"/>
      <c r="D488"/>
      <c r="E488"/>
      <c r="F488" s="73" t="s">
        <v>466</v>
      </c>
      <c r="G488" s="73" t="s">
        <v>1328</v>
      </c>
      <c r="H488" s="73" t="s">
        <v>1041</v>
      </c>
      <c r="I488" s="135" t="s">
        <v>1335</v>
      </c>
      <c r="J488" s="73" t="s">
        <v>14</v>
      </c>
      <c r="K488" s="73" t="s">
        <v>1278</v>
      </c>
      <c r="M488" s="84" t="s">
        <v>1397</v>
      </c>
      <c r="N488" s="84"/>
      <c r="O488" s="85">
        <f t="shared" si="40"/>
        <v>28</v>
      </c>
      <c r="P488" s="136" t="s">
        <v>2001</v>
      </c>
      <c r="Q488" s="85">
        <f t="shared" si="41"/>
        <v>0</v>
      </c>
      <c r="R488" s="86">
        <f t="shared" si="42"/>
        <v>1</v>
      </c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70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70"/>
      <c r="AS488" s="70"/>
      <c r="AT488" s="70"/>
      <c r="AU488" s="70"/>
      <c r="AV488" s="70"/>
      <c r="AW488"/>
    </row>
    <row r="489" spans="1:49" s="73" customFormat="1" ht="15.75" thickBot="1" x14ac:dyDescent="0.3">
      <c r="A489"/>
      <c r="B489"/>
      <c r="C489"/>
      <c r="D489"/>
      <c r="E489"/>
      <c r="F489" s="73" t="s">
        <v>466</v>
      </c>
      <c r="G489" s="73" t="s">
        <v>1573</v>
      </c>
      <c r="H489" s="73" t="s">
        <v>1041</v>
      </c>
      <c r="I489" s="135" t="s">
        <v>1578</v>
      </c>
      <c r="J489" s="73" t="s">
        <v>14</v>
      </c>
      <c r="K489" s="73" t="s">
        <v>1278</v>
      </c>
      <c r="M489" s="84" t="s">
        <v>1580</v>
      </c>
      <c r="N489" s="84"/>
      <c r="O489" s="85">
        <f t="shared" si="40"/>
        <v>28</v>
      </c>
      <c r="P489" s="136" t="s">
        <v>2116</v>
      </c>
      <c r="Q489" s="85">
        <f t="shared" si="41"/>
        <v>0</v>
      </c>
      <c r="R489" s="86">
        <f t="shared" si="42"/>
        <v>1</v>
      </c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70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70"/>
      <c r="AS489" s="70"/>
      <c r="AT489" s="70"/>
      <c r="AU489" s="70"/>
      <c r="AV489" s="70"/>
    </row>
    <row r="490" spans="1:49" s="73" customFormat="1" ht="15.75" thickBot="1" x14ac:dyDescent="0.3">
      <c r="A490"/>
      <c r="B490"/>
      <c r="C490"/>
      <c r="D490"/>
      <c r="E490"/>
      <c r="F490" s="73" t="s">
        <v>466</v>
      </c>
      <c r="G490" s="73" t="s">
        <v>1591</v>
      </c>
      <c r="H490" s="73" t="s">
        <v>1041</v>
      </c>
      <c r="I490" s="135" t="s">
        <v>1584</v>
      </c>
      <c r="J490" s="73" t="s">
        <v>18</v>
      </c>
      <c r="K490" s="73" t="s">
        <v>1278</v>
      </c>
      <c r="M490" s="84" t="s">
        <v>1592</v>
      </c>
      <c r="N490" s="84"/>
      <c r="O490" s="85">
        <f t="shared" si="40"/>
        <v>15</v>
      </c>
      <c r="P490" s="136" t="s">
        <v>2117</v>
      </c>
      <c r="Q490" s="85">
        <f t="shared" si="41"/>
        <v>13</v>
      </c>
      <c r="R490" s="86">
        <f t="shared" si="42"/>
        <v>0.5357142857142857</v>
      </c>
      <c r="S490" s="70"/>
      <c r="T490" s="87"/>
      <c r="U490" s="87"/>
      <c r="V490" s="70" t="s">
        <v>2221</v>
      </c>
      <c r="W490" s="70" t="s">
        <v>2221</v>
      </c>
      <c r="X490" s="70" t="s">
        <v>2221</v>
      </c>
      <c r="Y490" s="70" t="s">
        <v>2221</v>
      </c>
      <c r="Z490" s="70" t="s">
        <v>2221</v>
      </c>
      <c r="AA490" s="87"/>
      <c r="AB490" s="87"/>
      <c r="AC490" s="70" t="s">
        <v>2221</v>
      </c>
      <c r="AD490" s="70" t="s">
        <v>2221</v>
      </c>
      <c r="AE490" s="70" t="s">
        <v>2221</v>
      </c>
      <c r="AF490" s="70" t="s">
        <v>2221</v>
      </c>
      <c r="AG490" s="70" t="s">
        <v>2221</v>
      </c>
      <c r="AH490" s="87"/>
      <c r="AI490" s="87"/>
      <c r="AJ490" s="70" t="s">
        <v>2221</v>
      </c>
      <c r="AK490" s="70" t="s">
        <v>2221</v>
      </c>
      <c r="AL490" s="70" t="s">
        <v>2221</v>
      </c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</row>
    <row r="491" spans="1:49" s="73" customFormat="1" ht="15.75" thickBot="1" x14ac:dyDescent="0.3">
      <c r="A491"/>
      <c r="B491"/>
      <c r="C491"/>
      <c r="D491"/>
      <c r="E491"/>
      <c r="F491" s="73" t="s">
        <v>466</v>
      </c>
      <c r="G491" s="73" t="s">
        <v>1586</v>
      </c>
      <c r="H491" s="73" t="s">
        <v>1041</v>
      </c>
      <c r="I491" s="135" t="s">
        <v>1585</v>
      </c>
      <c r="J491" s="73" t="s">
        <v>1093</v>
      </c>
      <c r="K491" s="73" t="s">
        <v>1278</v>
      </c>
      <c r="M491" s="84" t="s">
        <v>1590</v>
      </c>
      <c r="N491" s="84"/>
      <c r="O491" s="85">
        <f t="shared" si="40"/>
        <v>28</v>
      </c>
      <c r="P491" s="136" t="s">
        <v>2118</v>
      </c>
      <c r="Q491" s="85">
        <f t="shared" si="41"/>
        <v>0</v>
      </c>
      <c r="R491" s="86">
        <f t="shared" si="42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thickBot="1" x14ac:dyDescent="0.3">
      <c r="A492"/>
      <c r="B492"/>
      <c r="C492"/>
      <c r="D492"/>
      <c r="E492"/>
      <c r="F492" s="73" t="s">
        <v>466</v>
      </c>
      <c r="G492" s="73" t="s">
        <v>1587</v>
      </c>
      <c r="H492" s="73" t="s">
        <v>1041</v>
      </c>
      <c r="I492" s="135" t="s">
        <v>1588</v>
      </c>
      <c r="J492" s="73" t="s">
        <v>1093</v>
      </c>
      <c r="K492" s="73" t="s">
        <v>1278</v>
      </c>
      <c r="M492" s="84" t="s">
        <v>1589</v>
      </c>
      <c r="N492" s="84"/>
      <c r="O492" s="85">
        <f t="shared" si="40"/>
        <v>28</v>
      </c>
      <c r="P492" s="136" t="s">
        <v>2119</v>
      </c>
      <c r="Q492" s="85">
        <f t="shared" si="41"/>
        <v>0</v>
      </c>
      <c r="R492" s="86">
        <f t="shared" si="42"/>
        <v>1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70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thickBot="1" x14ac:dyDescent="0.3">
      <c r="A493"/>
      <c r="B493"/>
      <c r="C493"/>
      <c r="D493"/>
      <c r="E493"/>
      <c r="F493" s="73" t="s">
        <v>466</v>
      </c>
      <c r="G493" s="73" t="s">
        <v>2230</v>
      </c>
      <c r="H493" s="73" t="s">
        <v>1041</v>
      </c>
      <c r="I493" s="135" t="s">
        <v>2231</v>
      </c>
      <c r="J493" s="30" t="s">
        <v>14</v>
      </c>
      <c r="K493" s="73" t="s">
        <v>1278</v>
      </c>
      <c r="M493" s="84" t="s">
        <v>2253</v>
      </c>
      <c r="N493" s="84"/>
      <c r="O493" s="85">
        <f t="shared" si="40"/>
        <v>19</v>
      </c>
      <c r="P493" s="136" t="s">
        <v>2254</v>
      </c>
      <c r="Q493" s="85">
        <f t="shared" si="41"/>
        <v>9</v>
      </c>
      <c r="R493" s="86">
        <f t="shared" si="42"/>
        <v>0.6785714285714286</v>
      </c>
      <c r="S493" s="87"/>
      <c r="T493" s="87"/>
      <c r="U493" s="87"/>
      <c r="V493" s="87"/>
      <c r="W493" s="87"/>
      <c r="X493" s="87"/>
      <c r="Y493" s="87"/>
      <c r="Z493" s="70" t="s">
        <v>2221</v>
      </c>
      <c r="AA493" s="87"/>
      <c r="AB493" s="87"/>
      <c r="AC493" s="70" t="s">
        <v>2221</v>
      </c>
      <c r="AD493" s="70" t="s">
        <v>2221</v>
      </c>
      <c r="AE493" s="70" t="s">
        <v>2221</v>
      </c>
      <c r="AF493" s="70" t="s">
        <v>2221</v>
      </c>
      <c r="AG493" s="70" t="s">
        <v>2221</v>
      </c>
      <c r="AH493" s="87"/>
      <c r="AI493" s="87"/>
      <c r="AJ493" s="70" t="s">
        <v>2221</v>
      </c>
      <c r="AK493" s="70" t="s">
        <v>2221</v>
      </c>
      <c r="AL493" s="70" t="s">
        <v>2221</v>
      </c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  <c r="AW493"/>
    </row>
    <row r="494" spans="1:49" s="73" customFormat="1" ht="15.75" thickBot="1" x14ac:dyDescent="0.3">
      <c r="A494"/>
      <c r="B494"/>
      <c r="C494"/>
      <c r="D494"/>
      <c r="E494"/>
      <c r="F494" s="73" t="s">
        <v>216</v>
      </c>
      <c r="G494" s="73" t="s">
        <v>484</v>
      </c>
      <c r="H494" s="73" t="s">
        <v>1042</v>
      </c>
      <c r="I494" s="73" t="s">
        <v>485</v>
      </c>
      <c r="J494" s="84" t="s">
        <v>18</v>
      </c>
      <c r="K494" s="84" t="s">
        <v>1278</v>
      </c>
      <c r="L494" s="84"/>
      <c r="M494" s="84" t="s">
        <v>818</v>
      </c>
      <c r="N494" s="84"/>
      <c r="O494" s="131">
        <f t="shared" si="40"/>
        <v>28</v>
      </c>
      <c r="P494" s="136" t="s">
        <v>2002</v>
      </c>
      <c r="Q494" s="131">
        <f t="shared" si="41"/>
        <v>0</v>
      </c>
      <c r="R494" s="132">
        <f t="shared" si="42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/>
    </row>
    <row r="495" spans="1:49" ht="15.75" thickBot="1" x14ac:dyDescent="0.3">
      <c r="A495"/>
      <c r="B495"/>
      <c r="C495"/>
      <c r="D495"/>
      <c r="E495"/>
      <c r="F495" t="s">
        <v>216</v>
      </c>
      <c r="G495" t="s">
        <v>486</v>
      </c>
      <c r="H495" t="s">
        <v>1042</v>
      </c>
      <c r="I495" t="s">
        <v>487</v>
      </c>
      <c r="J495" s="30" t="s">
        <v>14</v>
      </c>
      <c r="K495" s="30" t="s">
        <v>19</v>
      </c>
      <c r="L495" s="30"/>
      <c r="M495" s="30" t="s">
        <v>819</v>
      </c>
      <c r="N495" s="30"/>
      <c r="O495" s="31">
        <f t="shared" si="40"/>
        <v>28</v>
      </c>
      <c r="P495" s="136" t="s">
        <v>2426</v>
      </c>
      <c r="Q495" s="31">
        <f t="shared" si="41"/>
        <v>0</v>
      </c>
      <c r="R495" s="32">
        <f t="shared" si="42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</row>
    <row r="496" spans="1:49" ht="15.75" thickBot="1" x14ac:dyDescent="0.3">
      <c r="A496">
        <v>6</v>
      </c>
      <c r="B496">
        <v>12</v>
      </c>
      <c r="C496"/>
      <c r="D496"/>
      <c r="E496" t="s">
        <v>2372</v>
      </c>
      <c r="F496" t="s">
        <v>216</v>
      </c>
      <c r="G496" t="s">
        <v>1013</v>
      </c>
      <c r="H496" t="s">
        <v>1042</v>
      </c>
      <c r="I496" t="s">
        <v>496</v>
      </c>
      <c r="J496" s="30" t="s">
        <v>71</v>
      </c>
      <c r="K496" s="30" t="s">
        <v>27</v>
      </c>
      <c r="L496" s="30"/>
      <c r="M496" s="30" t="s">
        <v>825</v>
      </c>
      <c r="N496" s="30"/>
      <c r="O496" s="31">
        <f t="shared" si="40"/>
        <v>28</v>
      </c>
      <c r="P496" s="136" t="s">
        <v>2004</v>
      </c>
      <c r="Q496" s="31">
        <f t="shared" si="41"/>
        <v>0</v>
      </c>
      <c r="R496" s="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73"/>
    </row>
    <row r="497" spans="1:49" ht="15.75" thickBot="1" x14ac:dyDescent="0.3">
      <c r="A497">
        <v>6</v>
      </c>
      <c r="B497">
        <v>12</v>
      </c>
      <c r="C497"/>
      <c r="D497"/>
      <c r="E497" t="s">
        <v>2372</v>
      </c>
      <c r="F497" t="s">
        <v>216</v>
      </c>
      <c r="G497" t="s">
        <v>1014</v>
      </c>
      <c r="H497" t="s">
        <v>1042</v>
      </c>
      <c r="I497" t="s">
        <v>496</v>
      </c>
      <c r="J497" s="30" t="s">
        <v>71</v>
      </c>
      <c r="K497" s="30" t="s">
        <v>27</v>
      </c>
      <c r="L497" s="30"/>
      <c r="M497" s="30" t="s">
        <v>826</v>
      </c>
      <c r="N497" s="30"/>
      <c r="O497" s="31">
        <f t="shared" si="40"/>
        <v>28</v>
      </c>
      <c r="P497" s="136" t="s">
        <v>2005</v>
      </c>
      <c r="Q497" s="31">
        <f t="shared" si="41"/>
        <v>0</v>
      </c>
      <c r="R497" s="32">
        <f t="shared" si="42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</row>
    <row r="498" spans="1:49" ht="15.75" thickBot="1" x14ac:dyDescent="0.3">
      <c r="A498"/>
      <c r="B498"/>
      <c r="C498"/>
      <c r="D498"/>
      <c r="E498"/>
      <c r="F498" t="s">
        <v>216</v>
      </c>
      <c r="G498" t="s">
        <v>488</v>
      </c>
      <c r="H498" t="s">
        <v>1042</v>
      </c>
      <c r="I498" t="s">
        <v>489</v>
      </c>
      <c r="J498" s="30" t="s">
        <v>71</v>
      </c>
      <c r="K498" s="30" t="s">
        <v>19</v>
      </c>
      <c r="L498" s="30"/>
      <c r="M498" s="30" t="s">
        <v>820</v>
      </c>
      <c r="N498" s="30"/>
      <c r="O498" s="31">
        <f t="shared" si="40"/>
        <v>28</v>
      </c>
      <c r="P498" s="136" t="s">
        <v>2427</v>
      </c>
      <c r="Q498" s="31">
        <f t="shared" si="41"/>
        <v>0</v>
      </c>
      <c r="R498" s="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3"/>
    </row>
    <row r="499" spans="1:49" ht="15.75" thickBot="1" x14ac:dyDescent="0.3">
      <c r="A499"/>
      <c r="B499"/>
      <c r="C499"/>
      <c r="D499"/>
      <c r="E499"/>
      <c r="F499" t="s">
        <v>216</v>
      </c>
      <c r="G499" t="s">
        <v>490</v>
      </c>
      <c r="H499" t="s">
        <v>1042</v>
      </c>
      <c r="I499" t="s">
        <v>489</v>
      </c>
      <c r="J499" s="30" t="s">
        <v>71</v>
      </c>
      <c r="K499" s="30" t="s">
        <v>19</v>
      </c>
      <c r="L499" s="30"/>
      <c r="M499" s="30" t="s">
        <v>821</v>
      </c>
      <c r="N499" s="30"/>
      <c r="O499" s="31">
        <f t="shared" si="40"/>
        <v>25</v>
      </c>
      <c r="P499" s="136" t="s">
        <v>2428</v>
      </c>
      <c r="Q499" s="31">
        <f t="shared" si="41"/>
        <v>3</v>
      </c>
      <c r="R499" s="32">
        <f t="shared" si="42"/>
        <v>0.8928571428571429</v>
      </c>
      <c r="S499" s="70"/>
      <c r="T499" s="70"/>
      <c r="U499" s="70"/>
      <c r="V499" s="70"/>
      <c r="W499" s="70"/>
      <c r="X499" s="70" t="s">
        <v>2221</v>
      </c>
      <c r="Y499" s="70" t="s">
        <v>2221</v>
      </c>
      <c r="Z499" s="70"/>
      <c r="AA499" s="70"/>
      <c r="AB499" s="70"/>
      <c r="AC499" s="70"/>
      <c r="AD499" s="70"/>
      <c r="AE499" s="70" t="s">
        <v>2221</v>
      </c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</row>
    <row r="500" spans="1:49" ht="15.75" thickBot="1" x14ac:dyDescent="0.3">
      <c r="A500"/>
      <c r="B500"/>
      <c r="C500"/>
      <c r="D500"/>
      <c r="E500"/>
      <c r="F500" t="s">
        <v>216</v>
      </c>
      <c r="G500" t="s">
        <v>491</v>
      </c>
      <c r="H500" t="s">
        <v>1042</v>
      </c>
      <c r="I500" t="s">
        <v>492</v>
      </c>
      <c r="J500" s="30" t="s">
        <v>71</v>
      </c>
      <c r="K500" s="30" t="s">
        <v>19</v>
      </c>
      <c r="L500" s="30"/>
      <c r="M500" s="30" t="s">
        <v>822</v>
      </c>
      <c r="N500" s="30"/>
      <c r="O500" s="31">
        <f t="shared" si="40"/>
        <v>28</v>
      </c>
      <c r="P500" s="136" t="s">
        <v>2429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3"/>
    </row>
    <row r="501" spans="1:49" ht="15.75" thickBot="1" x14ac:dyDescent="0.3">
      <c r="A501"/>
      <c r="B501"/>
      <c r="C501"/>
      <c r="D501"/>
      <c r="E501"/>
      <c r="F501" t="s">
        <v>216</v>
      </c>
      <c r="G501" t="s">
        <v>493</v>
      </c>
      <c r="H501" t="s">
        <v>1042</v>
      </c>
      <c r="I501" t="s">
        <v>492</v>
      </c>
      <c r="J501" s="30" t="s">
        <v>71</v>
      </c>
      <c r="K501" s="30" t="s">
        <v>19</v>
      </c>
      <c r="L501" s="30"/>
      <c r="M501" s="30" t="s">
        <v>823</v>
      </c>
      <c r="N501" s="30"/>
      <c r="O501" s="31">
        <f t="shared" si="40"/>
        <v>28</v>
      </c>
      <c r="P501" s="136" t="s">
        <v>2430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3"/>
    </row>
    <row r="502" spans="1:49" ht="15.75" thickBot="1" x14ac:dyDescent="0.3">
      <c r="A502">
        <v>12</v>
      </c>
      <c r="B502" t="s">
        <v>2374</v>
      </c>
      <c r="C502"/>
      <c r="D502"/>
      <c r="E502" t="s">
        <v>2372</v>
      </c>
      <c r="F502" t="s">
        <v>216</v>
      </c>
      <c r="G502" t="s">
        <v>494</v>
      </c>
      <c r="H502" t="s">
        <v>1042</v>
      </c>
      <c r="I502" t="s">
        <v>495</v>
      </c>
      <c r="J502" s="30" t="s">
        <v>14</v>
      </c>
      <c r="K502" s="30" t="s">
        <v>27</v>
      </c>
      <c r="L502" s="30"/>
      <c r="M502" s="30" t="s">
        <v>824</v>
      </c>
      <c r="N502" s="30"/>
      <c r="O502" s="31">
        <f t="shared" si="40"/>
        <v>28</v>
      </c>
      <c r="P502" s="136" t="s">
        <v>2003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thickBot="1" x14ac:dyDescent="0.3">
      <c r="A503">
        <v>6</v>
      </c>
      <c r="B503">
        <v>12</v>
      </c>
      <c r="C503"/>
      <c r="D503"/>
      <c r="E503" t="s">
        <v>2372</v>
      </c>
      <c r="F503" t="s">
        <v>216</v>
      </c>
      <c r="G503" t="s">
        <v>497</v>
      </c>
      <c r="H503" t="s">
        <v>1042</v>
      </c>
      <c r="I503" t="s">
        <v>498</v>
      </c>
      <c r="J503" s="30" t="s">
        <v>71</v>
      </c>
      <c r="K503" s="30" t="s">
        <v>27</v>
      </c>
      <c r="L503" s="30"/>
      <c r="M503" s="30" t="s">
        <v>827</v>
      </c>
      <c r="N503" s="30"/>
      <c r="O503" s="31">
        <f t="shared" si="40"/>
        <v>28</v>
      </c>
      <c r="P503" s="136" t="s">
        <v>2006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thickBot="1" x14ac:dyDescent="0.3">
      <c r="A504">
        <v>6</v>
      </c>
      <c r="B504">
        <v>12</v>
      </c>
      <c r="C504"/>
      <c r="D504"/>
      <c r="E504" t="s">
        <v>2372</v>
      </c>
      <c r="F504" t="s">
        <v>216</v>
      </c>
      <c r="G504" t="s">
        <v>499</v>
      </c>
      <c r="H504" t="s">
        <v>1042</v>
      </c>
      <c r="I504" t="s">
        <v>498</v>
      </c>
      <c r="J504" s="30" t="s">
        <v>71</v>
      </c>
      <c r="K504" s="30" t="s">
        <v>27</v>
      </c>
      <c r="L504" s="30"/>
      <c r="M504" s="30" t="s">
        <v>828</v>
      </c>
      <c r="N504" s="30"/>
      <c r="O504" s="31">
        <f t="shared" si="40"/>
        <v>28</v>
      </c>
      <c r="P504" s="136" t="s">
        <v>2007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thickBot="1" x14ac:dyDescent="0.3">
      <c r="A505">
        <v>6</v>
      </c>
      <c r="B505">
        <v>12</v>
      </c>
      <c r="C505"/>
      <c r="D505"/>
      <c r="E505" t="s">
        <v>2372</v>
      </c>
      <c r="F505" t="s">
        <v>216</v>
      </c>
      <c r="G505" s="30" t="s">
        <v>1074</v>
      </c>
      <c r="H505" s="30" t="s">
        <v>1042</v>
      </c>
      <c r="I505" t="s">
        <v>1075</v>
      </c>
      <c r="J505" s="30" t="s">
        <v>18</v>
      </c>
      <c r="K505" s="30" t="s">
        <v>27</v>
      </c>
      <c r="L505" s="30"/>
      <c r="M505" s="30" t="s">
        <v>1076</v>
      </c>
      <c r="N505" s="30"/>
      <c r="O505" s="31">
        <f t="shared" si="40"/>
        <v>28</v>
      </c>
      <c r="P505" s="136" t="s">
        <v>2008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>
        <v>6</v>
      </c>
      <c r="B506">
        <v>12</v>
      </c>
      <c r="C506"/>
      <c r="D506"/>
      <c r="E506" t="s">
        <v>2372</v>
      </c>
      <c r="F506" t="s">
        <v>216</v>
      </c>
      <c r="G506" s="30" t="s">
        <v>1079</v>
      </c>
      <c r="H506" s="30" t="s">
        <v>1042</v>
      </c>
      <c r="I506" t="s">
        <v>1077</v>
      </c>
      <c r="J506" s="30" t="s">
        <v>18</v>
      </c>
      <c r="K506" s="30" t="s">
        <v>27</v>
      </c>
      <c r="L506" s="30"/>
      <c r="M506" s="30" t="s">
        <v>1078</v>
      </c>
      <c r="N506" s="30"/>
      <c r="O506" s="31">
        <f t="shared" si="40"/>
        <v>28</v>
      </c>
      <c r="P506" s="136" t="s">
        <v>2009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thickBot="1" x14ac:dyDescent="0.3">
      <c r="A507">
        <v>12</v>
      </c>
      <c r="B507" t="s">
        <v>2374</v>
      </c>
      <c r="C507"/>
      <c r="D507"/>
      <c r="E507" t="s">
        <v>2372</v>
      </c>
      <c r="F507" t="s">
        <v>216</v>
      </c>
      <c r="G507" s="30" t="s">
        <v>1080</v>
      </c>
      <c r="H507" s="30" t="s">
        <v>1042</v>
      </c>
      <c r="I507" t="s">
        <v>1081</v>
      </c>
      <c r="J507" s="30" t="s">
        <v>18</v>
      </c>
      <c r="K507" s="30" t="s">
        <v>27</v>
      </c>
      <c r="L507" s="30"/>
      <c r="M507" s="30" t="s">
        <v>1082</v>
      </c>
      <c r="N507" s="30"/>
      <c r="O507" s="31">
        <f t="shared" si="40"/>
        <v>28</v>
      </c>
      <c r="P507" s="136" t="s">
        <v>2010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>
        <v>4</v>
      </c>
      <c r="B508">
        <v>12</v>
      </c>
      <c r="C508"/>
      <c r="D508"/>
      <c r="E508" t="s">
        <v>2332</v>
      </c>
      <c r="F508" t="s">
        <v>501</v>
      </c>
      <c r="G508" t="s">
        <v>1015</v>
      </c>
      <c r="H508" t="s">
        <v>1042</v>
      </c>
      <c r="I508" t="s">
        <v>527</v>
      </c>
      <c r="J508" s="30" t="s">
        <v>18</v>
      </c>
      <c r="K508" s="30" t="s">
        <v>27</v>
      </c>
      <c r="L508" s="30"/>
      <c r="M508" s="30" t="s">
        <v>837</v>
      </c>
      <c r="N508" s="30"/>
      <c r="O508" s="31">
        <f t="shared" si="40"/>
        <v>28</v>
      </c>
      <c r="P508" s="136" t="s">
        <v>2020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</row>
    <row r="509" spans="1:49" ht="15.75" thickBot="1" x14ac:dyDescent="0.3">
      <c r="A509"/>
      <c r="B509"/>
      <c r="C509"/>
      <c r="D509"/>
      <c r="E509" s="151" t="s">
        <v>2459</v>
      </c>
      <c r="F509" t="s">
        <v>505</v>
      </c>
      <c r="G509" t="s">
        <v>1016</v>
      </c>
      <c r="H509" t="s">
        <v>1042</v>
      </c>
      <c r="I509" t="s">
        <v>530</v>
      </c>
      <c r="J509" s="30" t="s">
        <v>14</v>
      </c>
      <c r="K509" s="30" t="s">
        <v>2365</v>
      </c>
      <c r="L509" s="30"/>
      <c r="M509" s="30" t="s">
        <v>841</v>
      </c>
      <c r="N509" s="30"/>
      <c r="O509" s="31">
        <f t="shared" si="40"/>
        <v>15</v>
      </c>
      <c r="P509" s="136" t="s">
        <v>2024</v>
      </c>
      <c r="Q509" s="31">
        <f t="shared" si="41"/>
        <v>13</v>
      </c>
      <c r="R509" s="32">
        <f t="shared" si="42"/>
        <v>0.5357142857142857</v>
      </c>
      <c r="S509" s="70"/>
      <c r="T509" s="70"/>
      <c r="U509" s="70"/>
      <c r="V509" s="70" t="s">
        <v>2221</v>
      </c>
      <c r="W509" s="70" t="s">
        <v>2221</v>
      </c>
      <c r="X509" s="70" t="s">
        <v>2221</v>
      </c>
      <c r="Y509" s="70" t="s">
        <v>2221</v>
      </c>
      <c r="Z509" s="70"/>
      <c r="AA509" s="70"/>
      <c r="AB509" s="70"/>
      <c r="AC509" s="70"/>
      <c r="AD509" s="70" t="s">
        <v>2221</v>
      </c>
      <c r="AE509" s="70" t="s">
        <v>2221</v>
      </c>
      <c r="AF509" s="70" t="s">
        <v>2221</v>
      </c>
      <c r="AG509" s="70" t="s">
        <v>2221</v>
      </c>
      <c r="AH509" s="70"/>
      <c r="AI509" s="70"/>
      <c r="AJ509" s="70" t="s">
        <v>2221</v>
      </c>
      <c r="AK509" s="70" t="s">
        <v>2221</v>
      </c>
      <c r="AL509" s="70" t="s">
        <v>2221</v>
      </c>
      <c r="AM509" s="70" t="s">
        <v>2221</v>
      </c>
      <c r="AN509" s="70" t="s">
        <v>2221</v>
      </c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thickBot="1" x14ac:dyDescent="0.3">
      <c r="A510">
        <v>4</v>
      </c>
      <c r="B510">
        <v>12</v>
      </c>
      <c r="C510"/>
      <c r="D510"/>
      <c r="E510" t="s">
        <v>2332</v>
      </c>
      <c r="F510" t="s">
        <v>505</v>
      </c>
      <c r="G510" t="s">
        <v>503</v>
      </c>
      <c r="H510" t="s">
        <v>1042</v>
      </c>
      <c r="I510" t="s">
        <v>504</v>
      </c>
      <c r="J510" s="30" t="s">
        <v>14</v>
      </c>
      <c r="K510" s="30" t="s">
        <v>1035</v>
      </c>
      <c r="L510" s="30" t="s">
        <v>1237</v>
      </c>
      <c r="M510" s="30" t="s">
        <v>842</v>
      </c>
      <c r="N510" s="30"/>
      <c r="O510" s="31">
        <f t="shared" si="40"/>
        <v>28</v>
      </c>
      <c r="P510" s="136" t="s">
        <v>2025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</row>
    <row r="511" spans="1:49" ht="15.75" thickBot="1" x14ac:dyDescent="0.3">
      <c r="A511">
        <v>5</v>
      </c>
      <c r="B511">
        <v>3</v>
      </c>
      <c r="C511"/>
      <c r="D511"/>
      <c r="E511" t="s">
        <v>1233</v>
      </c>
      <c r="F511" t="s">
        <v>505</v>
      </c>
      <c r="G511" t="s">
        <v>506</v>
      </c>
      <c r="H511" t="s">
        <v>1042</v>
      </c>
      <c r="I511" t="s">
        <v>507</v>
      </c>
      <c r="J511" s="30" t="s">
        <v>14</v>
      </c>
      <c r="K511" s="30" t="s">
        <v>1035</v>
      </c>
      <c r="L511" s="30" t="s">
        <v>1233</v>
      </c>
      <c r="M511" s="30" t="s">
        <v>843</v>
      </c>
      <c r="N511" s="30"/>
      <c r="O511" s="31">
        <f t="shared" si="40"/>
        <v>28</v>
      </c>
      <c r="P511" s="136" t="s">
        <v>2026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142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9" s="73" customFormat="1" ht="15.75" thickBot="1" x14ac:dyDescent="0.3">
      <c r="A512"/>
      <c r="B512"/>
      <c r="C512"/>
      <c r="D512"/>
      <c r="E512"/>
      <c r="F512" t="s">
        <v>505</v>
      </c>
      <c r="G512" t="s">
        <v>508</v>
      </c>
      <c r="H512" t="s">
        <v>1042</v>
      </c>
      <c r="I512" t="s">
        <v>1069</v>
      </c>
      <c r="J512" s="30" t="s">
        <v>14</v>
      </c>
      <c r="K512" s="30" t="s">
        <v>1035</v>
      </c>
      <c r="L512" s="30" t="s">
        <v>1238</v>
      </c>
      <c r="M512" s="30" t="s">
        <v>844</v>
      </c>
      <c r="N512" s="30"/>
      <c r="O512" s="31">
        <f t="shared" si="40"/>
        <v>16</v>
      </c>
      <c r="P512" s="136" t="s">
        <v>2027</v>
      </c>
      <c r="Q512" s="31">
        <f t="shared" si="41"/>
        <v>12</v>
      </c>
      <c r="R512" s="32">
        <f t="shared" si="42"/>
        <v>0.5714285714285714</v>
      </c>
      <c r="S512" s="70"/>
      <c r="T512" s="70"/>
      <c r="U512" s="70"/>
      <c r="V512" s="70" t="s">
        <v>2221</v>
      </c>
      <c r="W512" s="70" t="s">
        <v>2221</v>
      </c>
      <c r="X512" s="70" t="s">
        <v>2221</v>
      </c>
      <c r="Y512" s="70" t="s">
        <v>2221</v>
      </c>
      <c r="Z512" s="70"/>
      <c r="AA512" s="70"/>
      <c r="AB512" s="70"/>
      <c r="AC512" s="70"/>
      <c r="AD512" s="70" t="s">
        <v>2221</v>
      </c>
      <c r="AE512" s="70" t="s">
        <v>2221</v>
      </c>
      <c r="AF512" s="70" t="s">
        <v>2221</v>
      </c>
      <c r="AG512" s="70" t="s">
        <v>2221</v>
      </c>
      <c r="AH512" s="70"/>
      <c r="AI512" s="70"/>
      <c r="AJ512" s="70" t="s">
        <v>2221</v>
      </c>
      <c r="AK512" s="70" t="s">
        <v>2221</v>
      </c>
      <c r="AL512" s="70" t="s">
        <v>2221</v>
      </c>
      <c r="AM512" s="70" t="s">
        <v>2221</v>
      </c>
      <c r="AN512" s="70"/>
      <c r="AO512" s="70"/>
      <c r="AP512" s="70"/>
      <c r="AQ512" s="70"/>
      <c r="AR512" s="70"/>
      <c r="AS512" s="70"/>
      <c r="AT512" s="70"/>
      <c r="AU512" s="70"/>
      <c r="AV512" s="70"/>
      <c r="AW512"/>
    </row>
    <row r="513" spans="1:49" ht="15.75" thickBot="1" x14ac:dyDescent="0.3">
      <c r="A513"/>
      <c r="B513"/>
      <c r="C513"/>
      <c r="D513"/>
      <c r="E513"/>
      <c r="F513" s="73" t="s">
        <v>505</v>
      </c>
      <c r="G513" s="73" t="s">
        <v>511</v>
      </c>
      <c r="H513" s="73" t="s">
        <v>1042</v>
      </c>
      <c r="I513" s="73" t="s">
        <v>512</v>
      </c>
      <c r="J513" s="84" t="s">
        <v>45</v>
      </c>
      <c r="K513" s="84" t="s">
        <v>1278</v>
      </c>
      <c r="L513" s="84"/>
      <c r="M513" s="84" t="s">
        <v>1342</v>
      </c>
      <c r="N513" s="84"/>
      <c r="O513" s="131">
        <f t="shared" si="40"/>
        <v>28</v>
      </c>
      <c r="P513" s="136" t="s">
        <v>2029</v>
      </c>
      <c r="Q513" s="131">
        <f t="shared" si="41"/>
        <v>0</v>
      </c>
      <c r="R513" s="1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</row>
    <row r="514" spans="1:49" ht="15.75" thickBot="1" x14ac:dyDescent="0.3">
      <c r="A514">
        <v>4</v>
      </c>
      <c r="B514">
        <v>12</v>
      </c>
      <c r="C514"/>
      <c r="D514"/>
      <c r="E514" t="s">
        <v>2332</v>
      </c>
      <c r="F514" t="s">
        <v>501</v>
      </c>
      <c r="G514" t="s">
        <v>1017</v>
      </c>
      <c r="H514" t="s">
        <v>1042</v>
      </c>
      <c r="I514" t="s">
        <v>531</v>
      </c>
      <c r="J514" s="30" t="s">
        <v>71</v>
      </c>
      <c r="K514" s="30" t="s">
        <v>27</v>
      </c>
      <c r="L514" s="30"/>
      <c r="M514" s="30" t="s">
        <v>847</v>
      </c>
      <c r="N514" s="30"/>
      <c r="O514" s="31">
        <f t="shared" si="40"/>
        <v>28</v>
      </c>
      <c r="P514" s="136" t="s">
        <v>2030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9" s="73" customFormat="1" ht="15.75" thickBot="1" x14ac:dyDescent="0.3">
      <c r="A515">
        <v>4</v>
      </c>
      <c r="B515">
        <v>12</v>
      </c>
      <c r="C515"/>
      <c r="D515"/>
      <c r="E515" t="s">
        <v>2332</v>
      </c>
      <c r="F515" t="s">
        <v>501</v>
      </c>
      <c r="G515" t="s">
        <v>1018</v>
      </c>
      <c r="H515" t="s">
        <v>1042</v>
      </c>
      <c r="I515" t="s">
        <v>531</v>
      </c>
      <c r="J515" s="30" t="s">
        <v>71</v>
      </c>
      <c r="K515" s="30" t="s">
        <v>27</v>
      </c>
      <c r="L515" s="30"/>
      <c r="M515" s="30" t="s">
        <v>848</v>
      </c>
      <c r="N515" s="30"/>
      <c r="O515" s="31">
        <f t="shared" si="40"/>
        <v>28</v>
      </c>
      <c r="P515" s="136" t="s">
        <v>2031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thickBot="1" x14ac:dyDescent="0.3">
      <c r="A516"/>
      <c r="B516"/>
      <c r="C516"/>
      <c r="D516"/>
      <c r="E516" s="151" t="s">
        <v>2459</v>
      </c>
      <c r="F516" t="s">
        <v>501</v>
      </c>
      <c r="G516" t="s">
        <v>1122</v>
      </c>
      <c r="H516" t="s">
        <v>1042</v>
      </c>
      <c r="I516" t="s">
        <v>1124</v>
      </c>
      <c r="J516" s="30" t="s">
        <v>71</v>
      </c>
      <c r="K516" s="30" t="s">
        <v>2367</v>
      </c>
      <c r="L516" s="30"/>
      <c r="M516" s="30" t="s">
        <v>1125</v>
      </c>
      <c r="N516" s="30"/>
      <c r="O516" s="31">
        <f t="shared" si="40"/>
        <v>15</v>
      </c>
      <c r="P516" s="136" t="s">
        <v>2034</v>
      </c>
      <c r="Q516" s="31">
        <f t="shared" si="41"/>
        <v>13</v>
      </c>
      <c r="R516" s="32">
        <f t="shared" si="42"/>
        <v>0.5357142857142857</v>
      </c>
      <c r="S516" s="70"/>
      <c r="T516" s="70"/>
      <c r="U516" s="70"/>
      <c r="V516" s="70" t="s">
        <v>2221</v>
      </c>
      <c r="W516" s="70" t="s">
        <v>2221</v>
      </c>
      <c r="X516" s="70" t="s">
        <v>2221</v>
      </c>
      <c r="Y516" s="70" t="s">
        <v>2221</v>
      </c>
      <c r="Z516" s="70"/>
      <c r="AA516" s="70"/>
      <c r="AB516" s="70"/>
      <c r="AC516" s="70"/>
      <c r="AD516" s="70" t="s">
        <v>2221</v>
      </c>
      <c r="AE516" s="70" t="s">
        <v>2221</v>
      </c>
      <c r="AF516" s="70" t="s">
        <v>2221</v>
      </c>
      <c r="AG516" s="70" t="s">
        <v>2221</v>
      </c>
      <c r="AH516" s="70"/>
      <c r="AI516" s="70"/>
      <c r="AJ516" s="70" t="s">
        <v>2221</v>
      </c>
      <c r="AK516" s="70" t="s">
        <v>2221</v>
      </c>
      <c r="AL516" s="70" t="s">
        <v>2221</v>
      </c>
      <c r="AM516" s="70" t="s">
        <v>2221</v>
      </c>
      <c r="AN516" s="70" t="s">
        <v>2221</v>
      </c>
      <c r="AO516" s="70"/>
      <c r="AP516" s="70"/>
      <c r="AQ516" s="70"/>
      <c r="AR516" s="70"/>
      <c r="AS516" s="70"/>
      <c r="AT516" s="70"/>
      <c r="AU516" s="70"/>
      <c r="AV516" s="70"/>
    </row>
    <row r="517" spans="1:49" ht="15.75" thickBot="1" x14ac:dyDescent="0.3">
      <c r="A517"/>
      <c r="B517"/>
      <c r="C517"/>
      <c r="D517"/>
      <c r="E517" s="151" t="s">
        <v>2459</v>
      </c>
      <c r="F517" t="s">
        <v>501</v>
      </c>
      <c r="G517" t="s">
        <v>1123</v>
      </c>
      <c r="H517" t="s">
        <v>1042</v>
      </c>
      <c r="I517" t="s">
        <v>1124</v>
      </c>
      <c r="J517" s="30" t="s">
        <v>1093</v>
      </c>
      <c r="K517" s="30" t="s">
        <v>2367</v>
      </c>
      <c r="L517" s="30"/>
      <c r="M517" s="30" t="s">
        <v>1126</v>
      </c>
      <c r="N517" s="30"/>
      <c r="O517" s="31">
        <f t="shared" si="40"/>
        <v>15</v>
      </c>
      <c r="P517" s="136" t="s">
        <v>2035</v>
      </c>
      <c r="Q517" s="31">
        <f t="shared" si="41"/>
        <v>13</v>
      </c>
      <c r="R517" s="32">
        <f t="shared" si="42"/>
        <v>0.5357142857142857</v>
      </c>
      <c r="S517" s="70"/>
      <c r="T517" s="70"/>
      <c r="U517" s="70"/>
      <c r="V517" s="70" t="s">
        <v>2221</v>
      </c>
      <c r="W517" s="70" t="s">
        <v>2221</v>
      </c>
      <c r="X517" s="70" t="s">
        <v>2221</v>
      </c>
      <c r="Y517" s="70" t="s">
        <v>2221</v>
      </c>
      <c r="Z517" s="70"/>
      <c r="AA517" s="70"/>
      <c r="AB517" s="70"/>
      <c r="AC517" s="70"/>
      <c r="AD517" s="70" t="s">
        <v>2221</v>
      </c>
      <c r="AE517" s="70" t="s">
        <v>2221</v>
      </c>
      <c r="AF517" s="70" t="s">
        <v>2221</v>
      </c>
      <c r="AG517" s="70" t="s">
        <v>2221</v>
      </c>
      <c r="AH517" s="70"/>
      <c r="AI517" s="70"/>
      <c r="AJ517" s="70" t="s">
        <v>2221</v>
      </c>
      <c r="AK517" s="70" t="s">
        <v>2221</v>
      </c>
      <c r="AL517" s="70" t="s">
        <v>2221</v>
      </c>
      <c r="AM517" s="70" t="s">
        <v>2221</v>
      </c>
      <c r="AN517" s="70" t="s">
        <v>2221</v>
      </c>
      <c r="AO517" s="70"/>
      <c r="AP517" s="70"/>
      <c r="AQ517" s="70"/>
      <c r="AR517" s="70"/>
      <c r="AS517" s="70"/>
      <c r="AT517" s="70"/>
      <c r="AU517" s="70"/>
      <c r="AV517" s="70"/>
    </row>
    <row r="518" spans="1:49" ht="15.75" thickBot="1" x14ac:dyDescent="0.3">
      <c r="A518"/>
      <c r="B518"/>
      <c r="C518"/>
      <c r="D518"/>
      <c r="E518"/>
      <c r="F518" s="73" t="s">
        <v>505</v>
      </c>
      <c r="G518" s="84" t="s">
        <v>1185</v>
      </c>
      <c r="H518" s="84" t="s">
        <v>1042</v>
      </c>
      <c r="I518" s="73" t="s">
        <v>1181</v>
      </c>
      <c r="J518" s="84" t="s">
        <v>14</v>
      </c>
      <c r="K518" s="84" t="s">
        <v>1278</v>
      </c>
      <c r="L518" s="84"/>
      <c r="M518" s="84" t="s">
        <v>1182</v>
      </c>
      <c r="N518" s="84"/>
      <c r="O518" s="131">
        <f t="shared" si="40"/>
        <v>28</v>
      </c>
      <c r="P518" s="136" t="s">
        <v>2036</v>
      </c>
      <c r="Q518" s="131">
        <f t="shared" si="41"/>
        <v>0</v>
      </c>
      <c r="R518" s="1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thickBot="1" x14ac:dyDescent="0.3">
      <c r="A519"/>
      <c r="B519"/>
      <c r="C519"/>
      <c r="D519"/>
      <c r="E519" s="151" t="s">
        <v>2459</v>
      </c>
      <c r="F519" t="s">
        <v>505</v>
      </c>
      <c r="G519" s="30" t="s">
        <v>1502</v>
      </c>
      <c r="H519" s="30" t="s">
        <v>1042</v>
      </c>
      <c r="I519" t="s">
        <v>1503</v>
      </c>
      <c r="J519" s="30" t="s">
        <v>1093</v>
      </c>
      <c r="K519" s="30" t="s">
        <v>2367</v>
      </c>
      <c r="L519" s="30"/>
      <c r="M519" s="30" t="s">
        <v>1504</v>
      </c>
      <c r="N519" s="30"/>
      <c r="O519" s="131">
        <f t="shared" si="40"/>
        <v>15</v>
      </c>
      <c r="P519" s="136" t="s">
        <v>2037</v>
      </c>
      <c r="Q519" s="131">
        <f t="shared" si="41"/>
        <v>13</v>
      </c>
      <c r="R519" s="132">
        <f t="shared" si="42"/>
        <v>0.5357142857142857</v>
      </c>
      <c r="S519" s="70"/>
      <c r="T519" s="70"/>
      <c r="U519" s="70"/>
      <c r="V519" s="70" t="s">
        <v>2221</v>
      </c>
      <c r="W519" s="70" t="s">
        <v>2221</v>
      </c>
      <c r="X519" s="70" t="s">
        <v>2221</v>
      </c>
      <c r="Y519" s="70" t="s">
        <v>2221</v>
      </c>
      <c r="Z519" s="70"/>
      <c r="AA519" s="70"/>
      <c r="AB519" s="70"/>
      <c r="AC519" s="70"/>
      <c r="AD519" s="70" t="s">
        <v>2221</v>
      </c>
      <c r="AE519" s="70" t="s">
        <v>2221</v>
      </c>
      <c r="AF519" s="70" t="s">
        <v>2221</v>
      </c>
      <c r="AG519" s="70" t="s">
        <v>2221</v>
      </c>
      <c r="AH519" s="70"/>
      <c r="AI519" s="70"/>
      <c r="AJ519" s="70" t="s">
        <v>2221</v>
      </c>
      <c r="AK519" s="70" t="s">
        <v>2221</v>
      </c>
      <c r="AL519" s="70" t="s">
        <v>2221</v>
      </c>
      <c r="AM519" s="70" t="s">
        <v>2221</v>
      </c>
      <c r="AN519" s="70" t="s">
        <v>2221</v>
      </c>
      <c r="AO519" s="70"/>
      <c r="AP519" s="70"/>
      <c r="AQ519" s="70"/>
      <c r="AR519" s="70"/>
      <c r="AS519" s="70"/>
      <c r="AT519" s="70"/>
      <c r="AU519" s="70"/>
      <c r="AV519" s="70"/>
    </row>
    <row r="520" spans="1:49" ht="15.75" thickBot="1" x14ac:dyDescent="0.3">
      <c r="A520"/>
      <c r="B520"/>
      <c r="C520"/>
      <c r="D520"/>
      <c r="E520"/>
      <c r="F520" s="73" t="s">
        <v>505</v>
      </c>
      <c r="G520" s="84" t="s">
        <v>1551</v>
      </c>
      <c r="H520" s="84" t="s">
        <v>1042</v>
      </c>
      <c r="I520" s="73" t="s">
        <v>1552</v>
      </c>
      <c r="J520" s="84" t="s">
        <v>14</v>
      </c>
      <c r="K520" s="84" t="s">
        <v>1278</v>
      </c>
      <c r="L520" s="84"/>
      <c r="M520" s="84" t="s">
        <v>1553</v>
      </c>
      <c r="N520" s="84"/>
      <c r="O520" s="131">
        <f t="shared" si="40"/>
        <v>27</v>
      </c>
      <c r="P520" s="136" t="s">
        <v>2038</v>
      </c>
      <c r="Q520" s="131">
        <f t="shared" si="41"/>
        <v>1</v>
      </c>
      <c r="R520" s="132">
        <f t="shared" si="42"/>
        <v>0.9642857142857143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 t="s">
        <v>2221</v>
      </c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thickBot="1" x14ac:dyDescent="0.3">
      <c r="A521"/>
      <c r="B521"/>
      <c r="C521"/>
      <c r="D521"/>
      <c r="E521" s="151" t="s">
        <v>2459</v>
      </c>
      <c r="F521" t="s">
        <v>505</v>
      </c>
      <c r="G521" t="s">
        <v>513</v>
      </c>
      <c r="H521" t="s">
        <v>1042</v>
      </c>
      <c r="I521" t="s">
        <v>2192</v>
      </c>
      <c r="J521" s="30" t="s">
        <v>18</v>
      </c>
      <c r="K521" s="30" t="s">
        <v>2367</v>
      </c>
      <c r="L521" s="30"/>
      <c r="M521" s="30" t="s">
        <v>829</v>
      </c>
      <c r="N521" s="30"/>
      <c r="O521" s="31">
        <f t="shared" ref="O521:O586" si="43">COUNTIF(S521:AT521,"")</f>
        <v>16</v>
      </c>
      <c r="P521" s="136" t="s">
        <v>2011</v>
      </c>
      <c r="Q521" s="31">
        <f t="shared" ref="Q521:Q586" si="44">COUNTIF(S521:AT521,"APAGADO")</f>
        <v>12</v>
      </c>
      <c r="R521" s="32">
        <f t="shared" ref="R521:R586" si="45">(O521)/(Q521+O521)</f>
        <v>0.5714285714285714</v>
      </c>
      <c r="S521" s="70"/>
      <c r="T521" s="70"/>
      <c r="U521" s="70"/>
      <c r="V521" s="70" t="s">
        <v>2221</v>
      </c>
      <c r="W521" s="70" t="s">
        <v>2221</v>
      </c>
      <c r="X521" s="70" t="s">
        <v>2221</v>
      </c>
      <c r="Y521" s="70" t="s">
        <v>2221</v>
      </c>
      <c r="Z521" s="70"/>
      <c r="AA521" s="70"/>
      <c r="AB521" s="70"/>
      <c r="AC521" s="70"/>
      <c r="AD521" s="70" t="s">
        <v>2221</v>
      </c>
      <c r="AE521" s="70" t="s">
        <v>2221</v>
      </c>
      <c r="AF521" s="70" t="s">
        <v>2221</v>
      </c>
      <c r="AG521" s="70" t="s">
        <v>2221</v>
      </c>
      <c r="AH521" s="70"/>
      <c r="AI521" s="70"/>
      <c r="AJ521" s="70" t="s">
        <v>2221</v>
      </c>
      <c r="AK521" s="70" t="s">
        <v>2221</v>
      </c>
      <c r="AL521" s="70" t="s">
        <v>2221</v>
      </c>
      <c r="AM521" s="70" t="s">
        <v>2221</v>
      </c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thickBot="1" x14ac:dyDescent="0.3">
      <c r="A522"/>
      <c r="B522"/>
      <c r="C522"/>
      <c r="D522"/>
      <c r="E522"/>
      <c r="F522" t="s">
        <v>501</v>
      </c>
      <c r="G522" t="s">
        <v>514</v>
      </c>
      <c r="H522" t="s">
        <v>1042</v>
      </c>
      <c r="I522" t="s">
        <v>1070</v>
      </c>
      <c r="J522" s="30" t="s">
        <v>18</v>
      </c>
      <c r="K522" s="30" t="s">
        <v>27</v>
      </c>
      <c r="L522" s="30"/>
      <c r="M522" s="30" t="s">
        <v>830</v>
      </c>
      <c r="N522" s="30"/>
      <c r="O522" s="31">
        <f t="shared" si="43"/>
        <v>16</v>
      </c>
      <c r="P522" s="136" t="s">
        <v>2012</v>
      </c>
      <c r="Q522" s="31">
        <f t="shared" si="44"/>
        <v>12</v>
      </c>
      <c r="R522" s="32">
        <f t="shared" si="45"/>
        <v>0.5714285714285714</v>
      </c>
      <c r="S522" s="70"/>
      <c r="T522" s="70"/>
      <c r="U522" s="70"/>
      <c r="V522" s="70" t="s">
        <v>2221</v>
      </c>
      <c r="W522" s="70" t="s">
        <v>2221</v>
      </c>
      <c r="X522" s="70" t="s">
        <v>2221</v>
      </c>
      <c r="Y522" s="70" t="s">
        <v>2221</v>
      </c>
      <c r="Z522" s="70"/>
      <c r="AA522" s="70"/>
      <c r="AB522" s="70"/>
      <c r="AC522" s="70"/>
      <c r="AD522" s="70" t="s">
        <v>2221</v>
      </c>
      <c r="AE522" s="70" t="s">
        <v>2221</v>
      </c>
      <c r="AF522" s="70" t="s">
        <v>2221</v>
      </c>
      <c r="AG522" s="70" t="s">
        <v>2221</v>
      </c>
      <c r="AH522" s="70"/>
      <c r="AI522" s="70"/>
      <c r="AJ522" s="70" t="s">
        <v>2221</v>
      </c>
      <c r="AK522" s="70" t="s">
        <v>2221</v>
      </c>
      <c r="AL522" s="70" t="s">
        <v>2221</v>
      </c>
      <c r="AM522" s="70" t="s">
        <v>2221</v>
      </c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>
        <v>4</v>
      </c>
      <c r="B523">
        <v>12</v>
      </c>
      <c r="C523"/>
      <c r="D523"/>
      <c r="E523" t="s">
        <v>2332</v>
      </c>
      <c r="F523" t="s">
        <v>501</v>
      </c>
      <c r="G523" t="s">
        <v>515</v>
      </c>
      <c r="H523" t="s">
        <v>1042</v>
      </c>
      <c r="I523" t="s">
        <v>516</v>
      </c>
      <c r="J523" s="30" t="s">
        <v>18</v>
      </c>
      <c r="K523" s="30" t="s">
        <v>27</v>
      </c>
      <c r="L523" s="30"/>
      <c r="M523" s="30" t="s">
        <v>831</v>
      </c>
      <c r="N523" s="30"/>
      <c r="O523" s="31">
        <f t="shared" si="43"/>
        <v>28</v>
      </c>
      <c r="P523" s="136" t="s">
        <v>2013</v>
      </c>
      <c r="Q523" s="31">
        <f t="shared" si="44"/>
        <v>0</v>
      </c>
      <c r="R523" s="32">
        <f t="shared" si="45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thickBot="1" x14ac:dyDescent="0.3">
      <c r="A524">
        <v>4</v>
      </c>
      <c r="B524">
        <v>12</v>
      </c>
      <c r="C524"/>
      <c r="D524"/>
      <c r="E524" t="s">
        <v>2332</v>
      </c>
      <c r="F524" s="73" t="s">
        <v>501</v>
      </c>
      <c r="G524" s="73" t="s">
        <v>517</v>
      </c>
      <c r="H524" s="73" t="s">
        <v>1042</v>
      </c>
      <c r="I524" s="73" t="s">
        <v>518</v>
      </c>
      <c r="J524" s="84" t="s">
        <v>18</v>
      </c>
      <c r="K524" s="84" t="s">
        <v>27</v>
      </c>
      <c r="L524" s="84"/>
      <c r="M524" s="84" t="s">
        <v>832</v>
      </c>
      <c r="N524" s="84"/>
      <c r="O524" s="31">
        <f t="shared" si="43"/>
        <v>28</v>
      </c>
      <c r="P524" s="136" t="s">
        <v>2014</v>
      </c>
      <c r="Q524" s="31">
        <f t="shared" si="44"/>
        <v>0</v>
      </c>
      <c r="R524" s="32">
        <f t="shared" si="45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/>
      <c r="B525"/>
      <c r="C525"/>
      <c r="D525"/>
      <c r="E525"/>
      <c r="F525" s="73" t="s">
        <v>501</v>
      </c>
      <c r="G525" s="73" t="s">
        <v>519</v>
      </c>
      <c r="H525" s="73" t="s">
        <v>1042</v>
      </c>
      <c r="I525" s="73" t="s">
        <v>520</v>
      </c>
      <c r="J525" s="84" t="s">
        <v>18</v>
      </c>
      <c r="K525" s="84" t="s">
        <v>1278</v>
      </c>
      <c r="L525" s="84"/>
      <c r="M525" s="84" t="s">
        <v>1474</v>
      </c>
      <c r="N525" s="84"/>
      <c r="O525" s="131">
        <f t="shared" si="43"/>
        <v>28</v>
      </c>
      <c r="P525" s="136" t="s">
        <v>2015</v>
      </c>
      <c r="Q525" s="131">
        <f t="shared" si="44"/>
        <v>0</v>
      </c>
      <c r="R525" s="132">
        <f t="shared" si="45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/>
      <c r="B526"/>
      <c r="C526"/>
      <c r="D526"/>
      <c r="E526"/>
      <c r="F526" t="s">
        <v>501</v>
      </c>
      <c r="G526" t="s">
        <v>521</v>
      </c>
      <c r="H526" t="s">
        <v>1042</v>
      </c>
      <c r="I526" t="s">
        <v>1048</v>
      </c>
      <c r="J526" s="30" t="s">
        <v>18</v>
      </c>
      <c r="K526" s="30" t="s">
        <v>27</v>
      </c>
      <c r="L526" s="30"/>
      <c r="M526" s="30" t="s">
        <v>833</v>
      </c>
      <c r="N526" s="30"/>
      <c r="O526" s="31">
        <f t="shared" si="43"/>
        <v>15</v>
      </c>
      <c r="P526" s="136" t="s">
        <v>2016</v>
      </c>
      <c r="Q526" s="31">
        <f t="shared" si="44"/>
        <v>13</v>
      </c>
      <c r="R526" s="32">
        <f t="shared" si="45"/>
        <v>0.5357142857142857</v>
      </c>
      <c r="S526" s="70"/>
      <c r="T526" s="70"/>
      <c r="U526" s="70"/>
      <c r="V526" s="70" t="s">
        <v>2221</v>
      </c>
      <c r="W526" s="70" t="s">
        <v>2221</v>
      </c>
      <c r="X526" s="70" t="s">
        <v>2221</v>
      </c>
      <c r="Y526" s="70" t="s">
        <v>2221</v>
      </c>
      <c r="Z526" s="70" t="s">
        <v>2221</v>
      </c>
      <c r="AA526" s="70"/>
      <c r="AB526" s="70"/>
      <c r="AC526" s="70" t="s">
        <v>2221</v>
      </c>
      <c r="AD526" s="70" t="s">
        <v>2221</v>
      </c>
      <c r="AE526" s="70" t="s">
        <v>2221</v>
      </c>
      <c r="AF526" s="70" t="s">
        <v>2221</v>
      </c>
      <c r="AG526" s="70" t="s">
        <v>2221</v>
      </c>
      <c r="AH526" s="70"/>
      <c r="AI526" s="70"/>
      <c r="AJ526" s="70" t="s">
        <v>2221</v>
      </c>
      <c r="AK526" s="70" t="s">
        <v>2221</v>
      </c>
      <c r="AL526" s="70" t="s">
        <v>2221</v>
      </c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s="73" customFormat="1" ht="15.75" thickBot="1" x14ac:dyDescent="0.3">
      <c r="A527"/>
      <c r="B527"/>
      <c r="C527"/>
      <c r="D527"/>
      <c r="E527" s="151" t="s">
        <v>2459</v>
      </c>
      <c r="F527" t="s">
        <v>501</v>
      </c>
      <c r="G527" t="s">
        <v>522</v>
      </c>
      <c r="H527" t="s">
        <v>1041</v>
      </c>
      <c r="I527" t="s">
        <v>1047</v>
      </c>
      <c r="J527" s="30" t="s">
        <v>18</v>
      </c>
      <c r="K527" s="30" t="s">
        <v>2367</v>
      </c>
      <c r="L527" s="30"/>
      <c r="M527" s="30" t="s">
        <v>834</v>
      </c>
      <c r="N527" s="30"/>
      <c r="O527" s="31">
        <f t="shared" si="43"/>
        <v>28</v>
      </c>
      <c r="P527" s="136" t="s">
        <v>2017</v>
      </c>
      <c r="Q527" s="31">
        <f t="shared" si="44"/>
        <v>0</v>
      </c>
      <c r="R527" s="32">
        <f t="shared" si="45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/>
    </row>
    <row r="528" spans="1:49" ht="15.75" thickBot="1" x14ac:dyDescent="0.3">
      <c r="A528"/>
      <c r="B528"/>
      <c r="C528"/>
      <c r="D528"/>
      <c r="E528"/>
      <c r="F528" s="73" t="s">
        <v>505</v>
      </c>
      <c r="G528" s="73" t="s">
        <v>523</v>
      </c>
      <c r="H528" s="73" t="s">
        <v>1042</v>
      </c>
      <c r="I528" s="73" t="s">
        <v>524</v>
      </c>
      <c r="J528" s="84" t="s">
        <v>18</v>
      </c>
      <c r="K528" s="84" t="s">
        <v>1278</v>
      </c>
      <c r="L528" s="84"/>
      <c r="M528" s="84" t="s">
        <v>835</v>
      </c>
      <c r="N528" s="84"/>
      <c r="O528" s="131">
        <f t="shared" si="43"/>
        <v>28</v>
      </c>
      <c r="P528" s="136" t="s">
        <v>2018</v>
      </c>
      <c r="Q528" s="131">
        <f t="shared" si="44"/>
        <v>0</v>
      </c>
      <c r="R528" s="132">
        <f t="shared" si="45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thickBot="1" x14ac:dyDescent="0.3">
      <c r="A529">
        <v>5</v>
      </c>
      <c r="B529">
        <v>3</v>
      </c>
      <c r="C529"/>
      <c r="D529"/>
      <c r="E529" t="s">
        <v>1233</v>
      </c>
      <c r="F529" t="s">
        <v>505</v>
      </c>
      <c r="G529" t="s">
        <v>525</v>
      </c>
      <c r="H529" t="s">
        <v>1042</v>
      </c>
      <c r="I529" t="s">
        <v>526</v>
      </c>
      <c r="J529" s="30" t="s">
        <v>18</v>
      </c>
      <c r="K529" s="30" t="s">
        <v>27</v>
      </c>
      <c r="L529" s="30"/>
      <c r="M529" s="30" t="s">
        <v>836</v>
      </c>
      <c r="N529" s="30"/>
      <c r="O529" s="31">
        <f t="shared" si="43"/>
        <v>28</v>
      </c>
      <c r="P529" s="136" t="s">
        <v>2019</v>
      </c>
      <c r="Q529" s="31">
        <f t="shared" si="44"/>
        <v>0</v>
      </c>
      <c r="R529" s="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142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thickBot="1" x14ac:dyDescent="0.3">
      <c r="A530"/>
      <c r="B530"/>
      <c r="C530"/>
      <c r="D530"/>
      <c r="E530"/>
      <c r="F530" t="s">
        <v>505</v>
      </c>
      <c r="G530" t="s">
        <v>528</v>
      </c>
      <c r="H530" t="s">
        <v>1042</v>
      </c>
      <c r="I530" t="s">
        <v>529</v>
      </c>
      <c r="J530" s="30" t="s">
        <v>18</v>
      </c>
      <c r="K530" s="84" t="s">
        <v>1278</v>
      </c>
      <c r="L530" s="30"/>
      <c r="M530" s="30" t="s">
        <v>838</v>
      </c>
      <c r="N530" s="30"/>
      <c r="O530" s="31">
        <f t="shared" si="43"/>
        <v>15</v>
      </c>
      <c r="P530" s="136" t="s">
        <v>2021</v>
      </c>
      <c r="Q530" s="31">
        <f t="shared" si="44"/>
        <v>13</v>
      </c>
      <c r="R530" s="32">
        <f t="shared" si="45"/>
        <v>0.5357142857142857</v>
      </c>
      <c r="S530" s="70"/>
      <c r="T530" s="70"/>
      <c r="U530" s="70"/>
      <c r="V530" s="70" t="s">
        <v>2221</v>
      </c>
      <c r="W530" s="70" t="s">
        <v>2221</v>
      </c>
      <c r="X530" s="70" t="s">
        <v>2221</v>
      </c>
      <c r="Y530" s="70" t="s">
        <v>2221</v>
      </c>
      <c r="Z530" s="70"/>
      <c r="AA530" s="70"/>
      <c r="AB530" s="70"/>
      <c r="AC530" s="70"/>
      <c r="AD530" s="70" t="s">
        <v>2221</v>
      </c>
      <c r="AE530" s="70" t="s">
        <v>2221</v>
      </c>
      <c r="AF530" s="70" t="s">
        <v>2221</v>
      </c>
      <c r="AG530" s="70" t="s">
        <v>2221</v>
      </c>
      <c r="AH530" s="70"/>
      <c r="AI530" s="70"/>
      <c r="AJ530" s="70" t="s">
        <v>2221</v>
      </c>
      <c r="AK530" s="70" t="s">
        <v>2221</v>
      </c>
      <c r="AL530" s="70" t="s">
        <v>2221</v>
      </c>
      <c r="AM530" s="70" t="s">
        <v>2221</v>
      </c>
      <c r="AN530" s="70" t="s">
        <v>2221</v>
      </c>
      <c r="AO530" s="70"/>
      <c r="AP530" s="70"/>
      <c r="AQ530" s="70"/>
      <c r="AR530" s="70"/>
      <c r="AS530" s="70"/>
      <c r="AT530" s="70"/>
      <c r="AU530" s="70"/>
      <c r="AV530" s="70"/>
    </row>
    <row r="531" spans="1:49" ht="15.75" thickBot="1" x14ac:dyDescent="0.3">
      <c r="A531"/>
      <c r="B531"/>
      <c r="C531"/>
      <c r="D531"/>
      <c r="E531"/>
      <c r="F531" t="s">
        <v>505</v>
      </c>
      <c r="G531" t="s">
        <v>1019</v>
      </c>
      <c r="H531" t="s">
        <v>1042</v>
      </c>
      <c r="I531" t="s">
        <v>500</v>
      </c>
      <c r="J531" s="30" t="s">
        <v>14</v>
      </c>
      <c r="K531" s="30" t="s">
        <v>1035</v>
      </c>
      <c r="L531" s="30" t="s">
        <v>1236</v>
      </c>
      <c r="M531" s="30" t="s">
        <v>839</v>
      </c>
      <c r="N531" s="30"/>
      <c r="O531" s="31">
        <f t="shared" si="43"/>
        <v>26</v>
      </c>
      <c r="P531" s="136" t="s">
        <v>2022</v>
      </c>
      <c r="Q531" s="31">
        <f t="shared" si="44"/>
        <v>2</v>
      </c>
      <c r="R531" s="32">
        <f t="shared" si="45"/>
        <v>0.9285714285714286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2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 t="s">
        <v>2221</v>
      </c>
      <c r="AO531" s="70"/>
      <c r="AP531" s="70"/>
      <c r="AQ531" s="70"/>
      <c r="AR531" s="70"/>
      <c r="AS531" s="70" t="s">
        <v>2221</v>
      </c>
      <c r="AT531" s="70"/>
      <c r="AU531" s="70"/>
      <c r="AV531" s="70"/>
    </row>
    <row r="532" spans="1:49" ht="15.75" thickBot="1" x14ac:dyDescent="0.3">
      <c r="A532"/>
      <c r="B532"/>
      <c r="C532"/>
      <c r="D532"/>
      <c r="E532" s="151" t="s">
        <v>2459</v>
      </c>
      <c r="F532" t="s">
        <v>501</v>
      </c>
      <c r="G532" t="s">
        <v>1020</v>
      </c>
      <c r="H532" t="s">
        <v>1042</v>
      </c>
      <c r="I532" t="s">
        <v>502</v>
      </c>
      <c r="J532" s="30" t="s">
        <v>18</v>
      </c>
      <c r="K532" s="30" t="s">
        <v>2365</v>
      </c>
      <c r="L532" s="30"/>
      <c r="M532" s="30" t="s">
        <v>840</v>
      </c>
      <c r="N532" s="30"/>
      <c r="O532" s="31">
        <f t="shared" si="43"/>
        <v>27</v>
      </c>
      <c r="P532" s="136" t="s">
        <v>2023</v>
      </c>
      <c r="Q532" s="31">
        <f t="shared" si="44"/>
        <v>1</v>
      </c>
      <c r="R532" s="32">
        <f t="shared" si="45"/>
        <v>0.9642857142857143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 t="s">
        <v>2221</v>
      </c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thickBot="1" x14ac:dyDescent="0.3">
      <c r="A533">
        <v>4</v>
      </c>
      <c r="B533">
        <v>12</v>
      </c>
      <c r="C533"/>
      <c r="D533"/>
      <c r="E533" t="s">
        <v>2332</v>
      </c>
      <c r="F533" t="s">
        <v>501</v>
      </c>
      <c r="G533" t="s">
        <v>1021</v>
      </c>
      <c r="H533" t="s">
        <v>1042</v>
      </c>
      <c r="I533" t="s">
        <v>509</v>
      </c>
      <c r="J533" s="30" t="s">
        <v>14</v>
      </c>
      <c r="K533" s="30" t="s">
        <v>1035</v>
      </c>
      <c r="L533" s="30" t="s">
        <v>1239</v>
      </c>
      <c r="M533" s="30" t="s">
        <v>845</v>
      </c>
      <c r="N533" s="30"/>
      <c r="O533" s="31">
        <f t="shared" si="43"/>
        <v>28</v>
      </c>
      <c r="P533" s="136" t="s">
        <v>2028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s="73" customFormat="1" ht="15.75" thickBot="1" x14ac:dyDescent="0.3">
      <c r="A534"/>
      <c r="B534"/>
      <c r="C534"/>
      <c r="D534"/>
      <c r="E534"/>
      <c r="F534" t="s">
        <v>501</v>
      </c>
      <c r="G534" t="s">
        <v>1022</v>
      </c>
      <c r="H534" t="s">
        <v>1042</v>
      </c>
      <c r="I534" t="s">
        <v>510</v>
      </c>
      <c r="J534" s="30" t="s">
        <v>14</v>
      </c>
      <c r="K534" s="30" t="s">
        <v>19</v>
      </c>
      <c r="L534" s="30"/>
      <c r="M534" s="30" t="s">
        <v>846</v>
      </c>
      <c r="N534" s="30"/>
      <c r="O534" s="31">
        <f t="shared" si="43"/>
        <v>28</v>
      </c>
      <c r="P534" s="136" t="s">
        <v>2431</v>
      </c>
      <c r="Q534" s="31">
        <f t="shared" si="44"/>
        <v>0</v>
      </c>
      <c r="R534" s="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/>
    </row>
    <row r="535" spans="1:49" ht="15.75" thickBot="1" x14ac:dyDescent="0.3">
      <c r="A535"/>
      <c r="B535"/>
      <c r="C535"/>
      <c r="D535"/>
      <c r="E535" s="151" t="s">
        <v>2459</v>
      </c>
      <c r="F535" t="s">
        <v>501</v>
      </c>
      <c r="G535" t="s">
        <v>532</v>
      </c>
      <c r="H535" t="s">
        <v>1041</v>
      </c>
      <c r="I535" t="s">
        <v>533</v>
      </c>
      <c r="J535" s="30" t="s">
        <v>71</v>
      </c>
      <c r="K535" s="30" t="s">
        <v>2367</v>
      </c>
      <c r="L535" s="30"/>
      <c r="M535" s="30" t="s">
        <v>657</v>
      </c>
      <c r="N535" s="30"/>
      <c r="O535" s="31">
        <f t="shared" si="43"/>
        <v>27</v>
      </c>
      <c r="P535" s="136" t="s">
        <v>2032</v>
      </c>
      <c r="Q535" s="31">
        <f t="shared" si="44"/>
        <v>1</v>
      </c>
      <c r="R535" s="32">
        <f t="shared" si="45"/>
        <v>0.9642857142857143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 t="s">
        <v>2221</v>
      </c>
      <c r="AN535" s="70"/>
      <c r="AO535" s="70"/>
      <c r="AP535" s="70"/>
      <c r="AQ535" s="70"/>
      <c r="AR535" s="70"/>
      <c r="AS535" s="70"/>
      <c r="AT535" s="70"/>
      <c r="AU535" s="70"/>
      <c r="AV535" s="70"/>
      <c r="AW535" s="73"/>
    </row>
    <row r="536" spans="1:49" s="73" customFormat="1" ht="15.75" thickBot="1" x14ac:dyDescent="0.3">
      <c r="A536"/>
      <c r="B536"/>
      <c r="C536"/>
      <c r="D536"/>
      <c r="E536" s="151" t="s">
        <v>2459</v>
      </c>
      <c r="F536" t="s">
        <v>501</v>
      </c>
      <c r="G536" t="s">
        <v>534</v>
      </c>
      <c r="H536" t="s">
        <v>1041</v>
      </c>
      <c r="I536" t="s">
        <v>533</v>
      </c>
      <c r="J536" s="30" t="s">
        <v>71</v>
      </c>
      <c r="K536" s="30" t="s">
        <v>2367</v>
      </c>
      <c r="L536" s="30"/>
      <c r="M536" s="30" t="s">
        <v>849</v>
      </c>
      <c r="N536" s="30"/>
      <c r="O536" s="31">
        <f t="shared" si="43"/>
        <v>28</v>
      </c>
      <c r="P536" s="136" t="s">
        <v>2033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88"/>
    </row>
    <row r="537" spans="1:49" s="73" customFormat="1" ht="15.75" thickBot="1" x14ac:dyDescent="0.3">
      <c r="A537"/>
      <c r="B537"/>
      <c r="C537"/>
      <c r="D537"/>
      <c r="E537"/>
      <c r="F537" s="73" t="s">
        <v>505</v>
      </c>
      <c r="G537" s="84" t="s">
        <v>1554</v>
      </c>
      <c r="H537" s="84" t="s">
        <v>1042</v>
      </c>
      <c r="I537" s="73" t="s">
        <v>1555</v>
      </c>
      <c r="J537" s="84" t="s">
        <v>14</v>
      </c>
      <c r="K537" s="84" t="s">
        <v>1278</v>
      </c>
      <c r="L537" s="84"/>
      <c r="M537" s="84" t="s">
        <v>1556</v>
      </c>
      <c r="N537" s="84"/>
      <c r="O537" s="131">
        <f t="shared" si="43"/>
        <v>28</v>
      </c>
      <c r="P537" s="136" t="s">
        <v>2039</v>
      </c>
      <c r="Q537" s="131">
        <f t="shared" si="44"/>
        <v>0</v>
      </c>
      <c r="R537" s="1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s="73" customFormat="1" ht="15.75" thickBot="1" x14ac:dyDescent="0.3">
      <c r="A538"/>
      <c r="B538"/>
      <c r="C538"/>
      <c r="D538"/>
      <c r="E538"/>
      <c r="F538" s="73" t="s">
        <v>505</v>
      </c>
      <c r="G538" s="84" t="s">
        <v>2170</v>
      </c>
      <c r="H538" s="84" t="s">
        <v>1042</v>
      </c>
      <c r="I538" s="73" t="s">
        <v>2171</v>
      </c>
      <c r="J538" s="30" t="s">
        <v>71</v>
      </c>
      <c r="K538" s="84" t="s">
        <v>1278</v>
      </c>
      <c r="L538" s="84"/>
      <c r="M538" s="84" t="s">
        <v>2292</v>
      </c>
      <c r="N538" s="84"/>
      <c r="O538" s="131">
        <f t="shared" si="43"/>
        <v>27</v>
      </c>
      <c r="P538" s="136" t="s">
        <v>2172</v>
      </c>
      <c r="Q538" s="131">
        <f t="shared" si="44"/>
        <v>1</v>
      </c>
      <c r="R538" s="132">
        <f t="shared" si="45"/>
        <v>0.9642857142857143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 t="s">
        <v>2221</v>
      </c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/>
    </row>
    <row r="539" spans="1:49" s="73" customFormat="1" ht="15.75" thickBot="1" x14ac:dyDescent="0.3">
      <c r="A539"/>
      <c r="B539"/>
      <c r="C539"/>
      <c r="D539"/>
      <c r="E539"/>
      <c r="F539" s="73" t="s">
        <v>505</v>
      </c>
      <c r="G539" s="84" t="s">
        <v>2173</v>
      </c>
      <c r="H539" s="84" t="s">
        <v>1042</v>
      </c>
      <c r="I539" s="73" t="s">
        <v>2174</v>
      </c>
      <c r="J539" s="84" t="s">
        <v>14</v>
      </c>
      <c r="K539" s="84" t="s">
        <v>1278</v>
      </c>
      <c r="L539" s="84"/>
      <c r="M539" s="84" t="s">
        <v>2293</v>
      </c>
      <c r="N539" s="84"/>
      <c r="O539" s="131">
        <f t="shared" si="43"/>
        <v>28</v>
      </c>
      <c r="P539" s="136" t="s">
        <v>2175</v>
      </c>
      <c r="Q539" s="131">
        <f t="shared" si="44"/>
        <v>0</v>
      </c>
      <c r="R539" s="132">
        <f t="shared" si="45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/>
    </row>
    <row r="540" spans="1:49" ht="15.75" thickBot="1" x14ac:dyDescent="0.3">
      <c r="A540">
        <v>1</v>
      </c>
      <c r="B540">
        <v>18</v>
      </c>
      <c r="C540"/>
      <c r="D540"/>
      <c r="E540" t="s">
        <v>2360</v>
      </c>
      <c r="F540" t="s">
        <v>396</v>
      </c>
      <c r="G540" t="s">
        <v>1023</v>
      </c>
      <c r="H540" t="s">
        <v>1041</v>
      </c>
      <c r="I540" t="s">
        <v>537</v>
      </c>
      <c r="J540" s="30" t="s">
        <v>18</v>
      </c>
      <c r="K540" s="30" t="s">
        <v>27</v>
      </c>
      <c r="L540" s="30"/>
      <c r="M540" s="30" t="s">
        <v>852</v>
      </c>
      <c r="N540" s="30" t="s">
        <v>2265</v>
      </c>
      <c r="O540" s="31">
        <f t="shared" si="43"/>
        <v>28</v>
      </c>
      <c r="P540" s="136" t="s">
        <v>2040</v>
      </c>
      <c r="Q540" s="31">
        <f t="shared" si="44"/>
        <v>0</v>
      </c>
      <c r="R540" s="32">
        <f t="shared" si="45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9" ht="15.75" thickBot="1" x14ac:dyDescent="0.3">
      <c r="A541">
        <v>1</v>
      </c>
      <c r="B541">
        <v>18</v>
      </c>
      <c r="C541"/>
      <c r="D541"/>
      <c r="E541" t="s">
        <v>2360</v>
      </c>
      <c r="F541" t="s">
        <v>281</v>
      </c>
      <c r="G541" t="s">
        <v>1024</v>
      </c>
      <c r="H541" t="s">
        <v>1041</v>
      </c>
      <c r="I541" t="s">
        <v>538</v>
      </c>
      <c r="J541" s="30" t="s">
        <v>18</v>
      </c>
      <c r="K541" s="30" t="s">
        <v>27</v>
      </c>
      <c r="L541" s="30"/>
      <c r="M541" s="30" t="s">
        <v>853</v>
      </c>
      <c r="N541" s="30" t="s">
        <v>2265</v>
      </c>
      <c r="O541" s="31">
        <f t="shared" si="43"/>
        <v>28</v>
      </c>
      <c r="P541" s="136" t="s">
        <v>2041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9" ht="15.75" thickBot="1" x14ac:dyDescent="0.3">
      <c r="A542" s="88">
        <v>1</v>
      </c>
      <c r="B542" s="88">
        <v>18</v>
      </c>
      <c r="C542" s="88"/>
      <c r="D542" s="88"/>
      <c r="E542" s="88" t="s">
        <v>2360</v>
      </c>
      <c r="F542" s="73" t="s">
        <v>396</v>
      </c>
      <c r="G542" s="73" t="s">
        <v>535</v>
      </c>
      <c r="H542" s="88" t="s">
        <v>1041</v>
      </c>
      <c r="I542" s="73" t="s">
        <v>536</v>
      </c>
      <c r="J542" s="89" t="s">
        <v>18</v>
      </c>
      <c r="K542" s="84" t="s">
        <v>27</v>
      </c>
      <c r="L542" s="84"/>
      <c r="M542" s="84" t="s">
        <v>856</v>
      </c>
      <c r="N542" s="84" t="s">
        <v>2265</v>
      </c>
      <c r="O542" s="31">
        <f t="shared" si="43"/>
        <v>11</v>
      </c>
      <c r="P542" s="136" t="s">
        <v>2479</v>
      </c>
      <c r="Q542" s="31">
        <f t="shared" si="44"/>
        <v>17</v>
      </c>
      <c r="R542" s="32">
        <f t="shared" si="45"/>
        <v>0.39285714285714285</v>
      </c>
      <c r="S542" s="70"/>
      <c r="T542" s="70"/>
      <c r="U542" s="70"/>
      <c r="V542" s="70" t="s">
        <v>2221</v>
      </c>
      <c r="W542" s="70" t="s">
        <v>2221</v>
      </c>
      <c r="X542" s="70" t="s">
        <v>2221</v>
      </c>
      <c r="Y542" s="70" t="s">
        <v>2221</v>
      </c>
      <c r="Z542" s="70" t="s">
        <v>2221</v>
      </c>
      <c r="AA542" s="70"/>
      <c r="AB542" s="70"/>
      <c r="AC542" s="70" t="s">
        <v>2221</v>
      </c>
      <c r="AD542" s="70" t="s">
        <v>2221</v>
      </c>
      <c r="AE542" s="70" t="s">
        <v>2221</v>
      </c>
      <c r="AF542" s="70" t="s">
        <v>2221</v>
      </c>
      <c r="AG542" s="70" t="s">
        <v>2221</v>
      </c>
      <c r="AH542" s="70"/>
      <c r="AI542" s="70"/>
      <c r="AJ542" s="70" t="s">
        <v>2221</v>
      </c>
      <c r="AK542" s="70" t="s">
        <v>2221</v>
      </c>
      <c r="AL542" s="70" t="s">
        <v>2221</v>
      </c>
      <c r="AM542" s="70" t="s">
        <v>2221</v>
      </c>
      <c r="AN542" s="70" t="s">
        <v>2221</v>
      </c>
      <c r="AO542" s="70"/>
      <c r="AP542" s="70"/>
      <c r="AQ542" s="70"/>
      <c r="AR542" s="70" t="s">
        <v>2221</v>
      </c>
      <c r="AS542" s="70" t="s">
        <v>2221</v>
      </c>
      <c r="AT542" s="70"/>
      <c r="AU542" s="70"/>
      <c r="AV542" s="70"/>
      <c r="AW542" s="73"/>
    </row>
    <row r="543" spans="1:49" ht="15.75" thickBot="1" x14ac:dyDescent="0.3">
      <c r="A543">
        <v>1</v>
      </c>
      <c r="B543">
        <v>18</v>
      </c>
      <c r="C543"/>
      <c r="D543"/>
      <c r="E543" t="s">
        <v>2360</v>
      </c>
      <c r="F543" t="s">
        <v>396</v>
      </c>
      <c r="G543" t="s">
        <v>539</v>
      </c>
      <c r="H543" t="s">
        <v>1041</v>
      </c>
      <c r="I543" t="s">
        <v>540</v>
      </c>
      <c r="J543" s="30" t="s">
        <v>71</v>
      </c>
      <c r="K543" s="30" t="s">
        <v>27</v>
      </c>
      <c r="L543" s="30"/>
      <c r="M543" s="30" t="s">
        <v>850</v>
      </c>
      <c r="N543" s="30" t="s">
        <v>2265</v>
      </c>
      <c r="O543" s="31">
        <f t="shared" si="43"/>
        <v>21</v>
      </c>
      <c r="P543" s="136" t="s">
        <v>2042</v>
      </c>
      <c r="Q543" s="31">
        <f t="shared" si="44"/>
        <v>7</v>
      </c>
      <c r="R543" s="32">
        <f t="shared" si="45"/>
        <v>0.75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 t="s">
        <v>2221</v>
      </c>
      <c r="AD543" s="70" t="s">
        <v>2221</v>
      </c>
      <c r="AE543" s="70" t="s">
        <v>2221</v>
      </c>
      <c r="AF543" s="70" t="s">
        <v>2221</v>
      </c>
      <c r="AG543" s="70" t="s">
        <v>2221</v>
      </c>
      <c r="AH543" s="70"/>
      <c r="AI543" s="70"/>
      <c r="AJ543" s="70" t="s">
        <v>2221</v>
      </c>
      <c r="AK543" s="70" t="s">
        <v>2221</v>
      </c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</row>
    <row r="544" spans="1:49" ht="15.75" thickBot="1" x14ac:dyDescent="0.3">
      <c r="A544">
        <v>1</v>
      </c>
      <c r="B544">
        <v>18</v>
      </c>
      <c r="C544"/>
      <c r="D544"/>
      <c r="E544" t="s">
        <v>2360</v>
      </c>
      <c r="F544" t="s">
        <v>396</v>
      </c>
      <c r="G544" t="s">
        <v>541</v>
      </c>
      <c r="H544" t="s">
        <v>1041</v>
      </c>
      <c r="I544" t="s">
        <v>540</v>
      </c>
      <c r="J544" s="30" t="s">
        <v>71</v>
      </c>
      <c r="K544" s="30" t="s">
        <v>27</v>
      </c>
      <c r="L544" s="30"/>
      <c r="M544" s="30" t="s">
        <v>851</v>
      </c>
      <c r="N544" s="30" t="s">
        <v>2265</v>
      </c>
      <c r="O544" s="31">
        <f t="shared" si="43"/>
        <v>21</v>
      </c>
      <c r="P544" s="136" t="s">
        <v>2043</v>
      </c>
      <c r="Q544" s="31">
        <f t="shared" si="44"/>
        <v>7</v>
      </c>
      <c r="R544" s="32">
        <f t="shared" si="45"/>
        <v>0.75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 t="s">
        <v>2221</v>
      </c>
      <c r="AD544" s="70" t="s">
        <v>2221</v>
      </c>
      <c r="AE544" s="70" t="s">
        <v>2221</v>
      </c>
      <c r="AF544" s="70" t="s">
        <v>2221</v>
      </c>
      <c r="AG544" s="70" t="s">
        <v>2221</v>
      </c>
      <c r="AH544" s="70"/>
      <c r="AI544" s="70"/>
      <c r="AJ544" s="70" t="s">
        <v>2221</v>
      </c>
      <c r="AK544" s="70" t="s">
        <v>2221</v>
      </c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3"/>
    </row>
    <row r="545" spans="1:49" ht="15.75" thickBot="1" x14ac:dyDescent="0.3">
      <c r="A545">
        <v>1</v>
      </c>
      <c r="B545">
        <v>18</v>
      </c>
      <c r="C545"/>
      <c r="D545"/>
      <c r="E545" t="s">
        <v>2360</v>
      </c>
      <c r="F545" t="s">
        <v>396</v>
      </c>
      <c r="G545" t="s">
        <v>542</v>
      </c>
      <c r="H545" t="s">
        <v>1041</v>
      </c>
      <c r="I545" t="s">
        <v>543</v>
      </c>
      <c r="J545" s="30" t="s">
        <v>71</v>
      </c>
      <c r="K545" s="30" t="s">
        <v>27</v>
      </c>
      <c r="L545" s="30"/>
      <c r="M545" s="30" t="s">
        <v>854</v>
      </c>
      <c r="N545" s="30" t="s">
        <v>2265</v>
      </c>
      <c r="O545" s="31">
        <f t="shared" si="43"/>
        <v>28</v>
      </c>
      <c r="P545" s="136" t="s">
        <v>2044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</row>
    <row r="546" spans="1:49" s="88" customFormat="1" ht="15.75" thickBot="1" x14ac:dyDescent="0.3">
      <c r="A546">
        <v>1</v>
      </c>
      <c r="B546">
        <v>18</v>
      </c>
      <c r="C546"/>
      <c r="D546"/>
      <c r="E546" t="s">
        <v>2360</v>
      </c>
      <c r="F546" t="s">
        <v>396</v>
      </c>
      <c r="G546" t="s">
        <v>544</v>
      </c>
      <c r="H546" t="s">
        <v>1041</v>
      </c>
      <c r="I546" t="s">
        <v>543</v>
      </c>
      <c r="J546" s="30" t="s">
        <v>71</v>
      </c>
      <c r="K546" s="30" t="s">
        <v>27</v>
      </c>
      <c r="L546" s="30"/>
      <c r="M546" s="30" t="s">
        <v>855</v>
      </c>
      <c r="N546" s="30" t="s">
        <v>2265</v>
      </c>
      <c r="O546" s="31">
        <f t="shared" si="43"/>
        <v>28</v>
      </c>
      <c r="P546" s="136" t="s">
        <v>2045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/>
    </row>
    <row r="547" spans="1:49" s="88" customFormat="1" ht="15.75" thickBot="1" x14ac:dyDescent="0.3">
      <c r="A547" s="88">
        <v>1</v>
      </c>
      <c r="B547" s="88">
        <v>18</v>
      </c>
      <c r="E547" s="88" t="s">
        <v>2360</v>
      </c>
      <c r="F547" s="73" t="s">
        <v>396</v>
      </c>
      <c r="G547" s="73" t="s">
        <v>545</v>
      </c>
      <c r="H547" s="88" t="s">
        <v>1041</v>
      </c>
      <c r="I547" s="73" t="s">
        <v>546</v>
      </c>
      <c r="J547" s="89" t="s">
        <v>14</v>
      </c>
      <c r="K547" s="84" t="s">
        <v>27</v>
      </c>
      <c r="L547" s="84"/>
      <c r="M547" s="84" t="s">
        <v>1476</v>
      </c>
      <c r="N547" s="84" t="s">
        <v>2265</v>
      </c>
      <c r="O547" s="31">
        <f t="shared" si="43"/>
        <v>28</v>
      </c>
      <c r="P547" s="136" t="s">
        <v>2046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/>
    </row>
    <row r="548" spans="1:49" s="73" customFormat="1" ht="15.75" thickBot="1" x14ac:dyDescent="0.3">
      <c r="A548"/>
      <c r="B548"/>
      <c r="C548"/>
      <c r="D548"/>
      <c r="E548" s="151" t="s">
        <v>2461</v>
      </c>
      <c r="F548" t="s">
        <v>376</v>
      </c>
      <c r="G548" s="30" t="s">
        <v>2130</v>
      </c>
      <c r="H548" s="73" t="s">
        <v>1041</v>
      </c>
      <c r="I548" t="s">
        <v>2131</v>
      </c>
      <c r="J548" s="84" t="s">
        <v>45</v>
      </c>
      <c r="K548" s="30" t="s">
        <v>2367</v>
      </c>
      <c r="L548" s="30"/>
      <c r="M548" s="30" t="s">
        <v>2132</v>
      </c>
      <c r="N548" s="30" t="s">
        <v>2265</v>
      </c>
      <c r="O548" s="31">
        <f t="shared" si="43"/>
        <v>18</v>
      </c>
      <c r="P548" s="136" t="s">
        <v>2133</v>
      </c>
      <c r="Q548" s="31">
        <f t="shared" si="44"/>
        <v>10</v>
      </c>
      <c r="R548" s="32">
        <f t="shared" si="45"/>
        <v>0.6428571428571429</v>
      </c>
      <c r="S548" s="70"/>
      <c r="T548" s="70"/>
      <c r="U548" s="70"/>
      <c r="V548" s="70" t="s">
        <v>2221</v>
      </c>
      <c r="W548" s="70" t="s">
        <v>2221</v>
      </c>
      <c r="X548" s="70" t="s">
        <v>2221</v>
      </c>
      <c r="Y548" s="70" t="s">
        <v>2221</v>
      </c>
      <c r="Z548" s="70" t="s">
        <v>2221</v>
      </c>
      <c r="AA548" s="70"/>
      <c r="AB548" s="70"/>
      <c r="AC548" s="70" t="s">
        <v>2221</v>
      </c>
      <c r="AD548" s="70" t="s">
        <v>2221</v>
      </c>
      <c r="AE548" s="70" t="s">
        <v>2221</v>
      </c>
      <c r="AF548" s="70" t="s">
        <v>2221</v>
      </c>
      <c r="AG548" s="70" t="s">
        <v>2221</v>
      </c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ht="15.75" thickBot="1" x14ac:dyDescent="0.3">
      <c r="A549"/>
      <c r="B549"/>
      <c r="C549"/>
      <c r="D549"/>
      <c r="E549"/>
      <c r="F549" s="73" t="s">
        <v>470</v>
      </c>
      <c r="G549" s="73" t="s">
        <v>1321</v>
      </c>
      <c r="H549" s="84" t="s">
        <v>1041</v>
      </c>
      <c r="I549" s="73" t="s">
        <v>1322</v>
      </c>
      <c r="J549" s="89" t="s">
        <v>14</v>
      </c>
      <c r="K549" s="84" t="s">
        <v>1278</v>
      </c>
      <c r="L549" s="84"/>
      <c r="M549" s="84" t="s">
        <v>1327</v>
      </c>
      <c r="N549" s="84"/>
      <c r="O549" s="131">
        <f t="shared" si="43"/>
        <v>28</v>
      </c>
      <c r="P549" s="136" t="s">
        <v>2047</v>
      </c>
      <c r="Q549" s="131">
        <f t="shared" si="44"/>
        <v>0</v>
      </c>
      <c r="R549" s="1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142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9" s="73" customFormat="1" ht="15.75" thickBot="1" x14ac:dyDescent="0.3">
      <c r="A550">
        <v>6</v>
      </c>
      <c r="B550">
        <v>1</v>
      </c>
      <c r="C550"/>
      <c r="D550"/>
      <c r="E550" t="s">
        <v>2435</v>
      </c>
      <c r="F550" t="s">
        <v>470</v>
      </c>
      <c r="G550" t="s">
        <v>547</v>
      </c>
      <c r="H550" t="s">
        <v>1041</v>
      </c>
      <c r="I550" t="s">
        <v>548</v>
      </c>
      <c r="J550" s="30" t="s">
        <v>18</v>
      </c>
      <c r="K550" s="30" t="s">
        <v>27</v>
      </c>
      <c r="L550" s="30"/>
      <c r="M550" s="30" t="s">
        <v>857</v>
      </c>
      <c r="N550" s="30"/>
      <c r="O550" s="31">
        <f t="shared" si="43"/>
        <v>28</v>
      </c>
      <c r="P550" s="136" t="s">
        <v>2048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/>
    </row>
    <row r="551" spans="1:49" s="73" customFormat="1" ht="15.75" thickBot="1" x14ac:dyDescent="0.3">
      <c r="A551"/>
      <c r="B551"/>
      <c r="C551"/>
      <c r="D551"/>
      <c r="E551"/>
      <c r="F551" s="73" t="s">
        <v>470</v>
      </c>
      <c r="G551" s="73" t="s">
        <v>549</v>
      </c>
      <c r="H551" s="73" t="s">
        <v>1041</v>
      </c>
      <c r="I551" s="73" t="s">
        <v>550</v>
      </c>
      <c r="J551" s="84" t="s">
        <v>18</v>
      </c>
      <c r="K551" s="84" t="s">
        <v>1278</v>
      </c>
      <c r="L551" s="84"/>
      <c r="M551" s="84" t="s">
        <v>1345</v>
      </c>
      <c r="N551" s="84"/>
      <c r="O551" s="131">
        <f t="shared" si="43"/>
        <v>10</v>
      </c>
      <c r="P551" s="136" t="s">
        <v>2049</v>
      </c>
      <c r="Q551" s="131">
        <f t="shared" si="44"/>
        <v>18</v>
      </c>
      <c r="R551" s="132">
        <f t="shared" si="45"/>
        <v>0.35714285714285715</v>
      </c>
      <c r="S551" s="70"/>
      <c r="T551" s="70"/>
      <c r="U551" s="70"/>
      <c r="V551" s="70" t="s">
        <v>2221</v>
      </c>
      <c r="W551" s="70" t="s">
        <v>2221</v>
      </c>
      <c r="X551" s="70" t="s">
        <v>2221</v>
      </c>
      <c r="Y551" s="70" t="s">
        <v>2221</v>
      </c>
      <c r="Z551" s="70" t="s">
        <v>2221</v>
      </c>
      <c r="AA551" s="70"/>
      <c r="AB551" s="70"/>
      <c r="AC551" s="70" t="s">
        <v>2221</v>
      </c>
      <c r="AD551" s="70" t="s">
        <v>2221</v>
      </c>
      <c r="AE551" s="70" t="s">
        <v>2221</v>
      </c>
      <c r="AF551" s="70" t="s">
        <v>2221</v>
      </c>
      <c r="AG551" s="70" t="s">
        <v>2221</v>
      </c>
      <c r="AH551" s="70"/>
      <c r="AI551" s="70"/>
      <c r="AJ551" s="70" t="s">
        <v>2221</v>
      </c>
      <c r="AK551" s="70" t="s">
        <v>2221</v>
      </c>
      <c r="AL551" s="70" t="s">
        <v>2221</v>
      </c>
      <c r="AM551" s="70" t="s">
        <v>2221</v>
      </c>
      <c r="AN551" s="70" t="s">
        <v>2221</v>
      </c>
      <c r="AO551" s="70"/>
      <c r="AP551" s="70"/>
      <c r="AQ551" s="70"/>
      <c r="AR551" s="70" t="s">
        <v>2221</v>
      </c>
      <c r="AS551" s="70" t="s">
        <v>2221</v>
      </c>
      <c r="AT551" s="70" t="s">
        <v>2221</v>
      </c>
      <c r="AU551" s="70"/>
      <c r="AV551" s="70"/>
      <c r="AW551"/>
    </row>
    <row r="552" spans="1:49" ht="15.75" thickBot="1" x14ac:dyDescent="0.3">
      <c r="A552"/>
      <c r="B552"/>
      <c r="C552"/>
      <c r="D552"/>
      <c r="E552"/>
      <c r="F552" s="73" t="s">
        <v>470</v>
      </c>
      <c r="G552" s="73" t="s">
        <v>551</v>
      </c>
      <c r="H552" s="73" t="s">
        <v>1041</v>
      </c>
      <c r="I552" s="73" t="s">
        <v>552</v>
      </c>
      <c r="J552" s="84" t="s">
        <v>18</v>
      </c>
      <c r="K552" s="84" t="s">
        <v>1278</v>
      </c>
      <c r="L552" s="84"/>
      <c r="M552" s="84" t="s">
        <v>1403</v>
      </c>
      <c r="N552" s="84"/>
      <c r="O552" s="131">
        <f t="shared" si="43"/>
        <v>28</v>
      </c>
      <c r="P552" s="136" t="s">
        <v>2050</v>
      </c>
      <c r="Q552" s="131">
        <f t="shared" si="44"/>
        <v>0</v>
      </c>
      <c r="R552" s="1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142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s="73" customFormat="1" ht="15.75" thickBot="1" x14ac:dyDescent="0.3">
      <c r="A553">
        <v>6</v>
      </c>
      <c r="B553">
        <v>13</v>
      </c>
      <c r="C553"/>
      <c r="D553"/>
      <c r="E553" t="s">
        <v>2336</v>
      </c>
      <c r="F553" t="s">
        <v>470</v>
      </c>
      <c r="G553" t="s">
        <v>553</v>
      </c>
      <c r="H553" t="s">
        <v>1041</v>
      </c>
      <c r="I553" t="s">
        <v>554</v>
      </c>
      <c r="J553" s="30" t="s">
        <v>18</v>
      </c>
      <c r="K553" s="30" t="s">
        <v>1035</v>
      </c>
      <c r="L553" s="30" t="s">
        <v>1240</v>
      </c>
      <c r="M553" s="30" t="s">
        <v>858</v>
      </c>
      <c r="N553" s="30"/>
      <c r="O553" s="31">
        <f t="shared" si="43"/>
        <v>10</v>
      </c>
      <c r="P553" s="136" t="s">
        <v>2051</v>
      </c>
      <c r="Q553" s="31">
        <f t="shared" si="44"/>
        <v>18</v>
      </c>
      <c r="R553" s="32">
        <f t="shared" si="45"/>
        <v>0.35714285714285715</v>
      </c>
      <c r="S553" s="70"/>
      <c r="T553" s="70"/>
      <c r="U553" s="70"/>
      <c r="V553" s="70" t="s">
        <v>2221</v>
      </c>
      <c r="W553" s="70" t="s">
        <v>2221</v>
      </c>
      <c r="X553" s="70" t="s">
        <v>2221</v>
      </c>
      <c r="Y553" s="70" t="s">
        <v>2221</v>
      </c>
      <c r="Z553" s="70" t="s">
        <v>2221</v>
      </c>
      <c r="AA553" s="70"/>
      <c r="AB553" s="70"/>
      <c r="AC553" s="70" t="s">
        <v>2221</v>
      </c>
      <c r="AD553" s="70" t="s">
        <v>2221</v>
      </c>
      <c r="AE553" s="70" t="s">
        <v>2221</v>
      </c>
      <c r="AF553" s="70" t="s">
        <v>2221</v>
      </c>
      <c r="AG553" s="70" t="s">
        <v>2221</v>
      </c>
      <c r="AH553" s="70"/>
      <c r="AI553" s="70"/>
      <c r="AJ553" s="70" t="s">
        <v>2221</v>
      </c>
      <c r="AK553" s="70" t="s">
        <v>2221</v>
      </c>
      <c r="AL553" s="70" t="s">
        <v>2221</v>
      </c>
      <c r="AM553" s="70" t="s">
        <v>2221</v>
      </c>
      <c r="AN553" s="70" t="s">
        <v>2221</v>
      </c>
      <c r="AO553" s="70"/>
      <c r="AP553" s="70"/>
      <c r="AQ553" s="70"/>
      <c r="AR553" s="70" t="s">
        <v>2221</v>
      </c>
      <c r="AS553" s="70" t="s">
        <v>2221</v>
      </c>
      <c r="AT553" s="70" t="s">
        <v>2221</v>
      </c>
      <c r="AU553" s="70"/>
      <c r="AV553" s="70"/>
      <c r="AW553"/>
    </row>
    <row r="554" spans="1:49" ht="15.75" thickBot="1" x14ac:dyDescent="0.3">
      <c r="A554"/>
      <c r="B554"/>
      <c r="C554"/>
      <c r="D554"/>
      <c r="E554"/>
      <c r="F554" s="73" t="s">
        <v>466</v>
      </c>
      <c r="G554" s="73" t="s">
        <v>555</v>
      </c>
      <c r="H554" s="73" t="s">
        <v>1041</v>
      </c>
      <c r="I554" s="73" t="s">
        <v>556</v>
      </c>
      <c r="J554" s="84" t="s">
        <v>18</v>
      </c>
      <c r="K554" s="84" t="s">
        <v>1278</v>
      </c>
      <c r="L554" s="84"/>
      <c r="M554" s="84" t="s">
        <v>1475</v>
      </c>
      <c r="N554" s="84"/>
      <c r="O554" s="131">
        <f t="shared" si="43"/>
        <v>28</v>
      </c>
      <c r="P554" s="136" t="s">
        <v>2052</v>
      </c>
      <c r="Q554" s="131">
        <f t="shared" si="44"/>
        <v>0</v>
      </c>
      <c r="R554" s="1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9" ht="15.75" thickBot="1" x14ac:dyDescent="0.3">
      <c r="A555"/>
      <c r="B555"/>
      <c r="C555"/>
      <c r="D555"/>
      <c r="E555"/>
      <c r="F555" t="s">
        <v>466</v>
      </c>
      <c r="G555" t="s">
        <v>1289</v>
      </c>
      <c r="H555" t="s">
        <v>1041</v>
      </c>
      <c r="I555" t="s">
        <v>2147</v>
      </c>
      <c r="J555" s="84" t="s">
        <v>14</v>
      </c>
      <c r="K555" s="84" t="s">
        <v>1278</v>
      </c>
      <c r="L555" s="30"/>
      <c r="M555" s="30" t="s">
        <v>2294</v>
      </c>
      <c r="N555" s="30"/>
      <c r="O555" s="31">
        <f t="shared" si="43"/>
        <v>12</v>
      </c>
      <c r="P555" s="136" t="s">
        <v>2148</v>
      </c>
      <c r="Q555" s="31">
        <f t="shared" si="44"/>
        <v>16</v>
      </c>
      <c r="R555" s="32">
        <f t="shared" si="45"/>
        <v>0.42857142857142855</v>
      </c>
      <c r="S555" s="70"/>
      <c r="T555" s="70"/>
      <c r="U555" s="70"/>
      <c r="V555" s="70" t="s">
        <v>2221</v>
      </c>
      <c r="W555" s="70" t="s">
        <v>2221</v>
      </c>
      <c r="X555" s="70" t="s">
        <v>2221</v>
      </c>
      <c r="Y555" s="70" t="s">
        <v>2221</v>
      </c>
      <c r="Z555" s="70" t="s">
        <v>2221</v>
      </c>
      <c r="AA555" s="70"/>
      <c r="AB555" s="70"/>
      <c r="AC555" s="70" t="s">
        <v>2221</v>
      </c>
      <c r="AD555" s="70" t="s">
        <v>2221</v>
      </c>
      <c r="AE555" s="70" t="s">
        <v>2221</v>
      </c>
      <c r="AF555" s="70" t="s">
        <v>2221</v>
      </c>
      <c r="AG555" s="70" t="s">
        <v>2221</v>
      </c>
      <c r="AH555" s="70"/>
      <c r="AI555" s="70"/>
      <c r="AJ555" s="70" t="s">
        <v>2221</v>
      </c>
      <c r="AK555" s="70" t="s">
        <v>2221</v>
      </c>
      <c r="AL555" s="70" t="s">
        <v>2221</v>
      </c>
      <c r="AM555" s="70" t="s">
        <v>2221</v>
      </c>
      <c r="AN555" s="70" t="s">
        <v>2221</v>
      </c>
      <c r="AO555" s="70"/>
      <c r="AP555" s="70"/>
      <c r="AQ555" s="70"/>
      <c r="AR555" s="70" t="s">
        <v>2221</v>
      </c>
      <c r="AS555" s="70"/>
      <c r="AT555" s="70"/>
      <c r="AU555" s="70"/>
      <c r="AV555" s="70"/>
    </row>
    <row r="556" spans="1:49" s="73" customFormat="1" ht="15.75" thickBot="1" x14ac:dyDescent="0.3">
      <c r="A556"/>
      <c r="B556"/>
      <c r="C556"/>
      <c r="D556"/>
      <c r="E556"/>
      <c r="F556" t="s">
        <v>470</v>
      </c>
      <c r="G556" t="s">
        <v>2089</v>
      </c>
      <c r="H556" t="s">
        <v>1041</v>
      </c>
      <c r="I556" s="73" t="s">
        <v>2090</v>
      </c>
      <c r="J556" s="84" t="s">
        <v>14</v>
      </c>
      <c r="K556" s="84" t="s">
        <v>1278</v>
      </c>
      <c r="L556" s="30"/>
      <c r="M556" s="30" t="s">
        <v>2295</v>
      </c>
      <c r="N556" s="30"/>
      <c r="O556" s="31">
        <f t="shared" si="43"/>
        <v>26</v>
      </c>
      <c r="P556" s="136" t="s">
        <v>2091</v>
      </c>
      <c r="Q556" s="31">
        <f t="shared" si="44"/>
        <v>2</v>
      </c>
      <c r="R556" s="32">
        <f t="shared" si="45"/>
        <v>0.9285714285714286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 t="s">
        <v>2221</v>
      </c>
      <c r="AF556" s="70" t="s">
        <v>2221</v>
      </c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/>
    </row>
    <row r="557" spans="1:49" s="73" customFormat="1" ht="15.75" thickBot="1" x14ac:dyDescent="0.3">
      <c r="A557"/>
      <c r="B557"/>
      <c r="C557"/>
      <c r="D557"/>
      <c r="E557"/>
      <c r="F557" s="73" t="s">
        <v>2094</v>
      </c>
      <c r="G557" s="73" t="s">
        <v>2092</v>
      </c>
      <c r="H557" t="s">
        <v>1041</v>
      </c>
      <c r="I557" s="73" t="s">
        <v>2093</v>
      </c>
      <c r="J557" s="84" t="s">
        <v>14</v>
      </c>
      <c r="K557" s="84" t="s">
        <v>1278</v>
      </c>
      <c r="L557" s="84"/>
      <c r="M557" s="84" t="s">
        <v>2296</v>
      </c>
      <c r="N557" s="84"/>
      <c r="O557" s="131">
        <f t="shared" si="43"/>
        <v>25</v>
      </c>
      <c r="P557" s="136" t="s">
        <v>2095</v>
      </c>
      <c r="Q557" s="131">
        <f t="shared" si="44"/>
        <v>3</v>
      </c>
      <c r="R557" s="132">
        <f t="shared" si="45"/>
        <v>0.8928571428571429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 t="s">
        <v>2221</v>
      </c>
      <c r="AL557" s="70" t="s">
        <v>2221</v>
      </c>
      <c r="AM557" s="70" t="s">
        <v>2221</v>
      </c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thickBot="1" x14ac:dyDescent="0.3">
      <c r="A558"/>
      <c r="B558"/>
      <c r="C558"/>
      <c r="D558"/>
      <c r="E558"/>
      <c r="F558" s="73" t="s">
        <v>557</v>
      </c>
      <c r="G558" s="73" t="s">
        <v>558</v>
      </c>
      <c r="H558" s="73" t="s">
        <v>1042</v>
      </c>
      <c r="I558" s="73" t="s">
        <v>559</v>
      </c>
      <c r="J558" s="84" t="s">
        <v>14</v>
      </c>
      <c r="K558" s="84" t="s">
        <v>1278</v>
      </c>
      <c r="L558" s="84"/>
      <c r="M558" s="84" t="s">
        <v>859</v>
      </c>
      <c r="N558" s="84"/>
      <c r="O558" s="131">
        <f t="shared" si="43"/>
        <v>27</v>
      </c>
      <c r="P558" s="136" t="s">
        <v>2053</v>
      </c>
      <c r="Q558" s="131">
        <f t="shared" si="44"/>
        <v>1</v>
      </c>
      <c r="R558" s="132">
        <f t="shared" si="45"/>
        <v>0.9642857142857143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 t="s">
        <v>2221</v>
      </c>
      <c r="AT558" s="70"/>
      <c r="AU558" s="70"/>
      <c r="AV558" s="70"/>
      <c r="AW558"/>
    </row>
    <row r="559" spans="1:49" s="73" customFormat="1" ht="15.75" thickBot="1" x14ac:dyDescent="0.3">
      <c r="A559"/>
      <c r="B559"/>
      <c r="C559"/>
      <c r="D559"/>
      <c r="E559"/>
      <c r="F559" s="73" t="s">
        <v>557</v>
      </c>
      <c r="G559" s="73" t="s">
        <v>1433</v>
      </c>
      <c r="H559" s="73" t="s">
        <v>1042</v>
      </c>
      <c r="I559" s="73" t="s">
        <v>560</v>
      </c>
      <c r="J559" s="84" t="s">
        <v>14</v>
      </c>
      <c r="K559" s="84" t="s">
        <v>1278</v>
      </c>
      <c r="L559" s="84"/>
      <c r="M559" s="84" t="s">
        <v>860</v>
      </c>
      <c r="N559" s="84"/>
      <c r="O559" s="131">
        <f t="shared" si="43"/>
        <v>28</v>
      </c>
      <c r="P559" s="136" t="s">
        <v>2054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thickBot="1" x14ac:dyDescent="0.3">
      <c r="A560"/>
      <c r="B560"/>
      <c r="C560"/>
      <c r="D560"/>
      <c r="E560"/>
      <c r="F560" s="73" t="s">
        <v>557</v>
      </c>
      <c r="G560" s="73" t="s">
        <v>1025</v>
      </c>
      <c r="H560" s="73" t="s">
        <v>1042</v>
      </c>
      <c r="I560" s="73" t="s">
        <v>561</v>
      </c>
      <c r="J560" s="84" t="s">
        <v>71</v>
      </c>
      <c r="K560" s="84" t="s">
        <v>1278</v>
      </c>
      <c r="L560" s="84"/>
      <c r="M560" s="84" t="s">
        <v>861</v>
      </c>
      <c r="N560" s="84"/>
      <c r="O560" s="131">
        <f t="shared" si="43"/>
        <v>28</v>
      </c>
      <c r="P560" s="136" t="s">
        <v>2055</v>
      </c>
      <c r="Q560" s="131">
        <f t="shared" si="44"/>
        <v>0</v>
      </c>
      <c r="R560" s="1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142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thickBot="1" x14ac:dyDescent="0.3">
      <c r="A561"/>
      <c r="B561"/>
      <c r="C561"/>
      <c r="D561"/>
      <c r="E561"/>
      <c r="F561" s="73" t="s">
        <v>557</v>
      </c>
      <c r="G561" s="73" t="s">
        <v>1026</v>
      </c>
      <c r="H561" s="73" t="s">
        <v>1042</v>
      </c>
      <c r="I561" s="73" t="s">
        <v>561</v>
      </c>
      <c r="J561" s="84" t="s">
        <v>71</v>
      </c>
      <c r="K561" s="84" t="s">
        <v>1278</v>
      </c>
      <c r="L561" s="84"/>
      <c r="M561" s="84" t="s">
        <v>862</v>
      </c>
      <c r="N561" s="84"/>
      <c r="O561" s="131">
        <f t="shared" si="43"/>
        <v>28</v>
      </c>
      <c r="P561" s="136" t="s">
        <v>2056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thickBot="1" x14ac:dyDescent="0.3">
      <c r="A562"/>
      <c r="B562"/>
      <c r="C562"/>
      <c r="D562"/>
      <c r="E562" s="151" t="s">
        <v>2455</v>
      </c>
      <c r="F562" s="73" t="s">
        <v>557</v>
      </c>
      <c r="G562" s="73" t="s">
        <v>1607</v>
      </c>
      <c r="H562" s="73" t="s">
        <v>1042</v>
      </c>
      <c r="I562" s="73" t="s">
        <v>1614</v>
      </c>
      <c r="J562" s="84" t="s">
        <v>1093</v>
      </c>
      <c r="K562" s="84" t="s">
        <v>1278</v>
      </c>
      <c r="L562" s="84"/>
      <c r="M562" s="84" t="s">
        <v>1609</v>
      </c>
      <c r="N562" s="84"/>
      <c r="O562" s="131">
        <f t="shared" si="43"/>
        <v>28</v>
      </c>
      <c r="P562" s="136" t="s">
        <v>2137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ht="15.75" thickBot="1" x14ac:dyDescent="0.3">
      <c r="A563"/>
      <c r="B563"/>
      <c r="C563"/>
      <c r="D563"/>
      <c r="E563"/>
      <c r="F563" s="73" t="s">
        <v>557</v>
      </c>
      <c r="G563" s="73" t="s">
        <v>2084</v>
      </c>
      <c r="H563" s="73" t="s">
        <v>1042</v>
      </c>
      <c r="I563" s="73" t="s">
        <v>2481</v>
      </c>
      <c r="J563" s="30" t="s">
        <v>14</v>
      </c>
      <c r="K563" s="84" t="s">
        <v>1278</v>
      </c>
      <c r="L563" s="84"/>
      <c r="M563" s="84" t="s">
        <v>2086</v>
      </c>
      <c r="N563" s="84"/>
      <c r="O563" s="131">
        <f t="shared" si="43"/>
        <v>10</v>
      </c>
      <c r="P563" s="136"/>
      <c r="Q563" s="131">
        <f t="shared" si="44"/>
        <v>18</v>
      </c>
      <c r="R563" s="132">
        <f t="shared" si="45"/>
        <v>0.35714285714285715</v>
      </c>
      <c r="S563" s="70"/>
      <c r="T563" s="70"/>
      <c r="U563" s="70"/>
      <c r="V563" s="70" t="s">
        <v>2221</v>
      </c>
      <c r="W563" s="70" t="s">
        <v>2221</v>
      </c>
      <c r="X563" s="70" t="s">
        <v>2221</v>
      </c>
      <c r="Y563" s="70" t="s">
        <v>2221</v>
      </c>
      <c r="Z563" s="70" t="s">
        <v>2221</v>
      </c>
      <c r="AA563" s="70"/>
      <c r="AB563" s="70"/>
      <c r="AC563" s="70" t="s">
        <v>2221</v>
      </c>
      <c r="AD563" s="70" t="s">
        <v>2221</v>
      </c>
      <c r="AE563" s="70" t="s">
        <v>2221</v>
      </c>
      <c r="AF563" s="70" t="s">
        <v>2221</v>
      </c>
      <c r="AG563" s="70" t="s">
        <v>2221</v>
      </c>
      <c r="AH563" s="70"/>
      <c r="AI563" s="70"/>
      <c r="AJ563" s="70" t="s">
        <v>2221</v>
      </c>
      <c r="AK563" s="70" t="s">
        <v>2221</v>
      </c>
      <c r="AL563" s="70" t="s">
        <v>2221</v>
      </c>
      <c r="AM563" s="70" t="s">
        <v>2221</v>
      </c>
      <c r="AN563" s="70" t="s">
        <v>2221</v>
      </c>
      <c r="AO563" s="70"/>
      <c r="AP563" s="70"/>
      <c r="AQ563" s="70"/>
      <c r="AR563" s="70" t="s">
        <v>2221</v>
      </c>
      <c r="AS563" s="70" t="s">
        <v>2221</v>
      </c>
      <c r="AT563" s="70" t="s">
        <v>2221</v>
      </c>
      <c r="AU563" s="70"/>
      <c r="AV563" s="70"/>
    </row>
    <row r="564" spans="1:49" ht="15.75" thickBot="1" x14ac:dyDescent="0.3">
      <c r="A564"/>
      <c r="B564"/>
      <c r="C564"/>
      <c r="D564"/>
      <c r="E564"/>
      <c r="F564" s="73" t="s">
        <v>557</v>
      </c>
      <c r="G564" s="73" t="s">
        <v>1620</v>
      </c>
      <c r="H564" s="73" t="s">
        <v>1042</v>
      </c>
      <c r="I564" s="73" t="s">
        <v>1621</v>
      </c>
      <c r="J564" s="84" t="s">
        <v>14</v>
      </c>
      <c r="K564" s="84" t="s">
        <v>1278</v>
      </c>
      <c r="L564" s="84"/>
      <c r="M564" s="84" t="s">
        <v>1622</v>
      </c>
      <c r="N564" s="84"/>
      <c r="O564" s="131">
        <f t="shared" si="43"/>
        <v>28</v>
      </c>
      <c r="P564" s="136" t="s">
        <v>2138</v>
      </c>
      <c r="Q564" s="131">
        <f t="shared" si="44"/>
        <v>0</v>
      </c>
      <c r="R564" s="1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ht="15.75" thickBot="1" x14ac:dyDescent="0.3">
      <c r="A565"/>
      <c r="B565"/>
      <c r="C565"/>
      <c r="D565"/>
      <c r="E565"/>
      <c r="F565" s="73"/>
      <c r="G565" s="73" t="s">
        <v>2475</v>
      </c>
      <c r="H565" s="73" t="s">
        <v>1042</v>
      </c>
      <c r="I565" s="73" t="s">
        <v>2476</v>
      </c>
      <c r="J565" s="84" t="s">
        <v>14</v>
      </c>
      <c r="K565" s="84" t="s">
        <v>1278</v>
      </c>
      <c r="L565" s="84"/>
      <c r="M565" s="84" t="s">
        <v>2477</v>
      </c>
      <c r="N565" s="84"/>
      <c r="O565" s="131"/>
      <c r="P565" s="136" t="s">
        <v>2478</v>
      </c>
      <c r="Q565" s="131"/>
      <c r="R565" s="132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</row>
    <row r="566" spans="1:49" ht="15.75" thickBot="1" x14ac:dyDescent="0.3">
      <c r="A566" t="s">
        <v>2468</v>
      </c>
      <c r="B566" t="s">
        <v>73</v>
      </c>
      <c r="C566" t="s">
        <v>2469</v>
      </c>
      <c r="D566" t="s">
        <v>610</v>
      </c>
      <c r="E566" s="156" t="s">
        <v>2470</v>
      </c>
      <c r="F566" t="s">
        <v>562</v>
      </c>
      <c r="G566" t="s">
        <v>1027</v>
      </c>
      <c r="H566" t="s">
        <v>1042</v>
      </c>
      <c r="I566" t="s">
        <v>563</v>
      </c>
      <c r="J566" s="30" t="s">
        <v>71</v>
      </c>
      <c r="K566" s="84" t="s">
        <v>1278</v>
      </c>
      <c r="L566" s="30"/>
      <c r="M566" s="30" t="s">
        <v>863</v>
      </c>
      <c r="N566" s="30"/>
      <c r="O566" s="31">
        <f t="shared" si="43"/>
        <v>10</v>
      </c>
      <c r="P566" s="136" t="s">
        <v>2134</v>
      </c>
      <c r="Q566" s="31">
        <f t="shared" si="44"/>
        <v>18</v>
      </c>
      <c r="R566" s="32">
        <f t="shared" si="45"/>
        <v>0.35714285714285715</v>
      </c>
      <c r="S566" s="70"/>
      <c r="T566" s="70"/>
      <c r="U566" s="70"/>
      <c r="V566" s="70" t="s">
        <v>2221</v>
      </c>
      <c r="W566" s="70" t="s">
        <v>2221</v>
      </c>
      <c r="X566" s="70" t="s">
        <v>2221</v>
      </c>
      <c r="Y566" s="70" t="s">
        <v>2221</v>
      </c>
      <c r="Z566" s="70" t="s">
        <v>2221</v>
      </c>
      <c r="AA566" s="70"/>
      <c r="AB566" s="70"/>
      <c r="AC566" s="70" t="s">
        <v>2221</v>
      </c>
      <c r="AD566" s="70" t="s">
        <v>2221</v>
      </c>
      <c r="AE566" s="70" t="s">
        <v>2221</v>
      </c>
      <c r="AF566" s="70" t="s">
        <v>2221</v>
      </c>
      <c r="AG566" s="70" t="s">
        <v>2221</v>
      </c>
      <c r="AH566" s="70"/>
      <c r="AI566" s="70"/>
      <c r="AJ566" s="70" t="s">
        <v>2221</v>
      </c>
      <c r="AK566" s="70" t="s">
        <v>2221</v>
      </c>
      <c r="AL566" s="70" t="s">
        <v>2221</v>
      </c>
      <c r="AM566" s="70" t="s">
        <v>2221</v>
      </c>
      <c r="AN566" s="70" t="s">
        <v>2221</v>
      </c>
      <c r="AO566" s="70"/>
      <c r="AP566" s="70"/>
      <c r="AQ566" s="70"/>
      <c r="AR566" s="70" t="s">
        <v>2221</v>
      </c>
      <c r="AS566" s="70" t="s">
        <v>2221</v>
      </c>
      <c r="AT566" s="70" t="s">
        <v>2221</v>
      </c>
      <c r="AU566" s="70"/>
      <c r="AV566" s="70"/>
      <c r="AW566" s="73"/>
    </row>
    <row r="567" spans="1:49" ht="15.75" thickBot="1" x14ac:dyDescent="0.3">
      <c r="A567" t="s">
        <v>96</v>
      </c>
      <c r="B567" t="s">
        <v>97</v>
      </c>
      <c r="C567" t="s">
        <v>1278</v>
      </c>
      <c r="D567" t="s">
        <v>1352</v>
      </c>
      <c r="E567" t="s">
        <v>2471</v>
      </c>
      <c r="F567" t="s">
        <v>562</v>
      </c>
      <c r="G567" t="s">
        <v>1028</v>
      </c>
      <c r="H567" t="s">
        <v>1042</v>
      </c>
      <c r="I567" t="s">
        <v>564</v>
      </c>
      <c r="J567" s="30" t="s">
        <v>14</v>
      </c>
      <c r="K567" s="30" t="s">
        <v>2367</v>
      </c>
      <c r="L567" s="30"/>
      <c r="M567" s="30" t="s">
        <v>864</v>
      </c>
      <c r="N567" s="30"/>
      <c r="O567" s="31">
        <f t="shared" si="43"/>
        <v>28</v>
      </c>
      <c r="P567" s="136" t="s">
        <v>2057</v>
      </c>
      <c r="Q567" s="31">
        <f t="shared" si="44"/>
        <v>0</v>
      </c>
      <c r="R567" s="32">
        <f t="shared" si="45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73"/>
    </row>
    <row r="568" spans="1:49" s="73" customFormat="1" ht="15.75" thickBot="1" x14ac:dyDescent="0.3">
      <c r="A568" t="s">
        <v>126</v>
      </c>
      <c r="B568" t="s">
        <v>127</v>
      </c>
      <c r="C568" t="s">
        <v>2469</v>
      </c>
      <c r="D568" t="s">
        <v>643</v>
      </c>
      <c r="E568" t="s">
        <v>2471</v>
      </c>
      <c r="F568" t="s">
        <v>562</v>
      </c>
      <c r="G568" t="s">
        <v>565</v>
      </c>
      <c r="H568" t="s">
        <v>1042</v>
      </c>
      <c r="I568" t="s">
        <v>566</v>
      </c>
      <c r="J568" s="30" t="s">
        <v>71</v>
      </c>
      <c r="K568" s="84" t="s">
        <v>1278</v>
      </c>
      <c r="L568" s="30"/>
      <c r="M568" s="30" t="s">
        <v>865</v>
      </c>
      <c r="N568" s="30"/>
      <c r="O568" s="31">
        <f t="shared" si="43"/>
        <v>11</v>
      </c>
      <c r="P568" s="136" t="s">
        <v>2135</v>
      </c>
      <c r="Q568" s="31">
        <f t="shared" si="44"/>
        <v>17</v>
      </c>
      <c r="R568" s="32">
        <f t="shared" si="45"/>
        <v>0.39285714285714285</v>
      </c>
      <c r="S568" s="70"/>
      <c r="T568" s="70"/>
      <c r="U568" s="70"/>
      <c r="V568" s="70" t="s">
        <v>2221</v>
      </c>
      <c r="W568" s="70" t="s">
        <v>2221</v>
      </c>
      <c r="X568" s="70" t="s">
        <v>2221</v>
      </c>
      <c r="Y568" s="70" t="s">
        <v>2221</v>
      </c>
      <c r="Z568" s="70" t="s">
        <v>2221</v>
      </c>
      <c r="AA568" s="70"/>
      <c r="AB568" s="70"/>
      <c r="AC568" s="70" t="s">
        <v>2221</v>
      </c>
      <c r="AD568" s="70" t="s">
        <v>2221</v>
      </c>
      <c r="AE568" s="70" t="s">
        <v>2221</v>
      </c>
      <c r="AF568" s="70" t="s">
        <v>2221</v>
      </c>
      <c r="AG568" s="70" t="s">
        <v>2221</v>
      </c>
      <c r="AH568" s="70"/>
      <c r="AI568" s="70"/>
      <c r="AJ568" s="70"/>
      <c r="AK568" s="70" t="s">
        <v>2221</v>
      </c>
      <c r="AL568" s="70" t="s">
        <v>2221</v>
      </c>
      <c r="AM568" s="70" t="s">
        <v>2221</v>
      </c>
      <c r="AN568" s="70" t="s">
        <v>2221</v>
      </c>
      <c r="AO568" s="70"/>
      <c r="AP568" s="70"/>
      <c r="AQ568" s="70"/>
      <c r="AR568" s="70" t="s">
        <v>2221</v>
      </c>
      <c r="AS568" s="70" t="s">
        <v>2221</v>
      </c>
      <c r="AT568" s="70" t="s">
        <v>2221</v>
      </c>
      <c r="AU568" s="70"/>
      <c r="AV568" s="70"/>
    </row>
    <row r="569" spans="1:49" s="73" customFormat="1" ht="15.75" thickBot="1" x14ac:dyDescent="0.3">
      <c r="A569" t="s">
        <v>137</v>
      </c>
      <c r="B569" t="s">
        <v>138</v>
      </c>
      <c r="C569" t="s">
        <v>2469</v>
      </c>
      <c r="D569" t="s">
        <v>1432</v>
      </c>
      <c r="E569" s="126" t="s">
        <v>2472</v>
      </c>
      <c r="F569" t="s">
        <v>562</v>
      </c>
      <c r="G569" t="s">
        <v>567</v>
      </c>
      <c r="H569" t="s">
        <v>1042</v>
      </c>
      <c r="I569" t="s">
        <v>568</v>
      </c>
      <c r="J569" s="30" t="s">
        <v>14</v>
      </c>
      <c r="K569" s="30" t="s">
        <v>2367</v>
      </c>
      <c r="L569" s="30"/>
      <c r="M569" s="30" t="s">
        <v>866</v>
      </c>
      <c r="N569" s="30"/>
      <c r="O569" s="31">
        <f t="shared" si="43"/>
        <v>28</v>
      </c>
      <c r="P569" s="136" t="s">
        <v>2058</v>
      </c>
      <c r="Q569" s="31">
        <f t="shared" si="44"/>
        <v>0</v>
      </c>
      <c r="R569" s="32">
        <f t="shared" si="45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/>
    </row>
    <row r="570" spans="1:49" ht="15.75" thickBot="1" x14ac:dyDescent="0.3">
      <c r="A570" t="s">
        <v>47</v>
      </c>
      <c r="B570" t="s">
        <v>48</v>
      </c>
      <c r="C570" t="s">
        <v>1278</v>
      </c>
      <c r="D570" t="s">
        <v>1332</v>
      </c>
      <c r="E570" t="s">
        <v>2471</v>
      </c>
      <c r="F570" s="73" t="s">
        <v>562</v>
      </c>
      <c r="G570" s="73" t="s">
        <v>569</v>
      </c>
      <c r="H570" s="73" t="s">
        <v>1042</v>
      </c>
      <c r="I570" s="73" t="s">
        <v>570</v>
      </c>
      <c r="J570" s="84" t="s">
        <v>14</v>
      </c>
      <c r="K570" s="84" t="s">
        <v>1278</v>
      </c>
      <c r="L570" s="84"/>
      <c r="M570" s="84" t="s">
        <v>867</v>
      </c>
      <c r="N570" s="84"/>
      <c r="O570" s="131">
        <f t="shared" si="43"/>
        <v>28</v>
      </c>
      <c r="P570" s="136" t="s">
        <v>2059</v>
      </c>
      <c r="Q570" s="131">
        <f t="shared" si="44"/>
        <v>0</v>
      </c>
      <c r="R570" s="1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73"/>
    </row>
    <row r="571" spans="1:49" ht="15.75" thickBot="1" x14ac:dyDescent="0.3">
      <c r="A571" t="s">
        <v>153</v>
      </c>
      <c r="B571" t="s">
        <v>154</v>
      </c>
      <c r="C571" t="s">
        <v>2469</v>
      </c>
      <c r="D571" t="s">
        <v>667</v>
      </c>
      <c r="E571" s="157" t="s">
        <v>2473</v>
      </c>
      <c r="F571" t="s">
        <v>165</v>
      </c>
      <c r="G571" t="s">
        <v>571</v>
      </c>
      <c r="H571" t="s">
        <v>1042</v>
      </c>
      <c r="I571" t="s">
        <v>1071</v>
      </c>
      <c r="J571" s="30" t="s">
        <v>18</v>
      </c>
      <c r="K571" s="30" t="s">
        <v>19</v>
      </c>
      <c r="L571" s="30"/>
      <c r="M571" s="30" t="s">
        <v>1373</v>
      </c>
      <c r="N571" s="30"/>
      <c r="O571" s="31">
        <f t="shared" si="43"/>
        <v>28</v>
      </c>
      <c r="P571" s="136" t="s">
        <v>2136</v>
      </c>
      <c r="Q571" s="31">
        <f t="shared" si="44"/>
        <v>0</v>
      </c>
      <c r="R571" s="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ht="15.75" thickBot="1" x14ac:dyDescent="0.3">
      <c r="A572" t="s">
        <v>1301</v>
      </c>
      <c r="B572" t="s">
        <v>1302</v>
      </c>
      <c r="C572" t="s">
        <v>1278</v>
      </c>
      <c r="D572" t="s">
        <v>1303</v>
      </c>
      <c r="E572" t="s">
        <v>2471</v>
      </c>
      <c r="F572" t="s">
        <v>165</v>
      </c>
      <c r="G572" t="s">
        <v>1029</v>
      </c>
      <c r="H572" t="s">
        <v>1042</v>
      </c>
      <c r="I572" t="s">
        <v>1072</v>
      </c>
      <c r="J572" s="30" t="s">
        <v>71</v>
      </c>
      <c r="K572" s="30" t="s">
        <v>27</v>
      </c>
      <c r="L572" s="30"/>
      <c r="M572" s="30" t="s">
        <v>868</v>
      </c>
      <c r="N572" s="30"/>
      <c r="O572" s="31">
        <f t="shared" si="43"/>
        <v>17</v>
      </c>
      <c r="P572" s="136" t="s">
        <v>2060</v>
      </c>
      <c r="Q572" s="31">
        <f t="shared" si="44"/>
        <v>11</v>
      </c>
      <c r="R572" s="32">
        <f t="shared" si="45"/>
        <v>0.6071428571428571</v>
      </c>
      <c r="S572" s="70"/>
      <c r="T572" s="70"/>
      <c r="U572" s="70"/>
      <c r="V572" s="70" t="s">
        <v>2221</v>
      </c>
      <c r="W572" s="70" t="s">
        <v>2221</v>
      </c>
      <c r="X572" s="70" t="s">
        <v>2221</v>
      </c>
      <c r="Y572" s="70" t="s">
        <v>2221</v>
      </c>
      <c r="Z572" s="70" t="s">
        <v>2221</v>
      </c>
      <c r="AA572" s="70"/>
      <c r="AB572" s="70"/>
      <c r="AC572" s="70" t="s">
        <v>2221</v>
      </c>
      <c r="AD572" s="70" t="s">
        <v>2221</v>
      </c>
      <c r="AE572" s="70" t="s">
        <v>2221</v>
      </c>
      <c r="AF572" s="70" t="s">
        <v>2221</v>
      </c>
      <c r="AG572" s="70" t="s">
        <v>2221</v>
      </c>
      <c r="AH572" s="70"/>
      <c r="AI572" s="70"/>
      <c r="AJ572" s="70" t="s">
        <v>2221</v>
      </c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thickBot="1" x14ac:dyDescent="0.3">
      <c r="A573" t="s">
        <v>2196</v>
      </c>
      <c r="B573" t="s">
        <v>2197</v>
      </c>
      <c r="C573" t="s">
        <v>2469</v>
      </c>
      <c r="D573" t="s">
        <v>2198</v>
      </c>
      <c r="E573" s="157" t="s">
        <v>2473</v>
      </c>
      <c r="F573" t="s">
        <v>165</v>
      </c>
      <c r="G573" t="s">
        <v>1030</v>
      </c>
      <c r="H573" t="s">
        <v>1042</v>
      </c>
      <c r="I573" t="s">
        <v>1072</v>
      </c>
      <c r="J573" s="30" t="s">
        <v>71</v>
      </c>
      <c r="K573" s="30" t="s">
        <v>27</v>
      </c>
      <c r="L573" s="30"/>
      <c r="M573" s="30" t="s">
        <v>869</v>
      </c>
      <c r="N573" s="30"/>
      <c r="O573" s="31">
        <f t="shared" si="43"/>
        <v>17</v>
      </c>
      <c r="P573" s="136" t="s">
        <v>2061</v>
      </c>
      <c r="Q573" s="31">
        <f t="shared" si="44"/>
        <v>11</v>
      </c>
      <c r="R573" s="32">
        <f t="shared" si="45"/>
        <v>0.6071428571428571</v>
      </c>
      <c r="S573" s="70"/>
      <c r="T573" s="70"/>
      <c r="U573" s="70"/>
      <c r="V573" s="70" t="s">
        <v>2221</v>
      </c>
      <c r="W573" s="70" t="s">
        <v>2221</v>
      </c>
      <c r="X573" s="70" t="s">
        <v>2221</v>
      </c>
      <c r="Y573" s="70" t="s">
        <v>2221</v>
      </c>
      <c r="Z573" s="70" t="s">
        <v>2221</v>
      </c>
      <c r="AA573" s="70"/>
      <c r="AB573" s="70"/>
      <c r="AC573" s="70" t="s">
        <v>2221</v>
      </c>
      <c r="AD573" s="70" t="s">
        <v>2221</v>
      </c>
      <c r="AE573" s="70" t="s">
        <v>2221</v>
      </c>
      <c r="AF573" s="70" t="s">
        <v>2221</v>
      </c>
      <c r="AG573" s="70" t="s">
        <v>2221</v>
      </c>
      <c r="AH573" s="70"/>
      <c r="AI573" s="70"/>
      <c r="AJ573" s="70" t="s">
        <v>2221</v>
      </c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thickBot="1" x14ac:dyDescent="0.3">
      <c r="A574" t="s">
        <v>937</v>
      </c>
      <c r="B574" t="s">
        <v>209</v>
      </c>
      <c r="C574" t="s">
        <v>1278</v>
      </c>
      <c r="D574" t="s">
        <v>1382</v>
      </c>
      <c r="E574" t="s">
        <v>2471</v>
      </c>
      <c r="F574" t="s">
        <v>165</v>
      </c>
      <c r="G574" t="s">
        <v>1031</v>
      </c>
      <c r="H574" t="s">
        <v>1042</v>
      </c>
      <c r="I574" t="s">
        <v>1086</v>
      </c>
      <c r="J574" s="30" t="s">
        <v>14</v>
      </c>
      <c r="K574" s="30" t="s">
        <v>27</v>
      </c>
      <c r="L574" s="30"/>
      <c r="M574" s="30" t="s">
        <v>870</v>
      </c>
      <c r="N574" s="30"/>
      <c r="O574" s="31">
        <f t="shared" si="43"/>
        <v>17</v>
      </c>
      <c r="P574" s="136" t="s">
        <v>2062</v>
      </c>
      <c r="Q574" s="31">
        <f t="shared" si="44"/>
        <v>11</v>
      </c>
      <c r="R574" s="32">
        <f t="shared" si="45"/>
        <v>0.6071428571428571</v>
      </c>
      <c r="S574" s="70"/>
      <c r="T574" s="70"/>
      <c r="U574" s="70"/>
      <c r="V574" s="70" t="s">
        <v>2221</v>
      </c>
      <c r="W574" s="70" t="s">
        <v>2221</v>
      </c>
      <c r="X574" s="70" t="s">
        <v>2221</v>
      </c>
      <c r="Y574" s="70" t="s">
        <v>2221</v>
      </c>
      <c r="Z574" s="70" t="s">
        <v>2221</v>
      </c>
      <c r="AA574" s="70"/>
      <c r="AB574" s="70"/>
      <c r="AC574" s="70" t="s">
        <v>2221</v>
      </c>
      <c r="AD574" s="70" t="s">
        <v>2221</v>
      </c>
      <c r="AE574" s="70" t="s">
        <v>2221</v>
      </c>
      <c r="AF574" s="70" t="s">
        <v>2221</v>
      </c>
      <c r="AG574" s="70" t="s">
        <v>2221</v>
      </c>
      <c r="AH574" s="70"/>
      <c r="AI574" s="70"/>
      <c r="AJ574" s="70" t="s">
        <v>2221</v>
      </c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thickBot="1" x14ac:dyDescent="0.3">
      <c r="A575" t="s">
        <v>1207</v>
      </c>
      <c r="B575" t="s">
        <v>1206</v>
      </c>
      <c r="C575" t="s">
        <v>1278</v>
      </c>
      <c r="D575" t="s">
        <v>1216</v>
      </c>
      <c r="E575" s="157" t="s">
        <v>2473</v>
      </c>
      <c r="F575" t="s">
        <v>165</v>
      </c>
      <c r="G575" t="s">
        <v>572</v>
      </c>
      <c r="H575" t="s">
        <v>1042</v>
      </c>
      <c r="I575" t="s">
        <v>1073</v>
      </c>
      <c r="J575" s="30" t="s">
        <v>14</v>
      </c>
      <c r="K575" s="30" t="s">
        <v>1035</v>
      </c>
      <c r="L575" s="30"/>
      <c r="M575" s="30" t="s">
        <v>1197</v>
      </c>
      <c r="N575" s="30"/>
      <c r="O575" s="31">
        <f t="shared" si="43"/>
        <v>10</v>
      </c>
      <c r="P575" s="136" t="s">
        <v>2063</v>
      </c>
      <c r="Q575" s="31">
        <f t="shared" si="44"/>
        <v>18</v>
      </c>
      <c r="R575" s="32">
        <f t="shared" si="45"/>
        <v>0.35714285714285715</v>
      </c>
      <c r="S575" s="70"/>
      <c r="T575" s="70"/>
      <c r="U575" s="70"/>
      <c r="V575" s="70" t="s">
        <v>2221</v>
      </c>
      <c r="W575" s="70" t="s">
        <v>2221</v>
      </c>
      <c r="X575" s="70" t="s">
        <v>2221</v>
      </c>
      <c r="Y575" s="70" t="s">
        <v>2221</v>
      </c>
      <c r="Z575" s="70" t="s">
        <v>2221</v>
      </c>
      <c r="AA575" s="70"/>
      <c r="AB575" s="70"/>
      <c r="AC575" s="70" t="s">
        <v>2221</v>
      </c>
      <c r="AD575" s="70" t="s">
        <v>2221</v>
      </c>
      <c r="AE575" s="70" t="s">
        <v>2221</v>
      </c>
      <c r="AF575" s="70" t="s">
        <v>2221</v>
      </c>
      <c r="AG575" s="70" t="s">
        <v>2221</v>
      </c>
      <c r="AH575" s="70"/>
      <c r="AI575" s="70"/>
      <c r="AJ575" s="70" t="s">
        <v>2221</v>
      </c>
      <c r="AK575" s="70" t="s">
        <v>2221</v>
      </c>
      <c r="AL575" s="70" t="s">
        <v>2221</v>
      </c>
      <c r="AM575" s="70" t="s">
        <v>2221</v>
      </c>
      <c r="AN575" s="70" t="s">
        <v>2221</v>
      </c>
      <c r="AO575" s="70"/>
      <c r="AP575" s="70"/>
      <c r="AQ575" s="70"/>
      <c r="AR575" s="70" t="s">
        <v>2221</v>
      </c>
      <c r="AS575" s="70" t="s">
        <v>2221</v>
      </c>
      <c r="AT575" s="70" t="s">
        <v>2221</v>
      </c>
      <c r="AU575" s="70"/>
      <c r="AV575" s="70"/>
      <c r="AW575" s="73"/>
    </row>
    <row r="576" spans="1:49" ht="15.75" thickBot="1" x14ac:dyDescent="0.3">
      <c r="A576" t="s">
        <v>270</v>
      </c>
      <c r="B576" t="s">
        <v>271</v>
      </c>
      <c r="C576" t="s">
        <v>2469</v>
      </c>
      <c r="D576" t="s">
        <v>711</v>
      </c>
      <c r="E576" s="157" t="s">
        <v>2473</v>
      </c>
      <c r="F576" t="s">
        <v>573</v>
      </c>
      <c r="G576" t="s">
        <v>1032</v>
      </c>
      <c r="H576" t="s">
        <v>1042</v>
      </c>
      <c r="I576" t="s">
        <v>575</v>
      </c>
      <c r="J576" s="30" t="s">
        <v>71</v>
      </c>
      <c r="K576" s="30" t="s">
        <v>1278</v>
      </c>
      <c r="L576" s="30"/>
      <c r="M576" s="30" t="s">
        <v>872</v>
      </c>
      <c r="N576" s="30"/>
      <c r="O576" s="31">
        <f t="shared" si="43"/>
        <v>17</v>
      </c>
      <c r="P576" s="136" t="s">
        <v>2065</v>
      </c>
      <c r="Q576" s="31">
        <f t="shared" si="44"/>
        <v>11</v>
      </c>
      <c r="R576" s="32">
        <f t="shared" si="45"/>
        <v>0.6071428571428571</v>
      </c>
      <c r="S576" s="70"/>
      <c r="T576" s="70"/>
      <c r="U576" s="70"/>
      <c r="V576" s="70" t="s">
        <v>2221</v>
      </c>
      <c r="W576" s="70" t="s">
        <v>2221</v>
      </c>
      <c r="X576" s="70" t="s">
        <v>2221</v>
      </c>
      <c r="Y576" s="70" t="s">
        <v>2221</v>
      </c>
      <c r="Z576" s="70" t="s">
        <v>2221</v>
      </c>
      <c r="AA576" s="70"/>
      <c r="AB576" s="70"/>
      <c r="AC576" s="70" t="s">
        <v>2221</v>
      </c>
      <c r="AD576" s="70" t="s">
        <v>2221</v>
      </c>
      <c r="AE576" s="70" t="s">
        <v>2221</v>
      </c>
      <c r="AF576" s="70" t="s">
        <v>2221</v>
      </c>
      <c r="AG576" s="70" t="s">
        <v>2221</v>
      </c>
      <c r="AH576" s="70"/>
      <c r="AI576" s="70"/>
      <c r="AJ576" s="70" t="s">
        <v>2221</v>
      </c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</row>
    <row r="577" spans="1:49" ht="15.75" thickBot="1" x14ac:dyDescent="0.3">
      <c r="A577" t="s">
        <v>1293</v>
      </c>
      <c r="B577" t="s">
        <v>1296</v>
      </c>
      <c r="C577" t="s">
        <v>2469</v>
      </c>
      <c r="D577" t="s">
        <v>1308</v>
      </c>
      <c r="E577" s="157" t="s">
        <v>2473</v>
      </c>
      <c r="F577" t="s">
        <v>573</v>
      </c>
      <c r="G577" t="s">
        <v>1033</v>
      </c>
      <c r="H577" t="s">
        <v>1042</v>
      </c>
      <c r="I577" t="s">
        <v>576</v>
      </c>
      <c r="J577" s="30" t="s">
        <v>71</v>
      </c>
      <c r="K577" s="30" t="s">
        <v>1278</v>
      </c>
      <c r="L577" s="30"/>
      <c r="M577" s="30" t="s">
        <v>873</v>
      </c>
      <c r="N577" s="30"/>
      <c r="O577" s="31">
        <f t="shared" si="43"/>
        <v>15</v>
      </c>
      <c r="P577" s="136" t="s">
        <v>2066</v>
      </c>
      <c r="Q577" s="31">
        <f t="shared" si="44"/>
        <v>13</v>
      </c>
      <c r="R577" s="32">
        <f t="shared" si="45"/>
        <v>0.5357142857142857</v>
      </c>
      <c r="S577" s="70"/>
      <c r="T577" s="70"/>
      <c r="U577" s="70"/>
      <c r="V577" s="70" t="s">
        <v>2221</v>
      </c>
      <c r="W577" s="70" t="s">
        <v>2221</v>
      </c>
      <c r="X577" s="70" t="s">
        <v>2221</v>
      </c>
      <c r="Y577" s="70" t="s">
        <v>2221</v>
      </c>
      <c r="Z577" s="70" t="s">
        <v>2221</v>
      </c>
      <c r="AA577" s="70"/>
      <c r="AB577" s="70"/>
      <c r="AC577" s="70" t="s">
        <v>2221</v>
      </c>
      <c r="AD577" s="70" t="s">
        <v>2221</v>
      </c>
      <c r="AE577" s="70" t="s">
        <v>2221</v>
      </c>
      <c r="AF577" s="70" t="s">
        <v>2221</v>
      </c>
      <c r="AG577" s="70" t="s">
        <v>2221</v>
      </c>
      <c r="AH577" s="70"/>
      <c r="AI577" s="70"/>
      <c r="AJ577" s="70" t="s">
        <v>2221</v>
      </c>
      <c r="AK577" s="70"/>
      <c r="AL577" s="70"/>
      <c r="AM577" s="70"/>
      <c r="AN577" s="70"/>
      <c r="AO577" s="70"/>
      <c r="AP577" s="70"/>
      <c r="AQ577" s="70"/>
      <c r="AR577" s="70" t="s">
        <v>2221</v>
      </c>
      <c r="AS577" s="70" t="s">
        <v>2221</v>
      </c>
      <c r="AT577" s="70"/>
      <c r="AU577" s="70"/>
      <c r="AV577" s="70"/>
    </row>
    <row r="578" spans="1:49" ht="15.75" thickBot="1" x14ac:dyDescent="0.3">
      <c r="A578" t="s">
        <v>1222</v>
      </c>
      <c r="B578" t="s">
        <v>1223</v>
      </c>
      <c r="C578" t="s">
        <v>1278</v>
      </c>
      <c r="D578" t="s">
        <v>1224</v>
      </c>
      <c r="E578" t="s">
        <v>2471</v>
      </c>
      <c r="F578" t="s">
        <v>573</v>
      </c>
      <c r="G578" t="s">
        <v>574</v>
      </c>
      <c r="H578" t="s">
        <v>1042</v>
      </c>
      <c r="I578" t="s">
        <v>575</v>
      </c>
      <c r="J578" s="30" t="s">
        <v>71</v>
      </c>
      <c r="K578" s="30" t="s">
        <v>1278</v>
      </c>
      <c r="L578" s="30"/>
      <c r="M578" s="30" t="s">
        <v>871</v>
      </c>
      <c r="N578" s="30"/>
      <c r="O578" s="31">
        <f t="shared" si="43"/>
        <v>17</v>
      </c>
      <c r="P578" s="136" t="s">
        <v>2064</v>
      </c>
      <c r="Q578" s="31">
        <f t="shared" si="44"/>
        <v>11</v>
      </c>
      <c r="R578" s="32">
        <f t="shared" si="45"/>
        <v>0.6071428571428571</v>
      </c>
      <c r="S578" s="70"/>
      <c r="T578" s="70"/>
      <c r="U578" s="70"/>
      <c r="V578" s="70" t="s">
        <v>2221</v>
      </c>
      <c r="W578" s="70" t="s">
        <v>2221</v>
      </c>
      <c r="X578" s="70" t="s">
        <v>2221</v>
      </c>
      <c r="Y578" s="70" t="s">
        <v>2221</v>
      </c>
      <c r="Z578" s="70" t="s">
        <v>2221</v>
      </c>
      <c r="AA578" s="70"/>
      <c r="AB578" s="70"/>
      <c r="AC578" s="70" t="s">
        <v>2221</v>
      </c>
      <c r="AD578" s="70" t="s">
        <v>2221</v>
      </c>
      <c r="AE578" s="70" t="s">
        <v>2221</v>
      </c>
      <c r="AF578" s="70" t="s">
        <v>2221</v>
      </c>
      <c r="AG578" s="70" t="s">
        <v>2221</v>
      </c>
      <c r="AH578" s="70"/>
      <c r="AI578" s="70"/>
      <c r="AJ578" s="70" t="s">
        <v>2221</v>
      </c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</row>
    <row r="579" spans="1:49" s="73" customFormat="1" ht="15.75" thickBot="1" x14ac:dyDescent="0.3">
      <c r="A579" t="s">
        <v>1261</v>
      </c>
      <c r="B579" t="s">
        <v>1262</v>
      </c>
      <c r="C579" t="s">
        <v>1035</v>
      </c>
      <c r="D579" t="s">
        <v>1336</v>
      </c>
      <c r="E579" t="s">
        <v>2471</v>
      </c>
      <c r="F579" t="s">
        <v>573</v>
      </c>
      <c r="G579" t="s">
        <v>577</v>
      </c>
      <c r="H579" t="s">
        <v>1042</v>
      </c>
      <c r="I579" t="s">
        <v>576</v>
      </c>
      <c r="J579" s="30" t="s">
        <v>71</v>
      </c>
      <c r="K579" s="30" t="s">
        <v>1278</v>
      </c>
      <c r="L579" s="30"/>
      <c r="M579" s="30" t="s">
        <v>874</v>
      </c>
      <c r="N579" s="30"/>
      <c r="O579" s="31">
        <f t="shared" si="43"/>
        <v>15</v>
      </c>
      <c r="P579" s="136" t="s">
        <v>2067</v>
      </c>
      <c r="Q579" s="31">
        <f t="shared" si="44"/>
        <v>13</v>
      </c>
      <c r="R579" s="32">
        <f t="shared" si="45"/>
        <v>0.5357142857142857</v>
      </c>
      <c r="S579" s="70"/>
      <c r="T579" s="70"/>
      <c r="U579" s="70"/>
      <c r="V579" s="70" t="s">
        <v>2221</v>
      </c>
      <c r="W579" s="70" t="s">
        <v>2221</v>
      </c>
      <c r="X579" s="70" t="s">
        <v>2221</v>
      </c>
      <c r="Y579" s="70" t="s">
        <v>2221</v>
      </c>
      <c r="Z579" s="70" t="s">
        <v>2221</v>
      </c>
      <c r="AA579" s="70"/>
      <c r="AB579" s="70"/>
      <c r="AC579" s="70" t="s">
        <v>2221</v>
      </c>
      <c r="AD579" s="70" t="s">
        <v>2221</v>
      </c>
      <c r="AE579" s="70" t="s">
        <v>2221</v>
      </c>
      <c r="AF579" s="70" t="s">
        <v>2221</v>
      </c>
      <c r="AG579" s="70" t="s">
        <v>2221</v>
      </c>
      <c r="AH579" s="70"/>
      <c r="AI579" s="70"/>
      <c r="AJ579" s="70" t="s">
        <v>2221</v>
      </c>
      <c r="AK579" s="70"/>
      <c r="AL579" s="70"/>
      <c r="AM579" s="70"/>
      <c r="AN579" s="70"/>
      <c r="AO579" s="70"/>
      <c r="AP579" s="70"/>
      <c r="AQ579" s="70"/>
      <c r="AR579" s="70" t="s">
        <v>2221</v>
      </c>
      <c r="AS579" s="70" t="s">
        <v>2221</v>
      </c>
      <c r="AT579" s="70"/>
      <c r="AU579" s="70"/>
      <c r="AV579" s="70"/>
      <c r="AW579"/>
    </row>
    <row r="580" spans="1:49" s="73" customFormat="1" ht="15.75" thickBot="1" x14ac:dyDescent="0.3">
      <c r="A580" t="s">
        <v>312</v>
      </c>
      <c r="B580" t="s">
        <v>313</v>
      </c>
      <c r="C580" t="s">
        <v>2469</v>
      </c>
      <c r="D580" t="s">
        <v>725</v>
      </c>
      <c r="E580" t="s">
        <v>2471</v>
      </c>
      <c r="F580" t="s">
        <v>573</v>
      </c>
      <c r="G580" t="s">
        <v>2464</v>
      </c>
      <c r="H580" t="s">
        <v>1042</v>
      </c>
      <c r="I580" t="s">
        <v>2465</v>
      </c>
      <c r="J580" s="30" t="s">
        <v>14</v>
      </c>
      <c r="K580" s="30" t="s">
        <v>1278</v>
      </c>
      <c r="L580" s="30"/>
      <c r="M580" s="30" t="s">
        <v>2466</v>
      </c>
      <c r="N580" s="155"/>
      <c r="O580" s="153">
        <f t="shared" si="43"/>
        <v>28</v>
      </c>
      <c r="P580" s="154" t="s">
        <v>2467</v>
      </c>
      <c r="Q580" s="31"/>
      <c r="R580" s="32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/>
    </row>
    <row r="581" spans="1:49" s="73" customFormat="1" ht="15.75" thickBot="1" x14ac:dyDescent="0.3">
      <c r="A581" t="s">
        <v>1319</v>
      </c>
      <c r="B581" t="s">
        <v>1320</v>
      </c>
      <c r="C581" t="s">
        <v>1278</v>
      </c>
      <c r="D581" t="s">
        <v>1334</v>
      </c>
      <c r="E581" t="s">
        <v>2471</v>
      </c>
      <c r="F581" s="73" t="s">
        <v>578</v>
      </c>
      <c r="G581" s="73" t="s">
        <v>579</v>
      </c>
      <c r="H581" s="73" t="s">
        <v>1042</v>
      </c>
      <c r="I581" s="73" t="s">
        <v>580</v>
      </c>
      <c r="J581" s="84" t="s">
        <v>14</v>
      </c>
      <c r="K581" s="84" t="s">
        <v>1278</v>
      </c>
      <c r="L581" s="84"/>
      <c r="M581" s="84" t="s">
        <v>875</v>
      </c>
      <c r="N581" s="84"/>
      <c r="O581" s="131">
        <f t="shared" si="43"/>
        <v>28</v>
      </c>
      <c r="P581" s="136" t="s">
        <v>2151</v>
      </c>
      <c r="Q581" s="131">
        <f t="shared" si="44"/>
        <v>0</v>
      </c>
      <c r="R581" s="132">
        <f t="shared" si="45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/>
    </row>
    <row r="582" spans="1:49" s="73" customFormat="1" ht="15.75" thickBot="1" x14ac:dyDescent="0.3">
      <c r="A582" t="s">
        <v>1312</v>
      </c>
      <c r="B582" t="s">
        <v>1313</v>
      </c>
      <c r="C582" t="s">
        <v>2469</v>
      </c>
      <c r="D582" t="s">
        <v>1323</v>
      </c>
      <c r="E582" s="157" t="s">
        <v>2473</v>
      </c>
      <c r="F582" s="73" t="s">
        <v>578</v>
      </c>
      <c r="G582" s="73" t="s">
        <v>2200</v>
      </c>
      <c r="H582" s="73" t="s">
        <v>1042</v>
      </c>
      <c r="I582" s="73" t="s">
        <v>2201</v>
      </c>
      <c r="J582" s="84" t="s">
        <v>14</v>
      </c>
      <c r="K582" s="84" t="s">
        <v>1278</v>
      </c>
      <c r="L582" s="84"/>
      <c r="M582" s="84" t="s">
        <v>2202</v>
      </c>
      <c r="N582" s="84"/>
      <c r="O582" s="131">
        <f t="shared" si="43"/>
        <v>28</v>
      </c>
      <c r="P582" s="136" t="s">
        <v>2203</v>
      </c>
      <c r="Q582" s="131">
        <f t="shared" si="44"/>
        <v>0</v>
      </c>
      <c r="R582" s="132">
        <f t="shared" si="45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/>
    </row>
    <row r="583" spans="1:49" ht="14.25" customHeight="1" thickBot="1" x14ac:dyDescent="0.3">
      <c r="A583" t="s">
        <v>1543</v>
      </c>
      <c r="B583" t="s">
        <v>1547</v>
      </c>
      <c r="C583" t="s">
        <v>1278</v>
      </c>
      <c r="D583" t="s">
        <v>1548</v>
      </c>
      <c r="E583" s="157" t="s">
        <v>2473</v>
      </c>
      <c r="F583" s="73" t="s">
        <v>578</v>
      </c>
      <c r="G583" s="73" t="s">
        <v>2213</v>
      </c>
      <c r="H583" s="73" t="s">
        <v>1042</v>
      </c>
      <c r="I583" s="73" t="s">
        <v>2214</v>
      </c>
      <c r="J583" s="84" t="s">
        <v>14</v>
      </c>
      <c r="K583" s="84" t="s">
        <v>1278</v>
      </c>
      <c r="L583" s="84"/>
      <c r="M583" s="84" t="s">
        <v>2297</v>
      </c>
      <c r="N583" s="84"/>
      <c r="O583" s="131">
        <f t="shared" si="43"/>
        <v>28</v>
      </c>
      <c r="P583" s="136" t="s">
        <v>2432</v>
      </c>
      <c r="Q583" s="131">
        <f t="shared" si="44"/>
        <v>0</v>
      </c>
      <c r="R583" s="1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1:49" ht="15.75" thickBot="1" x14ac:dyDescent="0.3">
      <c r="A584" t="s">
        <v>394</v>
      </c>
      <c r="B584" t="s">
        <v>395</v>
      </c>
      <c r="C584" t="s">
        <v>15</v>
      </c>
      <c r="D584" t="s">
        <v>770</v>
      </c>
      <c r="E584" t="s">
        <v>2471</v>
      </c>
      <c r="F584" t="s">
        <v>581</v>
      </c>
      <c r="G584" t="s">
        <v>583</v>
      </c>
      <c r="H584" t="s">
        <v>1042</v>
      </c>
      <c r="I584" t="s">
        <v>584</v>
      </c>
      <c r="J584" s="30" t="s">
        <v>14</v>
      </c>
      <c r="K584" s="30" t="s">
        <v>19</v>
      </c>
      <c r="L584" s="30"/>
      <c r="M584" s="30" t="s">
        <v>877</v>
      </c>
      <c r="N584" s="30"/>
      <c r="O584" s="31">
        <f t="shared" si="43"/>
        <v>28</v>
      </c>
      <c r="P584" s="136" t="s">
        <v>2153</v>
      </c>
      <c r="Q584" s="31">
        <f t="shared" si="44"/>
        <v>0</v>
      </c>
      <c r="R584" s="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9" ht="15.75" thickBot="1" x14ac:dyDescent="0.3">
      <c r="A585" s="69" t="s">
        <v>397</v>
      </c>
      <c r="B585" s="69" t="s">
        <v>398</v>
      </c>
      <c r="C585" s="69" t="s">
        <v>2469</v>
      </c>
      <c r="D585" s="69" t="s">
        <v>774</v>
      </c>
      <c r="E585" s="69" t="s">
        <v>2471</v>
      </c>
      <c r="F585" t="s">
        <v>581</v>
      </c>
      <c r="G585" t="s">
        <v>585</v>
      </c>
      <c r="H585" t="s">
        <v>1042</v>
      </c>
      <c r="I585" t="s">
        <v>586</v>
      </c>
      <c r="J585" s="30" t="s">
        <v>14</v>
      </c>
      <c r="K585" s="30" t="s">
        <v>19</v>
      </c>
      <c r="L585" s="30"/>
      <c r="M585" s="30" t="s">
        <v>878</v>
      </c>
      <c r="N585" s="30"/>
      <c r="O585" s="31">
        <f t="shared" si="43"/>
        <v>28</v>
      </c>
      <c r="P585" s="136" t="s">
        <v>2154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73"/>
    </row>
    <row r="586" spans="1:49" ht="15.75" thickBot="1" x14ac:dyDescent="0.3">
      <c r="A586" s="69" t="s">
        <v>399</v>
      </c>
      <c r="B586" s="69" t="s">
        <v>398</v>
      </c>
      <c r="C586" s="69" t="s">
        <v>2469</v>
      </c>
      <c r="D586" s="69" t="s">
        <v>775</v>
      </c>
      <c r="E586" s="69" t="s">
        <v>2471</v>
      </c>
      <c r="F586" t="s">
        <v>581</v>
      </c>
      <c r="G586" s="30" t="s">
        <v>1094</v>
      </c>
      <c r="H586" s="30" t="s">
        <v>1042</v>
      </c>
      <c r="I586" t="s">
        <v>1096</v>
      </c>
      <c r="J586" s="30" t="s">
        <v>1093</v>
      </c>
      <c r="K586" s="30" t="s">
        <v>27</v>
      </c>
      <c r="L586" s="30"/>
      <c r="M586" s="30" t="s">
        <v>1101</v>
      </c>
      <c r="N586" s="30"/>
      <c r="O586" s="31">
        <f t="shared" si="43"/>
        <v>28</v>
      </c>
      <c r="P586" s="136" t="s">
        <v>2069</v>
      </c>
      <c r="Q586" s="31">
        <f t="shared" si="44"/>
        <v>0</v>
      </c>
      <c r="R586" s="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3"/>
    </row>
    <row r="587" spans="1:49" ht="15.75" thickBot="1" x14ac:dyDescent="0.3">
      <c r="A587" s="69" t="s">
        <v>883</v>
      </c>
      <c r="B587" s="69" t="s">
        <v>884</v>
      </c>
      <c r="C587" s="69" t="s">
        <v>2469</v>
      </c>
      <c r="D587" s="69" t="s">
        <v>891</v>
      </c>
      <c r="E587" s="69" t="s">
        <v>2471</v>
      </c>
      <c r="F587" t="s">
        <v>581</v>
      </c>
      <c r="G587" s="30" t="s">
        <v>1095</v>
      </c>
      <c r="H587" s="30" t="s">
        <v>1042</v>
      </c>
      <c r="I587" t="s">
        <v>1096</v>
      </c>
      <c r="J587" s="30" t="s">
        <v>1093</v>
      </c>
      <c r="K587" s="30" t="s">
        <v>27</v>
      </c>
      <c r="L587" s="30"/>
      <c r="M587" s="30" t="s">
        <v>1102</v>
      </c>
      <c r="N587" s="30"/>
      <c r="O587" s="31">
        <f t="shared" ref="O587:O598" si="46">COUNTIF(S587:AT587,"")</f>
        <v>28</v>
      </c>
      <c r="P587" s="136" t="s">
        <v>2068</v>
      </c>
      <c r="Q587" s="31">
        <f t="shared" ref="Q587:Q598" si="47">COUNTIF(S587:AT587,"APAGADO")</f>
        <v>0</v>
      </c>
      <c r="R587" s="32">
        <f t="shared" ref="R587:R598" si="48">(O587)/(Q587+O587)</f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</row>
    <row r="588" spans="1:49" ht="15.75" thickBot="1" x14ac:dyDescent="0.3">
      <c r="A588" s="69" t="s">
        <v>885</v>
      </c>
      <c r="B588" s="69" t="s">
        <v>886</v>
      </c>
      <c r="C588" s="69" t="s">
        <v>2469</v>
      </c>
      <c r="D588" s="69" t="s">
        <v>892</v>
      </c>
      <c r="E588" s="69" t="s">
        <v>2471</v>
      </c>
      <c r="F588" t="s">
        <v>581</v>
      </c>
      <c r="G588" s="30" t="s">
        <v>1178</v>
      </c>
      <c r="H588" s="30" t="s">
        <v>1042</v>
      </c>
      <c r="I588" t="s">
        <v>1179</v>
      </c>
      <c r="J588" s="30" t="s">
        <v>14</v>
      </c>
      <c r="K588" s="30" t="s">
        <v>27</v>
      </c>
      <c r="L588" s="30"/>
      <c r="M588" s="30" t="s">
        <v>1180</v>
      </c>
      <c r="N588" s="30"/>
      <c r="O588" s="31">
        <f t="shared" si="46"/>
        <v>13</v>
      </c>
      <c r="P588" s="136" t="s">
        <v>2070</v>
      </c>
      <c r="Q588" s="31">
        <f t="shared" si="47"/>
        <v>15</v>
      </c>
      <c r="R588" s="32">
        <f t="shared" si="48"/>
        <v>0.4642857142857143</v>
      </c>
      <c r="S588" s="70"/>
      <c r="T588" s="70"/>
      <c r="U588" s="70"/>
      <c r="V588" s="70"/>
      <c r="W588" s="70"/>
      <c r="X588" s="70"/>
      <c r="Y588" s="70" t="s">
        <v>2221</v>
      </c>
      <c r="Z588" s="70" t="s">
        <v>2221</v>
      </c>
      <c r="AA588" s="70"/>
      <c r="AB588" s="70"/>
      <c r="AC588" s="70" t="s">
        <v>2221</v>
      </c>
      <c r="AD588" s="70" t="s">
        <v>2221</v>
      </c>
      <c r="AE588" s="70" t="s">
        <v>2221</v>
      </c>
      <c r="AF588" s="70" t="s">
        <v>2221</v>
      </c>
      <c r="AG588" s="70" t="s">
        <v>2221</v>
      </c>
      <c r="AH588" s="70"/>
      <c r="AI588" s="70"/>
      <c r="AJ588" s="70" t="s">
        <v>2221</v>
      </c>
      <c r="AK588" s="70" t="s">
        <v>2221</v>
      </c>
      <c r="AL588" s="70" t="s">
        <v>2221</v>
      </c>
      <c r="AM588" s="70" t="s">
        <v>2221</v>
      </c>
      <c r="AN588" s="70" t="s">
        <v>2221</v>
      </c>
      <c r="AO588" s="70"/>
      <c r="AP588" s="70"/>
      <c r="AQ588" s="70"/>
      <c r="AR588" s="70" t="s">
        <v>2221</v>
      </c>
      <c r="AS588" s="70" t="s">
        <v>2221</v>
      </c>
      <c r="AT588" s="70" t="s">
        <v>2221</v>
      </c>
      <c r="AU588" s="70"/>
      <c r="AV588" s="70"/>
    </row>
    <row r="589" spans="1:49" ht="15.75" thickBot="1" x14ac:dyDescent="0.3">
      <c r="A589" t="s">
        <v>2220</v>
      </c>
      <c r="B589" t="s">
        <v>2239</v>
      </c>
      <c r="C589" t="s">
        <v>2474</v>
      </c>
      <c r="D589" t="s">
        <v>2299</v>
      </c>
      <c r="E589" t="s">
        <v>2471</v>
      </c>
      <c r="F589" t="s">
        <v>581</v>
      </c>
      <c r="G589" t="s">
        <v>1034</v>
      </c>
      <c r="H589" t="s">
        <v>1042</v>
      </c>
      <c r="I589" t="s">
        <v>582</v>
      </c>
      <c r="J589" s="30" t="s">
        <v>14</v>
      </c>
      <c r="K589" s="30" t="s">
        <v>19</v>
      </c>
      <c r="L589" s="30"/>
      <c r="M589" s="30" t="s">
        <v>876</v>
      </c>
      <c r="N589" s="30"/>
      <c r="O589" s="31">
        <f t="shared" si="46"/>
        <v>28</v>
      </c>
      <c r="P589" s="136" t="s">
        <v>2152</v>
      </c>
      <c r="Q589" s="31">
        <f t="shared" si="47"/>
        <v>0</v>
      </c>
      <c r="R589" s="32">
        <f t="shared" si="48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73"/>
    </row>
    <row r="590" spans="1:49" s="73" customFormat="1" ht="15.75" thickBot="1" x14ac:dyDescent="0.3">
      <c r="A590" t="s">
        <v>549</v>
      </c>
      <c r="B590" t="s">
        <v>550</v>
      </c>
      <c r="C590" t="s">
        <v>1278</v>
      </c>
      <c r="D590" t="s">
        <v>1345</v>
      </c>
      <c r="E590" s="157" t="s">
        <v>2473</v>
      </c>
      <c r="F590" s="73" t="s">
        <v>589</v>
      </c>
      <c r="G590" s="73" t="s">
        <v>587</v>
      </c>
      <c r="H590" s="73" t="s">
        <v>1041</v>
      </c>
      <c r="I590" s="73" t="s">
        <v>588</v>
      </c>
      <c r="J590" s="84" t="s">
        <v>18</v>
      </c>
      <c r="K590" s="84" t="s">
        <v>1278</v>
      </c>
      <c r="L590" s="84"/>
      <c r="M590" s="84" t="s">
        <v>1404</v>
      </c>
      <c r="N590" s="84"/>
      <c r="O590" s="131">
        <f t="shared" si="46"/>
        <v>28</v>
      </c>
      <c r="P590" s="136" t="s">
        <v>2074</v>
      </c>
      <c r="Q590" s="131">
        <f t="shared" si="47"/>
        <v>0</v>
      </c>
      <c r="R590" s="132">
        <f t="shared" si="48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142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/>
    </row>
    <row r="591" spans="1:49" s="73" customFormat="1" ht="15.75" thickBot="1" x14ac:dyDescent="0.3">
      <c r="A591" t="s">
        <v>553</v>
      </c>
      <c r="B591" t="s">
        <v>554</v>
      </c>
      <c r="C591" t="s">
        <v>1035</v>
      </c>
      <c r="D591" t="s">
        <v>858</v>
      </c>
      <c r="E591" s="156" t="s">
        <v>2470</v>
      </c>
      <c r="F591" s="73" t="s">
        <v>589</v>
      </c>
      <c r="G591" s="73" t="s">
        <v>1417</v>
      </c>
      <c r="H591" s="73" t="s">
        <v>1041</v>
      </c>
      <c r="I591" s="73" t="s">
        <v>1418</v>
      </c>
      <c r="J591" s="84" t="s">
        <v>45</v>
      </c>
      <c r="K591" s="84" t="s">
        <v>1278</v>
      </c>
      <c r="L591" s="84"/>
      <c r="M591" s="84" t="s">
        <v>1423</v>
      </c>
      <c r="N591" s="84"/>
      <c r="O591" s="131">
        <f t="shared" si="46"/>
        <v>28</v>
      </c>
      <c r="P591" s="136" t="s">
        <v>2075</v>
      </c>
      <c r="Q591" s="131">
        <f t="shared" si="47"/>
        <v>0</v>
      </c>
      <c r="R591" s="132">
        <f t="shared" si="48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/>
    </row>
    <row r="592" spans="1:49" s="73" customFormat="1" ht="15.75" thickBot="1" x14ac:dyDescent="0.3">
      <c r="A592" t="s">
        <v>1289</v>
      </c>
      <c r="B592" t="s">
        <v>2147</v>
      </c>
      <c r="C592" t="s">
        <v>1278</v>
      </c>
      <c r="D592" t="s">
        <v>2294</v>
      </c>
      <c r="E592" s="157" t="s">
        <v>2473</v>
      </c>
      <c r="F592" s="73" t="s">
        <v>589</v>
      </c>
      <c r="G592" s="73" t="s">
        <v>1420</v>
      </c>
      <c r="H592" s="73" t="s">
        <v>1041</v>
      </c>
      <c r="I592" s="73" t="s">
        <v>1419</v>
      </c>
      <c r="J592" s="84" t="s">
        <v>71</v>
      </c>
      <c r="K592" s="84" t="s">
        <v>1278</v>
      </c>
      <c r="L592" s="84"/>
      <c r="M592" s="84" t="s">
        <v>1424</v>
      </c>
      <c r="N592" s="84"/>
      <c r="O592" s="131">
        <f t="shared" si="46"/>
        <v>28</v>
      </c>
      <c r="P592" s="136" t="s">
        <v>2076</v>
      </c>
      <c r="Q592" s="131">
        <f t="shared" si="47"/>
        <v>0</v>
      </c>
      <c r="R592" s="132">
        <f t="shared" si="48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/>
    </row>
    <row r="593" spans="1:49" s="73" customFormat="1" ht="15.75" thickBot="1" x14ac:dyDescent="0.3">
      <c r="A593"/>
      <c r="B593"/>
      <c r="C593"/>
      <c r="D593"/>
      <c r="E593"/>
      <c r="F593" s="73" t="s">
        <v>589</v>
      </c>
      <c r="G593" s="73" t="s">
        <v>1421</v>
      </c>
      <c r="H593" s="73" t="s">
        <v>1041</v>
      </c>
      <c r="I593" s="73" t="s">
        <v>1422</v>
      </c>
      <c r="J593" s="84" t="s">
        <v>71</v>
      </c>
      <c r="K593" s="84" t="s">
        <v>1278</v>
      </c>
      <c r="L593" s="84"/>
      <c r="M593" s="84" t="s">
        <v>1425</v>
      </c>
      <c r="N593" s="84"/>
      <c r="O593" s="131">
        <f t="shared" si="46"/>
        <v>28</v>
      </c>
      <c r="P593" s="136" t="s">
        <v>2077</v>
      </c>
      <c r="Q593" s="131">
        <f t="shared" si="47"/>
        <v>0</v>
      </c>
      <c r="R593" s="1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</row>
    <row r="594" spans="1:49" s="73" customFormat="1" ht="15.75" thickBot="1" x14ac:dyDescent="0.3">
      <c r="A594"/>
      <c r="B594"/>
      <c r="C594"/>
      <c r="D594"/>
      <c r="E594" s="151" t="s">
        <v>2460</v>
      </c>
      <c r="F594" s="73" t="s">
        <v>589</v>
      </c>
      <c r="G594" s="73" t="s">
        <v>2078</v>
      </c>
      <c r="H594" s="73" t="s">
        <v>1041</v>
      </c>
      <c r="I594" s="73" t="s">
        <v>2079</v>
      </c>
      <c r="J594" s="84" t="s">
        <v>14</v>
      </c>
      <c r="K594" s="84" t="s">
        <v>1278</v>
      </c>
      <c r="L594" s="84"/>
      <c r="M594" s="84" t="s">
        <v>2298</v>
      </c>
      <c r="N594" s="84"/>
      <c r="O594" s="131">
        <f t="shared" si="46"/>
        <v>28</v>
      </c>
      <c r="P594" s="136" t="s">
        <v>2080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s="73" customFormat="1" ht="15.75" thickBot="1" x14ac:dyDescent="0.3">
      <c r="A595"/>
      <c r="B595"/>
      <c r="C595"/>
      <c r="D595"/>
      <c r="E595"/>
      <c r="F595" s="73" t="s">
        <v>589</v>
      </c>
      <c r="G595" s="73" t="s">
        <v>2226</v>
      </c>
      <c r="H595" s="73" t="s">
        <v>1041</v>
      </c>
      <c r="I595" s="73" t="s">
        <v>2227</v>
      </c>
      <c r="J595" s="84" t="s">
        <v>14</v>
      </c>
      <c r="K595" s="84" t="s">
        <v>1278</v>
      </c>
      <c r="L595" s="84"/>
      <c r="M595" s="84" t="s">
        <v>2228</v>
      </c>
      <c r="N595" s="84"/>
      <c r="O595" s="131">
        <f t="shared" si="46"/>
        <v>28</v>
      </c>
      <c r="P595" s="136" t="s">
        <v>2229</v>
      </c>
      <c r="Q595" s="131">
        <f t="shared" si="47"/>
        <v>0</v>
      </c>
      <c r="R595" s="1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s="73" customFormat="1" ht="15.75" thickBot="1" x14ac:dyDescent="0.3">
      <c r="A596"/>
      <c r="B596"/>
      <c r="C596"/>
      <c r="D596"/>
      <c r="E596" s="151" t="s">
        <v>2460</v>
      </c>
      <c r="F596" s="73" t="s">
        <v>589</v>
      </c>
      <c r="G596" s="73" t="s">
        <v>590</v>
      </c>
      <c r="H596" s="73" t="s">
        <v>1042</v>
      </c>
      <c r="I596" s="73" t="s">
        <v>591</v>
      </c>
      <c r="J596" s="84" t="s">
        <v>18</v>
      </c>
      <c r="K596" s="84" t="s">
        <v>1278</v>
      </c>
      <c r="L596" s="84"/>
      <c r="M596" s="84" t="s">
        <v>1346</v>
      </c>
      <c r="N596" s="84"/>
      <c r="O596" s="131">
        <f t="shared" si="46"/>
        <v>28</v>
      </c>
      <c r="P596" s="136" t="s">
        <v>2071</v>
      </c>
      <c r="Q596" s="131">
        <f t="shared" si="47"/>
        <v>0</v>
      </c>
      <c r="R596" s="1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</row>
    <row r="597" spans="1:49" s="73" customFormat="1" ht="15.75" thickBot="1" x14ac:dyDescent="0.3">
      <c r="A597"/>
      <c r="B597"/>
      <c r="C597"/>
      <c r="D597"/>
      <c r="E597"/>
      <c r="F597" s="73" t="s">
        <v>297</v>
      </c>
      <c r="G597" s="73" t="s">
        <v>592</v>
      </c>
      <c r="H597" s="73" t="s">
        <v>1042</v>
      </c>
      <c r="I597" s="73" t="s">
        <v>593</v>
      </c>
      <c r="J597" s="84" t="s">
        <v>18</v>
      </c>
      <c r="K597" s="84" t="s">
        <v>1278</v>
      </c>
      <c r="L597" s="84"/>
      <c r="M597" s="84" t="s">
        <v>1343</v>
      </c>
      <c r="N597" s="84"/>
      <c r="O597" s="131">
        <f t="shared" si="46"/>
        <v>28</v>
      </c>
      <c r="P597" s="136" t="s">
        <v>2072</v>
      </c>
      <c r="Q597" s="131">
        <f t="shared" si="47"/>
        <v>0</v>
      </c>
      <c r="R597" s="132">
        <f t="shared" si="48"/>
        <v>1</v>
      </c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  <c r="AR597" s="71"/>
      <c r="AS597" s="71"/>
      <c r="AT597" s="71"/>
      <c r="AU597" s="71"/>
      <c r="AV597" s="71"/>
      <c r="AW597"/>
    </row>
    <row r="598" spans="1:49" ht="17.25" customHeight="1" thickBot="1" x14ac:dyDescent="0.3">
      <c r="A598"/>
      <c r="B598"/>
      <c r="C598"/>
      <c r="D598"/>
      <c r="E598"/>
      <c r="F598" s="73" t="s">
        <v>589</v>
      </c>
      <c r="G598" s="73" t="s">
        <v>594</v>
      </c>
      <c r="H598" s="73" t="s">
        <v>1041</v>
      </c>
      <c r="I598" s="73" t="s">
        <v>595</v>
      </c>
      <c r="J598" s="84" t="s">
        <v>14</v>
      </c>
      <c r="K598" s="84" t="s">
        <v>1278</v>
      </c>
      <c r="L598" s="84"/>
      <c r="M598" s="84" t="s">
        <v>1477</v>
      </c>
      <c r="N598" s="84"/>
      <c r="O598" s="131">
        <f t="shared" si="46"/>
        <v>28</v>
      </c>
      <c r="P598" s="136" t="s">
        <v>2073</v>
      </c>
      <c r="Q598" s="131">
        <f t="shared" si="47"/>
        <v>0</v>
      </c>
      <c r="R598" s="132">
        <f t="shared" si="48"/>
        <v>1</v>
      </c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  <c r="AR598" s="71"/>
      <c r="AS598" s="71"/>
      <c r="AT598" s="71"/>
      <c r="AU598" s="71"/>
      <c r="AV598" s="71"/>
    </row>
    <row r="599" spans="1:49" ht="17.25" customHeight="1" x14ac:dyDescent="0.25">
      <c r="A599">
        <v>6</v>
      </c>
      <c r="B599">
        <v>12</v>
      </c>
      <c r="C599"/>
      <c r="D599"/>
      <c r="E599" t="s">
        <v>2334</v>
      </c>
      <c r="F599" s="73"/>
      <c r="G599" s="73"/>
      <c r="H599" s="73"/>
      <c r="I599" s="73"/>
      <c r="J599" s="84"/>
      <c r="K599" s="84"/>
      <c r="L599" s="84"/>
      <c r="M599" s="84"/>
      <c r="N599" s="84"/>
      <c r="O599" s="145"/>
      <c r="P599" s="136"/>
      <c r="Q599" s="145"/>
      <c r="R599" s="146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71"/>
      <c r="AK599" s="71"/>
      <c r="AL599" s="71"/>
      <c r="AM599" s="71"/>
      <c r="AN599" s="71"/>
      <c r="AO599" s="71"/>
      <c r="AP599" s="71"/>
      <c r="AQ599" s="71"/>
      <c r="AR599" s="71"/>
      <c r="AS599" s="71"/>
      <c r="AT599" s="71"/>
      <c r="AU599" s="71"/>
      <c r="AV599" s="71"/>
    </row>
    <row r="600" spans="1:49" x14ac:dyDescent="0.25">
      <c r="A600">
        <v>6</v>
      </c>
      <c r="B600">
        <v>12</v>
      </c>
      <c r="C600"/>
      <c r="D600"/>
      <c r="E600" t="s">
        <v>2334</v>
      </c>
      <c r="P600" s="136"/>
    </row>
    <row r="601" spans="1:49" x14ac:dyDescent="0.25">
      <c r="A601">
        <v>6</v>
      </c>
      <c r="B601">
        <v>12</v>
      </c>
      <c r="C601"/>
      <c r="D601"/>
      <c r="E601" t="s">
        <v>2334</v>
      </c>
      <c r="P601" s="136"/>
    </row>
    <row r="602" spans="1:49" x14ac:dyDescent="0.25">
      <c r="A602">
        <v>6</v>
      </c>
      <c r="B602">
        <v>12</v>
      </c>
      <c r="C602"/>
      <c r="D602"/>
      <c r="E602" t="s">
        <v>2334</v>
      </c>
      <c r="P602" s="136"/>
    </row>
    <row r="603" spans="1:49" x14ac:dyDescent="0.25">
      <c r="A603">
        <v>6</v>
      </c>
      <c r="B603">
        <v>12</v>
      </c>
      <c r="C603"/>
      <c r="D603"/>
      <c r="E603" t="s">
        <v>2334</v>
      </c>
      <c r="P603" s="136"/>
    </row>
    <row r="604" spans="1:49" x14ac:dyDescent="0.25">
      <c r="A604">
        <v>6</v>
      </c>
      <c r="B604">
        <v>12</v>
      </c>
      <c r="C604"/>
      <c r="D604"/>
      <c r="E604" t="s">
        <v>2334</v>
      </c>
      <c r="P604" s="136"/>
      <c r="S604"/>
    </row>
    <row r="605" spans="1:49" x14ac:dyDescent="0.25">
      <c r="A605">
        <v>6</v>
      </c>
      <c r="B605">
        <v>12</v>
      </c>
      <c r="C605"/>
      <c r="D605"/>
      <c r="E605" t="s">
        <v>2334</v>
      </c>
      <c r="P605" s="136"/>
    </row>
    <row r="606" spans="1:49" x14ac:dyDescent="0.25">
      <c r="A606">
        <v>6</v>
      </c>
      <c r="B606">
        <v>12</v>
      </c>
      <c r="C606"/>
      <c r="D606"/>
      <c r="E606" t="s">
        <v>2334</v>
      </c>
      <c r="P606" s="136"/>
    </row>
    <row r="607" spans="1:49" x14ac:dyDescent="0.25">
      <c r="A607"/>
      <c r="B607"/>
      <c r="E607" s="151" t="s">
        <v>2463</v>
      </c>
      <c r="P607" s="136"/>
    </row>
    <row r="608" spans="1:49" x14ac:dyDescent="0.25">
      <c r="A608"/>
      <c r="B608"/>
      <c r="C608"/>
      <c r="D608"/>
      <c r="E608"/>
      <c r="P608" s="136"/>
    </row>
    <row r="609" spans="1:16" x14ac:dyDescent="0.25">
      <c r="A609"/>
      <c r="B609"/>
      <c r="C609"/>
      <c r="D609"/>
      <c r="E609"/>
      <c r="P609" s="136"/>
    </row>
    <row r="610" spans="1:16" x14ac:dyDescent="0.25">
      <c r="A610"/>
      <c r="B610"/>
      <c r="C610"/>
      <c r="D610"/>
      <c r="E610"/>
      <c r="P610" s="136"/>
    </row>
    <row r="611" spans="1:16" x14ac:dyDescent="0.25">
      <c r="A611"/>
      <c r="B611"/>
      <c r="C611"/>
      <c r="D611"/>
      <c r="E611"/>
      <c r="P611" s="136"/>
    </row>
    <row r="612" spans="1:16" x14ac:dyDescent="0.25">
      <c r="A612"/>
      <c r="B612"/>
      <c r="C612"/>
      <c r="D612"/>
      <c r="E612"/>
      <c r="P612" s="136"/>
    </row>
    <row r="613" spans="1:16" x14ac:dyDescent="0.25">
      <c r="A613">
        <v>4</v>
      </c>
      <c r="B613">
        <v>12</v>
      </c>
      <c r="C613"/>
      <c r="D613"/>
      <c r="E613" t="s">
        <v>2332</v>
      </c>
      <c r="P613" s="136"/>
    </row>
    <row r="614" spans="1:16" x14ac:dyDescent="0.25">
      <c r="A614">
        <v>4</v>
      </c>
      <c r="B614">
        <v>12</v>
      </c>
      <c r="C614"/>
      <c r="D614"/>
      <c r="E614" t="s">
        <v>2332</v>
      </c>
      <c r="P614" s="136"/>
    </row>
    <row r="615" spans="1:16" x14ac:dyDescent="0.25">
      <c r="A615">
        <v>4</v>
      </c>
      <c r="B615">
        <v>12</v>
      </c>
      <c r="C615"/>
      <c r="D615"/>
      <c r="E615" t="s">
        <v>2332</v>
      </c>
      <c r="P615" s="136"/>
    </row>
    <row r="616" spans="1:16" x14ac:dyDescent="0.25">
      <c r="A616"/>
      <c r="B616"/>
      <c r="C616"/>
      <c r="D616"/>
      <c r="E616"/>
      <c r="P616" s="136"/>
    </row>
    <row r="617" spans="1:16" x14ac:dyDescent="0.25">
      <c r="A617"/>
      <c r="B617"/>
      <c r="C617"/>
      <c r="D617"/>
      <c r="E617"/>
      <c r="P617" s="136"/>
    </row>
    <row r="618" spans="1:16" x14ac:dyDescent="0.25">
      <c r="A618"/>
      <c r="B618"/>
      <c r="C618"/>
      <c r="D618"/>
      <c r="E618"/>
      <c r="P618" s="136"/>
    </row>
    <row r="619" spans="1:16" x14ac:dyDescent="0.25">
      <c r="A619"/>
      <c r="B619"/>
      <c r="C619"/>
      <c r="D619"/>
      <c r="E619"/>
      <c r="P619" s="136"/>
    </row>
    <row r="620" spans="1:16" x14ac:dyDescent="0.25">
      <c r="A620"/>
      <c r="B620"/>
      <c r="C620"/>
      <c r="D620"/>
      <c r="E620"/>
      <c r="P620" s="136"/>
    </row>
    <row r="621" spans="1:16" x14ac:dyDescent="0.25">
      <c r="A621"/>
      <c r="B621"/>
      <c r="C621"/>
      <c r="D621"/>
      <c r="E621"/>
      <c r="P621" s="136"/>
    </row>
    <row r="622" spans="1:16" x14ac:dyDescent="0.25">
      <c r="A622"/>
      <c r="B622"/>
      <c r="C622"/>
      <c r="D622"/>
      <c r="E622"/>
      <c r="P622" s="136"/>
    </row>
    <row r="623" spans="1:16" x14ac:dyDescent="0.25">
      <c r="A623"/>
      <c r="B623"/>
      <c r="C623"/>
      <c r="D623"/>
      <c r="E623"/>
      <c r="P623" s="136"/>
    </row>
    <row r="624" spans="1:16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P627" s="136"/>
    </row>
    <row r="628" spans="1:16" x14ac:dyDescent="0.25">
      <c r="P628" s="136"/>
    </row>
    <row r="629" spans="1:16" x14ac:dyDescent="0.25">
      <c r="P629" s="136"/>
    </row>
    <row r="630" spans="1:16" x14ac:dyDescent="0.25">
      <c r="P630" s="136"/>
    </row>
    <row r="631" spans="1:16" x14ac:dyDescent="0.25">
      <c r="P631" s="136"/>
    </row>
    <row r="632" spans="1:16" x14ac:dyDescent="0.25">
      <c r="P632" s="136"/>
    </row>
    <row r="633" spans="1:16" x14ac:dyDescent="0.25"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71"/>
      <c r="AJ679" s="71"/>
      <c r="AK679" s="71"/>
      <c r="AL679" s="71"/>
      <c r="AM679" s="71"/>
      <c r="AN679" s="71"/>
      <c r="AO679" s="71"/>
      <c r="AP679" s="71"/>
      <c r="AQ679" s="71"/>
      <c r="AR679" s="71"/>
      <c r="AS679" s="71"/>
      <c r="AT679" s="71"/>
      <c r="AU679" s="71"/>
      <c r="AV679" s="71"/>
    </row>
    <row r="680" spans="10:48" x14ac:dyDescent="0.25">
      <c r="P680" s="136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71"/>
      <c r="AJ680" s="71"/>
      <c r="AK680" s="71"/>
      <c r="AL680" s="71"/>
      <c r="AM680" s="71"/>
      <c r="AN680" s="71"/>
      <c r="AO680" s="71"/>
      <c r="AP680" s="71"/>
      <c r="AQ680" s="71"/>
      <c r="AR680" s="71"/>
      <c r="AS680" s="71"/>
      <c r="AT680" s="71"/>
      <c r="AU680" s="71"/>
      <c r="AV680" s="71"/>
    </row>
    <row r="681" spans="10:48" x14ac:dyDescent="0.25">
      <c r="J681" s="30"/>
      <c r="K681" s="30"/>
      <c r="L681" s="30"/>
      <c r="M681" s="30"/>
      <c r="N681" s="30"/>
      <c r="P681" s="136"/>
      <c r="R681" s="13"/>
      <c r="S681" s="72"/>
      <c r="T681" s="72"/>
      <c r="U681" s="70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</row>
    <row r="682" spans="10:48" x14ac:dyDescent="0.25">
      <c r="J682" s="30"/>
      <c r="K682" s="30"/>
      <c r="L682" s="30"/>
      <c r="M682" s="30"/>
      <c r="N682" s="30"/>
      <c r="P682" s="136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17"/>
      <c r="T758" s="17"/>
      <c r="U758" s="70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U845" s="70"/>
    </row>
    <row r="846" spans="10:48" x14ac:dyDescent="0.25">
      <c r="J846" s="30"/>
      <c r="K846" s="30"/>
      <c r="L846" s="30"/>
      <c r="M846" s="30"/>
      <c r="N846" s="30"/>
      <c r="P846" s="136"/>
      <c r="R846" s="13"/>
      <c r="U846" s="70"/>
    </row>
    <row r="847" spans="10:48" x14ac:dyDescent="0.25">
      <c r="J847" s="30"/>
      <c r="K847" s="30"/>
      <c r="L847" s="30"/>
      <c r="M847" s="30"/>
      <c r="N847" s="30"/>
      <c r="P847" s="136"/>
      <c r="R847" s="13"/>
      <c r="U847" s="70"/>
    </row>
    <row r="848" spans="10:48" x14ac:dyDescent="0.25">
      <c r="P848" s="136"/>
      <c r="R848" s="13"/>
      <c r="U848" s="70"/>
    </row>
    <row r="849" spans="16:21" x14ac:dyDescent="0.25">
      <c r="P849" s="136"/>
      <c r="U849" s="70"/>
    </row>
    <row r="850" spans="16:21" x14ac:dyDescent="0.25">
      <c r="P850" s="136"/>
      <c r="U850" s="70"/>
    </row>
    <row r="851" spans="16:21" x14ac:dyDescent="0.25">
      <c r="P851" s="136"/>
      <c r="U851" s="70"/>
    </row>
    <row r="852" spans="16:21" x14ac:dyDescent="0.25">
      <c r="P852" s="136"/>
      <c r="U852" s="70"/>
    </row>
    <row r="853" spans="16:21" x14ac:dyDescent="0.25">
      <c r="P853" s="136"/>
      <c r="U853" s="70"/>
    </row>
    <row r="854" spans="16:21" x14ac:dyDescent="0.25">
      <c r="P854" s="136"/>
      <c r="U854" s="70"/>
    </row>
    <row r="855" spans="16:21" x14ac:dyDescent="0.25">
      <c r="P855" s="136"/>
      <c r="U855" s="70"/>
    </row>
    <row r="856" spans="16:21" x14ac:dyDescent="0.25">
      <c r="P856" s="136"/>
      <c r="U856" s="70"/>
    </row>
    <row r="857" spans="16:21" x14ac:dyDescent="0.25">
      <c r="P857" s="136"/>
      <c r="U857" s="70"/>
    </row>
    <row r="858" spans="16:21" x14ac:dyDescent="0.25">
      <c r="P858" s="136"/>
      <c r="U858" s="70"/>
    </row>
    <row r="859" spans="16:21" x14ac:dyDescent="0.25">
      <c r="P859" s="136"/>
      <c r="U859" s="70"/>
    </row>
    <row r="860" spans="16:21" x14ac:dyDescent="0.25">
      <c r="P860" s="136"/>
      <c r="U860" s="70"/>
    </row>
    <row r="861" spans="16:21" x14ac:dyDescent="0.25">
      <c r="P861" s="136"/>
      <c r="U861" s="70"/>
    </row>
    <row r="862" spans="16:21" x14ac:dyDescent="0.25">
      <c r="P862" s="136"/>
      <c r="U862" s="70"/>
    </row>
    <row r="863" spans="16:21" x14ac:dyDescent="0.25">
      <c r="P863" s="136"/>
      <c r="U863" s="70"/>
    </row>
    <row r="864" spans="16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16" x14ac:dyDescent="0.25">
      <c r="P1201" s="136"/>
    </row>
    <row r="1202" spans="16:16" x14ac:dyDescent="0.25">
      <c r="P1202" s="136"/>
    </row>
    <row r="1203" spans="16:16" x14ac:dyDescent="0.25">
      <c r="P1203" s="136"/>
    </row>
    <row r="1204" spans="16:16" x14ac:dyDescent="0.25">
      <c r="P1204" s="136"/>
    </row>
    <row r="1205" spans="16:16" x14ac:dyDescent="0.25">
      <c r="P1205" s="136"/>
    </row>
    <row r="1206" spans="16:16" x14ac:dyDescent="0.25">
      <c r="P1206" s="136"/>
    </row>
    <row r="1207" spans="16:16" x14ac:dyDescent="0.25">
      <c r="P1207" s="136"/>
    </row>
    <row r="1208" spans="16:16" x14ac:dyDescent="0.25">
      <c r="P1208" s="136"/>
    </row>
    <row r="1209" spans="16:16" x14ac:dyDescent="0.25">
      <c r="P1209" s="136"/>
    </row>
    <row r="1210" spans="16:16" x14ac:dyDescent="0.25">
      <c r="P1210" s="136"/>
    </row>
    <row r="1211" spans="16:16" x14ac:dyDescent="0.25">
      <c r="P1211" s="136"/>
    </row>
    <row r="1212" spans="16:16" x14ac:dyDescent="0.25">
      <c r="P1212" s="136"/>
    </row>
    <row r="1213" spans="16:16" x14ac:dyDescent="0.25">
      <c r="P1213" s="136"/>
    </row>
    <row r="1214" spans="16:16" x14ac:dyDescent="0.25">
      <c r="P1214" s="136"/>
    </row>
    <row r="1215" spans="16:16" x14ac:dyDescent="0.25">
      <c r="P1215" s="136"/>
    </row>
    <row r="1216" spans="16:16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</sheetData>
  <autoFilter ref="A7:AV606" xr:uid="{00000000-0001-0000-0000-000000000000}">
    <sortState xmlns:xlrd2="http://schemas.microsoft.com/office/spreadsheetml/2017/richdata2" ref="A8:AV598">
      <sortCondition descending="1" ref="G7:G598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8 I20:I21 I131:I147 I155:I156 I164:I165 I217:I220 I224:I227 I232:I235 I260 I270:I271 I278 H279:I279 H280:H579 I284:I287 I297:I299 I372:I377 I386 H387:I387 I403:I407 I419:I421 I424:I425 I483:I486 I554:I555 H681:H1048576">
    <cfRule type="cellIs" dxfId="191" priority="3265" operator="equal">
      <formula>$H$281</formula>
    </cfRule>
  </conditionalFormatting>
  <conditionalFormatting sqref="H1:H599">
    <cfRule type="cellIs" dxfId="190" priority="598" operator="equal">
      <formula>"IPCOMS"</formula>
    </cfRule>
  </conditionalFormatting>
  <conditionalFormatting sqref="H280:H599">
    <cfRule type="cellIs" dxfId="189" priority="601" operator="equal">
      <formula>$H$300</formula>
    </cfRule>
  </conditionalFormatting>
  <conditionalFormatting sqref="H580:H599">
    <cfRule type="cellIs" dxfId="188" priority="602" operator="equal">
      <formula>$H$281</formula>
    </cfRule>
  </conditionalFormatting>
  <conditionalFormatting sqref="I20:I21 I164:I165 I224:I225 I260 I284:I287 I297:I299 I403:I407 I419:I421 I424:I425 H681:H1048576">
    <cfRule type="cellIs" dxfId="187" priority="2810" operator="equal">
      <formula>"IPCOMS"</formula>
    </cfRule>
  </conditionalFormatting>
  <conditionalFormatting sqref="I20:I21 I164:I165 I224:I227 I260 I284:I287 I297:I299 I403:I407 I419:I421 I424:I425 H681:H1048576 H1:H278 H279:I279 H387:I387 I131:I147 I155:I156 I217:I220 I232:I235 I270:I271 I278 I372:I377 I386 I483:I486 I554:I555">
    <cfRule type="cellIs" dxfId="186" priority="3264" operator="equal">
      <formula>$H$300</formula>
    </cfRule>
  </conditionalFormatting>
  <conditionalFormatting sqref="J1:J569 J585:J599 J681:J1048576">
    <cfRule type="containsText" dxfId="185" priority="3271" operator="containsText" text="domo">
      <formula>NOT(ISERROR(SEARCH("domo",J1)))</formula>
    </cfRule>
    <cfRule type="containsText" dxfId="184" priority="3270" operator="containsText" text="fija">
      <formula>NOT(ISERROR(SEARCH("fija",J1)))</formula>
    </cfRule>
  </conditionalFormatting>
  <conditionalFormatting sqref="J34:J35 J162:N232 J236:N401">
    <cfRule type="containsText" dxfId="183" priority="2738" operator="containsText" text="Radio">
      <formula>NOT(ISERROR(SEARCH("Radio",J34)))</formula>
    </cfRule>
  </conditionalFormatting>
  <conditionalFormatting sqref="J135:J148 L148:N148">
    <cfRule type="containsText" dxfId="182" priority="2752" operator="containsText" text="Radio">
      <formula>NOT(ISERROR(SEARCH("Radio",J135)))</formula>
    </cfRule>
  </conditionalFormatting>
  <conditionalFormatting sqref="J403:J407">
    <cfRule type="containsText" dxfId="181" priority="2771" operator="containsText" text="Radio">
      <formula>NOT(ISERROR(SEARCH("Radio",J403)))</formula>
    </cfRule>
  </conditionalFormatting>
  <conditionalFormatting sqref="J571">
    <cfRule type="containsText" dxfId="180" priority="3213" operator="containsText" text="Radio">
      <formula>NOT(ISERROR(SEARCH("Radio",J571)))</formula>
    </cfRule>
    <cfRule type="containsText" dxfId="179" priority="3211" operator="containsText" text="fija">
      <formula>NOT(ISERROR(SEARCH("fija",J571)))</formula>
    </cfRule>
    <cfRule type="containsText" dxfId="178" priority="3212" operator="containsText" text="domo">
      <formula>NOT(ISERROR(SEARCH("domo",J571)))</formula>
    </cfRule>
  </conditionalFormatting>
  <conditionalFormatting sqref="J571:J572">
    <cfRule type="containsText" dxfId="177" priority="3206" operator="containsText" text="fija">
      <formula>NOT(ISERROR(SEARCH("fija",J571)))</formula>
    </cfRule>
    <cfRule type="containsText" dxfId="176" priority="3207" operator="containsText" text="domo">
      <formula>NOT(ISERROR(SEARCH("domo",J571)))</formula>
    </cfRule>
  </conditionalFormatting>
  <conditionalFormatting sqref="J572">
    <cfRule type="containsText" dxfId="175" priority="3208" operator="containsText" text="Radio">
      <formula>NOT(ISERROR(SEARCH("Radio",J572)))</formula>
    </cfRule>
    <cfRule type="containsText" dxfId="174" priority="3204" operator="containsText" text="fija">
      <formula>NOT(ISERROR(SEARCH("fija",J572)))</formula>
    </cfRule>
    <cfRule type="containsText" dxfId="173" priority="3205" operator="containsText" text="domo">
      <formula>NOT(ISERROR(SEARCH("domo",J572)))</formula>
    </cfRule>
  </conditionalFormatting>
  <conditionalFormatting sqref="J575">
    <cfRule type="containsText" dxfId="172" priority="3203" operator="containsText" text="Radio">
      <formula>NOT(ISERROR(SEARCH("Radio",J575)))</formula>
    </cfRule>
    <cfRule type="containsText" dxfId="171" priority="3202" operator="containsText" text="domo">
      <formula>NOT(ISERROR(SEARCH("domo",J575)))</formula>
    </cfRule>
    <cfRule type="containsText" dxfId="170" priority="3201" operator="containsText" text="fija">
      <formula>NOT(ISERROR(SEARCH("fija",J575)))</formula>
    </cfRule>
  </conditionalFormatting>
  <conditionalFormatting sqref="J575:J576">
    <cfRule type="containsText" dxfId="169" priority="3197" operator="containsText" text="domo">
      <formula>NOT(ISERROR(SEARCH("domo",J575)))</formula>
    </cfRule>
    <cfRule type="containsText" dxfId="168" priority="3196" operator="containsText" text="fija">
      <formula>NOT(ISERROR(SEARCH("fija",J575)))</formula>
    </cfRule>
  </conditionalFormatting>
  <conditionalFormatting sqref="J576 J48:N134 K135:K136 J234:K235 J402:K402 K403:K407 J408:N423 J424:K425 J426:N569 J681:N1048576 J585:N599 M402:N402 L402:L407">
    <cfRule type="containsText" dxfId="167" priority="3198" operator="containsText" text="Radio">
      <formula>NOT(ISERROR(SEARCH("Radio",J48)))</formula>
    </cfRule>
  </conditionalFormatting>
  <conditionalFormatting sqref="J576:J577">
    <cfRule type="containsText" dxfId="166" priority="3192" operator="containsText" text="domo">
      <formula>NOT(ISERROR(SEARCH("domo",J576)))</formula>
    </cfRule>
    <cfRule type="containsText" dxfId="165" priority="3191" operator="containsText" text="fija">
      <formula>NOT(ISERROR(SEARCH("fija",J576)))</formula>
    </cfRule>
  </conditionalFormatting>
  <conditionalFormatting sqref="J577">
    <cfRule type="containsText" dxfId="164" priority="3193" operator="containsText" text="Radio">
      <formula>NOT(ISERROR(SEARCH("Radio",J577)))</formula>
    </cfRule>
  </conditionalFormatting>
  <conditionalFormatting sqref="J577:J578">
    <cfRule type="containsText" dxfId="163" priority="3187" operator="containsText" text="domo">
      <formula>NOT(ISERROR(SEARCH("domo",J577)))</formula>
    </cfRule>
    <cfRule type="containsText" dxfId="162" priority="3186" operator="containsText" text="fija">
      <formula>NOT(ISERROR(SEARCH("fija",J577)))</formula>
    </cfRule>
  </conditionalFormatting>
  <conditionalFormatting sqref="J578">
    <cfRule type="containsText" dxfId="161" priority="3188" operator="containsText" text="Radio">
      <formula>NOT(ISERROR(SEARCH("Radio",J578)))</formula>
    </cfRule>
    <cfRule type="containsText" dxfId="160" priority="3184" operator="containsText" text="fija">
      <formula>NOT(ISERROR(SEARCH("fija",J578)))</formula>
    </cfRule>
    <cfRule type="containsText" dxfId="159" priority="3185" operator="containsText" text="domo">
      <formula>NOT(ISERROR(SEARCH("domo",J578)))</formula>
    </cfRule>
  </conditionalFormatting>
  <conditionalFormatting sqref="J580">
    <cfRule type="cellIs" dxfId="158" priority="603" operator="equal">
      <formula>$J$10</formula>
    </cfRule>
  </conditionalFormatting>
  <conditionalFormatting sqref="J581:J599 J1:J579 J681:J1048576">
    <cfRule type="cellIs" dxfId="157" priority="3266" operator="equal">
      <formula>$J$10</formula>
    </cfRule>
  </conditionalFormatting>
  <conditionalFormatting sqref="J583">
    <cfRule type="containsText" dxfId="156" priority="3482" operator="containsText" text="fija">
      <formula>NOT(ISERROR(SEARCH("fija",J583)))</formula>
    </cfRule>
    <cfRule type="containsText" dxfId="155" priority="3483" operator="containsText" text="domo">
      <formula>NOT(ISERROR(SEARCH("domo",J583)))</formula>
    </cfRule>
  </conditionalFormatting>
  <conditionalFormatting sqref="J586:J589">
    <cfRule type="containsText" dxfId="154" priority="3214" operator="containsText" text="fija">
      <formula>NOT(ISERROR(SEARCH("fija",J586)))</formula>
    </cfRule>
    <cfRule type="containsText" dxfId="153" priority="3215" operator="containsText" text="domo">
      <formula>NOT(ISERROR(SEARCH("domo",J586)))</formula>
    </cfRule>
  </conditionalFormatting>
  <conditionalFormatting sqref="J233:K233">
    <cfRule type="containsText" dxfId="152" priority="2773" operator="containsText" text="Radio">
      <formula>NOT(ISERROR(SEARCH("Radio",J233)))</formula>
    </cfRule>
  </conditionalFormatting>
  <conditionalFormatting sqref="J37:L47">
    <cfRule type="containsText" dxfId="151" priority="2743" operator="containsText" text="Radio">
      <formula>NOT(ISERROR(SEARCH("Radio",J37)))</formula>
    </cfRule>
  </conditionalFormatting>
  <conditionalFormatting sqref="J1:N36">
    <cfRule type="containsText" dxfId="150" priority="2808" operator="containsText" text="Radio">
      <formula>NOT(ISERROR(SEARCH("Radio",J1)))</formula>
    </cfRule>
  </conditionalFormatting>
  <conditionalFormatting sqref="J149:N161">
    <cfRule type="containsText" dxfId="149" priority="2746" operator="containsText" text="Radio">
      <formula>NOT(ISERROR(SEARCH("Radio",J149)))</formula>
    </cfRule>
  </conditionalFormatting>
  <conditionalFormatting sqref="J583:N583 K584">
    <cfRule type="containsText" dxfId="148" priority="3739" operator="containsText" text="Radio">
      <formula>NOT(ISERROR(SEARCH("Radio",J583)))</formula>
    </cfRule>
  </conditionalFormatting>
  <conditionalFormatting sqref="K1:K136 K162:K579 K681:K1048576">
    <cfRule type="cellIs" dxfId="147" priority="2811" operator="equal">
      <formula>"GPON"</formula>
    </cfRule>
    <cfRule type="cellIs" dxfId="146" priority="2812" operator="equal">
      <formula>"GPON"</formula>
    </cfRule>
  </conditionalFormatting>
  <conditionalFormatting sqref="K139">
    <cfRule type="cellIs" dxfId="145" priority="2804" operator="equal">
      <formula>"PTP A FO"</formula>
    </cfRule>
    <cfRule type="cellIs" dxfId="144" priority="2799" operator="equal">
      <formula>"GPON"</formula>
    </cfRule>
    <cfRule type="cellIs" dxfId="143" priority="2803" operator="equal">
      <formula>"PTP A FO"</formula>
    </cfRule>
    <cfRule type="containsText" dxfId="142" priority="2801" operator="containsText" text="Radio">
      <formula>NOT(ISERROR(SEARCH("Radio",K139)))</formula>
    </cfRule>
    <cfRule type="cellIs" dxfId="141" priority="2800" operator="equal">
      <formula>"GPON"</formula>
    </cfRule>
    <cfRule type="cellIs" dxfId="140" priority="2802" operator="equal">
      <formula>$K$13</formula>
    </cfRule>
  </conditionalFormatting>
  <conditionalFormatting sqref="K142:K149">
    <cfRule type="cellIs" dxfId="139" priority="2779" operator="equal">
      <formula>"PTP A FO"</formula>
    </cfRule>
    <cfRule type="cellIs" dxfId="138" priority="2777" operator="equal">
      <formula>$K$13</formula>
    </cfRule>
    <cfRule type="cellIs" dxfId="137" priority="2778" operator="equal">
      <formula>"PTP A FO"</formula>
    </cfRule>
    <cfRule type="containsText" dxfId="136" priority="2776" operator="containsText" text="Radio">
      <formula>NOT(ISERROR(SEARCH("Radio",K142)))</formula>
    </cfRule>
  </conditionalFormatting>
  <conditionalFormatting sqref="K142:K161">
    <cfRule type="cellIs" dxfId="135" priority="2744" operator="equal">
      <formula>"GPON"</formula>
    </cfRule>
    <cfRule type="cellIs" dxfId="134" priority="2745" operator="equal">
      <formula>"GPON"</formula>
    </cfRule>
  </conditionalFormatting>
  <conditionalFormatting sqref="K146:K147">
    <cfRule type="cellIs" dxfId="133" priority="2740" operator="equal">
      <formula>$K$13</formula>
    </cfRule>
    <cfRule type="containsText" dxfId="132" priority="2739" operator="containsText" text="Radio">
      <formula>NOT(ISERROR(SEARCH("Radio",K146)))</formula>
    </cfRule>
    <cfRule type="cellIs" dxfId="131" priority="2741" operator="equal">
      <formula>"PTP A FO"</formula>
    </cfRule>
    <cfRule type="cellIs" dxfId="130" priority="2742" operator="equal">
      <formula>"PTP A FO"</formula>
    </cfRule>
  </conditionalFormatting>
  <conditionalFormatting sqref="K233:K235">
    <cfRule type="cellIs" dxfId="129" priority="2790" operator="equal">
      <formula>$K$13</formula>
    </cfRule>
    <cfRule type="cellIs" dxfId="128" priority="2791" operator="equal">
      <formula>"PTP A FO"</formula>
    </cfRule>
    <cfRule type="cellIs" dxfId="127" priority="2792" operator="equal">
      <formula>"PTP A FO"</formula>
    </cfRule>
  </conditionalFormatting>
  <conditionalFormatting sqref="K234:K235">
    <cfRule type="cellIs" dxfId="126" priority="2786" operator="equal">
      <formula>$K$13</formula>
    </cfRule>
    <cfRule type="cellIs" dxfId="125" priority="2787" operator="equal">
      <formula>"PTP A FO"</formula>
    </cfRule>
    <cfRule type="cellIs" dxfId="124" priority="2788" operator="equal">
      <formula>"PTP A FO"</formula>
    </cfRule>
  </conditionalFormatting>
  <conditionalFormatting sqref="K424:K425">
    <cfRule type="containsText" dxfId="123" priority="2795" operator="containsText" text="Radio">
      <formula>NOT(ISERROR(SEARCH("Radio",K424)))</formula>
    </cfRule>
    <cfRule type="cellIs" dxfId="122" priority="2796" operator="equal">
      <formula>$K$13</formula>
    </cfRule>
    <cfRule type="cellIs" dxfId="121" priority="2798" operator="equal">
      <formula>"PTP A FO"</formula>
    </cfRule>
    <cfRule type="cellIs" dxfId="120" priority="2797" operator="equal">
      <formula>"PTP A FO"</formula>
    </cfRule>
  </conditionalFormatting>
  <conditionalFormatting sqref="K570">
    <cfRule type="containsText" dxfId="119" priority="2861" operator="containsText" text="Radio">
      <formula>NOT(ISERROR(SEARCH("Radio",K570)))</formula>
    </cfRule>
    <cfRule type="cellIs" dxfId="118" priority="2862" operator="equal">
      <formula>"PTP A FO"</formula>
    </cfRule>
  </conditionalFormatting>
  <conditionalFormatting sqref="K580:K599">
    <cfRule type="cellIs" dxfId="117" priority="599" operator="equal">
      <formula>"GPON"</formula>
    </cfRule>
    <cfRule type="cellIs" dxfId="116" priority="600" operator="equal">
      <formula>"GPON"</formula>
    </cfRule>
  </conditionalFormatting>
  <conditionalFormatting sqref="K1:L134 K135:K136 K162:L232 K236:L423 K424:K425 K426:L569 K583:L583 K584 K585:L599 K681:L1048576">
    <cfRule type="cellIs" dxfId="115" priority="3463" operator="equal">
      <formula>"PTP A FO"</formula>
    </cfRule>
  </conditionalFormatting>
  <conditionalFormatting sqref="K1:L134 K135:K136 K162:L232 K236:L423 K424:K425 K426:L579 K581:L599 K681:L1048576">
    <cfRule type="cellIs" dxfId="114" priority="3268" operator="equal">
      <formula>"PTP A FO"</formula>
    </cfRule>
  </conditionalFormatting>
  <conditionalFormatting sqref="K1:L134 K135:K136 K236:L423 K424:K425 K426:L579 K581:L599 K681:L1048576 K162:L232">
    <cfRule type="cellIs" dxfId="113" priority="3267" operator="equal">
      <formula>$K$13</formula>
    </cfRule>
  </conditionalFormatting>
  <conditionalFormatting sqref="K149:L161">
    <cfRule type="cellIs" dxfId="112" priority="2749" operator="equal">
      <formula>"PTP A FO"</formula>
    </cfRule>
    <cfRule type="cellIs" dxfId="111" priority="2747" operator="equal">
      <formula>$K$13</formula>
    </cfRule>
    <cfRule type="cellIs" dxfId="110" priority="2748" operator="equal">
      <formula>"PTP A FO"</formula>
    </cfRule>
  </conditionalFormatting>
  <conditionalFormatting sqref="K580:L580">
    <cfRule type="cellIs" dxfId="109" priority="605" operator="equal">
      <formula>"PTP A FO"</formula>
    </cfRule>
    <cfRule type="cellIs" dxfId="108" priority="604" operator="equal">
      <formula>$K$13</formula>
    </cfRule>
  </conditionalFormatting>
  <conditionalFormatting sqref="L148">
    <cfRule type="cellIs" dxfId="107" priority="2753" operator="equal">
      <formula>$K$13</formula>
    </cfRule>
    <cfRule type="cellIs" dxfId="106" priority="2754" operator="equal">
      <formula>"PTP A FO"</formula>
    </cfRule>
    <cfRule type="cellIs" dxfId="105" priority="2755" operator="equal">
      <formula>"PTP A FO"</formula>
    </cfRule>
  </conditionalFormatting>
  <conditionalFormatting sqref="R7:R397 R399:R599">
    <cfRule type="cellIs" dxfId="104" priority="3698" operator="lessThan">
      <formula>0.8</formula>
    </cfRule>
    <cfRule type="cellIs" dxfId="103" priority="3699" operator="greaterThan">
      <formula>0.8</formula>
    </cfRule>
  </conditionalFormatting>
  <conditionalFormatting sqref="S37:W38">
    <cfRule type="cellIs" dxfId="102" priority="1557" operator="equal">
      <formula>"APAGADO"</formula>
    </cfRule>
  </conditionalFormatting>
  <conditionalFormatting sqref="S426:W426 Y426:AV426">
    <cfRule type="cellIs" dxfId="101" priority="1496" operator="equal">
      <formula>"APAGADO"</formula>
    </cfRule>
  </conditionalFormatting>
  <conditionalFormatting sqref="S326:Z328">
    <cfRule type="cellIs" dxfId="100" priority="1101" operator="equal">
      <formula>"APAGADO"</formula>
    </cfRule>
  </conditionalFormatting>
  <conditionalFormatting sqref="S121:AA121">
    <cfRule type="cellIs" dxfId="99" priority="1589" operator="equal">
      <formula>"APAGADO"</formula>
    </cfRule>
  </conditionalFormatting>
  <conditionalFormatting sqref="S39:AT94">
    <cfRule type="cellIs" dxfId="98" priority="54" operator="equal">
      <formula>"APAGADO"</formula>
    </cfRule>
  </conditionalFormatting>
  <conditionalFormatting sqref="S96:AT120">
    <cfRule type="cellIs" dxfId="97" priority="56" operator="equal">
      <formula>"APAGADO"</formula>
    </cfRule>
  </conditionalFormatting>
  <conditionalFormatting sqref="S236:AT325">
    <cfRule type="cellIs" dxfId="96" priority="1" operator="equal">
      <formula>"APAGADO"</formula>
    </cfRule>
  </conditionalFormatting>
  <conditionalFormatting sqref="S329:AT351">
    <cfRule type="cellIs" dxfId="95" priority="35" operator="equal">
      <formula>"APAGADO"</formula>
    </cfRule>
  </conditionalFormatting>
  <conditionalFormatting sqref="S353:AT397">
    <cfRule type="cellIs" dxfId="94" priority="28" operator="equal">
      <formula>"APAGADO"</formula>
    </cfRule>
  </conditionalFormatting>
  <conditionalFormatting sqref="S399:AT402">
    <cfRule type="cellIs" dxfId="93" priority="27" operator="equal">
      <formula>"APAGADO"</formula>
    </cfRule>
  </conditionalFormatting>
  <conditionalFormatting sqref="S8:AV36">
    <cfRule type="cellIs" dxfId="92" priority="1843" operator="equal">
      <formula>"APAGADO"</formula>
    </cfRule>
  </conditionalFormatting>
  <conditionalFormatting sqref="S122:AV232">
    <cfRule type="cellIs" dxfId="91" priority="44" operator="equal">
      <formula>"APAGADO"</formula>
    </cfRule>
  </conditionalFormatting>
  <conditionalFormatting sqref="S409:AV416">
    <cfRule type="cellIs" dxfId="90" priority="23" operator="equal">
      <formula>"APAGADO"</formula>
    </cfRule>
  </conditionalFormatting>
  <conditionalFormatting sqref="S427:AV599">
    <cfRule type="cellIs" dxfId="89" priority="8" operator="equal">
      <formula>"APAGADO"</formula>
    </cfRule>
  </conditionalFormatting>
  <conditionalFormatting sqref="S681:AV757 AC681:AN1048576">
    <cfRule type="cellIs" dxfId="88" priority="2845" operator="equal">
      <formula>"apagado"</formula>
    </cfRule>
  </conditionalFormatting>
  <conditionalFormatting sqref="S681:AV1048576">
    <cfRule type="containsText" dxfId="87" priority="3395" operator="containsText" text="Caida">
      <formula>NOT(ISERROR(SEARCH("Caida",S681)))</formula>
    </cfRule>
    <cfRule type="notContainsText" dxfId="86" priority="3728" operator="notContains" text="Caida">
      <formula>ISERROR(SEARCH("Caida",S681))</formula>
    </cfRule>
  </conditionalFormatting>
  <conditionalFormatting sqref="U681:U1200">
    <cfRule type="cellIs" dxfId="85" priority="3050" operator="greaterThan">
      <formula>0.8</formula>
    </cfRule>
    <cfRule type="cellIs" dxfId="84" priority="3154" operator="equal">
      <formula>"APAGADO"</formula>
    </cfRule>
    <cfRule type="containsText" dxfId="83" priority="3025" operator="containsText" text="Caida">
      <formula>NOT(ISERROR(SEARCH("Caida",U681)))</formula>
    </cfRule>
    <cfRule type="notContainsText" dxfId="82" priority="3024" operator="notContains" text="Caida">
      <formula>ISERROR(SEARCH("Caida",U681))</formula>
    </cfRule>
    <cfRule type="cellIs" dxfId="81" priority="3026" operator="lessThan">
      <formula>0.8</formula>
    </cfRule>
    <cfRule type="cellIs" dxfId="80" priority="3027" operator="greaterThan">
      <formula>0.8</formula>
    </cfRule>
  </conditionalFormatting>
  <conditionalFormatting sqref="U681:U1048576">
    <cfRule type="cellIs" dxfId="79" priority="3044" operator="equal">
      <formula>$U$16</formula>
    </cfRule>
  </conditionalFormatting>
  <conditionalFormatting sqref="U417:AV423">
    <cfRule type="cellIs" dxfId="78" priority="145" operator="equal">
      <formula>"APAGADO"</formula>
    </cfRule>
  </conditionalFormatting>
  <conditionalFormatting sqref="V234:W234">
    <cfRule type="cellIs" dxfId="77" priority="1569" operator="equal">
      <formula>"APAGADO"</formula>
    </cfRule>
  </conditionalFormatting>
  <conditionalFormatting sqref="V408:AG408">
    <cfRule type="cellIs" dxfId="76" priority="1537" operator="equal">
      <formula>"APAGADO"</formula>
    </cfRule>
  </conditionalFormatting>
  <conditionalFormatting sqref="X425:X426">
    <cfRule type="cellIs" dxfId="75" priority="1425" operator="equal">
      <formula>"APAGADO"</formula>
    </cfRule>
  </conditionalFormatting>
  <conditionalFormatting sqref="X406:Z407">
    <cfRule type="cellIs" dxfId="74" priority="1144" operator="equal">
      <formula>"APAGADO"</formula>
    </cfRule>
  </conditionalFormatting>
  <conditionalFormatting sqref="X37:AJ37 S95:AM95 AO95:AT95 AF233:AF235 AA328 S352:AH352 AJ352:AT352 T403:U403 S403:S408 T404:T407 U404:U408 S408:T408 S417:T425 AO681:AV1048576">
    <cfRule type="cellIs" dxfId="73" priority="2844" operator="equal">
      <formula>"APAGADO"</formula>
    </cfRule>
  </conditionalFormatting>
  <conditionalFormatting sqref="X38:AK38">
    <cfRule type="cellIs" dxfId="72" priority="2621" operator="equal">
      <formula>"APAGADO"</formula>
    </cfRule>
  </conditionalFormatting>
  <conditionalFormatting sqref="Y425:Z425">
    <cfRule type="cellIs" dxfId="71" priority="1138" operator="equal">
      <formula>"APAGADO"</formula>
    </cfRule>
  </conditionalFormatting>
  <conditionalFormatting sqref="Y398:AT398">
    <cfRule type="cellIs" dxfId="70" priority="1145" operator="equal">
      <formula>"APAGADO"</formula>
    </cfRule>
  </conditionalFormatting>
  <conditionalFormatting sqref="AA326:AB327">
    <cfRule type="cellIs" dxfId="69" priority="1488" operator="equal">
      <formula>"APAGADO"</formula>
    </cfRule>
  </conditionalFormatting>
  <conditionalFormatting sqref="AC407:AG407">
    <cfRule type="cellIs" dxfId="68" priority="658" operator="equal">
      <formula>"APAGADO"</formula>
    </cfRule>
  </conditionalFormatting>
  <conditionalFormatting sqref="AC425:AG425">
    <cfRule type="cellIs" dxfId="67" priority="657" operator="equal">
      <formula>"APAGADO"</formula>
    </cfRule>
  </conditionalFormatting>
  <conditionalFormatting sqref="AC326:AT328">
    <cfRule type="cellIs" dxfId="66" priority="2" operator="equal">
      <formula>"APAGADO"</formula>
    </cfRule>
  </conditionalFormatting>
  <conditionalFormatting sqref="AC121:AV121">
    <cfRule type="cellIs" dxfId="65" priority="1757" operator="equal">
      <formula>"APAGADO"</formula>
    </cfRule>
  </conditionalFormatting>
  <conditionalFormatting sqref="AD406:AG406">
    <cfRule type="cellIs" dxfId="64" priority="957" operator="equal">
      <formula>"APAGADO"</formula>
    </cfRule>
  </conditionalFormatting>
  <conditionalFormatting sqref="AH234:AI234">
    <cfRule type="cellIs" dxfId="63" priority="2626" operator="equal">
      <formula>"APAGADO"</formula>
    </cfRule>
  </conditionalFormatting>
  <conditionalFormatting sqref="AH406:AI408">
    <cfRule type="cellIs" dxfId="62" priority="2590" operator="equal">
      <formula>"APAGADO"</formula>
    </cfRule>
  </conditionalFormatting>
  <conditionalFormatting sqref="AJ425:AN425">
    <cfRule type="cellIs" dxfId="61" priority="220" operator="equal">
      <formula>"APAGADO"</formula>
    </cfRule>
  </conditionalFormatting>
  <conditionalFormatting sqref="AJ407:AP407">
    <cfRule type="cellIs" dxfId="60" priority="225" operator="equal">
      <formula>"APAGADO"</formula>
    </cfRule>
  </conditionalFormatting>
  <conditionalFormatting sqref="AJ408:AU408">
    <cfRule type="cellIs" dxfId="59" priority="385" operator="equal">
      <formula>"APAGADO"</formula>
    </cfRule>
  </conditionalFormatting>
  <conditionalFormatting sqref="AL234:AP234">
    <cfRule type="cellIs" dxfId="58" priority="2167" operator="equal">
      <formula>"APAGADO"</formula>
    </cfRule>
  </conditionalFormatting>
  <conditionalFormatting sqref="AL406:AP406">
    <cfRule type="cellIs" dxfId="57" priority="2148" operator="equal">
      <formula>"APAGADO"</formula>
    </cfRule>
  </conditionalFormatting>
  <conditionalFormatting sqref="AL37:AV38">
    <cfRule type="cellIs" dxfId="56" priority="1764" operator="equal">
      <formula>"APAGADO"</formula>
    </cfRule>
  </conditionalFormatting>
  <conditionalFormatting sqref="AR407:AT407">
    <cfRule type="cellIs" dxfId="55" priority="26" operator="equal">
      <formula>"APAGADO"</formula>
    </cfRule>
  </conditionalFormatting>
  <conditionalFormatting sqref="AR425:AT425">
    <cfRule type="cellIs" dxfId="54" priority="21" operator="equal">
      <formula>"APAGADO"</formula>
    </cfRule>
  </conditionalFormatting>
  <conditionalFormatting sqref="AR234:AV234">
    <cfRule type="cellIs" dxfId="53" priority="1738" operator="equal">
      <formula>"APAGADO"</formula>
    </cfRule>
  </conditionalFormatting>
  <conditionalFormatting sqref="AU39:AV120">
    <cfRule type="cellIs" dxfId="52" priority="1758" operator="equal">
      <formula>"APAGADO"</formula>
    </cfRule>
  </conditionalFormatting>
  <conditionalFormatting sqref="AU236:AV402">
    <cfRule type="cellIs" dxfId="51" priority="1687" operator="equal">
      <formula>"APAGADO"</formula>
    </cfRule>
  </conditionalFormatting>
  <conditionalFormatting sqref="AV406:AV408">
    <cfRule type="cellIs" dxfId="50" priority="1706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1280</v>
      </c>
      <c r="D1" s="29">
        <f>COUNTIFS(A5:A602,"=paradas seguras")/2</f>
        <v>0</v>
      </c>
      <c r="E1" s="77" t="s">
        <v>1281</v>
      </c>
      <c r="F1" s="77"/>
      <c r="G1" s="77"/>
      <c r="H1" s="78">
        <f>COUNTIFS(A5:A602,"=paradas seguras")</f>
        <v>0</v>
      </c>
      <c r="I1" s="79" t="s">
        <v>1282</v>
      </c>
      <c r="J1" s="79"/>
      <c r="K1" s="80">
        <f>COUNTIFS(D5:D602,"=GFIJA")</f>
        <v>0</v>
      </c>
      <c r="L1" s="81" t="s">
        <v>1283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46143</v>
      </c>
      <c r="G4" s="11">
        <f>'RESUMEN TOTAL'!T7</f>
        <v>46144</v>
      </c>
      <c r="H4" s="11">
        <f>'RESUMEN TOTAL'!U7</f>
        <v>46145</v>
      </c>
      <c r="I4" s="11">
        <f>'RESUMEN TOTAL'!V7</f>
        <v>46146</v>
      </c>
      <c r="J4" s="11">
        <f>'RESUMEN TOTAL'!W7</f>
        <v>46147</v>
      </c>
      <c r="K4" s="11">
        <f>'RESUMEN TOTAL'!X7</f>
        <v>46148</v>
      </c>
      <c r="L4" s="11">
        <f>'RESUMEN TOTAL'!Y7</f>
        <v>46149</v>
      </c>
      <c r="M4" s="11">
        <f>'RESUMEN TOTAL'!Z7</f>
        <v>46150</v>
      </c>
      <c r="N4" s="11">
        <f>'RESUMEN TOTAL'!AA7</f>
        <v>46151</v>
      </c>
      <c r="O4" s="11">
        <f>'RESUMEN TOTAL'!AB7</f>
        <v>46152</v>
      </c>
      <c r="P4" s="11">
        <f>'RESUMEN TOTAL'!AC7</f>
        <v>46153</v>
      </c>
      <c r="Q4" s="11">
        <f>'RESUMEN TOTAL'!AD7</f>
        <v>46154</v>
      </c>
      <c r="R4" s="11">
        <f>'RESUMEN TOTAL'!AE7</f>
        <v>46155</v>
      </c>
      <c r="S4" s="11">
        <f>'RESUMEN TOTAL'!AF7</f>
        <v>46156</v>
      </c>
      <c r="T4" s="11">
        <f>'RESUMEN TOTAL'!AG7</f>
        <v>46157</v>
      </c>
      <c r="U4" s="11">
        <f>'RESUMEN TOTAL'!AH7</f>
        <v>46158</v>
      </c>
      <c r="V4" s="11">
        <f>'RESUMEN TOTAL'!AI7</f>
        <v>46159</v>
      </c>
      <c r="W4" s="11">
        <f>'RESUMEN TOTAL'!AJ7</f>
        <v>46160</v>
      </c>
      <c r="X4" s="11">
        <f>'RESUMEN TOTAL'!AK7</f>
        <v>46161</v>
      </c>
      <c r="Y4" s="11">
        <f>'RESUMEN TOTAL'!AL7</f>
        <v>46162</v>
      </c>
      <c r="Z4" s="11">
        <f>'RESUMEN TOTAL'!AM7</f>
        <v>46163</v>
      </c>
      <c r="AA4" s="11">
        <f>'RESUMEN TOTAL'!AN7</f>
        <v>46164</v>
      </c>
      <c r="AB4" s="11">
        <f>'RESUMEN TOTAL'!AO7</f>
        <v>46165</v>
      </c>
      <c r="AC4" s="11">
        <f>'RESUMEN TOTAL'!AP7</f>
        <v>46166</v>
      </c>
      <c r="AD4" s="11">
        <f>'RESUMEN TOTAL'!AQ7</f>
        <v>46167</v>
      </c>
      <c r="AE4" s="11">
        <f>'RESUMEN TOTAL'!AR7</f>
        <v>46168</v>
      </c>
      <c r="AF4" s="11">
        <f>'RESUMEN TOTAL'!AS7</f>
        <v>46169</v>
      </c>
      <c r="AG4" s="11">
        <f>'RESUMEN TOTAL'!AT7</f>
        <v>46170</v>
      </c>
      <c r="AH4" s="11">
        <f>'RESUMEN TOTAL'!AU7</f>
        <v>46171</v>
      </c>
      <c r="AI4" s="11">
        <f>'RESUMEN TOTAL'!AV7</f>
        <v>46172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 t="str">
        <f>'RESUMEN TOTAL'!V11</f>
        <v>APAGADO</v>
      </c>
      <c r="J8" s="70" t="str">
        <f>'RESUMEN TOTAL'!W11</f>
        <v>APAGADO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 t="str">
        <f>'RESUMEN TOTAL'!V12</f>
        <v>APAGADO</v>
      </c>
      <c r="J9" s="70" t="str">
        <f>'RESUMEN TOTAL'!W12</f>
        <v>APAGADO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 t="str">
        <f>'RESUMEN TOTAL'!X22</f>
        <v>APAGADO</v>
      </c>
      <c r="L17" s="70" t="str">
        <f>'RESUMEN TOTAL'!Y22</f>
        <v>APAGADO</v>
      </c>
      <c r="M17" s="70" t="str">
        <f>'RESUMEN TOTAL'!Z22</f>
        <v>APAGADO</v>
      </c>
      <c r="N17" s="70">
        <f>'RESUMEN TOTAL'!AA22</f>
        <v>0</v>
      </c>
      <c r="O17" s="70">
        <f>'RESUMEN TOTAL'!AB22</f>
        <v>0</v>
      </c>
      <c r="P17" s="70" t="str">
        <f>'RESUMEN TOTAL'!AC22</f>
        <v>APAGADO</v>
      </c>
      <c r="Q17" s="70" t="str">
        <f>'RESUMEN TOTAL'!AD22</f>
        <v>APAGADO</v>
      </c>
      <c r="R17" s="70" t="str">
        <f>'RESUMEN TOTAL'!AE22</f>
        <v>APAGADO</v>
      </c>
      <c r="S17" s="70" t="str">
        <f>'RESUMEN TOTAL'!AF22</f>
        <v>APAGADO</v>
      </c>
      <c r="T17" s="70" t="str">
        <f>'RESUMEN TOTAL'!AG22</f>
        <v>APAGADO</v>
      </c>
      <c r="U17" s="70">
        <f>'RESUMEN TOTAL'!AH22</f>
        <v>0</v>
      </c>
      <c r="V17" s="70">
        <f>'RESUMEN TOTAL'!AI22</f>
        <v>0</v>
      </c>
      <c r="W17" s="70" t="str">
        <f>'RESUMEN TOTAL'!AJ22</f>
        <v>APAGADO</v>
      </c>
      <c r="X17" s="70" t="str">
        <f>'RESUMEN TOTAL'!AK22</f>
        <v>APAGADO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 t="str">
        <f>'RESUMEN TOTAL'!X23</f>
        <v>APAGADO</v>
      </c>
      <c r="L18" s="70" t="str">
        <f>'RESUMEN TOTAL'!Y23</f>
        <v>APAGADO</v>
      </c>
      <c r="M18" s="70" t="str">
        <f>'RESUMEN TOTAL'!Z23</f>
        <v>APAGADO</v>
      </c>
      <c r="N18" s="70">
        <f>'RESUMEN TOTAL'!AA23</f>
        <v>0</v>
      </c>
      <c r="O18" s="70">
        <f>'RESUMEN TOTAL'!AB23</f>
        <v>0</v>
      </c>
      <c r="P18" s="70" t="str">
        <f>'RESUMEN TOTAL'!AC23</f>
        <v>APAGADO</v>
      </c>
      <c r="Q18" s="70" t="str">
        <f>'RESUMEN TOTAL'!AD23</f>
        <v>APAGADO</v>
      </c>
      <c r="R18" s="70" t="str">
        <f>'RESUMEN TOTAL'!AE23</f>
        <v>APAGADO</v>
      </c>
      <c r="S18" s="70" t="str">
        <f>'RESUMEN TOTAL'!AF23</f>
        <v>APAGADO</v>
      </c>
      <c r="T18" s="70" t="str">
        <f>'RESUMEN TOTAL'!AG23</f>
        <v>APAGADO</v>
      </c>
      <c r="U18" s="70">
        <f>'RESUMEN TOTAL'!AH23</f>
        <v>0</v>
      </c>
      <c r="V18" s="70">
        <f>'RESUMEN TOTAL'!AI23</f>
        <v>0</v>
      </c>
      <c r="W18" s="70" t="str">
        <f>'RESUMEN TOTAL'!AJ23</f>
        <v>APAGADO</v>
      </c>
      <c r="X18" s="70" t="str">
        <f>'RESUMEN TOTAL'!AK23</f>
        <v>APAGADO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 t="str">
        <f>'RESUMEN TOTAL'!AT24</f>
        <v>APAGADO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 t="str">
        <f>'RESUMEN TOTAL'!AR29</f>
        <v>APAGADO</v>
      </c>
      <c r="AF24" s="70" t="str">
        <f>'RESUMEN TOTAL'!AS29</f>
        <v>APAGADO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 t="str">
        <f>'RESUMEN TOTAL'!V48</f>
        <v>APAGADO</v>
      </c>
      <c r="J25" s="70" t="str">
        <f>'RESUMEN TOTAL'!W48</f>
        <v>APAGADO</v>
      </c>
      <c r="K25" s="70" t="str">
        <f>'RESUMEN TOTAL'!X48</f>
        <v>APAGADO</v>
      </c>
      <c r="L25" s="70" t="str">
        <f>'RESUMEN TOTAL'!Y48</f>
        <v>APAGADO</v>
      </c>
      <c r="M25" s="70" t="str">
        <f>'RESUMEN TOTAL'!Z48</f>
        <v>APAGADO</v>
      </c>
      <c r="N25" s="70">
        <f>'RESUMEN TOTAL'!AA48</f>
        <v>0</v>
      </c>
      <c r="O25" s="70">
        <f>'RESUMEN TOTAL'!AB48</f>
        <v>0</v>
      </c>
      <c r="P25" s="70" t="str">
        <f>'RESUMEN TOTAL'!AC48</f>
        <v>APAGADO</v>
      </c>
      <c r="Q25" s="70" t="str">
        <f>'RESUMEN TOTAL'!AD48</f>
        <v>APAGADO</v>
      </c>
      <c r="R25" s="70" t="str">
        <f>'RESUMEN TOTAL'!AE48</f>
        <v>APAGADO</v>
      </c>
      <c r="S25" s="70" t="str">
        <f>'RESUMEN TOTAL'!AF48</f>
        <v>APAGADO</v>
      </c>
      <c r="T25" s="70" t="str">
        <f>'RESUMEN TOTAL'!AG48</f>
        <v>APAGADO</v>
      </c>
      <c r="U25" s="70">
        <f>'RESUMEN TOTAL'!AH48</f>
        <v>0</v>
      </c>
      <c r="V25" s="70">
        <f>'RESUMEN TOTAL'!AI48</f>
        <v>0</v>
      </c>
      <c r="W25" s="70" t="str">
        <f>'RESUMEN TOTAL'!AJ48</f>
        <v>APAGADO</v>
      </c>
      <c r="X25" s="70" t="str">
        <f>'RESUMEN TOTAL'!AK48</f>
        <v>APAGADO</v>
      </c>
      <c r="Y25" s="70" t="str">
        <f>'RESUMEN TOTAL'!AL48</f>
        <v>APAGADO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 t="str">
        <f>'RESUMEN TOTAL'!V51</f>
        <v>APAGADO</v>
      </c>
      <c r="J28" s="70" t="str">
        <f>'RESUMEN TOTAL'!W51</f>
        <v>APAGADO</v>
      </c>
      <c r="K28" s="70" t="str">
        <f>'RESUMEN TOTAL'!X51</f>
        <v>APAGADO</v>
      </c>
      <c r="L28" s="70" t="str">
        <f>'RESUMEN TOTAL'!Y51</f>
        <v>APAGADO</v>
      </c>
      <c r="M28" s="70" t="str">
        <f>'RESUMEN TOTAL'!Z51</f>
        <v>APAGADO</v>
      </c>
      <c r="N28" s="70">
        <f>'RESUMEN TOTAL'!AA51</f>
        <v>0</v>
      </c>
      <c r="O28" s="70">
        <f>'RESUMEN TOTAL'!AB51</f>
        <v>0</v>
      </c>
      <c r="P28" s="70" t="str">
        <f>'RESUMEN TOTAL'!AC51</f>
        <v>APAGADO</v>
      </c>
      <c r="Q28" s="70" t="str">
        <f>'RESUMEN TOTAL'!AD51</f>
        <v>APAGADO</v>
      </c>
      <c r="R28" s="70" t="str">
        <f>'RESUMEN TOTAL'!AE51</f>
        <v>APAGADO</v>
      </c>
      <c r="S28" s="70" t="str">
        <f>'RESUMEN TOTAL'!AF51</f>
        <v>APAGADO</v>
      </c>
      <c r="T28" s="70" t="str">
        <f>'RESUMEN TOTAL'!AG51</f>
        <v>APAGADO</v>
      </c>
      <c r="U28" s="70">
        <f>'RESUMEN TOTAL'!AH51</f>
        <v>0</v>
      </c>
      <c r="V28" s="70">
        <f>'RESUMEN TOTAL'!AI51</f>
        <v>0</v>
      </c>
      <c r="W28" s="70" t="str">
        <f>'RESUMEN TOTAL'!AJ51</f>
        <v>APAGADO</v>
      </c>
      <c r="X28" s="70" t="str">
        <f>'RESUMEN TOTAL'!AK51</f>
        <v>APAGADO</v>
      </c>
      <c r="Y28" s="70" t="str">
        <f>'RESUMEN TOTAL'!AL51</f>
        <v>APAGADO</v>
      </c>
      <c r="Z28" s="70" t="str">
        <f>'RESUMEN TOTAL'!AM51</f>
        <v>APAGADO</v>
      </c>
      <c r="AA28" s="70" t="str">
        <f>'RESUMEN TOTAL'!AN51</f>
        <v>APAGADO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 t="str">
        <f>'RESUMEN TOTAL'!AR51</f>
        <v>APAGADO</v>
      </c>
      <c r="AF28" s="70" t="str">
        <f>'RESUMEN TOTAL'!AS51</f>
        <v>APAGADO</v>
      </c>
      <c r="AG28" s="70" t="str">
        <f>'RESUMEN TOTAL'!AT51</f>
        <v>APAGADO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 t="str">
        <f>'RESUMEN TOTAL'!AN55</f>
        <v>APAGADO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 t="str">
        <f>'RESUMEN TOTAL'!AR55</f>
        <v>APAGADO</v>
      </c>
      <c r="AF32" s="70" t="str">
        <f>'RESUMEN TOTAL'!AS55</f>
        <v>APAGADO</v>
      </c>
      <c r="AG32" s="70" t="str">
        <f>'RESUMEN TOTAL'!AT55</f>
        <v>APAGADO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 t="str">
        <f>'RESUMEN TOTAL'!AF62</f>
        <v>APAGADO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 t="str">
        <f>'RESUMEN TOTAL'!AJ62</f>
        <v>APAGADO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 t="str">
        <f>'RESUMEN TOTAL'!V69</f>
        <v>APAGADO</v>
      </c>
      <c r="J46" s="70" t="str">
        <f>'RESUMEN TOTAL'!W69</f>
        <v>APAGADO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 t="str">
        <f>'RESUMEN TOTAL'!AD69</f>
        <v>APAGADO</v>
      </c>
      <c r="R46" s="70">
        <f>'RESUMEN TOTAL'!AE69</f>
        <v>0</v>
      </c>
      <c r="S46" s="70">
        <f>'RESUMEN TOTAL'!AF69</f>
        <v>0</v>
      </c>
      <c r="T46" s="70" t="str">
        <f>'RESUMEN TOTAL'!AG69</f>
        <v>APAGADO</v>
      </c>
      <c r="U46" s="70">
        <f>'RESUMEN TOTAL'!AH69</f>
        <v>0</v>
      </c>
      <c r="V46" s="70">
        <f>'RESUMEN TOTAL'!AI69</f>
        <v>0</v>
      </c>
      <c r="W46" s="70" t="str">
        <f>'RESUMEN TOTAL'!AJ69</f>
        <v>APAGADO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 t="str">
        <f>'RESUMEN TOTAL'!AG70</f>
        <v>APAGADO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 t="str">
        <f>'RESUMEN TOTAL'!W71</f>
        <v>APAGADO</v>
      </c>
      <c r="K48" s="70" t="str">
        <f>'RESUMEN TOTAL'!X71</f>
        <v>APAGADO</v>
      </c>
      <c r="L48" s="70" t="str">
        <f>'RESUMEN TOTAL'!Y71</f>
        <v>APAGADO</v>
      </c>
      <c r="M48" s="70" t="str">
        <f>'RESUMEN TOTAL'!Z71</f>
        <v>APAGADO</v>
      </c>
      <c r="N48" s="70">
        <f>'RESUMEN TOTAL'!AA71</f>
        <v>0</v>
      </c>
      <c r="O48" s="70">
        <f>'RESUMEN TOTAL'!AB71</f>
        <v>0</v>
      </c>
      <c r="P48" s="70" t="str">
        <f>'RESUMEN TOTAL'!AC71</f>
        <v>APAGADO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 t="str">
        <f>'RESUMEN TOTAL'!AR71</f>
        <v>APAGADO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 t="str">
        <f>'RESUMEN TOTAL'!AC75</f>
        <v>APAGADO</v>
      </c>
      <c r="Q52" s="70" t="str">
        <f>'RESUMEN TOTAL'!AD75</f>
        <v>APAGADO</v>
      </c>
      <c r="R52" s="70" t="str">
        <f>'RESUMEN TOTAL'!AE75</f>
        <v>APAGADO</v>
      </c>
      <c r="S52" s="70" t="str">
        <f>'RESUMEN TOTAL'!AF75</f>
        <v>APAGADO</v>
      </c>
      <c r="T52" s="70" t="str">
        <f>'RESUMEN TOTAL'!AG75</f>
        <v>APAGADO</v>
      </c>
      <c r="U52" s="70">
        <f>'RESUMEN TOTAL'!AH75</f>
        <v>0</v>
      </c>
      <c r="V52" s="70">
        <f>'RESUMEN TOTAL'!AI75</f>
        <v>0</v>
      </c>
      <c r="W52" s="70" t="str">
        <f>'RESUMEN TOTAL'!AJ75</f>
        <v>APAGADO</v>
      </c>
      <c r="X52" s="70" t="str">
        <f>'RESUMEN TOTAL'!AK75</f>
        <v>APAGADO</v>
      </c>
      <c r="Y52" s="70" t="str">
        <f>'RESUMEN TOTAL'!AL75</f>
        <v>APAGADO</v>
      </c>
      <c r="Z52" s="70" t="str">
        <f>'RESUMEN TOTAL'!AM75</f>
        <v>APAGADO</v>
      </c>
      <c r="AA52" s="70" t="str">
        <f>'RESUMEN TOTAL'!AN75</f>
        <v>APAGADO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 t="str">
        <f>'RESUMEN TOTAL'!AR75</f>
        <v>APAGADO</v>
      </c>
      <c r="AF52" s="70" t="str">
        <f>'RESUMEN TOTAL'!AS75</f>
        <v>APAGADO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>
        <f>'RESUMEN TOTAL'!S77</f>
        <v>0</v>
      </c>
      <c r="G54" s="70">
        <f>'RESUMEN TOTAL'!T77</f>
        <v>0</v>
      </c>
      <c r="H54" s="70">
        <f>'RESUMEN TOTAL'!U77</f>
        <v>0</v>
      </c>
      <c r="I54" s="70" t="str">
        <f>'RESUMEN TOTAL'!V77</f>
        <v>APAGADO</v>
      </c>
      <c r="J54" s="70">
        <f>'RESUMEN TOTAL'!W77</f>
        <v>0</v>
      </c>
      <c r="K54" s="70">
        <f>'RESUMEN TOTAL'!X77</f>
        <v>0</v>
      </c>
      <c r="L54" s="70" t="str">
        <f>'RESUMEN TOTAL'!Y77</f>
        <v>APAGADO</v>
      </c>
      <c r="M54" s="70" t="str">
        <f>'RESUMEN TOTAL'!Z77</f>
        <v>APAGADO</v>
      </c>
      <c r="N54" s="70">
        <f>'RESUMEN TOTAL'!AA77</f>
        <v>0</v>
      </c>
      <c r="O54" s="70">
        <f>'RESUMEN TOTAL'!AB77</f>
        <v>0</v>
      </c>
      <c r="P54" s="70" t="str">
        <f>'RESUMEN TOTAL'!AC77</f>
        <v>APAGADO</v>
      </c>
      <c r="Q54" s="70">
        <f>'RESUMEN TOTAL'!AD77</f>
        <v>0</v>
      </c>
      <c r="R54" s="70" t="str">
        <f>'RESUMEN TOTAL'!AE77</f>
        <v>APAGADO</v>
      </c>
      <c r="S54" s="70" t="str">
        <f>'RESUMEN TOTAL'!AF77</f>
        <v>APAGADO</v>
      </c>
      <c r="T54" s="70" t="str">
        <f>'RESUMEN TOTAL'!AG77</f>
        <v>APAGADO</v>
      </c>
      <c r="U54" s="70">
        <f>'RESUMEN TOTAL'!AH77</f>
        <v>0</v>
      </c>
      <c r="V54" s="70">
        <f>'RESUMEN TOTAL'!AI77</f>
        <v>0</v>
      </c>
      <c r="W54" s="70" t="str">
        <f>'RESUMEN TOTAL'!AJ77</f>
        <v>APAGADO</v>
      </c>
      <c r="X54" s="70" t="str">
        <f>'RESUMEN TOTAL'!AK77</f>
        <v>APAGADO</v>
      </c>
      <c r="Y54" s="70" t="str">
        <f>'RESUMEN TOTAL'!AL77</f>
        <v>APAGADO</v>
      </c>
      <c r="Z54" s="70" t="str">
        <f>'RESUMEN TOTAL'!AM77</f>
        <v>APAGADO</v>
      </c>
      <c r="AA54" s="70" t="str">
        <f>'RESUMEN TOTAL'!AN77</f>
        <v>APAGADO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 t="str">
        <f>'RESUMEN TOTAL'!AR77</f>
        <v>APAGADO</v>
      </c>
      <c r="AF54" s="70" t="str">
        <f>'RESUMEN TOTAL'!AS77</f>
        <v>APAGADO</v>
      </c>
      <c r="AG54" s="70" t="str">
        <f>'RESUMEN TOTAL'!AT77</f>
        <v>APAGADO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 t="str">
        <f>'RESUMEN TOTAL'!V82</f>
        <v>APAGADO</v>
      </c>
      <c r="J59" s="70" t="str">
        <f>'RESUMEN TOTAL'!W82</f>
        <v>APAGADO</v>
      </c>
      <c r="K59" s="70" t="str">
        <f>'RESUMEN TOTAL'!X82</f>
        <v>APAGADO</v>
      </c>
      <c r="L59" s="70" t="str">
        <f>'RESUMEN TOTAL'!Y82</f>
        <v>APAGADO</v>
      </c>
      <c r="M59" s="70" t="str">
        <f>'RESUMEN TOTAL'!Z82</f>
        <v>APAGADO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 t="str">
        <f>'RESUMEN TOTAL'!AC87</f>
        <v>APAGADO</v>
      </c>
      <c r="Q64" s="70" t="str">
        <f>'RESUMEN TOTAL'!AD87</f>
        <v>APAGADO</v>
      </c>
      <c r="R64" s="70" t="str">
        <f>'RESUMEN TOTAL'!AE87</f>
        <v>APAGADO</v>
      </c>
      <c r="S64" s="70" t="str">
        <f>'RESUMEN TOTAL'!AF87</f>
        <v>APAGADO</v>
      </c>
      <c r="T64" s="70" t="str">
        <f>'RESUMEN TOTAL'!AG87</f>
        <v>APAGADO</v>
      </c>
      <c r="U64" s="70">
        <f>'RESUMEN TOTAL'!AH87</f>
        <v>0</v>
      </c>
      <c r="V64" s="70">
        <f>'RESUMEN TOTAL'!AI87</f>
        <v>0</v>
      </c>
      <c r="W64" s="70" t="str">
        <f>'RESUMEN TOTAL'!AJ87</f>
        <v>APAGADO</v>
      </c>
      <c r="X64" s="70" t="str">
        <f>'RESUMEN TOTAL'!AK87</f>
        <v>APAGADO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 t="str">
        <f>'RESUMEN TOTAL'!V92</f>
        <v>APAGADO</v>
      </c>
      <c r="J69" s="70" t="str">
        <f>'RESUMEN TOTAL'!W92</f>
        <v>APAGADO</v>
      </c>
      <c r="K69" s="70" t="str">
        <f>'RESUMEN TOTAL'!X92</f>
        <v>APAGADO</v>
      </c>
      <c r="L69" s="70" t="str">
        <f>'RESUMEN TOTAL'!Y92</f>
        <v>APAGADO</v>
      </c>
      <c r="M69" s="70" t="str">
        <f>'RESUMEN TOTAL'!Z92</f>
        <v>APAGADO</v>
      </c>
      <c r="N69" s="70">
        <f>'RESUMEN TOTAL'!AA92</f>
        <v>0</v>
      </c>
      <c r="O69" s="70">
        <f>'RESUMEN TOTAL'!AB92</f>
        <v>0</v>
      </c>
      <c r="P69" s="70" t="str">
        <f>'RESUMEN TOTAL'!AC92</f>
        <v>APAGADO</v>
      </c>
      <c r="Q69" s="70" t="str">
        <f>'RESUMEN TOTAL'!AD92</f>
        <v>APAGADO</v>
      </c>
      <c r="R69" s="70" t="str">
        <f>'RESUMEN TOTAL'!AE92</f>
        <v>APAGADO</v>
      </c>
      <c r="S69" s="70" t="str">
        <f>'RESUMEN TOTAL'!AF92</f>
        <v>APAGADO</v>
      </c>
      <c r="T69" s="70" t="str">
        <f>'RESUMEN TOTAL'!AG92</f>
        <v>APAGADO</v>
      </c>
      <c r="U69" s="70">
        <f>'RESUMEN TOTAL'!AH92</f>
        <v>0</v>
      </c>
      <c r="V69" s="70">
        <f>'RESUMEN TOTAL'!AI92</f>
        <v>0</v>
      </c>
      <c r="W69" s="70" t="str">
        <f>'RESUMEN TOTAL'!AJ92</f>
        <v>APAGADO</v>
      </c>
      <c r="X69" s="70" t="str">
        <f>'RESUMEN TOTAL'!AK92</f>
        <v>APAGADO</v>
      </c>
      <c r="Y69" s="70" t="str">
        <f>'RESUMEN TOTAL'!AL92</f>
        <v>APAGADO</v>
      </c>
      <c r="Z69" s="70" t="str">
        <f>'RESUMEN TOTAL'!AM92</f>
        <v>APAGADO</v>
      </c>
      <c r="AA69" s="70" t="str">
        <f>'RESUMEN TOTAL'!AN92</f>
        <v>APAGADO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 t="str">
        <f>'RESUMEN TOTAL'!AR92</f>
        <v>APAGADO</v>
      </c>
      <c r="AF69" s="70" t="str">
        <f>'RESUMEN TOTAL'!AS92</f>
        <v>APAGADO</v>
      </c>
      <c r="AG69" s="70" t="str">
        <f>'RESUMEN TOTAL'!AT92</f>
        <v>APAGADO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 t="str">
        <f>'RESUMEN TOTAL'!AL105</f>
        <v>APAGADO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>
        <f>'RESUMEN TOTAL'!S110</f>
        <v>0</v>
      </c>
      <c r="G87" s="70">
        <f>'RESUMEN TOTAL'!T110</f>
        <v>0</v>
      </c>
      <c r="H87" s="70">
        <f>'RESUMEN TOTAL'!U110</f>
        <v>0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 t="str">
        <f>'RESUMEN TOTAL'!AD110</f>
        <v>APAGADO</v>
      </c>
      <c r="R87" s="70" t="str">
        <f>'RESUMEN TOTAL'!AE110</f>
        <v>APAGADO</v>
      </c>
      <c r="S87" s="70" t="str">
        <f>'RESUMEN TOTAL'!AF110</f>
        <v>APAGADO</v>
      </c>
      <c r="T87" s="70" t="str">
        <f>'RESUMEN TOTAL'!AG110</f>
        <v>APAGADO</v>
      </c>
      <c r="U87" s="70">
        <f>'RESUMEN TOTAL'!AH110</f>
        <v>0</v>
      </c>
      <c r="V87" s="70">
        <f>'RESUMEN TOTAL'!AI110</f>
        <v>0</v>
      </c>
      <c r="W87" s="70" t="str">
        <f>'RESUMEN TOTAL'!AJ110</f>
        <v>APAGADO</v>
      </c>
      <c r="X87" s="70" t="str">
        <f>'RESUMEN TOTAL'!AK110</f>
        <v>APAGADO</v>
      </c>
      <c r="Y87" s="70" t="str">
        <f>'RESUMEN TOTAL'!AL110</f>
        <v>APAGADO</v>
      </c>
      <c r="Z87" s="70" t="str">
        <f>'RESUMEN TOTAL'!AM110</f>
        <v>APAGADO</v>
      </c>
      <c r="AA87" s="70" t="str">
        <f>'RESUMEN TOTAL'!AN110</f>
        <v>APAGADO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 t="str">
        <f>'RESUMEN TOTAL'!AR110</f>
        <v>APAGADO</v>
      </c>
      <c r="AF87" s="70" t="str">
        <f>'RESUMEN TOTAL'!AS110</f>
        <v>APAGADO</v>
      </c>
      <c r="AG87" s="70" t="str">
        <f>'RESUMEN TOTAL'!AT110</f>
        <v>APAGADO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 t="str">
        <f>'RESUMEN TOTAL'!AE112</f>
        <v>APAGADO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 t="str">
        <f>'RESUMEN TOTAL'!AK112</f>
        <v>APAGADO</v>
      </c>
      <c r="Y89" s="70" t="str">
        <f>'RESUMEN TOTAL'!AL112</f>
        <v>APAGADO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 t="str">
        <f>'RESUMEN TOTAL'!AR113</f>
        <v>APAGADO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 t="str">
        <f>'RESUMEN TOTAL'!AN114</f>
        <v>APAGADO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 t="str">
        <f>'RESUMEN TOTAL'!AR114</f>
        <v>APAGADO</v>
      </c>
      <c r="AF91" s="70" t="str">
        <f>'RESUMEN TOTAL'!AS114</f>
        <v>APAGADO</v>
      </c>
      <c r="AG91" s="70" t="str">
        <f>'RESUMEN TOTAL'!AT114</f>
        <v>APAGADO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 t="str">
        <f>'RESUMEN TOTAL'!AN115</f>
        <v>APAGADO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 t="str">
        <f>'RESUMEN TOTAL'!AR115</f>
        <v>APAGADO</v>
      </c>
      <c r="AF92" s="70" t="str">
        <f>'RESUMEN TOTAL'!AS115</f>
        <v>APAGADO</v>
      </c>
      <c r="AG92" s="70" t="str">
        <f>'RESUMEN TOTAL'!AT115</f>
        <v>APAGADO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 t="str">
        <f>'RESUMEN TOTAL'!AJ116</f>
        <v>APAGADO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 t="str">
        <f>'RESUMEN TOTAL'!AR116</f>
        <v>APAGADO</v>
      </c>
      <c r="AF93" s="70" t="str">
        <f>'RESUMEN TOTAL'!AS116</f>
        <v>APAGADO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 t="str">
        <f>'RESUMEN TOTAL'!V118</f>
        <v>APAGADO</v>
      </c>
      <c r="J95" s="70" t="str">
        <f>'RESUMEN TOTAL'!W118</f>
        <v>APAGADO</v>
      </c>
      <c r="K95" s="70" t="str">
        <f>'RESUMEN TOTAL'!X118</f>
        <v>APAGADO</v>
      </c>
      <c r="L95" s="70" t="str">
        <f>'RESUMEN TOTAL'!Y118</f>
        <v>APAGADO</v>
      </c>
      <c r="M95" s="70" t="str">
        <f>'RESUMEN TOTAL'!Z118</f>
        <v>APAGADO</v>
      </c>
      <c r="N95" s="70">
        <f>'RESUMEN TOTAL'!AA118</f>
        <v>0</v>
      </c>
      <c r="O95" s="70">
        <f>'RESUMEN TOTAL'!AB118</f>
        <v>0</v>
      </c>
      <c r="P95" s="70" t="str">
        <f>'RESUMEN TOTAL'!AC118</f>
        <v>APAGADO</v>
      </c>
      <c r="Q95" s="70" t="str">
        <f>'RESUMEN TOTAL'!AD118</f>
        <v>APAGADO</v>
      </c>
      <c r="R95" s="70" t="str">
        <f>'RESUMEN TOTAL'!AE118</f>
        <v>APAGADO</v>
      </c>
      <c r="S95" s="70" t="str">
        <f>'RESUMEN TOTAL'!AF118</f>
        <v>APAGADO</v>
      </c>
      <c r="T95" s="70" t="str">
        <f>'RESUMEN TOTAL'!AG118</f>
        <v>APAGADO</v>
      </c>
      <c r="U95" s="70">
        <f>'RESUMEN TOTAL'!AH118</f>
        <v>0</v>
      </c>
      <c r="V95" s="70">
        <f>'RESUMEN TOTAL'!AI118</f>
        <v>0</v>
      </c>
      <c r="W95" s="70" t="str">
        <f>'RESUMEN TOTAL'!AJ118</f>
        <v>APAGADO</v>
      </c>
      <c r="X95" s="70" t="str">
        <f>'RESUMEN TOTAL'!AK118</f>
        <v>APAGADO</v>
      </c>
      <c r="Y95" s="70" t="str">
        <f>'RESUMEN TOTAL'!AL118</f>
        <v>APAGADO</v>
      </c>
      <c r="Z95" s="70" t="str">
        <f>'RESUMEN TOTAL'!AM118</f>
        <v>APAGADO</v>
      </c>
      <c r="AA95" s="70" t="str">
        <f>'RESUMEN TOTAL'!AN118</f>
        <v>APAGADO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 t="str">
        <f>'RESUMEN TOTAL'!AR118</f>
        <v>APAGADO</v>
      </c>
      <c r="AF95" s="70" t="str">
        <f>'RESUMEN TOTAL'!AS118</f>
        <v>APAGADO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 t="str">
        <f>'RESUMEN TOTAL'!V129</f>
        <v>APAGADO</v>
      </c>
      <c r="J106" s="70" t="str">
        <f>'RESUMEN TOTAL'!W129</f>
        <v>APAGADO</v>
      </c>
      <c r="K106" s="70" t="str">
        <f>'RESUMEN TOTAL'!X129</f>
        <v>APAGADO</v>
      </c>
      <c r="L106" s="70" t="str">
        <f>'RESUMEN TOTAL'!Y129</f>
        <v>APAGADO</v>
      </c>
      <c r="M106" s="70" t="str">
        <f>'RESUMEN TOTAL'!Z129</f>
        <v>APAGADO</v>
      </c>
      <c r="N106" s="70">
        <f>'RESUMEN TOTAL'!AA129</f>
        <v>0</v>
      </c>
      <c r="O106" s="70">
        <f>'RESUMEN TOTAL'!AB129</f>
        <v>0</v>
      </c>
      <c r="P106" s="70" t="str">
        <f>'RESUMEN TOTAL'!AC129</f>
        <v>APAGADO</v>
      </c>
      <c r="Q106" s="70" t="str">
        <f>'RESUMEN TOTAL'!AD129</f>
        <v>APAGADO</v>
      </c>
      <c r="R106" s="70" t="str">
        <f>'RESUMEN TOTAL'!AE129</f>
        <v>APAGADO</v>
      </c>
      <c r="S106" s="70" t="str">
        <f>'RESUMEN TOTAL'!AF129</f>
        <v>APAGADO</v>
      </c>
      <c r="T106" s="70" t="str">
        <f>'RESUMEN TOTAL'!AG129</f>
        <v>APAGADO</v>
      </c>
      <c r="U106" s="70">
        <f>'RESUMEN TOTAL'!AH129</f>
        <v>0</v>
      </c>
      <c r="V106" s="70">
        <f>'RESUMEN TOTAL'!AI129</f>
        <v>0</v>
      </c>
      <c r="W106" s="70" t="str">
        <f>'RESUMEN TOTAL'!AJ129</f>
        <v>APAGADO</v>
      </c>
      <c r="X106" s="70" t="str">
        <f>'RESUMEN TOTAL'!AK129</f>
        <v>APAGADO</v>
      </c>
      <c r="Y106" s="70" t="str">
        <f>'RESUMEN TOTAL'!AL129</f>
        <v>APAGADO</v>
      </c>
      <c r="Z106" s="70" t="str">
        <f>'RESUMEN TOTAL'!AM129</f>
        <v>APAGADO</v>
      </c>
      <c r="AA106" s="70" t="str">
        <f>'RESUMEN TOTAL'!AN129</f>
        <v>APAGADO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 t="str">
        <f>'RESUMEN TOTAL'!AR129</f>
        <v>APAGADO</v>
      </c>
      <c r="AF106" s="70" t="str">
        <f>'RESUMEN TOTAL'!AS129</f>
        <v>APAGADO</v>
      </c>
      <c r="AG106" s="70" t="str">
        <f>'RESUMEN TOTAL'!AT129</f>
        <v>APAGADO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 t="str">
        <f>'RESUMEN TOTAL'!V131</f>
        <v>APAGADO</v>
      </c>
      <c r="J108" s="70" t="str">
        <f>'RESUMEN TOTAL'!W131</f>
        <v>APAGADO</v>
      </c>
      <c r="K108" s="70" t="str">
        <f>'RESUMEN TOTAL'!X131</f>
        <v>APAGADO</v>
      </c>
      <c r="L108" s="70" t="str">
        <f>'RESUMEN TOTAL'!Y131</f>
        <v>APAGADO</v>
      </c>
      <c r="M108" s="70" t="str">
        <f>'RESUMEN TOTAL'!Z131</f>
        <v>APAGADO</v>
      </c>
      <c r="N108" s="70">
        <f>'RESUMEN TOTAL'!AA131</f>
        <v>0</v>
      </c>
      <c r="O108" s="70">
        <f>'RESUMEN TOTAL'!AB131</f>
        <v>0</v>
      </c>
      <c r="P108" s="70" t="str">
        <f>'RESUMEN TOTAL'!AC131</f>
        <v>APAGADO</v>
      </c>
      <c r="Q108" s="70" t="str">
        <f>'RESUMEN TOTAL'!AD131</f>
        <v>APAGADO</v>
      </c>
      <c r="R108" s="70" t="str">
        <f>'RESUMEN TOTAL'!AE131</f>
        <v>APAGADO</v>
      </c>
      <c r="S108" s="70" t="str">
        <f>'RESUMEN TOTAL'!AF131</f>
        <v>APAGADO</v>
      </c>
      <c r="T108" s="70" t="str">
        <f>'RESUMEN TOTAL'!AG131</f>
        <v>APAGADO</v>
      </c>
      <c r="U108" s="70">
        <f>'RESUMEN TOTAL'!AH131</f>
        <v>0</v>
      </c>
      <c r="V108" s="70">
        <f>'RESUMEN TOTAL'!AI131</f>
        <v>0</v>
      </c>
      <c r="W108" s="70" t="str">
        <f>'RESUMEN TOTAL'!AJ131</f>
        <v>APAGADO</v>
      </c>
      <c r="X108" s="70" t="str">
        <f>'RESUMEN TOTAL'!AK131</f>
        <v>APAGADO</v>
      </c>
      <c r="Y108" s="70" t="str">
        <f>'RESUMEN TOTAL'!AL131</f>
        <v>APAGADO</v>
      </c>
      <c r="Z108" s="70" t="str">
        <f>'RESUMEN TOTAL'!AM131</f>
        <v>APAGADO</v>
      </c>
      <c r="AA108" s="70" t="str">
        <f>'RESUMEN TOTAL'!AN131</f>
        <v>APAGADO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 t="str">
        <f>'RESUMEN TOTAL'!AR131</f>
        <v>APAGADO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 t="str">
        <f>'RESUMEN TOTAL'!V148</f>
        <v>APAGADO</v>
      </c>
      <c r="J111" s="70" t="str">
        <f>'RESUMEN TOTAL'!W148</f>
        <v>APAGADO</v>
      </c>
      <c r="K111" s="70" t="str">
        <f>'RESUMEN TOTAL'!X148</f>
        <v>APAGADO</v>
      </c>
      <c r="L111" s="70" t="str">
        <f>'RESUMEN TOTAL'!Y148</f>
        <v>APAGADO</v>
      </c>
      <c r="M111" s="70" t="str">
        <f>'RESUMEN TOTAL'!Z148</f>
        <v>APAGADO</v>
      </c>
      <c r="N111" s="70">
        <f>'RESUMEN TOTAL'!AA148</f>
        <v>0</v>
      </c>
      <c r="O111" s="70">
        <f>'RESUMEN TOTAL'!AB148</f>
        <v>0</v>
      </c>
      <c r="P111" s="70" t="str">
        <f>'RESUMEN TOTAL'!AC148</f>
        <v>APAGADO</v>
      </c>
      <c r="Q111" s="70" t="str">
        <f>'RESUMEN TOTAL'!AD148</f>
        <v>APAGADO</v>
      </c>
      <c r="R111" s="70" t="str">
        <f>'RESUMEN TOTAL'!AE148</f>
        <v>APAGADO</v>
      </c>
      <c r="S111" s="70" t="str">
        <f>'RESUMEN TOTAL'!AF148</f>
        <v>APAGADO</v>
      </c>
      <c r="T111" s="70" t="str">
        <f>'RESUMEN TOTAL'!AG148</f>
        <v>APAGADO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>
        <f>'RESUMEN TOTAL'!S149</f>
        <v>0</v>
      </c>
      <c r="G112" s="70">
        <f>'RESUMEN TOTAL'!T149</f>
        <v>0</v>
      </c>
      <c r="H112" s="70">
        <f>'RESUMEN TOTAL'!U149</f>
        <v>0</v>
      </c>
      <c r="I112" s="70" t="str">
        <f>'RESUMEN TOTAL'!V149</f>
        <v>APAGADO</v>
      </c>
      <c r="J112" s="70" t="str">
        <f>'RESUMEN TOTAL'!W149</f>
        <v>APAGADO</v>
      </c>
      <c r="K112" s="70" t="str">
        <f>'RESUMEN TOTAL'!X149</f>
        <v>APAGADO</v>
      </c>
      <c r="L112" s="70" t="str">
        <f>'RESUMEN TOTAL'!Y149</f>
        <v>APAGADO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 t="str">
        <f>'RESUMEN TOTAL'!AC149</f>
        <v>APAGADO</v>
      </c>
      <c r="Q112" s="70" t="str">
        <f>'RESUMEN TOTAL'!AD149</f>
        <v>APAGADO</v>
      </c>
      <c r="R112" s="70" t="str">
        <f>'RESUMEN TOTAL'!AE149</f>
        <v>APAGADO</v>
      </c>
      <c r="S112" s="70" t="str">
        <f>'RESUMEN TOTAL'!AF149</f>
        <v>APAGADO</v>
      </c>
      <c r="T112" s="70" t="str">
        <f>'RESUMEN TOTAL'!AG149</f>
        <v>APAGADO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 t="str">
        <f>'RESUMEN TOTAL'!AK149</f>
        <v>APAGADO</v>
      </c>
      <c r="Y112" s="70" t="str">
        <f>'RESUMEN TOTAL'!AL149</f>
        <v>APAGADO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 t="str">
        <f>'RESUMEN TOTAL'!AR149</f>
        <v>APAGADO</v>
      </c>
      <c r="AF112" s="70" t="str">
        <f>'RESUMEN TOTAL'!AS149</f>
        <v>APAGADO</v>
      </c>
      <c r="AG112" s="70" t="str">
        <f>'RESUMEN TOTAL'!AT149</f>
        <v>APAGADO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 t="str">
        <f>'RESUMEN TOTAL'!AC150</f>
        <v>APAGADO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 t="str">
        <f>'RESUMEN TOTAL'!AJ150</f>
        <v>APAGADO</v>
      </c>
      <c r="X113" s="70" t="str">
        <f>'RESUMEN TOTAL'!AK150</f>
        <v>APAGADO</v>
      </c>
      <c r="Y113" s="70" t="str">
        <f>'RESUMEN TOTAL'!AL150</f>
        <v>APAGADO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 t="str">
        <f>'RESUMEN TOTAL'!V151</f>
        <v>APAGADO</v>
      </c>
      <c r="J114" s="70" t="str">
        <f>'RESUMEN TOTAL'!W151</f>
        <v>APAGADO</v>
      </c>
      <c r="K114" s="70" t="str">
        <f>'RESUMEN TOTAL'!X151</f>
        <v>APAGADO</v>
      </c>
      <c r="L114" s="70" t="str">
        <f>'RESUMEN TOTAL'!Y151</f>
        <v>APAGADO</v>
      </c>
      <c r="M114" s="70" t="str">
        <f>'RESUMEN TOTAL'!Z151</f>
        <v>APAGADO</v>
      </c>
      <c r="N114" s="70">
        <f>'RESUMEN TOTAL'!AA151</f>
        <v>0</v>
      </c>
      <c r="O114" s="70">
        <f>'RESUMEN TOTAL'!AB151</f>
        <v>0</v>
      </c>
      <c r="P114" s="70" t="str">
        <f>'RESUMEN TOTAL'!AC151</f>
        <v>APAGADO</v>
      </c>
      <c r="Q114" s="70" t="str">
        <f>'RESUMEN TOTAL'!AD151</f>
        <v>APAGADO</v>
      </c>
      <c r="R114" s="70" t="str">
        <f>'RESUMEN TOTAL'!AE151</f>
        <v>APAGADO</v>
      </c>
      <c r="S114" s="70" t="str">
        <f>'RESUMEN TOTAL'!AF151</f>
        <v>APAGADO</v>
      </c>
      <c r="T114" s="70" t="str">
        <f>'RESUMEN TOTAL'!AG151</f>
        <v>APAGADO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>
        <f>'RESUMEN TOTAL'!S169</f>
        <v>0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>
        <f>'RESUMEN TOTAL'!S170</f>
        <v>0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>
        <f>'RESUMEN TOTAL'!S171</f>
        <v>0</v>
      </c>
      <c r="G128" s="70">
        <f>'RESUMEN TOTAL'!T171</f>
        <v>0</v>
      </c>
      <c r="H128" s="70">
        <f>'RESUMEN TOTAL'!U171</f>
        <v>0</v>
      </c>
      <c r="I128" s="70" t="str">
        <f>'RESUMEN TOTAL'!V171</f>
        <v>APAGADO</v>
      </c>
      <c r="J128" s="70" t="str">
        <f>'RESUMEN TOTAL'!W171</f>
        <v>APAGADO</v>
      </c>
      <c r="K128" s="70" t="str">
        <f>'RESUMEN TOTAL'!X171</f>
        <v>APAGADO</v>
      </c>
      <c r="L128" s="70" t="str">
        <f>'RESUMEN TOTAL'!Y171</f>
        <v>APAGADO</v>
      </c>
      <c r="M128" s="70" t="str">
        <f>'RESUMEN TOTAL'!Z171</f>
        <v>APAGADO</v>
      </c>
      <c r="N128" s="70">
        <f>'RESUMEN TOTAL'!AA171</f>
        <v>0</v>
      </c>
      <c r="O128" s="70">
        <f>'RESUMEN TOTAL'!AB171</f>
        <v>0</v>
      </c>
      <c r="P128" s="70" t="str">
        <f>'RESUMEN TOTAL'!AC171</f>
        <v>APAGADO</v>
      </c>
      <c r="Q128" s="70" t="str">
        <f>'RESUMEN TOTAL'!AD171</f>
        <v>APAGADO</v>
      </c>
      <c r="R128" s="70" t="str">
        <f>'RESUMEN TOTAL'!AE171</f>
        <v>APAGADO</v>
      </c>
      <c r="S128" s="70" t="str">
        <f>'RESUMEN TOTAL'!AF171</f>
        <v>APAGADO</v>
      </c>
      <c r="T128" s="70" t="str">
        <f>'RESUMEN TOTAL'!AG171</f>
        <v>APAGADO</v>
      </c>
      <c r="U128" s="70">
        <f>'RESUMEN TOTAL'!AH171</f>
        <v>0</v>
      </c>
      <c r="V128" s="70">
        <f>'RESUMEN TOTAL'!AI171</f>
        <v>0</v>
      </c>
      <c r="W128" s="70" t="str">
        <f>'RESUMEN TOTAL'!AJ171</f>
        <v>APAGADO</v>
      </c>
      <c r="X128" s="70" t="str">
        <f>'RESUMEN TOTAL'!AK171</f>
        <v>APAGADO</v>
      </c>
      <c r="Y128" s="70" t="str">
        <f>'RESUMEN TOTAL'!AL171</f>
        <v>APAGADO</v>
      </c>
      <c r="Z128" s="70" t="str">
        <f>'RESUMEN TOTAL'!AM171</f>
        <v>APAGADO</v>
      </c>
      <c r="AA128" s="70" t="str">
        <f>'RESUMEN TOTAL'!AN171</f>
        <v>APAGADO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 t="str">
        <f>'RESUMEN TOTAL'!AR171</f>
        <v>APAGADO</v>
      </c>
      <c r="AF128" s="70" t="str">
        <f>'RESUMEN TOTAL'!AS171</f>
        <v>APAGADO</v>
      </c>
      <c r="AG128" s="70" t="str">
        <f>'RESUMEN TOTAL'!AT171</f>
        <v>APAGADO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TOTAL'!F175</f>
        <v>LA ESMERALDA</v>
      </c>
      <c r="B130" t="str">
        <f>'RESUMEN TOTAL'!G175</f>
        <v>ESM 15</v>
      </c>
      <c r="C130" t="str">
        <f>'RESUMEN TOTAL'!I175</f>
        <v>Basualdo y Lieja</v>
      </c>
      <c r="D130" s="30" t="str">
        <f>'RESUMEN TOTAL'!J175</f>
        <v>Fija</v>
      </c>
      <c r="E130" s="30" t="str">
        <f>'RESUMEN TOTAL'!K175</f>
        <v>Fibra Optica</v>
      </c>
      <c r="F130" s="70">
        <f>'RESUMEN TOTAL'!S175</f>
        <v>0</v>
      </c>
      <c r="G130" s="70">
        <f>'RESUMEN TOTAL'!T175</f>
        <v>0</v>
      </c>
      <c r="H130" s="70">
        <f>'RESUMEN TOTAL'!U175</f>
        <v>0</v>
      </c>
      <c r="I130" s="70" t="str">
        <f>'RESUMEN TOTAL'!V175</f>
        <v>APAGADO</v>
      </c>
      <c r="J130" s="70" t="str">
        <f>'RESUMEN TOTAL'!W175</f>
        <v>APAGADO</v>
      </c>
      <c r="K130" s="70" t="str">
        <f>'RESUMEN TOTAL'!X175</f>
        <v>APAGADO</v>
      </c>
      <c r="L130" s="70" t="str">
        <f>'RESUMEN TOTAL'!Y175</f>
        <v>APAGADO</v>
      </c>
      <c r="M130" s="70" t="str">
        <f>'RESUMEN TOTAL'!Z175</f>
        <v>APAGADO</v>
      </c>
      <c r="N130" s="70">
        <f>'RESUMEN TOTAL'!AA175</f>
        <v>0</v>
      </c>
      <c r="O130" s="70">
        <f>'RESUMEN TOTAL'!AB175</f>
        <v>0</v>
      </c>
      <c r="P130" s="70" t="str">
        <f>'RESUMEN TOTAL'!AC175</f>
        <v>APAGADO</v>
      </c>
      <c r="Q130" s="70" t="str">
        <f>'RESUMEN TOTAL'!AD175</f>
        <v>APAGADO</v>
      </c>
      <c r="R130" s="70" t="str">
        <f>'RESUMEN TOTAL'!AE175</f>
        <v>APAGADO</v>
      </c>
      <c r="S130" s="70" t="str">
        <f>'RESUMEN TOTAL'!AF175</f>
        <v>APAGADO</v>
      </c>
      <c r="T130" s="70" t="str">
        <f>'RESUMEN TOTAL'!AG175</f>
        <v>APAGADO</v>
      </c>
      <c r="U130" s="70">
        <f>'RESUMEN TOTAL'!AH175</f>
        <v>0</v>
      </c>
      <c r="V130" s="70">
        <f>'RESUMEN TOTAL'!AI175</f>
        <v>0</v>
      </c>
      <c r="W130" s="70" t="str">
        <f>'RESUMEN TOTAL'!AJ175</f>
        <v>APAGADO</v>
      </c>
      <c r="X130" s="70" t="str">
        <f>'RESUMEN TOTAL'!AK175</f>
        <v>APAGADO</v>
      </c>
      <c r="Y130" s="70" t="str">
        <f>'RESUMEN TOTAL'!AL175</f>
        <v>APAGADO</v>
      </c>
      <c r="Z130" s="70" t="str">
        <f>'RESUMEN TOTAL'!AM175</f>
        <v>APAGADO</v>
      </c>
      <c r="AA130" s="70" t="str">
        <f>'RESUMEN TOTAL'!AN175</f>
        <v>APAGADO</v>
      </c>
      <c r="AB130" s="70">
        <f>'RESUMEN TOTAL'!AO175</f>
        <v>0</v>
      </c>
      <c r="AC130" s="70">
        <f>'RESUMEN TOTAL'!AP175</f>
        <v>0</v>
      </c>
      <c r="AD130" s="70">
        <f>'RESUMEN TOTAL'!AQ175</f>
        <v>0</v>
      </c>
      <c r="AE130" s="70" t="str">
        <f>'RESUMEN TOTAL'!AR175</f>
        <v>APAGADO</v>
      </c>
      <c r="AF130" s="70" t="str">
        <f>'RESUMEN TOTAL'!AS175</f>
        <v>APAGADO</v>
      </c>
      <c r="AG130" s="70" t="str">
        <f>'RESUMEN TOTAL'!AT175</f>
        <v>APAGADO</v>
      </c>
      <c r="AH130" s="70">
        <f>'RESUMEN TOTAL'!AU175</f>
        <v>0</v>
      </c>
      <c r="AI130" s="70">
        <f>'RESUMEN TOTAL'!AV175</f>
        <v>0</v>
      </c>
      <c r="AJ130" s="70" t="e">
        <f>'RESUMEN TOTAL'!#REF!</f>
        <v>#REF!</v>
      </c>
    </row>
    <row r="131" spans="1:36" x14ac:dyDescent="0.25">
      <c r="A131" t="str">
        <f>'RESUMEN TOTAL'!F176</f>
        <v>LA ESMERALDA</v>
      </c>
      <c r="B131" t="str">
        <f>'RESUMEN TOTAL'!G176</f>
        <v>ESM 16</v>
      </c>
      <c r="C131" t="str">
        <f>'RESUMEN TOTAL'!I176</f>
        <v>Basualdo y Lieja</v>
      </c>
      <c r="D131" s="30" t="str">
        <f>'RESUMEN TOTAL'!J176</f>
        <v>Fija</v>
      </c>
      <c r="E131" s="30" t="str">
        <f>'RESUMEN TOTAL'!K176</f>
        <v>Fibra Optica</v>
      </c>
      <c r="F131" s="70">
        <f>'RESUMEN TOTAL'!S176</f>
        <v>0</v>
      </c>
      <c r="G131" s="70">
        <f>'RESUMEN TOTAL'!T176</f>
        <v>0</v>
      </c>
      <c r="H131" s="70">
        <f>'RESUMEN TOTAL'!U176</f>
        <v>0</v>
      </c>
      <c r="I131" s="70" t="str">
        <f>'RESUMEN TOTAL'!V176</f>
        <v>APAGADO</v>
      </c>
      <c r="J131" s="70" t="str">
        <f>'RESUMEN TOTAL'!W176</f>
        <v>APAGADO</v>
      </c>
      <c r="K131" s="70" t="str">
        <f>'RESUMEN TOTAL'!X176</f>
        <v>APAGADO</v>
      </c>
      <c r="L131" s="70" t="str">
        <f>'RESUMEN TOTAL'!Y176</f>
        <v>APAGADO</v>
      </c>
      <c r="M131" s="70" t="str">
        <f>'RESUMEN TOTAL'!Z176</f>
        <v>APAGADO</v>
      </c>
      <c r="N131" s="70">
        <f>'RESUMEN TOTAL'!AA176</f>
        <v>0</v>
      </c>
      <c r="O131" s="70">
        <f>'RESUMEN TOTAL'!AB176</f>
        <v>0</v>
      </c>
      <c r="P131" s="70" t="str">
        <f>'RESUMEN TOTAL'!AC176</f>
        <v>APAGADO</v>
      </c>
      <c r="Q131" s="70" t="str">
        <f>'RESUMEN TOTAL'!AD176</f>
        <v>APAGADO</v>
      </c>
      <c r="R131" s="70" t="str">
        <f>'RESUMEN TOTAL'!AE176</f>
        <v>APAGADO</v>
      </c>
      <c r="S131" s="70" t="str">
        <f>'RESUMEN TOTAL'!AF176</f>
        <v>APAGADO</v>
      </c>
      <c r="T131" s="70" t="str">
        <f>'RESUMEN TOTAL'!AG176</f>
        <v>APAGADO</v>
      </c>
      <c r="U131" s="70">
        <f>'RESUMEN TOTAL'!AH176</f>
        <v>0</v>
      </c>
      <c r="V131" s="70">
        <f>'RESUMEN TOTAL'!AI176</f>
        <v>0</v>
      </c>
      <c r="W131" s="70" t="str">
        <f>'RESUMEN TOTAL'!AJ176</f>
        <v>APAGADO</v>
      </c>
      <c r="X131" s="70" t="str">
        <f>'RESUMEN TOTAL'!AK176</f>
        <v>APAGADO</v>
      </c>
      <c r="Y131" s="70" t="str">
        <f>'RESUMEN TOTAL'!AL176</f>
        <v>APAGADO</v>
      </c>
      <c r="Z131" s="70" t="str">
        <f>'RESUMEN TOTAL'!AM176</f>
        <v>APAGADO</v>
      </c>
      <c r="AA131" s="70" t="str">
        <f>'RESUMEN TOTAL'!AN176</f>
        <v>APAGADO</v>
      </c>
      <c r="AB131" s="70">
        <f>'RESUMEN TOTAL'!AO176</f>
        <v>0</v>
      </c>
      <c r="AC131" s="70">
        <f>'RESUMEN TOTAL'!AP176</f>
        <v>0</v>
      </c>
      <c r="AD131" s="70">
        <f>'RESUMEN TOTAL'!AQ176</f>
        <v>0</v>
      </c>
      <c r="AE131" s="70" t="str">
        <f>'RESUMEN TOTAL'!AR176</f>
        <v>APAGADO</v>
      </c>
      <c r="AF131" s="70" t="str">
        <f>'RESUMEN TOTAL'!AS176</f>
        <v>APAGADO</v>
      </c>
      <c r="AG131" s="70" t="str">
        <f>'RESUMEN TOTAL'!AT176</f>
        <v>APAGADO</v>
      </c>
      <c r="AH131" s="70">
        <f>'RESUMEN TOTAL'!AU176</f>
        <v>0</v>
      </c>
      <c r="AI131" s="70">
        <f>'RESUMEN TOTAL'!AV176</f>
        <v>0</v>
      </c>
      <c r="AJ131" s="70" t="e">
        <f>'RESUMEN TOTAL'!#REF!</f>
        <v>#REF!</v>
      </c>
    </row>
    <row r="132" spans="1:36" x14ac:dyDescent="0.25">
      <c r="A132" t="str">
        <f>'RESUMEN TOTAL'!F177</f>
        <v>LA ESMERALDA</v>
      </c>
      <c r="B132" t="str">
        <f>'RESUMEN TOTAL'!G177</f>
        <v>ESM 17</v>
      </c>
      <c r="C132" t="str">
        <f>'RESUMEN TOTAL'!I177</f>
        <v>Plaza La Esmeralda</v>
      </c>
      <c r="D132" s="30" t="str">
        <f>'RESUMEN TOTAL'!J177</f>
        <v>Domo</v>
      </c>
      <c r="E132" s="30" t="str">
        <f>'RESUMEN TOTAL'!K177</f>
        <v>Fibra Optica</v>
      </c>
      <c r="F132" s="70">
        <f>'RESUMEN TOTAL'!S177</f>
        <v>0</v>
      </c>
      <c r="G132" s="70">
        <f>'RESUMEN TOTAL'!T177</f>
        <v>0</v>
      </c>
      <c r="H132" s="70">
        <f>'RESUMEN TOTAL'!U177</f>
        <v>0</v>
      </c>
      <c r="I132" s="70">
        <f>'RESUMEN TOTAL'!V177</f>
        <v>0</v>
      </c>
      <c r="J132" s="70">
        <f>'RESUMEN TOTAL'!W177</f>
        <v>0</v>
      </c>
      <c r="K132" s="70">
        <f>'RESUMEN TOTAL'!X177</f>
        <v>0</v>
      </c>
      <c r="L132" s="70">
        <f>'RESUMEN TOTAL'!Y177</f>
        <v>0</v>
      </c>
      <c r="M132" s="70">
        <f>'RESUMEN TOTAL'!Z177</f>
        <v>0</v>
      </c>
      <c r="N132" s="70">
        <f>'RESUMEN TOTAL'!AA177</f>
        <v>0</v>
      </c>
      <c r="O132" s="70">
        <f>'RESUMEN TOTAL'!AB177</f>
        <v>0</v>
      </c>
      <c r="P132" s="70">
        <f>'RESUMEN TOTAL'!AC177</f>
        <v>0</v>
      </c>
      <c r="Q132" s="70">
        <f>'RESUMEN TOTAL'!AD177</f>
        <v>0</v>
      </c>
      <c r="R132" s="70">
        <f>'RESUMEN TOTAL'!AE177</f>
        <v>0</v>
      </c>
      <c r="S132" s="70">
        <f>'RESUMEN TOTAL'!AF177</f>
        <v>0</v>
      </c>
      <c r="T132" s="70">
        <f>'RESUMEN TOTAL'!AG177</f>
        <v>0</v>
      </c>
      <c r="U132" s="70">
        <f>'RESUMEN TOTAL'!AH177</f>
        <v>0</v>
      </c>
      <c r="V132" s="70">
        <f>'RESUMEN TOTAL'!AI177</f>
        <v>0</v>
      </c>
      <c r="W132" s="70" t="str">
        <f>'RESUMEN TOTAL'!AJ177</f>
        <v>APAGADO</v>
      </c>
      <c r="X132" s="70" t="str">
        <f>'RESUMEN TOTAL'!AK177</f>
        <v>APAGADO</v>
      </c>
      <c r="Y132" s="70" t="str">
        <f>'RESUMEN TOTAL'!AL177</f>
        <v>APAGADO</v>
      </c>
      <c r="Z132" s="70" t="str">
        <f>'RESUMEN TOTAL'!AM177</f>
        <v>APAGADO</v>
      </c>
      <c r="AA132" s="70" t="str">
        <f>'RESUMEN TOTAL'!AN177</f>
        <v>APAGADO</v>
      </c>
      <c r="AB132" s="70">
        <f>'RESUMEN TOTAL'!AO177</f>
        <v>0</v>
      </c>
      <c r="AC132" s="70">
        <f>'RESUMEN TOTAL'!AP177</f>
        <v>0</v>
      </c>
      <c r="AD132" s="70">
        <f>'RESUMEN TOTAL'!AQ177</f>
        <v>0</v>
      </c>
      <c r="AE132" s="70" t="str">
        <f>'RESUMEN TOTAL'!AR177</f>
        <v>APAGADO</v>
      </c>
      <c r="AF132" s="70">
        <f>'RESUMEN TOTAL'!AS177</f>
        <v>0</v>
      </c>
      <c r="AG132" s="70">
        <f>'RESUMEN TOTAL'!AT177</f>
        <v>0</v>
      </c>
      <c r="AH132" s="70">
        <f>'RESUMEN TOTAL'!AU177</f>
        <v>0</v>
      </c>
      <c r="AI132" s="70">
        <f>'RESUMEN TOTAL'!AV177</f>
        <v>0</v>
      </c>
      <c r="AJ132" s="70" t="e">
        <f>'RESUMEN TOTAL'!#REF!</f>
        <v>#REF!</v>
      </c>
    </row>
    <row r="133" spans="1:36" x14ac:dyDescent="0.25">
      <c r="A133" t="str">
        <f>'RESUMEN TOTAL'!F178</f>
        <v>LA ESMERALDA</v>
      </c>
      <c r="B133" t="str">
        <f>'RESUMEN TOTAL'!G178</f>
        <v>ESM 18</v>
      </c>
      <c r="C133" t="str">
        <f>'RESUMEN TOTAL'!I178</f>
        <v>Belgicca y Cerdeña</v>
      </c>
      <c r="D133" s="30" t="str">
        <f>'RESUMEN TOTAL'!J178</f>
        <v>Domo</v>
      </c>
      <c r="E133" s="30" t="str">
        <f>'RESUMEN TOTAL'!K178</f>
        <v>GPON</v>
      </c>
      <c r="F133" s="70">
        <f>'RESUMEN TOTAL'!S178</f>
        <v>0</v>
      </c>
      <c r="G133" s="70">
        <f>'RESUMEN TOTAL'!T178</f>
        <v>0</v>
      </c>
      <c r="H133" s="70">
        <f>'RESUMEN TOTAL'!U178</f>
        <v>0</v>
      </c>
      <c r="I133" s="70">
        <f>'RESUMEN TOTAL'!V178</f>
        <v>0</v>
      </c>
      <c r="J133" s="70">
        <f>'RESUMEN TOTAL'!W178</f>
        <v>0</v>
      </c>
      <c r="K133" s="70">
        <f>'RESUMEN TOTAL'!X178</f>
        <v>0</v>
      </c>
      <c r="L133" s="70">
        <f>'RESUMEN TOTAL'!Y178</f>
        <v>0</v>
      </c>
      <c r="M133" s="70">
        <f>'RESUMEN TOTAL'!Z178</f>
        <v>0</v>
      </c>
      <c r="N133" s="70">
        <f>'RESUMEN TOTAL'!AA178</f>
        <v>0</v>
      </c>
      <c r="O133" s="70">
        <f>'RESUMEN TOTAL'!AB178</f>
        <v>0</v>
      </c>
      <c r="P133" s="70">
        <f>'RESUMEN TOTAL'!AC178</f>
        <v>0</v>
      </c>
      <c r="Q133" s="70">
        <f>'RESUMEN TOTAL'!AD178</f>
        <v>0</v>
      </c>
      <c r="R133" s="70">
        <f>'RESUMEN TOTAL'!AE178</f>
        <v>0</v>
      </c>
      <c r="S133" s="70">
        <f>'RESUMEN TOTAL'!AF178</f>
        <v>0</v>
      </c>
      <c r="T133" s="70" t="str">
        <f>'RESUMEN TOTAL'!AG178</f>
        <v>APAGADO</v>
      </c>
      <c r="U133" s="70">
        <f>'RESUMEN TOTAL'!AH178</f>
        <v>0</v>
      </c>
      <c r="V133" s="70">
        <f>'RESUMEN TOTAL'!AI178</f>
        <v>0</v>
      </c>
      <c r="W133" s="70">
        <f>'RESUMEN TOTAL'!AJ178</f>
        <v>0</v>
      </c>
      <c r="X133" s="70">
        <f>'RESUMEN TOTAL'!AK178</f>
        <v>0</v>
      </c>
      <c r="Y133" s="70">
        <f>'RESUMEN TOTAL'!AL178</f>
        <v>0</v>
      </c>
      <c r="Z133" s="70">
        <f>'RESUMEN TOTAL'!AM178</f>
        <v>0</v>
      </c>
      <c r="AA133" s="70">
        <f>'RESUMEN TOTAL'!AN178</f>
        <v>0</v>
      </c>
      <c r="AB133" s="70">
        <f>'RESUMEN TOTAL'!AO178</f>
        <v>0</v>
      </c>
      <c r="AC133" s="70">
        <f>'RESUMEN TOTAL'!AP178</f>
        <v>0</v>
      </c>
      <c r="AD133" s="70">
        <f>'RESUMEN TOTAL'!AQ178</f>
        <v>0</v>
      </c>
      <c r="AE133" s="70">
        <f>'RESUMEN TOTAL'!AR178</f>
        <v>0</v>
      </c>
      <c r="AF133" s="70">
        <f>'RESUMEN TOTAL'!AS178</f>
        <v>0</v>
      </c>
      <c r="AG133" s="70">
        <f>'RESUMEN TOTAL'!AT178</f>
        <v>0</v>
      </c>
      <c r="AH133" s="70">
        <f>'RESUMEN TOTAL'!AU178</f>
        <v>0</v>
      </c>
      <c r="AI133" s="70">
        <f>'RESUMEN TOTAL'!AV178</f>
        <v>0</v>
      </c>
      <c r="AJ133" s="70" t="e">
        <f>'RESUMEN TOTAL'!#REF!</f>
        <v>#REF!</v>
      </c>
    </row>
    <row r="134" spans="1:36" x14ac:dyDescent="0.25">
      <c r="A134" t="str">
        <f>'RESUMEN TOTAL'!F179</f>
        <v>LA ESMERALDA</v>
      </c>
      <c r="B134" t="str">
        <f>'RESUMEN TOTAL'!G179</f>
        <v>ESM 19</v>
      </c>
      <c r="C134" t="str">
        <f>'RESUMEN TOTAL'!I179</f>
        <v>Basualdo E Aniceto y Bengochea</v>
      </c>
      <c r="D134" s="30" t="str">
        <f>'RESUMEN TOTAL'!J179</f>
        <v>fija</v>
      </c>
      <c r="E134" s="30" t="str">
        <f>'RESUMEN TOTAL'!K179</f>
        <v>GPON</v>
      </c>
      <c r="F134" s="70">
        <f>'RESUMEN TOTAL'!S179</f>
        <v>0</v>
      </c>
      <c r="G134" s="70">
        <f>'RESUMEN TOTAL'!T179</f>
        <v>0</v>
      </c>
      <c r="H134" s="70">
        <f>'RESUMEN TOTAL'!U179</f>
        <v>0</v>
      </c>
      <c r="I134" s="70">
        <f>'RESUMEN TOTAL'!V179</f>
        <v>0</v>
      </c>
      <c r="J134" s="70">
        <f>'RESUMEN TOTAL'!W179</f>
        <v>0</v>
      </c>
      <c r="K134" s="70">
        <f>'RESUMEN TOTAL'!X179</f>
        <v>0</v>
      </c>
      <c r="L134" s="70">
        <f>'RESUMEN TOTAL'!Y179</f>
        <v>0</v>
      </c>
      <c r="M134" s="70">
        <f>'RESUMEN TOTAL'!Z179</f>
        <v>0</v>
      </c>
      <c r="N134" s="70">
        <f>'RESUMEN TOTAL'!AA179</f>
        <v>0</v>
      </c>
      <c r="O134" s="70">
        <f>'RESUMEN TOTAL'!AB179</f>
        <v>0</v>
      </c>
      <c r="P134" s="70">
        <f>'RESUMEN TOTAL'!AC179</f>
        <v>0</v>
      </c>
      <c r="Q134" s="70">
        <f>'RESUMEN TOTAL'!AD179</f>
        <v>0</v>
      </c>
      <c r="R134" s="70">
        <f>'RESUMEN TOTAL'!AE179</f>
        <v>0</v>
      </c>
      <c r="S134" s="70">
        <f>'RESUMEN TOTAL'!AF179</f>
        <v>0</v>
      </c>
      <c r="T134" s="70">
        <f>'RESUMEN TOTAL'!AG179</f>
        <v>0</v>
      </c>
      <c r="U134" s="70">
        <f>'RESUMEN TOTAL'!AH179</f>
        <v>0</v>
      </c>
      <c r="V134" s="70">
        <f>'RESUMEN TOTAL'!AI179</f>
        <v>0</v>
      </c>
      <c r="W134" s="70">
        <f>'RESUMEN TOTAL'!AJ179</f>
        <v>0</v>
      </c>
      <c r="X134" s="70">
        <f>'RESUMEN TOTAL'!AK179</f>
        <v>0</v>
      </c>
      <c r="Y134" s="70">
        <f>'RESUMEN TOTAL'!AL179</f>
        <v>0</v>
      </c>
      <c r="Z134" s="70">
        <f>'RESUMEN TOTAL'!AM179</f>
        <v>0</v>
      </c>
      <c r="AA134" s="70">
        <f>'RESUMEN TOTAL'!AN179</f>
        <v>0</v>
      </c>
      <c r="AB134" s="70">
        <f>'RESUMEN TOTAL'!AO179</f>
        <v>0</v>
      </c>
      <c r="AC134" s="70">
        <f>'RESUMEN TOTAL'!AP179</f>
        <v>0</v>
      </c>
      <c r="AD134" s="70">
        <f>'RESUMEN TOTAL'!AQ179</f>
        <v>0</v>
      </c>
      <c r="AE134" s="70">
        <f>'RESUMEN TOTAL'!AR179</f>
        <v>0</v>
      </c>
      <c r="AF134" s="70">
        <f>'RESUMEN TOTAL'!AS179</f>
        <v>0</v>
      </c>
      <c r="AG134" s="70">
        <f>'RESUMEN TOTAL'!AT179</f>
        <v>0</v>
      </c>
      <c r="AH134" s="70">
        <f>'RESUMEN TOTAL'!AU179</f>
        <v>0</v>
      </c>
      <c r="AI134" s="70">
        <f>'RESUMEN TOTAL'!AV179</f>
        <v>0</v>
      </c>
      <c r="AJ134" s="70" t="e">
        <f>'RESUMEN TOTAL'!#REF!</f>
        <v>#REF!</v>
      </c>
    </row>
    <row r="135" spans="1:36" x14ac:dyDescent="0.25">
      <c r="A135" t="str">
        <f>'RESUMEN TOTAL'!F180</f>
        <v>LA ESMERALDA</v>
      </c>
      <c r="B135" t="str">
        <f>'RESUMEN TOTAL'!G180</f>
        <v>ESM01</v>
      </c>
      <c r="C135" t="str">
        <f>'RESUMEN TOTAL'!I180</f>
        <v>Cabello y Brasil</v>
      </c>
      <c r="D135" s="30" t="str">
        <f>'RESUMEN TOTAL'!J180</f>
        <v>Domo</v>
      </c>
      <c r="E135" s="30" t="str">
        <f>'RESUMEN TOTAL'!K180</f>
        <v>PTO A FO</v>
      </c>
      <c r="F135" s="70">
        <f>'RESUMEN TOTAL'!S180</f>
        <v>0</v>
      </c>
      <c r="G135" s="70">
        <f>'RESUMEN TOTAL'!T180</f>
        <v>0</v>
      </c>
      <c r="H135" s="70">
        <f>'RESUMEN TOTAL'!U180</f>
        <v>0</v>
      </c>
      <c r="I135" s="70">
        <f>'RESUMEN TOTAL'!V180</f>
        <v>0</v>
      </c>
      <c r="J135" s="70">
        <f>'RESUMEN TOTAL'!W180</f>
        <v>0</v>
      </c>
      <c r="K135" s="70">
        <f>'RESUMEN TOTAL'!X180</f>
        <v>0</v>
      </c>
      <c r="L135" s="70">
        <f>'RESUMEN TOTAL'!Y180</f>
        <v>0</v>
      </c>
      <c r="M135" s="70">
        <f>'RESUMEN TOTAL'!Z180</f>
        <v>0</v>
      </c>
      <c r="N135" s="70">
        <f>'RESUMEN TOTAL'!AA180</f>
        <v>0</v>
      </c>
      <c r="O135" s="70">
        <f>'RESUMEN TOTAL'!AB180</f>
        <v>0</v>
      </c>
      <c r="P135" s="70">
        <f>'RESUMEN TOTAL'!AC180</f>
        <v>0</v>
      </c>
      <c r="Q135" s="70">
        <f>'RESUMEN TOTAL'!AD180</f>
        <v>0</v>
      </c>
      <c r="R135" s="70">
        <f>'RESUMEN TOTAL'!AE180</f>
        <v>0</v>
      </c>
      <c r="S135" s="70">
        <f>'RESUMEN TOTAL'!AF180</f>
        <v>0</v>
      </c>
      <c r="T135" s="70">
        <f>'RESUMEN TOTAL'!AG180</f>
        <v>0</v>
      </c>
      <c r="U135" s="70">
        <f>'RESUMEN TOTAL'!AH180</f>
        <v>0</v>
      </c>
      <c r="V135" s="70">
        <f>'RESUMEN TOTAL'!AI180</f>
        <v>0</v>
      </c>
      <c r="W135" s="70">
        <f>'RESUMEN TOTAL'!AJ180</f>
        <v>0</v>
      </c>
      <c r="X135" s="70">
        <f>'RESUMEN TOTAL'!AK180</f>
        <v>0</v>
      </c>
      <c r="Y135" s="70">
        <f>'RESUMEN TOTAL'!AL180</f>
        <v>0</v>
      </c>
      <c r="Z135" s="70">
        <f>'RESUMEN TOTAL'!AM180</f>
        <v>0</v>
      </c>
      <c r="AA135" s="70">
        <f>'RESUMEN TOTAL'!AN180</f>
        <v>0</v>
      </c>
      <c r="AB135" s="70">
        <f>'RESUMEN TOTAL'!AO180</f>
        <v>0</v>
      </c>
      <c r="AC135" s="70">
        <f>'RESUMEN TOTAL'!AP180</f>
        <v>0</v>
      </c>
      <c r="AD135" s="70">
        <f>'RESUMEN TOTAL'!AQ180</f>
        <v>0</v>
      </c>
      <c r="AE135" s="70">
        <f>'RESUMEN TOTAL'!AR180</f>
        <v>0</v>
      </c>
      <c r="AF135" s="70">
        <f>'RESUMEN TOTAL'!AS180</f>
        <v>0</v>
      </c>
      <c r="AG135" s="70">
        <f>'RESUMEN TOTAL'!AT180</f>
        <v>0</v>
      </c>
      <c r="AH135" s="70">
        <f>'RESUMEN TOTAL'!AU180</f>
        <v>0</v>
      </c>
      <c r="AI135" s="70">
        <f>'RESUMEN TOTAL'!AV180</f>
        <v>0</v>
      </c>
      <c r="AJ135" s="70" t="e">
        <f>'RESUMEN TOTAL'!#REF!</f>
        <v>#REF!</v>
      </c>
    </row>
    <row r="136" spans="1:36" x14ac:dyDescent="0.25">
      <c r="A136" t="str">
        <f>'RESUMEN TOTAL'!F181</f>
        <v>SAN JORGE</v>
      </c>
      <c r="B136" t="str">
        <f>'RESUMEN TOTAL'!G181</f>
        <v>ESM02</v>
      </c>
      <c r="C136" t="str">
        <f>'RESUMEN TOTAL'!I181</f>
        <v>Novak y Cabello</v>
      </c>
      <c r="D136" s="30" t="str">
        <f>'RESUMEN TOTAL'!J181</f>
        <v>Domo</v>
      </c>
      <c r="E136" s="30" t="str">
        <f>'RESUMEN TOTAL'!K181</f>
        <v>PTO A FO</v>
      </c>
      <c r="F136" s="70">
        <f>'RESUMEN TOTAL'!S181</f>
        <v>0</v>
      </c>
      <c r="G136" s="70">
        <f>'RESUMEN TOTAL'!T181</f>
        <v>0</v>
      </c>
      <c r="H136" s="70">
        <f>'RESUMEN TOTAL'!U181</f>
        <v>0</v>
      </c>
      <c r="I136" s="70">
        <f>'RESUMEN TOTAL'!V181</f>
        <v>0</v>
      </c>
      <c r="J136" s="70">
        <f>'RESUMEN TOTAL'!W181</f>
        <v>0</v>
      </c>
      <c r="K136" s="70">
        <f>'RESUMEN TOTAL'!X181</f>
        <v>0</v>
      </c>
      <c r="L136" s="70">
        <f>'RESUMEN TOTAL'!Y181</f>
        <v>0</v>
      </c>
      <c r="M136" s="70">
        <f>'RESUMEN TOTAL'!Z181</f>
        <v>0</v>
      </c>
      <c r="N136" s="70">
        <f>'RESUMEN TOTAL'!AA181</f>
        <v>0</v>
      </c>
      <c r="O136" s="70">
        <f>'RESUMEN TOTAL'!AB181</f>
        <v>0</v>
      </c>
      <c r="P136" s="70">
        <f>'RESUMEN TOTAL'!AC181</f>
        <v>0</v>
      </c>
      <c r="Q136" s="70">
        <f>'RESUMEN TOTAL'!AD181</f>
        <v>0</v>
      </c>
      <c r="R136" s="70">
        <f>'RESUMEN TOTAL'!AE181</f>
        <v>0</v>
      </c>
      <c r="S136" s="70">
        <f>'RESUMEN TOTAL'!AF181</f>
        <v>0</v>
      </c>
      <c r="T136" s="70">
        <f>'RESUMEN TOTAL'!AG181</f>
        <v>0</v>
      </c>
      <c r="U136" s="70">
        <f>'RESUMEN TOTAL'!AH181</f>
        <v>0</v>
      </c>
      <c r="V136" s="70">
        <f>'RESUMEN TOTAL'!AI181</f>
        <v>0</v>
      </c>
      <c r="W136" s="70">
        <f>'RESUMEN TOTAL'!AJ181</f>
        <v>0</v>
      </c>
      <c r="X136" s="70">
        <f>'RESUMEN TOTAL'!AK181</f>
        <v>0</v>
      </c>
      <c r="Y136" s="70">
        <f>'RESUMEN TOTAL'!AL181</f>
        <v>0</v>
      </c>
      <c r="Z136" s="70">
        <f>'RESUMEN TOTAL'!AM181</f>
        <v>0</v>
      </c>
      <c r="AA136" s="70">
        <f>'RESUMEN TOTAL'!AN181</f>
        <v>0</v>
      </c>
      <c r="AB136" s="70">
        <f>'RESUMEN TOTAL'!AO181</f>
        <v>0</v>
      </c>
      <c r="AC136" s="70">
        <f>'RESUMEN TOTAL'!AP181</f>
        <v>0</v>
      </c>
      <c r="AD136" s="70">
        <f>'RESUMEN TOTAL'!AQ181</f>
        <v>0</v>
      </c>
      <c r="AE136" s="70">
        <f>'RESUMEN TOTAL'!AR181</f>
        <v>0</v>
      </c>
      <c r="AF136" s="70">
        <f>'RESUMEN TOTAL'!AS181</f>
        <v>0</v>
      </c>
      <c r="AG136" s="70">
        <f>'RESUMEN TOTAL'!AT181</f>
        <v>0</v>
      </c>
      <c r="AH136" s="70">
        <f>'RESUMEN TOTAL'!AU181</f>
        <v>0</v>
      </c>
      <c r="AI136" s="70">
        <f>'RESUMEN TOTAL'!AV181</f>
        <v>0</v>
      </c>
      <c r="AJ136" s="70" t="e">
        <f>'RESUMEN TOTAL'!#REF!</f>
        <v>#REF!</v>
      </c>
    </row>
    <row r="137" spans="1:36" x14ac:dyDescent="0.25">
      <c r="A137" t="str">
        <f>'RESUMEN TOTAL'!F182</f>
        <v>SAN JORGE</v>
      </c>
      <c r="B137" t="str">
        <f>'RESUMEN TOTAL'!G182</f>
        <v>ESM03</v>
      </c>
      <c r="C137" t="str">
        <f>'RESUMEN TOTAL'!I182</f>
        <v>Novak y Humahuaca</v>
      </c>
      <c r="D137" s="30" t="str">
        <f>'RESUMEN TOTAL'!J182</f>
        <v>DOMO</v>
      </c>
      <c r="E137" s="30" t="str">
        <f>'RESUMEN TOTAL'!K182</f>
        <v>PTO A FO</v>
      </c>
      <c r="F137" s="70">
        <f>'RESUMEN TOTAL'!S182</f>
        <v>0</v>
      </c>
      <c r="G137" s="70">
        <f>'RESUMEN TOTAL'!T182</f>
        <v>0</v>
      </c>
      <c r="H137" s="70">
        <f>'RESUMEN TOTAL'!U182</f>
        <v>0</v>
      </c>
      <c r="I137" s="70">
        <f>'RESUMEN TOTAL'!V182</f>
        <v>0</v>
      </c>
      <c r="J137" s="70">
        <f>'RESUMEN TOTAL'!W182</f>
        <v>0</v>
      </c>
      <c r="K137" s="70">
        <f>'RESUMEN TOTAL'!X182</f>
        <v>0</v>
      </c>
      <c r="L137" s="70">
        <f>'RESUMEN TOTAL'!Y182</f>
        <v>0</v>
      </c>
      <c r="M137" s="70">
        <f>'RESUMEN TOTAL'!Z182</f>
        <v>0</v>
      </c>
      <c r="N137" s="70">
        <f>'RESUMEN TOTAL'!AA182</f>
        <v>0</v>
      </c>
      <c r="O137" s="70">
        <f>'RESUMEN TOTAL'!AB182</f>
        <v>0</v>
      </c>
      <c r="P137" s="70">
        <f>'RESUMEN TOTAL'!AC182</f>
        <v>0</v>
      </c>
      <c r="Q137" s="70">
        <f>'RESUMEN TOTAL'!AD182</f>
        <v>0</v>
      </c>
      <c r="R137" s="70">
        <f>'RESUMEN TOTAL'!AE182</f>
        <v>0</v>
      </c>
      <c r="S137" s="70">
        <f>'RESUMEN TOTAL'!AF182</f>
        <v>0</v>
      </c>
      <c r="T137" s="70">
        <f>'RESUMEN TOTAL'!AG182</f>
        <v>0</v>
      </c>
      <c r="U137" s="70">
        <f>'RESUMEN TOTAL'!AH182</f>
        <v>0</v>
      </c>
      <c r="V137" s="70">
        <f>'RESUMEN TOTAL'!AI182</f>
        <v>0</v>
      </c>
      <c r="W137" s="70">
        <f>'RESUMEN TOTAL'!AJ182</f>
        <v>0</v>
      </c>
      <c r="X137" s="70">
        <f>'RESUMEN TOTAL'!AK182</f>
        <v>0</v>
      </c>
      <c r="Y137" s="70">
        <f>'RESUMEN TOTAL'!AL182</f>
        <v>0</v>
      </c>
      <c r="Z137" s="70">
        <f>'RESUMEN TOTAL'!AM182</f>
        <v>0</v>
      </c>
      <c r="AA137" s="70">
        <f>'RESUMEN TOTAL'!AN182</f>
        <v>0</v>
      </c>
      <c r="AB137" s="70">
        <f>'RESUMEN TOTAL'!AO182</f>
        <v>0</v>
      </c>
      <c r="AC137" s="70">
        <f>'RESUMEN TOTAL'!AP182</f>
        <v>0</v>
      </c>
      <c r="AD137" s="70">
        <f>'RESUMEN TOTAL'!AQ182</f>
        <v>0</v>
      </c>
      <c r="AE137" s="70">
        <f>'RESUMEN TOTAL'!AR182</f>
        <v>0</v>
      </c>
      <c r="AF137" s="70">
        <f>'RESUMEN TOTAL'!AS182</f>
        <v>0</v>
      </c>
      <c r="AG137" s="70">
        <f>'RESUMEN TOTAL'!AT182</f>
        <v>0</v>
      </c>
      <c r="AH137" s="70">
        <f>'RESUMEN TOTAL'!AU182</f>
        <v>0</v>
      </c>
      <c r="AI137" s="70">
        <f>'RESUMEN TOTAL'!AV182</f>
        <v>0</v>
      </c>
      <c r="AJ137" s="70" t="e">
        <f>'RESUMEN TOTAL'!#REF!</f>
        <v>#REF!</v>
      </c>
    </row>
    <row r="138" spans="1:36" x14ac:dyDescent="0.25">
      <c r="A138" t="str">
        <f>'RESUMEN TOTAL'!F183</f>
        <v>LA ESMERALDA</v>
      </c>
      <c r="B138" t="str">
        <f>'RESUMEN TOTAL'!G183</f>
        <v>ESM04</v>
      </c>
      <c r="C138" t="str">
        <f>'RESUMEN TOTAL'!I183</f>
        <v>Basualdo y Bengochea</v>
      </c>
      <c r="D138" s="30" t="str">
        <f>'RESUMEN TOTAL'!J183</f>
        <v>Domo</v>
      </c>
      <c r="E138" s="30" t="str">
        <f>'RESUMEN TOTAL'!K183</f>
        <v>Fibra Optica</v>
      </c>
      <c r="F138" s="70">
        <f>'RESUMEN TOTAL'!S183</f>
        <v>0</v>
      </c>
      <c r="G138" s="70">
        <f>'RESUMEN TOTAL'!T183</f>
        <v>0</v>
      </c>
      <c r="H138" s="70">
        <f>'RESUMEN TOTAL'!U183</f>
        <v>0</v>
      </c>
      <c r="I138" s="70">
        <f>'RESUMEN TOTAL'!V183</f>
        <v>0</v>
      </c>
      <c r="J138" s="70">
        <f>'RESUMEN TOTAL'!W183</f>
        <v>0</v>
      </c>
      <c r="K138" s="70">
        <f>'RESUMEN TOTAL'!X183</f>
        <v>0</v>
      </c>
      <c r="L138" s="70">
        <f>'RESUMEN TOTAL'!Y183</f>
        <v>0</v>
      </c>
      <c r="M138" s="70">
        <f>'RESUMEN TOTAL'!Z183</f>
        <v>0</v>
      </c>
      <c r="N138" s="70">
        <f>'RESUMEN TOTAL'!AA183</f>
        <v>0</v>
      </c>
      <c r="O138" s="70">
        <f>'RESUMEN TOTAL'!AB183</f>
        <v>0</v>
      </c>
      <c r="P138" s="70">
        <f>'RESUMEN TOTAL'!AC183</f>
        <v>0</v>
      </c>
      <c r="Q138" s="70">
        <f>'RESUMEN TOTAL'!AD183</f>
        <v>0</v>
      </c>
      <c r="R138" s="70">
        <f>'RESUMEN TOTAL'!AE183</f>
        <v>0</v>
      </c>
      <c r="S138" s="70">
        <f>'RESUMEN TOTAL'!AF183</f>
        <v>0</v>
      </c>
      <c r="T138" s="70">
        <f>'RESUMEN TOTAL'!AG183</f>
        <v>0</v>
      </c>
      <c r="U138" s="70">
        <f>'RESUMEN TOTAL'!AH183</f>
        <v>0</v>
      </c>
      <c r="V138" s="70">
        <f>'RESUMEN TOTAL'!AI183</f>
        <v>0</v>
      </c>
      <c r="W138" s="70">
        <f>'RESUMEN TOTAL'!AJ183</f>
        <v>0</v>
      </c>
      <c r="X138" s="70">
        <f>'RESUMEN TOTAL'!AK183</f>
        <v>0</v>
      </c>
      <c r="Y138" s="70">
        <f>'RESUMEN TOTAL'!AL183</f>
        <v>0</v>
      </c>
      <c r="Z138" s="70" t="str">
        <f>'RESUMEN TOTAL'!AM183</f>
        <v>APAGADO</v>
      </c>
      <c r="AA138" s="70">
        <f>'RESUMEN TOTAL'!AN183</f>
        <v>0</v>
      </c>
      <c r="AB138" s="70">
        <f>'RESUMEN TOTAL'!AO183</f>
        <v>0</v>
      </c>
      <c r="AC138" s="70">
        <f>'RESUMEN TOTAL'!AP183</f>
        <v>0</v>
      </c>
      <c r="AD138" s="70">
        <f>'RESUMEN TOTAL'!AQ183</f>
        <v>0</v>
      </c>
      <c r="AE138" s="70">
        <f>'RESUMEN TOTAL'!AR183</f>
        <v>0</v>
      </c>
      <c r="AF138" s="70">
        <f>'RESUMEN TOTAL'!AS183</f>
        <v>0</v>
      </c>
      <c r="AG138" s="70">
        <f>'RESUMEN TOTAL'!AT183</f>
        <v>0</v>
      </c>
      <c r="AH138" s="70">
        <f>'RESUMEN TOTAL'!AU183</f>
        <v>0</v>
      </c>
      <c r="AI138" s="70">
        <f>'RESUMEN TOTAL'!AV183</f>
        <v>0</v>
      </c>
      <c r="AJ138" s="70" t="e">
        <f>'RESUMEN TOTAL'!#REF!</f>
        <v>#REF!</v>
      </c>
    </row>
    <row r="139" spans="1:36" x14ac:dyDescent="0.25">
      <c r="A139" t="str">
        <f>'RESUMEN TOTAL'!F184</f>
        <v>LA ESMERALDA</v>
      </c>
      <c r="B139" t="str">
        <f>'RESUMEN TOTAL'!G184</f>
        <v>ESM05</v>
      </c>
      <c r="C139" t="str">
        <f>'RESUMEN TOTAL'!I184</f>
        <v>Aniceto Diaz y Villar</v>
      </c>
      <c r="D139" s="30" t="str">
        <f>'RESUMEN TOTAL'!J184</f>
        <v>Domo</v>
      </c>
      <c r="E139" s="30" t="str">
        <f>'RESUMEN TOTAL'!K184</f>
        <v>Fibra Optica</v>
      </c>
      <c r="F139" s="70">
        <f>'RESUMEN TOTAL'!S184</f>
        <v>0</v>
      </c>
      <c r="G139" s="70">
        <f>'RESUMEN TOTAL'!T184</f>
        <v>0</v>
      </c>
      <c r="H139" s="70">
        <f>'RESUMEN TOTAL'!U184</f>
        <v>0</v>
      </c>
      <c r="I139" s="70">
        <f>'RESUMEN TOTAL'!V184</f>
        <v>0</v>
      </c>
      <c r="J139" s="70">
        <f>'RESUMEN TOTAL'!W184</f>
        <v>0</v>
      </c>
      <c r="K139" s="70">
        <f>'RESUMEN TOTAL'!X184</f>
        <v>0</v>
      </c>
      <c r="L139" s="70">
        <f>'RESUMEN TOTAL'!Y184</f>
        <v>0</v>
      </c>
      <c r="M139" s="70">
        <f>'RESUMEN TOTAL'!Z184</f>
        <v>0</v>
      </c>
      <c r="N139" s="70">
        <f>'RESUMEN TOTAL'!AA184</f>
        <v>0</v>
      </c>
      <c r="O139" s="70">
        <f>'RESUMEN TOTAL'!AB184</f>
        <v>0</v>
      </c>
      <c r="P139" s="70">
        <f>'RESUMEN TOTAL'!AC184</f>
        <v>0</v>
      </c>
      <c r="Q139" s="70">
        <f>'RESUMEN TOTAL'!AD184</f>
        <v>0</v>
      </c>
      <c r="R139" s="70">
        <f>'RESUMEN TOTAL'!AE184</f>
        <v>0</v>
      </c>
      <c r="S139" s="70">
        <f>'RESUMEN TOTAL'!AF184</f>
        <v>0</v>
      </c>
      <c r="T139" s="70">
        <f>'RESUMEN TOTAL'!AG184</f>
        <v>0</v>
      </c>
      <c r="U139" s="70">
        <f>'RESUMEN TOTAL'!AH184</f>
        <v>0</v>
      </c>
      <c r="V139" s="70">
        <f>'RESUMEN TOTAL'!AI184</f>
        <v>0</v>
      </c>
      <c r="W139" s="70">
        <f>'RESUMEN TOTAL'!AJ184</f>
        <v>0</v>
      </c>
      <c r="X139" s="70">
        <f>'RESUMEN TOTAL'!AK184</f>
        <v>0</v>
      </c>
      <c r="Y139" s="70">
        <f>'RESUMEN TOTAL'!AL184</f>
        <v>0</v>
      </c>
      <c r="Z139" s="70">
        <f>'RESUMEN TOTAL'!AM184</f>
        <v>0</v>
      </c>
      <c r="AA139" s="70">
        <f>'RESUMEN TOTAL'!AN184</f>
        <v>0</v>
      </c>
      <c r="AB139" s="70">
        <f>'RESUMEN TOTAL'!AO184</f>
        <v>0</v>
      </c>
      <c r="AC139" s="70">
        <f>'RESUMEN TOTAL'!AP184</f>
        <v>0</v>
      </c>
      <c r="AD139" s="70">
        <f>'RESUMEN TOTAL'!AQ184</f>
        <v>0</v>
      </c>
      <c r="AE139" s="70">
        <f>'RESUMEN TOTAL'!AR184</f>
        <v>0</v>
      </c>
      <c r="AF139" s="70">
        <f>'RESUMEN TOTAL'!AS184</f>
        <v>0</v>
      </c>
      <c r="AG139" s="70">
        <f>'RESUMEN TOTAL'!AT184</f>
        <v>0</v>
      </c>
      <c r="AH139" s="70">
        <f>'RESUMEN TOTAL'!AU184</f>
        <v>0</v>
      </c>
      <c r="AI139" s="70">
        <f>'RESUMEN TOTAL'!AV184</f>
        <v>0</v>
      </c>
      <c r="AJ139" s="70" t="e">
        <f>'RESUMEN TOTAL'!#REF!</f>
        <v>#REF!</v>
      </c>
    </row>
    <row r="140" spans="1:36" x14ac:dyDescent="0.25">
      <c r="A140" t="str">
        <f>'RESUMEN TOTAL'!F185</f>
        <v>LA ESMERALDA</v>
      </c>
      <c r="B140" t="str">
        <f>'RESUMEN TOTAL'!G185</f>
        <v>ESM06</v>
      </c>
      <c r="C140" t="str">
        <f>'RESUMEN TOTAL'!I185</f>
        <v>Roselli y Cabello</v>
      </c>
      <c r="D140" s="30" t="str">
        <f>'RESUMEN TOTAL'!J185</f>
        <v>Domo</v>
      </c>
      <c r="E140" s="30" t="str">
        <f>'RESUMEN TOTAL'!K185</f>
        <v>GPON</v>
      </c>
      <c r="F140" s="70">
        <f>'RESUMEN TOTAL'!S185</f>
        <v>0</v>
      </c>
      <c r="G140" s="70">
        <f>'RESUMEN TOTAL'!T185</f>
        <v>0</v>
      </c>
      <c r="H140" s="70">
        <f>'RESUMEN TOTAL'!U185</f>
        <v>0</v>
      </c>
      <c r="I140" s="70">
        <f>'RESUMEN TOTAL'!V185</f>
        <v>0</v>
      </c>
      <c r="J140" s="70">
        <f>'RESUMEN TOTAL'!W185</f>
        <v>0</v>
      </c>
      <c r="K140" s="70">
        <f>'RESUMEN TOTAL'!X185</f>
        <v>0</v>
      </c>
      <c r="L140" s="70" t="str">
        <f>'RESUMEN TOTAL'!Y185</f>
        <v>APAGADO</v>
      </c>
      <c r="M140" s="70">
        <f>'RESUMEN TOTAL'!Z185</f>
        <v>0</v>
      </c>
      <c r="N140" s="70">
        <f>'RESUMEN TOTAL'!AA185</f>
        <v>0</v>
      </c>
      <c r="O140" s="70">
        <f>'RESUMEN TOTAL'!AB185</f>
        <v>0</v>
      </c>
      <c r="P140" s="70">
        <f>'RESUMEN TOTAL'!AC185</f>
        <v>0</v>
      </c>
      <c r="Q140" s="70">
        <f>'RESUMEN TOTAL'!AD185</f>
        <v>0</v>
      </c>
      <c r="R140" s="70">
        <f>'RESUMEN TOTAL'!AE185</f>
        <v>0</v>
      </c>
      <c r="S140" s="70">
        <f>'RESUMEN TOTAL'!AF185</f>
        <v>0</v>
      </c>
      <c r="T140" s="70">
        <f>'RESUMEN TOTAL'!AG185</f>
        <v>0</v>
      </c>
      <c r="U140" s="70">
        <f>'RESUMEN TOTAL'!AH185</f>
        <v>0</v>
      </c>
      <c r="V140" s="70">
        <f>'RESUMEN TOTAL'!AI185</f>
        <v>0</v>
      </c>
      <c r="W140" s="70">
        <f>'RESUMEN TOTAL'!AJ185</f>
        <v>0</v>
      </c>
      <c r="X140" s="70">
        <f>'RESUMEN TOTAL'!AK185</f>
        <v>0</v>
      </c>
      <c r="Y140" s="70">
        <f>'RESUMEN TOTAL'!AL185</f>
        <v>0</v>
      </c>
      <c r="Z140" s="70">
        <f>'RESUMEN TOTAL'!AM185</f>
        <v>0</v>
      </c>
      <c r="AA140" s="70">
        <f>'RESUMEN TOTAL'!AN185</f>
        <v>0</v>
      </c>
      <c r="AB140" s="70">
        <f>'RESUMEN TOTAL'!AO185</f>
        <v>0</v>
      </c>
      <c r="AC140" s="70">
        <f>'RESUMEN TOTAL'!AP185</f>
        <v>0</v>
      </c>
      <c r="AD140" s="70">
        <f>'RESUMEN TOTAL'!AQ185</f>
        <v>0</v>
      </c>
      <c r="AE140" s="70">
        <f>'RESUMEN TOTAL'!AR185</f>
        <v>0</v>
      </c>
      <c r="AF140" s="70">
        <f>'RESUMEN TOTAL'!AS185</f>
        <v>0</v>
      </c>
      <c r="AG140" s="70">
        <f>'RESUMEN TOTAL'!AT185</f>
        <v>0</v>
      </c>
      <c r="AH140" s="70">
        <f>'RESUMEN TOTAL'!AU185</f>
        <v>0</v>
      </c>
      <c r="AI140" s="70">
        <f>'RESUMEN TOTAL'!AV185</f>
        <v>0</v>
      </c>
      <c r="AJ140" s="70" t="e">
        <f>'RESUMEN TOTAL'!#REF!</f>
        <v>#REF!</v>
      </c>
    </row>
    <row r="141" spans="1:36" x14ac:dyDescent="0.25">
      <c r="A141" t="str">
        <f>'RESUMEN TOTAL'!F186</f>
        <v>LA ESMERALDA</v>
      </c>
      <c r="B141" t="str">
        <f>'RESUMEN TOTAL'!G186</f>
        <v>ESM07</v>
      </c>
      <c r="C141" t="str">
        <f>'RESUMEN TOTAL'!I186</f>
        <v>AV. NOVAK Y SERRANO</v>
      </c>
      <c r="D141" s="30" t="str">
        <f>'RESUMEN TOTAL'!J186</f>
        <v>DOMO</v>
      </c>
      <c r="E141" s="30" t="str">
        <f>'RESUMEN TOTAL'!K186</f>
        <v>PTO A FO</v>
      </c>
      <c r="F141" s="70">
        <f>'RESUMEN TOTAL'!S186</f>
        <v>0</v>
      </c>
      <c r="G141" s="70">
        <f>'RESUMEN TOTAL'!T186</f>
        <v>0</v>
      </c>
      <c r="H141" s="70">
        <f>'RESUMEN TOTAL'!U186</f>
        <v>0</v>
      </c>
      <c r="I141" s="70">
        <f>'RESUMEN TOTAL'!V186</f>
        <v>0</v>
      </c>
      <c r="J141" s="70">
        <f>'RESUMEN TOTAL'!W186</f>
        <v>0</v>
      </c>
      <c r="K141" s="70">
        <f>'RESUMEN TOTAL'!X186</f>
        <v>0</v>
      </c>
      <c r="L141" s="70">
        <f>'RESUMEN TOTAL'!Y186</f>
        <v>0</v>
      </c>
      <c r="M141" s="70">
        <f>'RESUMEN TOTAL'!Z186</f>
        <v>0</v>
      </c>
      <c r="N141" s="70">
        <f>'RESUMEN TOTAL'!AA186</f>
        <v>0</v>
      </c>
      <c r="O141" s="70">
        <f>'RESUMEN TOTAL'!AB186</f>
        <v>0</v>
      </c>
      <c r="P141" s="70">
        <f>'RESUMEN TOTAL'!AC186</f>
        <v>0</v>
      </c>
      <c r="Q141" s="70">
        <f>'RESUMEN TOTAL'!AD186</f>
        <v>0</v>
      </c>
      <c r="R141" s="70">
        <f>'RESUMEN TOTAL'!AE186</f>
        <v>0</v>
      </c>
      <c r="S141" s="70">
        <f>'RESUMEN TOTAL'!AF186</f>
        <v>0</v>
      </c>
      <c r="T141" s="70">
        <f>'RESUMEN TOTAL'!AG186</f>
        <v>0</v>
      </c>
      <c r="U141" s="70">
        <f>'RESUMEN TOTAL'!AH186</f>
        <v>0</v>
      </c>
      <c r="V141" s="70">
        <f>'RESUMEN TOTAL'!AI186</f>
        <v>0</v>
      </c>
      <c r="W141" s="70">
        <f>'RESUMEN TOTAL'!AJ186</f>
        <v>0</v>
      </c>
      <c r="X141" s="70">
        <f>'RESUMEN TOTAL'!AK186</f>
        <v>0</v>
      </c>
      <c r="Y141" s="70">
        <f>'RESUMEN TOTAL'!AL186</f>
        <v>0</v>
      </c>
      <c r="Z141" s="70">
        <f>'RESUMEN TOTAL'!AM186</f>
        <v>0</v>
      </c>
      <c r="AA141" s="70">
        <f>'RESUMEN TOTAL'!AN186</f>
        <v>0</v>
      </c>
      <c r="AB141" s="70">
        <f>'RESUMEN TOTAL'!AO186</f>
        <v>0</v>
      </c>
      <c r="AC141" s="70">
        <f>'RESUMEN TOTAL'!AP186</f>
        <v>0</v>
      </c>
      <c r="AD141" s="70">
        <f>'RESUMEN TOTAL'!AQ186</f>
        <v>0</v>
      </c>
      <c r="AE141" s="70">
        <f>'RESUMEN TOTAL'!AR186</f>
        <v>0</v>
      </c>
      <c r="AF141" s="70">
        <f>'RESUMEN TOTAL'!AS186</f>
        <v>0</v>
      </c>
      <c r="AG141" s="70">
        <f>'RESUMEN TOTAL'!AT186</f>
        <v>0</v>
      </c>
      <c r="AH141" s="70">
        <f>'RESUMEN TOTAL'!AU186</f>
        <v>0</v>
      </c>
      <c r="AI141" s="70">
        <f>'RESUMEN TOTAL'!AV186</f>
        <v>0</v>
      </c>
      <c r="AJ141" s="70" t="e">
        <f>'RESUMEN TOTAL'!#REF!</f>
        <v>#REF!</v>
      </c>
    </row>
    <row r="142" spans="1:36" x14ac:dyDescent="0.25">
      <c r="A142" t="str">
        <f>'RESUMEN TOTAL'!F187</f>
        <v>LA ESMERALDA</v>
      </c>
      <c r="B142" t="str">
        <f>'RESUMEN TOTAL'!G187</f>
        <v>ESM09 (fija 1)</v>
      </c>
      <c r="C142" t="str">
        <f>'RESUMEN TOTAL'!I187</f>
        <v>EEUU Y CABELLO</v>
      </c>
      <c r="D142" s="30" t="str">
        <f>'RESUMEN TOTAL'!J187</f>
        <v>Fija</v>
      </c>
      <c r="E142" s="30" t="str">
        <f>'RESUMEN TOTAL'!K187</f>
        <v>Fibra Optica</v>
      </c>
      <c r="F142" s="70">
        <f>'RESUMEN TOTAL'!S187</f>
        <v>0</v>
      </c>
      <c r="G142" s="70">
        <f>'RESUMEN TOTAL'!T187</f>
        <v>0</v>
      </c>
      <c r="H142" s="70">
        <f>'RESUMEN TOTAL'!U187</f>
        <v>0</v>
      </c>
      <c r="I142" s="70">
        <f>'RESUMEN TOTAL'!V187</f>
        <v>0</v>
      </c>
      <c r="J142" s="70">
        <f>'RESUMEN TOTAL'!W187</f>
        <v>0</v>
      </c>
      <c r="K142" s="70">
        <f>'RESUMEN TOTAL'!X187</f>
        <v>0</v>
      </c>
      <c r="L142" s="70">
        <f>'RESUMEN TOTAL'!Y187</f>
        <v>0</v>
      </c>
      <c r="M142" s="70">
        <f>'RESUMEN TOTAL'!Z187</f>
        <v>0</v>
      </c>
      <c r="N142" s="70">
        <f>'RESUMEN TOTAL'!AA187</f>
        <v>0</v>
      </c>
      <c r="O142" s="70">
        <f>'RESUMEN TOTAL'!AB187</f>
        <v>0</v>
      </c>
      <c r="P142" s="70">
        <f>'RESUMEN TOTAL'!AC187</f>
        <v>0</v>
      </c>
      <c r="Q142" s="70">
        <f>'RESUMEN TOTAL'!AD187</f>
        <v>0</v>
      </c>
      <c r="R142" s="70">
        <f>'RESUMEN TOTAL'!AE187</f>
        <v>0</v>
      </c>
      <c r="S142" s="70">
        <f>'RESUMEN TOTAL'!AF187</f>
        <v>0</v>
      </c>
      <c r="T142" s="70">
        <f>'RESUMEN TOTAL'!AG187</f>
        <v>0</v>
      </c>
      <c r="U142" s="70">
        <f>'RESUMEN TOTAL'!AH187</f>
        <v>0</v>
      </c>
      <c r="V142" s="70">
        <f>'RESUMEN TOTAL'!AI187</f>
        <v>0</v>
      </c>
      <c r="W142" s="70">
        <f>'RESUMEN TOTAL'!AJ187</f>
        <v>0</v>
      </c>
      <c r="X142" s="70">
        <f>'RESUMEN TOTAL'!AK187</f>
        <v>0</v>
      </c>
      <c r="Y142" s="70">
        <f>'RESUMEN TOTAL'!AL187</f>
        <v>0</v>
      </c>
      <c r="Z142" s="70">
        <f>'RESUMEN TOTAL'!AM187</f>
        <v>0</v>
      </c>
      <c r="AA142" s="70">
        <f>'RESUMEN TOTAL'!AN187</f>
        <v>0</v>
      </c>
      <c r="AB142" s="70">
        <f>'RESUMEN TOTAL'!AO187</f>
        <v>0</v>
      </c>
      <c r="AC142" s="70">
        <f>'RESUMEN TOTAL'!AP187</f>
        <v>0</v>
      </c>
      <c r="AD142" s="70">
        <f>'RESUMEN TOTAL'!AQ187</f>
        <v>0</v>
      </c>
      <c r="AE142" s="70">
        <f>'RESUMEN TOTAL'!AR187</f>
        <v>0</v>
      </c>
      <c r="AF142" s="70">
        <f>'RESUMEN TOTAL'!AS187</f>
        <v>0</v>
      </c>
      <c r="AG142" s="70">
        <f>'RESUMEN TOTAL'!AT187</f>
        <v>0</v>
      </c>
      <c r="AH142" s="70">
        <f>'RESUMEN TOTAL'!AU187</f>
        <v>0</v>
      </c>
      <c r="AI142" s="70">
        <f>'RESUMEN TOTAL'!AV187</f>
        <v>0</v>
      </c>
      <c r="AJ142" s="70" t="e">
        <f>'RESUMEN TOTAL'!#REF!</f>
        <v>#REF!</v>
      </c>
    </row>
    <row r="143" spans="1:36" x14ac:dyDescent="0.25">
      <c r="A143" t="str">
        <f>'RESUMEN TOTAL'!F188</f>
        <v>LA ESMERALDA</v>
      </c>
      <c r="B143" t="str">
        <f>'RESUMEN TOTAL'!G188</f>
        <v>ESM10 (fija 2)</v>
      </c>
      <c r="C143" t="str">
        <f>'RESUMEN TOTAL'!I188</f>
        <v>EEUU Y CABELLO</v>
      </c>
      <c r="D143" s="30" t="str">
        <f>'RESUMEN TOTAL'!J188</f>
        <v>Fija</v>
      </c>
      <c r="E143" s="30" t="str">
        <f>'RESUMEN TOTAL'!K188</f>
        <v>Fibra Optica</v>
      </c>
      <c r="F143" s="70">
        <f>'RESUMEN TOTAL'!S188</f>
        <v>0</v>
      </c>
      <c r="G143" s="70">
        <f>'RESUMEN TOTAL'!T188</f>
        <v>0</v>
      </c>
      <c r="H143" s="70">
        <f>'RESUMEN TOTAL'!U188</f>
        <v>0</v>
      </c>
      <c r="I143" s="70">
        <f>'RESUMEN TOTAL'!V188</f>
        <v>0</v>
      </c>
      <c r="J143" s="70">
        <f>'RESUMEN TOTAL'!W188</f>
        <v>0</v>
      </c>
      <c r="K143" s="70">
        <f>'RESUMEN TOTAL'!X188</f>
        <v>0</v>
      </c>
      <c r="L143" s="70">
        <f>'RESUMEN TOTAL'!Y188</f>
        <v>0</v>
      </c>
      <c r="M143" s="70">
        <f>'RESUMEN TOTAL'!Z188</f>
        <v>0</v>
      </c>
      <c r="N143" s="70">
        <f>'RESUMEN TOTAL'!AA188</f>
        <v>0</v>
      </c>
      <c r="O143" s="70">
        <f>'RESUMEN TOTAL'!AB188</f>
        <v>0</v>
      </c>
      <c r="P143" s="70">
        <f>'RESUMEN TOTAL'!AC188</f>
        <v>0</v>
      </c>
      <c r="Q143" s="70">
        <f>'RESUMEN TOTAL'!AD188</f>
        <v>0</v>
      </c>
      <c r="R143" s="70">
        <f>'RESUMEN TOTAL'!AE188</f>
        <v>0</v>
      </c>
      <c r="S143" s="70">
        <f>'RESUMEN TOTAL'!AF188</f>
        <v>0</v>
      </c>
      <c r="T143" s="70">
        <f>'RESUMEN TOTAL'!AG188</f>
        <v>0</v>
      </c>
      <c r="U143" s="70">
        <f>'RESUMEN TOTAL'!AH188</f>
        <v>0</v>
      </c>
      <c r="V143" s="70">
        <f>'RESUMEN TOTAL'!AI188</f>
        <v>0</v>
      </c>
      <c r="W143" s="70">
        <f>'RESUMEN TOTAL'!AJ188</f>
        <v>0</v>
      </c>
      <c r="X143" s="70">
        <f>'RESUMEN TOTAL'!AK188</f>
        <v>0</v>
      </c>
      <c r="Y143" s="70">
        <f>'RESUMEN TOTAL'!AL188</f>
        <v>0</v>
      </c>
      <c r="Z143" s="70">
        <f>'RESUMEN TOTAL'!AM188</f>
        <v>0</v>
      </c>
      <c r="AA143" s="70">
        <f>'RESUMEN TOTAL'!AN188</f>
        <v>0</v>
      </c>
      <c r="AB143" s="70">
        <f>'RESUMEN TOTAL'!AO188</f>
        <v>0</v>
      </c>
      <c r="AC143" s="70">
        <f>'RESUMEN TOTAL'!AP188</f>
        <v>0</v>
      </c>
      <c r="AD143" s="70">
        <f>'RESUMEN TOTAL'!AQ188</f>
        <v>0</v>
      </c>
      <c r="AE143" s="70">
        <f>'RESUMEN TOTAL'!AR188</f>
        <v>0</v>
      </c>
      <c r="AF143" s="70">
        <f>'RESUMEN TOTAL'!AS188</f>
        <v>0</v>
      </c>
      <c r="AG143" s="70">
        <f>'RESUMEN TOTAL'!AT188</f>
        <v>0</v>
      </c>
      <c r="AH143" s="70">
        <f>'RESUMEN TOTAL'!AU188</f>
        <v>0</v>
      </c>
      <c r="AI143" s="70">
        <f>'RESUMEN TOTAL'!AV188</f>
        <v>0</v>
      </c>
      <c r="AJ143" s="70" t="e">
        <f>'RESUMEN TOTAL'!#REF!</f>
        <v>#REF!</v>
      </c>
    </row>
    <row r="144" spans="1:36" x14ac:dyDescent="0.25">
      <c r="A144" t="str">
        <f>'RESUMEN TOTAL'!F189</f>
        <v>LA ESMERALDA</v>
      </c>
      <c r="B144" t="str">
        <f>'RESUMEN TOTAL'!G189</f>
        <v>ESM11 (fija 1)</v>
      </c>
      <c r="C144" t="str">
        <f>'RESUMEN TOTAL'!I189</f>
        <v>NOVAK Y LAMBARDI</v>
      </c>
      <c r="D144" s="30" t="str">
        <f>'RESUMEN TOTAL'!J189</f>
        <v>Fija</v>
      </c>
      <c r="E144" s="30" t="str">
        <f>'RESUMEN TOTAL'!K189</f>
        <v>FO A GPON</v>
      </c>
      <c r="F144" s="70">
        <f>'RESUMEN TOTAL'!S189</f>
        <v>0</v>
      </c>
      <c r="G144" s="70">
        <f>'RESUMEN TOTAL'!T189</f>
        <v>0</v>
      </c>
      <c r="H144" s="70">
        <f>'RESUMEN TOTAL'!U189</f>
        <v>0</v>
      </c>
      <c r="I144" s="70">
        <f>'RESUMEN TOTAL'!V189</f>
        <v>0</v>
      </c>
      <c r="J144" s="70">
        <f>'RESUMEN TOTAL'!W189</f>
        <v>0</v>
      </c>
      <c r="K144" s="70">
        <f>'RESUMEN TOTAL'!X189</f>
        <v>0</v>
      </c>
      <c r="L144" s="70">
        <f>'RESUMEN TOTAL'!Y189</f>
        <v>0</v>
      </c>
      <c r="M144" s="70">
        <f>'RESUMEN TOTAL'!Z189</f>
        <v>0</v>
      </c>
      <c r="N144" s="70">
        <f>'RESUMEN TOTAL'!AA189</f>
        <v>0</v>
      </c>
      <c r="O144" s="70">
        <f>'RESUMEN TOTAL'!AB189</f>
        <v>0</v>
      </c>
      <c r="P144" s="70">
        <f>'RESUMEN TOTAL'!AC189</f>
        <v>0</v>
      </c>
      <c r="Q144" s="70">
        <f>'RESUMEN TOTAL'!AD189</f>
        <v>0</v>
      </c>
      <c r="R144" s="70">
        <f>'RESUMEN TOTAL'!AE189</f>
        <v>0</v>
      </c>
      <c r="S144" s="70">
        <f>'RESUMEN TOTAL'!AF189</f>
        <v>0</v>
      </c>
      <c r="T144" s="70">
        <f>'RESUMEN TOTAL'!AG189</f>
        <v>0</v>
      </c>
      <c r="U144" s="70">
        <f>'RESUMEN TOTAL'!AH189</f>
        <v>0</v>
      </c>
      <c r="V144" s="70">
        <f>'RESUMEN TOTAL'!AI189</f>
        <v>0</v>
      </c>
      <c r="W144" s="70">
        <f>'RESUMEN TOTAL'!AJ189</f>
        <v>0</v>
      </c>
      <c r="X144" s="70">
        <f>'RESUMEN TOTAL'!AK189</f>
        <v>0</v>
      </c>
      <c r="Y144" s="70">
        <f>'RESUMEN TOTAL'!AL189</f>
        <v>0</v>
      </c>
      <c r="Z144" s="70">
        <f>'RESUMEN TOTAL'!AM189</f>
        <v>0</v>
      </c>
      <c r="AA144" s="70">
        <f>'RESUMEN TOTAL'!AN189</f>
        <v>0</v>
      </c>
      <c r="AB144" s="70">
        <f>'RESUMEN TOTAL'!AO189</f>
        <v>0</v>
      </c>
      <c r="AC144" s="70">
        <f>'RESUMEN TOTAL'!AP189</f>
        <v>0</v>
      </c>
      <c r="AD144" s="70">
        <f>'RESUMEN TOTAL'!AQ189</f>
        <v>0</v>
      </c>
      <c r="AE144" s="70">
        <f>'RESUMEN TOTAL'!AR189</f>
        <v>0</v>
      </c>
      <c r="AF144" s="70">
        <f>'RESUMEN TOTAL'!AS189</f>
        <v>0</v>
      </c>
      <c r="AG144" s="70">
        <f>'RESUMEN TOTAL'!AT189</f>
        <v>0</v>
      </c>
      <c r="AH144" s="70">
        <f>'RESUMEN TOTAL'!AU189</f>
        <v>0</v>
      </c>
      <c r="AI144" s="70">
        <f>'RESUMEN TOTAL'!AV189</f>
        <v>0</v>
      </c>
      <c r="AJ144" s="70" t="e">
        <f>'RESUMEN TOTAL'!#REF!</f>
        <v>#REF!</v>
      </c>
    </row>
    <row r="145" spans="1:36" x14ac:dyDescent="0.25">
      <c r="A145" t="str">
        <f>'RESUMEN TOTAL'!F190</f>
        <v>LA ESMERALDA</v>
      </c>
      <c r="B145" t="str">
        <f>'RESUMEN TOTAL'!G190</f>
        <v>ESM12 (fija 2)</v>
      </c>
      <c r="C145" t="str">
        <f>'RESUMEN TOTAL'!I190</f>
        <v>NOVAK Y LAMBARDI</v>
      </c>
      <c r="D145" s="30" t="str">
        <f>'RESUMEN TOTAL'!J190</f>
        <v>Fija</v>
      </c>
      <c r="E145" s="30" t="str">
        <f>'RESUMEN TOTAL'!K190</f>
        <v>FO A GPON</v>
      </c>
      <c r="F145" s="70">
        <f>'RESUMEN TOTAL'!S190</f>
        <v>0</v>
      </c>
      <c r="G145" s="70">
        <f>'RESUMEN TOTAL'!T190</f>
        <v>0</v>
      </c>
      <c r="H145" s="70">
        <f>'RESUMEN TOTAL'!U190</f>
        <v>0</v>
      </c>
      <c r="I145" s="70">
        <f>'RESUMEN TOTAL'!V190</f>
        <v>0</v>
      </c>
      <c r="J145" s="70">
        <f>'RESUMEN TOTAL'!W190</f>
        <v>0</v>
      </c>
      <c r="K145" s="70">
        <f>'RESUMEN TOTAL'!X190</f>
        <v>0</v>
      </c>
      <c r="L145" s="70">
        <f>'RESUMEN TOTAL'!Y190</f>
        <v>0</v>
      </c>
      <c r="M145" s="70">
        <f>'RESUMEN TOTAL'!Z190</f>
        <v>0</v>
      </c>
      <c r="N145" s="70">
        <f>'RESUMEN TOTAL'!AA190</f>
        <v>0</v>
      </c>
      <c r="O145" s="70">
        <f>'RESUMEN TOTAL'!AB190</f>
        <v>0</v>
      </c>
      <c r="P145" s="70">
        <f>'RESUMEN TOTAL'!AC190</f>
        <v>0</v>
      </c>
      <c r="Q145" s="70">
        <f>'RESUMEN TOTAL'!AD190</f>
        <v>0</v>
      </c>
      <c r="R145" s="70">
        <f>'RESUMEN TOTAL'!AE190</f>
        <v>0</v>
      </c>
      <c r="S145" s="70">
        <f>'RESUMEN TOTAL'!AF190</f>
        <v>0</v>
      </c>
      <c r="T145" s="70">
        <f>'RESUMEN TOTAL'!AG190</f>
        <v>0</v>
      </c>
      <c r="U145" s="70">
        <f>'RESUMEN TOTAL'!AH190</f>
        <v>0</v>
      </c>
      <c r="V145" s="70">
        <f>'RESUMEN TOTAL'!AI190</f>
        <v>0</v>
      </c>
      <c r="W145" s="70">
        <f>'RESUMEN TOTAL'!AJ190</f>
        <v>0</v>
      </c>
      <c r="X145" s="70">
        <f>'RESUMEN TOTAL'!AK190</f>
        <v>0</v>
      </c>
      <c r="Y145" s="70">
        <f>'RESUMEN TOTAL'!AL190</f>
        <v>0</v>
      </c>
      <c r="Z145" s="70">
        <f>'RESUMEN TOTAL'!AM190</f>
        <v>0</v>
      </c>
      <c r="AA145" s="70">
        <f>'RESUMEN TOTAL'!AN190</f>
        <v>0</v>
      </c>
      <c r="AB145" s="70">
        <f>'RESUMEN TOTAL'!AO190</f>
        <v>0</v>
      </c>
      <c r="AC145" s="70">
        <f>'RESUMEN TOTAL'!AP190</f>
        <v>0</v>
      </c>
      <c r="AD145" s="70">
        <f>'RESUMEN TOTAL'!AQ190</f>
        <v>0</v>
      </c>
      <c r="AE145" s="70">
        <f>'RESUMEN TOTAL'!AR190</f>
        <v>0</v>
      </c>
      <c r="AF145" s="70">
        <f>'RESUMEN TOTAL'!AS190</f>
        <v>0</v>
      </c>
      <c r="AG145" s="70">
        <f>'RESUMEN TOTAL'!AT190</f>
        <v>0</v>
      </c>
      <c r="AH145" s="70">
        <f>'RESUMEN TOTAL'!AU190</f>
        <v>0</v>
      </c>
      <c r="AI145" s="70">
        <f>'RESUMEN TOTAL'!AV190</f>
        <v>0</v>
      </c>
      <c r="AJ145" s="70" t="e">
        <f>'RESUMEN TOTAL'!#REF!</f>
        <v>#REF!</v>
      </c>
    </row>
    <row r="146" spans="1:36" x14ac:dyDescent="0.25">
      <c r="A146" t="str">
        <f>'RESUMEN TOTAL'!F197</f>
        <v>KM 26700 (JULIO A. COSTA)</v>
      </c>
      <c r="B146" t="str">
        <f>'RESUMEN TOTAL'!G197</f>
        <v>KM 07</v>
      </c>
      <c r="C146" t="str">
        <f>'RESUMEN TOTAL'!I197</f>
        <v>EL ALJIBE E/ EL ZONDA Y DON SEGUNDO SOMBRA</v>
      </c>
      <c r="D146" s="30" t="str">
        <f>'RESUMEN TOTAL'!J197</f>
        <v>DOMO</v>
      </c>
      <c r="E146" s="30" t="str">
        <f>'RESUMEN TOTAL'!K197</f>
        <v>GPON</v>
      </c>
      <c r="F146" s="70">
        <f>'RESUMEN TOTAL'!S197</f>
        <v>0</v>
      </c>
      <c r="G146" s="70">
        <f>'RESUMEN TOTAL'!T197</f>
        <v>0</v>
      </c>
      <c r="H146" s="70">
        <f>'RESUMEN TOTAL'!U197</f>
        <v>0</v>
      </c>
      <c r="I146" s="70">
        <f>'RESUMEN TOTAL'!V197</f>
        <v>0</v>
      </c>
      <c r="J146" s="70">
        <f>'RESUMEN TOTAL'!W197</f>
        <v>0</v>
      </c>
      <c r="K146" s="70">
        <f>'RESUMEN TOTAL'!X197</f>
        <v>0</v>
      </c>
      <c r="L146" s="70">
        <f>'RESUMEN TOTAL'!Y197</f>
        <v>0</v>
      </c>
      <c r="M146" s="70">
        <f>'RESUMEN TOTAL'!Z197</f>
        <v>0</v>
      </c>
      <c r="N146" s="70">
        <f>'RESUMEN TOTAL'!AA197</f>
        <v>0</v>
      </c>
      <c r="O146" s="70">
        <f>'RESUMEN TOTAL'!AB197</f>
        <v>0</v>
      </c>
      <c r="P146" s="70" t="str">
        <f>'RESUMEN TOTAL'!AC197</f>
        <v>APAGADO</v>
      </c>
      <c r="Q146" s="70">
        <f>'RESUMEN TOTAL'!AD197</f>
        <v>0</v>
      </c>
      <c r="R146" s="70">
        <f>'RESUMEN TOTAL'!AE197</f>
        <v>0</v>
      </c>
      <c r="S146" s="70">
        <f>'RESUMEN TOTAL'!AF197</f>
        <v>0</v>
      </c>
      <c r="T146" s="70">
        <f>'RESUMEN TOTAL'!AG197</f>
        <v>0</v>
      </c>
      <c r="U146" s="70">
        <f>'RESUMEN TOTAL'!AH197</f>
        <v>0</v>
      </c>
      <c r="V146" s="70">
        <f>'RESUMEN TOTAL'!AI197</f>
        <v>0</v>
      </c>
      <c r="W146" s="70">
        <f>'RESUMEN TOTAL'!AJ197</f>
        <v>0</v>
      </c>
      <c r="X146" s="70">
        <f>'RESUMEN TOTAL'!AK197</f>
        <v>0</v>
      </c>
      <c r="Y146" s="70">
        <f>'RESUMEN TOTAL'!AL197</f>
        <v>0</v>
      </c>
      <c r="Z146" s="70" t="str">
        <f>'RESUMEN TOTAL'!AM197</f>
        <v>APAGADO</v>
      </c>
      <c r="AA146" s="70">
        <f>'RESUMEN TOTAL'!AN197</f>
        <v>0</v>
      </c>
      <c r="AB146" s="70">
        <f>'RESUMEN TOTAL'!AO197</f>
        <v>0</v>
      </c>
      <c r="AC146" s="70">
        <f>'RESUMEN TOTAL'!AP197</f>
        <v>0</v>
      </c>
      <c r="AD146" s="70">
        <f>'RESUMEN TOTAL'!AQ197</f>
        <v>0</v>
      </c>
      <c r="AE146" s="70">
        <f>'RESUMEN TOTAL'!AR197</f>
        <v>0</v>
      </c>
      <c r="AF146" s="70">
        <f>'RESUMEN TOTAL'!AS197</f>
        <v>0</v>
      </c>
      <c r="AG146" s="70">
        <f>'RESUMEN TOTAL'!AT197</f>
        <v>0</v>
      </c>
      <c r="AH146" s="70">
        <f>'RESUMEN TOTAL'!AU197</f>
        <v>0</v>
      </c>
      <c r="AI146" s="70">
        <f>'RESUMEN TOTAL'!AV197</f>
        <v>0</v>
      </c>
      <c r="AJ146" s="70" t="e">
        <f>'RESUMEN TOTAL'!#REF!</f>
        <v>#REF!</v>
      </c>
    </row>
    <row r="147" spans="1:36" x14ac:dyDescent="0.25">
      <c r="A147" t="str">
        <f>'RESUMEN TOTAL'!F198</f>
        <v>KM 26700 (JULIO A. COSTA)</v>
      </c>
      <c r="B147" t="str">
        <f>'RESUMEN TOTAL'!G198</f>
        <v>KM 10 / UPA 2</v>
      </c>
      <c r="C147" t="str">
        <f>'RESUMEN TOTAL'!I198</f>
        <v>PLAYA DE ESTACIONAMIENTO INTERNA E/ HOSP. MODULAR Y UPA 11.</v>
      </c>
      <c r="D147" s="30" t="str">
        <f>'RESUMEN TOTAL'!J198</f>
        <v>DOMO</v>
      </c>
      <c r="E147" s="30" t="str">
        <f>'RESUMEN TOTAL'!K198</f>
        <v>GPON</v>
      </c>
      <c r="F147" s="70">
        <f>'RESUMEN TOTAL'!S198</f>
        <v>0</v>
      </c>
      <c r="G147" s="70">
        <f>'RESUMEN TOTAL'!T198</f>
        <v>0</v>
      </c>
      <c r="H147" s="70">
        <f>'RESUMEN TOTAL'!U198</f>
        <v>0</v>
      </c>
      <c r="I147" s="70">
        <f>'RESUMEN TOTAL'!V198</f>
        <v>0</v>
      </c>
      <c r="J147" s="70">
        <f>'RESUMEN TOTAL'!W198</f>
        <v>0</v>
      </c>
      <c r="K147" s="70">
        <f>'RESUMEN TOTAL'!X198</f>
        <v>0</v>
      </c>
      <c r="L147" s="70">
        <f>'RESUMEN TOTAL'!Y198</f>
        <v>0</v>
      </c>
      <c r="M147" s="70">
        <f>'RESUMEN TOTAL'!Z198</f>
        <v>0</v>
      </c>
      <c r="N147" s="70">
        <f>'RESUMEN TOTAL'!AA198</f>
        <v>0</v>
      </c>
      <c r="O147" s="70">
        <f>'RESUMEN TOTAL'!AB198</f>
        <v>0</v>
      </c>
      <c r="P147" s="70">
        <f>'RESUMEN TOTAL'!AC198</f>
        <v>0</v>
      </c>
      <c r="Q147" s="70">
        <f>'RESUMEN TOTAL'!AD198</f>
        <v>0</v>
      </c>
      <c r="R147" s="70">
        <f>'RESUMEN TOTAL'!AE198</f>
        <v>0</v>
      </c>
      <c r="S147" s="70">
        <f>'RESUMEN TOTAL'!AF198</f>
        <v>0</v>
      </c>
      <c r="T147" s="70">
        <f>'RESUMEN TOTAL'!AG198</f>
        <v>0</v>
      </c>
      <c r="U147" s="70">
        <f>'RESUMEN TOTAL'!AH198</f>
        <v>0</v>
      </c>
      <c r="V147" s="70">
        <f>'RESUMEN TOTAL'!AI198</f>
        <v>0</v>
      </c>
      <c r="W147" s="70">
        <f>'RESUMEN TOTAL'!AJ198</f>
        <v>0</v>
      </c>
      <c r="X147" s="70">
        <f>'RESUMEN TOTAL'!AK198</f>
        <v>0</v>
      </c>
      <c r="Y147" s="70">
        <f>'RESUMEN TOTAL'!AL198</f>
        <v>0</v>
      </c>
      <c r="Z147" s="70">
        <f>'RESUMEN TOTAL'!AM198</f>
        <v>0</v>
      </c>
      <c r="AA147" s="70">
        <f>'RESUMEN TOTAL'!AN198</f>
        <v>0</v>
      </c>
      <c r="AB147" s="70">
        <f>'RESUMEN TOTAL'!AO198</f>
        <v>0</v>
      </c>
      <c r="AC147" s="70">
        <f>'RESUMEN TOTAL'!AP198</f>
        <v>0</v>
      </c>
      <c r="AD147" s="70">
        <f>'RESUMEN TOTAL'!AQ198</f>
        <v>0</v>
      </c>
      <c r="AE147" s="70">
        <f>'RESUMEN TOTAL'!AR198</f>
        <v>0</v>
      </c>
      <c r="AF147" s="70">
        <f>'RESUMEN TOTAL'!AS198</f>
        <v>0</v>
      </c>
      <c r="AG147" s="70">
        <f>'RESUMEN TOTAL'!AT198</f>
        <v>0</v>
      </c>
      <c r="AH147" s="70">
        <f>'RESUMEN TOTAL'!AU198</f>
        <v>0</v>
      </c>
      <c r="AI147" s="70">
        <f>'RESUMEN TOTAL'!AV198</f>
        <v>0</v>
      </c>
      <c r="AJ147" s="70" t="e">
        <f>'RESUMEN TOTAL'!#REF!</f>
        <v>#REF!</v>
      </c>
    </row>
    <row r="148" spans="1:36" x14ac:dyDescent="0.25">
      <c r="A148" t="str">
        <f>'RESUMEN TOTAL'!F199</f>
        <v>KM 26700 (JULIO A. COSTA)</v>
      </c>
      <c r="B148" t="str">
        <f>'RESUMEN TOTAL'!G199</f>
        <v>KM 12 FIJA 1</v>
      </c>
      <c r="C148" t="str">
        <f>'RESUMEN TOTAL'!I199</f>
        <v>BLANDENGUES Y LA ZAMBA</v>
      </c>
      <c r="D148" s="30" t="str">
        <f>'RESUMEN TOTAL'!J199</f>
        <v>Fija</v>
      </c>
      <c r="E148" s="30" t="str">
        <f>'RESUMEN TOTAL'!K199</f>
        <v>PTO A FO</v>
      </c>
      <c r="F148" s="70">
        <f>'RESUMEN TOTAL'!S199</f>
        <v>0</v>
      </c>
      <c r="G148" s="70">
        <f>'RESUMEN TOTAL'!T199</f>
        <v>0</v>
      </c>
      <c r="H148" s="70">
        <f>'RESUMEN TOTAL'!U199</f>
        <v>0</v>
      </c>
      <c r="I148" s="70">
        <f>'RESUMEN TOTAL'!V199</f>
        <v>0</v>
      </c>
      <c r="J148" s="70">
        <f>'RESUMEN TOTAL'!W199</f>
        <v>0</v>
      </c>
      <c r="K148" s="70">
        <f>'RESUMEN TOTAL'!X199</f>
        <v>0</v>
      </c>
      <c r="L148" s="70">
        <f>'RESUMEN TOTAL'!Y199</f>
        <v>0</v>
      </c>
      <c r="M148" s="70">
        <f>'RESUMEN TOTAL'!Z199</f>
        <v>0</v>
      </c>
      <c r="N148" s="70">
        <f>'RESUMEN TOTAL'!AA199</f>
        <v>0</v>
      </c>
      <c r="O148" s="70">
        <f>'RESUMEN TOTAL'!AB199</f>
        <v>0</v>
      </c>
      <c r="P148" s="70">
        <f>'RESUMEN TOTAL'!AC199</f>
        <v>0</v>
      </c>
      <c r="Q148" s="70">
        <f>'RESUMEN TOTAL'!AD199</f>
        <v>0</v>
      </c>
      <c r="R148" s="70">
        <f>'RESUMEN TOTAL'!AE199</f>
        <v>0</v>
      </c>
      <c r="S148" s="70">
        <f>'RESUMEN TOTAL'!AF199</f>
        <v>0</v>
      </c>
      <c r="T148" s="70">
        <f>'RESUMEN TOTAL'!AG199</f>
        <v>0</v>
      </c>
      <c r="U148" s="70">
        <f>'RESUMEN TOTAL'!AH199</f>
        <v>0</v>
      </c>
      <c r="V148" s="70">
        <f>'RESUMEN TOTAL'!AI199</f>
        <v>0</v>
      </c>
      <c r="W148" s="70">
        <f>'RESUMEN TOTAL'!AJ199</f>
        <v>0</v>
      </c>
      <c r="X148" s="70">
        <f>'RESUMEN TOTAL'!AK199</f>
        <v>0</v>
      </c>
      <c r="Y148" s="70">
        <f>'RESUMEN TOTAL'!AL199</f>
        <v>0</v>
      </c>
      <c r="Z148" s="70">
        <f>'RESUMEN TOTAL'!AM199</f>
        <v>0</v>
      </c>
      <c r="AA148" s="70">
        <f>'RESUMEN TOTAL'!AN199</f>
        <v>0</v>
      </c>
      <c r="AB148" s="70">
        <f>'RESUMEN TOTAL'!AO199</f>
        <v>0</v>
      </c>
      <c r="AC148" s="70">
        <f>'RESUMEN TOTAL'!AP199</f>
        <v>0</v>
      </c>
      <c r="AD148" s="70">
        <f>'RESUMEN TOTAL'!AQ199</f>
        <v>0</v>
      </c>
      <c r="AE148" s="70">
        <f>'RESUMEN TOTAL'!AR199</f>
        <v>0</v>
      </c>
      <c r="AF148" s="70">
        <f>'RESUMEN TOTAL'!AS199</f>
        <v>0</v>
      </c>
      <c r="AG148" s="70">
        <f>'RESUMEN TOTAL'!AT199</f>
        <v>0</v>
      </c>
      <c r="AH148" s="70">
        <f>'RESUMEN TOTAL'!AU199</f>
        <v>0</v>
      </c>
      <c r="AI148" s="70">
        <f>'RESUMEN TOTAL'!AV199</f>
        <v>0</v>
      </c>
      <c r="AJ148" s="70" t="e">
        <f>'RESUMEN TOTAL'!#REF!</f>
        <v>#REF!</v>
      </c>
    </row>
    <row r="149" spans="1:36" x14ac:dyDescent="0.25">
      <c r="A149" t="str">
        <f>'RESUMEN TOTAL'!F200</f>
        <v>KM 26700 (JULIO A. COSTA)</v>
      </c>
      <c r="B149" t="str">
        <f>'RESUMEN TOTAL'!G200</f>
        <v>KM 13 FIJA 2</v>
      </c>
      <c r="C149" t="str">
        <f>'RESUMEN TOTAL'!I200</f>
        <v>BLANDENGUES Y LA ZAMBA</v>
      </c>
      <c r="D149" s="30" t="str">
        <f>'RESUMEN TOTAL'!J200</f>
        <v>Fija</v>
      </c>
      <c r="E149" s="30" t="str">
        <f>'RESUMEN TOTAL'!K200</f>
        <v>PTO A FO</v>
      </c>
      <c r="F149" s="70">
        <f>'RESUMEN TOTAL'!S200</f>
        <v>0</v>
      </c>
      <c r="G149" s="70">
        <f>'RESUMEN TOTAL'!T200</f>
        <v>0</v>
      </c>
      <c r="H149" s="70">
        <f>'RESUMEN TOTAL'!U200</f>
        <v>0</v>
      </c>
      <c r="I149" s="70">
        <f>'RESUMEN TOTAL'!V200</f>
        <v>0</v>
      </c>
      <c r="J149" s="70">
        <f>'RESUMEN TOTAL'!W200</f>
        <v>0</v>
      </c>
      <c r="K149" s="70">
        <f>'RESUMEN TOTAL'!X200</f>
        <v>0</v>
      </c>
      <c r="L149" s="70">
        <f>'RESUMEN TOTAL'!Y200</f>
        <v>0</v>
      </c>
      <c r="M149" s="70">
        <f>'RESUMEN TOTAL'!Z200</f>
        <v>0</v>
      </c>
      <c r="N149" s="70">
        <f>'RESUMEN TOTAL'!AA200</f>
        <v>0</v>
      </c>
      <c r="O149" s="70">
        <f>'RESUMEN TOTAL'!AB200</f>
        <v>0</v>
      </c>
      <c r="P149" s="70">
        <f>'RESUMEN TOTAL'!AC200</f>
        <v>0</v>
      </c>
      <c r="Q149" s="70">
        <f>'RESUMEN TOTAL'!AD200</f>
        <v>0</v>
      </c>
      <c r="R149" s="70">
        <f>'RESUMEN TOTAL'!AE200</f>
        <v>0</v>
      </c>
      <c r="S149" s="70">
        <f>'RESUMEN TOTAL'!AF200</f>
        <v>0</v>
      </c>
      <c r="T149" s="70">
        <f>'RESUMEN TOTAL'!AG200</f>
        <v>0</v>
      </c>
      <c r="U149" s="70">
        <f>'RESUMEN TOTAL'!AH200</f>
        <v>0</v>
      </c>
      <c r="V149" s="70">
        <f>'RESUMEN TOTAL'!AI200</f>
        <v>0</v>
      </c>
      <c r="W149" s="70">
        <f>'RESUMEN TOTAL'!AJ200</f>
        <v>0</v>
      </c>
      <c r="X149" s="70">
        <f>'RESUMEN TOTAL'!AK200</f>
        <v>0</v>
      </c>
      <c r="Y149" s="70">
        <f>'RESUMEN TOTAL'!AL200</f>
        <v>0</v>
      </c>
      <c r="Z149" s="70">
        <f>'RESUMEN TOTAL'!AM200</f>
        <v>0</v>
      </c>
      <c r="AA149" s="70">
        <f>'RESUMEN TOTAL'!AN200</f>
        <v>0</v>
      </c>
      <c r="AB149" s="70">
        <f>'RESUMEN TOTAL'!AO200</f>
        <v>0</v>
      </c>
      <c r="AC149" s="70">
        <f>'RESUMEN TOTAL'!AP200</f>
        <v>0</v>
      </c>
      <c r="AD149" s="70">
        <f>'RESUMEN TOTAL'!AQ200</f>
        <v>0</v>
      </c>
      <c r="AE149" s="70">
        <f>'RESUMEN TOTAL'!AR200</f>
        <v>0</v>
      </c>
      <c r="AF149" s="70">
        <f>'RESUMEN TOTAL'!AS200</f>
        <v>0</v>
      </c>
      <c r="AG149" s="70">
        <f>'RESUMEN TOTAL'!AT200</f>
        <v>0</v>
      </c>
      <c r="AH149" s="70">
        <f>'RESUMEN TOTAL'!AU200</f>
        <v>0</v>
      </c>
      <c r="AI149" s="70">
        <f>'RESUMEN TOTAL'!AV200</f>
        <v>0</v>
      </c>
      <c r="AJ149" s="70" t="e">
        <f>'RESUMEN TOTAL'!#REF!</f>
        <v>#REF!</v>
      </c>
    </row>
    <row r="150" spans="1:36" x14ac:dyDescent="0.25">
      <c r="A150" t="str">
        <f>'RESUMEN TOTAL'!F201</f>
        <v>KM 26700 (JULIO A. COSTA)</v>
      </c>
      <c r="B150" t="str">
        <f>'RESUMEN TOTAL'!G201</f>
        <v>KM 14 (fija 1)</v>
      </c>
      <c r="C150" t="str">
        <f>'RESUMEN TOTAL'!I201</f>
        <v>EL GAUCHO Y EL ZONDA</v>
      </c>
      <c r="D150" s="30" t="str">
        <f>'RESUMEN TOTAL'!J201</f>
        <v>Fija</v>
      </c>
      <c r="E150" s="30" t="str">
        <f>'RESUMEN TOTAL'!K201</f>
        <v>PTO A FO</v>
      </c>
      <c r="F150" s="70">
        <f>'RESUMEN TOTAL'!S201</f>
        <v>0</v>
      </c>
      <c r="G150" s="70">
        <f>'RESUMEN TOTAL'!T201</f>
        <v>0</v>
      </c>
      <c r="H150" s="70">
        <f>'RESUMEN TOTAL'!U201</f>
        <v>0</v>
      </c>
      <c r="I150" s="70">
        <f>'RESUMEN TOTAL'!V201</f>
        <v>0</v>
      </c>
      <c r="J150" s="70">
        <f>'RESUMEN TOTAL'!W201</f>
        <v>0</v>
      </c>
      <c r="K150" s="70">
        <f>'RESUMEN TOTAL'!X201</f>
        <v>0</v>
      </c>
      <c r="L150" s="70">
        <f>'RESUMEN TOTAL'!Y201</f>
        <v>0</v>
      </c>
      <c r="M150" s="70">
        <f>'RESUMEN TOTAL'!Z201</f>
        <v>0</v>
      </c>
      <c r="N150" s="70">
        <f>'RESUMEN TOTAL'!AA201</f>
        <v>0</v>
      </c>
      <c r="O150" s="70">
        <f>'RESUMEN TOTAL'!AB201</f>
        <v>0</v>
      </c>
      <c r="P150" s="70">
        <f>'RESUMEN TOTAL'!AC201</f>
        <v>0</v>
      </c>
      <c r="Q150" s="70">
        <f>'RESUMEN TOTAL'!AD201</f>
        <v>0</v>
      </c>
      <c r="R150" s="70">
        <f>'RESUMEN TOTAL'!AE201</f>
        <v>0</v>
      </c>
      <c r="S150" s="70">
        <f>'RESUMEN TOTAL'!AF201</f>
        <v>0</v>
      </c>
      <c r="T150" s="70">
        <f>'RESUMEN TOTAL'!AG201</f>
        <v>0</v>
      </c>
      <c r="U150" s="70">
        <f>'RESUMEN TOTAL'!AH201</f>
        <v>0</v>
      </c>
      <c r="V150" s="70">
        <f>'RESUMEN TOTAL'!AI201</f>
        <v>0</v>
      </c>
      <c r="W150" s="70">
        <f>'RESUMEN TOTAL'!AJ201</f>
        <v>0</v>
      </c>
      <c r="X150" s="70">
        <f>'RESUMEN TOTAL'!AK201</f>
        <v>0</v>
      </c>
      <c r="Y150" s="70">
        <f>'RESUMEN TOTAL'!AL201</f>
        <v>0</v>
      </c>
      <c r="Z150" s="70">
        <f>'RESUMEN TOTAL'!AM201</f>
        <v>0</v>
      </c>
      <c r="AA150" s="70">
        <f>'RESUMEN TOTAL'!AN201</f>
        <v>0</v>
      </c>
      <c r="AB150" s="70">
        <f>'RESUMEN TOTAL'!AO201</f>
        <v>0</v>
      </c>
      <c r="AC150" s="70">
        <f>'RESUMEN TOTAL'!AP201</f>
        <v>0</v>
      </c>
      <c r="AD150" s="70">
        <f>'RESUMEN TOTAL'!AQ201</f>
        <v>0</v>
      </c>
      <c r="AE150" s="70">
        <f>'RESUMEN TOTAL'!AR201</f>
        <v>0</v>
      </c>
      <c r="AF150" s="70">
        <f>'RESUMEN TOTAL'!AS201</f>
        <v>0</v>
      </c>
      <c r="AG150" s="70">
        <f>'RESUMEN TOTAL'!AT201</f>
        <v>0</v>
      </c>
      <c r="AH150" s="70">
        <f>'RESUMEN TOTAL'!AU201</f>
        <v>0</v>
      </c>
      <c r="AI150" s="70">
        <f>'RESUMEN TOTAL'!AV201</f>
        <v>0</v>
      </c>
      <c r="AJ150" s="70" t="e">
        <f>'RESUMEN TOTAL'!#REF!</f>
        <v>#REF!</v>
      </c>
    </row>
    <row r="151" spans="1:36" x14ac:dyDescent="0.25">
      <c r="A151" t="str">
        <f>'RESUMEN TOTAL'!F202</f>
        <v>KM 26700 (JULIO A. COSTA)</v>
      </c>
      <c r="B151" t="str">
        <f>'RESUMEN TOTAL'!G202</f>
        <v>KM 15 (fija 2)</v>
      </c>
      <c r="C151" t="str">
        <f>'RESUMEN TOTAL'!I202</f>
        <v>EL GAUCHO Y EL ZONDA</v>
      </c>
      <c r="D151" s="30" t="str">
        <f>'RESUMEN TOTAL'!J202</f>
        <v>Fija</v>
      </c>
      <c r="E151" s="30" t="str">
        <f>'RESUMEN TOTAL'!K202</f>
        <v>PTO A FO</v>
      </c>
      <c r="F151" s="70">
        <f>'RESUMEN TOTAL'!S202</f>
        <v>0</v>
      </c>
      <c r="G151" s="70">
        <f>'RESUMEN TOTAL'!T202</f>
        <v>0</v>
      </c>
      <c r="H151" s="70">
        <f>'RESUMEN TOTAL'!U202</f>
        <v>0</v>
      </c>
      <c r="I151" s="70">
        <f>'RESUMEN TOTAL'!V202</f>
        <v>0</v>
      </c>
      <c r="J151" s="70">
        <f>'RESUMEN TOTAL'!W202</f>
        <v>0</v>
      </c>
      <c r="K151" s="70">
        <f>'RESUMEN TOTAL'!X202</f>
        <v>0</v>
      </c>
      <c r="L151" s="70">
        <f>'RESUMEN TOTAL'!Y202</f>
        <v>0</v>
      </c>
      <c r="M151" s="70">
        <f>'RESUMEN TOTAL'!Z202</f>
        <v>0</v>
      </c>
      <c r="N151" s="70">
        <f>'RESUMEN TOTAL'!AA202</f>
        <v>0</v>
      </c>
      <c r="O151" s="70">
        <f>'RESUMEN TOTAL'!AB202</f>
        <v>0</v>
      </c>
      <c r="P151" s="70">
        <f>'RESUMEN TOTAL'!AC202</f>
        <v>0</v>
      </c>
      <c r="Q151" s="70">
        <f>'RESUMEN TOTAL'!AD202</f>
        <v>0</v>
      </c>
      <c r="R151" s="70">
        <f>'RESUMEN TOTAL'!AE202</f>
        <v>0</v>
      </c>
      <c r="S151" s="70">
        <f>'RESUMEN TOTAL'!AF202</f>
        <v>0</v>
      </c>
      <c r="T151" s="70">
        <f>'RESUMEN TOTAL'!AG202</f>
        <v>0</v>
      </c>
      <c r="U151" s="70">
        <f>'RESUMEN TOTAL'!AH202</f>
        <v>0</v>
      </c>
      <c r="V151" s="70">
        <f>'RESUMEN TOTAL'!AI202</f>
        <v>0</v>
      </c>
      <c r="W151" s="70">
        <f>'RESUMEN TOTAL'!AJ202</f>
        <v>0</v>
      </c>
      <c r="X151" s="70">
        <f>'RESUMEN TOTAL'!AK202</f>
        <v>0</v>
      </c>
      <c r="Y151" s="70">
        <f>'RESUMEN TOTAL'!AL202</f>
        <v>0</v>
      </c>
      <c r="Z151" s="70">
        <f>'RESUMEN TOTAL'!AM202</f>
        <v>0</v>
      </c>
      <c r="AA151" s="70">
        <f>'RESUMEN TOTAL'!AN202</f>
        <v>0</v>
      </c>
      <c r="AB151" s="70">
        <f>'RESUMEN TOTAL'!AO202</f>
        <v>0</v>
      </c>
      <c r="AC151" s="70">
        <f>'RESUMEN TOTAL'!AP202</f>
        <v>0</v>
      </c>
      <c r="AD151" s="70">
        <f>'RESUMEN TOTAL'!AQ202</f>
        <v>0</v>
      </c>
      <c r="AE151" s="70">
        <f>'RESUMEN TOTAL'!AR202</f>
        <v>0</v>
      </c>
      <c r="AF151" s="70">
        <f>'RESUMEN TOTAL'!AS202</f>
        <v>0</v>
      </c>
      <c r="AG151" s="70">
        <f>'RESUMEN TOTAL'!AT202</f>
        <v>0</v>
      </c>
      <c r="AH151" s="70">
        <f>'RESUMEN TOTAL'!AU202</f>
        <v>0</v>
      </c>
      <c r="AI151" s="70">
        <f>'RESUMEN TOTAL'!AV202</f>
        <v>0</v>
      </c>
      <c r="AJ151" s="70" t="e">
        <f>'RESUMEN TOTAL'!#REF!</f>
        <v>#REF!</v>
      </c>
    </row>
    <row r="152" spans="1:36" x14ac:dyDescent="0.25">
      <c r="A152" t="str">
        <f>'RESUMEN TOTAL'!F203</f>
        <v>KM 26700 (JULIO A. COSTA)</v>
      </c>
      <c r="B152" t="str">
        <f>'RESUMEN TOTAL'!G203</f>
        <v>KM 16 (fija 1)</v>
      </c>
      <c r="C152" t="str">
        <f>'RESUMEN TOTAL'!I203</f>
        <v>EL GAUCHO Y MARTIN FIERRO</v>
      </c>
      <c r="D152" s="30" t="str">
        <f>'RESUMEN TOTAL'!J203</f>
        <v>Fija</v>
      </c>
      <c r="E152" s="30" t="str">
        <f>'RESUMEN TOTAL'!K203</f>
        <v>PTO A FO</v>
      </c>
      <c r="F152" s="70">
        <f>'RESUMEN TOTAL'!S203</f>
        <v>0</v>
      </c>
      <c r="G152" s="70">
        <f>'RESUMEN TOTAL'!T203</f>
        <v>0</v>
      </c>
      <c r="H152" s="70">
        <f>'RESUMEN TOTAL'!U203</f>
        <v>0</v>
      </c>
      <c r="I152" s="70">
        <f>'RESUMEN TOTAL'!V203</f>
        <v>0</v>
      </c>
      <c r="J152" s="70">
        <f>'RESUMEN TOTAL'!W203</f>
        <v>0</v>
      </c>
      <c r="K152" s="70">
        <f>'RESUMEN TOTAL'!X203</f>
        <v>0</v>
      </c>
      <c r="L152" s="70">
        <f>'RESUMEN TOTAL'!Y203</f>
        <v>0</v>
      </c>
      <c r="M152" s="70">
        <f>'RESUMEN TOTAL'!Z203</f>
        <v>0</v>
      </c>
      <c r="N152" s="70">
        <f>'RESUMEN TOTAL'!AA203</f>
        <v>0</v>
      </c>
      <c r="O152" s="70">
        <f>'RESUMEN TOTAL'!AB203</f>
        <v>0</v>
      </c>
      <c r="P152" s="70">
        <f>'RESUMEN TOTAL'!AC203</f>
        <v>0</v>
      </c>
      <c r="Q152" s="70">
        <f>'RESUMEN TOTAL'!AD203</f>
        <v>0</v>
      </c>
      <c r="R152" s="70">
        <f>'RESUMEN TOTAL'!AE203</f>
        <v>0</v>
      </c>
      <c r="S152" s="70">
        <f>'RESUMEN TOTAL'!AF203</f>
        <v>0</v>
      </c>
      <c r="T152" s="70">
        <f>'RESUMEN TOTAL'!AG203</f>
        <v>0</v>
      </c>
      <c r="U152" s="70">
        <f>'RESUMEN TOTAL'!AH203</f>
        <v>0</v>
      </c>
      <c r="V152" s="70">
        <f>'RESUMEN TOTAL'!AI203</f>
        <v>0</v>
      </c>
      <c r="W152" s="70">
        <f>'RESUMEN TOTAL'!AJ203</f>
        <v>0</v>
      </c>
      <c r="X152" s="70">
        <f>'RESUMEN TOTAL'!AK203</f>
        <v>0</v>
      </c>
      <c r="Y152" s="70">
        <f>'RESUMEN TOTAL'!AL203</f>
        <v>0</v>
      </c>
      <c r="Z152" s="70">
        <f>'RESUMEN TOTAL'!AM203</f>
        <v>0</v>
      </c>
      <c r="AA152" s="70">
        <f>'RESUMEN TOTAL'!AN203</f>
        <v>0</v>
      </c>
      <c r="AB152" s="70">
        <f>'RESUMEN TOTAL'!AO203</f>
        <v>0</v>
      </c>
      <c r="AC152" s="70">
        <f>'RESUMEN TOTAL'!AP203</f>
        <v>0</v>
      </c>
      <c r="AD152" s="70">
        <f>'RESUMEN TOTAL'!AQ203</f>
        <v>0</v>
      </c>
      <c r="AE152" s="70">
        <f>'RESUMEN TOTAL'!AR203</f>
        <v>0</v>
      </c>
      <c r="AF152" s="70">
        <f>'RESUMEN TOTAL'!AS203</f>
        <v>0</v>
      </c>
      <c r="AG152" s="70">
        <f>'RESUMEN TOTAL'!AT203</f>
        <v>0</v>
      </c>
      <c r="AH152" s="70">
        <f>'RESUMEN TOTAL'!AU203</f>
        <v>0</v>
      </c>
      <c r="AI152" s="70">
        <f>'RESUMEN TOTAL'!AV203</f>
        <v>0</v>
      </c>
      <c r="AJ152" s="70" t="e">
        <f>'RESUMEN TOTAL'!#REF!</f>
        <v>#REF!</v>
      </c>
    </row>
    <row r="153" spans="1:36" x14ac:dyDescent="0.25">
      <c r="A153" t="str">
        <f>'RESUMEN TOTAL'!F204</f>
        <v>KM 26700 (JULIO A. COSTA)</v>
      </c>
      <c r="B153" t="str">
        <f>'RESUMEN TOTAL'!G204</f>
        <v>KM 17 (fija 2)</v>
      </c>
      <c r="C153" t="str">
        <f>'RESUMEN TOTAL'!I204</f>
        <v>EL GAUCHO Y MARTIN FIERRO</v>
      </c>
      <c r="D153" s="30" t="str">
        <f>'RESUMEN TOTAL'!J204</f>
        <v>Fija</v>
      </c>
      <c r="E153" s="30" t="str">
        <f>'RESUMEN TOTAL'!K204</f>
        <v>PTO A FO</v>
      </c>
      <c r="F153" s="70">
        <f>'RESUMEN TOTAL'!S204</f>
        <v>0</v>
      </c>
      <c r="G153" s="70">
        <f>'RESUMEN TOTAL'!T204</f>
        <v>0</v>
      </c>
      <c r="H153" s="70">
        <f>'RESUMEN TOTAL'!U204</f>
        <v>0</v>
      </c>
      <c r="I153" s="70">
        <f>'RESUMEN TOTAL'!V204</f>
        <v>0</v>
      </c>
      <c r="J153" s="70">
        <f>'RESUMEN TOTAL'!W204</f>
        <v>0</v>
      </c>
      <c r="K153" s="70">
        <f>'RESUMEN TOTAL'!X204</f>
        <v>0</v>
      </c>
      <c r="L153" s="70">
        <f>'RESUMEN TOTAL'!Y204</f>
        <v>0</v>
      </c>
      <c r="M153" s="70">
        <f>'RESUMEN TOTAL'!Z204</f>
        <v>0</v>
      </c>
      <c r="N153" s="70">
        <f>'RESUMEN TOTAL'!AA204</f>
        <v>0</v>
      </c>
      <c r="O153" s="70">
        <f>'RESUMEN TOTAL'!AB204</f>
        <v>0</v>
      </c>
      <c r="P153" s="70">
        <f>'RESUMEN TOTAL'!AC204</f>
        <v>0</v>
      </c>
      <c r="Q153" s="70">
        <f>'RESUMEN TOTAL'!AD204</f>
        <v>0</v>
      </c>
      <c r="R153" s="70">
        <f>'RESUMEN TOTAL'!AE204</f>
        <v>0</v>
      </c>
      <c r="S153" s="70">
        <f>'RESUMEN TOTAL'!AF204</f>
        <v>0</v>
      </c>
      <c r="T153" s="70">
        <f>'RESUMEN TOTAL'!AG204</f>
        <v>0</v>
      </c>
      <c r="U153" s="70">
        <f>'RESUMEN TOTAL'!AH204</f>
        <v>0</v>
      </c>
      <c r="V153" s="70">
        <f>'RESUMEN TOTAL'!AI204</f>
        <v>0</v>
      </c>
      <c r="W153" s="70">
        <f>'RESUMEN TOTAL'!AJ204</f>
        <v>0</v>
      </c>
      <c r="X153" s="70">
        <f>'RESUMEN TOTAL'!AK204</f>
        <v>0</v>
      </c>
      <c r="Y153" s="70">
        <f>'RESUMEN TOTAL'!AL204</f>
        <v>0</v>
      </c>
      <c r="Z153" s="70">
        <f>'RESUMEN TOTAL'!AM204</f>
        <v>0</v>
      </c>
      <c r="AA153" s="70">
        <f>'RESUMEN TOTAL'!AN204</f>
        <v>0</v>
      </c>
      <c r="AB153" s="70">
        <f>'RESUMEN TOTAL'!AO204</f>
        <v>0</v>
      </c>
      <c r="AC153" s="70">
        <f>'RESUMEN TOTAL'!AP204</f>
        <v>0</v>
      </c>
      <c r="AD153" s="70">
        <f>'RESUMEN TOTAL'!AQ204</f>
        <v>0</v>
      </c>
      <c r="AE153" s="70">
        <f>'RESUMEN TOTAL'!AR204</f>
        <v>0</v>
      </c>
      <c r="AF153" s="70">
        <f>'RESUMEN TOTAL'!AS204</f>
        <v>0</v>
      </c>
      <c r="AG153" s="70">
        <f>'RESUMEN TOTAL'!AT204</f>
        <v>0</v>
      </c>
      <c r="AH153" s="70">
        <f>'RESUMEN TOTAL'!AU204</f>
        <v>0</v>
      </c>
      <c r="AI153" s="70">
        <f>'RESUMEN TOTAL'!AV204</f>
        <v>0</v>
      </c>
      <c r="AJ153" s="70" t="e">
        <f>'RESUMEN TOTAL'!#REF!</f>
        <v>#REF!</v>
      </c>
    </row>
    <row r="154" spans="1:36" x14ac:dyDescent="0.25">
      <c r="A154" t="str">
        <f>'RESUMEN TOTAL'!F205</f>
        <v>KM 26700 (JULIO A. COSTA)</v>
      </c>
      <c r="B154" t="str">
        <f>'RESUMEN TOTAL'!G205</f>
        <v>KM 18</v>
      </c>
      <c r="C154" t="str">
        <f>'RESUMEN TOTAL'!I205</f>
        <v>PULPERIA Y EL ALJIBE</v>
      </c>
      <c r="D154" s="30" t="str">
        <f>'RESUMEN TOTAL'!J205</f>
        <v>Domo</v>
      </c>
      <c r="E154" s="30" t="str">
        <f>'RESUMEN TOTAL'!K205</f>
        <v>GPON</v>
      </c>
      <c r="F154" s="70">
        <f>'RESUMEN TOTAL'!S205</f>
        <v>0</v>
      </c>
      <c r="G154" s="70">
        <f>'RESUMEN TOTAL'!T205</f>
        <v>0</v>
      </c>
      <c r="H154" s="70">
        <f>'RESUMEN TOTAL'!U205</f>
        <v>0</v>
      </c>
      <c r="I154" s="70" t="str">
        <f>'RESUMEN TOTAL'!V205</f>
        <v>APAGADO</v>
      </c>
      <c r="J154" s="70" t="str">
        <f>'RESUMEN TOTAL'!W205</f>
        <v>APAGADO</v>
      </c>
      <c r="K154" s="70" t="str">
        <f>'RESUMEN TOTAL'!X205</f>
        <v>APAGADO</v>
      </c>
      <c r="L154" s="70" t="str">
        <f>'RESUMEN TOTAL'!Y205</f>
        <v>APAGADO</v>
      </c>
      <c r="M154" s="70" t="str">
        <f>'RESUMEN TOTAL'!Z205</f>
        <v>APAGADO</v>
      </c>
      <c r="N154" s="70">
        <f>'RESUMEN TOTAL'!AA205</f>
        <v>0</v>
      </c>
      <c r="O154" s="70">
        <f>'RESUMEN TOTAL'!AB205</f>
        <v>0</v>
      </c>
      <c r="P154" s="70" t="str">
        <f>'RESUMEN TOTAL'!AC205</f>
        <v>APAGADO</v>
      </c>
      <c r="Q154" s="70" t="str">
        <f>'RESUMEN TOTAL'!AD205</f>
        <v>APAGADO</v>
      </c>
      <c r="R154" s="70" t="str">
        <f>'RESUMEN TOTAL'!AE205</f>
        <v>APAGADO</v>
      </c>
      <c r="S154" s="70" t="str">
        <f>'RESUMEN TOTAL'!AF205</f>
        <v>APAGADO</v>
      </c>
      <c r="T154" s="70" t="str">
        <f>'RESUMEN TOTAL'!AG205</f>
        <v>APAGADO</v>
      </c>
      <c r="U154" s="70">
        <f>'RESUMEN TOTAL'!AH205</f>
        <v>0</v>
      </c>
      <c r="V154" s="70">
        <f>'RESUMEN TOTAL'!AI205</f>
        <v>0</v>
      </c>
      <c r="W154" s="70" t="str">
        <f>'RESUMEN TOTAL'!AJ205</f>
        <v>APAGADO</v>
      </c>
      <c r="X154" s="70" t="str">
        <f>'RESUMEN TOTAL'!AK205</f>
        <v>APAGADO</v>
      </c>
      <c r="Y154" s="70" t="str">
        <f>'RESUMEN TOTAL'!AL205</f>
        <v>APAGADO</v>
      </c>
      <c r="Z154" s="70" t="str">
        <f>'RESUMEN TOTAL'!AM205</f>
        <v>APAGADO</v>
      </c>
      <c r="AA154" s="70" t="str">
        <f>'RESUMEN TOTAL'!AN205</f>
        <v>APAGADO</v>
      </c>
      <c r="AB154" s="70">
        <f>'RESUMEN TOTAL'!AO205</f>
        <v>0</v>
      </c>
      <c r="AC154" s="70">
        <f>'RESUMEN TOTAL'!AP205</f>
        <v>0</v>
      </c>
      <c r="AD154" s="70">
        <f>'RESUMEN TOTAL'!AQ205</f>
        <v>0</v>
      </c>
      <c r="AE154" s="70" t="str">
        <f>'RESUMEN TOTAL'!AR205</f>
        <v>APAGADO</v>
      </c>
      <c r="AF154" s="70" t="str">
        <f>'RESUMEN TOTAL'!AS205</f>
        <v>APAGADO</v>
      </c>
      <c r="AG154" s="70" t="str">
        <f>'RESUMEN TOTAL'!AT205</f>
        <v>APAGADO</v>
      </c>
      <c r="AH154" s="70">
        <f>'RESUMEN TOTAL'!AU205</f>
        <v>0</v>
      </c>
      <c r="AI154" s="70">
        <f>'RESUMEN TOTAL'!AV205</f>
        <v>0</v>
      </c>
      <c r="AJ154" s="70" t="e">
        <f>'RESUMEN TOTAL'!#REF!</f>
        <v>#REF!</v>
      </c>
    </row>
    <row r="155" spans="1:36" x14ac:dyDescent="0.25">
      <c r="A155">
        <f>'RESUMEN TOTAL'!F206</f>
        <v>0</v>
      </c>
      <c r="B155" t="str">
        <f>'RESUMEN TOTAL'!G206</f>
        <v>KM 21</v>
      </c>
      <c r="C155" t="str">
        <f>'RESUMEN TOTAL'!I206</f>
        <v>EL PONCHO Y ARROYO LAS PIEDRAS</v>
      </c>
      <c r="D155" s="30">
        <f>'RESUMEN TOTAL'!J206</f>
        <v>0</v>
      </c>
      <c r="E155" s="30" t="str">
        <f>'RESUMEN TOTAL'!K206</f>
        <v>GPON</v>
      </c>
      <c r="F155" s="70">
        <f>'RESUMEN TOTAL'!S206</f>
        <v>0</v>
      </c>
      <c r="G155" s="70">
        <f>'RESUMEN TOTAL'!T206</f>
        <v>0</v>
      </c>
      <c r="H155" s="70">
        <f>'RESUMEN TOTAL'!U206</f>
        <v>0</v>
      </c>
      <c r="I155" s="70" t="str">
        <f>'RESUMEN TOTAL'!V206</f>
        <v>APAGADO</v>
      </c>
      <c r="J155" s="70">
        <f>'RESUMEN TOTAL'!W206</f>
        <v>0</v>
      </c>
      <c r="K155" s="70">
        <f>'RESUMEN TOTAL'!X206</f>
        <v>0</v>
      </c>
      <c r="L155" s="70">
        <f>'RESUMEN TOTAL'!Y206</f>
        <v>0</v>
      </c>
      <c r="M155" s="70">
        <f>'RESUMEN TOTAL'!Z206</f>
        <v>0</v>
      </c>
      <c r="N155" s="70">
        <f>'RESUMEN TOTAL'!AA206</f>
        <v>0</v>
      </c>
      <c r="O155" s="70">
        <f>'RESUMEN TOTAL'!AB206</f>
        <v>0</v>
      </c>
      <c r="P155" s="70">
        <f>'RESUMEN TOTAL'!AC206</f>
        <v>0</v>
      </c>
      <c r="Q155" s="70">
        <f>'RESUMEN TOTAL'!AD206</f>
        <v>0</v>
      </c>
      <c r="R155" s="70">
        <f>'RESUMEN TOTAL'!AE206</f>
        <v>0</v>
      </c>
      <c r="S155" s="70">
        <f>'RESUMEN TOTAL'!AF206</f>
        <v>0</v>
      </c>
      <c r="T155" s="70">
        <f>'RESUMEN TOTAL'!AG206</f>
        <v>0</v>
      </c>
      <c r="U155" s="70">
        <f>'RESUMEN TOTAL'!AH206</f>
        <v>0</v>
      </c>
      <c r="V155" s="70">
        <f>'RESUMEN TOTAL'!AI206</f>
        <v>0</v>
      </c>
      <c r="W155" s="70">
        <f>'RESUMEN TOTAL'!AJ206</f>
        <v>0</v>
      </c>
      <c r="X155" s="70">
        <f>'RESUMEN TOTAL'!AK206</f>
        <v>0</v>
      </c>
      <c r="Y155" s="70">
        <f>'RESUMEN TOTAL'!AL206</f>
        <v>0</v>
      </c>
      <c r="Z155" s="70">
        <f>'RESUMEN TOTAL'!AM206</f>
        <v>0</v>
      </c>
      <c r="AA155" s="70">
        <f>'RESUMEN TOTAL'!AN206</f>
        <v>0</v>
      </c>
      <c r="AB155" s="70">
        <f>'RESUMEN TOTAL'!AO206</f>
        <v>0</v>
      </c>
      <c r="AC155" s="70">
        <f>'RESUMEN TOTAL'!AP206</f>
        <v>0</v>
      </c>
      <c r="AD155" s="70">
        <f>'RESUMEN TOTAL'!AQ206</f>
        <v>0</v>
      </c>
      <c r="AE155" s="70">
        <f>'RESUMEN TOTAL'!AR206</f>
        <v>0</v>
      </c>
      <c r="AF155" s="70">
        <f>'RESUMEN TOTAL'!AS206</f>
        <v>0</v>
      </c>
      <c r="AG155" s="70">
        <f>'RESUMEN TOTAL'!AT206</f>
        <v>0</v>
      </c>
      <c r="AH155" s="70">
        <f>'RESUMEN TOTAL'!AU206</f>
        <v>0</v>
      </c>
      <c r="AI155" s="70">
        <f>'RESUMEN TOTAL'!AV206</f>
        <v>0</v>
      </c>
      <c r="AJ155" s="70" t="e">
        <f>'RESUMEN TOTAL'!#REF!</f>
        <v>#REF!</v>
      </c>
    </row>
    <row r="156" spans="1:36" x14ac:dyDescent="0.25">
      <c r="A156" t="str">
        <f>'RESUMEN TOTAL'!F207</f>
        <v>VILLA ARGENTINA</v>
      </c>
      <c r="B156" t="str">
        <f>'RESUMEN TOTAL'!G207</f>
        <v>KM01</v>
      </c>
      <c r="C156" t="str">
        <f>'RESUMEN TOTAL'!I207</f>
        <v>Vias FFCC y La Pulperia</v>
      </c>
      <c r="D156" s="30" t="str">
        <f>'RESUMEN TOTAL'!J207</f>
        <v>DOMO</v>
      </c>
      <c r="E156" s="30" t="str">
        <f>'RESUMEN TOTAL'!K207</f>
        <v>GPON</v>
      </c>
      <c r="F156" s="70">
        <f>'RESUMEN TOTAL'!S207</f>
        <v>0</v>
      </c>
      <c r="G156" s="70">
        <f>'RESUMEN TOTAL'!T207</f>
        <v>0</v>
      </c>
      <c r="H156" s="70">
        <f>'RESUMEN TOTAL'!U207</f>
        <v>0</v>
      </c>
      <c r="I156" s="70">
        <f>'RESUMEN TOTAL'!V207</f>
        <v>0</v>
      </c>
      <c r="J156" s="70">
        <f>'RESUMEN TOTAL'!W207</f>
        <v>0</v>
      </c>
      <c r="K156" s="70">
        <f>'RESUMEN TOTAL'!X207</f>
        <v>0</v>
      </c>
      <c r="L156" s="70">
        <f>'RESUMEN TOTAL'!Y207</f>
        <v>0</v>
      </c>
      <c r="M156" s="70">
        <f>'RESUMEN TOTAL'!Z207</f>
        <v>0</v>
      </c>
      <c r="N156" s="70">
        <f>'RESUMEN TOTAL'!AA207</f>
        <v>0</v>
      </c>
      <c r="O156" s="70">
        <f>'RESUMEN TOTAL'!AB207</f>
        <v>0</v>
      </c>
      <c r="P156" s="70">
        <f>'RESUMEN TOTAL'!AC207</f>
        <v>0</v>
      </c>
      <c r="Q156" s="70">
        <f>'RESUMEN TOTAL'!AD207</f>
        <v>0</v>
      </c>
      <c r="R156" s="70">
        <f>'RESUMEN TOTAL'!AE207</f>
        <v>0</v>
      </c>
      <c r="S156" s="70">
        <f>'RESUMEN TOTAL'!AF207</f>
        <v>0</v>
      </c>
      <c r="T156" s="70">
        <f>'RESUMEN TOTAL'!AG207</f>
        <v>0</v>
      </c>
      <c r="U156" s="70">
        <f>'RESUMEN TOTAL'!AH207</f>
        <v>0</v>
      </c>
      <c r="V156" s="70">
        <f>'RESUMEN TOTAL'!AI207</f>
        <v>0</v>
      </c>
      <c r="W156" s="70">
        <f>'RESUMEN TOTAL'!AJ207</f>
        <v>0</v>
      </c>
      <c r="X156" s="70">
        <f>'RESUMEN TOTAL'!AK207</f>
        <v>0</v>
      </c>
      <c r="Y156" s="70">
        <f>'RESUMEN TOTAL'!AL207</f>
        <v>0</v>
      </c>
      <c r="Z156" s="70">
        <f>'RESUMEN TOTAL'!AM207</f>
        <v>0</v>
      </c>
      <c r="AA156" s="70">
        <f>'RESUMEN TOTAL'!AN207</f>
        <v>0</v>
      </c>
      <c r="AB156" s="70">
        <f>'RESUMEN TOTAL'!AO207</f>
        <v>0</v>
      </c>
      <c r="AC156" s="70">
        <f>'RESUMEN TOTAL'!AP207</f>
        <v>0</v>
      </c>
      <c r="AD156" s="70">
        <f>'RESUMEN TOTAL'!AQ207</f>
        <v>0</v>
      </c>
      <c r="AE156" s="70">
        <f>'RESUMEN TOTAL'!AR207</f>
        <v>0</v>
      </c>
      <c r="AF156" s="70">
        <f>'RESUMEN TOTAL'!AS207</f>
        <v>0</v>
      </c>
      <c r="AG156" s="70">
        <f>'RESUMEN TOTAL'!AT207</f>
        <v>0</v>
      </c>
      <c r="AH156" s="70">
        <f>'RESUMEN TOTAL'!AU207</f>
        <v>0</v>
      </c>
      <c r="AI156" s="70">
        <f>'RESUMEN TOTAL'!AV207</f>
        <v>0</v>
      </c>
      <c r="AJ156" s="70" t="e">
        <f>'RESUMEN TOTAL'!#REF!</f>
        <v>#REF!</v>
      </c>
    </row>
    <row r="157" spans="1:36" x14ac:dyDescent="0.25">
      <c r="A157" t="str">
        <f>'RESUMEN TOTAL'!F208</f>
        <v>CHACABUCO</v>
      </c>
      <c r="B157" t="str">
        <f>'RESUMEN TOTAL'!G208</f>
        <v>KM02</v>
      </c>
      <c r="C157" t="str">
        <f>'RESUMEN TOTAL'!I208</f>
        <v>Novak e/El Overo y el Mangrullo</v>
      </c>
      <c r="D157" s="30" t="str">
        <f>'RESUMEN TOTAL'!J208</f>
        <v>Domo</v>
      </c>
      <c r="E157" s="30" t="str">
        <f>'RESUMEN TOTAL'!K208</f>
        <v>GPON</v>
      </c>
      <c r="F157" s="70">
        <f>'RESUMEN TOTAL'!S208</f>
        <v>0</v>
      </c>
      <c r="G157" s="70">
        <f>'RESUMEN TOTAL'!T208</f>
        <v>0</v>
      </c>
      <c r="H157" s="70">
        <f>'RESUMEN TOTAL'!U208</f>
        <v>0</v>
      </c>
      <c r="I157" s="70">
        <f>'RESUMEN TOTAL'!V208</f>
        <v>0</v>
      </c>
      <c r="J157" s="70">
        <f>'RESUMEN TOTAL'!W208</f>
        <v>0</v>
      </c>
      <c r="K157" s="70">
        <f>'RESUMEN TOTAL'!X208</f>
        <v>0</v>
      </c>
      <c r="L157" s="70">
        <f>'RESUMEN TOTAL'!Y208</f>
        <v>0</v>
      </c>
      <c r="M157" s="70">
        <f>'RESUMEN TOTAL'!Z208</f>
        <v>0</v>
      </c>
      <c r="N157" s="70">
        <f>'RESUMEN TOTAL'!AA208</f>
        <v>0</v>
      </c>
      <c r="O157" s="70">
        <f>'RESUMEN TOTAL'!AB208</f>
        <v>0</v>
      </c>
      <c r="P157" s="70">
        <f>'RESUMEN TOTAL'!AC208</f>
        <v>0</v>
      </c>
      <c r="Q157" s="70">
        <f>'RESUMEN TOTAL'!AD208</f>
        <v>0</v>
      </c>
      <c r="R157" s="70">
        <f>'RESUMEN TOTAL'!AE208</f>
        <v>0</v>
      </c>
      <c r="S157" s="70">
        <f>'RESUMEN TOTAL'!AF208</f>
        <v>0</v>
      </c>
      <c r="T157" s="70">
        <f>'RESUMEN TOTAL'!AG208</f>
        <v>0</v>
      </c>
      <c r="U157" s="70">
        <f>'RESUMEN TOTAL'!AH208</f>
        <v>0</v>
      </c>
      <c r="V157" s="70">
        <f>'RESUMEN TOTAL'!AI208</f>
        <v>0</v>
      </c>
      <c r="W157" s="70">
        <f>'RESUMEN TOTAL'!AJ208</f>
        <v>0</v>
      </c>
      <c r="X157" s="70">
        <f>'RESUMEN TOTAL'!AK208</f>
        <v>0</v>
      </c>
      <c r="Y157" s="70">
        <f>'RESUMEN TOTAL'!AL208</f>
        <v>0</v>
      </c>
      <c r="Z157" s="70">
        <f>'RESUMEN TOTAL'!AM208</f>
        <v>0</v>
      </c>
      <c r="AA157" s="70">
        <f>'RESUMEN TOTAL'!AN208</f>
        <v>0</v>
      </c>
      <c r="AB157" s="70">
        <f>'RESUMEN TOTAL'!AO208</f>
        <v>0</v>
      </c>
      <c r="AC157" s="70">
        <f>'RESUMEN TOTAL'!AP208</f>
        <v>0</v>
      </c>
      <c r="AD157" s="70">
        <f>'RESUMEN TOTAL'!AQ208</f>
        <v>0</v>
      </c>
      <c r="AE157" s="70">
        <f>'RESUMEN TOTAL'!AR208</f>
        <v>0</v>
      </c>
      <c r="AF157" s="70">
        <f>'RESUMEN TOTAL'!AS208</f>
        <v>0</v>
      </c>
      <c r="AG157" s="70">
        <f>'RESUMEN TOTAL'!AT208</f>
        <v>0</v>
      </c>
      <c r="AH157" s="70">
        <f>'RESUMEN TOTAL'!AU208</f>
        <v>0</v>
      </c>
      <c r="AI157" s="70">
        <f>'RESUMEN TOTAL'!AV208</f>
        <v>0</v>
      </c>
      <c r="AJ157" s="70" t="e">
        <f>'RESUMEN TOTAL'!#REF!</f>
        <v>#REF!</v>
      </c>
    </row>
    <row r="158" spans="1:36" x14ac:dyDescent="0.25">
      <c r="A158" t="str">
        <f>'RESUMEN TOTAL'!F209</f>
        <v>KM 26700 (JULIO A. COSTA)</v>
      </c>
      <c r="B158" t="str">
        <f>'RESUMEN TOTAL'!G209</f>
        <v>KM03</v>
      </c>
      <c r="C158" t="str">
        <f>'RESUMEN TOTAL'!I209</f>
        <v>Novak y La Pulperia</v>
      </c>
      <c r="D158" s="30" t="str">
        <f>'RESUMEN TOTAL'!J209</f>
        <v>Domo</v>
      </c>
      <c r="E158" s="30" t="str">
        <f>'RESUMEN TOTAL'!K209</f>
        <v>PTO A FO</v>
      </c>
      <c r="F158" s="70">
        <f>'RESUMEN TOTAL'!S209</f>
        <v>0</v>
      </c>
      <c r="G158" s="70">
        <f>'RESUMEN TOTAL'!T209</f>
        <v>0</v>
      </c>
      <c r="H158" s="70">
        <f>'RESUMEN TOTAL'!U209</f>
        <v>0</v>
      </c>
      <c r="I158" s="70">
        <f>'RESUMEN TOTAL'!V209</f>
        <v>0</v>
      </c>
      <c r="J158" s="70">
        <f>'RESUMEN TOTAL'!W209</f>
        <v>0</v>
      </c>
      <c r="K158" s="70">
        <f>'RESUMEN TOTAL'!X209</f>
        <v>0</v>
      </c>
      <c r="L158" s="70">
        <f>'RESUMEN TOTAL'!Y209</f>
        <v>0</v>
      </c>
      <c r="M158" s="70">
        <f>'RESUMEN TOTAL'!Z209</f>
        <v>0</v>
      </c>
      <c r="N158" s="70">
        <f>'RESUMEN TOTAL'!AA209</f>
        <v>0</v>
      </c>
      <c r="O158" s="70">
        <f>'RESUMEN TOTAL'!AB209</f>
        <v>0</v>
      </c>
      <c r="P158" s="70">
        <f>'RESUMEN TOTAL'!AC209</f>
        <v>0</v>
      </c>
      <c r="Q158" s="70">
        <f>'RESUMEN TOTAL'!AD209</f>
        <v>0</v>
      </c>
      <c r="R158" s="70">
        <f>'RESUMEN TOTAL'!AE209</f>
        <v>0</v>
      </c>
      <c r="S158" s="70" t="str">
        <f>'RESUMEN TOTAL'!AF209</f>
        <v>APAGADO</v>
      </c>
      <c r="T158" s="70" t="str">
        <f>'RESUMEN TOTAL'!AG209</f>
        <v>APAGADO</v>
      </c>
      <c r="U158" s="70">
        <f>'RESUMEN TOTAL'!AH209</f>
        <v>0</v>
      </c>
      <c r="V158" s="70">
        <f>'RESUMEN TOTAL'!AI209</f>
        <v>0</v>
      </c>
      <c r="W158" s="70">
        <f>'RESUMEN TOTAL'!AJ209</f>
        <v>0</v>
      </c>
      <c r="X158" s="70">
        <f>'RESUMEN TOTAL'!AK209</f>
        <v>0</v>
      </c>
      <c r="Y158" s="70">
        <f>'RESUMEN TOTAL'!AL209</f>
        <v>0</v>
      </c>
      <c r="Z158" s="70">
        <f>'RESUMEN TOTAL'!AM209</f>
        <v>0</v>
      </c>
      <c r="AA158" s="70">
        <f>'RESUMEN TOTAL'!AN209</f>
        <v>0</v>
      </c>
      <c r="AB158" s="70">
        <f>'RESUMEN TOTAL'!AO209</f>
        <v>0</v>
      </c>
      <c r="AC158" s="70">
        <f>'RESUMEN TOTAL'!AP209</f>
        <v>0</v>
      </c>
      <c r="AD158" s="70">
        <f>'RESUMEN TOTAL'!AQ209</f>
        <v>0</v>
      </c>
      <c r="AE158" s="70">
        <f>'RESUMEN TOTAL'!AR209</f>
        <v>0</v>
      </c>
      <c r="AF158" s="70">
        <f>'RESUMEN TOTAL'!AS209</f>
        <v>0</v>
      </c>
      <c r="AG158" s="70">
        <f>'RESUMEN TOTAL'!AT209</f>
        <v>0</v>
      </c>
      <c r="AH158" s="70">
        <f>'RESUMEN TOTAL'!AU209</f>
        <v>0</v>
      </c>
      <c r="AI158" s="70">
        <f>'RESUMEN TOTAL'!AV209</f>
        <v>0</v>
      </c>
      <c r="AJ158" s="70" t="e">
        <f>'RESUMEN TOTAL'!#REF!</f>
        <v>#REF!</v>
      </c>
    </row>
    <row r="159" spans="1:36" x14ac:dyDescent="0.25">
      <c r="A159" t="str">
        <f>'RESUMEN TOTAL'!F210</f>
        <v>KM 26700 (JULIO A. COSTA)</v>
      </c>
      <c r="B159" t="str">
        <f>'RESUMEN TOTAL'!G210</f>
        <v>KM04</v>
      </c>
      <c r="C159" t="str">
        <f>'RESUMEN TOTAL'!I210</f>
        <v>El Ombu y El Zonda</v>
      </c>
      <c r="D159" s="30" t="str">
        <f>'RESUMEN TOTAL'!J210</f>
        <v>Domo</v>
      </c>
      <c r="E159" s="30" t="str">
        <f>'RESUMEN TOTAL'!K210</f>
        <v>PTO A FO</v>
      </c>
      <c r="F159" s="70">
        <f>'RESUMEN TOTAL'!S210</f>
        <v>0</v>
      </c>
      <c r="G159" s="70">
        <f>'RESUMEN TOTAL'!T210</f>
        <v>0</v>
      </c>
      <c r="H159" s="70">
        <f>'RESUMEN TOTAL'!U210</f>
        <v>0</v>
      </c>
      <c r="I159" s="70">
        <f>'RESUMEN TOTAL'!V210</f>
        <v>0</v>
      </c>
      <c r="J159" s="70">
        <f>'RESUMEN TOTAL'!W210</f>
        <v>0</v>
      </c>
      <c r="K159" s="70">
        <f>'RESUMEN TOTAL'!X210</f>
        <v>0</v>
      </c>
      <c r="L159" s="70">
        <f>'RESUMEN TOTAL'!Y210</f>
        <v>0</v>
      </c>
      <c r="M159" s="70">
        <f>'RESUMEN TOTAL'!Z210</f>
        <v>0</v>
      </c>
      <c r="N159" s="70">
        <f>'RESUMEN TOTAL'!AA210</f>
        <v>0</v>
      </c>
      <c r="O159" s="70">
        <f>'RESUMEN TOTAL'!AB210</f>
        <v>0</v>
      </c>
      <c r="P159" s="70">
        <f>'RESUMEN TOTAL'!AC210</f>
        <v>0</v>
      </c>
      <c r="Q159" s="70">
        <f>'RESUMEN TOTAL'!AD210</f>
        <v>0</v>
      </c>
      <c r="R159" s="70">
        <f>'RESUMEN TOTAL'!AE210</f>
        <v>0</v>
      </c>
      <c r="S159" s="70">
        <f>'RESUMEN TOTAL'!AF210</f>
        <v>0</v>
      </c>
      <c r="T159" s="70">
        <f>'RESUMEN TOTAL'!AG210</f>
        <v>0</v>
      </c>
      <c r="U159" s="70">
        <f>'RESUMEN TOTAL'!AH210</f>
        <v>0</v>
      </c>
      <c r="V159" s="70">
        <f>'RESUMEN TOTAL'!AI210</f>
        <v>0</v>
      </c>
      <c r="W159" s="70">
        <f>'RESUMEN TOTAL'!AJ210</f>
        <v>0</v>
      </c>
      <c r="X159" s="70">
        <f>'RESUMEN TOTAL'!AK210</f>
        <v>0</v>
      </c>
      <c r="Y159" s="70">
        <f>'RESUMEN TOTAL'!AL210</f>
        <v>0</v>
      </c>
      <c r="Z159" s="70">
        <f>'RESUMEN TOTAL'!AM210</f>
        <v>0</v>
      </c>
      <c r="AA159" s="70">
        <f>'RESUMEN TOTAL'!AN210</f>
        <v>0</v>
      </c>
      <c r="AB159" s="70">
        <f>'RESUMEN TOTAL'!AO210</f>
        <v>0</v>
      </c>
      <c r="AC159" s="70">
        <f>'RESUMEN TOTAL'!AP210</f>
        <v>0</v>
      </c>
      <c r="AD159" s="70">
        <f>'RESUMEN TOTAL'!AQ210</f>
        <v>0</v>
      </c>
      <c r="AE159" s="70">
        <f>'RESUMEN TOTAL'!AR210</f>
        <v>0</v>
      </c>
      <c r="AF159" s="70">
        <f>'RESUMEN TOTAL'!AS210</f>
        <v>0</v>
      </c>
      <c r="AG159" s="70">
        <f>'RESUMEN TOTAL'!AT210</f>
        <v>0</v>
      </c>
      <c r="AH159" s="70">
        <f>'RESUMEN TOTAL'!AU210</f>
        <v>0</v>
      </c>
      <c r="AI159" s="70">
        <f>'RESUMEN TOTAL'!AV210</f>
        <v>0</v>
      </c>
      <c r="AJ159" s="70" t="e">
        <f>'RESUMEN TOTAL'!#REF!</f>
        <v>#REF!</v>
      </c>
    </row>
    <row r="160" spans="1:36" x14ac:dyDescent="0.25">
      <c r="A160" t="str">
        <f>'RESUMEN TOTAL'!F211</f>
        <v>KM 26700 (JULIO A. COSTA)</v>
      </c>
      <c r="B160" t="str">
        <f>'RESUMEN TOTAL'!G211</f>
        <v>KM05</v>
      </c>
      <c r="C160" t="str">
        <f>'RESUMEN TOTAL'!I211</f>
        <v>El Ombu y Los Charruas</v>
      </c>
      <c r="D160" s="30" t="str">
        <f>'RESUMEN TOTAL'!J211</f>
        <v>Domo</v>
      </c>
      <c r="E160" s="30" t="str">
        <f>'RESUMEN TOTAL'!K211</f>
        <v>PTO A FO</v>
      </c>
      <c r="F160" s="70">
        <f>'RESUMEN TOTAL'!S211</f>
        <v>0</v>
      </c>
      <c r="G160" s="70">
        <f>'RESUMEN TOTAL'!T211</f>
        <v>0</v>
      </c>
      <c r="H160" s="70">
        <f>'RESUMEN TOTAL'!U211</f>
        <v>0</v>
      </c>
      <c r="I160" s="70" t="str">
        <f>'RESUMEN TOTAL'!V211</f>
        <v>APAGADO</v>
      </c>
      <c r="J160" s="70" t="str">
        <f>'RESUMEN TOTAL'!W211</f>
        <v>APAGADO</v>
      </c>
      <c r="K160" s="70" t="str">
        <f>'RESUMEN TOTAL'!X211</f>
        <v>APAGADO</v>
      </c>
      <c r="L160" s="70" t="str">
        <f>'RESUMEN TOTAL'!Y211</f>
        <v>APAGADO</v>
      </c>
      <c r="M160" s="70" t="str">
        <f>'RESUMEN TOTAL'!Z211</f>
        <v>APAGADO</v>
      </c>
      <c r="N160" s="70">
        <f>'RESUMEN TOTAL'!AA211</f>
        <v>0</v>
      </c>
      <c r="O160" s="70">
        <f>'RESUMEN TOTAL'!AB211</f>
        <v>0</v>
      </c>
      <c r="P160" s="70">
        <f>'RESUMEN TOTAL'!AC211</f>
        <v>0</v>
      </c>
      <c r="Q160" s="70">
        <f>'RESUMEN TOTAL'!AD211</f>
        <v>0</v>
      </c>
      <c r="R160" s="70">
        <f>'RESUMEN TOTAL'!AE211</f>
        <v>0</v>
      </c>
      <c r="S160" s="70">
        <f>'RESUMEN TOTAL'!AF211</f>
        <v>0</v>
      </c>
      <c r="T160" s="70">
        <f>'RESUMEN TOTAL'!AG211</f>
        <v>0</v>
      </c>
      <c r="U160" s="70">
        <f>'RESUMEN TOTAL'!AH211</f>
        <v>0</v>
      </c>
      <c r="V160" s="70">
        <f>'RESUMEN TOTAL'!AI211</f>
        <v>0</v>
      </c>
      <c r="W160" s="70">
        <f>'RESUMEN TOTAL'!AJ211</f>
        <v>0</v>
      </c>
      <c r="X160" s="70">
        <f>'RESUMEN TOTAL'!AK211</f>
        <v>0</v>
      </c>
      <c r="Y160" s="70">
        <f>'RESUMEN TOTAL'!AL211</f>
        <v>0</v>
      </c>
      <c r="Z160" s="70">
        <f>'RESUMEN TOTAL'!AM211</f>
        <v>0</v>
      </c>
      <c r="AA160" s="70">
        <f>'RESUMEN TOTAL'!AN211</f>
        <v>0</v>
      </c>
      <c r="AB160" s="70">
        <f>'RESUMEN TOTAL'!AO211</f>
        <v>0</v>
      </c>
      <c r="AC160" s="70">
        <f>'RESUMEN TOTAL'!AP211</f>
        <v>0</v>
      </c>
      <c r="AD160" s="70">
        <f>'RESUMEN TOTAL'!AQ211</f>
        <v>0</v>
      </c>
      <c r="AE160" s="70">
        <f>'RESUMEN TOTAL'!AR211</f>
        <v>0</v>
      </c>
      <c r="AF160" s="70">
        <f>'RESUMEN TOTAL'!AS211</f>
        <v>0</v>
      </c>
      <c r="AG160" s="70">
        <f>'RESUMEN TOTAL'!AT211</f>
        <v>0</v>
      </c>
      <c r="AH160" s="70">
        <f>'RESUMEN TOTAL'!AU211</f>
        <v>0</v>
      </c>
      <c r="AI160" s="70">
        <f>'RESUMEN TOTAL'!AV211</f>
        <v>0</v>
      </c>
      <c r="AJ160" s="70" t="e">
        <f>'RESUMEN TOTAL'!#REF!</f>
        <v>#REF!</v>
      </c>
    </row>
    <row r="161" spans="1:36" x14ac:dyDescent="0.25">
      <c r="A161" t="str">
        <f>'RESUMEN TOTAL'!F212</f>
        <v>KM 26700 (JULIO A. COSTA)</v>
      </c>
      <c r="B161" t="str">
        <f>'RESUMEN TOTAL'!G212</f>
        <v>KM06</v>
      </c>
      <c r="C161" t="str">
        <f>'RESUMEN TOTAL'!I212</f>
        <v>El Ombu y La Cautiva</v>
      </c>
      <c r="D161" s="30" t="str">
        <f>'RESUMEN TOTAL'!J212</f>
        <v>DOMO</v>
      </c>
      <c r="E161" s="30" t="str">
        <f>'RESUMEN TOTAL'!K212</f>
        <v>GPON</v>
      </c>
      <c r="F161" s="70">
        <f>'RESUMEN TOTAL'!S212</f>
        <v>0</v>
      </c>
      <c r="G161" s="70">
        <f>'RESUMEN TOTAL'!T212</f>
        <v>0</v>
      </c>
      <c r="H161" s="70">
        <f>'RESUMEN TOTAL'!U212</f>
        <v>0</v>
      </c>
      <c r="I161" s="70">
        <f>'RESUMEN TOTAL'!V212</f>
        <v>0</v>
      </c>
      <c r="J161" s="70">
        <f>'RESUMEN TOTAL'!W212</f>
        <v>0</v>
      </c>
      <c r="K161" s="70">
        <f>'RESUMEN TOTAL'!X212</f>
        <v>0</v>
      </c>
      <c r="L161" s="70">
        <f>'RESUMEN TOTAL'!Y212</f>
        <v>0</v>
      </c>
      <c r="M161" s="70">
        <f>'RESUMEN TOTAL'!Z212</f>
        <v>0</v>
      </c>
      <c r="N161" s="70">
        <f>'RESUMEN TOTAL'!AA212</f>
        <v>0</v>
      </c>
      <c r="O161" s="70">
        <f>'RESUMEN TOTAL'!AB212</f>
        <v>0</v>
      </c>
      <c r="P161" s="70">
        <f>'RESUMEN TOTAL'!AC212</f>
        <v>0</v>
      </c>
      <c r="Q161" s="70">
        <f>'RESUMEN TOTAL'!AD212</f>
        <v>0</v>
      </c>
      <c r="R161" s="70">
        <f>'RESUMEN TOTAL'!AE212</f>
        <v>0</v>
      </c>
      <c r="S161" s="70">
        <f>'RESUMEN TOTAL'!AF212</f>
        <v>0</v>
      </c>
      <c r="T161" s="70">
        <f>'RESUMEN TOTAL'!AG212</f>
        <v>0</v>
      </c>
      <c r="U161" s="70">
        <f>'RESUMEN TOTAL'!AH212</f>
        <v>0</v>
      </c>
      <c r="V161" s="70">
        <f>'RESUMEN TOTAL'!AI212</f>
        <v>0</v>
      </c>
      <c r="W161" s="70">
        <f>'RESUMEN TOTAL'!AJ212</f>
        <v>0</v>
      </c>
      <c r="X161" s="70">
        <f>'RESUMEN TOTAL'!AK212</f>
        <v>0</v>
      </c>
      <c r="Y161" s="70">
        <f>'RESUMEN TOTAL'!AL212</f>
        <v>0</v>
      </c>
      <c r="Z161" s="70">
        <f>'RESUMEN TOTAL'!AM212</f>
        <v>0</v>
      </c>
      <c r="AA161" s="70">
        <f>'RESUMEN TOTAL'!AN212</f>
        <v>0</v>
      </c>
      <c r="AB161" s="70">
        <f>'RESUMEN TOTAL'!AO212</f>
        <v>0</v>
      </c>
      <c r="AC161" s="70">
        <f>'RESUMEN TOTAL'!AP212</f>
        <v>0</v>
      </c>
      <c r="AD161" s="70">
        <f>'RESUMEN TOTAL'!AQ212</f>
        <v>0</v>
      </c>
      <c r="AE161" s="70">
        <f>'RESUMEN TOTAL'!AR212</f>
        <v>0</v>
      </c>
      <c r="AF161" s="70">
        <f>'RESUMEN TOTAL'!AS212</f>
        <v>0</v>
      </c>
      <c r="AG161" s="70">
        <f>'RESUMEN TOTAL'!AT212</f>
        <v>0</v>
      </c>
      <c r="AH161" s="70">
        <f>'RESUMEN TOTAL'!AU212</f>
        <v>0</v>
      </c>
      <c r="AI161" s="70">
        <f>'RESUMEN TOTAL'!AV212</f>
        <v>0</v>
      </c>
      <c r="AJ161" s="70" t="e">
        <f>'RESUMEN TOTAL'!#REF!</f>
        <v>#REF!</v>
      </c>
    </row>
    <row r="162" spans="1:36" x14ac:dyDescent="0.25">
      <c r="A162" t="str">
        <f>'RESUMEN TOTAL'!F213</f>
        <v>KM 26700 (JULIO A. COSTA)</v>
      </c>
      <c r="B162" t="str">
        <f>'RESUMEN TOTAL'!G213</f>
        <v>KM08 / UPA 03</v>
      </c>
      <c r="C162" t="str">
        <f>'RESUMEN TOTAL'!I213</f>
        <v>LOS CHARRUAS Y BLANDENGUES</v>
      </c>
      <c r="D162" s="30" t="str">
        <f>'RESUMEN TOTAL'!J213</f>
        <v>DOMO</v>
      </c>
      <c r="E162" s="30" t="str">
        <f>'RESUMEN TOTAL'!K213</f>
        <v>GPON</v>
      </c>
      <c r="F162" s="70">
        <f>'RESUMEN TOTAL'!S213</f>
        <v>0</v>
      </c>
      <c r="G162" s="70">
        <f>'RESUMEN TOTAL'!T213</f>
        <v>0</v>
      </c>
      <c r="H162" s="70">
        <f>'RESUMEN TOTAL'!U213</f>
        <v>0</v>
      </c>
      <c r="I162" s="70" t="str">
        <f>'RESUMEN TOTAL'!V213</f>
        <v>APAGADO</v>
      </c>
      <c r="J162" s="70" t="str">
        <f>'RESUMEN TOTAL'!W213</f>
        <v>APAGADO</v>
      </c>
      <c r="K162" s="70" t="str">
        <f>'RESUMEN TOTAL'!X213</f>
        <v>APAGADO</v>
      </c>
      <c r="L162" s="70" t="str">
        <f>'RESUMEN TOTAL'!Y213</f>
        <v>APAGADO</v>
      </c>
      <c r="M162" s="70" t="str">
        <f>'RESUMEN TOTAL'!Z213</f>
        <v>APAGADO</v>
      </c>
      <c r="N162" s="70">
        <f>'RESUMEN TOTAL'!AA213</f>
        <v>0</v>
      </c>
      <c r="O162" s="70">
        <f>'RESUMEN TOTAL'!AB213</f>
        <v>0</v>
      </c>
      <c r="P162" s="70" t="str">
        <f>'RESUMEN TOTAL'!AC213</f>
        <v>APAGADO</v>
      </c>
      <c r="Q162" s="70" t="str">
        <f>'RESUMEN TOTAL'!AD213</f>
        <v>APAGADO</v>
      </c>
      <c r="R162" s="70" t="str">
        <f>'RESUMEN TOTAL'!AE213</f>
        <v>APAGADO</v>
      </c>
      <c r="S162" s="70" t="str">
        <f>'RESUMEN TOTAL'!AF213</f>
        <v>APAGADO</v>
      </c>
      <c r="T162" s="70" t="str">
        <f>'RESUMEN TOTAL'!AG213</f>
        <v>APAGADO</v>
      </c>
      <c r="U162" s="70">
        <f>'RESUMEN TOTAL'!AH213</f>
        <v>0</v>
      </c>
      <c r="V162" s="70">
        <f>'RESUMEN TOTAL'!AI213</f>
        <v>0</v>
      </c>
      <c r="W162" s="70">
        <f>'RESUMEN TOTAL'!AJ213</f>
        <v>0</v>
      </c>
      <c r="X162" s="70">
        <f>'RESUMEN TOTAL'!AK213</f>
        <v>0</v>
      </c>
      <c r="Y162" s="70">
        <f>'RESUMEN TOTAL'!AL213</f>
        <v>0</v>
      </c>
      <c r="Z162" s="70" t="str">
        <f>'RESUMEN TOTAL'!AM213</f>
        <v>APAGADO</v>
      </c>
      <c r="AA162" s="70">
        <f>'RESUMEN TOTAL'!AN213</f>
        <v>0</v>
      </c>
      <c r="AB162" s="70">
        <f>'RESUMEN TOTAL'!AO213</f>
        <v>0</v>
      </c>
      <c r="AC162" s="70">
        <f>'RESUMEN TOTAL'!AP213</f>
        <v>0</v>
      </c>
      <c r="AD162" s="70">
        <f>'RESUMEN TOTAL'!AQ213</f>
        <v>0</v>
      </c>
      <c r="AE162" s="70">
        <f>'RESUMEN TOTAL'!AR213</f>
        <v>0</v>
      </c>
      <c r="AF162" s="70">
        <f>'RESUMEN TOTAL'!AS213</f>
        <v>0</v>
      </c>
      <c r="AG162" s="70">
        <f>'RESUMEN TOTAL'!AT213</f>
        <v>0</v>
      </c>
      <c r="AH162" s="70">
        <f>'RESUMEN TOTAL'!AU213</f>
        <v>0</v>
      </c>
      <c r="AI162" s="70">
        <f>'RESUMEN TOTAL'!AV213</f>
        <v>0</v>
      </c>
      <c r="AJ162" s="70" t="e">
        <f>'RESUMEN TOTAL'!#REF!</f>
        <v>#REF!</v>
      </c>
    </row>
    <row r="163" spans="1:36" x14ac:dyDescent="0.25">
      <c r="A163" t="str">
        <f>'RESUMEN TOTAL'!F214</f>
        <v>KM 26700 (JULIO A. COSTA)</v>
      </c>
      <c r="B163" t="str">
        <f>'RESUMEN TOTAL'!G214</f>
        <v>KM09 / UPA 1</v>
      </c>
      <c r="C163" t="str">
        <f>'RESUMEN TOTAL'!I214</f>
        <v>NOVAK Y LA POSTA</v>
      </c>
      <c r="D163" s="30" t="str">
        <f>'RESUMEN TOTAL'!J214</f>
        <v>DOMO</v>
      </c>
      <c r="E163" s="30" t="str">
        <f>'RESUMEN TOTAL'!K214</f>
        <v>PTO A FO</v>
      </c>
      <c r="F163" s="70">
        <f>'RESUMEN TOTAL'!S214</f>
        <v>0</v>
      </c>
      <c r="G163" s="70">
        <f>'RESUMEN TOTAL'!T214</f>
        <v>0</v>
      </c>
      <c r="H163" s="70">
        <f>'RESUMEN TOTAL'!U214</f>
        <v>0</v>
      </c>
      <c r="I163" s="70">
        <f>'RESUMEN TOTAL'!V214</f>
        <v>0</v>
      </c>
      <c r="J163" s="70">
        <f>'RESUMEN TOTAL'!W214</f>
        <v>0</v>
      </c>
      <c r="K163" s="70">
        <f>'RESUMEN TOTAL'!X214</f>
        <v>0</v>
      </c>
      <c r="L163" s="70">
        <f>'RESUMEN TOTAL'!Y214</f>
        <v>0</v>
      </c>
      <c r="M163" s="70">
        <f>'RESUMEN TOTAL'!Z214</f>
        <v>0</v>
      </c>
      <c r="N163" s="70">
        <f>'RESUMEN TOTAL'!AA214</f>
        <v>0</v>
      </c>
      <c r="O163" s="70">
        <f>'RESUMEN TOTAL'!AB214</f>
        <v>0</v>
      </c>
      <c r="P163" s="70">
        <f>'RESUMEN TOTAL'!AC214</f>
        <v>0</v>
      </c>
      <c r="Q163" s="70">
        <f>'RESUMEN TOTAL'!AD214</f>
        <v>0</v>
      </c>
      <c r="R163" s="70">
        <f>'RESUMEN TOTAL'!AE214</f>
        <v>0</v>
      </c>
      <c r="S163" s="70">
        <f>'RESUMEN TOTAL'!AF214</f>
        <v>0</v>
      </c>
      <c r="T163" s="70">
        <f>'RESUMEN TOTAL'!AG214</f>
        <v>0</v>
      </c>
      <c r="U163" s="70">
        <f>'RESUMEN TOTAL'!AH214</f>
        <v>0</v>
      </c>
      <c r="V163" s="70">
        <f>'RESUMEN TOTAL'!AI214</f>
        <v>0</v>
      </c>
      <c r="W163" s="70">
        <f>'RESUMEN TOTAL'!AJ214</f>
        <v>0</v>
      </c>
      <c r="X163" s="70">
        <f>'RESUMEN TOTAL'!AK214</f>
        <v>0</v>
      </c>
      <c r="Y163" s="70">
        <f>'RESUMEN TOTAL'!AL214</f>
        <v>0</v>
      </c>
      <c r="Z163" s="70">
        <f>'RESUMEN TOTAL'!AM214</f>
        <v>0</v>
      </c>
      <c r="AA163" s="70">
        <f>'RESUMEN TOTAL'!AN214</f>
        <v>0</v>
      </c>
      <c r="AB163" s="70">
        <f>'RESUMEN TOTAL'!AO214</f>
        <v>0</v>
      </c>
      <c r="AC163" s="70">
        <f>'RESUMEN TOTAL'!AP214</f>
        <v>0</v>
      </c>
      <c r="AD163" s="70">
        <f>'RESUMEN TOTAL'!AQ214</f>
        <v>0</v>
      </c>
      <c r="AE163" s="70">
        <f>'RESUMEN TOTAL'!AR214</f>
        <v>0</v>
      </c>
      <c r="AF163" s="70">
        <f>'RESUMEN TOTAL'!AS214</f>
        <v>0</v>
      </c>
      <c r="AG163" s="70">
        <f>'RESUMEN TOTAL'!AT214</f>
        <v>0</v>
      </c>
      <c r="AH163" s="70">
        <f>'RESUMEN TOTAL'!AU214</f>
        <v>0</v>
      </c>
      <c r="AI163" s="70">
        <f>'RESUMEN TOTAL'!AV214</f>
        <v>0</v>
      </c>
      <c r="AJ163" s="70" t="e">
        <f>'RESUMEN TOTAL'!#REF!</f>
        <v>#REF!</v>
      </c>
    </row>
    <row r="164" spans="1:36" x14ac:dyDescent="0.25">
      <c r="A164" t="str">
        <f>'RESUMEN TOTAL'!F215</f>
        <v>KM 26700 (JULIO A. COSTA)</v>
      </c>
      <c r="B164" t="str">
        <f>'RESUMEN TOTAL'!G215</f>
        <v>KM11</v>
      </c>
      <c r="C164" t="str">
        <f>'RESUMEN TOTAL'!I215</f>
        <v>NOVAK Y EL OVERO</v>
      </c>
      <c r="D164" s="30" t="str">
        <f>'RESUMEN TOTAL'!J215</f>
        <v>DOMO</v>
      </c>
      <c r="E164" s="30" t="str">
        <f>'RESUMEN TOTAL'!K215</f>
        <v>GPON</v>
      </c>
      <c r="F164" s="70">
        <f>'RESUMEN TOTAL'!S215</f>
        <v>0</v>
      </c>
      <c r="G164" s="70">
        <f>'RESUMEN TOTAL'!T215</f>
        <v>0</v>
      </c>
      <c r="H164" s="70">
        <f>'RESUMEN TOTAL'!U215</f>
        <v>0</v>
      </c>
      <c r="I164" s="70">
        <f>'RESUMEN TOTAL'!V215</f>
        <v>0</v>
      </c>
      <c r="J164" s="70">
        <f>'RESUMEN TOTAL'!W215</f>
        <v>0</v>
      </c>
      <c r="K164" s="70">
        <f>'RESUMEN TOTAL'!X215</f>
        <v>0</v>
      </c>
      <c r="L164" s="70">
        <f>'RESUMEN TOTAL'!Y215</f>
        <v>0</v>
      </c>
      <c r="M164" s="70">
        <f>'RESUMEN TOTAL'!Z215</f>
        <v>0</v>
      </c>
      <c r="N164" s="70">
        <f>'RESUMEN TOTAL'!AA215</f>
        <v>0</v>
      </c>
      <c r="O164" s="70">
        <f>'RESUMEN TOTAL'!AB215</f>
        <v>0</v>
      </c>
      <c r="P164" s="70">
        <f>'RESUMEN TOTAL'!AC215</f>
        <v>0</v>
      </c>
      <c r="Q164" s="70">
        <f>'RESUMEN TOTAL'!AD215</f>
        <v>0</v>
      </c>
      <c r="R164" s="70">
        <f>'RESUMEN TOTAL'!AE215</f>
        <v>0</v>
      </c>
      <c r="S164" s="70" t="str">
        <f>'RESUMEN TOTAL'!AF215</f>
        <v>APAGADO</v>
      </c>
      <c r="T164" s="70" t="str">
        <f>'RESUMEN TOTAL'!AG215</f>
        <v>APAGADO</v>
      </c>
      <c r="U164" s="70">
        <f>'RESUMEN TOTAL'!AH215</f>
        <v>0</v>
      </c>
      <c r="V164" s="70">
        <f>'RESUMEN TOTAL'!AI215</f>
        <v>0</v>
      </c>
      <c r="W164" s="70">
        <f>'RESUMEN TOTAL'!AJ215</f>
        <v>0</v>
      </c>
      <c r="X164" s="70">
        <f>'RESUMEN TOTAL'!AK215</f>
        <v>0</v>
      </c>
      <c r="Y164" s="70">
        <f>'RESUMEN TOTAL'!AL215</f>
        <v>0</v>
      </c>
      <c r="Z164" s="70">
        <f>'RESUMEN TOTAL'!AM215</f>
        <v>0</v>
      </c>
      <c r="AA164" s="70">
        <f>'RESUMEN TOTAL'!AN215</f>
        <v>0</v>
      </c>
      <c r="AB164" s="70">
        <f>'RESUMEN TOTAL'!AO215</f>
        <v>0</v>
      </c>
      <c r="AC164" s="70">
        <f>'RESUMEN TOTAL'!AP215</f>
        <v>0</v>
      </c>
      <c r="AD164" s="70">
        <f>'RESUMEN TOTAL'!AQ215</f>
        <v>0</v>
      </c>
      <c r="AE164" s="70">
        <f>'RESUMEN TOTAL'!AR215</f>
        <v>0</v>
      </c>
      <c r="AF164" s="70">
        <f>'RESUMEN TOTAL'!AS215</f>
        <v>0</v>
      </c>
      <c r="AG164" s="70">
        <f>'RESUMEN TOTAL'!AT215</f>
        <v>0</v>
      </c>
      <c r="AH164" s="70">
        <f>'RESUMEN TOTAL'!AU215</f>
        <v>0</v>
      </c>
      <c r="AI164" s="70">
        <f>'RESUMEN TOTAL'!AV215</f>
        <v>0</v>
      </c>
      <c r="AJ164" s="70" t="e">
        <f>'RESUMEN TOTAL'!#REF!</f>
        <v>#REF!</v>
      </c>
    </row>
    <row r="165" spans="1:36" x14ac:dyDescent="0.25">
      <c r="A165" t="str">
        <f>'RESUMEN TOTAL'!F216</f>
        <v>KM 26700 (JULIO A. COSTA)</v>
      </c>
      <c r="B165" t="str">
        <f>'RESUMEN TOTAL'!G216</f>
        <v>KM19</v>
      </c>
      <c r="C165" t="str">
        <f>'RESUMEN TOTAL'!I216</f>
        <v>El Aljibe y El Zonda</v>
      </c>
      <c r="D165" s="30" t="str">
        <f>'RESUMEN TOTAL'!J216</f>
        <v>Fija</v>
      </c>
      <c r="E165" s="30" t="str">
        <f>'RESUMEN TOTAL'!K216</f>
        <v>GPON</v>
      </c>
      <c r="F165" s="70">
        <f>'RESUMEN TOTAL'!S216</f>
        <v>0</v>
      </c>
      <c r="G165" s="70">
        <f>'RESUMEN TOTAL'!T216</f>
        <v>0</v>
      </c>
      <c r="H165" s="70">
        <f>'RESUMEN TOTAL'!U216</f>
        <v>0</v>
      </c>
      <c r="I165" s="70">
        <f>'RESUMEN TOTAL'!V216</f>
        <v>0</v>
      </c>
      <c r="J165" s="70">
        <f>'RESUMEN TOTAL'!W216</f>
        <v>0</v>
      </c>
      <c r="K165" s="70">
        <f>'RESUMEN TOTAL'!X216</f>
        <v>0</v>
      </c>
      <c r="L165" s="70">
        <f>'RESUMEN TOTAL'!Y216</f>
        <v>0</v>
      </c>
      <c r="M165" s="70">
        <f>'RESUMEN TOTAL'!Z216</f>
        <v>0</v>
      </c>
      <c r="N165" s="70">
        <f>'RESUMEN TOTAL'!AA216</f>
        <v>0</v>
      </c>
      <c r="O165" s="70">
        <f>'RESUMEN TOTAL'!AB216</f>
        <v>0</v>
      </c>
      <c r="P165" s="70">
        <f>'RESUMEN TOTAL'!AC216</f>
        <v>0</v>
      </c>
      <c r="Q165" s="70">
        <f>'RESUMEN TOTAL'!AD216</f>
        <v>0</v>
      </c>
      <c r="R165" s="70">
        <f>'RESUMEN TOTAL'!AE216</f>
        <v>0</v>
      </c>
      <c r="S165" s="70">
        <f>'RESUMEN TOTAL'!AF216</f>
        <v>0</v>
      </c>
      <c r="T165" s="70">
        <f>'RESUMEN TOTAL'!AG216</f>
        <v>0</v>
      </c>
      <c r="U165" s="70">
        <f>'RESUMEN TOTAL'!AH216</f>
        <v>0</v>
      </c>
      <c r="V165" s="70">
        <f>'RESUMEN TOTAL'!AI216</f>
        <v>0</v>
      </c>
      <c r="W165" s="70">
        <f>'RESUMEN TOTAL'!AJ216</f>
        <v>0</v>
      </c>
      <c r="X165" s="70">
        <f>'RESUMEN TOTAL'!AK216</f>
        <v>0</v>
      </c>
      <c r="Y165" s="70">
        <f>'RESUMEN TOTAL'!AL216</f>
        <v>0</v>
      </c>
      <c r="Z165" s="70">
        <f>'RESUMEN TOTAL'!AM216</f>
        <v>0</v>
      </c>
      <c r="AA165" s="70">
        <f>'RESUMEN TOTAL'!AN216</f>
        <v>0</v>
      </c>
      <c r="AB165" s="70">
        <f>'RESUMEN TOTAL'!AO216</f>
        <v>0</v>
      </c>
      <c r="AC165" s="70">
        <f>'RESUMEN TOTAL'!AP216</f>
        <v>0</v>
      </c>
      <c r="AD165" s="70">
        <f>'RESUMEN TOTAL'!AQ216</f>
        <v>0</v>
      </c>
      <c r="AE165" s="70">
        <f>'RESUMEN TOTAL'!AR216</f>
        <v>0</v>
      </c>
      <c r="AF165" s="70">
        <f>'RESUMEN TOTAL'!AS216</f>
        <v>0</v>
      </c>
      <c r="AG165" s="70">
        <f>'RESUMEN TOTAL'!AT216</f>
        <v>0</v>
      </c>
      <c r="AH165" s="70">
        <f>'RESUMEN TOTAL'!AU216</f>
        <v>0</v>
      </c>
      <c r="AI165" s="70">
        <f>'RESUMEN TOTAL'!AV216</f>
        <v>0</v>
      </c>
      <c r="AJ165" s="70" t="e">
        <f>'RESUMEN TOTAL'!#REF!</f>
        <v>#REF!</v>
      </c>
    </row>
    <row r="166" spans="1:36" x14ac:dyDescent="0.25">
      <c r="A166" t="str">
        <f>'RESUMEN TOTAL'!F217</f>
        <v>KM 26700 (JULIO A. COSTA)</v>
      </c>
      <c r="B166" t="str">
        <f>'RESUMEN TOTAL'!G217</f>
        <v>KM20</v>
      </c>
      <c r="C166" t="str">
        <f>'RESUMEN TOTAL'!I217</f>
        <v xml:space="preserve">Novak y Pagani </v>
      </c>
      <c r="D166" s="30" t="str">
        <f>'RESUMEN TOTAL'!J217</f>
        <v>Fija</v>
      </c>
      <c r="E166" s="30" t="str">
        <f>'RESUMEN TOTAL'!K217</f>
        <v>GPON</v>
      </c>
      <c r="F166" s="70">
        <f>'RESUMEN TOTAL'!S217</f>
        <v>0</v>
      </c>
      <c r="G166" s="70">
        <f>'RESUMEN TOTAL'!T217</f>
        <v>0</v>
      </c>
      <c r="H166" s="70">
        <f>'RESUMEN TOTAL'!U217</f>
        <v>0</v>
      </c>
      <c r="I166" s="70">
        <f>'RESUMEN TOTAL'!V217</f>
        <v>0</v>
      </c>
      <c r="J166" s="70">
        <f>'RESUMEN TOTAL'!W217</f>
        <v>0</v>
      </c>
      <c r="K166" s="70">
        <f>'RESUMEN TOTAL'!X217</f>
        <v>0</v>
      </c>
      <c r="L166" s="70">
        <f>'RESUMEN TOTAL'!Y217</f>
        <v>0</v>
      </c>
      <c r="M166" s="70">
        <f>'RESUMEN TOTAL'!Z217</f>
        <v>0</v>
      </c>
      <c r="N166" s="70">
        <f>'RESUMEN TOTAL'!AA217</f>
        <v>0</v>
      </c>
      <c r="O166" s="70">
        <f>'RESUMEN TOTAL'!AB217</f>
        <v>0</v>
      </c>
      <c r="P166" s="70">
        <f>'RESUMEN TOTAL'!AC217</f>
        <v>0</v>
      </c>
      <c r="Q166" s="70">
        <f>'RESUMEN TOTAL'!AD217</f>
        <v>0</v>
      </c>
      <c r="R166" s="70">
        <f>'RESUMEN TOTAL'!AE217</f>
        <v>0</v>
      </c>
      <c r="S166" s="70">
        <f>'RESUMEN TOTAL'!AF217</f>
        <v>0</v>
      </c>
      <c r="T166" s="70">
        <f>'RESUMEN TOTAL'!AG217</f>
        <v>0</v>
      </c>
      <c r="U166" s="70">
        <f>'RESUMEN TOTAL'!AH217</f>
        <v>0</v>
      </c>
      <c r="V166" s="70">
        <f>'RESUMEN TOTAL'!AI217</f>
        <v>0</v>
      </c>
      <c r="W166" s="70">
        <f>'RESUMEN TOTAL'!AJ217</f>
        <v>0</v>
      </c>
      <c r="X166" s="70">
        <f>'RESUMEN TOTAL'!AK217</f>
        <v>0</v>
      </c>
      <c r="Y166" s="70">
        <f>'RESUMEN TOTAL'!AL217</f>
        <v>0</v>
      </c>
      <c r="Z166" s="70">
        <f>'RESUMEN TOTAL'!AM217</f>
        <v>0</v>
      </c>
      <c r="AA166" s="70">
        <f>'RESUMEN TOTAL'!AN217</f>
        <v>0</v>
      </c>
      <c r="AB166" s="70">
        <f>'RESUMEN TOTAL'!AO217</f>
        <v>0</v>
      </c>
      <c r="AC166" s="70">
        <f>'RESUMEN TOTAL'!AP217</f>
        <v>0</v>
      </c>
      <c r="AD166" s="70">
        <f>'RESUMEN TOTAL'!AQ217</f>
        <v>0</v>
      </c>
      <c r="AE166" s="70">
        <f>'RESUMEN TOTAL'!AR217</f>
        <v>0</v>
      </c>
      <c r="AF166" s="70">
        <f>'RESUMEN TOTAL'!AS217</f>
        <v>0</v>
      </c>
      <c r="AG166" s="70">
        <f>'RESUMEN TOTAL'!AT217</f>
        <v>0</v>
      </c>
      <c r="AH166" s="70">
        <f>'RESUMEN TOTAL'!AU217</f>
        <v>0</v>
      </c>
      <c r="AI166" s="70">
        <f>'RESUMEN TOTAL'!AV217</f>
        <v>0</v>
      </c>
      <c r="AJ166" s="70" t="e">
        <f>'RESUMEN TOTAL'!#REF!</f>
        <v>#REF!</v>
      </c>
    </row>
    <row r="167" spans="1:36" x14ac:dyDescent="0.25">
      <c r="A167" t="str">
        <f>'RESUMEN TOTAL'!F221</f>
        <v>LOMAS DE MONTEVERDE</v>
      </c>
      <c r="B167" t="str">
        <f>'RESUMEN TOTAL'!G221</f>
        <v>LDM 04</v>
      </c>
      <c r="C167" t="str">
        <f>'RESUMEN TOTAL'!I221</f>
        <v>PLAZA LOMAS DE MONTEVERDE</v>
      </c>
      <c r="D167" s="30" t="str">
        <f>'RESUMEN TOTAL'!J221</f>
        <v>DOMO</v>
      </c>
      <c r="E167" s="30" t="str">
        <f>'RESUMEN TOTAL'!K221</f>
        <v>FO A GPON</v>
      </c>
      <c r="F167" s="70">
        <f>'RESUMEN TOTAL'!S221</f>
        <v>0</v>
      </c>
      <c r="G167" s="70">
        <f>'RESUMEN TOTAL'!T221</f>
        <v>0</v>
      </c>
      <c r="H167" s="70">
        <f>'RESUMEN TOTAL'!U221</f>
        <v>0</v>
      </c>
      <c r="I167" s="70" t="str">
        <f>'RESUMEN TOTAL'!V221</f>
        <v>APAGADO</v>
      </c>
      <c r="J167" s="70" t="str">
        <f>'RESUMEN TOTAL'!W221</f>
        <v>APAGADO</v>
      </c>
      <c r="K167" s="70" t="str">
        <f>'RESUMEN TOTAL'!X221</f>
        <v>APAGADO</v>
      </c>
      <c r="L167" s="70">
        <f>'RESUMEN TOTAL'!Y221</f>
        <v>0</v>
      </c>
      <c r="M167" s="70">
        <f>'RESUMEN TOTAL'!Z221</f>
        <v>0</v>
      </c>
      <c r="N167" s="70">
        <f>'RESUMEN TOTAL'!AA221</f>
        <v>0</v>
      </c>
      <c r="O167" s="70">
        <f>'RESUMEN TOTAL'!AB221</f>
        <v>0</v>
      </c>
      <c r="P167" s="70">
        <f>'RESUMEN TOTAL'!AC221</f>
        <v>0</v>
      </c>
      <c r="Q167" s="70">
        <f>'RESUMEN TOTAL'!AD221</f>
        <v>0</v>
      </c>
      <c r="R167" s="70">
        <f>'RESUMEN TOTAL'!AE221</f>
        <v>0</v>
      </c>
      <c r="S167" s="70">
        <f>'RESUMEN TOTAL'!AF221</f>
        <v>0</v>
      </c>
      <c r="T167" s="70">
        <f>'RESUMEN TOTAL'!AG221</f>
        <v>0</v>
      </c>
      <c r="U167" s="70">
        <f>'RESUMEN TOTAL'!AH221</f>
        <v>0</v>
      </c>
      <c r="V167" s="70">
        <f>'RESUMEN TOTAL'!AI221</f>
        <v>0</v>
      </c>
      <c r="W167" s="70">
        <f>'RESUMEN TOTAL'!AJ221</f>
        <v>0</v>
      </c>
      <c r="X167" s="70">
        <f>'RESUMEN TOTAL'!AK221</f>
        <v>0</v>
      </c>
      <c r="Y167" s="70">
        <f>'RESUMEN TOTAL'!AL221</f>
        <v>0</v>
      </c>
      <c r="Z167" s="70">
        <f>'RESUMEN TOTAL'!AM221</f>
        <v>0</v>
      </c>
      <c r="AA167" s="70">
        <f>'RESUMEN TOTAL'!AN221</f>
        <v>0</v>
      </c>
      <c r="AB167" s="70">
        <f>'RESUMEN TOTAL'!AO221</f>
        <v>0</v>
      </c>
      <c r="AC167" s="70">
        <f>'RESUMEN TOTAL'!AP221</f>
        <v>0</v>
      </c>
      <c r="AD167" s="70">
        <f>'RESUMEN TOTAL'!AQ221</f>
        <v>0</v>
      </c>
      <c r="AE167" s="70">
        <f>'RESUMEN TOTAL'!AR221</f>
        <v>0</v>
      </c>
      <c r="AF167" s="70">
        <f>'RESUMEN TOTAL'!AS221</f>
        <v>0</v>
      </c>
      <c r="AG167" s="70">
        <f>'RESUMEN TOTAL'!AT221</f>
        <v>0</v>
      </c>
      <c r="AH167" s="70">
        <f>'RESUMEN TOTAL'!AU221</f>
        <v>0</v>
      </c>
      <c r="AI167" s="70">
        <f>'RESUMEN TOTAL'!AV221</f>
        <v>0</v>
      </c>
      <c r="AJ167" s="70" t="e">
        <f>'RESUMEN TOTAL'!#REF!</f>
        <v>#REF!</v>
      </c>
    </row>
    <row r="168" spans="1:36" x14ac:dyDescent="0.25">
      <c r="A168" t="str">
        <f>'RESUMEN TOTAL'!F222</f>
        <v>LOMAS DE MONTEVERDE</v>
      </c>
      <c r="B168" t="str">
        <f>'RESUMEN TOTAL'!G222</f>
        <v>LDM 05</v>
      </c>
      <c r="C168" t="str">
        <f>'RESUMEN TOTAL'!I222</f>
        <v>Las Heras y Riobamba</v>
      </c>
      <c r="D168" s="30" t="str">
        <f>'RESUMEN TOTAL'!J222</f>
        <v>DOMO</v>
      </c>
      <c r="E168" s="30" t="str">
        <f>'RESUMEN TOTAL'!K222</f>
        <v>GPON</v>
      </c>
      <c r="F168" s="70">
        <f>'RESUMEN TOTAL'!S222</f>
        <v>0</v>
      </c>
      <c r="G168" s="70">
        <f>'RESUMEN TOTAL'!T222</f>
        <v>0</v>
      </c>
      <c r="H168" s="70">
        <f>'RESUMEN TOTAL'!U222</f>
        <v>0</v>
      </c>
      <c r="I168" s="70">
        <f>'RESUMEN TOTAL'!V222</f>
        <v>0</v>
      </c>
      <c r="J168" s="70">
        <f>'RESUMEN TOTAL'!W222</f>
        <v>0</v>
      </c>
      <c r="K168" s="70">
        <f>'RESUMEN TOTAL'!X222</f>
        <v>0</v>
      </c>
      <c r="L168" s="70">
        <f>'RESUMEN TOTAL'!Y222</f>
        <v>0</v>
      </c>
      <c r="M168" s="70">
        <f>'RESUMEN TOTAL'!Z222</f>
        <v>0</v>
      </c>
      <c r="N168" s="70">
        <f>'RESUMEN TOTAL'!AA222</f>
        <v>0</v>
      </c>
      <c r="O168" s="70">
        <f>'RESUMEN TOTAL'!AB222</f>
        <v>0</v>
      </c>
      <c r="P168" s="70">
        <f>'RESUMEN TOTAL'!AC222</f>
        <v>0</v>
      </c>
      <c r="Q168" s="70">
        <f>'RESUMEN TOTAL'!AD222</f>
        <v>0</v>
      </c>
      <c r="R168" s="70">
        <f>'RESUMEN TOTAL'!AE222</f>
        <v>0</v>
      </c>
      <c r="S168" s="70">
        <f>'RESUMEN TOTAL'!AF222</f>
        <v>0</v>
      </c>
      <c r="T168" s="70">
        <f>'RESUMEN TOTAL'!AG222</f>
        <v>0</v>
      </c>
      <c r="U168" s="70">
        <f>'RESUMEN TOTAL'!AH222</f>
        <v>0</v>
      </c>
      <c r="V168" s="70">
        <f>'RESUMEN TOTAL'!AI222</f>
        <v>0</v>
      </c>
      <c r="W168" s="70">
        <f>'RESUMEN TOTAL'!AJ222</f>
        <v>0</v>
      </c>
      <c r="X168" s="70">
        <f>'RESUMEN TOTAL'!AK222</f>
        <v>0</v>
      </c>
      <c r="Y168" s="70">
        <f>'RESUMEN TOTAL'!AL222</f>
        <v>0</v>
      </c>
      <c r="Z168" s="70">
        <f>'RESUMEN TOTAL'!AM222</f>
        <v>0</v>
      </c>
      <c r="AA168" s="70">
        <f>'RESUMEN TOTAL'!AN222</f>
        <v>0</v>
      </c>
      <c r="AB168" s="70">
        <f>'RESUMEN TOTAL'!AO222</f>
        <v>0</v>
      </c>
      <c r="AC168" s="70">
        <f>'RESUMEN TOTAL'!AP222</f>
        <v>0</v>
      </c>
      <c r="AD168" s="70">
        <f>'RESUMEN TOTAL'!AQ222</f>
        <v>0</v>
      </c>
      <c r="AE168" s="70">
        <f>'RESUMEN TOTAL'!AR222</f>
        <v>0</v>
      </c>
      <c r="AF168" s="70">
        <f>'RESUMEN TOTAL'!AS222</f>
        <v>0</v>
      </c>
      <c r="AG168" s="70">
        <f>'RESUMEN TOTAL'!AT222</f>
        <v>0</v>
      </c>
      <c r="AH168" s="70">
        <f>'RESUMEN TOTAL'!AU222</f>
        <v>0</v>
      </c>
      <c r="AI168" s="70">
        <f>'RESUMEN TOTAL'!AV222</f>
        <v>0</v>
      </c>
      <c r="AJ168" s="70" t="e">
        <f>'RESUMEN TOTAL'!#REF!</f>
        <v>#REF!</v>
      </c>
    </row>
    <row r="169" spans="1:36" x14ac:dyDescent="0.25">
      <c r="A169" t="str">
        <f>'RESUMEN TOTAL'!F223</f>
        <v>LIBERTAD</v>
      </c>
      <c r="B169" t="str">
        <f>'RESUMEN TOTAL'!G223</f>
        <v>LIBER 01</v>
      </c>
      <c r="C169" t="str">
        <f>'RESUMEN TOTAL'!I223</f>
        <v>511 Y 574 FIJA 01</v>
      </c>
      <c r="D169" s="30" t="str">
        <f>'RESUMEN TOTAL'!J223</f>
        <v>Fija</v>
      </c>
      <c r="E169" s="30" t="str">
        <f>'RESUMEN TOTAL'!K223</f>
        <v>Radio</v>
      </c>
      <c r="F169" s="70">
        <f>'RESUMEN TOTAL'!S223</f>
        <v>0</v>
      </c>
      <c r="G169" s="70">
        <f>'RESUMEN TOTAL'!T223</f>
        <v>0</v>
      </c>
      <c r="H169" s="70">
        <f>'RESUMEN TOTAL'!U223</f>
        <v>0</v>
      </c>
      <c r="I169" s="70">
        <f>'RESUMEN TOTAL'!V223</f>
        <v>0</v>
      </c>
      <c r="J169" s="70">
        <f>'RESUMEN TOTAL'!W223</f>
        <v>0</v>
      </c>
      <c r="K169" s="70">
        <f>'RESUMEN TOTAL'!X223</f>
        <v>0</v>
      </c>
      <c r="L169" s="70">
        <f>'RESUMEN TOTAL'!Y223</f>
        <v>0</v>
      </c>
      <c r="M169" s="70">
        <f>'RESUMEN TOTAL'!Z223</f>
        <v>0</v>
      </c>
      <c r="N169" s="70">
        <f>'RESUMEN TOTAL'!AA223</f>
        <v>0</v>
      </c>
      <c r="O169" s="70">
        <f>'RESUMEN TOTAL'!AB223</f>
        <v>0</v>
      </c>
      <c r="P169" s="70">
        <f>'RESUMEN TOTAL'!AC223</f>
        <v>0</v>
      </c>
      <c r="Q169" s="70">
        <f>'RESUMEN TOTAL'!AD223</f>
        <v>0</v>
      </c>
      <c r="R169" s="70">
        <f>'RESUMEN TOTAL'!AE223</f>
        <v>0</v>
      </c>
      <c r="S169" s="70">
        <f>'RESUMEN TOTAL'!AF223</f>
        <v>0</v>
      </c>
      <c r="T169" s="70">
        <f>'RESUMEN TOTAL'!AG223</f>
        <v>0</v>
      </c>
      <c r="U169" s="70">
        <f>'RESUMEN TOTAL'!AH223</f>
        <v>0</v>
      </c>
      <c r="V169" s="70">
        <f>'RESUMEN TOTAL'!AI223</f>
        <v>0</v>
      </c>
      <c r="W169" s="70">
        <f>'RESUMEN TOTAL'!AJ223</f>
        <v>0</v>
      </c>
      <c r="X169" s="70">
        <f>'RESUMEN TOTAL'!AK223</f>
        <v>0</v>
      </c>
      <c r="Y169" s="70">
        <f>'RESUMEN TOTAL'!AL223</f>
        <v>0</v>
      </c>
      <c r="Z169" s="70">
        <f>'RESUMEN TOTAL'!AM223</f>
        <v>0</v>
      </c>
      <c r="AA169" s="70">
        <f>'RESUMEN TOTAL'!AN223</f>
        <v>0</v>
      </c>
      <c r="AB169" s="70">
        <f>'RESUMEN TOTAL'!AO223</f>
        <v>0</v>
      </c>
      <c r="AC169" s="70">
        <f>'RESUMEN TOTAL'!AP223</f>
        <v>0</v>
      </c>
      <c r="AD169" s="70">
        <f>'RESUMEN TOTAL'!AQ223</f>
        <v>0</v>
      </c>
      <c r="AE169" s="70">
        <f>'RESUMEN TOTAL'!AR223</f>
        <v>0</v>
      </c>
      <c r="AF169" s="70">
        <f>'RESUMEN TOTAL'!AS223</f>
        <v>0</v>
      </c>
      <c r="AG169" s="70">
        <f>'RESUMEN TOTAL'!AT223</f>
        <v>0</v>
      </c>
      <c r="AH169" s="70">
        <f>'RESUMEN TOTAL'!AU223</f>
        <v>0</v>
      </c>
      <c r="AI169" s="70">
        <f>'RESUMEN TOTAL'!AV223</f>
        <v>0</v>
      </c>
      <c r="AJ169" s="70" t="e">
        <f>'RESUMEN TOTAL'!#REF!</f>
        <v>#REF!</v>
      </c>
    </row>
    <row r="170" spans="1:36" x14ac:dyDescent="0.25">
      <c r="A170" t="str">
        <f>'RESUMEN TOTAL'!F226</f>
        <v>CHACABUCO</v>
      </c>
      <c r="B170" t="str">
        <f>'RESUMEN TOTAL'!G226</f>
        <v>LPI02</v>
      </c>
      <c r="C170" t="str">
        <f>'RESUMEN TOTAL'!I226</f>
        <v>EE.UU y Ayacucho</v>
      </c>
      <c r="D170" s="30" t="str">
        <f>'RESUMEN TOTAL'!J226</f>
        <v>Domo</v>
      </c>
      <c r="E170" s="30" t="str">
        <f>'RESUMEN TOTAL'!K226</f>
        <v>GPON</v>
      </c>
      <c r="F170" s="70">
        <f>'RESUMEN TOTAL'!S226</f>
        <v>0</v>
      </c>
      <c r="G170" s="70">
        <f>'RESUMEN TOTAL'!T226</f>
        <v>0</v>
      </c>
      <c r="H170" s="70">
        <f>'RESUMEN TOTAL'!U226</f>
        <v>0</v>
      </c>
      <c r="I170" s="70">
        <f>'RESUMEN TOTAL'!V226</f>
        <v>0</v>
      </c>
      <c r="J170" s="70">
        <f>'RESUMEN TOTAL'!W226</f>
        <v>0</v>
      </c>
      <c r="K170" s="70">
        <f>'RESUMEN TOTAL'!X226</f>
        <v>0</v>
      </c>
      <c r="L170" s="70">
        <f>'RESUMEN TOTAL'!Y226</f>
        <v>0</v>
      </c>
      <c r="M170" s="70">
        <f>'RESUMEN TOTAL'!Z226</f>
        <v>0</v>
      </c>
      <c r="N170" s="70">
        <f>'RESUMEN TOTAL'!AA226</f>
        <v>0</v>
      </c>
      <c r="O170" s="70">
        <f>'RESUMEN TOTAL'!AB226</f>
        <v>0</v>
      </c>
      <c r="P170" s="70">
        <f>'RESUMEN TOTAL'!AC226</f>
        <v>0</v>
      </c>
      <c r="Q170" s="70" t="str">
        <f>'RESUMEN TOTAL'!AD226</f>
        <v>APAGADO</v>
      </c>
      <c r="R170" s="70" t="str">
        <f>'RESUMEN TOTAL'!AE226</f>
        <v>APAGADO</v>
      </c>
      <c r="S170" s="70" t="str">
        <f>'RESUMEN TOTAL'!AF226</f>
        <v>APAGADO</v>
      </c>
      <c r="T170" s="70" t="str">
        <f>'RESUMEN TOTAL'!AG226</f>
        <v>APAGADO</v>
      </c>
      <c r="U170" s="70">
        <f>'RESUMEN TOTAL'!AH226</f>
        <v>0</v>
      </c>
      <c r="V170" s="70">
        <f>'RESUMEN TOTAL'!AI226</f>
        <v>0</v>
      </c>
      <c r="W170" s="70">
        <f>'RESUMEN TOTAL'!AJ226</f>
        <v>0</v>
      </c>
      <c r="X170" s="70">
        <f>'RESUMEN TOTAL'!AK226</f>
        <v>0</v>
      </c>
      <c r="Y170" s="70">
        <f>'RESUMEN TOTAL'!AL226</f>
        <v>0</v>
      </c>
      <c r="Z170" s="70">
        <f>'RESUMEN TOTAL'!AM226</f>
        <v>0</v>
      </c>
      <c r="AA170" s="70">
        <f>'RESUMEN TOTAL'!AN226</f>
        <v>0</v>
      </c>
      <c r="AB170" s="70">
        <f>'RESUMEN TOTAL'!AO226</f>
        <v>0</v>
      </c>
      <c r="AC170" s="70">
        <f>'RESUMEN TOTAL'!AP226</f>
        <v>0</v>
      </c>
      <c r="AD170" s="70">
        <f>'RESUMEN TOTAL'!AQ226</f>
        <v>0</v>
      </c>
      <c r="AE170" s="70">
        <f>'RESUMEN TOTAL'!AR226</f>
        <v>0</v>
      </c>
      <c r="AF170" s="70">
        <f>'RESUMEN TOTAL'!AS226</f>
        <v>0</v>
      </c>
      <c r="AG170" s="70">
        <f>'RESUMEN TOTAL'!AT226</f>
        <v>0</v>
      </c>
      <c r="AH170" s="70">
        <f>'RESUMEN TOTAL'!AU226</f>
        <v>0</v>
      </c>
      <c r="AI170" s="70">
        <f>'RESUMEN TOTAL'!AV226</f>
        <v>0</v>
      </c>
      <c r="AJ170" s="70" t="e">
        <f>'RESUMEN TOTAL'!#REF!</f>
        <v>#REF!</v>
      </c>
    </row>
    <row r="171" spans="1:36" x14ac:dyDescent="0.25">
      <c r="A171" t="str">
        <f>'RESUMEN TOTAL'!F227</f>
        <v>LA PILETA</v>
      </c>
      <c r="B171" t="str">
        <f>'RESUMEN TOTAL'!G227</f>
        <v>LPI03 (fija 2)</v>
      </c>
      <c r="C171" t="str">
        <f>'RESUMEN TOTAL'!I227</f>
        <v>MAIPU Y POSADAS</v>
      </c>
      <c r="D171" s="30" t="str">
        <f>'RESUMEN TOTAL'!J227</f>
        <v>Fija</v>
      </c>
      <c r="E171" s="30" t="str">
        <f>'RESUMEN TOTAL'!K227</f>
        <v>Fibra Optica</v>
      </c>
      <c r="F171" s="70">
        <f>'RESUMEN TOTAL'!S227</f>
        <v>0</v>
      </c>
      <c r="G171" s="70">
        <f>'RESUMEN TOTAL'!T227</f>
        <v>0</v>
      </c>
      <c r="H171" s="70">
        <f>'RESUMEN TOTAL'!U227</f>
        <v>0</v>
      </c>
      <c r="I171" s="70">
        <f>'RESUMEN TOTAL'!V227</f>
        <v>0</v>
      </c>
      <c r="J171" s="70">
        <f>'RESUMEN TOTAL'!W227</f>
        <v>0</v>
      </c>
      <c r="K171" s="70">
        <f>'RESUMEN TOTAL'!X227</f>
        <v>0</v>
      </c>
      <c r="L171" s="70">
        <f>'RESUMEN TOTAL'!Y227</f>
        <v>0</v>
      </c>
      <c r="M171" s="70">
        <f>'RESUMEN TOTAL'!Z227</f>
        <v>0</v>
      </c>
      <c r="N171" s="70">
        <f>'RESUMEN TOTAL'!AA227</f>
        <v>0</v>
      </c>
      <c r="O171" s="70">
        <f>'RESUMEN TOTAL'!AB227</f>
        <v>0</v>
      </c>
      <c r="P171" s="70">
        <f>'RESUMEN TOTAL'!AC227</f>
        <v>0</v>
      </c>
      <c r="Q171" s="70">
        <f>'RESUMEN TOTAL'!AD227</f>
        <v>0</v>
      </c>
      <c r="R171" s="70">
        <f>'RESUMEN TOTAL'!AE227</f>
        <v>0</v>
      </c>
      <c r="S171" s="70">
        <f>'RESUMEN TOTAL'!AF227</f>
        <v>0</v>
      </c>
      <c r="T171" s="70">
        <f>'RESUMEN TOTAL'!AG227</f>
        <v>0</v>
      </c>
      <c r="U171" s="70">
        <f>'RESUMEN TOTAL'!AH227</f>
        <v>0</v>
      </c>
      <c r="V171" s="70">
        <f>'RESUMEN TOTAL'!AI227</f>
        <v>0</v>
      </c>
      <c r="W171" s="70">
        <f>'RESUMEN TOTAL'!AJ227</f>
        <v>0</v>
      </c>
      <c r="X171" s="70">
        <f>'RESUMEN TOTAL'!AK227</f>
        <v>0</v>
      </c>
      <c r="Y171" s="70">
        <f>'RESUMEN TOTAL'!AL227</f>
        <v>0</v>
      </c>
      <c r="Z171" s="70">
        <f>'RESUMEN TOTAL'!AM227</f>
        <v>0</v>
      </c>
      <c r="AA171" s="70">
        <f>'RESUMEN TOTAL'!AN227</f>
        <v>0</v>
      </c>
      <c r="AB171" s="70">
        <f>'RESUMEN TOTAL'!AO227</f>
        <v>0</v>
      </c>
      <c r="AC171" s="70">
        <f>'RESUMEN TOTAL'!AP227</f>
        <v>0</v>
      </c>
      <c r="AD171" s="70">
        <f>'RESUMEN TOTAL'!AQ227</f>
        <v>0</v>
      </c>
      <c r="AE171" s="70">
        <f>'RESUMEN TOTAL'!AR227</f>
        <v>0</v>
      </c>
      <c r="AF171" s="70">
        <f>'RESUMEN TOTAL'!AS227</f>
        <v>0</v>
      </c>
      <c r="AG171" s="70">
        <f>'RESUMEN TOTAL'!AT227</f>
        <v>0</v>
      </c>
      <c r="AH171" s="70">
        <f>'RESUMEN TOTAL'!AU227</f>
        <v>0</v>
      </c>
      <c r="AI171" s="70">
        <f>'RESUMEN TOTAL'!AV227</f>
        <v>0</v>
      </c>
      <c r="AJ171" s="70" t="e">
        <f>'RESUMEN TOTAL'!#REF!</f>
        <v>#REF!</v>
      </c>
    </row>
    <row r="172" spans="1:36" x14ac:dyDescent="0.25">
      <c r="A172" t="str">
        <f>'RESUMEN TOTAL'!F228</f>
        <v>LA PILETA</v>
      </c>
      <c r="B172" t="str">
        <f>'RESUMEN TOTAL'!G228</f>
        <v>LPI04 (fija 1)</v>
      </c>
      <c r="C172" t="str">
        <f>'RESUMEN TOTAL'!I228</f>
        <v>MAIPU Y POSADAS</v>
      </c>
      <c r="D172" s="30" t="str">
        <f>'RESUMEN TOTAL'!J228</f>
        <v>FIJA</v>
      </c>
      <c r="E172" s="30" t="str">
        <f>'RESUMEN TOTAL'!K228</f>
        <v>Fibra Optica</v>
      </c>
      <c r="F172" s="70">
        <f>'RESUMEN TOTAL'!S228</f>
        <v>0</v>
      </c>
      <c r="G172" s="70">
        <f>'RESUMEN TOTAL'!T228</f>
        <v>0</v>
      </c>
      <c r="H172" s="70">
        <f>'RESUMEN TOTAL'!U228</f>
        <v>0</v>
      </c>
      <c r="I172" s="70">
        <f>'RESUMEN TOTAL'!V228</f>
        <v>0</v>
      </c>
      <c r="J172" s="70">
        <f>'RESUMEN TOTAL'!W228</f>
        <v>0</v>
      </c>
      <c r="K172" s="70">
        <f>'RESUMEN TOTAL'!X228</f>
        <v>0</v>
      </c>
      <c r="L172" s="70">
        <f>'RESUMEN TOTAL'!Y228</f>
        <v>0</v>
      </c>
      <c r="M172" s="70">
        <f>'RESUMEN TOTAL'!Z228</f>
        <v>0</v>
      </c>
      <c r="N172" s="70">
        <f>'RESUMEN TOTAL'!AA228</f>
        <v>0</v>
      </c>
      <c r="O172" s="70">
        <f>'RESUMEN TOTAL'!AB228</f>
        <v>0</v>
      </c>
      <c r="P172" s="70">
        <f>'RESUMEN TOTAL'!AC228</f>
        <v>0</v>
      </c>
      <c r="Q172" s="70">
        <f>'RESUMEN TOTAL'!AD228</f>
        <v>0</v>
      </c>
      <c r="R172" s="70">
        <f>'RESUMEN TOTAL'!AE228</f>
        <v>0</v>
      </c>
      <c r="S172" s="70">
        <f>'RESUMEN TOTAL'!AF228</f>
        <v>0</v>
      </c>
      <c r="T172" s="70">
        <f>'RESUMEN TOTAL'!AG228</f>
        <v>0</v>
      </c>
      <c r="U172" s="70">
        <f>'RESUMEN TOTAL'!AH228</f>
        <v>0</v>
      </c>
      <c r="V172" s="70">
        <f>'RESUMEN TOTAL'!AI228</f>
        <v>0</v>
      </c>
      <c r="W172" s="70">
        <f>'RESUMEN TOTAL'!AJ228</f>
        <v>0</v>
      </c>
      <c r="X172" s="70">
        <f>'RESUMEN TOTAL'!AK228</f>
        <v>0</v>
      </c>
      <c r="Y172" s="70">
        <f>'RESUMEN TOTAL'!AL228</f>
        <v>0</v>
      </c>
      <c r="Z172" s="70">
        <f>'RESUMEN TOTAL'!AM228</f>
        <v>0</v>
      </c>
      <c r="AA172" s="70">
        <f>'RESUMEN TOTAL'!AN228</f>
        <v>0</v>
      </c>
      <c r="AB172" s="70">
        <f>'RESUMEN TOTAL'!AO228</f>
        <v>0</v>
      </c>
      <c r="AC172" s="70">
        <f>'RESUMEN TOTAL'!AP228</f>
        <v>0</v>
      </c>
      <c r="AD172" s="70">
        <f>'RESUMEN TOTAL'!AQ228</f>
        <v>0</v>
      </c>
      <c r="AE172" s="70">
        <f>'RESUMEN TOTAL'!AR228</f>
        <v>0</v>
      </c>
      <c r="AF172" s="70">
        <f>'RESUMEN TOTAL'!AS228</f>
        <v>0</v>
      </c>
      <c r="AG172" s="70">
        <f>'RESUMEN TOTAL'!AT228</f>
        <v>0</v>
      </c>
      <c r="AH172" s="70">
        <f>'RESUMEN TOTAL'!AU228</f>
        <v>0</v>
      </c>
      <c r="AI172" s="70">
        <f>'RESUMEN TOTAL'!AV228</f>
        <v>0</v>
      </c>
      <c r="AJ172" s="70" t="e">
        <f>'RESUMEN TOTAL'!#REF!</f>
        <v>#REF!</v>
      </c>
    </row>
    <row r="173" spans="1:36" x14ac:dyDescent="0.25">
      <c r="A173" t="str">
        <f>'RESUMEN TOTAL'!F229</f>
        <v>LA PILETA</v>
      </c>
      <c r="B173" t="str">
        <f>'RESUMEN TOTAL'!G229</f>
        <v>LPI05</v>
      </c>
      <c r="C173" t="str">
        <f>'RESUMEN TOTAL'!I229</f>
        <v>PAGANI Y RIVADAVIA</v>
      </c>
      <c r="D173" s="30" t="str">
        <f>'RESUMEN TOTAL'!J229</f>
        <v>DOMO</v>
      </c>
      <c r="E173" s="30" t="str">
        <f>'RESUMEN TOTAL'!K229</f>
        <v>GPON</v>
      </c>
      <c r="F173" s="70">
        <f>'RESUMEN TOTAL'!S229</f>
        <v>0</v>
      </c>
      <c r="G173" s="70">
        <f>'RESUMEN TOTAL'!T229</f>
        <v>0</v>
      </c>
      <c r="H173" s="70">
        <f>'RESUMEN TOTAL'!U229</f>
        <v>0</v>
      </c>
      <c r="I173" s="70">
        <f>'RESUMEN TOTAL'!V229</f>
        <v>0</v>
      </c>
      <c r="J173" s="70">
        <f>'RESUMEN TOTAL'!W229</f>
        <v>0</v>
      </c>
      <c r="K173" s="70">
        <f>'RESUMEN TOTAL'!X229</f>
        <v>0</v>
      </c>
      <c r="L173" s="70">
        <f>'RESUMEN TOTAL'!Y229</f>
        <v>0</v>
      </c>
      <c r="M173" s="70">
        <f>'RESUMEN TOTAL'!Z229</f>
        <v>0</v>
      </c>
      <c r="N173" s="70">
        <f>'RESUMEN TOTAL'!AA229</f>
        <v>0</v>
      </c>
      <c r="O173" s="70">
        <f>'RESUMEN TOTAL'!AB229</f>
        <v>0</v>
      </c>
      <c r="P173" s="70">
        <f>'RESUMEN TOTAL'!AC229</f>
        <v>0</v>
      </c>
      <c r="Q173" s="70">
        <f>'RESUMEN TOTAL'!AD229</f>
        <v>0</v>
      </c>
      <c r="R173" s="70">
        <f>'RESUMEN TOTAL'!AE229</f>
        <v>0</v>
      </c>
      <c r="S173" s="70">
        <f>'RESUMEN TOTAL'!AF229</f>
        <v>0</v>
      </c>
      <c r="T173" s="70">
        <f>'RESUMEN TOTAL'!AG229</f>
        <v>0</v>
      </c>
      <c r="U173" s="70">
        <f>'RESUMEN TOTAL'!AH229</f>
        <v>0</v>
      </c>
      <c r="V173" s="70">
        <f>'RESUMEN TOTAL'!AI229</f>
        <v>0</v>
      </c>
      <c r="W173" s="70">
        <f>'RESUMEN TOTAL'!AJ229</f>
        <v>0</v>
      </c>
      <c r="X173" s="70">
        <f>'RESUMEN TOTAL'!AK229</f>
        <v>0</v>
      </c>
      <c r="Y173" s="70">
        <f>'RESUMEN TOTAL'!AL229</f>
        <v>0</v>
      </c>
      <c r="Z173" s="70">
        <f>'RESUMEN TOTAL'!AM229</f>
        <v>0</v>
      </c>
      <c r="AA173" s="70">
        <f>'RESUMEN TOTAL'!AN229</f>
        <v>0</v>
      </c>
      <c r="AB173" s="70">
        <f>'RESUMEN TOTAL'!AO229</f>
        <v>0</v>
      </c>
      <c r="AC173" s="70">
        <f>'RESUMEN TOTAL'!AP229</f>
        <v>0</v>
      </c>
      <c r="AD173" s="70">
        <f>'RESUMEN TOTAL'!AQ229</f>
        <v>0</v>
      </c>
      <c r="AE173" s="70">
        <f>'RESUMEN TOTAL'!AR229</f>
        <v>0</v>
      </c>
      <c r="AF173" s="70">
        <f>'RESUMEN TOTAL'!AS229</f>
        <v>0</v>
      </c>
      <c r="AG173" s="70">
        <f>'RESUMEN TOTAL'!AT229</f>
        <v>0</v>
      </c>
      <c r="AH173" s="70">
        <f>'RESUMEN TOTAL'!AU229</f>
        <v>0</v>
      </c>
      <c r="AI173" s="70">
        <f>'RESUMEN TOTAL'!AV229</f>
        <v>0</v>
      </c>
      <c r="AJ173" s="70" t="e">
        <f>'RESUMEN TOTAL'!#REF!</f>
        <v>#REF!</v>
      </c>
    </row>
    <row r="174" spans="1:36" x14ac:dyDescent="0.25">
      <c r="A174" t="str">
        <f>'RESUMEN TOTAL'!F230</f>
        <v>LA PILETA</v>
      </c>
      <c r="B174" t="str">
        <f>'RESUMEN TOTAL'!G230</f>
        <v>LPI06</v>
      </c>
      <c r="C174" t="str">
        <f>'RESUMEN TOTAL'!I230</f>
        <v>EEUU e/Ayacucho y Newbery</v>
      </c>
      <c r="D174" s="30" t="str">
        <f>'RESUMEN TOTAL'!J230</f>
        <v>DOMO</v>
      </c>
      <c r="E174" s="30" t="str">
        <f>'RESUMEN TOTAL'!K230</f>
        <v>GPON</v>
      </c>
      <c r="F174" s="70">
        <f>'RESUMEN TOTAL'!S230</f>
        <v>0</v>
      </c>
      <c r="G174" s="70">
        <f>'RESUMEN TOTAL'!T230</f>
        <v>0</v>
      </c>
      <c r="H174" s="70">
        <f>'RESUMEN TOTAL'!U230</f>
        <v>0</v>
      </c>
      <c r="I174" s="70">
        <f>'RESUMEN TOTAL'!V230</f>
        <v>0</v>
      </c>
      <c r="J174" s="70">
        <f>'RESUMEN TOTAL'!W230</f>
        <v>0</v>
      </c>
      <c r="K174" s="70">
        <f>'RESUMEN TOTAL'!X230</f>
        <v>0</v>
      </c>
      <c r="L174" s="70">
        <f>'RESUMEN TOTAL'!Y230</f>
        <v>0</v>
      </c>
      <c r="M174" s="70">
        <f>'RESUMEN TOTAL'!Z230</f>
        <v>0</v>
      </c>
      <c r="N174" s="70">
        <f>'RESUMEN TOTAL'!AA230</f>
        <v>0</v>
      </c>
      <c r="O174" s="70">
        <f>'RESUMEN TOTAL'!AB230</f>
        <v>0</v>
      </c>
      <c r="P174" s="70">
        <f>'RESUMEN TOTAL'!AC230</f>
        <v>0</v>
      </c>
      <c r="Q174" s="70">
        <f>'RESUMEN TOTAL'!AD230</f>
        <v>0</v>
      </c>
      <c r="R174" s="70">
        <f>'RESUMEN TOTAL'!AE230</f>
        <v>0</v>
      </c>
      <c r="S174" s="70">
        <f>'RESUMEN TOTAL'!AF230</f>
        <v>0</v>
      </c>
      <c r="T174" s="70">
        <f>'RESUMEN TOTAL'!AG230</f>
        <v>0</v>
      </c>
      <c r="U174" s="70">
        <f>'RESUMEN TOTAL'!AH230</f>
        <v>0</v>
      </c>
      <c r="V174" s="70">
        <f>'RESUMEN TOTAL'!AI230</f>
        <v>0</v>
      </c>
      <c r="W174" s="70">
        <f>'RESUMEN TOTAL'!AJ230</f>
        <v>0</v>
      </c>
      <c r="X174" s="70">
        <f>'RESUMEN TOTAL'!AK230</f>
        <v>0</v>
      </c>
      <c r="Y174" s="70">
        <f>'RESUMEN TOTAL'!AL230</f>
        <v>0</v>
      </c>
      <c r="Z174" s="70">
        <f>'RESUMEN TOTAL'!AM230</f>
        <v>0</v>
      </c>
      <c r="AA174" s="70">
        <f>'RESUMEN TOTAL'!AN230</f>
        <v>0</v>
      </c>
      <c r="AB174" s="70">
        <f>'RESUMEN TOTAL'!AO230</f>
        <v>0</v>
      </c>
      <c r="AC174" s="70">
        <f>'RESUMEN TOTAL'!AP230</f>
        <v>0</v>
      </c>
      <c r="AD174" s="70">
        <f>'RESUMEN TOTAL'!AQ230</f>
        <v>0</v>
      </c>
      <c r="AE174" s="70">
        <f>'RESUMEN TOTAL'!AR230</f>
        <v>0</v>
      </c>
      <c r="AF174" s="70">
        <f>'RESUMEN TOTAL'!AS230</f>
        <v>0</v>
      </c>
      <c r="AG174" s="70">
        <f>'RESUMEN TOTAL'!AT230</f>
        <v>0</v>
      </c>
      <c r="AH174" s="70">
        <f>'RESUMEN TOTAL'!AU230</f>
        <v>0</v>
      </c>
      <c r="AI174" s="70">
        <f>'RESUMEN TOTAL'!AV230</f>
        <v>0</v>
      </c>
      <c r="AJ174" s="70" t="e">
        <f>'RESUMEN TOTAL'!#REF!</f>
        <v>#REF!</v>
      </c>
    </row>
    <row r="175" spans="1:36" x14ac:dyDescent="0.25">
      <c r="A175" t="str">
        <f>'RESUMEN TOTAL'!F231</f>
        <v>LA PILETA</v>
      </c>
      <c r="B175" t="str">
        <f>'RESUMEN TOTAL'!G231</f>
        <v>LPI07</v>
      </c>
      <c r="C175" t="str">
        <f>'RESUMEN TOTAL'!I231</f>
        <v xml:space="preserve">Velez Sarfield y Estados Unidos </v>
      </c>
      <c r="D175" s="30" t="str">
        <f>'RESUMEN TOTAL'!J231</f>
        <v>DOMO</v>
      </c>
      <c r="E175" s="30" t="str">
        <f>'RESUMEN TOTAL'!K231</f>
        <v>GPON</v>
      </c>
      <c r="F175" s="70">
        <f>'RESUMEN TOTAL'!S231</f>
        <v>0</v>
      </c>
      <c r="G175" s="70">
        <f>'RESUMEN TOTAL'!T231</f>
        <v>0</v>
      </c>
      <c r="H175" s="70">
        <f>'RESUMEN TOTAL'!U231</f>
        <v>0</v>
      </c>
      <c r="I175" s="70" t="str">
        <f>'RESUMEN TOTAL'!V231</f>
        <v>APAGADO</v>
      </c>
      <c r="J175" s="70" t="str">
        <f>'RESUMEN TOTAL'!W231</f>
        <v>APAGADO</v>
      </c>
      <c r="K175" s="70" t="str">
        <f>'RESUMEN TOTAL'!X231</f>
        <v>APAGADO</v>
      </c>
      <c r="L175" s="70" t="str">
        <f>'RESUMEN TOTAL'!Y231</f>
        <v>APAGADO</v>
      </c>
      <c r="M175" s="70" t="str">
        <f>'RESUMEN TOTAL'!Z231</f>
        <v>APAGADO</v>
      </c>
      <c r="N175" s="70">
        <f>'RESUMEN TOTAL'!AA231</f>
        <v>0</v>
      </c>
      <c r="O175" s="70">
        <f>'RESUMEN TOTAL'!AB231</f>
        <v>0</v>
      </c>
      <c r="P175" s="70">
        <f>'RESUMEN TOTAL'!AC231</f>
        <v>0</v>
      </c>
      <c r="Q175" s="70">
        <f>'RESUMEN TOTAL'!AD231</f>
        <v>0</v>
      </c>
      <c r="R175" s="70">
        <f>'RESUMEN TOTAL'!AE231</f>
        <v>0</v>
      </c>
      <c r="S175" s="70">
        <f>'RESUMEN TOTAL'!AF231</f>
        <v>0</v>
      </c>
      <c r="T175" s="70">
        <f>'RESUMEN TOTAL'!AG231</f>
        <v>0</v>
      </c>
      <c r="U175" s="70">
        <f>'RESUMEN TOTAL'!AH231</f>
        <v>0</v>
      </c>
      <c r="V175" s="70">
        <f>'RESUMEN TOTAL'!AI231</f>
        <v>0</v>
      </c>
      <c r="W175" s="70">
        <f>'RESUMEN TOTAL'!AJ231</f>
        <v>0</v>
      </c>
      <c r="X175" s="70">
        <f>'RESUMEN TOTAL'!AK231</f>
        <v>0</v>
      </c>
      <c r="Y175" s="70">
        <f>'RESUMEN TOTAL'!AL231</f>
        <v>0</v>
      </c>
      <c r="Z175" s="70">
        <f>'RESUMEN TOTAL'!AM231</f>
        <v>0</v>
      </c>
      <c r="AA175" s="70">
        <f>'RESUMEN TOTAL'!AN231</f>
        <v>0</v>
      </c>
      <c r="AB175" s="70">
        <f>'RESUMEN TOTAL'!AO231</f>
        <v>0</v>
      </c>
      <c r="AC175" s="70">
        <f>'RESUMEN TOTAL'!AP231</f>
        <v>0</v>
      </c>
      <c r="AD175" s="70">
        <f>'RESUMEN TOTAL'!AQ231</f>
        <v>0</v>
      </c>
      <c r="AE175" s="70">
        <f>'RESUMEN TOTAL'!AR231</f>
        <v>0</v>
      </c>
      <c r="AF175" s="70" t="str">
        <f>'RESUMEN TOTAL'!AS231</f>
        <v>APAGADO</v>
      </c>
      <c r="AG175" s="70" t="str">
        <f>'RESUMEN TOTAL'!AT231</f>
        <v>APAGADO</v>
      </c>
      <c r="AH175" s="70">
        <f>'RESUMEN TOTAL'!AU231</f>
        <v>0</v>
      </c>
      <c r="AI175" s="70">
        <f>'RESUMEN TOTAL'!AV231</f>
        <v>0</v>
      </c>
      <c r="AJ175" s="70" t="e">
        <f>'RESUMEN TOTAL'!#REF!</f>
        <v>#REF!</v>
      </c>
    </row>
    <row r="176" spans="1:36" x14ac:dyDescent="0.25">
      <c r="A176" t="str">
        <f>'RESUMEN TOTAL'!F236</f>
        <v>LOS PILARES</v>
      </c>
      <c r="B176" t="str">
        <f>'RESUMEN TOTAL'!G236</f>
        <v>LPR04</v>
      </c>
      <c r="C176" t="str">
        <f>'RESUMEN TOTAL'!I236</f>
        <v>Cacheuta y 1341</v>
      </c>
      <c r="D176" s="30" t="str">
        <f>'RESUMEN TOTAL'!J236</f>
        <v>DOMO</v>
      </c>
      <c r="E176" s="30" t="str">
        <f>'RESUMEN TOTAL'!K236</f>
        <v>GPON</v>
      </c>
      <c r="F176" s="70">
        <f>'RESUMEN TOTAL'!S236</f>
        <v>0</v>
      </c>
      <c r="G176" s="70">
        <f>'RESUMEN TOTAL'!T236</f>
        <v>0</v>
      </c>
      <c r="H176" s="70">
        <f>'RESUMEN TOTAL'!U236</f>
        <v>0</v>
      </c>
      <c r="I176" s="70">
        <f>'RESUMEN TOTAL'!V236</f>
        <v>0</v>
      </c>
      <c r="J176" s="70">
        <f>'RESUMEN TOTAL'!W236</f>
        <v>0</v>
      </c>
      <c r="K176" s="70">
        <f>'RESUMEN TOTAL'!X236</f>
        <v>0</v>
      </c>
      <c r="L176" s="70">
        <f>'RESUMEN TOTAL'!Y236</f>
        <v>0</v>
      </c>
      <c r="M176" s="70">
        <f>'RESUMEN TOTAL'!Z236</f>
        <v>0</v>
      </c>
      <c r="N176" s="70">
        <f>'RESUMEN TOTAL'!AA236</f>
        <v>0</v>
      </c>
      <c r="O176" s="70">
        <f>'RESUMEN TOTAL'!AB236</f>
        <v>0</v>
      </c>
      <c r="P176" s="70">
        <f>'RESUMEN TOTAL'!AC236</f>
        <v>0</v>
      </c>
      <c r="Q176" s="70">
        <f>'RESUMEN TOTAL'!AD236</f>
        <v>0</v>
      </c>
      <c r="R176" s="70">
        <f>'RESUMEN TOTAL'!AE236</f>
        <v>0</v>
      </c>
      <c r="S176" s="70">
        <f>'RESUMEN TOTAL'!AF236</f>
        <v>0</v>
      </c>
      <c r="T176" s="70">
        <f>'RESUMEN TOTAL'!AG236</f>
        <v>0</v>
      </c>
      <c r="U176" s="70">
        <f>'RESUMEN TOTAL'!AH236</f>
        <v>0</v>
      </c>
      <c r="V176" s="70">
        <f>'RESUMEN TOTAL'!AI236</f>
        <v>0</v>
      </c>
      <c r="W176" s="70">
        <f>'RESUMEN TOTAL'!AJ236</f>
        <v>0</v>
      </c>
      <c r="X176" s="70">
        <f>'RESUMEN TOTAL'!AK236</f>
        <v>0</v>
      </c>
      <c r="Y176" s="70">
        <f>'RESUMEN TOTAL'!AL236</f>
        <v>0</v>
      </c>
      <c r="Z176" s="70">
        <f>'RESUMEN TOTAL'!AM236</f>
        <v>0</v>
      </c>
      <c r="AA176" s="70">
        <f>'RESUMEN TOTAL'!AN236</f>
        <v>0</v>
      </c>
      <c r="AB176" s="70">
        <f>'RESUMEN TOTAL'!AO236</f>
        <v>0</v>
      </c>
      <c r="AC176" s="70">
        <f>'RESUMEN TOTAL'!AP236</f>
        <v>0</v>
      </c>
      <c r="AD176" s="70">
        <f>'RESUMEN TOTAL'!AQ236</f>
        <v>0</v>
      </c>
      <c r="AE176" s="70">
        <f>'RESUMEN TOTAL'!AR236</f>
        <v>0</v>
      </c>
      <c r="AF176" s="70">
        <f>'RESUMEN TOTAL'!AS236</f>
        <v>0</v>
      </c>
      <c r="AG176" s="70">
        <f>'RESUMEN TOTAL'!AT236</f>
        <v>0</v>
      </c>
      <c r="AH176" s="70">
        <f>'RESUMEN TOTAL'!AU236</f>
        <v>0</v>
      </c>
      <c r="AI176" s="70">
        <f>'RESUMEN TOTAL'!AV236</f>
        <v>0</v>
      </c>
      <c r="AJ176" s="70" t="e">
        <f>'RESUMEN TOTAL'!#REF!</f>
        <v>#REF!</v>
      </c>
    </row>
    <row r="177" spans="1:36" x14ac:dyDescent="0.25">
      <c r="A177" t="str">
        <f>'RESUMEN TOTAL'!F237</f>
        <v>LOPEZ ROMERO</v>
      </c>
      <c r="B177" t="str">
        <f>'RESUMEN TOTAL'!G237</f>
        <v>LRO 05</v>
      </c>
      <c r="C177" t="str">
        <f>'RESUMEN TOTAL'!I237</f>
        <v>Calchaqui y Las Americas</v>
      </c>
      <c r="D177" s="30" t="str">
        <f>'RESUMEN TOTAL'!J237</f>
        <v>Fija</v>
      </c>
      <c r="E177" s="30" t="str">
        <f>'RESUMEN TOTAL'!K237</f>
        <v>Fibra Optica</v>
      </c>
      <c r="F177" s="70">
        <f>'RESUMEN TOTAL'!S237</f>
        <v>0</v>
      </c>
      <c r="G177" s="70">
        <f>'RESUMEN TOTAL'!T237</f>
        <v>0</v>
      </c>
      <c r="H177" s="70">
        <f>'RESUMEN TOTAL'!U237</f>
        <v>0</v>
      </c>
      <c r="I177" s="70">
        <f>'RESUMEN TOTAL'!V237</f>
        <v>0</v>
      </c>
      <c r="J177" s="70">
        <f>'RESUMEN TOTAL'!W237</f>
        <v>0</v>
      </c>
      <c r="K177" s="70">
        <f>'RESUMEN TOTAL'!X237</f>
        <v>0</v>
      </c>
      <c r="L177" s="70">
        <f>'RESUMEN TOTAL'!Y237</f>
        <v>0</v>
      </c>
      <c r="M177" s="70">
        <f>'RESUMEN TOTAL'!Z237</f>
        <v>0</v>
      </c>
      <c r="N177" s="70">
        <f>'RESUMEN TOTAL'!AA237</f>
        <v>0</v>
      </c>
      <c r="O177" s="70">
        <f>'RESUMEN TOTAL'!AB237</f>
        <v>0</v>
      </c>
      <c r="P177" s="70">
        <f>'RESUMEN TOTAL'!AC237</f>
        <v>0</v>
      </c>
      <c r="Q177" s="70">
        <f>'RESUMEN TOTAL'!AD237</f>
        <v>0</v>
      </c>
      <c r="R177" s="70">
        <f>'RESUMEN TOTAL'!AE237</f>
        <v>0</v>
      </c>
      <c r="S177" s="70">
        <f>'RESUMEN TOTAL'!AF237</f>
        <v>0</v>
      </c>
      <c r="T177" s="70">
        <f>'RESUMEN TOTAL'!AG237</f>
        <v>0</v>
      </c>
      <c r="U177" s="70">
        <f>'RESUMEN TOTAL'!AH237</f>
        <v>0</v>
      </c>
      <c r="V177" s="70">
        <f>'RESUMEN TOTAL'!AI237</f>
        <v>0</v>
      </c>
      <c r="W177" s="70">
        <f>'RESUMEN TOTAL'!AJ237</f>
        <v>0</v>
      </c>
      <c r="X177" s="70">
        <f>'RESUMEN TOTAL'!AK237</f>
        <v>0</v>
      </c>
      <c r="Y177" s="70">
        <f>'RESUMEN TOTAL'!AL237</f>
        <v>0</v>
      </c>
      <c r="Z177" s="70">
        <f>'RESUMEN TOTAL'!AM237</f>
        <v>0</v>
      </c>
      <c r="AA177" s="70">
        <f>'RESUMEN TOTAL'!AN237</f>
        <v>0</v>
      </c>
      <c r="AB177" s="70">
        <f>'RESUMEN TOTAL'!AO237</f>
        <v>0</v>
      </c>
      <c r="AC177" s="70">
        <f>'RESUMEN TOTAL'!AP237</f>
        <v>0</v>
      </c>
      <c r="AD177" s="70">
        <f>'RESUMEN TOTAL'!AQ237</f>
        <v>0</v>
      </c>
      <c r="AE177" s="70">
        <f>'RESUMEN TOTAL'!AR237</f>
        <v>0</v>
      </c>
      <c r="AF177" s="70">
        <f>'RESUMEN TOTAL'!AS237</f>
        <v>0</v>
      </c>
      <c r="AG177" s="70">
        <f>'RESUMEN TOTAL'!AT237</f>
        <v>0</v>
      </c>
      <c r="AH177" s="70">
        <f>'RESUMEN TOTAL'!AU237</f>
        <v>0</v>
      </c>
      <c r="AI177" s="70">
        <f>'RESUMEN TOTAL'!AV237</f>
        <v>0</v>
      </c>
      <c r="AJ177" s="70" t="e">
        <f>'RESUMEN TOTAL'!#REF!</f>
        <v>#REF!</v>
      </c>
    </row>
    <row r="178" spans="1:36" x14ac:dyDescent="0.25">
      <c r="A178" t="str">
        <f>'RESUMEN TOTAL'!F238</f>
        <v>LOPEZ ROMERO</v>
      </c>
      <c r="B178" t="str">
        <f>'RESUMEN TOTAL'!G238</f>
        <v>LRO 09</v>
      </c>
      <c r="C178" t="str">
        <f>'RESUMEN TOTAL'!I238</f>
        <v>Las Americas y Braile</v>
      </c>
      <c r="D178" s="30" t="str">
        <f>'RESUMEN TOTAL'!J238</f>
        <v>Domo</v>
      </c>
      <c r="E178" s="30" t="str">
        <f>'RESUMEN TOTAL'!K238</f>
        <v>Fibra Optica</v>
      </c>
      <c r="F178" s="70">
        <f>'RESUMEN TOTAL'!S238</f>
        <v>0</v>
      </c>
      <c r="G178" s="70">
        <f>'RESUMEN TOTAL'!T238</f>
        <v>0</v>
      </c>
      <c r="H178" s="70">
        <f>'RESUMEN TOTAL'!U238</f>
        <v>0</v>
      </c>
      <c r="I178" s="70">
        <f>'RESUMEN TOTAL'!V238</f>
        <v>0</v>
      </c>
      <c r="J178" s="70">
        <f>'RESUMEN TOTAL'!W238</f>
        <v>0</v>
      </c>
      <c r="K178" s="70">
        <f>'RESUMEN TOTAL'!X238</f>
        <v>0</v>
      </c>
      <c r="L178" s="70">
        <f>'RESUMEN TOTAL'!Y238</f>
        <v>0</v>
      </c>
      <c r="M178" s="70">
        <f>'RESUMEN TOTAL'!Z238</f>
        <v>0</v>
      </c>
      <c r="N178" s="70">
        <f>'RESUMEN TOTAL'!AA238</f>
        <v>0</v>
      </c>
      <c r="O178" s="70">
        <f>'RESUMEN TOTAL'!AB238</f>
        <v>0</v>
      </c>
      <c r="P178" s="70">
        <f>'RESUMEN TOTAL'!AC238</f>
        <v>0</v>
      </c>
      <c r="Q178" s="70">
        <f>'RESUMEN TOTAL'!AD238</f>
        <v>0</v>
      </c>
      <c r="R178" s="70">
        <f>'RESUMEN TOTAL'!AE238</f>
        <v>0</v>
      </c>
      <c r="S178" s="70">
        <f>'RESUMEN TOTAL'!AF238</f>
        <v>0</v>
      </c>
      <c r="T178" s="70">
        <f>'RESUMEN TOTAL'!AG238</f>
        <v>0</v>
      </c>
      <c r="U178" s="70">
        <f>'RESUMEN TOTAL'!AH238</f>
        <v>0</v>
      </c>
      <c r="V178" s="70">
        <f>'RESUMEN TOTAL'!AI238</f>
        <v>0</v>
      </c>
      <c r="W178" s="70">
        <f>'RESUMEN TOTAL'!AJ238</f>
        <v>0</v>
      </c>
      <c r="X178" s="70">
        <f>'RESUMEN TOTAL'!AK238</f>
        <v>0</v>
      </c>
      <c r="Y178" s="70">
        <f>'RESUMEN TOTAL'!AL238</f>
        <v>0</v>
      </c>
      <c r="Z178" s="70">
        <f>'RESUMEN TOTAL'!AM238</f>
        <v>0</v>
      </c>
      <c r="AA178" s="70">
        <f>'RESUMEN TOTAL'!AN238</f>
        <v>0</v>
      </c>
      <c r="AB178" s="70">
        <f>'RESUMEN TOTAL'!AO238</f>
        <v>0</v>
      </c>
      <c r="AC178" s="70">
        <f>'RESUMEN TOTAL'!AP238</f>
        <v>0</v>
      </c>
      <c r="AD178" s="70">
        <f>'RESUMEN TOTAL'!AQ238</f>
        <v>0</v>
      </c>
      <c r="AE178" s="70">
        <f>'RESUMEN TOTAL'!AR238</f>
        <v>0</v>
      </c>
      <c r="AF178" s="70">
        <f>'RESUMEN TOTAL'!AS238</f>
        <v>0</v>
      </c>
      <c r="AG178" s="70">
        <f>'RESUMEN TOTAL'!AT238</f>
        <v>0</v>
      </c>
      <c r="AH178" s="70">
        <f>'RESUMEN TOTAL'!AU238</f>
        <v>0</v>
      </c>
      <c r="AI178" s="70">
        <f>'RESUMEN TOTAL'!AV238</f>
        <v>0</v>
      </c>
      <c r="AJ178" s="70" t="e">
        <f>'RESUMEN TOTAL'!#REF!</f>
        <v>#REF!</v>
      </c>
    </row>
    <row r="179" spans="1:36" x14ac:dyDescent="0.25">
      <c r="A179" t="str">
        <f>'RESUMEN TOTAL'!F240</f>
        <v>LOPEZ ROMERO</v>
      </c>
      <c r="B179" t="str">
        <f>'RESUMEN TOTAL'!G240</f>
        <v>LRO 12 (fija 1)</v>
      </c>
      <c r="C179" t="str">
        <f>'RESUMEN TOTAL'!I240</f>
        <v>LAS AMERICAS E/ BRAILLE Y ALVARADO</v>
      </c>
      <c r="D179" s="30" t="str">
        <f>'RESUMEN TOTAL'!J240</f>
        <v>Fija</v>
      </c>
      <c r="E179" s="30" t="str">
        <f>'RESUMEN TOTAL'!K240</f>
        <v>Fibra Optica</v>
      </c>
      <c r="F179" s="70">
        <f>'RESUMEN TOTAL'!S240</f>
        <v>0</v>
      </c>
      <c r="G179" s="70">
        <f>'RESUMEN TOTAL'!T240</f>
        <v>0</v>
      </c>
      <c r="H179" s="70">
        <f>'RESUMEN TOTAL'!U240</f>
        <v>0</v>
      </c>
      <c r="I179" s="70">
        <f>'RESUMEN TOTAL'!V240</f>
        <v>0</v>
      </c>
      <c r="J179" s="70">
        <f>'RESUMEN TOTAL'!W240</f>
        <v>0</v>
      </c>
      <c r="K179" s="70">
        <f>'RESUMEN TOTAL'!X240</f>
        <v>0</v>
      </c>
      <c r="L179" s="70">
        <f>'RESUMEN TOTAL'!Y240</f>
        <v>0</v>
      </c>
      <c r="M179" s="70">
        <f>'RESUMEN TOTAL'!Z240</f>
        <v>0</v>
      </c>
      <c r="N179" s="70">
        <f>'RESUMEN TOTAL'!AA240</f>
        <v>0</v>
      </c>
      <c r="O179" s="70">
        <f>'RESUMEN TOTAL'!AB240</f>
        <v>0</v>
      </c>
      <c r="P179" s="70">
        <f>'RESUMEN TOTAL'!AC240</f>
        <v>0</v>
      </c>
      <c r="Q179" s="70">
        <f>'RESUMEN TOTAL'!AD240</f>
        <v>0</v>
      </c>
      <c r="R179" s="70">
        <f>'RESUMEN TOTAL'!AE240</f>
        <v>0</v>
      </c>
      <c r="S179" s="70">
        <f>'RESUMEN TOTAL'!AF240</f>
        <v>0</v>
      </c>
      <c r="T179" s="70">
        <f>'RESUMEN TOTAL'!AG240</f>
        <v>0</v>
      </c>
      <c r="U179" s="70">
        <f>'RESUMEN TOTAL'!AH240</f>
        <v>0</v>
      </c>
      <c r="V179" s="70">
        <f>'RESUMEN TOTAL'!AI240</f>
        <v>0</v>
      </c>
      <c r="W179" s="70">
        <f>'RESUMEN TOTAL'!AJ240</f>
        <v>0</v>
      </c>
      <c r="X179" s="70">
        <f>'RESUMEN TOTAL'!AK240</f>
        <v>0</v>
      </c>
      <c r="Y179" s="70">
        <f>'RESUMEN TOTAL'!AL240</f>
        <v>0</v>
      </c>
      <c r="Z179" s="70">
        <f>'RESUMEN TOTAL'!AM240</f>
        <v>0</v>
      </c>
      <c r="AA179" s="70">
        <f>'RESUMEN TOTAL'!AN240</f>
        <v>0</v>
      </c>
      <c r="AB179" s="70">
        <f>'RESUMEN TOTAL'!AO240</f>
        <v>0</v>
      </c>
      <c r="AC179" s="70">
        <f>'RESUMEN TOTAL'!AP240</f>
        <v>0</v>
      </c>
      <c r="AD179" s="70">
        <f>'RESUMEN TOTAL'!AQ240</f>
        <v>0</v>
      </c>
      <c r="AE179" s="70">
        <f>'RESUMEN TOTAL'!AR240</f>
        <v>0</v>
      </c>
      <c r="AF179" s="70">
        <f>'RESUMEN TOTAL'!AS240</f>
        <v>0</v>
      </c>
      <c r="AG179" s="70">
        <f>'RESUMEN TOTAL'!AT240</f>
        <v>0</v>
      </c>
      <c r="AH179" s="70">
        <f>'RESUMEN TOTAL'!AU240</f>
        <v>0</v>
      </c>
      <c r="AI179" s="70">
        <f>'RESUMEN TOTAL'!AV240</f>
        <v>0</v>
      </c>
      <c r="AJ179" s="70" t="e">
        <f>'RESUMEN TOTAL'!#REF!</f>
        <v>#REF!</v>
      </c>
    </row>
    <row r="180" spans="1:36" x14ac:dyDescent="0.25">
      <c r="A180" t="str">
        <f>'RESUMEN TOTAL'!F241</f>
        <v>LOPEZ ROMERO</v>
      </c>
      <c r="B180" t="str">
        <f>'RESUMEN TOTAL'!G241</f>
        <v>LRO 13 (fija 2)</v>
      </c>
      <c r="C180" t="str">
        <f>'RESUMEN TOTAL'!I241</f>
        <v>LAS AMERICAS E/ BRAILLE Y ALVARADO</v>
      </c>
      <c r="D180" s="30" t="str">
        <f>'RESUMEN TOTAL'!J241</f>
        <v>Fija</v>
      </c>
      <c r="E180" s="30" t="str">
        <f>'RESUMEN TOTAL'!K241</f>
        <v>Fibra Optica</v>
      </c>
      <c r="F180" s="70">
        <f>'RESUMEN TOTAL'!S241</f>
        <v>0</v>
      </c>
      <c r="G180" s="70">
        <f>'RESUMEN TOTAL'!T241</f>
        <v>0</v>
      </c>
      <c r="H180" s="70">
        <f>'RESUMEN TOTAL'!U241</f>
        <v>0</v>
      </c>
      <c r="I180" s="70">
        <f>'RESUMEN TOTAL'!V241</f>
        <v>0</v>
      </c>
      <c r="J180" s="70">
        <f>'RESUMEN TOTAL'!W241</f>
        <v>0</v>
      </c>
      <c r="K180" s="70">
        <f>'RESUMEN TOTAL'!X241</f>
        <v>0</v>
      </c>
      <c r="L180" s="70">
        <f>'RESUMEN TOTAL'!Y241</f>
        <v>0</v>
      </c>
      <c r="M180" s="70">
        <f>'RESUMEN TOTAL'!Z241</f>
        <v>0</v>
      </c>
      <c r="N180" s="70">
        <f>'RESUMEN TOTAL'!AA241</f>
        <v>0</v>
      </c>
      <c r="O180" s="70">
        <f>'RESUMEN TOTAL'!AB241</f>
        <v>0</v>
      </c>
      <c r="P180" s="70">
        <f>'RESUMEN TOTAL'!AC241</f>
        <v>0</v>
      </c>
      <c r="Q180" s="70">
        <f>'RESUMEN TOTAL'!AD241</f>
        <v>0</v>
      </c>
      <c r="R180" s="70">
        <f>'RESUMEN TOTAL'!AE241</f>
        <v>0</v>
      </c>
      <c r="S180" s="70">
        <f>'RESUMEN TOTAL'!AF241</f>
        <v>0</v>
      </c>
      <c r="T180" s="70">
        <f>'RESUMEN TOTAL'!AG241</f>
        <v>0</v>
      </c>
      <c r="U180" s="70">
        <f>'RESUMEN TOTAL'!AH241</f>
        <v>0</v>
      </c>
      <c r="V180" s="70">
        <f>'RESUMEN TOTAL'!AI241</f>
        <v>0</v>
      </c>
      <c r="W180" s="70">
        <f>'RESUMEN TOTAL'!AJ241</f>
        <v>0</v>
      </c>
      <c r="X180" s="70">
        <f>'RESUMEN TOTAL'!AK241</f>
        <v>0</v>
      </c>
      <c r="Y180" s="70">
        <f>'RESUMEN TOTAL'!AL241</f>
        <v>0</v>
      </c>
      <c r="Z180" s="70">
        <f>'RESUMEN TOTAL'!AM241</f>
        <v>0</v>
      </c>
      <c r="AA180" s="70">
        <f>'RESUMEN TOTAL'!AN241</f>
        <v>0</v>
      </c>
      <c r="AB180" s="70">
        <f>'RESUMEN TOTAL'!AO241</f>
        <v>0</v>
      </c>
      <c r="AC180" s="70">
        <f>'RESUMEN TOTAL'!AP241</f>
        <v>0</v>
      </c>
      <c r="AD180" s="70">
        <f>'RESUMEN TOTAL'!AQ241</f>
        <v>0</v>
      </c>
      <c r="AE180" s="70">
        <f>'RESUMEN TOTAL'!AR241</f>
        <v>0</v>
      </c>
      <c r="AF180" s="70">
        <f>'RESUMEN TOTAL'!AS241</f>
        <v>0</v>
      </c>
      <c r="AG180" s="70">
        <f>'RESUMEN TOTAL'!AT241</f>
        <v>0</v>
      </c>
      <c r="AH180" s="70">
        <f>'RESUMEN TOTAL'!AU241</f>
        <v>0</v>
      </c>
      <c r="AI180" s="70">
        <f>'RESUMEN TOTAL'!AV241</f>
        <v>0</v>
      </c>
      <c r="AJ180" s="70" t="e">
        <f>'RESUMEN TOTAL'!#REF!</f>
        <v>#REF!</v>
      </c>
    </row>
    <row r="181" spans="1:36" x14ac:dyDescent="0.25">
      <c r="A181" t="str">
        <f>'RESUMEN TOTAL'!F242</f>
        <v>LOPEZ ROMERO</v>
      </c>
      <c r="B181" t="str">
        <f>'RESUMEN TOTAL'!G242</f>
        <v>LRO01</v>
      </c>
      <c r="C181" t="str">
        <f>'RESUMEN TOTAL'!I242</f>
        <v>H. IRIGOYEN Y BRAILE</v>
      </c>
      <c r="D181" s="30" t="str">
        <f>'RESUMEN TOTAL'!J242</f>
        <v>FIJA</v>
      </c>
      <c r="E181" s="30" t="str">
        <f>'RESUMEN TOTAL'!K242</f>
        <v>Fibra Optica</v>
      </c>
      <c r="F181" s="70">
        <f>'RESUMEN TOTAL'!S242</f>
        <v>0</v>
      </c>
      <c r="G181" s="70">
        <f>'RESUMEN TOTAL'!T242</f>
        <v>0</v>
      </c>
      <c r="H181" s="70">
        <f>'RESUMEN TOTAL'!U242</f>
        <v>0</v>
      </c>
      <c r="I181" s="70">
        <f>'RESUMEN TOTAL'!V242</f>
        <v>0</v>
      </c>
      <c r="J181" s="70">
        <f>'RESUMEN TOTAL'!W242</f>
        <v>0</v>
      </c>
      <c r="K181" s="70">
        <f>'RESUMEN TOTAL'!X242</f>
        <v>0</v>
      </c>
      <c r="L181" s="70">
        <f>'RESUMEN TOTAL'!Y242</f>
        <v>0</v>
      </c>
      <c r="M181" s="70">
        <f>'RESUMEN TOTAL'!Z242</f>
        <v>0</v>
      </c>
      <c r="N181" s="70">
        <f>'RESUMEN TOTAL'!AA242</f>
        <v>0</v>
      </c>
      <c r="O181" s="70">
        <f>'RESUMEN TOTAL'!AB242</f>
        <v>0</v>
      </c>
      <c r="P181" s="70">
        <f>'RESUMEN TOTAL'!AC242</f>
        <v>0</v>
      </c>
      <c r="Q181" s="70">
        <f>'RESUMEN TOTAL'!AD242</f>
        <v>0</v>
      </c>
      <c r="R181" s="70">
        <f>'RESUMEN TOTAL'!AE242</f>
        <v>0</v>
      </c>
      <c r="S181" s="70">
        <f>'RESUMEN TOTAL'!AF242</f>
        <v>0</v>
      </c>
      <c r="T181" s="70">
        <f>'RESUMEN TOTAL'!AG242</f>
        <v>0</v>
      </c>
      <c r="U181" s="70">
        <f>'RESUMEN TOTAL'!AH242</f>
        <v>0</v>
      </c>
      <c r="V181" s="70">
        <f>'RESUMEN TOTAL'!AI242</f>
        <v>0</v>
      </c>
      <c r="W181" s="70">
        <f>'RESUMEN TOTAL'!AJ242</f>
        <v>0</v>
      </c>
      <c r="X181" s="70">
        <f>'RESUMEN TOTAL'!AK242</f>
        <v>0</v>
      </c>
      <c r="Y181" s="70">
        <f>'RESUMEN TOTAL'!AL242</f>
        <v>0</v>
      </c>
      <c r="Z181" s="70">
        <f>'RESUMEN TOTAL'!AM242</f>
        <v>0</v>
      </c>
      <c r="AA181" s="70">
        <f>'RESUMEN TOTAL'!AN242</f>
        <v>0</v>
      </c>
      <c r="AB181" s="70">
        <f>'RESUMEN TOTAL'!AO242</f>
        <v>0</v>
      </c>
      <c r="AC181" s="70">
        <f>'RESUMEN TOTAL'!AP242</f>
        <v>0</v>
      </c>
      <c r="AD181" s="70">
        <f>'RESUMEN TOTAL'!AQ242</f>
        <v>0</v>
      </c>
      <c r="AE181" s="70">
        <f>'RESUMEN TOTAL'!AR242</f>
        <v>0</v>
      </c>
      <c r="AF181" s="70">
        <f>'RESUMEN TOTAL'!AS242</f>
        <v>0</v>
      </c>
      <c r="AG181" s="70">
        <f>'RESUMEN TOTAL'!AT242</f>
        <v>0</v>
      </c>
      <c r="AH181" s="70">
        <f>'RESUMEN TOTAL'!AU242</f>
        <v>0</v>
      </c>
      <c r="AI181" s="70">
        <f>'RESUMEN TOTAL'!AV242</f>
        <v>0</v>
      </c>
      <c r="AJ181" s="70" t="e">
        <f>'RESUMEN TOTAL'!#REF!</f>
        <v>#REF!</v>
      </c>
    </row>
    <row r="182" spans="1:36" x14ac:dyDescent="0.25">
      <c r="A182" t="str">
        <f>'RESUMEN TOTAL'!F243</f>
        <v>PRESIDENTE SARMIENTO</v>
      </c>
      <c r="B182" t="str">
        <f>'RESUMEN TOTAL'!G243</f>
        <v>LRO02</v>
      </c>
      <c r="C182" t="str">
        <f>'RESUMEN TOTAL'!I243</f>
        <v>H. Irigoyen e Islas Orcadas</v>
      </c>
      <c r="D182" s="30" t="str">
        <f>'RESUMEN TOTAL'!J243</f>
        <v>Domo</v>
      </c>
      <c r="E182" s="30" t="str">
        <f>'RESUMEN TOTAL'!K243</f>
        <v>Fibra Optica</v>
      </c>
      <c r="F182" s="70">
        <f>'RESUMEN TOTAL'!S243</f>
        <v>0</v>
      </c>
      <c r="G182" s="70">
        <f>'RESUMEN TOTAL'!T243</f>
        <v>0</v>
      </c>
      <c r="H182" s="70">
        <f>'RESUMEN TOTAL'!U243</f>
        <v>0</v>
      </c>
      <c r="I182" s="70">
        <f>'RESUMEN TOTAL'!V243</f>
        <v>0</v>
      </c>
      <c r="J182" s="70">
        <f>'RESUMEN TOTAL'!W243</f>
        <v>0</v>
      </c>
      <c r="K182" s="70">
        <f>'RESUMEN TOTAL'!X243</f>
        <v>0</v>
      </c>
      <c r="L182" s="70">
        <f>'RESUMEN TOTAL'!Y243</f>
        <v>0</v>
      </c>
      <c r="M182" s="70">
        <f>'RESUMEN TOTAL'!Z243</f>
        <v>0</v>
      </c>
      <c r="N182" s="70">
        <f>'RESUMEN TOTAL'!AA243</f>
        <v>0</v>
      </c>
      <c r="O182" s="70">
        <f>'RESUMEN TOTAL'!AB243</f>
        <v>0</v>
      </c>
      <c r="P182" s="70">
        <f>'RESUMEN TOTAL'!AC243</f>
        <v>0</v>
      </c>
      <c r="Q182" s="70">
        <f>'RESUMEN TOTAL'!AD243</f>
        <v>0</v>
      </c>
      <c r="R182" s="70">
        <f>'RESUMEN TOTAL'!AE243</f>
        <v>0</v>
      </c>
      <c r="S182" s="70">
        <f>'RESUMEN TOTAL'!AF243</f>
        <v>0</v>
      </c>
      <c r="T182" s="70">
        <f>'RESUMEN TOTAL'!AG243</f>
        <v>0</v>
      </c>
      <c r="U182" s="70">
        <f>'RESUMEN TOTAL'!AH243</f>
        <v>0</v>
      </c>
      <c r="V182" s="70">
        <f>'RESUMEN TOTAL'!AI243</f>
        <v>0</v>
      </c>
      <c r="W182" s="70">
        <f>'RESUMEN TOTAL'!AJ243</f>
        <v>0</v>
      </c>
      <c r="X182" s="70">
        <f>'RESUMEN TOTAL'!AK243</f>
        <v>0</v>
      </c>
      <c r="Y182" s="70">
        <f>'RESUMEN TOTAL'!AL243</f>
        <v>0</v>
      </c>
      <c r="Z182" s="70">
        <f>'RESUMEN TOTAL'!AM243</f>
        <v>0</v>
      </c>
      <c r="AA182" s="70">
        <f>'RESUMEN TOTAL'!AN243</f>
        <v>0</v>
      </c>
      <c r="AB182" s="70">
        <f>'RESUMEN TOTAL'!AO243</f>
        <v>0</v>
      </c>
      <c r="AC182" s="70">
        <f>'RESUMEN TOTAL'!AP243</f>
        <v>0</v>
      </c>
      <c r="AD182" s="70">
        <f>'RESUMEN TOTAL'!AQ243</f>
        <v>0</v>
      </c>
      <c r="AE182" s="70">
        <f>'RESUMEN TOTAL'!AR243</f>
        <v>0</v>
      </c>
      <c r="AF182" s="70">
        <f>'RESUMEN TOTAL'!AS243</f>
        <v>0</v>
      </c>
      <c r="AG182" s="70">
        <f>'RESUMEN TOTAL'!AT243</f>
        <v>0</v>
      </c>
      <c r="AH182" s="70">
        <f>'RESUMEN TOTAL'!AU243</f>
        <v>0</v>
      </c>
      <c r="AI182" s="70">
        <f>'RESUMEN TOTAL'!AV243</f>
        <v>0</v>
      </c>
      <c r="AJ182" s="70" t="e">
        <f>'RESUMEN TOTAL'!#REF!</f>
        <v>#REF!</v>
      </c>
    </row>
    <row r="183" spans="1:36" x14ac:dyDescent="0.25">
      <c r="A183" t="str">
        <f>'RESUMEN TOTAL'!F244</f>
        <v>LOPEZ ROMERO</v>
      </c>
      <c r="B183" t="str">
        <f>'RESUMEN TOTAL'!G244</f>
        <v>LRO03</v>
      </c>
      <c r="C183" t="str">
        <f>'RESUMEN TOTAL'!I244</f>
        <v>H. Irigoyen y Parravicini</v>
      </c>
      <c r="D183" s="30" t="str">
        <f>'RESUMEN TOTAL'!J244</f>
        <v>Fija</v>
      </c>
      <c r="E183" s="30" t="str">
        <f>'RESUMEN TOTAL'!K244</f>
        <v>Fibra Optica</v>
      </c>
      <c r="F183" s="70">
        <f>'RESUMEN TOTAL'!S244</f>
        <v>0</v>
      </c>
      <c r="G183" s="70">
        <f>'RESUMEN TOTAL'!T244</f>
        <v>0</v>
      </c>
      <c r="H183" s="70">
        <f>'RESUMEN TOTAL'!U244</f>
        <v>0</v>
      </c>
      <c r="I183" s="70">
        <f>'RESUMEN TOTAL'!V244</f>
        <v>0</v>
      </c>
      <c r="J183" s="70">
        <f>'RESUMEN TOTAL'!W244</f>
        <v>0</v>
      </c>
      <c r="K183" s="70">
        <f>'RESUMEN TOTAL'!X244</f>
        <v>0</v>
      </c>
      <c r="L183" s="70">
        <f>'RESUMEN TOTAL'!Y244</f>
        <v>0</v>
      </c>
      <c r="M183" s="70">
        <f>'RESUMEN TOTAL'!Z244</f>
        <v>0</v>
      </c>
      <c r="N183" s="70">
        <f>'RESUMEN TOTAL'!AA244</f>
        <v>0</v>
      </c>
      <c r="O183" s="70">
        <f>'RESUMEN TOTAL'!AB244</f>
        <v>0</v>
      </c>
      <c r="P183" s="70">
        <f>'RESUMEN TOTAL'!AC244</f>
        <v>0</v>
      </c>
      <c r="Q183" s="70">
        <f>'RESUMEN TOTAL'!AD244</f>
        <v>0</v>
      </c>
      <c r="R183" s="70">
        <f>'RESUMEN TOTAL'!AE244</f>
        <v>0</v>
      </c>
      <c r="S183" s="70">
        <f>'RESUMEN TOTAL'!AF244</f>
        <v>0</v>
      </c>
      <c r="T183" s="70">
        <f>'RESUMEN TOTAL'!AG244</f>
        <v>0</v>
      </c>
      <c r="U183" s="70">
        <f>'RESUMEN TOTAL'!AH244</f>
        <v>0</v>
      </c>
      <c r="V183" s="70">
        <f>'RESUMEN TOTAL'!AI244</f>
        <v>0</v>
      </c>
      <c r="W183" s="70">
        <f>'RESUMEN TOTAL'!AJ244</f>
        <v>0</v>
      </c>
      <c r="X183" s="70">
        <f>'RESUMEN TOTAL'!AK244</f>
        <v>0</v>
      </c>
      <c r="Y183" s="70">
        <f>'RESUMEN TOTAL'!AL244</f>
        <v>0</v>
      </c>
      <c r="Z183" s="70">
        <f>'RESUMEN TOTAL'!AM244</f>
        <v>0</v>
      </c>
      <c r="AA183" s="70">
        <f>'RESUMEN TOTAL'!AN244</f>
        <v>0</v>
      </c>
      <c r="AB183" s="70">
        <f>'RESUMEN TOTAL'!AO244</f>
        <v>0</v>
      </c>
      <c r="AC183" s="70">
        <f>'RESUMEN TOTAL'!AP244</f>
        <v>0</v>
      </c>
      <c r="AD183" s="70">
        <f>'RESUMEN TOTAL'!AQ244</f>
        <v>0</v>
      </c>
      <c r="AE183" s="70">
        <f>'RESUMEN TOTAL'!AR244</f>
        <v>0</v>
      </c>
      <c r="AF183" s="70">
        <f>'RESUMEN TOTAL'!AS244</f>
        <v>0</v>
      </c>
      <c r="AG183" s="70">
        <f>'RESUMEN TOTAL'!AT244</f>
        <v>0</v>
      </c>
      <c r="AH183" s="70">
        <f>'RESUMEN TOTAL'!AU244</f>
        <v>0</v>
      </c>
      <c r="AI183" s="70">
        <f>'RESUMEN TOTAL'!AV244</f>
        <v>0</v>
      </c>
      <c r="AJ183" s="70" t="e">
        <f>'RESUMEN TOTAL'!#REF!</f>
        <v>#REF!</v>
      </c>
    </row>
    <row r="184" spans="1:36" x14ac:dyDescent="0.25">
      <c r="A184" t="str">
        <f>'RESUMEN TOTAL'!F245</f>
        <v>LOPEZ ROMERO</v>
      </c>
      <c r="B184" t="str">
        <f>'RESUMEN TOTAL'!G245</f>
        <v>LRO04</v>
      </c>
      <c r="C184" t="str">
        <f>'RESUMEN TOTAL'!I245</f>
        <v>H. Irigoyen y Alvarado</v>
      </c>
      <c r="D184" s="30" t="str">
        <f>'RESUMEN TOTAL'!J245</f>
        <v>FIJA</v>
      </c>
      <c r="E184" s="30" t="str">
        <f>'RESUMEN TOTAL'!K245</f>
        <v>Fibra Optica</v>
      </c>
      <c r="F184" s="70">
        <f>'RESUMEN TOTAL'!S245</f>
        <v>0</v>
      </c>
      <c r="G184" s="70">
        <f>'RESUMEN TOTAL'!T245</f>
        <v>0</v>
      </c>
      <c r="H184" s="70">
        <f>'RESUMEN TOTAL'!U245</f>
        <v>0</v>
      </c>
      <c r="I184" s="70">
        <f>'RESUMEN TOTAL'!V245</f>
        <v>0</v>
      </c>
      <c r="J184" s="70">
        <f>'RESUMEN TOTAL'!W245</f>
        <v>0</v>
      </c>
      <c r="K184" s="70">
        <f>'RESUMEN TOTAL'!X245</f>
        <v>0</v>
      </c>
      <c r="L184" s="70">
        <f>'RESUMEN TOTAL'!Y245</f>
        <v>0</v>
      </c>
      <c r="M184" s="70">
        <f>'RESUMEN TOTAL'!Z245</f>
        <v>0</v>
      </c>
      <c r="N184" s="70">
        <f>'RESUMEN TOTAL'!AA245</f>
        <v>0</v>
      </c>
      <c r="O184" s="70">
        <f>'RESUMEN TOTAL'!AB245</f>
        <v>0</v>
      </c>
      <c r="P184" s="70">
        <f>'RESUMEN TOTAL'!AC245</f>
        <v>0</v>
      </c>
      <c r="Q184" s="70">
        <f>'RESUMEN TOTAL'!AD245</f>
        <v>0</v>
      </c>
      <c r="R184" s="70">
        <f>'RESUMEN TOTAL'!AE245</f>
        <v>0</v>
      </c>
      <c r="S184" s="70">
        <f>'RESUMEN TOTAL'!AF245</f>
        <v>0</v>
      </c>
      <c r="T184" s="70">
        <f>'RESUMEN TOTAL'!AG245</f>
        <v>0</v>
      </c>
      <c r="U184" s="70">
        <f>'RESUMEN TOTAL'!AH245</f>
        <v>0</v>
      </c>
      <c r="V184" s="70">
        <f>'RESUMEN TOTAL'!AI245</f>
        <v>0</v>
      </c>
      <c r="W184" s="70">
        <f>'RESUMEN TOTAL'!AJ245</f>
        <v>0</v>
      </c>
      <c r="X184" s="70">
        <f>'RESUMEN TOTAL'!AK245</f>
        <v>0</v>
      </c>
      <c r="Y184" s="70">
        <f>'RESUMEN TOTAL'!AL245</f>
        <v>0</v>
      </c>
      <c r="Z184" s="70">
        <f>'RESUMEN TOTAL'!AM245</f>
        <v>0</v>
      </c>
      <c r="AA184" s="70">
        <f>'RESUMEN TOTAL'!AN245</f>
        <v>0</v>
      </c>
      <c r="AB184" s="70">
        <f>'RESUMEN TOTAL'!AO245</f>
        <v>0</v>
      </c>
      <c r="AC184" s="70">
        <f>'RESUMEN TOTAL'!AP245</f>
        <v>0</v>
      </c>
      <c r="AD184" s="70">
        <f>'RESUMEN TOTAL'!AQ245</f>
        <v>0</v>
      </c>
      <c r="AE184" s="70">
        <f>'RESUMEN TOTAL'!AR245</f>
        <v>0</v>
      </c>
      <c r="AF184" s="70">
        <f>'RESUMEN TOTAL'!AS245</f>
        <v>0</v>
      </c>
      <c r="AG184" s="70">
        <f>'RESUMEN TOTAL'!AT245</f>
        <v>0</v>
      </c>
      <c r="AH184" s="70">
        <f>'RESUMEN TOTAL'!AU245</f>
        <v>0</v>
      </c>
      <c r="AI184" s="70">
        <f>'RESUMEN TOTAL'!AV245</f>
        <v>0</v>
      </c>
      <c r="AJ184" s="70" t="e">
        <f>'RESUMEN TOTAL'!#REF!</f>
        <v>#REF!</v>
      </c>
    </row>
    <row r="185" spans="1:36" x14ac:dyDescent="0.25">
      <c r="A185" t="str">
        <f>'RESUMEN TOTAL'!F246</f>
        <v>PRESIDENTE SARMIENTO</v>
      </c>
      <c r="B185" t="str">
        <f>'RESUMEN TOTAL'!G246</f>
        <v>LRO06</v>
      </c>
      <c r="C185" t="str">
        <f>'RESUMEN TOTAL'!I246</f>
        <v>H. Irigoyen y Belgrano</v>
      </c>
      <c r="D185" s="30" t="str">
        <f>'RESUMEN TOTAL'!J246</f>
        <v>Domo</v>
      </c>
      <c r="E185" s="30" t="str">
        <f>'RESUMEN TOTAL'!K246</f>
        <v>Fibra Optica</v>
      </c>
      <c r="F185" s="70">
        <f>'RESUMEN TOTAL'!S246</f>
        <v>0</v>
      </c>
      <c r="G185" s="70">
        <f>'RESUMEN TOTAL'!T246</f>
        <v>0</v>
      </c>
      <c r="H185" s="70">
        <f>'RESUMEN TOTAL'!U246</f>
        <v>0</v>
      </c>
      <c r="I185" s="70">
        <f>'RESUMEN TOTAL'!V246</f>
        <v>0</v>
      </c>
      <c r="J185" s="70">
        <f>'RESUMEN TOTAL'!W246</f>
        <v>0</v>
      </c>
      <c r="K185" s="70">
        <f>'RESUMEN TOTAL'!X246</f>
        <v>0</v>
      </c>
      <c r="L185" s="70">
        <f>'RESUMEN TOTAL'!Y246</f>
        <v>0</v>
      </c>
      <c r="M185" s="70">
        <f>'RESUMEN TOTAL'!Z246</f>
        <v>0</v>
      </c>
      <c r="N185" s="70">
        <f>'RESUMEN TOTAL'!AA246</f>
        <v>0</v>
      </c>
      <c r="O185" s="70">
        <f>'RESUMEN TOTAL'!AB246</f>
        <v>0</v>
      </c>
      <c r="P185" s="70">
        <f>'RESUMEN TOTAL'!AC246</f>
        <v>0</v>
      </c>
      <c r="Q185" s="70">
        <f>'RESUMEN TOTAL'!AD246</f>
        <v>0</v>
      </c>
      <c r="R185" s="70">
        <f>'RESUMEN TOTAL'!AE246</f>
        <v>0</v>
      </c>
      <c r="S185" s="70">
        <f>'RESUMEN TOTAL'!AF246</f>
        <v>0</v>
      </c>
      <c r="T185" s="70">
        <f>'RESUMEN TOTAL'!AG246</f>
        <v>0</v>
      </c>
      <c r="U185" s="70">
        <f>'RESUMEN TOTAL'!AH246</f>
        <v>0</v>
      </c>
      <c r="V185" s="70">
        <f>'RESUMEN TOTAL'!AI246</f>
        <v>0</v>
      </c>
      <c r="W185" s="70">
        <f>'RESUMEN TOTAL'!AJ246</f>
        <v>0</v>
      </c>
      <c r="X185" s="70">
        <f>'RESUMEN TOTAL'!AK246</f>
        <v>0</v>
      </c>
      <c r="Y185" s="70">
        <f>'RESUMEN TOTAL'!AL246</f>
        <v>0</v>
      </c>
      <c r="Z185" s="70">
        <f>'RESUMEN TOTAL'!AM246</f>
        <v>0</v>
      </c>
      <c r="AA185" s="70" t="str">
        <f>'RESUMEN TOTAL'!AN246</f>
        <v>APAGADO</v>
      </c>
      <c r="AB185" s="70">
        <f>'RESUMEN TOTAL'!AO246</f>
        <v>0</v>
      </c>
      <c r="AC185" s="70">
        <f>'RESUMEN TOTAL'!AP246</f>
        <v>0</v>
      </c>
      <c r="AD185" s="70">
        <f>'RESUMEN TOTAL'!AQ246</f>
        <v>0</v>
      </c>
      <c r="AE185" s="70">
        <f>'RESUMEN TOTAL'!AR246</f>
        <v>0</v>
      </c>
      <c r="AF185" s="70">
        <f>'RESUMEN TOTAL'!AS246</f>
        <v>0</v>
      </c>
      <c r="AG185" s="70">
        <f>'RESUMEN TOTAL'!AT246</f>
        <v>0</v>
      </c>
      <c r="AH185" s="70">
        <f>'RESUMEN TOTAL'!AU246</f>
        <v>0</v>
      </c>
      <c r="AI185" s="70">
        <f>'RESUMEN TOTAL'!AV246</f>
        <v>0</v>
      </c>
      <c r="AJ185" s="70" t="e">
        <f>'RESUMEN TOTAL'!#REF!</f>
        <v>#REF!</v>
      </c>
    </row>
    <row r="186" spans="1:36" x14ac:dyDescent="0.25">
      <c r="A186" t="str">
        <f>'RESUMEN TOTAL'!F247</f>
        <v>LOPEZ ROMERO</v>
      </c>
      <c r="B186" t="str">
        <f>'RESUMEN TOTAL'!G247</f>
        <v>LRO07</v>
      </c>
      <c r="C186" t="str">
        <f>'RESUMEN TOTAL'!I247</f>
        <v>H. Irigoyen y Remedios de Escalada</v>
      </c>
      <c r="D186" s="30" t="str">
        <f>'RESUMEN TOTAL'!J247</f>
        <v>Domo</v>
      </c>
      <c r="E186" s="30" t="str">
        <f>'RESUMEN TOTAL'!K247</f>
        <v>Fibra Optica</v>
      </c>
      <c r="F186" s="70">
        <f>'RESUMEN TOTAL'!S247</f>
        <v>0</v>
      </c>
      <c r="G186" s="70">
        <f>'RESUMEN TOTAL'!T247</f>
        <v>0</v>
      </c>
      <c r="H186" s="70">
        <f>'RESUMEN TOTAL'!U247</f>
        <v>0</v>
      </c>
      <c r="I186" s="70">
        <f>'RESUMEN TOTAL'!V247</f>
        <v>0</v>
      </c>
      <c r="J186" s="70">
        <f>'RESUMEN TOTAL'!W247</f>
        <v>0</v>
      </c>
      <c r="K186" s="70">
        <f>'RESUMEN TOTAL'!X247</f>
        <v>0</v>
      </c>
      <c r="L186" s="70">
        <f>'RESUMEN TOTAL'!Y247</f>
        <v>0</v>
      </c>
      <c r="M186" s="70">
        <f>'RESUMEN TOTAL'!Z247</f>
        <v>0</v>
      </c>
      <c r="N186" s="70">
        <f>'RESUMEN TOTAL'!AA247</f>
        <v>0</v>
      </c>
      <c r="O186" s="70">
        <f>'RESUMEN TOTAL'!AB247</f>
        <v>0</v>
      </c>
      <c r="P186" s="70">
        <f>'RESUMEN TOTAL'!AC247</f>
        <v>0</v>
      </c>
      <c r="Q186" s="70">
        <f>'RESUMEN TOTAL'!AD247</f>
        <v>0</v>
      </c>
      <c r="R186" s="70">
        <f>'RESUMEN TOTAL'!AE247</f>
        <v>0</v>
      </c>
      <c r="S186" s="70">
        <f>'RESUMEN TOTAL'!AF247</f>
        <v>0</v>
      </c>
      <c r="T186" s="70">
        <f>'RESUMEN TOTAL'!AG247</f>
        <v>0</v>
      </c>
      <c r="U186" s="70">
        <f>'RESUMEN TOTAL'!AH247</f>
        <v>0</v>
      </c>
      <c r="V186" s="70">
        <f>'RESUMEN TOTAL'!AI247</f>
        <v>0</v>
      </c>
      <c r="W186" s="70">
        <f>'RESUMEN TOTAL'!AJ247</f>
        <v>0</v>
      </c>
      <c r="X186" s="70">
        <f>'RESUMEN TOTAL'!AK247</f>
        <v>0</v>
      </c>
      <c r="Y186" s="70">
        <f>'RESUMEN TOTAL'!AL247</f>
        <v>0</v>
      </c>
      <c r="Z186" s="70">
        <f>'RESUMEN TOTAL'!AM247</f>
        <v>0</v>
      </c>
      <c r="AA186" s="70">
        <f>'RESUMEN TOTAL'!AN247</f>
        <v>0</v>
      </c>
      <c r="AB186" s="70">
        <f>'RESUMEN TOTAL'!AO247</f>
        <v>0</v>
      </c>
      <c r="AC186" s="70">
        <f>'RESUMEN TOTAL'!AP247</f>
        <v>0</v>
      </c>
      <c r="AD186" s="70">
        <f>'RESUMEN TOTAL'!AQ247</f>
        <v>0</v>
      </c>
      <c r="AE186" s="70">
        <f>'RESUMEN TOTAL'!AR247</f>
        <v>0</v>
      </c>
      <c r="AF186" s="70">
        <f>'RESUMEN TOTAL'!AS247</f>
        <v>0</v>
      </c>
      <c r="AG186" s="70">
        <f>'RESUMEN TOTAL'!AT247</f>
        <v>0</v>
      </c>
      <c r="AH186" s="70">
        <f>'RESUMEN TOTAL'!AU247</f>
        <v>0</v>
      </c>
      <c r="AI186" s="70">
        <f>'RESUMEN TOTAL'!AV247</f>
        <v>0</v>
      </c>
      <c r="AJ186" s="70" t="e">
        <f>'RESUMEN TOTAL'!#REF!</f>
        <v>#REF!</v>
      </c>
    </row>
    <row r="187" spans="1:36" x14ac:dyDescent="0.25">
      <c r="A187" t="str">
        <f>'RESUMEN TOTAL'!F248</f>
        <v>LOPEZ ROMERO</v>
      </c>
      <c r="B187" t="str">
        <f>'RESUMEN TOTAL'!G248</f>
        <v>LRO08</v>
      </c>
      <c r="C187" t="str">
        <f>'RESUMEN TOTAL'!I248</f>
        <v>Remedios de Escalada y Finochieto</v>
      </c>
      <c r="D187" s="30" t="str">
        <f>'RESUMEN TOTAL'!J248</f>
        <v>Domo</v>
      </c>
      <c r="E187" s="30" t="str">
        <f>'RESUMEN TOTAL'!K248</f>
        <v>Fibra Optica</v>
      </c>
      <c r="F187" s="70">
        <f>'RESUMEN TOTAL'!S248</f>
        <v>0</v>
      </c>
      <c r="G187" s="70">
        <f>'RESUMEN TOTAL'!T248</f>
        <v>0</v>
      </c>
      <c r="H187" s="70">
        <f>'RESUMEN TOTAL'!U248</f>
        <v>0</v>
      </c>
      <c r="I187" s="70" t="str">
        <f>'RESUMEN TOTAL'!V248</f>
        <v>APAGADO</v>
      </c>
      <c r="J187" s="70" t="str">
        <f>'RESUMEN TOTAL'!W248</f>
        <v>APAGADO</v>
      </c>
      <c r="K187" s="70">
        <f>'RESUMEN TOTAL'!X248</f>
        <v>0</v>
      </c>
      <c r="L187" s="70">
        <f>'RESUMEN TOTAL'!Y248</f>
        <v>0</v>
      </c>
      <c r="M187" s="70">
        <f>'RESUMEN TOTAL'!Z248</f>
        <v>0</v>
      </c>
      <c r="N187" s="70">
        <f>'RESUMEN TOTAL'!AA248</f>
        <v>0</v>
      </c>
      <c r="O187" s="70">
        <f>'RESUMEN TOTAL'!AB248</f>
        <v>0</v>
      </c>
      <c r="P187" s="70">
        <f>'RESUMEN TOTAL'!AC248</f>
        <v>0</v>
      </c>
      <c r="Q187" s="70">
        <f>'RESUMEN TOTAL'!AD248</f>
        <v>0</v>
      </c>
      <c r="R187" s="70">
        <f>'RESUMEN TOTAL'!AE248</f>
        <v>0</v>
      </c>
      <c r="S187" s="70">
        <f>'RESUMEN TOTAL'!AF248</f>
        <v>0</v>
      </c>
      <c r="T187" s="70">
        <f>'RESUMEN TOTAL'!AG248</f>
        <v>0</v>
      </c>
      <c r="U187" s="70">
        <f>'RESUMEN TOTAL'!AH248</f>
        <v>0</v>
      </c>
      <c r="V187" s="70">
        <f>'RESUMEN TOTAL'!AI248</f>
        <v>0</v>
      </c>
      <c r="W187" s="70">
        <f>'RESUMEN TOTAL'!AJ248</f>
        <v>0</v>
      </c>
      <c r="X187" s="70">
        <f>'RESUMEN TOTAL'!AK248</f>
        <v>0</v>
      </c>
      <c r="Y187" s="70">
        <f>'RESUMEN TOTAL'!AL248</f>
        <v>0</v>
      </c>
      <c r="Z187" s="70">
        <f>'RESUMEN TOTAL'!AM248</f>
        <v>0</v>
      </c>
      <c r="AA187" s="70">
        <f>'RESUMEN TOTAL'!AN248</f>
        <v>0</v>
      </c>
      <c r="AB187" s="70">
        <f>'RESUMEN TOTAL'!AO248</f>
        <v>0</v>
      </c>
      <c r="AC187" s="70">
        <f>'RESUMEN TOTAL'!AP248</f>
        <v>0</v>
      </c>
      <c r="AD187" s="70">
        <f>'RESUMEN TOTAL'!AQ248</f>
        <v>0</v>
      </c>
      <c r="AE187" s="70">
        <f>'RESUMEN TOTAL'!AR248</f>
        <v>0</v>
      </c>
      <c r="AF187" s="70">
        <f>'RESUMEN TOTAL'!AS248</f>
        <v>0</v>
      </c>
      <c r="AG187" s="70">
        <f>'RESUMEN TOTAL'!AT248</f>
        <v>0</v>
      </c>
      <c r="AH187" s="70">
        <f>'RESUMEN TOTAL'!AU248</f>
        <v>0</v>
      </c>
      <c r="AI187" s="70">
        <f>'RESUMEN TOTAL'!AV248</f>
        <v>0</v>
      </c>
      <c r="AJ187" s="70" t="e">
        <f>'RESUMEN TOTAL'!#REF!</f>
        <v>#REF!</v>
      </c>
    </row>
    <row r="188" spans="1:36" x14ac:dyDescent="0.25">
      <c r="A188" t="str">
        <f>'RESUMEN TOTAL'!F249</f>
        <v>LOPEZ ROMERO</v>
      </c>
      <c r="B188" t="str">
        <f>'RESUMEN TOTAL'!G249</f>
        <v>LRO11</v>
      </c>
      <c r="C188" t="str">
        <f>'RESUMEN TOTAL'!I249</f>
        <v>Av. Yrigoyen y Braile</v>
      </c>
      <c r="D188" s="30" t="str">
        <f>'RESUMEN TOTAL'!J249</f>
        <v>Domo</v>
      </c>
      <c r="E188" s="30" t="str">
        <f>'RESUMEN TOTAL'!K249</f>
        <v>Fibra Optica</v>
      </c>
      <c r="F188" s="70">
        <f>'RESUMEN TOTAL'!S249</f>
        <v>0</v>
      </c>
      <c r="G188" s="70">
        <f>'RESUMEN TOTAL'!T249</f>
        <v>0</v>
      </c>
      <c r="H188" s="70">
        <f>'RESUMEN TOTAL'!U249</f>
        <v>0</v>
      </c>
      <c r="I188" s="70">
        <f>'RESUMEN TOTAL'!V249</f>
        <v>0</v>
      </c>
      <c r="J188" s="70">
        <f>'RESUMEN TOTAL'!W249</f>
        <v>0</v>
      </c>
      <c r="K188" s="70">
        <f>'RESUMEN TOTAL'!X249</f>
        <v>0</v>
      </c>
      <c r="L188" s="70">
        <f>'RESUMEN TOTAL'!Y249</f>
        <v>0</v>
      </c>
      <c r="M188" s="70">
        <f>'RESUMEN TOTAL'!Z249</f>
        <v>0</v>
      </c>
      <c r="N188" s="70">
        <f>'RESUMEN TOTAL'!AA249</f>
        <v>0</v>
      </c>
      <c r="O188" s="70">
        <f>'RESUMEN TOTAL'!AB249</f>
        <v>0</v>
      </c>
      <c r="P188" s="70">
        <f>'RESUMEN TOTAL'!AC249</f>
        <v>0</v>
      </c>
      <c r="Q188" s="70">
        <f>'RESUMEN TOTAL'!AD249</f>
        <v>0</v>
      </c>
      <c r="R188" s="70">
        <f>'RESUMEN TOTAL'!AE249</f>
        <v>0</v>
      </c>
      <c r="S188" s="70">
        <f>'RESUMEN TOTAL'!AF249</f>
        <v>0</v>
      </c>
      <c r="T188" s="70">
        <f>'RESUMEN TOTAL'!AG249</f>
        <v>0</v>
      </c>
      <c r="U188" s="70">
        <f>'RESUMEN TOTAL'!AH249</f>
        <v>0</v>
      </c>
      <c r="V188" s="70">
        <f>'RESUMEN TOTAL'!AI249</f>
        <v>0</v>
      </c>
      <c r="W188" s="70" t="str">
        <f>'RESUMEN TOTAL'!AJ249</f>
        <v>APAGADO</v>
      </c>
      <c r="X188" s="70">
        <f>'RESUMEN TOTAL'!AK249</f>
        <v>0</v>
      </c>
      <c r="Y188" s="70">
        <f>'RESUMEN TOTAL'!AL249</f>
        <v>0</v>
      </c>
      <c r="Z188" s="70">
        <f>'RESUMEN TOTAL'!AM249</f>
        <v>0</v>
      </c>
      <c r="AA188" s="70">
        <f>'RESUMEN TOTAL'!AN249</f>
        <v>0</v>
      </c>
      <c r="AB188" s="70">
        <f>'RESUMEN TOTAL'!AO249</f>
        <v>0</v>
      </c>
      <c r="AC188" s="70">
        <f>'RESUMEN TOTAL'!AP249</f>
        <v>0</v>
      </c>
      <c r="AD188" s="70">
        <f>'RESUMEN TOTAL'!AQ249</f>
        <v>0</v>
      </c>
      <c r="AE188" s="70">
        <f>'RESUMEN TOTAL'!AR249</f>
        <v>0</v>
      </c>
      <c r="AF188" s="70">
        <f>'RESUMEN TOTAL'!AS249</f>
        <v>0</v>
      </c>
      <c r="AG188" s="70">
        <f>'RESUMEN TOTAL'!AT249</f>
        <v>0</v>
      </c>
      <c r="AH188" s="70">
        <f>'RESUMEN TOTAL'!AU249</f>
        <v>0</v>
      </c>
      <c r="AI188" s="70">
        <f>'RESUMEN TOTAL'!AV249</f>
        <v>0</v>
      </c>
      <c r="AJ188" s="70" t="e">
        <f>'RESUMEN TOTAL'!#REF!</f>
        <v>#REF!</v>
      </c>
    </row>
    <row r="189" spans="1:36" x14ac:dyDescent="0.25">
      <c r="A189" t="str">
        <f>'RESUMEN TOTAL'!F250</f>
        <v>LOPEZ ROMERO</v>
      </c>
      <c r="B189" t="str">
        <f>'RESUMEN TOTAL'!G250</f>
        <v>LRO14</v>
      </c>
      <c r="C189" t="str">
        <f>'RESUMEN TOTAL'!I250</f>
        <v>YRIGOYEN Y STORNI</v>
      </c>
      <c r="D189" s="30" t="str">
        <f>'RESUMEN TOTAL'!J250</f>
        <v>DOMO</v>
      </c>
      <c r="E189" s="30" t="str">
        <f>'RESUMEN TOTAL'!K250</f>
        <v>Fibra Optica</v>
      </c>
      <c r="F189" s="70">
        <f>'RESUMEN TOTAL'!S250</f>
        <v>0</v>
      </c>
      <c r="G189" s="70">
        <f>'RESUMEN TOTAL'!T250</f>
        <v>0</v>
      </c>
      <c r="H189" s="70">
        <f>'RESUMEN TOTAL'!U250</f>
        <v>0</v>
      </c>
      <c r="I189" s="70" t="str">
        <f>'RESUMEN TOTAL'!V250</f>
        <v>APAGADO</v>
      </c>
      <c r="J189" s="70" t="str">
        <f>'RESUMEN TOTAL'!W250</f>
        <v>APAGADO</v>
      </c>
      <c r="K189" s="70" t="str">
        <f>'RESUMEN TOTAL'!X250</f>
        <v>APAGADO</v>
      </c>
      <c r="L189" s="70" t="str">
        <f>'RESUMEN TOTAL'!Y250</f>
        <v>APAGADO</v>
      </c>
      <c r="M189" s="70" t="str">
        <f>'RESUMEN TOTAL'!Z250</f>
        <v>APAGADO</v>
      </c>
      <c r="N189" s="70">
        <f>'RESUMEN TOTAL'!AA250</f>
        <v>0</v>
      </c>
      <c r="O189" s="70">
        <f>'RESUMEN TOTAL'!AB250</f>
        <v>0</v>
      </c>
      <c r="P189" s="70" t="str">
        <f>'RESUMEN TOTAL'!AC250</f>
        <v>APAGADO</v>
      </c>
      <c r="Q189" s="70" t="str">
        <f>'RESUMEN TOTAL'!AD250</f>
        <v>APAGADO</v>
      </c>
      <c r="R189" s="70" t="str">
        <f>'RESUMEN TOTAL'!AE250</f>
        <v>APAGADO</v>
      </c>
      <c r="S189" s="70" t="str">
        <f>'RESUMEN TOTAL'!AF250</f>
        <v>APAGADO</v>
      </c>
      <c r="T189" s="70" t="str">
        <f>'RESUMEN TOTAL'!AG250</f>
        <v>APAGADO</v>
      </c>
      <c r="U189" s="70">
        <f>'RESUMEN TOTAL'!AH250</f>
        <v>0</v>
      </c>
      <c r="V189" s="70">
        <f>'RESUMEN TOTAL'!AI250</f>
        <v>0</v>
      </c>
      <c r="W189" s="70" t="str">
        <f>'RESUMEN TOTAL'!AJ250</f>
        <v>APAGADO</v>
      </c>
      <c r="X189" s="70" t="str">
        <f>'RESUMEN TOTAL'!AK250</f>
        <v>APAGADO</v>
      </c>
      <c r="Y189" s="70" t="str">
        <f>'RESUMEN TOTAL'!AL250</f>
        <v>APAGADO</v>
      </c>
      <c r="Z189" s="70" t="str">
        <f>'RESUMEN TOTAL'!AM250</f>
        <v>APAGADO</v>
      </c>
      <c r="AA189" s="70" t="str">
        <f>'RESUMEN TOTAL'!AN250</f>
        <v>APAGADO</v>
      </c>
      <c r="AB189" s="70">
        <f>'RESUMEN TOTAL'!AO250</f>
        <v>0</v>
      </c>
      <c r="AC189" s="70">
        <f>'RESUMEN TOTAL'!AP250</f>
        <v>0</v>
      </c>
      <c r="AD189" s="70">
        <f>'RESUMEN TOTAL'!AQ250</f>
        <v>0</v>
      </c>
      <c r="AE189" s="70" t="str">
        <f>'RESUMEN TOTAL'!AR250</f>
        <v>APAGADO</v>
      </c>
      <c r="AF189" s="70" t="str">
        <f>'RESUMEN TOTAL'!AS250</f>
        <v>APAGADO</v>
      </c>
      <c r="AG189" s="70" t="str">
        <f>'RESUMEN TOTAL'!AT250</f>
        <v>APAGADO</v>
      </c>
      <c r="AH189" s="70">
        <f>'RESUMEN TOTAL'!AU250</f>
        <v>0</v>
      </c>
      <c r="AI189" s="70">
        <f>'RESUMEN TOTAL'!AV250</f>
        <v>0</v>
      </c>
      <c r="AJ189" s="70" t="e">
        <f>'RESUMEN TOTAL'!#REF!</f>
        <v>#REF!</v>
      </c>
    </row>
    <row r="190" spans="1:36" x14ac:dyDescent="0.25">
      <c r="A190" t="str">
        <f>'RESUMEN TOTAL'!F251</f>
        <v>LOPEZ ROMERO</v>
      </c>
      <c r="B190" t="str">
        <f>'RESUMEN TOTAL'!G251</f>
        <v>LRO15</v>
      </c>
      <c r="C190" t="str">
        <f>'RESUMEN TOTAL'!I251</f>
        <v>BRAILE Y FINOCCHIETTO</v>
      </c>
      <c r="D190" s="30" t="str">
        <f>'RESUMEN TOTAL'!J251</f>
        <v>DOMO</v>
      </c>
      <c r="E190" s="30" t="str">
        <f>'RESUMEN TOTAL'!K251</f>
        <v>Fibra Optica</v>
      </c>
      <c r="F190" s="70">
        <f>'RESUMEN TOTAL'!S251</f>
        <v>0</v>
      </c>
      <c r="G190" s="70">
        <f>'RESUMEN TOTAL'!T251</f>
        <v>0</v>
      </c>
      <c r="H190" s="70">
        <f>'RESUMEN TOTAL'!U251</f>
        <v>0</v>
      </c>
      <c r="I190" s="70" t="str">
        <f>'RESUMEN TOTAL'!V251</f>
        <v>APAGADO</v>
      </c>
      <c r="J190" s="70" t="str">
        <f>'RESUMEN TOTAL'!W251</f>
        <v>APAGADO</v>
      </c>
      <c r="K190" s="70" t="str">
        <f>'RESUMEN TOTAL'!X251</f>
        <v>APAGADO</v>
      </c>
      <c r="L190" s="70" t="str">
        <f>'RESUMEN TOTAL'!Y251</f>
        <v>APAGADO</v>
      </c>
      <c r="M190" s="70">
        <f>'RESUMEN TOTAL'!Z251</f>
        <v>0</v>
      </c>
      <c r="N190" s="70">
        <f>'RESUMEN TOTAL'!AA251</f>
        <v>0</v>
      </c>
      <c r="O190" s="70">
        <f>'RESUMEN TOTAL'!AB251</f>
        <v>0</v>
      </c>
      <c r="P190" s="70">
        <f>'RESUMEN TOTAL'!AC251</f>
        <v>0</v>
      </c>
      <c r="Q190" s="70">
        <f>'RESUMEN TOTAL'!AD251</f>
        <v>0</v>
      </c>
      <c r="R190" s="70">
        <f>'RESUMEN TOTAL'!AE251</f>
        <v>0</v>
      </c>
      <c r="S190" s="70">
        <f>'RESUMEN TOTAL'!AF251</f>
        <v>0</v>
      </c>
      <c r="T190" s="70" t="str">
        <f>'RESUMEN TOTAL'!AG251</f>
        <v>APAGADO</v>
      </c>
      <c r="U190" s="70">
        <f>'RESUMEN TOTAL'!AH251</f>
        <v>0</v>
      </c>
      <c r="V190" s="70">
        <f>'RESUMEN TOTAL'!AI251</f>
        <v>0</v>
      </c>
      <c r="W190" s="70" t="str">
        <f>'RESUMEN TOTAL'!AJ251</f>
        <v>APAGADO</v>
      </c>
      <c r="X190" s="70">
        <f>'RESUMEN TOTAL'!AK251</f>
        <v>0</v>
      </c>
      <c r="Y190" s="70">
        <f>'RESUMEN TOTAL'!AL251</f>
        <v>0</v>
      </c>
      <c r="Z190" s="70">
        <f>'RESUMEN TOTAL'!AM251</f>
        <v>0</v>
      </c>
      <c r="AA190" s="70" t="str">
        <f>'RESUMEN TOTAL'!AN251</f>
        <v>APAGADO</v>
      </c>
      <c r="AB190" s="70">
        <f>'RESUMEN TOTAL'!AO251</f>
        <v>0</v>
      </c>
      <c r="AC190" s="70">
        <f>'RESUMEN TOTAL'!AP251</f>
        <v>0</v>
      </c>
      <c r="AD190" s="70">
        <f>'RESUMEN TOTAL'!AQ251</f>
        <v>0</v>
      </c>
      <c r="AE190" s="70">
        <f>'RESUMEN TOTAL'!AR251</f>
        <v>0</v>
      </c>
      <c r="AF190" s="70">
        <f>'RESUMEN TOTAL'!AS251</f>
        <v>0</v>
      </c>
      <c r="AG190" s="70">
        <f>'RESUMEN TOTAL'!AT251</f>
        <v>0</v>
      </c>
      <c r="AH190" s="70">
        <f>'RESUMEN TOTAL'!AU251</f>
        <v>0</v>
      </c>
      <c r="AI190" s="70">
        <f>'RESUMEN TOTAL'!AV251</f>
        <v>0</v>
      </c>
      <c r="AJ190" s="70" t="e">
        <f>'RESUMEN TOTAL'!#REF!</f>
        <v>#REF!</v>
      </c>
    </row>
    <row r="191" spans="1:36" x14ac:dyDescent="0.25">
      <c r="A191" t="str">
        <f>'RESUMEN TOTAL'!F252</f>
        <v>LUJAN</v>
      </c>
      <c r="B191" t="str">
        <f>'RESUMEN TOTAL'!G252</f>
        <v>LUJ 01</v>
      </c>
      <c r="C191" t="str">
        <f>'RESUMEN TOTAL'!I252</f>
        <v>ñandu y Los Pinos</v>
      </c>
      <c r="D191" s="30" t="str">
        <f>'RESUMEN TOTAL'!J252</f>
        <v>Domo</v>
      </c>
      <c r="E191" s="30" t="str">
        <f>'RESUMEN TOTAL'!K252</f>
        <v>GPON</v>
      </c>
      <c r="F191" s="70">
        <f>'RESUMEN TOTAL'!S252</f>
        <v>0</v>
      </c>
      <c r="G191" s="70">
        <f>'RESUMEN TOTAL'!T252</f>
        <v>0</v>
      </c>
      <c r="H191" s="70">
        <f>'RESUMEN TOTAL'!U252</f>
        <v>0</v>
      </c>
      <c r="I191" s="70">
        <f>'RESUMEN TOTAL'!V252</f>
        <v>0</v>
      </c>
      <c r="J191" s="70">
        <f>'RESUMEN TOTAL'!W252</f>
        <v>0</v>
      </c>
      <c r="K191" s="70">
        <f>'RESUMEN TOTAL'!X252</f>
        <v>0</v>
      </c>
      <c r="L191" s="70">
        <f>'RESUMEN TOTAL'!Y252</f>
        <v>0</v>
      </c>
      <c r="M191" s="70">
        <f>'RESUMEN TOTAL'!Z252</f>
        <v>0</v>
      </c>
      <c r="N191" s="70">
        <f>'RESUMEN TOTAL'!AA252</f>
        <v>0</v>
      </c>
      <c r="O191" s="70">
        <f>'RESUMEN TOTAL'!AB252</f>
        <v>0</v>
      </c>
      <c r="P191" s="70">
        <f>'RESUMEN TOTAL'!AC252</f>
        <v>0</v>
      </c>
      <c r="Q191" s="70">
        <f>'RESUMEN TOTAL'!AD252</f>
        <v>0</v>
      </c>
      <c r="R191" s="70">
        <f>'RESUMEN TOTAL'!AE252</f>
        <v>0</v>
      </c>
      <c r="S191" s="70">
        <f>'RESUMEN TOTAL'!AF252</f>
        <v>0</v>
      </c>
      <c r="T191" s="70">
        <f>'RESUMEN TOTAL'!AG252</f>
        <v>0</v>
      </c>
      <c r="U191" s="70">
        <f>'RESUMEN TOTAL'!AH252</f>
        <v>0</v>
      </c>
      <c r="V191" s="70">
        <f>'RESUMEN TOTAL'!AI252</f>
        <v>0</v>
      </c>
      <c r="W191" s="70">
        <f>'RESUMEN TOTAL'!AJ252</f>
        <v>0</v>
      </c>
      <c r="X191" s="70">
        <f>'RESUMEN TOTAL'!AK252</f>
        <v>0</v>
      </c>
      <c r="Y191" s="70">
        <f>'RESUMEN TOTAL'!AL252</f>
        <v>0</v>
      </c>
      <c r="Z191" s="70">
        <f>'RESUMEN TOTAL'!AM252</f>
        <v>0</v>
      </c>
      <c r="AA191" s="70">
        <f>'RESUMEN TOTAL'!AN252</f>
        <v>0</v>
      </c>
      <c r="AB191" s="70">
        <f>'RESUMEN TOTAL'!AO252</f>
        <v>0</v>
      </c>
      <c r="AC191" s="70">
        <f>'RESUMEN TOTAL'!AP252</f>
        <v>0</v>
      </c>
      <c r="AD191" s="70">
        <f>'RESUMEN TOTAL'!AQ252</f>
        <v>0</v>
      </c>
      <c r="AE191" s="70">
        <f>'RESUMEN TOTAL'!AR252</f>
        <v>0</v>
      </c>
      <c r="AF191" s="70">
        <f>'RESUMEN TOTAL'!AS252</f>
        <v>0</v>
      </c>
      <c r="AG191" s="70">
        <f>'RESUMEN TOTAL'!AT252</f>
        <v>0</v>
      </c>
      <c r="AH191" s="70">
        <f>'RESUMEN TOTAL'!AU252</f>
        <v>0</v>
      </c>
      <c r="AI191" s="70">
        <f>'RESUMEN TOTAL'!AV252</f>
        <v>0</v>
      </c>
      <c r="AJ191" s="70" t="e">
        <f>'RESUMEN TOTAL'!#REF!</f>
        <v>#REF!</v>
      </c>
    </row>
    <row r="192" spans="1:36" x14ac:dyDescent="0.25">
      <c r="A192" t="str">
        <f>'RESUMEN TOTAL'!F253</f>
        <v>VILLA ARGENTINA</v>
      </c>
      <c r="B192" t="str">
        <f>'RESUMEN TOTAL'!G253</f>
        <v>LUJ 02</v>
      </c>
      <c r="C192" t="str">
        <f>'RESUMEN TOTAL'!I253</f>
        <v>DIAG. LOS TILOS Y 527</v>
      </c>
      <c r="D192" s="30" t="str">
        <f>'RESUMEN TOTAL'!J253</f>
        <v>DOMO</v>
      </c>
      <c r="E192" s="30" t="str">
        <f>'RESUMEN TOTAL'!K253</f>
        <v>PTO A FO</v>
      </c>
      <c r="F192" s="70">
        <f>'RESUMEN TOTAL'!S253</f>
        <v>0</v>
      </c>
      <c r="G192" s="70">
        <f>'RESUMEN TOTAL'!T253</f>
        <v>0</v>
      </c>
      <c r="H192" s="70">
        <f>'RESUMEN TOTAL'!U253</f>
        <v>0</v>
      </c>
      <c r="I192" s="70" t="str">
        <f>'RESUMEN TOTAL'!V253</f>
        <v>APAGADO</v>
      </c>
      <c r="J192" s="70" t="str">
        <f>'RESUMEN TOTAL'!W253</f>
        <v>APAGADO</v>
      </c>
      <c r="K192" s="70" t="str">
        <f>'RESUMEN TOTAL'!X253</f>
        <v>APAGADO</v>
      </c>
      <c r="L192" s="70" t="str">
        <f>'RESUMEN TOTAL'!Y253</f>
        <v>APAGADO</v>
      </c>
      <c r="M192" s="70" t="str">
        <f>'RESUMEN TOTAL'!Z253</f>
        <v>APAGADO</v>
      </c>
      <c r="N192" s="70">
        <f>'RESUMEN TOTAL'!AA253</f>
        <v>0</v>
      </c>
      <c r="O192" s="70">
        <f>'RESUMEN TOTAL'!AB253</f>
        <v>0</v>
      </c>
      <c r="P192" s="70">
        <f>'RESUMEN TOTAL'!AC253</f>
        <v>0</v>
      </c>
      <c r="Q192" s="70">
        <f>'RESUMEN TOTAL'!AD253</f>
        <v>0</v>
      </c>
      <c r="R192" s="70">
        <f>'RESUMEN TOTAL'!AE253</f>
        <v>0</v>
      </c>
      <c r="S192" s="70">
        <f>'RESUMEN TOTAL'!AF253</f>
        <v>0</v>
      </c>
      <c r="T192" s="70">
        <f>'RESUMEN TOTAL'!AG253</f>
        <v>0</v>
      </c>
      <c r="U192" s="70">
        <f>'RESUMEN TOTAL'!AH253</f>
        <v>0</v>
      </c>
      <c r="V192" s="70">
        <f>'RESUMEN TOTAL'!AI253</f>
        <v>0</v>
      </c>
      <c r="W192" s="70">
        <f>'RESUMEN TOTAL'!AJ253</f>
        <v>0</v>
      </c>
      <c r="X192" s="70">
        <f>'RESUMEN TOTAL'!AK253</f>
        <v>0</v>
      </c>
      <c r="Y192" s="70">
        <f>'RESUMEN TOTAL'!AL253</f>
        <v>0</v>
      </c>
      <c r="Z192" s="70">
        <f>'RESUMEN TOTAL'!AM253</f>
        <v>0</v>
      </c>
      <c r="AA192" s="70">
        <f>'RESUMEN TOTAL'!AN253</f>
        <v>0</v>
      </c>
      <c r="AB192" s="70">
        <f>'RESUMEN TOTAL'!AO253</f>
        <v>0</v>
      </c>
      <c r="AC192" s="70">
        <f>'RESUMEN TOTAL'!AP253</f>
        <v>0</v>
      </c>
      <c r="AD192" s="70">
        <f>'RESUMEN TOTAL'!AQ253</f>
        <v>0</v>
      </c>
      <c r="AE192" s="70">
        <f>'RESUMEN TOTAL'!AR253</f>
        <v>0</v>
      </c>
      <c r="AF192" s="70">
        <f>'RESUMEN TOTAL'!AS253</f>
        <v>0</v>
      </c>
      <c r="AG192" s="70">
        <f>'RESUMEN TOTAL'!AT253</f>
        <v>0</v>
      </c>
      <c r="AH192" s="70">
        <f>'RESUMEN TOTAL'!AU253</f>
        <v>0</v>
      </c>
      <c r="AI192" s="70">
        <f>'RESUMEN TOTAL'!AV253</f>
        <v>0</v>
      </c>
      <c r="AJ192" s="70" t="e">
        <f>'RESUMEN TOTAL'!#REF!</f>
        <v>#REF!</v>
      </c>
    </row>
    <row r="193" spans="1:36" x14ac:dyDescent="0.25">
      <c r="A193" t="str">
        <f>'RESUMEN TOTAL'!F254</f>
        <v>LUJAN</v>
      </c>
      <c r="B193" t="str">
        <f>'RESUMEN TOTAL'!G254</f>
        <v>LUJ03</v>
      </c>
      <c r="C193" t="str">
        <f>'RESUMEN TOTAL'!I254</f>
        <v>LOS PINOS Y LOS TILOS</v>
      </c>
      <c r="D193" s="30" t="str">
        <f>'RESUMEN TOTAL'!J254</f>
        <v>DOMO</v>
      </c>
      <c r="E193" s="30" t="str">
        <f>'RESUMEN TOTAL'!K254</f>
        <v>GPON</v>
      </c>
      <c r="F193" s="70">
        <f>'RESUMEN TOTAL'!S254</f>
        <v>0</v>
      </c>
      <c r="G193" s="70">
        <f>'RESUMEN TOTAL'!T254</f>
        <v>0</v>
      </c>
      <c r="H193" s="70">
        <f>'RESUMEN TOTAL'!U254</f>
        <v>0</v>
      </c>
      <c r="I193" s="70" t="str">
        <f>'RESUMEN TOTAL'!V254</f>
        <v>APAGADO</v>
      </c>
      <c r="J193" s="70" t="str">
        <f>'RESUMEN TOTAL'!W254</f>
        <v>APAGADO</v>
      </c>
      <c r="K193" s="70" t="str">
        <f>'RESUMEN TOTAL'!X254</f>
        <v>APAGADO</v>
      </c>
      <c r="L193" s="70" t="str">
        <f>'RESUMEN TOTAL'!Y254</f>
        <v>APAGADO</v>
      </c>
      <c r="M193" s="70" t="str">
        <f>'RESUMEN TOTAL'!Z254</f>
        <v>APAGADO</v>
      </c>
      <c r="N193" s="70">
        <f>'RESUMEN TOTAL'!AA254</f>
        <v>0</v>
      </c>
      <c r="O193" s="70">
        <f>'RESUMEN TOTAL'!AB254</f>
        <v>0</v>
      </c>
      <c r="P193" s="70" t="str">
        <f>'RESUMEN TOTAL'!AC254</f>
        <v>APAGADO</v>
      </c>
      <c r="Q193" s="70" t="str">
        <f>'RESUMEN TOTAL'!AD254</f>
        <v>APAGADO</v>
      </c>
      <c r="R193" s="70" t="str">
        <f>'RESUMEN TOTAL'!AE254</f>
        <v>APAGADO</v>
      </c>
      <c r="S193" s="70" t="str">
        <f>'RESUMEN TOTAL'!AF254</f>
        <v>APAGADO</v>
      </c>
      <c r="T193" s="70" t="str">
        <f>'RESUMEN TOTAL'!AG254</f>
        <v>APAGADO</v>
      </c>
      <c r="U193" s="70">
        <f>'RESUMEN TOTAL'!AH254</f>
        <v>0</v>
      </c>
      <c r="V193" s="70">
        <f>'RESUMEN TOTAL'!AI254</f>
        <v>0</v>
      </c>
      <c r="W193" s="70" t="str">
        <f>'RESUMEN TOTAL'!AJ254</f>
        <v>APAGADO</v>
      </c>
      <c r="X193" s="70" t="str">
        <f>'RESUMEN TOTAL'!AK254</f>
        <v>APAGADO</v>
      </c>
      <c r="Y193" s="70" t="str">
        <f>'RESUMEN TOTAL'!AL254</f>
        <v>APAGADO</v>
      </c>
      <c r="Z193" s="70" t="str">
        <f>'RESUMEN TOTAL'!AM254</f>
        <v>APAGADO</v>
      </c>
      <c r="AA193" s="70" t="str">
        <f>'RESUMEN TOTAL'!AN254</f>
        <v>APAGADO</v>
      </c>
      <c r="AB193" s="70">
        <f>'RESUMEN TOTAL'!AO254</f>
        <v>0</v>
      </c>
      <c r="AC193" s="70">
        <f>'RESUMEN TOTAL'!AP254</f>
        <v>0</v>
      </c>
      <c r="AD193" s="70">
        <f>'RESUMEN TOTAL'!AQ254</f>
        <v>0</v>
      </c>
      <c r="AE193" s="70" t="str">
        <f>'RESUMEN TOTAL'!AR254</f>
        <v>APAGADO</v>
      </c>
      <c r="AF193" s="70" t="str">
        <f>'RESUMEN TOTAL'!AS254</f>
        <v>APAGADO</v>
      </c>
      <c r="AG193" s="70" t="str">
        <f>'RESUMEN TOTAL'!AT254</f>
        <v>APAGADO</v>
      </c>
      <c r="AH193" s="70">
        <f>'RESUMEN TOTAL'!AU254</f>
        <v>0</v>
      </c>
      <c r="AI193" s="70">
        <f>'RESUMEN TOTAL'!AV254</f>
        <v>0</v>
      </c>
      <c r="AJ193" s="70" t="e">
        <f>'RESUMEN TOTAL'!#REF!</f>
        <v>#REF!</v>
      </c>
    </row>
    <row r="194" spans="1:36" x14ac:dyDescent="0.25">
      <c r="A194" t="str">
        <f>'RESUMEN TOTAL'!F255</f>
        <v>LUJAN</v>
      </c>
      <c r="B194" t="str">
        <f>'RESUMEN TOTAL'!G255</f>
        <v>LUJ04</v>
      </c>
      <c r="C194" t="str">
        <f>'RESUMEN TOTAL'!I255</f>
        <v>LOS ALGARROBOS Y LA PALOMA</v>
      </c>
      <c r="D194" s="30" t="str">
        <f>'RESUMEN TOTAL'!J255</f>
        <v>Fija</v>
      </c>
      <c r="E194" s="30" t="str">
        <f>'RESUMEN TOTAL'!K255</f>
        <v>GPON</v>
      </c>
      <c r="F194" s="70">
        <f>'RESUMEN TOTAL'!S255</f>
        <v>0</v>
      </c>
      <c r="G194" s="70">
        <f>'RESUMEN TOTAL'!T255</f>
        <v>0</v>
      </c>
      <c r="H194" s="70">
        <f>'RESUMEN TOTAL'!U255</f>
        <v>0</v>
      </c>
      <c r="I194" s="70" t="str">
        <f>'RESUMEN TOTAL'!V255</f>
        <v>APAGADO</v>
      </c>
      <c r="J194" s="70" t="str">
        <f>'RESUMEN TOTAL'!W255</f>
        <v>APAGADO</v>
      </c>
      <c r="K194" s="70" t="str">
        <f>'RESUMEN TOTAL'!X255</f>
        <v>APAGADO</v>
      </c>
      <c r="L194" s="70" t="str">
        <f>'RESUMEN TOTAL'!Y255</f>
        <v>APAGADO</v>
      </c>
      <c r="M194" s="70" t="str">
        <f>'RESUMEN TOTAL'!Z255</f>
        <v>APAGADO</v>
      </c>
      <c r="N194" s="70">
        <f>'RESUMEN TOTAL'!AA255</f>
        <v>0</v>
      </c>
      <c r="O194" s="70">
        <f>'RESUMEN TOTAL'!AB255</f>
        <v>0</v>
      </c>
      <c r="P194" s="70" t="str">
        <f>'RESUMEN TOTAL'!AC255</f>
        <v>APAGADO</v>
      </c>
      <c r="Q194" s="70" t="str">
        <f>'RESUMEN TOTAL'!AD255</f>
        <v>APAGADO</v>
      </c>
      <c r="R194" s="70" t="str">
        <f>'RESUMEN TOTAL'!AE255</f>
        <v>APAGADO</v>
      </c>
      <c r="S194" s="70" t="str">
        <f>'RESUMEN TOTAL'!AF255</f>
        <v>APAGADO</v>
      </c>
      <c r="T194" s="70" t="str">
        <f>'RESUMEN TOTAL'!AG255</f>
        <v>APAGADO</v>
      </c>
      <c r="U194" s="70">
        <f>'RESUMEN TOTAL'!AH255</f>
        <v>0</v>
      </c>
      <c r="V194" s="70">
        <f>'RESUMEN TOTAL'!AI255</f>
        <v>0</v>
      </c>
      <c r="W194" s="70" t="str">
        <f>'RESUMEN TOTAL'!AJ255</f>
        <v>APAGADO</v>
      </c>
      <c r="X194" s="70" t="str">
        <f>'RESUMEN TOTAL'!AK255</f>
        <v>APAGADO</v>
      </c>
      <c r="Y194" s="70" t="str">
        <f>'RESUMEN TOTAL'!AL255</f>
        <v>APAGADO</v>
      </c>
      <c r="Z194" s="70" t="str">
        <f>'RESUMEN TOTAL'!AM255</f>
        <v>APAGADO</v>
      </c>
      <c r="AA194" s="70" t="str">
        <f>'RESUMEN TOTAL'!AN255</f>
        <v>APAGADO</v>
      </c>
      <c r="AB194" s="70">
        <f>'RESUMEN TOTAL'!AO255</f>
        <v>0</v>
      </c>
      <c r="AC194" s="70">
        <f>'RESUMEN TOTAL'!AP255</f>
        <v>0</v>
      </c>
      <c r="AD194" s="70">
        <f>'RESUMEN TOTAL'!AQ255</f>
        <v>0</v>
      </c>
      <c r="AE194" s="70" t="str">
        <f>'RESUMEN TOTAL'!AR255</f>
        <v>APAGADO</v>
      </c>
      <c r="AF194" s="70" t="str">
        <f>'RESUMEN TOTAL'!AS255</f>
        <v>APAGADO</v>
      </c>
      <c r="AG194" s="70" t="str">
        <f>'RESUMEN TOTAL'!AT255</f>
        <v>APAGADO</v>
      </c>
      <c r="AH194" s="70">
        <f>'RESUMEN TOTAL'!AU255</f>
        <v>0</v>
      </c>
      <c r="AI194" s="70">
        <f>'RESUMEN TOTAL'!AV255</f>
        <v>0</v>
      </c>
      <c r="AJ194" s="70" t="e">
        <f>'RESUMEN TOTAL'!#REF!</f>
        <v>#REF!</v>
      </c>
    </row>
    <row r="195" spans="1:36" x14ac:dyDescent="0.25">
      <c r="A195" t="str">
        <f>'RESUMEN TOTAL'!F256</f>
        <v>LUJAN</v>
      </c>
      <c r="B195" t="str">
        <f>'RESUMEN TOTAL'!G256</f>
        <v>LUJ05</v>
      </c>
      <c r="C195" t="str">
        <f>'RESUMEN TOTAL'!I256</f>
        <v>LOS ALGARROBOS Y LA PALOMA</v>
      </c>
      <c r="D195" s="30" t="str">
        <f>'RESUMEN TOTAL'!J256</f>
        <v>DOMO</v>
      </c>
      <c r="E195" s="30" t="str">
        <f>'RESUMEN TOTAL'!K256</f>
        <v>GPON</v>
      </c>
      <c r="F195" s="70">
        <f>'RESUMEN TOTAL'!S256</f>
        <v>0</v>
      </c>
      <c r="G195" s="70">
        <f>'RESUMEN TOTAL'!T256</f>
        <v>0</v>
      </c>
      <c r="H195" s="70">
        <f>'RESUMEN TOTAL'!U256</f>
        <v>0</v>
      </c>
      <c r="I195" s="70">
        <f>'RESUMEN TOTAL'!V256</f>
        <v>0</v>
      </c>
      <c r="J195" s="70">
        <f>'RESUMEN TOTAL'!W256</f>
        <v>0</v>
      </c>
      <c r="K195" s="70">
        <f>'RESUMEN TOTAL'!X256</f>
        <v>0</v>
      </c>
      <c r="L195" s="70">
        <f>'RESUMEN TOTAL'!Y256</f>
        <v>0</v>
      </c>
      <c r="M195" s="70">
        <f>'RESUMEN TOTAL'!Z256</f>
        <v>0</v>
      </c>
      <c r="N195" s="70">
        <f>'RESUMEN TOTAL'!AA256</f>
        <v>0</v>
      </c>
      <c r="O195" s="70">
        <f>'RESUMEN TOTAL'!AB256</f>
        <v>0</v>
      </c>
      <c r="P195" s="70">
        <f>'RESUMEN TOTAL'!AC256</f>
        <v>0</v>
      </c>
      <c r="Q195" s="70">
        <f>'RESUMEN TOTAL'!AD256</f>
        <v>0</v>
      </c>
      <c r="R195" s="70">
        <f>'RESUMEN TOTAL'!AE256</f>
        <v>0</v>
      </c>
      <c r="S195" s="70" t="str">
        <f>'RESUMEN TOTAL'!AF256</f>
        <v>APAGADO</v>
      </c>
      <c r="T195" s="70">
        <f>'RESUMEN TOTAL'!AG256</f>
        <v>0</v>
      </c>
      <c r="U195" s="70">
        <f>'RESUMEN TOTAL'!AH256</f>
        <v>0</v>
      </c>
      <c r="V195" s="70">
        <f>'RESUMEN TOTAL'!AI256</f>
        <v>0</v>
      </c>
      <c r="W195" s="70">
        <f>'RESUMEN TOTAL'!AJ256</f>
        <v>0</v>
      </c>
      <c r="X195" s="70">
        <f>'RESUMEN TOTAL'!AK256</f>
        <v>0</v>
      </c>
      <c r="Y195" s="70">
        <f>'RESUMEN TOTAL'!AL256</f>
        <v>0</v>
      </c>
      <c r="Z195" s="70">
        <f>'RESUMEN TOTAL'!AM256</f>
        <v>0</v>
      </c>
      <c r="AA195" s="70">
        <f>'RESUMEN TOTAL'!AN256</f>
        <v>0</v>
      </c>
      <c r="AB195" s="70">
        <f>'RESUMEN TOTAL'!AO256</f>
        <v>0</v>
      </c>
      <c r="AC195" s="70">
        <f>'RESUMEN TOTAL'!AP256</f>
        <v>0</v>
      </c>
      <c r="AD195" s="70">
        <f>'RESUMEN TOTAL'!AQ256</f>
        <v>0</v>
      </c>
      <c r="AE195" s="70">
        <f>'RESUMEN TOTAL'!AR256</f>
        <v>0</v>
      </c>
      <c r="AF195" s="70">
        <f>'RESUMEN TOTAL'!AS256</f>
        <v>0</v>
      </c>
      <c r="AG195" s="70">
        <f>'RESUMEN TOTAL'!AT256</f>
        <v>0</v>
      </c>
      <c r="AH195" s="70">
        <f>'RESUMEN TOTAL'!AU256</f>
        <v>0</v>
      </c>
      <c r="AI195" s="70">
        <f>'RESUMEN TOTAL'!AV256</f>
        <v>0</v>
      </c>
      <c r="AJ195" s="70" t="e">
        <f>'RESUMEN TOTAL'!#REF!</f>
        <v>#REF!</v>
      </c>
    </row>
    <row r="196" spans="1:36" x14ac:dyDescent="0.25">
      <c r="A196" t="str">
        <f>'RESUMEN TOTAL'!F257</f>
        <v>LUJAN</v>
      </c>
      <c r="B196" t="str">
        <f>'RESUMEN TOTAL'!G257</f>
        <v>LUJ06</v>
      </c>
      <c r="C196" t="str">
        <f>'RESUMEN TOTAL'!I257</f>
        <v>LOS PINOS Y LA PALOMA</v>
      </c>
      <c r="D196" s="30" t="str">
        <f>'RESUMEN TOTAL'!J257</f>
        <v>DOMO</v>
      </c>
      <c r="E196" s="30" t="str">
        <f>'RESUMEN TOTAL'!K257</f>
        <v>GPON</v>
      </c>
      <c r="F196" s="70">
        <f>'RESUMEN TOTAL'!S257</f>
        <v>0</v>
      </c>
      <c r="G196" s="70">
        <f>'RESUMEN TOTAL'!T257</f>
        <v>0</v>
      </c>
      <c r="H196" s="70">
        <f>'RESUMEN TOTAL'!U257</f>
        <v>0</v>
      </c>
      <c r="I196" s="70">
        <f>'RESUMEN TOTAL'!V257</f>
        <v>0</v>
      </c>
      <c r="J196" s="70">
        <f>'RESUMEN TOTAL'!W257</f>
        <v>0</v>
      </c>
      <c r="K196" s="70">
        <f>'RESUMEN TOTAL'!X257</f>
        <v>0</v>
      </c>
      <c r="L196" s="70">
        <f>'RESUMEN TOTAL'!Y257</f>
        <v>0</v>
      </c>
      <c r="M196" s="70">
        <f>'RESUMEN TOTAL'!Z257</f>
        <v>0</v>
      </c>
      <c r="N196" s="70">
        <f>'RESUMEN TOTAL'!AA257</f>
        <v>0</v>
      </c>
      <c r="O196" s="70">
        <f>'RESUMEN TOTAL'!AB257</f>
        <v>0</v>
      </c>
      <c r="P196" s="70">
        <f>'RESUMEN TOTAL'!AC257</f>
        <v>0</v>
      </c>
      <c r="Q196" s="70">
        <f>'RESUMEN TOTAL'!AD257</f>
        <v>0</v>
      </c>
      <c r="R196" s="70">
        <f>'RESUMEN TOTAL'!AE257</f>
        <v>0</v>
      </c>
      <c r="S196" s="70">
        <f>'RESUMEN TOTAL'!AF257</f>
        <v>0</v>
      </c>
      <c r="T196" s="70">
        <f>'RESUMEN TOTAL'!AG257</f>
        <v>0</v>
      </c>
      <c r="U196" s="70">
        <f>'RESUMEN TOTAL'!AH257</f>
        <v>0</v>
      </c>
      <c r="V196" s="70">
        <f>'RESUMEN TOTAL'!AI257</f>
        <v>0</v>
      </c>
      <c r="W196" s="70">
        <f>'RESUMEN TOTAL'!AJ257</f>
        <v>0</v>
      </c>
      <c r="X196" s="70">
        <f>'RESUMEN TOTAL'!AK257</f>
        <v>0</v>
      </c>
      <c r="Y196" s="70">
        <f>'RESUMEN TOTAL'!AL257</f>
        <v>0</v>
      </c>
      <c r="Z196" s="70">
        <f>'RESUMEN TOTAL'!AM257</f>
        <v>0</v>
      </c>
      <c r="AA196" s="70">
        <f>'RESUMEN TOTAL'!AN257</f>
        <v>0</v>
      </c>
      <c r="AB196" s="70">
        <f>'RESUMEN TOTAL'!AO257</f>
        <v>0</v>
      </c>
      <c r="AC196" s="70">
        <f>'RESUMEN TOTAL'!AP257</f>
        <v>0</v>
      </c>
      <c r="AD196" s="70">
        <f>'RESUMEN TOTAL'!AQ257</f>
        <v>0</v>
      </c>
      <c r="AE196" s="70">
        <f>'RESUMEN TOTAL'!AR257</f>
        <v>0</v>
      </c>
      <c r="AF196" s="70">
        <f>'RESUMEN TOTAL'!AS257</f>
        <v>0</v>
      </c>
      <c r="AG196" s="70">
        <f>'RESUMEN TOTAL'!AT257</f>
        <v>0</v>
      </c>
      <c r="AH196" s="70">
        <f>'RESUMEN TOTAL'!AU257</f>
        <v>0</v>
      </c>
      <c r="AI196" s="70">
        <f>'RESUMEN TOTAL'!AV257</f>
        <v>0</v>
      </c>
      <c r="AJ196" s="70" t="e">
        <f>'RESUMEN TOTAL'!#REF!</f>
        <v>#REF!</v>
      </c>
    </row>
    <row r="197" spans="1:36" x14ac:dyDescent="0.25">
      <c r="A197" t="str">
        <f>'RESUMEN TOTAL'!F261</f>
        <v>RICARDO ROJAS</v>
      </c>
      <c r="B197" t="str">
        <f>'RESUMEN TOTAL'!G261</f>
        <v>MAR 02 (FIJA1)</v>
      </c>
      <c r="C197" t="str">
        <f>'RESUMEN TOTAL'!I261</f>
        <v>LUJAN Y PATAGONES</v>
      </c>
      <c r="D197" s="30" t="str">
        <f>'RESUMEN TOTAL'!J261</f>
        <v>Fija</v>
      </c>
      <c r="E197" s="30" t="str">
        <f>'RESUMEN TOTAL'!K261</f>
        <v>Fibra Optica</v>
      </c>
      <c r="F197" s="70">
        <f>'RESUMEN TOTAL'!S261</f>
        <v>0</v>
      </c>
      <c r="G197" s="70">
        <f>'RESUMEN TOTAL'!T261</f>
        <v>0</v>
      </c>
      <c r="H197" s="70">
        <f>'RESUMEN TOTAL'!U261</f>
        <v>0</v>
      </c>
      <c r="I197" s="70">
        <f>'RESUMEN TOTAL'!V261</f>
        <v>0</v>
      </c>
      <c r="J197" s="70">
        <f>'RESUMEN TOTAL'!W261</f>
        <v>0</v>
      </c>
      <c r="K197" s="70">
        <f>'RESUMEN TOTAL'!X261</f>
        <v>0</v>
      </c>
      <c r="L197" s="70">
        <f>'RESUMEN TOTAL'!Y261</f>
        <v>0</v>
      </c>
      <c r="M197" s="70">
        <f>'RESUMEN TOTAL'!Z261</f>
        <v>0</v>
      </c>
      <c r="N197" s="70">
        <f>'RESUMEN TOTAL'!AA261</f>
        <v>0</v>
      </c>
      <c r="O197" s="70">
        <f>'RESUMEN TOTAL'!AB261</f>
        <v>0</v>
      </c>
      <c r="P197" s="70">
        <f>'RESUMEN TOTAL'!AC261</f>
        <v>0</v>
      </c>
      <c r="Q197" s="70">
        <f>'RESUMEN TOTAL'!AD261</f>
        <v>0</v>
      </c>
      <c r="R197" s="70">
        <f>'RESUMEN TOTAL'!AE261</f>
        <v>0</v>
      </c>
      <c r="S197" s="70">
        <f>'RESUMEN TOTAL'!AF261</f>
        <v>0</v>
      </c>
      <c r="T197" s="70">
        <f>'RESUMEN TOTAL'!AG261</f>
        <v>0</v>
      </c>
      <c r="U197" s="70">
        <f>'RESUMEN TOTAL'!AH261</f>
        <v>0</v>
      </c>
      <c r="V197" s="70">
        <f>'RESUMEN TOTAL'!AI261</f>
        <v>0</v>
      </c>
      <c r="W197" s="70">
        <f>'RESUMEN TOTAL'!AJ261</f>
        <v>0</v>
      </c>
      <c r="X197" s="70">
        <f>'RESUMEN TOTAL'!AK261</f>
        <v>0</v>
      </c>
      <c r="Y197" s="70">
        <f>'RESUMEN TOTAL'!AL261</f>
        <v>0</v>
      </c>
      <c r="Z197" s="70">
        <f>'RESUMEN TOTAL'!AM261</f>
        <v>0</v>
      </c>
      <c r="AA197" s="70">
        <f>'RESUMEN TOTAL'!AN261</f>
        <v>0</v>
      </c>
      <c r="AB197" s="70">
        <f>'RESUMEN TOTAL'!AO261</f>
        <v>0</v>
      </c>
      <c r="AC197" s="70">
        <f>'RESUMEN TOTAL'!AP261</f>
        <v>0</v>
      </c>
      <c r="AD197" s="70">
        <f>'RESUMEN TOTAL'!AQ261</f>
        <v>0</v>
      </c>
      <c r="AE197" s="70">
        <f>'RESUMEN TOTAL'!AR261</f>
        <v>0</v>
      </c>
      <c r="AF197" s="70">
        <f>'RESUMEN TOTAL'!AS261</f>
        <v>0</v>
      </c>
      <c r="AG197" s="70">
        <f>'RESUMEN TOTAL'!AT261</f>
        <v>0</v>
      </c>
      <c r="AH197" s="70">
        <f>'RESUMEN TOTAL'!AU261</f>
        <v>0</v>
      </c>
      <c r="AI197" s="70">
        <f>'RESUMEN TOTAL'!AV261</f>
        <v>0</v>
      </c>
      <c r="AJ197" s="70" t="e">
        <f>'RESUMEN TOTAL'!#REF!</f>
        <v>#REF!</v>
      </c>
    </row>
    <row r="198" spans="1:36" x14ac:dyDescent="0.25">
      <c r="A198" t="str">
        <f>'RESUMEN TOTAL'!F262</f>
        <v>LAS MARGARITAS</v>
      </c>
      <c r="B198" t="str">
        <f>'RESUMEN TOTAL'!G262</f>
        <v>MAR 03 (FIJA 2)</v>
      </c>
      <c r="C198" t="str">
        <f>'RESUMEN TOTAL'!I262</f>
        <v>LUJAN Y PATAGONES</v>
      </c>
      <c r="D198" s="30" t="str">
        <f>'RESUMEN TOTAL'!J262</f>
        <v>Fija</v>
      </c>
      <c r="E198" s="30" t="str">
        <f>'RESUMEN TOTAL'!K262</f>
        <v>Fibra Optica</v>
      </c>
      <c r="F198" s="70">
        <f>'RESUMEN TOTAL'!S262</f>
        <v>0</v>
      </c>
      <c r="G198" s="70">
        <f>'RESUMEN TOTAL'!T262</f>
        <v>0</v>
      </c>
      <c r="H198" s="70">
        <f>'RESUMEN TOTAL'!U262</f>
        <v>0</v>
      </c>
      <c r="I198" s="70">
        <f>'RESUMEN TOTAL'!V262</f>
        <v>0</v>
      </c>
      <c r="J198" s="70">
        <f>'RESUMEN TOTAL'!W262</f>
        <v>0</v>
      </c>
      <c r="K198" s="70">
        <f>'RESUMEN TOTAL'!X262</f>
        <v>0</v>
      </c>
      <c r="L198" s="70">
        <f>'RESUMEN TOTAL'!Y262</f>
        <v>0</v>
      </c>
      <c r="M198" s="70">
        <f>'RESUMEN TOTAL'!Z262</f>
        <v>0</v>
      </c>
      <c r="N198" s="70">
        <f>'RESUMEN TOTAL'!AA262</f>
        <v>0</v>
      </c>
      <c r="O198" s="70">
        <f>'RESUMEN TOTAL'!AB262</f>
        <v>0</v>
      </c>
      <c r="P198" s="70">
        <f>'RESUMEN TOTAL'!AC262</f>
        <v>0</v>
      </c>
      <c r="Q198" s="70">
        <f>'RESUMEN TOTAL'!AD262</f>
        <v>0</v>
      </c>
      <c r="R198" s="70">
        <f>'RESUMEN TOTAL'!AE262</f>
        <v>0</v>
      </c>
      <c r="S198" s="70">
        <f>'RESUMEN TOTAL'!AF262</f>
        <v>0</v>
      </c>
      <c r="T198" s="70">
        <f>'RESUMEN TOTAL'!AG262</f>
        <v>0</v>
      </c>
      <c r="U198" s="70">
        <f>'RESUMEN TOTAL'!AH262</f>
        <v>0</v>
      </c>
      <c r="V198" s="70">
        <f>'RESUMEN TOTAL'!AI262</f>
        <v>0</v>
      </c>
      <c r="W198" s="70">
        <f>'RESUMEN TOTAL'!AJ262</f>
        <v>0</v>
      </c>
      <c r="X198" s="70">
        <f>'RESUMEN TOTAL'!AK262</f>
        <v>0</v>
      </c>
      <c r="Y198" s="70">
        <f>'RESUMEN TOTAL'!AL262</f>
        <v>0</v>
      </c>
      <c r="Z198" s="70">
        <f>'RESUMEN TOTAL'!AM262</f>
        <v>0</v>
      </c>
      <c r="AA198" s="70">
        <f>'RESUMEN TOTAL'!AN262</f>
        <v>0</v>
      </c>
      <c r="AB198" s="70">
        <f>'RESUMEN TOTAL'!AO262</f>
        <v>0</v>
      </c>
      <c r="AC198" s="70">
        <f>'RESUMEN TOTAL'!AP262</f>
        <v>0</v>
      </c>
      <c r="AD198" s="70">
        <f>'RESUMEN TOTAL'!AQ262</f>
        <v>0</v>
      </c>
      <c r="AE198" s="70">
        <f>'RESUMEN TOTAL'!AR262</f>
        <v>0</v>
      </c>
      <c r="AF198" s="70">
        <f>'RESUMEN TOTAL'!AS262</f>
        <v>0</v>
      </c>
      <c r="AG198" s="70">
        <f>'RESUMEN TOTAL'!AT262</f>
        <v>0</v>
      </c>
      <c r="AH198" s="70">
        <f>'RESUMEN TOTAL'!AU262</f>
        <v>0</v>
      </c>
      <c r="AI198" s="70">
        <f>'RESUMEN TOTAL'!AV262</f>
        <v>0</v>
      </c>
      <c r="AJ198" s="70" t="e">
        <f>'RESUMEN TOTAL'!#REF!</f>
        <v>#REF!</v>
      </c>
    </row>
    <row r="199" spans="1:36" x14ac:dyDescent="0.25">
      <c r="A199">
        <f>'RESUMEN TOTAL'!F263</f>
        <v>0</v>
      </c>
      <c r="B199" t="str">
        <f>'RESUMEN TOTAL'!G263</f>
        <v>MAR 04 (FIJA)</v>
      </c>
      <c r="C199" t="str">
        <f>'RESUMEN TOTAL'!I263</f>
        <v>Calle968 y Miguel Cané</v>
      </c>
      <c r="D199" s="30" t="str">
        <f>'RESUMEN TOTAL'!J263</f>
        <v>FIJA</v>
      </c>
      <c r="E199" s="30" t="str">
        <f>'RESUMEN TOTAL'!K263</f>
        <v>GPON</v>
      </c>
      <c r="F199" s="70">
        <f>'RESUMEN TOTAL'!S263</f>
        <v>0</v>
      </c>
      <c r="G199" s="70">
        <f>'RESUMEN TOTAL'!T263</f>
        <v>0</v>
      </c>
      <c r="H199" s="70">
        <f>'RESUMEN TOTAL'!U263</f>
        <v>0</v>
      </c>
      <c r="I199" s="70">
        <f>'RESUMEN TOTAL'!V263</f>
        <v>0</v>
      </c>
      <c r="J199" s="70">
        <f>'RESUMEN TOTAL'!W263</f>
        <v>0</v>
      </c>
      <c r="K199" s="70">
        <f>'RESUMEN TOTAL'!X263</f>
        <v>0</v>
      </c>
      <c r="L199" s="70">
        <f>'RESUMEN TOTAL'!Y263</f>
        <v>0</v>
      </c>
      <c r="M199" s="70">
        <f>'RESUMEN TOTAL'!Z263</f>
        <v>0</v>
      </c>
      <c r="N199" s="70">
        <f>'RESUMEN TOTAL'!AA263</f>
        <v>0</v>
      </c>
      <c r="O199" s="70">
        <f>'RESUMEN TOTAL'!AB263</f>
        <v>0</v>
      </c>
      <c r="P199" s="70">
        <f>'RESUMEN TOTAL'!AC263</f>
        <v>0</v>
      </c>
      <c r="Q199" s="70">
        <f>'RESUMEN TOTAL'!AD263</f>
        <v>0</v>
      </c>
      <c r="R199" s="70">
        <f>'RESUMEN TOTAL'!AE263</f>
        <v>0</v>
      </c>
      <c r="S199" s="70">
        <f>'RESUMEN TOTAL'!AF263</f>
        <v>0</v>
      </c>
      <c r="T199" s="70">
        <f>'RESUMEN TOTAL'!AG263</f>
        <v>0</v>
      </c>
      <c r="U199" s="70">
        <f>'RESUMEN TOTAL'!AH263</f>
        <v>0</v>
      </c>
      <c r="V199" s="70">
        <f>'RESUMEN TOTAL'!AI263</f>
        <v>0</v>
      </c>
      <c r="W199" s="70">
        <f>'RESUMEN TOTAL'!AJ263</f>
        <v>0</v>
      </c>
      <c r="X199" s="70">
        <f>'RESUMEN TOTAL'!AK263</f>
        <v>0</v>
      </c>
      <c r="Y199" s="70">
        <f>'RESUMEN TOTAL'!AL263</f>
        <v>0</v>
      </c>
      <c r="Z199" s="70">
        <f>'RESUMEN TOTAL'!AM263</f>
        <v>0</v>
      </c>
      <c r="AA199" s="70">
        <f>'RESUMEN TOTAL'!AN263</f>
        <v>0</v>
      </c>
      <c r="AB199" s="70">
        <f>'RESUMEN TOTAL'!AO263</f>
        <v>0</v>
      </c>
      <c r="AC199" s="70">
        <f>'RESUMEN TOTAL'!AP263</f>
        <v>0</v>
      </c>
      <c r="AD199" s="70">
        <f>'RESUMEN TOTAL'!AQ263</f>
        <v>0</v>
      </c>
      <c r="AE199" s="70">
        <f>'RESUMEN TOTAL'!AR263</f>
        <v>0</v>
      </c>
      <c r="AF199" s="70">
        <f>'RESUMEN TOTAL'!AS263</f>
        <v>0</v>
      </c>
      <c r="AG199" s="70">
        <f>'RESUMEN TOTAL'!AT263</f>
        <v>0</v>
      </c>
      <c r="AH199" s="70">
        <f>'RESUMEN TOTAL'!AU263</f>
        <v>0</v>
      </c>
      <c r="AI199" s="70">
        <f>'RESUMEN TOTAL'!AV263</f>
        <v>0</v>
      </c>
      <c r="AJ199" s="70" t="e">
        <f>'RESUMEN TOTAL'!#REF!</f>
        <v>#REF!</v>
      </c>
    </row>
    <row r="200" spans="1:36" x14ac:dyDescent="0.25">
      <c r="A200" t="str">
        <f>'RESUMEN TOTAL'!F266</f>
        <v>MAYOL</v>
      </c>
      <c r="B200" t="str">
        <f>'RESUMEN TOTAL'!G266</f>
        <v>MAY 02</v>
      </c>
      <c r="C200" t="str">
        <f>'RESUMEN TOTAL'!I266</f>
        <v>EVA PERON Y MONTEVIDEO</v>
      </c>
      <c r="D200" s="30" t="str">
        <f>'RESUMEN TOTAL'!J266</f>
        <v>Domo</v>
      </c>
      <c r="E200" s="30" t="str">
        <f>'RESUMEN TOTAL'!K266</f>
        <v>GPON</v>
      </c>
      <c r="F200" s="70">
        <f>'RESUMEN TOTAL'!S266</f>
        <v>0</v>
      </c>
      <c r="G200" s="70">
        <f>'RESUMEN TOTAL'!T266</f>
        <v>0</v>
      </c>
      <c r="H200" s="70">
        <f>'RESUMEN TOTAL'!U266</f>
        <v>0</v>
      </c>
      <c r="I200" s="70">
        <f>'RESUMEN TOTAL'!V266</f>
        <v>0</v>
      </c>
      <c r="J200" s="70">
        <f>'RESUMEN TOTAL'!W266</f>
        <v>0</v>
      </c>
      <c r="K200" s="70">
        <f>'RESUMEN TOTAL'!X266</f>
        <v>0</v>
      </c>
      <c r="L200" s="70">
        <f>'RESUMEN TOTAL'!Y266</f>
        <v>0</v>
      </c>
      <c r="M200" s="70">
        <f>'RESUMEN TOTAL'!Z266</f>
        <v>0</v>
      </c>
      <c r="N200" s="70">
        <f>'RESUMEN TOTAL'!AA266</f>
        <v>0</v>
      </c>
      <c r="O200" s="70">
        <f>'RESUMEN TOTAL'!AB266</f>
        <v>0</v>
      </c>
      <c r="P200" s="70">
        <f>'RESUMEN TOTAL'!AC266</f>
        <v>0</v>
      </c>
      <c r="Q200" s="70">
        <f>'RESUMEN TOTAL'!AD266</f>
        <v>0</v>
      </c>
      <c r="R200" s="70">
        <f>'RESUMEN TOTAL'!AE266</f>
        <v>0</v>
      </c>
      <c r="S200" s="70">
        <f>'RESUMEN TOTAL'!AF266</f>
        <v>0</v>
      </c>
      <c r="T200" s="70">
        <f>'RESUMEN TOTAL'!AG266</f>
        <v>0</v>
      </c>
      <c r="U200" s="70">
        <f>'RESUMEN TOTAL'!AH266</f>
        <v>0</v>
      </c>
      <c r="V200" s="70">
        <f>'RESUMEN TOTAL'!AI266</f>
        <v>0</v>
      </c>
      <c r="W200" s="70">
        <f>'RESUMEN TOTAL'!AJ266</f>
        <v>0</v>
      </c>
      <c r="X200" s="70">
        <f>'RESUMEN TOTAL'!AK266</f>
        <v>0</v>
      </c>
      <c r="Y200" s="70">
        <f>'RESUMEN TOTAL'!AL266</f>
        <v>0</v>
      </c>
      <c r="Z200" s="70">
        <f>'RESUMEN TOTAL'!AM266</f>
        <v>0</v>
      </c>
      <c r="AA200" s="70">
        <f>'RESUMEN TOTAL'!AN266</f>
        <v>0</v>
      </c>
      <c r="AB200" s="70">
        <f>'RESUMEN TOTAL'!AO266</f>
        <v>0</v>
      </c>
      <c r="AC200" s="70">
        <f>'RESUMEN TOTAL'!AP266</f>
        <v>0</v>
      </c>
      <c r="AD200" s="70">
        <f>'RESUMEN TOTAL'!AQ266</f>
        <v>0</v>
      </c>
      <c r="AE200" s="70">
        <f>'RESUMEN TOTAL'!AR266</f>
        <v>0</v>
      </c>
      <c r="AF200" s="70">
        <f>'RESUMEN TOTAL'!AS266</f>
        <v>0</v>
      </c>
      <c r="AG200" s="70">
        <f>'RESUMEN TOTAL'!AT266</f>
        <v>0</v>
      </c>
      <c r="AH200" s="70">
        <f>'RESUMEN TOTAL'!AU266</f>
        <v>0</v>
      </c>
      <c r="AI200" s="70">
        <f>'RESUMEN TOTAL'!AV266</f>
        <v>0</v>
      </c>
      <c r="AJ200" s="70" t="e">
        <f>'RESUMEN TOTAL'!#REF!</f>
        <v>#REF!</v>
      </c>
    </row>
    <row r="201" spans="1:36" x14ac:dyDescent="0.25">
      <c r="A201" t="str">
        <f>'RESUMEN TOTAL'!F267</f>
        <v>MAYOL</v>
      </c>
      <c r="B201" t="str">
        <f>'RESUMEN TOTAL'!G267</f>
        <v>MAY 03</v>
      </c>
      <c r="C201" t="str">
        <f>'RESUMEN TOTAL'!I267</f>
        <v>CHAÑAR Y SAN NICOLAS</v>
      </c>
      <c r="D201" s="30" t="str">
        <f>'RESUMEN TOTAL'!J267</f>
        <v>DOMO</v>
      </c>
      <c r="E201" s="30" t="str">
        <f>'RESUMEN TOTAL'!K267</f>
        <v>PTO A FO</v>
      </c>
      <c r="F201" s="70">
        <f>'RESUMEN TOTAL'!S267</f>
        <v>0</v>
      </c>
      <c r="G201" s="70">
        <f>'RESUMEN TOTAL'!T267</f>
        <v>0</v>
      </c>
      <c r="H201" s="70">
        <f>'RESUMEN TOTAL'!U267</f>
        <v>0</v>
      </c>
      <c r="I201" s="70">
        <f>'RESUMEN TOTAL'!V267</f>
        <v>0</v>
      </c>
      <c r="J201" s="70">
        <f>'RESUMEN TOTAL'!W267</f>
        <v>0</v>
      </c>
      <c r="K201" s="70">
        <f>'RESUMEN TOTAL'!X267</f>
        <v>0</v>
      </c>
      <c r="L201" s="70">
        <f>'RESUMEN TOTAL'!Y267</f>
        <v>0</v>
      </c>
      <c r="M201" s="70">
        <f>'RESUMEN TOTAL'!Z267</f>
        <v>0</v>
      </c>
      <c r="N201" s="70">
        <f>'RESUMEN TOTAL'!AA267</f>
        <v>0</v>
      </c>
      <c r="O201" s="70">
        <f>'RESUMEN TOTAL'!AB267</f>
        <v>0</v>
      </c>
      <c r="P201" s="70">
        <f>'RESUMEN TOTAL'!AC267</f>
        <v>0</v>
      </c>
      <c r="Q201" s="70">
        <f>'RESUMEN TOTAL'!AD267</f>
        <v>0</v>
      </c>
      <c r="R201" s="70">
        <f>'RESUMEN TOTAL'!AE267</f>
        <v>0</v>
      </c>
      <c r="S201" s="70">
        <f>'RESUMEN TOTAL'!AF267</f>
        <v>0</v>
      </c>
      <c r="T201" s="70">
        <f>'RESUMEN TOTAL'!AG267</f>
        <v>0</v>
      </c>
      <c r="U201" s="70">
        <f>'RESUMEN TOTAL'!AH267</f>
        <v>0</v>
      </c>
      <c r="V201" s="70">
        <f>'RESUMEN TOTAL'!AI267</f>
        <v>0</v>
      </c>
      <c r="W201" s="70">
        <f>'RESUMEN TOTAL'!AJ267</f>
        <v>0</v>
      </c>
      <c r="X201" s="70">
        <f>'RESUMEN TOTAL'!AK267</f>
        <v>0</v>
      </c>
      <c r="Y201" s="70">
        <f>'RESUMEN TOTAL'!AL267</f>
        <v>0</v>
      </c>
      <c r="Z201" s="70">
        <f>'RESUMEN TOTAL'!AM267</f>
        <v>0</v>
      </c>
      <c r="AA201" s="70">
        <f>'RESUMEN TOTAL'!AN267</f>
        <v>0</v>
      </c>
      <c r="AB201" s="70">
        <f>'RESUMEN TOTAL'!AO267</f>
        <v>0</v>
      </c>
      <c r="AC201" s="70">
        <f>'RESUMEN TOTAL'!AP267</f>
        <v>0</v>
      </c>
      <c r="AD201" s="70">
        <f>'RESUMEN TOTAL'!AQ267</f>
        <v>0</v>
      </c>
      <c r="AE201" s="70">
        <f>'RESUMEN TOTAL'!AR267</f>
        <v>0</v>
      </c>
      <c r="AF201" s="70">
        <f>'RESUMEN TOTAL'!AS267</f>
        <v>0</v>
      </c>
      <c r="AG201" s="70">
        <f>'RESUMEN TOTAL'!AT267</f>
        <v>0</v>
      </c>
      <c r="AH201" s="70">
        <f>'RESUMEN TOTAL'!AU267</f>
        <v>0</v>
      </c>
      <c r="AI201" s="70">
        <f>'RESUMEN TOTAL'!AV267</f>
        <v>0</v>
      </c>
      <c r="AJ201" s="70" t="e">
        <f>'RESUMEN TOTAL'!#REF!</f>
        <v>#REF!</v>
      </c>
    </row>
    <row r="202" spans="1:36" x14ac:dyDescent="0.25">
      <c r="A202" t="str">
        <f>'RESUMEN TOTAL'!F268</f>
        <v>MAYOL</v>
      </c>
      <c r="B202" t="str">
        <f>'RESUMEN TOTAL'!G268</f>
        <v>MAY 04</v>
      </c>
      <c r="C202" t="str">
        <f>'RESUMEN TOTAL'!I268</f>
        <v>MAR CHIQUITA Y RIO JACHAL</v>
      </c>
      <c r="D202" s="30" t="str">
        <f>'RESUMEN TOTAL'!J268</f>
        <v>DOMO</v>
      </c>
      <c r="E202" s="30" t="str">
        <f>'RESUMEN TOTAL'!K268</f>
        <v>Radio</v>
      </c>
      <c r="F202" s="70">
        <f>'RESUMEN TOTAL'!S268</f>
        <v>0</v>
      </c>
      <c r="G202" s="70">
        <f>'RESUMEN TOTAL'!T268</f>
        <v>0</v>
      </c>
      <c r="H202" s="70">
        <f>'RESUMEN TOTAL'!U268</f>
        <v>0</v>
      </c>
      <c r="I202" s="70">
        <f>'RESUMEN TOTAL'!V268</f>
        <v>0</v>
      </c>
      <c r="J202" s="70">
        <f>'RESUMEN TOTAL'!W268</f>
        <v>0</v>
      </c>
      <c r="K202" s="70">
        <f>'RESUMEN TOTAL'!X268</f>
        <v>0</v>
      </c>
      <c r="L202" s="70">
        <f>'RESUMEN TOTAL'!Y268</f>
        <v>0</v>
      </c>
      <c r="M202" s="70">
        <f>'RESUMEN TOTAL'!Z268</f>
        <v>0</v>
      </c>
      <c r="N202" s="70">
        <f>'RESUMEN TOTAL'!AA268</f>
        <v>0</v>
      </c>
      <c r="O202" s="70">
        <f>'RESUMEN TOTAL'!AB268</f>
        <v>0</v>
      </c>
      <c r="P202" s="70">
        <f>'RESUMEN TOTAL'!AC268</f>
        <v>0</v>
      </c>
      <c r="Q202" s="70">
        <f>'RESUMEN TOTAL'!AD268</f>
        <v>0</v>
      </c>
      <c r="R202" s="70">
        <f>'RESUMEN TOTAL'!AE268</f>
        <v>0</v>
      </c>
      <c r="S202" s="70">
        <f>'RESUMEN TOTAL'!AF268</f>
        <v>0</v>
      </c>
      <c r="T202" s="70">
        <f>'RESUMEN TOTAL'!AG268</f>
        <v>0</v>
      </c>
      <c r="U202" s="70">
        <f>'RESUMEN TOTAL'!AH268</f>
        <v>0</v>
      </c>
      <c r="V202" s="70">
        <f>'RESUMEN TOTAL'!AI268</f>
        <v>0</v>
      </c>
      <c r="W202" s="70">
        <f>'RESUMEN TOTAL'!AJ268</f>
        <v>0</v>
      </c>
      <c r="X202" s="70">
        <f>'RESUMEN TOTAL'!AK268</f>
        <v>0</v>
      </c>
      <c r="Y202" s="70">
        <f>'RESUMEN TOTAL'!AL268</f>
        <v>0</v>
      </c>
      <c r="Z202" s="70">
        <f>'RESUMEN TOTAL'!AM268</f>
        <v>0</v>
      </c>
      <c r="AA202" s="70">
        <f>'RESUMEN TOTAL'!AN268</f>
        <v>0</v>
      </c>
      <c r="AB202" s="70">
        <f>'RESUMEN TOTAL'!AO268</f>
        <v>0</v>
      </c>
      <c r="AC202" s="70">
        <f>'RESUMEN TOTAL'!AP268</f>
        <v>0</v>
      </c>
      <c r="AD202" s="70">
        <f>'RESUMEN TOTAL'!AQ268</f>
        <v>0</v>
      </c>
      <c r="AE202" s="70">
        <f>'RESUMEN TOTAL'!AR268</f>
        <v>0</v>
      </c>
      <c r="AF202" s="70">
        <f>'RESUMEN TOTAL'!AS268</f>
        <v>0</v>
      </c>
      <c r="AG202" s="70">
        <f>'RESUMEN TOTAL'!AT268</f>
        <v>0</v>
      </c>
      <c r="AH202" s="70">
        <f>'RESUMEN TOTAL'!AU268</f>
        <v>0</v>
      </c>
      <c r="AI202" s="70">
        <f>'RESUMEN TOTAL'!AV268</f>
        <v>0</v>
      </c>
      <c r="AJ202" s="70" t="e">
        <f>'RESUMEN TOTAL'!#REF!</f>
        <v>#REF!</v>
      </c>
    </row>
    <row r="203" spans="1:36" x14ac:dyDescent="0.25">
      <c r="A203">
        <f>'RESUMEN TOTAL'!F269</f>
        <v>0</v>
      </c>
      <c r="B203" t="str">
        <f>'RESUMEN TOTAL'!G269</f>
        <v>MCUD 01</v>
      </c>
      <c r="C203" t="str">
        <f>'RESUMEN TOTAL'!I269</f>
        <v>TINOGASTA Y SAN LORENZO</v>
      </c>
      <c r="D203" s="30" t="str">
        <f>'RESUMEN TOTAL'!J269</f>
        <v>Domo</v>
      </c>
      <c r="E203" s="30" t="str">
        <f>'RESUMEN TOTAL'!K269</f>
        <v>Fibra Optica</v>
      </c>
      <c r="F203" s="70">
        <f>'RESUMEN TOTAL'!S269</f>
        <v>0</v>
      </c>
      <c r="G203" s="70">
        <f>'RESUMEN TOTAL'!T269</f>
        <v>0</v>
      </c>
      <c r="H203" s="70">
        <f>'RESUMEN TOTAL'!U269</f>
        <v>0</v>
      </c>
      <c r="I203" s="70">
        <f>'RESUMEN TOTAL'!V269</f>
        <v>0</v>
      </c>
      <c r="J203" s="70">
        <f>'RESUMEN TOTAL'!W269</f>
        <v>0</v>
      </c>
      <c r="K203" s="70">
        <f>'RESUMEN TOTAL'!X269</f>
        <v>0</v>
      </c>
      <c r="L203" s="70">
        <f>'RESUMEN TOTAL'!Y269</f>
        <v>0</v>
      </c>
      <c r="M203" s="70">
        <f>'RESUMEN TOTAL'!Z269</f>
        <v>0</v>
      </c>
      <c r="N203" s="70">
        <f>'RESUMEN TOTAL'!AA269</f>
        <v>0</v>
      </c>
      <c r="O203" s="70">
        <f>'RESUMEN TOTAL'!AB269</f>
        <v>0</v>
      </c>
      <c r="P203" s="70">
        <f>'RESUMEN TOTAL'!AC269</f>
        <v>0</v>
      </c>
      <c r="Q203" s="70">
        <f>'RESUMEN TOTAL'!AD269</f>
        <v>0</v>
      </c>
      <c r="R203" s="70">
        <f>'RESUMEN TOTAL'!AE269</f>
        <v>0</v>
      </c>
      <c r="S203" s="70">
        <f>'RESUMEN TOTAL'!AF269</f>
        <v>0</v>
      </c>
      <c r="T203" s="70">
        <f>'RESUMEN TOTAL'!AG269</f>
        <v>0</v>
      </c>
      <c r="U203" s="70">
        <f>'RESUMEN TOTAL'!AH269</f>
        <v>0</v>
      </c>
      <c r="V203" s="70">
        <f>'RESUMEN TOTAL'!AI269</f>
        <v>0</v>
      </c>
      <c r="W203" s="70">
        <f>'RESUMEN TOTAL'!AJ269</f>
        <v>0</v>
      </c>
      <c r="X203" s="70">
        <f>'RESUMEN TOTAL'!AK269</f>
        <v>0</v>
      </c>
      <c r="Y203" s="70">
        <f>'RESUMEN TOTAL'!AL269</f>
        <v>0</v>
      </c>
      <c r="Z203" s="70">
        <f>'RESUMEN TOTAL'!AM269</f>
        <v>0</v>
      </c>
      <c r="AA203" s="70">
        <f>'RESUMEN TOTAL'!AN269</f>
        <v>0</v>
      </c>
      <c r="AB203" s="70">
        <f>'RESUMEN TOTAL'!AO269</f>
        <v>0</v>
      </c>
      <c r="AC203" s="70">
        <f>'RESUMEN TOTAL'!AP269</f>
        <v>0</v>
      </c>
      <c r="AD203" s="70">
        <f>'RESUMEN TOTAL'!AQ269</f>
        <v>0</v>
      </c>
      <c r="AE203" s="70">
        <f>'RESUMEN TOTAL'!AR269</f>
        <v>0</v>
      </c>
      <c r="AF203" s="70">
        <f>'RESUMEN TOTAL'!AS269</f>
        <v>0</v>
      </c>
      <c r="AG203" s="70">
        <f>'RESUMEN TOTAL'!AT269</f>
        <v>0</v>
      </c>
      <c r="AH203" s="70">
        <f>'RESUMEN TOTAL'!AU269</f>
        <v>0</v>
      </c>
      <c r="AI203" s="70">
        <f>'RESUMEN TOTAL'!AV269</f>
        <v>0</v>
      </c>
      <c r="AJ203" s="70" t="e">
        <f>'RESUMEN TOTAL'!#REF!</f>
        <v>#REF!</v>
      </c>
    </row>
    <row r="204" spans="1:36" x14ac:dyDescent="0.25">
      <c r="A204">
        <f>'RESUMEN TOTAL'!F270</f>
        <v>0</v>
      </c>
      <c r="B204" t="str">
        <f>'RESUMEN TOTAL'!G270</f>
        <v>MCUD 02</v>
      </c>
      <c r="C204" t="str">
        <f>'RESUMEN TOTAL'!I270</f>
        <v>CALLE 115 A Y 158</v>
      </c>
      <c r="D204" s="30" t="str">
        <f>'RESUMEN TOTAL'!J270</f>
        <v>DOMO</v>
      </c>
      <c r="E204" s="30" t="str">
        <f>'RESUMEN TOTAL'!K270</f>
        <v>Fibra Optica</v>
      </c>
      <c r="F204" s="70">
        <f>'RESUMEN TOTAL'!S270</f>
        <v>0</v>
      </c>
      <c r="G204" s="70">
        <f>'RESUMEN TOTAL'!T270</f>
        <v>0</v>
      </c>
      <c r="H204" s="70">
        <f>'RESUMEN TOTAL'!U270</f>
        <v>0</v>
      </c>
      <c r="I204" s="70" t="str">
        <f>'RESUMEN TOTAL'!V270</f>
        <v>APAGADO</v>
      </c>
      <c r="J204" s="70" t="str">
        <f>'RESUMEN TOTAL'!W270</f>
        <v>APAGADO</v>
      </c>
      <c r="K204" s="70" t="str">
        <f>'RESUMEN TOTAL'!X270</f>
        <v>APAGADO</v>
      </c>
      <c r="L204" s="70" t="str">
        <f>'RESUMEN TOTAL'!Y270</f>
        <v>APAGADO</v>
      </c>
      <c r="M204" s="70" t="str">
        <f>'RESUMEN TOTAL'!Z270</f>
        <v>APAGADO</v>
      </c>
      <c r="N204" s="70">
        <f>'RESUMEN TOTAL'!AA270</f>
        <v>0</v>
      </c>
      <c r="O204" s="70">
        <f>'RESUMEN TOTAL'!AB270</f>
        <v>0</v>
      </c>
      <c r="P204" s="70" t="str">
        <f>'RESUMEN TOTAL'!AC270</f>
        <v>APAGADO</v>
      </c>
      <c r="Q204" s="70" t="str">
        <f>'RESUMEN TOTAL'!AD270</f>
        <v>APAGADO</v>
      </c>
      <c r="R204" s="70" t="str">
        <f>'RESUMEN TOTAL'!AE270</f>
        <v>APAGADO</v>
      </c>
      <c r="S204" s="70" t="str">
        <f>'RESUMEN TOTAL'!AF270</f>
        <v>APAGADO</v>
      </c>
      <c r="T204" s="70" t="str">
        <f>'RESUMEN TOTAL'!AG270</f>
        <v>APAGADO</v>
      </c>
      <c r="U204" s="70">
        <f>'RESUMEN TOTAL'!AH270</f>
        <v>0</v>
      </c>
      <c r="V204" s="70">
        <f>'RESUMEN TOTAL'!AI270</f>
        <v>0</v>
      </c>
      <c r="W204" s="70" t="str">
        <f>'RESUMEN TOTAL'!AJ270</f>
        <v>APAGADO</v>
      </c>
      <c r="X204" s="70" t="str">
        <f>'RESUMEN TOTAL'!AK270</f>
        <v>APAGADO</v>
      </c>
      <c r="Y204" s="70" t="str">
        <f>'RESUMEN TOTAL'!AL270</f>
        <v>APAGADO</v>
      </c>
      <c r="Z204" s="70" t="str">
        <f>'RESUMEN TOTAL'!AM270</f>
        <v>APAGADO</v>
      </c>
      <c r="AA204" s="70" t="str">
        <f>'RESUMEN TOTAL'!AN270</f>
        <v>APAGADO</v>
      </c>
      <c r="AB204" s="70">
        <f>'RESUMEN TOTAL'!AO270</f>
        <v>0</v>
      </c>
      <c r="AC204" s="70">
        <f>'RESUMEN TOTAL'!AP270</f>
        <v>0</v>
      </c>
      <c r="AD204" s="70">
        <f>'RESUMEN TOTAL'!AQ270</f>
        <v>0</v>
      </c>
      <c r="AE204" s="70" t="str">
        <f>'RESUMEN TOTAL'!AR270</f>
        <v>APAGADO</v>
      </c>
      <c r="AF204" s="70">
        <f>'RESUMEN TOTAL'!AS270</f>
        <v>0</v>
      </c>
      <c r="AG204" s="70">
        <f>'RESUMEN TOTAL'!AT270</f>
        <v>0</v>
      </c>
      <c r="AH204" s="70">
        <f>'RESUMEN TOTAL'!AU270</f>
        <v>0</v>
      </c>
      <c r="AI204" s="70">
        <f>'RESUMEN TOTAL'!AV270</f>
        <v>0</v>
      </c>
      <c r="AJ204" s="70" t="e">
        <f>'RESUMEN TOTAL'!#REF!</f>
        <v>#REF!</v>
      </c>
    </row>
    <row r="205" spans="1:36" x14ac:dyDescent="0.25">
      <c r="A205" t="str">
        <f>'RESUMEN TOTAL'!F271</f>
        <v>MARTIN FIERRO</v>
      </c>
      <c r="B205" t="str">
        <f>'RESUMEN TOTAL'!G271</f>
        <v>MFI 01</v>
      </c>
      <c r="C205" t="str">
        <f>'RESUMEN TOTAL'!I271</f>
        <v>Belgrano y Sgto. Cabral</v>
      </c>
      <c r="D205" s="30" t="str">
        <f>'RESUMEN TOTAL'!J271</f>
        <v>Fija</v>
      </c>
      <c r="E205" s="30" t="str">
        <f>'RESUMEN TOTAL'!K271</f>
        <v>GPON</v>
      </c>
      <c r="F205" s="70">
        <f>'RESUMEN TOTAL'!S271</f>
        <v>0</v>
      </c>
      <c r="G205" s="70">
        <f>'RESUMEN TOTAL'!T271</f>
        <v>0</v>
      </c>
      <c r="H205" s="70">
        <f>'RESUMEN TOTAL'!U271</f>
        <v>0</v>
      </c>
      <c r="I205" s="70">
        <f>'RESUMEN TOTAL'!V271</f>
        <v>0</v>
      </c>
      <c r="J205" s="70">
        <f>'RESUMEN TOTAL'!W271</f>
        <v>0</v>
      </c>
      <c r="K205" s="70">
        <f>'RESUMEN TOTAL'!X271</f>
        <v>0</v>
      </c>
      <c r="L205" s="70">
        <f>'RESUMEN TOTAL'!Y271</f>
        <v>0</v>
      </c>
      <c r="M205" s="70">
        <f>'RESUMEN TOTAL'!Z271</f>
        <v>0</v>
      </c>
      <c r="N205" s="70">
        <f>'RESUMEN TOTAL'!AA271</f>
        <v>0</v>
      </c>
      <c r="O205" s="70">
        <f>'RESUMEN TOTAL'!AB271</f>
        <v>0</v>
      </c>
      <c r="P205" s="70">
        <f>'RESUMEN TOTAL'!AC271</f>
        <v>0</v>
      </c>
      <c r="Q205" s="70">
        <f>'RESUMEN TOTAL'!AD271</f>
        <v>0</v>
      </c>
      <c r="R205" s="70">
        <f>'RESUMEN TOTAL'!AE271</f>
        <v>0</v>
      </c>
      <c r="S205" s="70">
        <f>'RESUMEN TOTAL'!AF271</f>
        <v>0</v>
      </c>
      <c r="T205" s="70">
        <f>'RESUMEN TOTAL'!AG271</f>
        <v>0</v>
      </c>
      <c r="U205" s="70">
        <f>'RESUMEN TOTAL'!AH271</f>
        <v>0</v>
      </c>
      <c r="V205" s="70">
        <f>'RESUMEN TOTAL'!AI271</f>
        <v>0</v>
      </c>
      <c r="W205" s="70">
        <f>'RESUMEN TOTAL'!AJ271</f>
        <v>0</v>
      </c>
      <c r="X205" s="70">
        <f>'RESUMEN TOTAL'!AK271</f>
        <v>0</v>
      </c>
      <c r="Y205" s="70">
        <f>'RESUMEN TOTAL'!AL271</f>
        <v>0</v>
      </c>
      <c r="Z205" s="70">
        <f>'RESUMEN TOTAL'!AM271</f>
        <v>0</v>
      </c>
      <c r="AA205" s="70">
        <f>'RESUMEN TOTAL'!AN271</f>
        <v>0</v>
      </c>
      <c r="AB205" s="70">
        <f>'RESUMEN TOTAL'!AO271</f>
        <v>0</v>
      </c>
      <c r="AC205" s="70">
        <f>'RESUMEN TOTAL'!AP271</f>
        <v>0</v>
      </c>
      <c r="AD205" s="70">
        <f>'RESUMEN TOTAL'!AQ271</f>
        <v>0</v>
      </c>
      <c r="AE205" s="70">
        <f>'RESUMEN TOTAL'!AR271</f>
        <v>0</v>
      </c>
      <c r="AF205" s="70">
        <f>'RESUMEN TOTAL'!AS271</f>
        <v>0</v>
      </c>
      <c r="AG205" s="70">
        <f>'RESUMEN TOTAL'!AT271</f>
        <v>0</v>
      </c>
      <c r="AH205" s="70">
        <f>'RESUMEN TOTAL'!AU271</f>
        <v>0</v>
      </c>
      <c r="AI205" s="70">
        <f>'RESUMEN TOTAL'!AV271</f>
        <v>0</v>
      </c>
      <c r="AJ205" s="70" t="e">
        <f>'RESUMEN TOTAL'!#REF!</f>
        <v>#REF!</v>
      </c>
    </row>
    <row r="206" spans="1:36" x14ac:dyDescent="0.25">
      <c r="A206" t="str">
        <f>'RESUMEN TOTAL'!F272</f>
        <v>SAN EMILIO</v>
      </c>
      <c r="B206" t="str">
        <f>'RESUMEN TOTAL'!G272</f>
        <v>MFI 03</v>
      </c>
      <c r="C206" t="str">
        <f>'RESUMEN TOTAL'!I272</f>
        <v>Cno. Gral. Belgrano y Av. del Trabajo</v>
      </c>
      <c r="D206" s="30" t="str">
        <f>'RESUMEN TOTAL'!J272</f>
        <v>Domo</v>
      </c>
      <c r="E206" s="30" t="str">
        <f>'RESUMEN TOTAL'!K272</f>
        <v>GPON</v>
      </c>
      <c r="F206" s="70">
        <f>'RESUMEN TOTAL'!S272</f>
        <v>0</v>
      </c>
      <c r="G206" s="70">
        <f>'RESUMEN TOTAL'!T272</f>
        <v>0</v>
      </c>
      <c r="H206" s="70">
        <f>'RESUMEN TOTAL'!U272</f>
        <v>0</v>
      </c>
      <c r="I206" s="70">
        <f>'RESUMEN TOTAL'!V272</f>
        <v>0</v>
      </c>
      <c r="J206" s="70">
        <f>'RESUMEN TOTAL'!W272</f>
        <v>0</v>
      </c>
      <c r="K206" s="70">
        <f>'RESUMEN TOTAL'!X272</f>
        <v>0</v>
      </c>
      <c r="L206" s="70">
        <f>'RESUMEN TOTAL'!Y272</f>
        <v>0</v>
      </c>
      <c r="M206" s="70">
        <f>'RESUMEN TOTAL'!Z272</f>
        <v>0</v>
      </c>
      <c r="N206" s="70">
        <f>'RESUMEN TOTAL'!AA272</f>
        <v>0</v>
      </c>
      <c r="O206" s="70">
        <f>'RESUMEN TOTAL'!AB272</f>
        <v>0</v>
      </c>
      <c r="P206" s="70">
        <f>'RESUMEN TOTAL'!AC272</f>
        <v>0</v>
      </c>
      <c r="Q206" s="70">
        <f>'RESUMEN TOTAL'!AD272</f>
        <v>0</v>
      </c>
      <c r="R206" s="70">
        <f>'RESUMEN TOTAL'!AE272</f>
        <v>0</v>
      </c>
      <c r="S206" s="70">
        <f>'RESUMEN TOTAL'!AF272</f>
        <v>0</v>
      </c>
      <c r="T206" s="70">
        <f>'RESUMEN TOTAL'!AG272</f>
        <v>0</v>
      </c>
      <c r="U206" s="70">
        <f>'RESUMEN TOTAL'!AH272</f>
        <v>0</v>
      </c>
      <c r="V206" s="70">
        <f>'RESUMEN TOTAL'!AI272</f>
        <v>0</v>
      </c>
      <c r="W206" s="70">
        <f>'RESUMEN TOTAL'!AJ272</f>
        <v>0</v>
      </c>
      <c r="X206" s="70">
        <f>'RESUMEN TOTAL'!AK272</f>
        <v>0</v>
      </c>
      <c r="Y206" s="70">
        <f>'RESUMEN TOTAL'!AL272</f>
        <v>0</v>
      </c>
      <c r="Z206" s="70">
        <f>'RESUMEN TOTAL'!AM272</f>
        <v>0</v>
      </c>
      <c r="AA206" s="70">
        <f>'RESUMEN TOTAL'!AN272</f>
        <v>0</v>
      </c>
      <c r="AB206" s="70">
        <f>'RESUMEN TOTAL'!AO272</f>
        <v>0</v>
      </c>
      <c r="AC206" s="70">
        <f>'RESUMEN TOTAL'!AP272</f>
        <v>0</v>
      </c>
      <c r="AD206" s="70">
        <f>'RESUMEN TOTAL'!AQ272</f>
        <v>0</v>
      </c>
      <c r="AE206" s="70">
        <f>'RESUMEN TOTAL'!AR272</f>
        <v>0</v>
      </c>
      <c r="AF206" s="70">
        <f>'RESUMEN TOTAL'!AS272</f>
        <v>0</v>
      </c>
      <c r="AG206" s="70">
        <f>'RESUMEN TOTAL'!AT272</f>
        <v>0</v>
      </c>
      <c r="AH206" s="70">
        <f>'RESUMEN TOTAL'!AU272</f>
        <v>0</v>
      </c>
      <c r="AI206" s="70">
        <f>'RESUMEN TOTAL'!AV272</f>
        <v>0</v>
      </c>
      <c r="AJ206" s="70" t="e">
        <f>'RESUMEN TOTAL'!#REF!</f>
        <v>#REF!</v>
      </c>
    </row>
    <row r="207" spans="1:36" x14ac:dyDescent="0.25">
      <c r="A207" t="str">
        <f>'RESUMEN TOTAL'!F273</f>
        <v>SAN EMILIO</v>
      </c>
      <c r="B207" t="str">
        <f>'RESUMEN TOTAL'!G273</f>
        <v>MFI 05</v>
      </c>
      <c r="C207" t="str">
        <f>'RESUMEN TOTAL'!I273</f>
        <v>Cno. Gral. Belgrano y Guayaquil</v>
      </c>
      <c r="D207" s="30" t="str">
        <f>'RESUMEN TOTAL'!J273</f>
        <v>Domo</v>
      </c>
      <c r="E207" s="30" t="str">
        <f>'RESUMEN TOTAL'!K273</f>
        <v>PTO GPON</v>
      </c>
      <c r="F207" s="70">
        <f>'RESUMEN TOTAL'!S273</f>
        <v>0</v>
      </c>
      <c r="G207" s="70">
        <f>'RESUMEN TOTAL'!T273</f>
        <v>0</v>
      </c>
      <c r="H207" s="70">
        <f>'RESUMEN TOTAL'!U273</f>
        <v>0</v>
      </c>
      <c r="I207" s="70">
        <f>'RESUMEN TOTAL'!V273</f>
        <v>0</v>
      </c>
      <c r="J207" s="70">
        <f>'RESUMEN TOTAL'!W273</f>
        <v>0</v>
      </c>
      <c r="K207" s="70">
        <f>'RESUMEN TOTAL'!X273</f>
        <v>0</v>
      </c>
      <c r="L207" s="70">
        <f>'RESUMEN TOTAL'!Y273</f>
        <v>0</v>
      </c>
      <c r="M207" s="70">
        <f>'RESUMEN TOTAL'!Z273</f>
        <v>0</v>
      </c>
      <c r="N207" s="70">
        <f>'RESUMEN TOTAL'!AA273</f>
        <v>0</v>
      </c>
      <c r="O207" s="70">
        <f>'RESUMEN TOTAL'!AB273</f>
        <v>0</v>
      </c>
      <c r="P207" s="70">
        <f>'RESUMEN TOTAL'!AC273</f>
        <v>0</v>
      </c>
      <c r="Q207" s="70">
        <f>'RESUMEN TOTAL'!AD273</f>
        <v>0</v>
      </c>
      <c r="R207" s="70">
        <f>'RESUMEN TOTAL'!AE273</f>
        <v>0</v>
      </c>
      <c r="S207" s="70">
        <f>'RESUMEN TOTAL'!AF273</f>
        <v>0</v>
      </c>
      <c r="T207" s="70">
        <f>'RESUMEN TOTAL'!AG273</f>
        <v>0</v>
      </c>
      <c r="U207" s="70">
        <f>'RESUMEN TOTAL'!AH273</f>
        <v>0</v>
      </c>
      <c r="V207" s="70">
        <f>'RESUMEN TOTAL'!AI273</f>
        <v>0</v>
      </c>
      <c r="W207" s="70">
        <f>'RESUMEN TOTAL'!AJ273</f>
        <v>0</v>
      </c>
      <c r="X207" s="70">
        <f>'RESUMEN TOTAL'!AK273</f>
        <v>0</v>
      </c>
      <c r="Y207" s="70">
        <f>'RESUMEN TOTAL'!AL273</f>
        <v>0</v>
      </c>
      <c r="Z207" s="70">
        <f>'RESUMEN TOTAL'!AM273</f>
        <v>0</v>
      </c>
      <c r="AA207" s="70">
        <f>'RESUMEN TOTAL'!AN273</f>
        <v>0</v>
      </c>
      <c r="AB207" s="70">
        <f>'RESUMEN TOTAL'!AO273</f>
        <v>0</v>
      </c>
      <c r="AC207" s="70">
        <f>'RESUMEN TOTAL'!AP273</f>
        <v>0</v>
      </c>
      <c r="AD207" s="70">
        <f>'RESUMEN TOTAL'!AQ273</f>
        <v>0</v>
      </c>
      <c r="AE207" s="70">
        <f>'RESUMEN TOTAL'!AR273</f>
        <v>0</v>
      </c>
      <c r="AF207" s="70">
        <f>'RESUMEN TOTAL'!AS273</f>
        <v>0</v>
      </c>
      <c r="AG207" s="70">
        <f>'RESUMEN TOTAL'!AT273</f>
        <v>0</v>
      </c>
      <c r="AH207" s="70">
        <f>'RESUMEN TOTAL'!AU273</f>
        <v>0</v>
      </c>
      <c r="AI207" s="70">
        <f>'RESUMEN TOTAL'!AV273</f>
        <v>0</v>
      </c>
      <c r="AJ207" s="70" t="e">
        <f>'RESUMEN TOTAL'!#REF!</f>
        <v>#REF!</v>
      </c>
    </row>
    <row r="208" spans="1:36" x14ac:dyDescent="0.25">
      <c r="A208" t="str">
        <f>'RESUMEN TOTAL'!F274</f>
        <v>MARTIN FIERRO</v>
      </c>
      <c r="B208" t="str">
        <f>'RESUMEN TOTAL'!G274</f>
        <v>MFI 07</v>
      </c>
      <c r="C208" t="str">
        <f>'RESUMEN TOTAL'!I274</f>
        <v>Sargento Cabral y Carlos Gardel</v>
      </c>
      <c r="D208" s="30" t="str">
        <f>'RESUMEN TOTAL'!J274</f>
        <v>Domo</v>
      </c>
      <c r="E208" s="30" t="str">
        <f>'RESUMEN TOTAL'!K274</f>
        <v>GPON</v>
      </c>
      <c r="F208" s="70">
        <f>'RESUMEN TOTAL'!S274</f>
        <v>0</v>
      </c>
      <c r="G208" s="70">
        <f>'RESUMEN TOTAL'!T274</f>
        <v>0</v>
      </c>
      <c r="H208" s="70">
        <f>'RESUMEN TOTAL'!U274</f>
        <v>0</v>
      </c>
      <c r="I208" s="70" t="str">
        <f>'RESUMEN TOTAL'!V274</f>
        <v>APAGADO</v>
      </c>
      <c r="J208" s="70" t="str">
        <f>'RESUMEN TOTAL'!W274</f>
        <v>APAGADO</v>
      </c>
      <c r="K208" s="70" t="str">
        <f>'RESUMEN TOTAL'!X274</f>
        <v>APAGADO</v>
      </c>
      <c r="L208" s="70" t="str">
        <f>'RESUMEN TOTAL'!Y274</f>
        <v>APAGADO</v>
      </c>
      <c r="M208" s="70">
        <f>'RESUMEN TOTAL'!Z274</f>
        <v>0</v>
      </c>
      <c r="N208" s="70">
        <f>'RESUMEN TOTAL'!AA274</f>
        <v>0</v>
      </c>
      <c r="O208" s="70">
        <f>'RESUMEN TOTAL'!AB274</f>
        <v>0</v>
      </c>
      <c r="P208" s="70">
        <f>'RESUMEN TOTAL'!AC274</f>
        <v>0</v>
      </c>
      <c r="Q208" s="70">
        <f>'RESUMEN TOTAL'!AD274</f>
        <v>0</v>
      </c>
      <c r="R208" s="70">
        <f>'RESUMEN TOTAL'!AE274</f>
        <v>0</v>
      </c>
      <c r="S208" s="70">
        <f>'RESUMEN TOTAL'!AF274</f>
        <v>0</v>
      </c>
      <c r="T208" s="70">
        <f>'RESUMEN TOTAL'!AG274</f>
        <v>0</v>
      </c>
      <c r="U208" s="70">
        <f>'RESUMEN TOTAL'!AH274</f>
        <v>0</v>
      </c>
      <c r="V208" s="70">
        <f>'RESUMEN TOTAL'!AI274</f>
        <v>0</v>
      </c>
      <c r="W208" s="70">
        <f>'RESUMEN TOTAL'!AJ274</f>
        <v>0</v>
      </c>
      <c r="X208" s="70">
        <f>'RESUMEN TOTAL'!AK274</f>
        <v>0</v>
      </c>
      <c r="Y208" s="70">
        <f>'RESUMEN TOTAL'!AL274</f>
        <v>0</v>
      </c>
      <c r="Z208" s="70" t="str">
        <f>'RESUMEN TOTAL'!AM274</f>
        <v>APAGADO</v>
      </c>
      <c r="AA208" s="70">
        <f>'RESUMEN TOTAL'!AN274</f>
        <v>0</v>
      </c>
      <c r="AB208" s="70">
        <f>'RESUMEN TOTAL'!AO274</f>
        <v>0</v>
      </c>
      <c r="AC208" s="70">
        <f>'RESUMEN TOTAL'!AP274</f>
        <v>0</v>
      </c>
      <c r="AD208" s="70">
        <f>'RESUMEN TOTAL'!AQ274</f>
        <v>0</v>
      </c>
      <c r="AE208" s="70">
        <f>'RESUMEN TOTAL'!AR274</f>
        <v>0</v>
      </c>
      <c r="AF208" s="70">
        <f>'RESUMEN TOTAL'!AS274</f>
        <v>0</v>
      </c>
      <c r="AG208" s="70">
        <f>'RESUMEN TOTAL'!AT274</f>
        <v>0</v>
      </c>
      <c r="AH208" s="70">
        <f>'RESUMEN TOTAL'!AU274</f>
        <v>0</v>
      </c>
      <c r="AI208" s="70">
        <f>'RESUMEN TOTAL'!AV274</f>
        <v>0</v>
      </c>
      <c r="AJ208" s="70" t="e">
        <f>'RESUMEN TOTAL'!#REF!</f>
        <v>#REF!</v>
      </c>
    </row>
    <row r="209" spans="1:36" x14ac:dyDescent="0.25">
      <c r="A209" t="str">
        <f>'RESUMEN TOTAL'!F275</f>
        <v>MARTIN FIERRO</v>
      </c>
      <c r="B209" t="str">
        <f>'RESUMEN TOTAL'!G275</f>
        <v>MFI 08</v>
      </c>
      <c r="C209" t="str">
        <f>'RESUMEN TOTAL'!I275</f>
        <v>Braile y Batalla de Callao</v>
      </c>
      <c r="D209" s="30" t="str">
        <f>'RESUMEN TOTAL'!J275</f>
        <v>Domo</v>
      </c>
      <c r="E209" s="30" t="str">
        <f>'RESUMEN TOTAL'!K275</f>
        <v>PTO A FO</v>
      </c>
      <c r="F209" s="70">
        <f>'RESUMEN TOTAL'!S275</f>
        <v>0</v>
      </c>
      <c r="G209" s="70">
        <f>'RESUMEN TOTAL'!T275</f>
        <v>0</v>
      </c>
      <c r="H209" s="70">
        <f>'RESUMEN TOTAL'!U275</f>
        <v>0</v>
      </c>
      <c r="I209" s="70">
        <f>'RESUMEN TOTAL'!V275</f>
        <v>0</v>
      </c>
      <c r="J209" s="70" t="str">
        <f>'RESUMEN TOTAL'!W275</f>
        <v>APAGADO</v>
      </c>
      <c r="K209" s="70" t="str">
        <f>'RESUMEN TOTAL'!X275</f>
        <v>APAGADO</v>
      </c>
      <c r="L209" s="70" t="str">
        <f>'RESUMEN TOTAL'!Y275</f>
        <v>APAGADO</v>
      </c>
      <c r="M209" s="70" t="str">
        <f>'RESUMEN TOTAL'!Z275</f>
        <v>APAGADO</v>
      </c>
      <c r="N209" s="70">
        <f>'RESUMEN TOTAL'!AA275</f>
        <v>0</v>
      </c>
      <c r="O209" s="70">
        <f>'RESUMEN TOTAL'!AB275</f>
        <v>0</v>
      </c>
      <c r="P209" s="70" t="str">
        <f>'RESUMEN TOTAL'!AC275</f>
        <v>APAGADO</v>
      </c>
      <c r="Q209" s="70" t="str">
        <f>'RESUMEN TOTAL'!AD275</f>
        <v>APAGADO</v>
      </c>
      <c r="R209" s="70" t="str">
        <f>'RESUMEN TOTAL'!AE275</f>
        <v>APAGADO</v>
      </c>
      <c r="S209" s="70" t="str">
        <f>'RESUMEN TOTAL'!AF275</f>
        <v>APAGADO</v>
      </c>
      <c r="T209" s="70" t="str">
        <f>'RESUMEN TOTAL'!AG275</f>
        <v>APAGADO</v>
      </c>
      <c r="U209" s="70">
        <f>'RESUMEN TOTAL'!AH275</f>
        <v>0</v>
      </c>
      <c r="V209" s="70">
        <f>'RESUMEN TOTAL'!AI275</f>
        <v>0</v>
      </c>
      <c r="W209" s="70" t="str">
        <f>'RESUMEN TOTAL'!AJ275</f>
        <v>APAGADO</v>
      </c>
      <c r="X209" s="70" t="str">
        <f>'RESUMEN TOTAL'!AK275</f>
        <v>APAGADO</v>
      </c>
      <c r="Y209" s="70" t="str">
        <f>'RESUMEN TOTAL'!AL275</f>
        <v>APAGADO</v>
      </c>
      <c r="Z209" s="70" t="str">
        <f>'RESUMEN TOTAL'!AM275</f>
        <v>APAGADO</v>
      </c>
      <c r="AA209" s="70" t="str">
        <f>'RESUMEN TOTAL'!AN275</f>
        <v>APAGADO</v>
      </c>
      <c r="AB209" s="70">
        <f>'RESUMEN TOTAL'!AO275</f>
        <v>0</v>
      </c>
      <c r="AC209" s="70">
        <f>'RESUMEN TOTAL'!AP275</f>
        <v>0</v>
      </c>
      <c r="AD209" s="70">
        <f>'RESUMEN TOTAL'!AQ275</f>
        <v>0</v>
      </c>
      <c r="AE209" s="70" t="str">
        <f>'RESUMEN TOTAL'!AR275</f>
        <v>APAGADO</v>
      </c>
      <c r="AF209" s="70" t="str">
        <f>'RESUMEN TOTAL'!AS275</f>
        <v>APAGADO</v>
      </c>
      <c r="AG209" s="70" t="str">
        <f>'RESUMEN TOTAL'!AT275</f>
        <v>APAGADO</v>
      </c>
      <c r="AH209" s="70">
        <f>'RESUMEN TOTAL'!AU275</f>
        <v>0</v>
      </c>
      <c r="AI209" s="70">
        <f>'RESUMEN TOTAL'!AV275</f>
        <v>0</v>
      </c>
      <c r="AJ209" s="70" t="e">
        <f>'RESUMEN TOTAL'!#REF!</f>
        <v>#REF!</v>
      </c>
    </row>
    <row r="210" spans="1:36" x14ac:dyDescent="0.25">
      <c r="A210" t="str">
        <f>'RESUMEN TOTAL'!F276</f>
        <v>LOPEZ ROMERO</v>
      </c>
      <c r="B210" t="str">
        <f>'RESUMEN TOTAL'!G276</f>
        <v>MFI02</v>
      </c>
      <c r="C210" t="str">
        <f>'RESUMEN TOTAL'!I276</f>
        <v>Calchaqui y Balcarce</v>
      </c>
      <c r="D210" s="30" t="str">
        <f>'RESUMEN TOTAL'!J276</f>
        <v>Fija</v>
      </c>
      <c r="E210" s="30" t="str">
        <f>'RESUMEN TOTAL'!K276</f>
        <v>Fibra Optica</v>
      </c>
      <c r="F210" s="70">
        <f>'RESUMEN TOTAL'!S276</f>
        <v>0</v>
      </c>
      <c r="G210" s="70">
        <f>'RESUMEN TOTAL'!T276</f>
        <v>0</v>
      </c>
      <c r="H210" s="70">
        <f>'RESUMEN TOTAL'!U276</f>
        <v>0</v>
      </c>
      <c r="I210" s="70">
        <f>'RESUMEN TOTAL'!V276</f>
        <v>0</v>
      </c>
      <c r="J210" s="70">
        <f>'RESUMEN TOTAL'!W276</f>
        <v>0</v>
      </c>
      <c r="K210" s="70">
        <f>'RESUMEN TOTAL'!X276</f>
        <v>0</v>
      </c>
      <c r="L210" s="70">
        <f>'RESUMEN TOTAL'!Y276</f>
        <v>0</v>
      </c>
      <c r="M210" s="70">
        <f>'RESUMEN TOTAL'!Z276</f>
        <v>0</v>
      </c>
      <c r="N210" s="70">
        <f>'RESUMEN TOTAL'!AA276</f>
        <v>0</v>
      </c>
      <c r="O210" s="70">
        <f>'RESUMEN TOTAL'!AB276</f>
        <v>0</v>
      </c>
      <c r="P210" s="70">
        <f>'RESUMEN TOTAL'!AC276</f>
        <v>0</v>
      </c>
      <c r="Q210" s="70">
        <f>'RESUMEN TOTAL'!AD276</f>
        <v>0</v>
      </c>
      <c r="R210" s="70">
        <f>'RESUMEN TOTAL'!AE276</f>
        <v>0</v>
      </c>
      <c r="S210" s="70">
        <f>'RESUMEN TOTAL'!AF276</f>
        <v>0</v>
      </c>
      <c r="T210" s="70">
        <f>'RESUMEN TOTAL'!AG276</f>
        <v>0</v>
      </c>
      <c r="U210" s="70">
        <f>'RESUMEN TOTAL'!AH276</f>
        <v>0</v>
      </c>
      <c r="V210" s="70">
        <f>'RESUMEN TOTAL'!AI276</f>
        <v>0</v>
      </c>
      <c r="W210" s="70">
        <f>'RESUMEN TOTAL'!AJ276</f>
        <v>0</v>
      </c>
      <c r="X210" s="70">
        <f>'RESUMEN TOTAL'!AK276</f>
        <v>0</v>
      </c>
      <c r="Y210" s="70">
        <f>'RESUMEN TOTAL'!AL276</f>
        <v>0</v>
      </c>
      <c r="Z210" s="70">
        <f>'RESUMEN TOTAL'!AM276</f>
        <v>0</v>
      </c>
      <c r="AA210" s="70">
        <f>'RESUMEN TOTAL'!AN276</f>
        <v>0</v>
      </c>
      <c r="AB210" s="70">
        <f>'RESUMEN TOTAL'!AO276</f>
        <v>0</v>
      </c>
      <c r="AC210" s="70">
        <f>'RESUMEN TOTAL'!AP276</f>
        <v>0</v>
      </c>
      <c r="AD210" s="70">
        <f>'RESUMEN TOTAL'!AQ276</f>
        <v>0</v>
      </c>
      <c r="AE210" s="70">
        <f>'RESUMEN TOTAL'!AR276</f>
        <v>0</v>
      </c>
      <c r="AF210" s="70">
        <f>'RESUMEN TOTAL'!AS276</f>
        <v>0</v>
      </c>
      <c r="AG210" s="70">
        <f>'RESUMEN TOTAL'!AT276</f>
        <v>0</v>
      </c>
      <c r="AH210" s="70">
        <f>'RESUMEN TOTAL'!AU276</f>
        <v>0</v>
      </c>
      <c r="AI210" s="70">
        <f>'RESUMEN TOTAL'!AV276</f>
        <v>0</v>
      </c>
      <c r="AJ210" s="70" t="e">
        <f>'RESUMEN TOTAL'!#REF!</f>
        <v>#REF!</v>
      </c>
    </row>
    <row r="211" spans="1:36" x14ac:dyDescent="0.25">
      <c r="A211" t="str">
        <f>'RESUMEN TOTAL'!F277</f>
        <v>MARTIN FIERRO</v>
      </c>
      <c r="B211" t="str">
        <f>'RESUMEN TOTAL'!G277</f>
        <v>MFI04</v>
      </c>
      <c r="C211" t="str">
        <f>'RESUMEN TOTAL'!I277</f>
        <v>Calchaqui y balcarce</v>
      </c>
      <c r="D211" s="30" t="str">
        <f>'RESUMEN TOTAL'!J277</f>
        <v>Domo</v>
      </c>
      <c r="E211" s="30" t="str">
        <f>'RESUMEN TOTAL'!K277</f>
        <v>Fibra Optica</v>
      </c>
      <c r="F211" s="70">
        <f>'RESUMEN TOTAL'!S277</f>
        <v>0</v>
      </c>
      <c r="G211" s="70">
        <f>'RESUMEN TOTAL'!T277</f>
        <v>0</v>
      </c>
      <c r="H211" s="70">
        <f>'RESUMEN TOTAL'!U277</f>
        <v>0</v>
      </c>
      <c r="I211" s="70">
        <f>'RESUMEN TOTAL'!V277</f>
        <v>0</v>
      </c>
      <c r="J211" s="70">
        <f>'RESUMEN TOTAL'!W277</f>
        <v>0</v>
      </c>
      <c r="K211" s="70">
        <f>'RESUMEN TOTAL'!X277</f>
        <v>0</v>
      </c>
      <c r="L211" s="70">
        <f>'RESUMEN TOTAL'!Y277</f>
        <v>0</v>
      </c>
      <c r="M211" s="70">
        <f>'RESUMEN TOTAL'!Z277</f>
        <v>0</v>
      </c>
      <c r="N211" s="70">
        <f>'RESUMEN TOTAL'!AA277</f>
        <v>0</v>
      </c>
      <c r="O211" s="70">
        <f>'RESUMEN TOTAL'!AB277</f>
        <v>0</v>
      </c>
      <c r="P211" s="70">
        <f>'RESUMEN TOTAL'!AC277</f>
        <v>0</v>
      </c>
      <c r="Q211" s="70">
        <f>'RESUMEN TOTAL'!AD277</f>
        <v>0</v>
      </c>
      <c r="R211" s="70">
        <f>'RESUMEN TOTAL'!AE277</f>
        <v>0</v>
      </c>
      <c r="S211" s="70">
        <f>'RESUMEN TOTAL'!AF277</f>
        <v>0</v>
      </c>
      <c r="T211" s="70">
        <f>'RESUMEN TOTAL'!AG277</f>
        <v>0</v>
      </c>
      <c r="U211" s="70">
        <f>'RESUMEN TOTAL'!AH277</f>
        <v>0</v>
      </c>
      <c r="V211" s="70">
        <f>'RESUMEN TOTAL'!AI277</f>
        <v>0</v>
      </c>
      <c r="W211" s="70">
        <f>'RESUMEN TOTAL'!AJ277</f>
        <v>0</v>
      </c>
      <c r="X211" s="70">
        <f>'RESUMEN TOTAL'!AK277</f>
        <v>0</v>
      </c>
      <c r="Y211" s="70">
        <f>'RESUMEN TOTAL'!AL277</f>
        <v>0</v>
      </c>
      <c r="Z211" s="70">
        <f>'RESUMEN TOTAL'!AM277</f>
        <v>0</v>
      </c>
      <c r="AA211" s="70">
        <f>'RESUMEN TOTAL'!AN277</f>
        <v>0</v>
      </c>
      <c r="AB211" s="70">
        <f>'RESUMEN TOTAL'!AO277</f>
        <v>0</v>
      </c>
      <c r="AC211" s="70">
        <f>'RESUMEN TOTAL'!AP277</f>
        <v>0</v>
      </c>
      <c r="AD211" s="70">
        <f>'RESUMEN TOTAL'!AQ277</f>
        <v>0</v>
      </c>
      <c r="AE211" s="70">
        <f>'RESUMEN TOTAL'!AR277</f>
        <v>0</v>
      </c>
      <c r="AF211" s="70">
        <f>'RESUMEN TOTAL'!AS277</f>
        <v>0</v>
      </c>
      <c r="AG211" s="70">
        <f>'RESUMEN TOTAL'!AT277</f>
        <v>0</v>
      </c>
      <c r="AH211" s="70">
        <f>'RESUMEN TOTAL'!AU277</f>
        <v>0</v>
      </c>
      <c r="AI211" s="70">
        <f>'RESUMEN TOTAL'!AV277</f>
        <v>0</v>
      </c>
      <c r="AJ211" s="70" t="e">
        <f>'RESUMEN TOTAL'!#REF!</f>
        <v>#REF!</v>
      </c>
    </row>
    <row r="212" spans="1:36" x14ac:dyDescent="0.25">
      <c r="A212" t="str">
        <f>'RESUMEN TOTAL'!F278</f>
        <v>SAN EMILIO</v>
      </c>
      <c r="B212" t="str">
        <f>'RESUMEN TOTAL'!G278</f>
        <v>MFI06</v>
      </c>
      <c r="C212" t="str">
        <f>'RESUMEN TOTAL'!I278</f>
        <v>Con. Gral. Belgrano y Bombero Galarza</v>
      </c>
      <c r="D212" s="30" t="str">
        <f>'RESUMEN TOTAL'!J278</f>
        <v>DOMO</v>
      </c>
      <c r="E212" s="30" t="str">
        <f>'RESUMEN TOTAL'!K278</f>
        <v>PTO A FO</v>
      </c>
      <c r="F212" s="70">
        <f>'RESUMEN TOTAL'!S278</f>
        <v>0</v>
      </c>
      <c r="G212" s="70">
        <f>'RESUMEN TOTAL'!T278</f>
        <v>0</v>
      </c>
      <c r="H212" s="70">
        <f>'RESUMEN TOTAL'!U278</f>
        <v>0</v>
      </c>
      <c r="I212" s="70">
        <f>'RESUMEN TOTAL'!V278</f>
        <v>0</v>
      </c>
      <c r="J212" s="70">
        <f>'RESUMEN TOTAL'!W278</f>
        <v>0</v>
      </c>
      <c r="K212" s="70">
        <f>'RESUMEN TOTAL'!X278</f>
        <v>0</v>
      </c>
      <c r="L212" s="70">
        <f>'RESUMEN TOTAL'!Y278</f>
        <v>0</v>
      </c>
      <c r="M212" s="70">
        <f>'RESUMEN TOTAL'!Z278</f>
        <v>0</v>
      </c>
      <c r="N212" s="70">
        <f>'RESUMEN TOTAL'!AA278</f>
        <v>0</v>
      </c>
      <c r="O212" s="70">
        <f>'RESUMEN TOTAL'!AB278</f>
        <v>0</v>
      </c>
      <c r="P212" s="70">
        <f>'RESUMEN TOTAL'!AC278</f>
        <v>0</v>
      </c>
      <c r="Q212" s="70">
        <f>'RESUMEN TOTAL'!AD278</f>
        <v>0</v>
      </c>
      <c r="R212" s="70">
        <f>'RESUMEN TOTAL'!AE278</f>
        <v>0</v>
      </c>
      <c r="S212" s="70">
        <f>'RESUMEN TOTAL'!AF278</f>
        <v>0</v>
      </c>
      <c r="T212" s="70">
        <f>'RESUMEN TOTAL'!AG278</f>
        <v>0</v>
      </c>
      <c r="U212" s="70">
        <f>'RESUMEN TOTAL'!AH278</f>
        <v>0</v>
      </c>
      <c r="V212" s="70">
        <f>'RESUMEN TOTAL'!AI278</f>
        <v>0</v>
      </c>
      <c r="W212" s="70">
        <f>'RESUMEN TOTAL'!AJ278</f>
        <v>0</v>
      </c>
      <c r="X212" s="70">
        <f>'RESUMEN TOTAL'!AK278</f>
        <v>0</v>
      </c>
      <c r="Y212" s="70">
        <f>'RESUMEN TOTAL'!AL278</f>
        <v>0</v>
      </c>
      <c r="Z212" s="70">
        <f>'RESUMEN TOTAL'!AM278</f>
        <v>0</v>
      </c>
      <c r="AA212" s="70">
        <f>'RESUMEN TOTAL'!AN278</f>
        <v>0</v>
      </c>
      <c r="AB212" s="70">
        <f>'RESUMEN TOTAL'!AO278</f>
        <v>0</v>
      </c>
      <c r="AC212" s="70">
        <f>'RESUMEN TOTAL'!AP278</f>
        <v>0</v>
      </c>
      <c r="AD212" s="70">
        <f>'RESUMEN TOTAL'!AQ278</f>
        <v>0</v>
      </c>
      <c r="AE212" s="70">
        <f>'RESUMEN TOTAL'!AR278</f>
        <v>0</v>
      </c>
      <c r="AF212" s="70">
        <f>'RESUMEN TOTAL'!AS278</f>
        <v>0</v>
      </c>
      <c r="AG212" s="70">
        <f>'RESUMEN TOTAL'!AT278</f>
        <v>0</v>
      </c>
      <c r="AH212" s="70">
        <f>'RESUMEN TOTAL'!AU278</f>
        <v>0</v>
      </c>
      <c r="AI212" s="70">
        <f>'RESUMEN TOTAL'!AV278</f>
        <v>0</v>
      </c>
      <c r="AJ212" s="70" t="e">
        <f>'RESUMEN TOTAL'!#REF!</f>
        <v>#REF!</v>
      </c>
    </row>
    <row r="213" spans="1:36" x14ac:dyDescent="0.25">
      <c r="A213" t="str">
        <f>'RESUMEN TOTAL'!F279</f>
        <v>GOBERNADOR MONTEVERDE</v>
      </c>
      <c r="B213" t="str">
        <f>'RESUMEN TOTAL'!G279</f>
        <v>MON01</v>
      </c>
      <c r="C213" t="str">
        <f>'RESUMEN TOTAL'!I279</f>
        <v>San Martin y Patricias Argentinas</v>
      </c>
      <c r="D213" s="30" t="str">
        <f>'RESUMEN TOTAL'!J279</f>
        <v>Fija</v>
      </c>
      <c r="E213" s="30" t="str">
        <f>'RESUMEN TOTAL'!K279</f>
        <v>Fibra Optica</v>
      </c>
      <c r="F213" s="70">
        <f>'RESUMEN TOTAL'!S279</f>
        <v>0</v>
      </c>
      <c r="G213" s="70">
        <f>'RESUMEN TOTAL'!T279</f>
        <v>0</v>
      </c>
      <c r="H213" s="70">
        <f>'RESUMEN TOTAL'!U279</f>
        <v>0</v>
      </c>
      <c r="I213" s="70">
        <f>'RESUMEN TOTAL'!V279</f>
        <v>0</v>
      </c>
      <c r="J213" s="70">
        <f>'RESUMEN TOTAL'!W279</f>
        <v>0</v>
      </c>
      <c r="K213" s="70">
        <f>'RESUMEN TOTAL'!X279</f>
        <v>0</v>
      </c>
      <c r="L213" s="70">
        <f>'RESUMEN TOTAL'!Y279</f>
        <v>0</v>
      </c>
      <c r="M213" s="70">
        <f>'RESUMEN TOTAL'!Z279</f>
        <v>0</v>
      </c>
      <c r="N213" s="70">
        <f>'RESUMEN TOTAL'!AA279</f>
        <v>0</v>
      </c>
      <c r="O213" s="70">
        <f>'RESUMEN TOTAL'!AB279</f>
        <v>0</v>
      </c>
      <c r="P213" s="70">
        <f>'RESUMEN TOTAL'!AC279</f>
        <v>0</v>
      </c>
      <c r="Q213" s="70">
        <f>'RESUMEN TOTAL'!AD279</f>
        <v>0</v>
      </c>
      <c r="R213" s="70">
        <f>'RESUMEN TOTAL'!AE279</f>
        <v>0</v>
      </c>
      <c r="S213" s="70">
        <f>'RESUMEN TOTAL'!AF279</f>
        <v>0</v>
      </c>
      <c r="T213" s="70">
        <f>'RESUMEN TOTAL'!AG279</f>
        <v>0</v>
      </c>
      <c r="U213" s="70">
        <f>'RESUMEN TOTAL'!AH279</f>
        <v>0</v>
      </c>
      <c r="V213" s="70">
        <f>'RESUMEN TOTAL'!AI279</f>
        <v>0</v>
      </c>
      <c r="W213" s="70">
        <f>'RESUMEN TOTAL'!AJ279</f>
        <v>0</v>
      </c>
      <c r="X213" s="70">
        <f>'RESUMEN TOTAL'!AK279</f>
        <v>0</v>
      </c>
      <c r="Y213" s="70">
        <f>'RESUMEN TOTAL'!AL279</f>
        <v>0</v>
      </c>
      <c r="Z213" s="70">
        <f>'RESUMEN TOTAL'!AM279</f>
        <v>0</v>
      </c>
      <c r="AA213" s="70">
        <f>'RESUMEN TOTAL'!AN279</f>
        <v>0</v>
      </c>
      <c r="AB213" s="70">
        <f>'RESUMEN TOTAL'!AO279</f>
        <v>0</v>
      </c>
      <c r="AC213" s="70">
        <f>'RESUMEN TOTAL'!AP279</f>
        <v>0</v>
      </c>
      <c r="AD213" s="70">
        <f>'RESUMEN TOTAL'!AQ279</f>
        <v>0</v>
      </c>
      <c r="AE213" s="70">
        <f>'RESUMEN TOTAL'!AR279</f>
        <v>0</v>
      </c>
      <c r="AF213" s="70">
        <f>'RESUMEN TOTAL'!AS279</f>
        <v>0</v>
      </c>
      <c r="AG213" s="70">
        <f>'RESUMEN TOTAL'!AT279</f>
        <v>0</v>
      </c>
      <c r="AH213" s="70">
        <f>'RESUMEN TOTAL'!AU279</f>
        <v>0</v>
      </c>
      <c r="AI213" s="70">
        <f>'RESUMEN TOTAL'!AV279</f>
        <v>0</v>
      </c>
      <c r="AJ213" s="70" t="e">
        <f>'RESUMEN TOTAL'!#REF!</f>
        <v>#REF!</v>
      </c>
    </row>
    <row r="214" spans="1:36" x14ac:dyDescent="0.25">
      <c r="A214" t="str">
        <f>'RESUMEN TOTAL'!F280</f>
        <v>GOBERNADOR MONTEVERDE</v>
      </c>
      <c r="B214" t="str">
        <f>'RESUMEN TOTAL'!G280</f>
        <v>MON02</v>
      </c>
      <c r="C214" t="str">
        <f>'RESUMEN TOTAL'!I280</f>
        <v>Senzabello y Famatina</v>
      </c>
      <c r="D214" s="30" t="str">
        <f>'RESUMEN TOTAL'!J280</f>
        <v>Domo</v>
      </c>
      <c r="E214" s="30" t="str">
        <f>'RESUMEN TOTAL'!K280</f>
        <v>Fibra Optica</v>
      </c>
      <c r="F214" s="70">
        <f>'RESUMEN TOTAL'!S280</f>
        <v>0</v>
      </c>
      <c r="G214" s="70">
        <f>'RESUMEN TOTAL'!T280</f>
        <v>0</v>
      </c>
      <c r="H214" s="70">
        <f>'RESUMEN TOTAL'!U280</f>
        <v>0</v>
      </c>
      <c r="I214" s="70">
        <f>'RESUMEN TOTAL'!V280</f>
        <v>0</v>
      </c>
      <c r="J214" s="70">
        <f>'RESUMEN TOTAL'!W280</f>
        <v>0</v>
      </c>
      <c r="K214" s="70">
        <f>'RESUMEN TOTAL'!X280</f>
        <v>0</v>
      </c>
      <c r="L214" s="70">
        <f>'RESUMEN TOTAL'!Y280</f>
        <v>0</v>
      </c>
      <c r="M214" s="70">
        <f>'RESUMEN TOTAL'!Z280</f>
        <v>0</v>
      </c>
      <c r="N214" s="70">
        <f>'RESUMEN TOTAL'!AA280</f>
        <v>0</v>
      </c>
      <c r="O214" s="70">
        <f>'RESUMEN TOTAL'!AB280</f>
        <v>0</v>
      </c>
      <c r="P214" s="70">
        <f>'RESUMEN TOTAL'!AC280</f>
        <v>0</v>
      </c>
      <c r="Q214" s="70">
        <f>'RESUMEN TOTAL'!AD280</f>
        <v>0</v>
      </c>
      <c r="R214" s="70">
        <f>'RESUMEN TOTAL'!AE280</f>
        <v>0</v>
      </c>
      <c r="S214" s="70">
        <f>'RESUMEN TOTAL'!AF280</f>
        <v>0</v>
      </c>
      <c r="T214" s="70">
        <f>'RESUMEN TOTAL'!AG280</f>
        <v>0</v>
      </c>
      <c r="U214" s="70">
        <f>'RESUMEN TOTAL'!AH280</f>
        <v>0</v>
      </c>
      <c r="V214" s="70">
        <f>'RESUMEN TOTAL'!AI280</f>
        <v>0</v>
      </c>
      <c r="W214" s="70">
        <f>'RESUMEN TOTAL'!AJ280</f>
        <v>0</v>
      </c>
      <c r="X214" s="70">
        <f>'RESUMEN TOTAL'!AK280</f>
        <v>0</v>
      </c>
      <c r="Y214" s="70">
        <f>'RESUMEN TOTAL'!AL280</f>
        <v>0</v>
      </c>
      <c r="Z214" s="70">
        <f>'RESUMEN TOTAL'!AM280</f>
        <v>0</v>
      </c>
      <c r="AA214" s="70">
        <f>'RESUMEN TOTAL'!AN280</f>
        <v>0</v>
      </c>
      <c r="AB214" s="70">
        <f>'RESUMEN TOTAL'!AO280</f>
        <v>0</v>
      </c>
      <c r="AC214" s="70">
        <f>'RESUMEN TOTAL'!AP280</f>
        <v>0</v>
      </c>
      <c r="AD214" s="70">
        <f>'RESUMEN TOTAL'!AQ280</f>
        <v>0</v>
      </c>
      <c r="AE214" s="70">
        <f>'RESUMEN TOTAL'!AR280</f>
        <v>0</v>
      </c>
      <c r="AF214" s="70">
        <f>'RESUMEN TOTAL'!AS280</f>
        <v>0</v>
      </c>
      <c r="AG214" s="70">
        <f>'RESUMEN TOTAL'!AT280</f>
        <v>0</v>
      </c>
      <c r="AH214" s="70">
        <f>'RESUMEN TOTAL'!AU280</f>
        <v>0</v>
      </c>
      <c r="AI214" s="70">
        <f>'RESUMEN TOTAL'!AV280</f>
        <v>0</v>
      </c>
      <c r="AJ214" s="70" t="e">
        <f>'RESUMEN TOTAL'!#REF!</f>
        <v>#REF!</v>
      </c>
    </row>
    <row r="215" spans="1:36" x14ac:dyDescent="0.25">
      <c r="A215" t="str">
        <f>'RESUMEN TOTAL'!F281</f>
        <v>GOBERNADOR MONTEVERDE</v>
      </c>
      <c r="B215" t="str">
        <f>'RESUMEN TOTAL'!G281</f>
        <v>MON03</v>
      </c>
      <c r="C215" t="str">
        <f>'RESUMEN TOTAL'!I281</f>
        <v>Senzabello y Guemes</v>
      </c>
      <c r="D215" s="30" t="str">
        <f>'RESUMEN TOTAL'!J281</f>
        <v>Domo</v>
      </c>
      <c r="E215" s="30" t="str">
        <f>'RESUMEN TOTAL'!K281</f>
        <v>PTO A FO</v>
      </c>
      <c r="F215" s="70">
        <f>'RESUMEN TOTAL'!S281</f>
        <v>0</v>
      </c>
      <c r="G215" s="70">
        <f>'RESUMEN TOTAL'!T281</f>
        <v>0</v>
      </c>
      <c r="H215" s="70">
        <f>'RESUMEN TOTAL'!U281</f>
        <v>0</v>
      </c>
      <c r="I215" s="70">
        <f>'RESUMEN TOTAL'!V281</f>
        <v>0</v>
      </c>
      <c r="J215" s="70">
        <f>'RESUMEN TOTAL'!W281</f>
        <v>0</v>
      </c>
      <c r="K215" s="70">
        <f>'RESUMEN TOTAL'!X281</f>
        <v>0</v>
      </c>
      <c r="L215" s="70">
        <f>'RESUMEN TOTAL'!Y281</f>
        <v>0</v>
      </c>
      <c r="M215" s="70">
        <f>'RESUMEN TOTAL'!Z281</f>
        <v>0</v>
      </c>
      <c r="N215" s="70">
        <f>'RESUMEN TOTAL'!AA281</f>
        <v>0</v>
      </c>
      <c r="O215" s="70">
        <f>'RESUMEN TOTAL'!AB281</f>
        <v>0</v>
      </c>
      <c r="P215" s="70">
        <f>'RESUMEN TOTAL'!AC281</f>
        <v>0</v>
      </c>
      <c r="Q215" s="70">
        <f>'RESUMEN TOTAL'!AD281</f>
        <v>0</v>
      </c>
      <c r="R215" s="70">
        <f>'RESUMEN TOTAL'!AE281</f>
        <v>0</v>
      </c>
      <c r="S215" s="70">
        <f>'RESUMEN TOTAL'!AF281</f>
        <v>0</v>
      </c>
      <c r="T215" s="70">
        <f>'RESUMEN TOTAL'!AG281</f>
        <v>0</v>
      </c>
      <c r="U215" s="70">
        <f>'RESUMEN TOTAL'!AH281</f>
        <v>0</v>
      </c>
      <c r="V215" s="70">
        <f>'RESUMEN TOTAL'!AI281</f>
        <v>0</v>
      </c>
      <c r="W215" s="70">
        <f>'RESUMEN TOTAL'!AJ281</f>
        <v>0</v>
      </c>
      <c r="X215" s="70">
        <f>'RESUMEN TOTAL'!AK281</f>
        <v>0</v>
      </c>
      <c r="Y215" s="70">
        <f>'RESUMEN TOTAL'!AL281</f>
        <v>0</v>
      </c>
      <c r="Z215" s="70">
        <f>'RESUMEN TOTAL'!AM281</f>
        <v>0</v>
      </c>
      <c r="AA215" s="70">
        <f>'RESUMEN TOTAL'!AN281</f>
        <v>0</v>
      </c>
      <c r="AB215" s="70">
        <f>'RESUMEN TOTAL'!AO281</f>
        <v>0</v>
      </c>
      <c r="AC215" s="70">
        <f>'RESUMEN TOTAL'!AP281</f>
        <v>0</v>
      </c>
      <c r="AD215" s="70">
        <f>'RESUMEN TOTAL'!AQ281</f>
        <v>0</v>
      </c>
      <c r="AE215" s="70">
        <f>'RESUMEN TOTAL'!AR281</f>
        <v>0</v>
      </c>
      <c r="AF215" s="70">
        <f>'RESUMEN TOTAL'!AS281</f>
        <v>0</v>
      </c>
      <c r="AG215" s="70">
        <f>'RESUMEN TOTAL'!AT281</f>
        <v>0</v>
      </c>
      <c r="AH215" s="70">
        <f>'RESUMEN TOTAL'!AU281</f>
        <v>0</v>
      </c>
      <c r="AI215" s="70">
        <f>'RESUMEN TOTAL'!AV281</f>
        <v>0</v>
      </c>
      <c r="AJ215" s="70" t="e">
        <f>'RESUMEN TOTAL'!#REF!</f>
        <v>#REF!</v>
      </c>
    </row>
    <row r="216" spans="1:36" x14ac:dyDescent="0.25">
      <c r="A216" t="str">
        <f>'RESUMEN TOTAL'!F282</f>
        <v>GOBERNADOR MONTEVERDE</v>
      </c>
      <c r="B216" t="str">
        <f>'RESUMEN TOTAL'!G282</f>
        <v>MON04</v>
      </c>
      <c r="C216" t="str">
        <f>'RESUMEN TOTAL'!I282</f>
        <v>Av. Yrigoyen y San Lorenzo</v>
      </c>
      <c r="D216" s="30" t="str">
        <f>'RESUMEN TOTAL'!J282</f>
        <v>Domo</v>
      </c>
      <c r="E216" s="30" t="str">
        <f>'RESUMEN TOTAL'!K282</f>
        <v>GPON</v>
      </c>
      <c r="F216" s="70">
        <f>'RESUMEN TOTAL'!S282</f>
        <v>0</v>
      </c>
      <c r="G216" s="70">
        <f>'RESUMEN TOTAL'!T282</f>
        <v>0</v>
      </c>
      <c r="H216" s="70">
        <f>'RESUMEN TOTAL'!U282</f>
        <v>0</v>
      </c>
      <c r="I216" s="70">
        <f>'RESUMEN TOTAL'!V282</f>
        <v>0</v>
      </c>
      <c r="J216" s="70">
        <f>'RESUMEN TOTAL'!W282</f>
        <v>0</v>
      </c>
      <c r="K216" s="70">
        <f>'RESUMEN TOTAL'!X282</f>
        <v>0</v>
      </c>
      <c r="L216" s="70">
        <f>'RESUMEN TOTAL'!Y282</f>
        <v>0</v>
      </c>
      <c r="M216" s="70">
        <f>'RESUMEN TOTAL'!Z282</f>
        <v>0</v>
      </c>
      <c r="N216" s="70">
        <f>'RESUMEN TOTAL'!AA282</f>
        <v>0</v>
      </c>
      <c r="O216" s="70">
        <f>'RESUMEN TOTAL'!AB282</f>
        <v>0</v>
      </c>
      <c r="P216" s="70">
        <f>'RESUMEN TOTAL'!AC282</f>
        <v>0</v>
      </c>
      <c r="Q216" s="70">
        <f>'RESUMEN TOTAL'!AD282</f>
        <v>0</v>
      </c>
      <c r="R216" s="70">
        <f>'RESUMEN TOTAL'!AE282</f>
        <v>0</v>
      </c>
      <c r="S216" s="70">
        <f>'RESUMEN TOTAL'!AF282</f>
        <v>0</v>
      </c>
      <c r="T216" s="70">
        <f>'RESUMEN TOTAL'!AG282</f>
        <v>0</v>
      </c>
      <c r="U216" s="70">
        <f>'RESUMEN TOTAL'!AH282</f>
        <v>0</v>
      </c>
      <c r="V216" s="70">
        <f>'RESUMEN TOTAL'!AI282</f>
        <v>0</v>
      </c>
      <c r="W216" s="70">
        <f>'RESUMEN TOTAL'!AJ282</f>
        <v>0</v>
      </c>
      <c r="X216" s="70">
        <f>'RESUMEN TOTAL'!AK282</f>
        <v>0</v>
      </c>
      <c r="Y216" s="70">
        <f>'RESUMEN TOTAL'!AL282</f>
        <v>0</v>
      </c>
      <c r="Z216" s="70">
        <f>'RESUMEN TOTAL'!AM282</f>
        <v>0</v>
      </c>
      <c r="AA216" s="70">
        <f>'RESUMEN TOTAL'!AN282</f>
        <v>0</v>
      </c>
      <c r="AB216" s="70">
        <f>'RESUMEN TOTAL'!AO282</f>
        <v>0</v>
      </c>
      <c r="AC216" s="70">
        <f>'RESUMEN TOTAL'!AP282</f>
        <v>0</v>
      </c>
      <c r="AD216" s="70">
        <f>'RESUMEN TOTAL'!AQ282</f>
        <v>0</v>
      </c>
      <c r="AE216" s="70">
        <f>'RESUMEN TOTAL'!AR282</f>
        <v>0</v>
      </c>
      <c r="AF216" s="70">
        <f>'RESUMEN TOTAL'!AS282</f>
        <v>0</v>
      </c>
      <c r="AG216" s="70">
        <f>'RESUMEN TOTAL'!AT282</f>
        <v>0</v>
      </c>
      <c r="AH216" s="70">
        <f>'RESUMEN TOTAL'!AU282</f>
        <v>0</v>
      </c>
      <c r="AI216" s="70">
        <f>'RESUMEN TOTAL'!AV282</f>
        <v>0</v>
      </c>
      <c r="AJ216" s="70" t="e">
        <f>'RESUMEN TOTAL'!#REF!</f>
        <v>#REF!</v>
      </c>
    </row>
    <row r="217" spans="1:36" x14ac:dyDescent="0.25">
      <c r="A217" t="str">
        <f>'RESUMEN TOTAL'!F283</f>
        <v>GOBERNADOR MONTEVERDE</v>
      </c>
      <c r="B217" t="str">
        <f>'RESUMEN TOTAL'!G283</f>
        <v>MON05 Fija 1</v>
      </c>
      <c r="C217" t="str">
        <f>'RESUMEN TOTAL'!I283</f>
        <v xml:space="preserve">Solis y Guemes </v>
      </c>
      <c r="D217" s="30" t="str">
        <f>'RESUMEN TOTAL'!J283</f>
        <v>Fija</v>
      </c>
      <c r="E217" s="30" t="str">
        <f>'RESUMEN TOTAL'!K283</f>
        <v>Fibra Optica</v>
      </c>
      <c r="F217" s="70">
        <f>'RESUMEN TOTAL'!S283</f>
        <v>0</v>
      </c>
      <c r="G217" s="70">
        <f>'RESUMEN TOTAL'!T283</f>
        <v>0</v>
      </c>
      <c r="H217" s="70">
        <f>'RESUMEN TOTAL'!U283</f>
        <v>0</v>
      </c>
      <c r="I217" s="70">
        <f>'RESUMEN TOTAL'!V283</f>
        <v>0</v>
      </c>
      <c r="J217" s="70">
        <f>'RESUMEN TOTAL'!W283</f>
        <v>0</v>
      </c>
      <c r="K217" s="70">
        <f>'RESUMEN TOTAL'!X283</f>
        <v>0</v>
      </c>
      <c r="L217" s="70">
        <f>'RESUMEN TOTAL'!Y283</f>
        <v>0</v>
      </c>
      <c r="M217" s="70">
        <f>'RESUMEN TOTAL'!Z283</f>
        <v>0</v>
      </c>
      <c r="N217" s="70">
        <f>'RESUMEN TOTAL'!AA283</f>
        <v>0</v>
      </c>
      <c r="O217" s="70">
        <f>'RESUMEN TOTAL'!AB283</f>
        <v>0</v>
      </c>
      <c r="P217" s="70">
        <f>'RESUMEN TOTAL'!AC283</f>
        <v>0</v>
      </c>
      <c r="Q217" s="70">
        <f>'RESUMEN TOTAL'!AD283</f>
        <v>0</v>
      </c>
      <c r="R217" s="70">
        <f>'RESUMEN TOTAL'!AE283</f>
        <v>0</v>
      </c>
      <c r="S217" s="70">
        <f>'RESUMEN TOTAL'!AF283</f>
        <v>0</v>
      </c>
      <c r="T217" s="70">
        <f>'RESUMEN TOTAL'!AG283</f>
        <v>0</v>
      </c>
      <c r="U217" s="70">
        <f>'RESUMEN TOTAL'!AH283</f>
        <v>0</v>
      </c>
      <c r="V217" s="70">
        <f>'RESUMEN TOTAL'!AI283</f>
        <v>0</v>
      </c>
      <c r="W217" s="70">
        <f>'RESUMEN TOTAL'!AJ283</f>
        <v>0</v>
      </c>
      <c r="X217" s="70">
        <f>'RESUMEN TOTAL'!AK283</f>
        <v>0</v>
      </c>
      <c r="Y217" s="70">
        <f>'RESUMEN TOTAL'!AL283</f>
        <v>0</v>
      </c>
      <c r="Z217" s="70">
        <f>'RESUMEN TOTAL'!AM283</f>
        <v>0</v>
      </c>
      <c r="AA217" s="70">
        <f>'RESUMEN TOTAL'!AN283</f>
        <v>0</v>
      </c>
      <c r="AB217" s="70">
        <f>'RESUMEN TOTAL'!AO283</f>
        <v>0</v>
      </c>
      <c r="AC217" s="70">
        <f>'RESUMEN TOTAL'!AP283</f>
        <v>0</v>
      </c>
      <c r="AD217" s="70">
        <f>'RESUMEN TOTAL'!AQ283</f>
        <v>0</v>
      </c>
      <c r="AE217" s="70">
        <f>'RESUMEN TOTAL'!AR283</f>
        <v>0</v>
      </c>
      <c r="AF217" s="70">
        <f>'RESUMEN TOTAL'!AS283</f>
        <v>0</v>
      </c>
      <c r="AG217" s="70">
        <f>'RESUMEN TOTAL'!AT283</f>
        <v>0</v>
      </c>
      <c r="AH217" s="70">
        <f>'RESUMEN TOTAL'!AU283</f>
        <v>0</v>
      </c>
      <c r="AI217" s="70">
        <f>'RESUMEN TOTAL'!AV283</f>
        <v>0</v>
      </c>
      <c r="AJ217" s="70" t="e">
        <f>'RESUMEN TOTAL'!#REF!</f>
        <v>#REF!</v>
      </c>
    </row>
    <row r="218" spans="1:36" x14ac:dyDescent="0.25">
      <c r="A218" t="str">
        <f>'RESUMEN TOTAL'!F288</f>
        <v>9 DE JULIO</v>
      </c>
      <c r="B218" t="str">
        <f>'RESUMEN TOTAL'!G288</f>
        <v>NJU03</v>
      </c>
      <c r="C218" t="str">
        <f>'RESUMEN TOTAL'!I288</f>
        <v>San Juan y Parrillo</v>
      </c>
      <c r="D218" s="30" t="str">
        <f>'RESUMEN TOTAL'!J288</f>
        <v>Domo</v>
      </c>
      <c r="E218" s="30" t="str">
        <f>'RESUMEN TOTAL'!K288</f>
        <v>PTO A FO</v>
      </c>
      <c r="F218" s="70">
        <f>'RESUMEN TOTAL'!S288</f>
        <v>0</v>
      </c>
      <c r="G218" s="70">
        <f>'RESUMEN TOTAL'!T288</f>
        <v>0</v>
      </c>
      <c r="H218" s="70">
        <f>'RESUMEN TOTAL'!U288</f>
        <v>0</v>
      </c>
      <c r="I218" s="70">
        <f>'RESUMEN TOTAL'!V288</f>
        <v>0</v>
      </c>
      <c r="J218" s="70">
        <f>'RESUMEN TOTAL'!W288</f>
        <v>0</v>
      </c>
      <c r="K218" s="70">
        <f>'RESUMEN TOTAL'!X288</f>
        <v>0</v>
      </c>
      <c r="L218" s="70" t="str">
        <f>'RESUMEN TOTAL'!Y288</f>
        <v>APAGADO</v>
      </c>
      <c r="M218" s="70">
        <f>'RESUMEN TOTAL'!Z288</f>
        <v>0</v>
      </c>
      <c r="N218" s="70">
        <f>'RESUMEN TOTAL'!AA288</f>
        <v>0</v>
      </c>
      <c r="O218" s="70">
        <f>'RESUMEN TOTAL'!AB288</f>
        <v>0</v>
      </c>
      <c r="P218" s="70">
        <f>'RESUMEN TOTAL'!AC288</f>
        <v>0</v>
      </c>
      <c r="Q218" s="70">
        <f>'RESUMEN TOTAL'!AD288</f>
        <v>0</v>
      </c>
      <c r="R218" s="70">
        <f>'RESUMEN TOTAL'!AE288</f>
        <v>0</v>
      </c>
      <c r="S218" s="70">
        <f>'RESUMEN TOTAL'!AF288</f>
        <v>0</v>
      </c>
      <c r="T218" s="70">
        <f>'RESUMEN TOTAL'!AG288</f>
        <v>0</v>
      </c>
      <c r="U218" s="70">
        <f>'RESUMEN TOTAL'!AH288</f>
        <v>0</v>
      </c>
      <c r="V218" s="70">
        <f>'RESUMEN TOTAL'!AI288</f>
        <v>0</v>
      </c>
      <c r="W218" s="70">
        <f>'RESUMEN TOTAL'!AJ288</f>
        <v>0</v>
      </c>
      <c r="X218" s="70">
        <f>'RESUMEN TOTAL'!AK288</f>
        <v>0</v>
      </c>
      <c r="Y218" s="70">
        <f>'RESUMEN TOTAL'!AL288</f>
        <v>0</v>
      </c>
      <c r="Z218" s="70">
        <f>'RESUMEN TOTAL'!AM288</f>
        <v>0</v>
      </c>
      <c r="AA218" s="70">
        <f>'RESUMEN TOTAL'!AN288</f>
        <v>0</v>
      </c>
      <c r="AB218" s="70">
        <f>'RESUMEN TOTAL'!AO288</f>
        <v>0</v>
      </c>
      <c r="AC218" s="70">
        <f>'RESUMEN TOTAL'!AP288</f>
        <v>0</v>
      </c>
      <c r="AD218" s="70">
        <f>'RESUMEN TOTAL'!AQ288</f>
        <v>0</v>
      </c>
      <c r="AE218" s="70">
        <f>'RESUMEN TOTAL'!AR288</f>
        <v>0</v>
      </c>
      <c r="AF218" s="70">
        <f>'RESUMEN TOTAL'!AS288</f>
        <v>0</v>
      </c>
      <c r="AG218" s="70">
        <f>'RESUMEN TOTAL'!AT288</f>
        <v>0</v>
      </c>
      <c r="AH218" s="70">
        <f>'RESUMEN TOTAL'!AU288</f>
        <v>0</v>
      </c>
      <c r="AI218" s="70">
        <f>'RESUMEN TOTAL'!AV288</f>
        <v>0</v>
      </c>
      <c r="AJ218" s="70" t="e">
        <f>'RESUMEN TOTAL'!#REF!</f>
        <v>#REF!</v>
      </c>
    </row>
    <row r="219" spans="1:36" x14ac:dyDescent="0.25">
      <c r="A219" t="str">
        <f>'RESUMEN TOTAL'!F289</f>
        <v>9 DE JULIO</v>
      </c>
      <c r="B219" t="str">
        <f>'RESUMEN TOTAL'!G289</f>
        <v>NJU04</v>
      </c>
      <c r="C219" t="str">
        <f>'RESUMEN TOTAL'!I289</f>
        <v>Ituzaingo y 214 A</v>
      </c>
      <c r="D219" s="30" t="str">
        <f>'RESUMEN TOTAL'!J289</f>
        <v>Domo</v>
      </c>
      <c r="E219" s="30" t="str">
        <f>'RESUMEN TOTAL'!K289</f>
        <v>GPON</v>
      </c>
      <c r="F219" s="70">
        <f>'RESUMEN TOTAL'!S289</f>
        <v>0</v>
      </c>
      <c r="G219" s="70">
        <f>'RESUMEN TOTAL'!T289</f>
        <v>0</v>
      </c>
      <c r="H219" s="70">
        <f>'RESUMEN TOTAL'!U289</f>
        <v>0</v>
      </c>
      <c r="I219" s="70">
        <f>'RESUMEN TOTAL'!V289</f>
        <v>0</v>
      </c>
      <c r="J219" s="70">
        <f>'RESUMEN TOTAL'!W289</f>
        <v>0</v>
      </c>
      <c r="K219" s="70">
        <f>'RESUMEN TOTAL'!X289</f>
        <v>0</v>
      </c>
      <c r="L219" s="70">
        <f>'RESUMEN TOTAL'!Y289</f>
        <v>0</v>
      </c>
      <c r="M219" s="70">
        <f>'RESUMEN TOTAL'!Z289</f>
        <v>0</v>
      </c>
      <c r="N219" s="70">
        <f>'RESUMEN TOTAL'!AA289</f>
        <v>0</v>
      </c>
      <c r="O219" s="70">
        <f>'RESUMEN TOTAL'!AB289</f>
        <v>0</v>
      </c>
      <c r="P219" s="70">
        <f>'RESUMEN TOTAL'!AC289</f>
        <v>0</v>
      </c>
      <c r="Q219" s="70">
        <f>'RESUMEN TOTAL'!AD289</f>
        <v>0</v>
      </c>
      <c r="R219" s="70" t="str">
        <f>'RESUMEN TOTAL'!AE289</f>
        <v>APAGADO</v>
      </c>
      <c r="S219" s="70" t="str">
        <f>'RESUMEN TOTAL'!AF289</f>
        <v>APAGADO</v>
      </c>
      <c r="T219" s="70" t="str">
        <f>'RESUMEN TOTAL'!AG289</f>
        <v>APAGADO</v>
      </c>
      <c r="U219" s="70">
        <f>'RESUMEN TOTAL'!AH289</f>
        <v>0</v>
      </c>
      <c r="V219" s="70">
        <f>'RESUMEN TOTAL'!AI289</f>
        <v>0</v>
      </c>
      <c r="W219" s="70" t="str">
        <f>'RESUMEN TOTAL'!AJ289</f>
        <v>APAGADO</v>
      </c>
      <c r="X219" s="70">
        <f>'RESUMEN TOTAL'!AK289</f>
        <v>0</v>
      </c>
      <c r="Y219" s="70">
        <f>'RESUMEN TOTAL'!AL289</f>
        <v>0</v>
      </c>
      <c r="Z219" s="70">
        <f>'RESUMEN TOTAL'!AM289</f>
        <v>0</v>
      </c>
      <c r="AA219" s="70">
        <f>'RESUMEN TOTAL'!AN289</f>
        <v>0</v>
      </c>
      <c r="AB219" s="70">
        <f>'RESUMEN TOTAL'!AO289</f>
        <v>0</v>
      </c>
      <c r="AC219" s="70">
        <f>'RESUMEN TOTAL'!AP289</f>
        <v>0</v>
      </c>
      <c r="AD219" s="70">
        <f>'RESUMEN TOTAL'!AQ289</f>
        <v>0</v>
      </c>
      <c r="AE219" s="70">
        <f>'RESUMEN TOTAL'!AR289</f>
        <v>0</v>
      </c>
      <c r="AF219" s="70">
        <f>'RESUMEN TOTAL'!AS289</f>
        <v>0</v>
      </c>
      <c r="AG219" s="70">
        <f>'RESUMEN TOTAL'!AT289</f>
        <v>0</v>
      </c>
      <c r="AH219" s="70">
        <f>'RESUMEN TOTAL'!AU289</f>
        <v>0</v>
      </c>
      <c r="AI219" s="70">
        <f>'RESUMEN TOTAL'!AV289</f>
        <v>0</v>
      </c>
      <c r="AJ219" s="70" t="e">
        <f>'RESUMEN TOTAL'!#REF!</f>
        <v>#REF!</v>
      </c>
    </row>
    <row r="220" spans="1:36" x14ac:dyDescent="0.25">
      <c r="A220" t="str">
        <f>'RESUMEN TOTAL'!F290</f>
        <v>ZEBALLOS CENTRO</v>
      </c>
      <c r="B220" t="str">
        <f>'RESUMEN TOTAL'!G290</f>
        <v>NJU05</v>
      </c>
      <c r="C220" t="str">
        <f>'RESUMEN TOTAL'!I290</f>
        <v>Ituzaingo y Alem</v>
      </c>
      <c r="D220" s="30" t="str">
        <f>'RESUMEN TOTAL'!J290</f>
        <v>Domo</v>
      </c>
      <c r="E220" s="30" t="str">
        <f>'RESUMEN TOTAL'!K290</f>
        <v>GPON</v>
      </c>
      <c r="F220" s="70">
        <f>'RESUMEN TOTAL'!S290</f>
        <v>0</v>
      </c>
      <c r="G220" s="70">
        <f>'RESUMEN TOTAL'!T290</f>
        <v>0</v>
      </c>
      <c r="H220" s="70">
        <f>'RESUMEN TOTAL'!U290</f>
        <v>0</v>
      </c>
      <c r="I220" s="70">
        <f>'RESUMEN TOTAL'!V290</f>
        <v>0</v>
      </c>
      <c r="J220" s="70">
        <f>'RESUMEN TOTAL'!W290</f>
        <v>0</v>
      </c>
      <c r="K220" s="70">
        <f>'RESUMEN TOTAL'!X290</f>
        <v>0</v>
      </c>
      <c r="L220" s="70">
        <f>'RESUMEN TOTAL'!Y290</f>
        <v>0</v>
      </c>
      <c r="M220" s="70">
        <f>'RESUMEN TOTAL'!Z290</f>
        <v>0</v>
      </c>
      <c r="N220" s="70">
        <f>'RESUMEN TOTAL'!AA290</f>
        <v>0</v>
      </c>
      <c r="O220" s="70">
        <f>'RESUMEN TOTAL'!AB290</f>
        <v>0</v>
      </c>
      <c r="P220" s="70">
        <f>'RESUMEN TOTAL'!AC290</f>
        <v>0</v>
      </c>
      <c r="Q220" s="70" t="str">
        <f>'RESUMEN TOTAL'!AD290</f>
        <v>APAGADO</v>
      </c>
      <c r="R220" s="70">
        <f>'RESUMEN TOTAL'!AE290</f>
        <v>0</v>
      </c>
      <c r="S220" s="70">
        <f>'RESUMEN TOTAL'!AF290</f>
        <v>0</v>
      </c>
      <c r="T220" s="70">
        <f>'RESUMEN TOTAL'!AG290</f>
        <v>0</v>
      </c>
      <c r="U220" s="70">
        <f>'RESUMEN TOTAL'!AH290</f>
        <v>0</v>
      </c>
      <c r="V220" s="70">
        <f>'RESUMEN TOTAL'!AI290</f>
        <v>0</v>
      </c>
      <c r="W220" s="70">
        <f>'RESUMEN TOTAL'!AJ290</f>
        <v>0</v>
      </c>
      <c r="X220" s="70">
        <f>'RESUMEN TOTAL'!AK290</f>
        <v>0</v>
      </c>
      <c r="Y220" s="70">
        <f>'RESUMEN TOTAL'!AL290</f>
        <v>0</v>
      </c>
      <c r="Z220" s="70">
        <f>'RESUMEN TOTAL'!AM290</f>
        <v>0</v>
      </c>
      <c r="AA220" s="70">
        <f>'RESUMEN TOTAL'!AN290</f>
        <v>0</v>
      </c>
      <c r="AB220" s="70">
        <f>'RESUMEN TOTAL'!AO290</f>
        <v>0</v>
      </c>
      <c r="AC220" s="70">
        <f>'RESUMEN TOTAL'!AP290</f>
        <v>0</v>
      </c>
      <c r="AD220" s="70">
        <f>'RESUMEN TOTAL'!AQ290</f>
        <v>0</v>
      </c>
      <c r="AE220" s="70">
        <f>'RESUMEN TOTAL'!AR290</f>
        <v>0</v>
      </c>
      <c r="AF220" s="70">
        <f>'RESUMEN TOTAL'!AS290</f>
        <v>0</v>
      </c>
      <c r="AG220" s="70">
        <f>'RESUMEN TOTAL'!AT290</f>
        <v>0</v>
      </c>
      <c r="AH220" s="70">
        <f>'RESUMEN TOTAL'!AU290</f>
        <v>0</v>
      </c>
      <c r="AI220" s="70">
        <f>'RESUMEN TOTAL'!AV290</f>
        <v>0</v>
      </c>
      <c r="AJ220" s="70" t="e">
        <f>'RESUMEN TOTAL'!#REF!</f>
        <v>#REF!</v>
      </c>
    </row>
    <row r="221" spans="1:36" x14ac:dyDescent="0.25">
      <c r="A221" t="str">
        <f>'RESUMEN TOTAL'!F291</f>
        <v>CENTRO</v>
      </c>
      <c r="B221" t="str">
        <f>'RESUMEN TOTAL'!G291</f>
        <v>NJU06</v>
      </c>
      <c r="C221" t="str">
        <f>'RESUMEN TOTAL'!I291</f>
        <v>Sallares y Rodo</v>
      </c>
      <c r="D221" s="30" t="str">
        <f>'RESUMEN TOTAL'!J291</f>
        <v>Domo</v>
      </c>
      <c r="E221" s="30" t="str">
        <f>'RESUMEN TOTAL'!K291</f>
        <v>Fibra Optica</v>
      </c>
      <c r="F221" s="70">
        <f>'RESUMEN TOTAL'!S291</f>
        <v>0</v>
      </c>
      <c r="G221" s="70">
        <f>'RESUMEN TOTAL'!T291</f>
        <v>0</v>
      </c>
      <c r="H221" s="70">
        <f>'RESUMEN TOTAL'!U291</f>
        <v>0</v>
      </c>
      <c r="I221" s="70" t="str">
        <f>'RESUMEN TOTAL'!V291</f>
        <v>APAGADO</v>
      </c>
      <c r="J221" s="70">
        <f>'RESUMEN TOTAL'!W291</f>
        <v>0</v>
      </c>
      <c r="K221" s="70">
        <f>'RESUMEN TOTAL'!X291</f>
        <v>0</v>
      </c>
      <c r="L221" s="70">
        <f>'RESUMEN TOTAL'!Y291</f>
        <v>0</v>
      </c>
      <c r="M221" s="70">
        <f>'RESUMEN TOTAL'!Z291</f>
        <v>0</v>
      </c>
      <c r="N221" s="70">
        <f>'RESUMEN TOTAL'!AA291</f>
        <v>0</v>
      </c>
      <c r="O221" s="70">
        <f>'RESUMEN TOTAL'!AB291</f>
        <v>0</v>
      </c>
      <c r="P221" s="70">
        <f>'RESUMEN TOTAL'!AC291</f>
        <v>0</v>
      </c>
      <c r="Q221" s="70">
        <f>'RESUMEN TOTAL'!AD291</f>
        <v>0</v>
      </c>
      <c r="R221" s="70">
        <f>'RESUMEN TOTAL'!AE291</f>
        <v>0</v>
      </c>
      <c r="S221" s="70">
        <f>'RESUMEN TOTAL'!AF291</f>
        <v>0</v>
      </c>
      <c r="T221" s="70">
        <f>'RESUMEN TOTAL'!AG291</f>
        <v>0</v>
      </c>
      <c r="U221" s="70">
        <f>'RESUMEN TOTAL'!AH291</f>
        <v>0</v>
      </c>
      <c r="V221" s="70">
        <f>'RESUMEN TOTAL'!AI291</f>
        <v>0</v>
      </c>
      <c r="W221" s="70">
        <f>'RESUMEN TOTAL'!AJ291</f>
        <v>0</v>
      </c>
      <c r="X221" s="70">
        <f>'RESUMEN TOTAL'!AK291</f>
        <v>0</v>
      </c>
      <c r="Y221" s="70">
        <f>'RESUMEN TOTAL'!AL291</f>
        <v>0</v>
      </c>
      <c r="Z221" s="70">
        <f>'RESUMEN TOTAL'!AM291</f>
        <v>0</v>
      </c>
      <c r="AA221" s="70">
        <f>'RESUMEN TOTAL'!AN291</f>
        <v>0</v>
      </c>
      <c r="AB221" s="70">
        <f>'RESUMEN TOTAL'!AO291</f>
        <v>0</v>
      </c>
      <c r="AC221" s="70">
        <f>'RESUMEN TOTAL'!AP291</f>
        <v>0</v>
      </c>
      <c r="AD221" s="70">
        <f>'RESUMEN TOTAL'!AQ291</f>
        <v>0</v>
      </c>
      <c r="AE221" s="70">
        <f>'RESUMEN TOTAL'!AR291</f>
        <v>0</v>
      </c>
      <c r="AF221" s="70">
        <f>'RESUMEN TOTAL'!AS291</f>
        <v>0</v>
      </c>
      <c r="AG221" s="70">
        <f>'RESUMEN TOTAL'!AT291</f>
        <v>0</v>
      </c>
      <c r="AH221" s="70">
        <f>'RESUMEN TOTAL'!AU291</f>
        <v>0</v>
      </c>
      <c r="AI221" s="70">
        <f>'RESUMEN TOTAL'!AV291</f>
        <v>0</v>
      </c>
      <c r="AJ221" s="70" t="e">
        <f>'RESUMEN TOTAL'!#REF!</f>
        <v>#REF!</v>
      </c>
    </row>
    <row r="222" spans="1:36" x14ac:dyDescent="0.25">
      <c r="A222" t="str">
        <f>'RESUMEN TOTAL'!F292</f>
        <v>9 DE JULIO</v>
      </c>
      <c r="B222" t="str">
        <f>'RESUMEN TOTAL'!G292</f>
        <v>NJU07</v>
      </c>
      <c r="C222" t="str">
        <f>'RESUMEN TOTAL'!I292</f>
        <v>Gral. Juan Domingo Peron y Parrillo</v>
      </c>
      <c r="D222" s="30" t="str">
        <f>'RESUMEN TOTAL'!J292</f>
        <v>Domo</v>
      </c>
      <c r="E222" s="30" t="str">
        <f>'RESUMEN TOTAL'!K292</f>
        <v>Fibra Optica</v>
      </c>
      <c r="F222" s="70">
        <f>'RESUMEN TOTAL'!S292</f>
        <v>0</v>
      </c>
      <c r="G222" s="70">
        <f>'RESUMEN TOTAL'!T292</f>
        <v>0</v>
      </c>
      <c r="H222" s="70">
        <f>'RESUMEN TOTAL'!U292</f>
        <v>0</v>
      </c>
      <c r="I222" s="70">
        <f>'RESUMEN TOTAL'!V292</f>
        <v>0</v>
      </c>
      <c r="J222" s="70">
        <f>'RESUMEN TOTAL'!W292</f>
        <v>0</v>
      </c>
      <c r="K222" s="70">
        <f>'RESUMEN TOTAL'!X292</f>
        <v>0</v>
      </c>
      <c r="L222" s="70">
        <f>'RESUMEN TOTAL'!Y292</f>
        <v>0</v>
      </c>
      <c r="M222" s="70">
        <f>'RESUMEN TOTAL'!Z292</f>
        <v>0</v>
      </c>
      <c r="N222" s="70">
        <f>'RESUMEN TOTAL'!AA292</f>
        <v>0</v>
      </c>
      <c r="O222" s="70">
        <f>'RESUMEN TOTAL'!AB292</f>
        <v>0</v>
      </c>
      <c r="P222" s="70">
        <f>'RESUMEN TOTAL'!AC292</f>
        <v>0</v>
      </c>
      <c r="Q222" s="70">
        <f>'RESUMEN TOTAL'!AD292</f>
        <v>0</v>
      </c>
      <c r="R222" s="70">
        <f>'RESUMEN TOTAL'!AE292</f>
        <v>0</v>
      </c>
      <c r="S222" s="70">
        <f>'RESUMEN TOTAL'!AF292</f>
        <v>0</v>
      </c>
      <c r="T222" s="70">
        <f>'RESUMEN TOTAL'!AG292</f>
        <v>0</v>
      </c>
      <c r="U222" s="70">
        <f>'RESUMEN TOTAL'!AH292</f>
        <v>0</v>
      </c>
      <c r="V222" s="70">
        <f>'RESUMEN TOTAL'!AI292</f>
        <v>0</v>
      </c>
      <c r="W222" s="70">
        <f>'RESUMEN TOTAL'!AJ292</f>
        <v>0</v>
      </c>
      <c r="X222" s="70">
        <f>'RESUMEN TOTAL'!AK292</f>
        <v>0</v>
      </c>
      <c r="Y222" s="70">
        <f>'RESUMEN TOTAL'!AL292</f>
        <v>0</v>
      </c>
      <c r="Z222" s="70" t="str">
        <f>'RESUMEN TOTAL'!AM292</f>
        <v>APAGADO</v>
      </c>
      <c r="AA222" s="70">
        <f>'RESUMEN TOTAL'!AN292</f>
        <v>0</v>
      </c>
      <c r="AB222" s="70">
        <f>'RESUMEN TOTAL'!AO292</f>
        <v>0</v>
      </c>
      <c r="AC222" s="70">
        <f>'RESUMEN TOTAL'!AP292</f>
        <v>0</v>
      </c>
      <c r="AD222" s="70">
        <f>'RESUMEN TOTAL'!AQ292</f>
        <v>0</v>
      </c>
      <c r="AE222" s="70">
        <f>'RESUMEN TOTAL'!AR292</f>
        <v>0</v>
      </c>
      <c r="AF222" s="70">
        <f>'RESUMEN TOTAL'!AS292</f>
        <v>0</v>
      </c>
      <c r="AG222" s="70">
        <f>'RESUMEN TOTAL'!AT292</f>
        <v>0</v>
      </c>
      <c r="AH222" s="70">
        <f>'RESUMEN TOTAL'!AU292</f>
        <v>0</v>
      </c>
      <c r="AI222" s="70">
        <f>'RESUMEN TOTAL'!AV292</f>
        <v>0</v>
      </c>
      <c r="AJ222" s="70" t="e">
        <f>'RESUMEN TOTAL'!#REF!</f>
        <v>#REF!</v>
      </c>
    </row>
    <row r="223" spans="1:36" x14ac:dyDescent="0.25">
      <c r="A223" t="str">
        <f>'RESUMEN TOTAL'!F293</f>
        <v>9 DE JULIO</v>
      </c>
      <c r="B223" t="str">
        <f>'RESUMEN TOTAL'!G293</f>
        <v>NJU09</v>
      </c>
      <c r="C223" t="str">
        <f>'RESUMEN TOTAL'!I293</f>
        <v>PARRILLO Y CONTRERAS</v>
      </c>
      <c r="D223" s="30" t="str">
        <f>'RESUMEN TOTAL'!J293</f>
        <v>DOMO</v>
      </c>
      <c r="E223" s="30" t="str">
        <f>'RESUMEN TOTAL'!K293</f>
        <v>GPON</v>
      </c>
      <c r="F223" s="70">
        <f>'RESUMEN TOTAL'!S293</f>
        <v>0</v>
      </c>
      <c r="G223" s="70">
        <f>'RESUMEN TOTAL'!T293</f>
        <v>0</v>
      </c>
      <c r="H223" s="70">
        <f>'RESUMEN TOTAL'!U293</f>
        <v>0</v>
      </c>
      <c r="I223" s="70">
        <f>'RESUMEN TOTAL'!V293</f>
        <v>0</v>
      </c>
      <c r="J223" s="70">
        <f>'RESUMEN TOTAL'!W293</f>
        <v>0</v>
      </c>
      <c r="K223" s="70">
        <f>'RESUMEN TOTAL'!X293</f>
        <v>0</v>
      </c>
      <c r="L223" s="70">
        <f>'RESUMEN TOTAL'!Y293</f>
        <v>0</v>
      </c>
      <c r="M223" s="70">
        <f>'RESUMEN TOTAL'!Z293</f>
        <v>0</v>
      </c>
      <c r="N223" s="70">
        <f>'RESUMEN TOTAL'!AA293</f>
        <v>0</v>
      </c>
      <c r="O223" s="70">
        <f>'RESUMEN TOTAL'!AB293</f>
        <v>0</v>
      </c>
      <c r="P223" s="70" t="str">
        <f>'RESUMEN TOTAL'!AC293</f>
        <v>APAGADO</v>
      </c>
      <c r="Q223" s="70" t="str">
        <f>'RESUMEN TOTAL'!AD293</f>
        <v>APAGADO</v>
      </c>
      <c r="R223" s="70" t="str">
        <f>'RESUMEN TOTAL'!AE293</f>
        <v>APAGADO</v>
      </c>
      <c r="S223" s="70" t="str">
        <f>'RESUMEN TOTAL'!AF293</f>
        <v>APAGADO</v>
      </c>
      <c r="T223" s="70">
        <f>'RESUMEN TOTAL'!AG293</f>
        <v>0</v>
      </c>
      <c r="U223" s="70">
        <f>'RESUMEN TOTAL'!AH293</f>
        <v>0</v>
      </c>
      <c r="V223" s="70">
        <f>'RESUMEN TOTAL'!AI293</f>
        <v>0</v>
      </c>
      <c r="W223" s="70" t="str">
        <f>'RESUMEN TOTAL'!AJ293</f>
        <v>APAGADO</v>
      </c>
      <c r="X223" s="70" t="str">
        <f>'RESUMEN TOTAL'!AK293</f>
        <v>APAGADO</v>
      </c>
      <c r="Y223" s="70" t="str">
        <f>'RESUMEN TOTAL'!AL293</f>
        <v>APAGADO</v>
      </c>
      <c r="Z223" s="70">
        <f>'RESUMEN TOTAL'!AM293</f>
        <v>0</v>
      </c>
      <c r="AA223" s="70">
        <f>'RESUMEN TOTAL'!AN293</f>
        <v>0</v>
      </c>
      <c r="AB223" s="70">
        <f>'RESUMEN TOTAL'!AO293</f>
        <v>0</v>
      </c>
      <c r="AC223" s="70">
        <f>'RESUMEN TOTAL'!AP293</f>
        <v>0</v>
      </c>
      <c r="AD223" s="70">
        <f>'RESUMEN TOTAL'!AQ293</f>
        <v>0</v>
      </c>
      <c r="AE223" s="70">
        <f>'RESUMEN TOTAL'!AR293</f>
        <v>0</v>
      </c>
      <c r="AF223" s="70">
        <f>'RESUMEN TOTAL'!AS293</f>
        <v>0</v>
      </c>
      <c r="AG223" s="70">
        <f>'RESUMEN TOTAL'!AT293</f>
        <v>0</v>
      </c>
      <c r="AH223" s="70">
        <f>'RESUMEN TOTAL'!AU293</f>
        <v>0</v>
      </c>
      <c r="AI223" s="70">
        <f>'RESUMEN TOTAL'!AV293</f>
        <v>0</v>
      </c>
      <c r="AJ223" s="70" t="e">
        <f>'RESUMEN TOTAL'!#REF!</f>
        <v>#REF!</v>
      </c>
    </row>
    <row r="224" spans="1:36" x14ac:dyDescent="0.25">
      <c r="A224" t="str">
        <f>'RESUMEN TOTAL'!F294</f>
        <v>9 DE JULIO</v>
      </c>
      <c r="B224" t="str">
        <f>'RESUMEN TOTAL'!G294</f>
        <v>NJU10</v>
      </c>
      <c r="C224" t="str">
        <f>'RESUMEN TOTAL'!I294</f>
        <v>BOCUZZI Y BARO</v>
      </c>
      <c r="D224" s="30" t="str">
        <f>'RESUMEN TOTAL'!J294</f>
        <v>DOMO</v>
      </c>
      <c r="E224" s="30" t="str">
        <f>'RESUMEN TOTAL'!K294</f>
        <v>GPON</v>
      </c>
      <c r="F224" s="70">
        <f>'RESUMEN TOTAL'!S294</f>
        <v>0</v>
      </c>
      <c r="G224" s="70">
        <f>'RESUMEN TOTAL'!T294</f>
        <v>0</v>
      </c>
      <c r="H224" s="70">
        <f>'RESUMEN TOTAL'!U294</f>
        <v>0</v>
      </c>
      <c r="I224" s="70">
        <f>'RESUMEN TOTAL'!V294</f>
        <v>0</v>
      </c>
      <c r="J224" s="70">
        <f>'RESUMEN TOTAL'!W294</f>
        <v>0</v>
      </c>
      <c r="K224" s="70">
        <f>'RESUMEN TOTAL'!X294</f>
        <v>0</v>
      </c>
      <c r="L224" s="70">
        <f>'RESUMEN TOTAL'!Y294</f>
        <v>0</v>
      </c>
      <c r="M224" s="70">
        <f>'RESUMEN TOTAL'!Z294</f>
        <v>0</v>
      </c>
      <c r="N224" s="70">
        <f>'RESUMEN TOTAL'!AA294</f>
        <v>0</v>
      </c>
      <c r="O224" s="70">
        <f>'RESUMEN TOTAL'!AB294</f>
        <v>0</v>
      </c>
      <c r="P224" s="70" t="str">
        <f>'RESUMEN TOTAL'!AC294</f>
        <v>APAGADO</v>
      </c>
      <c r="Q224" s="70">
        <f>'RESUMEN TOTAL'!AD294</f>
        <v>0</v>
      </c>
      <c r="R224" s="70" t="str">
        <f>'RESUMEN TOTAL'!AE294</f>
        <v>APAGADO</v>
      </c>
      <c r="S224" s="70" t="str">
        <f>'RESUMEN TOTAL'!AF294</f>
        <v>APAGADO</v>
      </c>
      <c r="T224" s="70" t="str">
        <f>'RESUMEN TOTAL'!AG294</f>
        <v>APAGADO</v>
      </c>
      <c r="U224" s="70">
        <f>'RESUMEN TOTAL'!AH294</f>
        <v>0</v>
      </c>
      <c r="V224" s="70">
        <f>'RESUMEN TOTAL'!AI294</f>
        <v>0</v>
      </c>
      <c r="W224" s="70" t="str">
        <f>'RESUMEN TOTAL'!AJ294</f>
        <v>APAGADO</v>
      </c>
      <c r="X224" s="70" t="str">
        <f>'RESUMEN TOTAL'!AK294</f>
        <v>APAGADO</v>
      </c>
      <c r="Y224" s="70" t="str">
        <f>'RESUMEN TOTAL'!AL294</f>
        <v>APAGADO</v>
      </c>
      <c r="Z224" s="70" t="str">
        <f>'RESUMEN TOTAL'!AM294</f>
        <v>APAGADO</v>
      </c>
      <c r="AA224" s="70">
        <f>'RESUMEN TOTAL'!AN294</f>
        <v>0</v>
      </c>
      <c r="AB224" s="70">
        <f>'RESUMEN TOTAL'!AO294</f>
        <v>0</v>
      </c>
      <c r="AC224" s="70">
        <f>'RESUMEN TOTAL'!AP294</f>
        <v>0</v>
      </c>
      <c r="AD224" s="70">
        <f>'RESUMEN TOTAL'!AQ294</f>
        <v>0</v>
      </c>
      <c r="AE224" s="70">
        <f>'RESUMEN TOTAL'!AR294</f>
        <v>0</v>
      </c>
      <c r="AF224" s="70">
        <f>'RESUMEN TOTAL'!AS294</f>
        <v>0</v>
      </c>
      <c r="AG224" s="70">
        <f>'RESUMEN TOTAL'!AT294</f>
        <v>0</v>
      </c>
      <c r="AH224" s="70">
        <f>'RESUMEN TOTAL'!AU294</f>
        <v>0</v>
      </c>
      <c r="AI224" s="70">
        <f>'RESUMEN TOTAL'!AV294</f>
        <v>0</v>
      </c>
      <c r="AJ224" s="70" t="e">
        <f>'RESUMEN TOTAL'!#REF!</f>
        <v>#REF!</v>
      </c>
    </row>
    <row r="225" spans="1:36" x14ac:dyDescent="0.25">
      <c r="A225" t="str">
        <f>'RESUMEN TOTAL'!F295</f>
        <v>10 DE JULIO</v>
      </c>
      <c r="B225" t="str">
        <f>'RESUMEN TOTAL'!G295</f>
        <v>NJU11</v>
      </c>
      <c r="C225" t="str">
        <f>'RESUMEN TOTAL'!I295</f>
        <v>Tte:Peron y Chile</v>
      </c>
      <c r="D225" s="30" t="str">
        <f>'RESUMEN TOTAL'!J295</f>
        <v>Domo</v>
      </c>
      <c r="E225" s="30" t="str">
        <f>'RESUMEN TOTAL'!K295</f>
        <v>GPON</v>
      </c>
      <c r="F225" s="70">
        <f>'RESUMEN TOTAL'!S295</f>
        <v>0</v>
      </c>
      <c r="G225" s="70">
        <f>'RESUMEN TOTAL'!T295</f>
        <v>0</v>
      </c>
      <c r="H225" s="70">
        <f>'RESUMEN TOTAL'!U295</f>
        <v>0</v>
      </c>
      <c r="I225" s="70">
        <f>'RESUMEN TOTAL'!V295</f>
        <v>0</v>
      </c>
      <c r="J225" s="70">
        <f>'RESUMEN TOTAL'!W295</f>
        <v>0</v>
      </c>
      <c r="K225" s="70">
        <f>'RESUMEN TOTAL'!X295</f>
        <v>0</v>
      </c>
      <c r="L225" s="70">
        <f>'RESUMEN TOTAL'!Y295</f>
        <v>0</v>
      </c>
      <c r="M225" s="70">
        <f>'RESUMEN TOTAL'!Z295</f>
        <v>0</v>
      </c>
      <c r="N225" s="70">
        <f>'RESUMEN TOTAL'!AA295</f>
        <v>0</v>
      </c>
      <c r="O225" s="70">
        <f>'RESUMEN TOTAL'!AB295</f>
        <v>0</v>
      </c>
      <c r="P225" s="70">
        <f>'RESUMEN TOTAL'!AC295</f>
        <v>0</v>
      </c>
      <c r="Q225" s="70">
        <f>'RESUMEN TOTAL'!AD295</f>
        <v>0</v>
      </c>
      <c r="R225" s="70">
        <f>'RESUMEN TOTAL'!AE295</f>
        <v>0</v>
      </c>
      <c r="S225" s="70">
        <f>'RESUMEN TOTAL'!AF295</f>
        <v>0</v>
      </c>
      <c r="T225" s="70">
        <f>'RESUMEN TOTAL'!AG295</f>
        <v>0</v>
      </c>
      <c r="U225" s="70">
        <f>'RESUMEN TOTAL'!AH295</f>
        <v>0</v>
      </c>
      <c r="V225" s="70">
        <f>'RESUMEN TOTAL'!AI295</f>
        <v>0</v>
      </c>
      <c r="W225" s="70">
        <f>'RESUMEN TOTAL'!AJ295</f>
        <v>0</v>
      </c>
      <c r="X225" s="70">
        <f>'RESUMEN TOTAL'!AK295</f>
        <v>0</v>
      </c>
      <c r="Y225" s="70">
        <f>'RESUMEN TOTAL'!AL295</f>
        <v>0</v>
      </c>
      <c r="Z225" s="70">
        <f>'RESUMEN TOTAL'!AM295</f>
        <v>0</v>
      </c>
      <c r="AA225" s="70">
        <f>'RESUMEN TOTAL'!AN295</f>
        <v>0</v>
      </c>
      <c r="AB225" s="70">
        <f>'RESUMEN TOTAL'!AO295</f>
        <v>0</v>
      </c>
      <c r="AC225" s="70">
        <f>'RESUMEN TOTAL'!AP295</f>
        <v>0</v>
      </c>
      <c r="AD225" s="70">
        <f>'RESUMEN TOTAL'!AQ295</f>
        <v>0</v>
      </c>
      <c r="AE225" s="70">
        <f>'RESUMEN TOTAL'!AR295</f>
        <v>0</v>
      </c>
      <c r="AF225" s="70">
        <f>'RESUMEN TOTAL'!AS295</f>
        <v>0</v>
      </c>
      <c r="AG225" s="70">
        <f>'RESUMEN TOTAL'!AT295</f>
        <v>0</v>
      </c>
      <c r="AH225" s="70">
        <f>'RESUMEN TOTAL'!AU295</f>
        <v>0</v>
      </c>
      <c r="AI225" s="70">
        <f>'RESUMEN TOTAL'!AV295</f>
        <v>0</v>
      </c>
      <c r="AJ225" s="70" t="e">
        <f>'RESUMEN TOTAL'!#REF!</f>
        <v>#REF!</v>
      </c>
    </row>
    <row r="226" spans="1:36" x14ac:dyDescent="0.25">
      <c r="A226" t="str">
        <f>'RESUMEN TOTAL'!F296</f>
        <v>10 DE JULIO</v>
      </c>
      <c r="B226" t="str">
        <f>'RESUMEN TOTAL'!G296</f>
        <v>NJU12</v>
      </c>
      <c r="C226" t="str">
        <f>'RESUMEN TOTAL'!I296</f>
        <v>Bocuzzi y Rodo</v>
      </c>
      <c r="D226" s="30" t="str">
        <f>'RESUMEN TOTAL'!J296</f>
        <v>Domo</v>
      </c>
      <c r="E226" s="30" t="str">
        <f>'RESUMEN TOTAL'!K296</f>
        <v>Fibra Optica</v>
      </c>
      <c r="F226" s="70">
        <f>'RESUMEN TOTAL'!S296</f>
        <v>0</v>
      </c>
      <c r="G226" s="70">
        <f>'RESUMEN TOTAL'!T296</f>
        <v>0</v>
      </c>
      <c r="H226" s="70">
        <f>'RESUMEN TOTAL'!U296</f>
        <v>0</v>
      </c>
      <c r="I226" s="70">
        <f>'RESUMEN TOTAL'!V296</f>
        <v>0</v>
      </c>
      <c r="J226" s="70">
        <f>'RESUMEN TOTAL'!W296</f>
        <v>0</v>
      </c>
      <c r="K226" s="70">
        <f>'RESUMEN TOTAL'!X296</f>
        <v>0</v>
      </c>
      <c r="L226" s="70">
        <f>'RESUMEN TOTAL'!Y296</f>
        <v>0</v>
      </c>
      <c r="M226" s="70">
        <f>'RESUMEN TOTAL'!Z296</f>
        <v>0</v>
      </c>
      <c r="N226" s="70">
        <f>'RESUMEN TOTAL'!AA296</f>
        <v>0</v>
      </c>
      <c r="O226" s="70">
        <f>'RESUMEN TOTAL'!AB296</f>
        <v>0</v>
      </c>
      <c r="P226" s="70">
        <f>'RESUMEN TOTAL'!AC296</f>
        <v>0</v>
      </c>
      <c r="Q226" s="70">
        <f>'RESUMEN TOTAL'!AD296</f>
        <v>0</v>
      </c>
      <c r="R226" s="70">
        <f>'RESUMEN TOTAL'!AE296</f>
        <v>0</v>
      </c>
      <c r="S226" s="70">
        <f>'RESUMEN TOTAL'!AF296</f>
        <v>0</v>
      </c>
      <c r="T226" s="70">
        <f>'RESUMEN TOTAL'!AG296</f>
        <v>0</v>
      </c>
      <c r="U226" s="70">
        <f>'RESUMEN TOTAL'!AH296</f>
        <v>0</v>
      </c>
      <c r="V226" s="70">
        <f>'RESUMEN TOTAL'!AI296</f>
        <v>0</v>
      </c>
      <c r="W226" s="70">
        <f>'RESUMEN TOTAL'!AJ296</f>
        <v>0</v>
      </c>
      <c r="X226" s="70">
        <f>'RESUMEN TOTAL'!AK296</f>
        <v>0</v>
      </c>
      <c r="Y226" s="70">
        <f>'RESUMEN TOTAL'!AL296</f>
        <v>0</v>
      </c>
      <c r="Z226" s="70">
        <f>'RESUMEN TOTAL'!AM296</f>
        <v>0</v>
      </c>
      <c r="AA226" s="70">
        <f>'RESUMEN TOTAL'!AN296</f>
        <v>0</v>
      </c>
      <c r="AB226" s="70">
        <f>'RESUMEN TOTAL'!AO296</f>
        <v>0</v>
      </c>
      <c r="AC226" s="70">
        <f>'RESUMEN TOTAL'!AP296</f>
        <v>0</v>
      </c>
      <c r="AD226" s="70">
        <f>'RESUMEN TOTAL'!AQ296</f>
        <v>0</v>
      </c>
      <c r="AE226" s="70">
        <f>'RESUMEN TOTAL'!AR296</f>
        <v>0</v>
      </c>
      <c r="AF226" s="70">
        <f>'RESUMEN TOTAL'!AS296</f>
        <v>0</v>
      </c>
      <c r="AG226" s="70">
        <f>'RESUMEN TOTAL'!AT296</f>
        <v>0</v>
      </c>
      <c r="AH226" s="70">
        <f>'RESUMEN TOTAL'!AU296</f>
        <v>0</v>
      </c>
      <c r="AI226" s="70">
        <f>'RESUMEN TOTAL'!AV296</f>
        <v>0</v>
      </c>
      <c r="AJ226" s="70" t="e">
        <f>'RESUMEN TOTAL'!#REF!</f>
        <v>#REF!</v>
      </c>
    </row>
    <row r="227" spans="1:36" x14ac:dyDescent="0.25">
      <c r="A227" t="str">
        <f>'RESUMEN TOTAL'!F300</f>
        <v>PICO DE ORO</v>
      </c>
      <c r="B227" t="str">
        <f>'RESUMEN TOTAL'!G300</f>
        <v>PCO 01</v>
      </c>
      <c r="C227" t="str">
        <f>'RESUMEN TOTAL'!I300</f>
        <v>CEMENTERIO</v>
      </c>
      <c r="D227" s="30" t="str">
        <f>'RESUMEN TOTAL'!J300</f>
        <v>DOMO</v>
      </c>
      <c r="E227" s="30" t="str">
        <f>'RESUMEN TOTAL'!K300</f>
        <v>Fibra Optica</v>
      </c>
      <c r="F227" s="70">
        <f>'RESUMEN TOTAL'!S300</f>
        <v>0</v>
      </c>
      <c r="G227" s="70">
        <f>'RESUMEN TOTAL'!T300</f>
        <v>0</v>
      </c>
      <c r="H227" s="70">
        <f>'RESUMEN TOTAL'!U300</f>
        <v>0</v>
      </c>
      <c r="I227" s="70" t="str">
        <f>'RESUMEN TOTAL'!V300</f>
        <v>APAGADO</v>
      </c>
      <c r="J227" s="70" t="str">
        <f>'RESUMEN TOTAL'!W300</f>
        <v>APAGADO</v>
      </c>
      <c r="K227" s="70" t="str">
        <f>'RESUMEN TOTAL'!X300</f>
        <v>APAGADO</v>
      </c>
      <c r="L227" s="70" t="str">
        <f>'RESUMEN TOTAL'!Y300</f>
        <v>APAGADO</v>
      </c>
      <c r="M227" s="70" t="str">
        <f>'RESUMEN TOTAL'!Z300</f>
        <v>APAGADO</v>
      </c>
      <c r="N227" s="70">
        <f>'RESUMEN TOTAL'!AA300</f>
        <v>0</v>
      </c>
      <c r="O227" s="70">
        <f>'RESUMEN TOTAL'!AB300</f>
        <v>0</v>
      </c>
      <c r="P227" s="70">
        <f>'RESUMEN TOTAL'!AC300</f>
        <v>0</v>
      </c>
      <c r="Q227" s="70">
        <f>'RESUMEN TOTAL'!AD300</f>
        <v>0</v>
      </c>
      <c r="R227" s="70" t="str">
        <f>'RESUMEN TOTAL'!AE300</f>
        <v>APAGADO</v>
      </c>
      <c r="S227" s="70" t="str">
        <f>'RESUMEN TOTAL'!AF300</f>
        <v>APAGADO</v>
      </c>
      <c r="T227" s="70" t="str">
        <f>'RESUMEN TOTAL'!AG300</f>
        <v>APAGADO</v>
      </c>
      <c r="U227" s="70">
        <f>'RESUMEN TOTAL'!AH300</f>
        <v>0</v>
      </c>
      <c r="V227" s="70">
        <f>'RESUMEN TOTAL'!AI300</f>
        <v>0</v>
      </c>
      <c r="W227" s="70">
        <f>'RESUMEN TOTAL'!AJ300</f>
        <v>0</v>
      </c>
      <c r="X227" s="70">
        <f>'RESUMEN TOTAL'!AK300</f>
        <v>0</v>
      </c>
      <c r="Y227" s="70">
        <f>'RESUMEN TOTAL'!AL300</f>
        <v>0</v>
      </c>
      <c r="Z227" s="70">
        <f>'RESUMEN TOTAL'!AM300</f>
        <v>0</v>
      </c>
      <c r="AA227" s="70">
        <f>'RESUMEN TOTAL'!AN300</f>
        <v>0</v>
      </c>
      <c r="AB227" s="70">
        <f>'RESUMEN TOTAL'!AO300</f>
        <v>0</v>
      </c>
      <c r="AC227" s="70">
        <f>'RESUMEN TOTAL'!AP300</f>
        <v>0</v>
      </c>
      <c r="AD227" s="70">
        <f>'RESUMEN TOTAL'!AQ300</f>
        <v>0</v>
      </c>
      <c r="AE227" s="70">
        <f>'RESUMEN TOTAL'!AR300</f>
        <v>0</v>
      </c>
      <c r="AF227" s="70">
        <f>'RESUMEN TOTAL'!AS300</f>
        <v>0</v>
      </c>
      <c r="AG227" s="70">
        <f>'RESUMEN TOTAL'!AT300</f>
        <v>0</v>
      </c>
      <c r="AH227" s="70">
        <f>'RESUMEN TOTAL'!AU300</f>
        <v>0</v>
      </c>
      <c r="AI227" s="70">
        <f>'RESUMEN TOTAL'!AV300</f>
        <v>0</v>
      </c>
      <c r="AJ227" s="70" t="e">
        <f>'RESUMEN TOTAL'!#REF!</f>
        <v>#REF!</v>
      </c>
    </row>
    <row r="228" spans="1:36" x14ac:dyDescent="0.25">
      <c r="A228" t="str">
        <f>'RESUMEN TOTAL'!F301</f>
        <v>PICO DE ORO</v>
      </c>
      <c r="B228" t="str">
        <f>'RESUMEN TOTAL'!G301</f>
        <v>PCO02 (fija 1)</v>
      </c>
      <c r="C228" t="str">
        <f>'RESUMEN TOTAL'!I301</f>
        <v>SICILIA E/ VIENA Y VARSOVIA</v>
      </c>
      <c r="D228" s="30" t="str">
        <f>'RESUMEN TOTAL'!J301</f>
        <v>Fija</v>
      </c>
      <c r="E228" s="30" t="str">
        <f>'RESUMEN TOTAL'!K301</f>
        <v>Fibra Optica</v>
      </c>
      <c r="F228" s="70">
        <f>'RESUMEN TOTAL'!S301</f>
        <v>0</v>
      </c>
      <c r="G228" s="70">
        <f>'RESUMEN TOTAL'!T301</f>
        <v>0</v>
      </c>
      <c r="H228" s="70">
        <f>'RESUMEN TOTAL'!U301</f>
        <v>0</v>
      </c>
      <c r="I228" s="70" t="str">
        <f>'RESUMEN TOTAL'!V301</f>
        <v>APAGADO</v>
      </c>
      <c r="J228" s="70" t="str">
        <f>'RESUMEN TOTAL'!W301</f>
        <v>APAGADO</v>
      </c>
      <c r="K228" s="70" t="str">
        <f>'RESUMEN TOTAL'!X301</f>
        <v>APAGADO</v>
      </c>
      <c r="L228" s="70" t="str">
        <f>'RESUMEN TOTAL'!Y301</f>
        <v>APAGADO</v>
      </c>
      <c r="M228" s="70" t="str">
        <f>'RESUMEN TOTAL'!Z301</f>
        <v>APAGADO</v>
      </c>
      <c r="N228" s="70">
        <f>'RESUMEN TOTAL'!AA301</f>
        <v>0</v>
      </c>
      <c r="O228" s="70">
        <f>'RESUMEN TOTAL'!AB301</f>
        <v>0</v>
      </c>
      <c r="P228" s="70">
        <f>'RESUMEN TOTAL'!AC301</f>
        <v>0</v>
      </c>
      <c r="Q228" s="70">
        <f>'RESUMEN TOTAL'!AD301</f>
        <v>0</v>
      </c>
      <c r="R228" s="70" t="str">
        <f>'RESUMEN TOTAL'!AE301</f>
        <v>APAGADO</v>
      </c>
      <c r="S228" s="70" t="str">
        <f>'RESUMEN TOTAL'!AF301</f>
        <v>APAGADO</v>
      </c>
      <c r="T228" s="70" t="str">
        <f>'RESUMEN TOTAL'!AG301</f>
        <v>APAGADO</v>
      </c>
      <c r="U228" s="70">
        <f>'RESUMEN TOTAL'!AH301</f>
        <v>0</v>
      </c>
      <c r="V228" s="70">
        <f>'RESUMEN TOTAL'!AI301</f>
        <v>0</v>
      </c>
      <c r="W228" s="70">
        <f>'RESUMEN TOTAL'!AJ301</f>
        <v>0</v>
      </c>
      <c r="X228" s="70">
        <f>'RESUMEN TOTAL'!AK301</f>
        <v>0</v>
      </c>
      <c r="Y228" s="70">
        <f>'RESUMEN TOTAL'!AL301</f>
        <v>0</v>
      </c>
      <c r="Z228" s="70">
        <f>'RESUMEN TOTAL'!AM301</f>
        <v>0</v>
      </c>
      <c r="AA228" s="70">
        <f>'RESUMEN TOTAL'!AN301</f>
        <v>0</v>
      </c>
      <c r="AB228" s="70">
        <f>'RESUMEN TOTAL'!AO301</f>
        <v>0</v>
      </c>
      <c r="AC228" s="70">
        <f>'RESUMEN TOTAL'!AP301</f>
        <v>0</v>
      </c>
      <c r="AD228" s="70">
        <f>'RESUMEN TOTAL'!AQ301</f>
        <v>0</v>
      </c>
      <c r="AE228" s="70">
        <f>'RESUMEN TOTAL'!AR301</f>
        <v>0</v>
      </c>
      <c r="AF228" s="70">
        <f>'RESUMEN TOTAL'!AS301</f>
        <v>0</v>
      </c>
      <c r="AG228" s="70">
        <f>'RESUMEN TOTAL'!AT301</f>
        <v>0</v>
      </c>
      <c r="AH228" s="70">
        <f>'RESUMEN TOTAL'!AU301</f>
        <v>0</v>
      </c>
      <c r="AI228" s="70">
        <f>'RESUMEN TOTAL'!AV301</f>
        <v>0</v>
      </c>
      <c r="AJ228" s="70" t="e">
        <f>'RESUMEN TOTAL'!#REF!</f>
        <v>#REF!</v>
      </c>
    </row>
    <row r="229" spans="1:36" x14ac:dyDescent="0.25">
      <c r="A229" t="str">
        <f>'RESUMEN TOTAL'!F302</f>
        <v>PICO DE ORO</v>
      </c>
      <c r="B229" t="str">
        <f>'RESUMEN TOTAL'!G302</f>
        <v>PCO03 (fija 2)</v>
      </c>
      <c r="C229" t="str">
        <f>'RESUMEN TOTAL'!I302</f>
        <v>SICILIA E/ VIENA Y VARSOVIA</v>
      </c>
      <c r="D229" s="30" t="str">
        <f>'RESUMEN TOTAL'!J302</f>
        <v>Fija</v>
      </c>
      <c r="E229" s="30" t="str">
        <f>'RESUMEN TOTAL'!K302</f>
        <v>Fibra Optica</v>
      </c>
      <c r="F229" s="70">
        <f>'RESUMEN TOTAL'!S302</f>
        <v>0</v>
      </c>
      <c r="G229" s="70">
        <f>'RESUMEN TOTAL'!T302</f>
        <v>0</v>
      </c>
      <c r="H229" s="70">
        <f>'RESUMEN TOTAL'!U302</f>
        <v>0</v>
      </c>
      <c r="I229" s="70" t="str">
        <f>'RESUMEN TOTAL'!V302</f>
        <v>APAGADO</v>
      </c>
      <c r="J229" s="70" t="str">
        <f>'RESUMEN TOTAL'!W302</f>
        <v>APAGADO</v>
      </c>
      <c r="K229" s="70" t="str">
        <f>'RESUMEN TOTAL'!X302</f>
        <v>APAGADO</v>
      </c>
      <c r="L229" s="70" t="str">
        <f>'RESUMEN TOTAL'!Y302</f>
        <v>APAGADO</v>
      </c>
      <c r="M229" s="70" t="str">
        <f>'RESUMEN TOTAL'!Z302</f>
        <v>APAGADO</v>
      </c>
      <c r="N229" s="70">
        <f>'RESUMEN TOTAL'!AA302</f>
        <v>0</v>
      </c>
      <c r="O229" s="70">
        <f>'RESUMEN TOTAL'!AB302</f>
        <v>0</v>
      </c>
      <c r="P229" s="70">
        <f>'RESUMEN TOTAL'!AC302</f>
        <v>0</v>
      </c>
      <c r="Q229" s="70">
        <f>'RESUMEN TOTAL'!AD302</f>
        <v>0</v>
      </c>
      <c r="R229" s="70" t="str">
        <f>'RESUMEN TOTAL'!AE302</f>
        <v>APAGADO</v>
      </c>
      <c r="S229" s="70" t="str">
        <f>'RESUMEN TOTAL'!AF302</f>
        <v>APAGADO</v>
      </c>
      <c r="T229" s="70" t="str">
        <f>'RESUMEN TOTAL'!AG302</f>
        <v>APAGADO</v>
      </c>
      <c r="U229" s="70">
        <f>'RESUMEN TOTAL'!AH302</f>
        <v>0</v>
      </c>
      <c r="V229" s="70">
        <f>'RESUMEN TOTAL'!AI302</f>
        <v>0</v>
      </c>
      <c r="W229" s="70">
        <f>'RESUMEN TOTAL'!AJ302</f>
        <v>0</v>
      </c>
      <c r="X229" s="70">
        <f>'RESUMEN TOTAL'!AK302</f>
        <v>0</v>
      </c>
      <c r="Y229" s="70">
        <f>'RESUMEN TOTAL'!AL302</f>
        <v>0</v>
      </c>
      <c r="Z229" s="70">
        <f>'RESUMEN TOTAL'!AM302</f>
        <v>0</v>
      </c>
      <c r="AA229" s="70">
        <f>'RESUMEN TOTAL'!AN302</f>
        <v>0</v>
      </c>
      <c r="AB229" s="70">
        <f>'RESUMEN TOTAL'!AO302</f>
        <v>0</v>
      </c>
      <c r="AC229" s="70">
        <f>'RESUMEN TOTAL'!AP302</f>
        <v>0</v>
      </c>
      <c r="AD229" s="70">
        <f>'RESUMEN TOTAL'!AQ302</f>
        <v>0</v>
      </c>
      <c r="AE229" s="70">
        <f>'RESUMEN TOTAL'!AR302</f>
        <v>0</v>
      </c>
      <c r="AF229" s="70">
        <f>'RESUMEN TOTAL'!AS302</f>
        <v>0</v>
      </c>
      <c r="AG229" s="70">
        <f>'RESUMEN TOTAL'!AT302</f>
        <v>0</v>
      </c>
      <c r="AH229" s="70">
        <f>'RESUMEN TOTAL'!AU302</f>
        <v>0</v>
      </c>
      <c r="AI229" s="70">
        <f>'RESUMEN TOTAL'!AV302</f>
        <v>0</v>
      </c>
      <c r="AJ229" s="70" t="e">
        <f>'RESUMEN TOTAL'!#REF!</f>
        <v>#REF!</v>
      </c>
    </row>
    <row r="230" spans="1:36" x14ac:dyDescent="0.25">
      <c r="A230" t="str">
        <f>'RESUMEN TOTAL'!F303</f>
        <v>PICO DE ORO</v>
      </c>
      <c r="B230" t="str">
        <f>'RESUMEN TOTAL'!G303</f>
        <v>PCO04 (fija 1)</v>
      </c>
      <c r="C230" t="str">
        <f>'RESUMEN TOTAL'!I303</f>
        <v>BERNA Y POLONIA</v>
      </c>
      <c r="D230" s="30" t="str">
        <f>'RESUMEN TOTAL'!J303</f>
        <v>Fija</v>
      </c>
      <c r="E230" s="30" t="str">
        <f>'RESUMEN TOTAL'!K303</f>
        <v>Fibra Optica</v>
      </c>
      <c r="F230" s="70">
        <f>'RESUMEN TOTAL'!S303</f>
        <v>0</v>
      </c>
      <c r="G230" s="70">
        <f>'RESUMEN TOTAL'!T303</f>
        <v>0</v>
      </c>
      <c r="H230" s="70">
        <f>'RESUMEN TOTAL'!U303</f>
        <v>0</v>
      </c>
      <c r="I230" s="70" t="str">
        <f>'RESUMEN TOTAL'!V303</f>
        <v>APAGADO</v>
      </c>
      <c r="J230" s="70" t="str">
        <f>'RESUMEN TOTAL'!W303</f>
        <v>APAGADO</v>
      </c>
      <c r="K230" s="70" t="str">
        <f>'RESUMEN TOTAL'!X303</f>
        <v>APAGADO</v>
      </c>
      <c r="L230" s="70" t="str">
        <f>'RESUMEN TOTAL'!Y303</f>
        <v>APAGADO</v>
      </c>
      <c r="M230" s="70" t="str">
        <f>'RESUMEN TOTAL'!Z303</f>
        <v>APAGADO</v>
      </c>
      <c r="N230" s="70">
        <f>'RESUMEN TOTAL'!AA303</f>
        <v>0</v>
      </c>
      <c r="O230" s="70">
        <f>'RESUMEN TOTAL'!AB303</f>
        <v>0</v>
      </c>
      <c r="P230" s="70" t="str">
        <f>'RESUMEN TOTAL'!AC303</f>
        <v>APAGADO</v>
      </c>
      <c r="Q230" s="70" t="str">
        <f>'RESUMEN TOTAL'!AD303</f>
        <v>APAGADO</v>
      </c>
      <c r="R230" s="70" t="str">
        <f>'RESUMEN TOTAL'!AE303</f>
        <v>APAGADO</v>
      </c>
      <c r="S230" s="70" t="str">
        <f>'RESUMEN TOTAL'!AF303</f>
        <v>APAGADO</v>
      </c>
      <c r="T230" s="70" t="str">
        <f>'RESUMEN TOTAL'!AG303</f>
        <v>APAGADO</v>
      </c>
      <c r="U230" s="70">
        <f>'RESUMEN TOTAL'!AH303</f>
        <v>0</v>
      </c>
      <c r="V230" s="70">
        <f>'RESUMEN TOTAL'!AI303</f>
        <v>0</v>
      </c>
      <c r="W230" s="70">
        <f>'RESUMEN TOTAL'!AJ303</f>
        <v>0</v>
      </c>
      <c r="X230" s="70">
        <f>'RESUMEN TOTAL'!AK303</f>
        <v>0</v>
      </c>
      <c r="Y230" s="70">
        <f>'RESUMEN TOTAL'!AL303</f>
        <v>0</v>
      </c>
      <c r="Z230" s="70">
        <f>'RESUMEN TOTAL'!AM303</f>
        <v>0</v>
      </c>
      <c r="AA230" s="70">
        <f>'RESUMEN TOTAL'!AN303</f>
        <v>0</v>
      </c>
      <c r="AB230" s="70">
        <f>'RESUMEN TOTAL'!AO303</f>
        <v>0</v>
      </c>
      <c r="AC230" s="70">
        <f>'RESUMEN TOTAL'!AP303</f>
        <v>0</v>
      </c>
      <c r="AD230" s="70">
        <f>'RESUMEN TOTAL'!AQ303</f>
        <v>0</v>
      </c>
      <c r="AE230" s="70">
        <f>'RESUMEN TOTAL'!AR303</f>
        <v>0</v>
      </c>
      <c r="AF230" s="70">
        <f>'RESUMEN TOTAL'!AS303</f>
        <v>0</v>
      </c>
      <c r="AG230" s="70">
        <f>'RESUMEN TOTAL'!AT303</f>
        <v>0</v>
      </c>
      <c r="AH230" s="70">
        <f>'RESUMEN TOTAL'!AU303</f>
        <v>0</v>
      </c>
      <c r="AI230" s="70">
        <f>'RESUMEN TOTAL'!AV303</f>
        <v>0</v>
      </c>
      <c r="AJ230" s="70" t="e">
        <f>'RESUMEN TOTAL'!#REF!</f>
        <v>#REF!</v>
      </c>
    </row>
    <row r="231" spans="1:36" x14ac:dyDescent="0.25">
      <c r="A231" t="str">
        <f>'RESUMEN TOTAL'!F304</f>
        <v>PICO DE ORO</v>
      </c>
      <c r="B231" t="str">
        <f>'RESUMEN TOTAL'!G304</f>
        <v>PCO05 (fija 2)</v>
      </c>
      <c r="C231" t="str">
        <f>'RESUMEN TOTAL'!I304</f>
        <v>BERNA Y POLONIA</v>
      </c>
      <c r="D231" s="30" t="str">
        <f>'RESUMEN TOTAL'!J304</f>
        <v>Fija</v>
      </c>
      <c r="E231" s="30" t="str">
        <f>'RESUMEN TOTAL'!K304</f>
        <v>Fibra Optica</v>
      </c>
      <c r="F231" s="70">
        <f>'RESUMEN TOTAL'!S304</f>
        <v>0</v>
      </c>
      <c r="G231" s="70">
        <f>'RESUMEN TOTAL'!T304</f>
        <v>0</v>
      </c>
      <c r="H231" s="70">
        <f>'RESUMEN TOTAL'!U304</f>
        <v>0</v>
      </c>
      <c r="I231" s="70" t="str">
        <f>'RESUMEN TOTAL'!V304</f>
        <v>APAGADO</v>
      </c>
      <c r="J231" s="70" t="str">
        <f>'RESUMEN TOTAL'!W304</f>
        <v>APAGADO</v>
      </c>
      <c r="K231" s="70" t="str">
        <f>'RESUMEN TOTAL'!X304</f>
        <v>APAGADO</v>
      </c>
      <c r="L231" s="70" t="str">
        <f>'RESUMEN TOTAL'!Y304</f>
        <v>APAGADO</v>
      </c>
      <c r="M231" s="70" t="str">
        <f>'RESUMEN TOTAL'!Z304</f>
        <v>APAGADO</v>
      </c>
      <c r="N231" s="70">
        <f>'RESUMEN TOTAL'!AA304</f>
        <v>0</v>
      </c>
      <c r="O231" s="70">
        <f>'RESUMEN TOTAL'!AB304</f>
        <v>0</v>
      </c>
      <c r="P231" s="70" t="str">
        <f>'RESUMEN TOTAL'!AC304</f>
        <v>APAGADO</v>
      </c>
      <c r="Q231" s="70" t="str">
        <f>'RESUMEN TOTAL'!AD304</f>
        <v>APAGADO</v>
      </c>
      <c r="R231" s="70" t="str">
        <f>'RESUMEN TOTAL'!AE304</f>
        <v>APAGADO</v>
      </c>
      <c r="S231" s="70" t="str">
        <f>'RESUMEN TOTAL'!AF304</f>
        <v>APAGADO</v>
      </c>
      <c r="T231" s="70" t="str">
        <f>'RESUMEN TOTAL'!AG304</f>
        <v>APAGADO</v>
      </c>
      <c r="U231" s="70">
        <f>'RESUMEN TOTAL'!AH304</f>
        <v>0</v>
      </c>
      <c r="V231" s="70">
        <f>'RESUMEN TOTAL'!AI304</f>
        <v>0</v>
      </c>
      <c r="W231" s="70">
        <f>'RESUMEN TOTAL'!AJ304</f>
        <v>0</v>
      </c>
      <c r="X231" s="70">
        <f>'RESUMEN TOTAL'!AK304</f>
        <v>0</v>
      </c>
      <c r="Y231" s="70">
        <f>'RESUMEN TOTAL'!AL304</f>
        <v>0</v>
      </c>
      <c r="Z231" s="70">
        <f>'RESUMEN TOTAL'!AM304</f>
        <v>0</v>
      </c>
      <c r="AA231" s="70">
        <f>'RESUMEN TOTAL'!AN304</f>
        <v>0</v>
      </c>
      <c r="AB231" s="70">
        <f>'RESUMEN TOTAL'!AO304</f>
        <v>0</v>
      </c>
      <c r="AC231" s="70">
        <f>'RESUMEN TOTAL'!AP304</f>
        <v>0</v>
      </c>
      <c r="AD231" s="70">
        <f>'RESUMEN TOTAL'!AQ304</f>
        <v>0</v>
      </c>
      <c r="AE231" s="70">
        <f>'RESUMEN TOTAL'!AR304</f>
        <v>0</v>
      </c>
      <c r="AF231" s="70">
        <f>'RESUMEN TOTAL'!AS304</f>
        <v>0</v>
      </c>
      <c r="AG231" s="70">
        <f>'RESUMEN TOTAL'!AT304</f>
        <v>0</v>
      </c>
      <c r="AH231" s="70">
        <f>'RESUMEN TOTAL'!AU304</f>
        <v>0</v>
      </c>
      <c r="AI231" s="70">
        <f>'RESUMEN TOTAL'!AV304</f>
        <v>0</v>
      </c>
      <c r="AJ231" s="70" t="e">
        <f>'RESUMEN TOTAL'!#REF!</f>
        <v>#REF!</v>
      </c>
    </row>
    <row r="232" spans="1:36" x14ac:dyDescent="0.25">
      <c r="A232" t="str">
        <f>'RESUMEN TOTAL'!F305</f>
        <v>AGUSTIN RAMIREZ</v>
      </c>
      <c r="B232" t="str">
        <f>'RESUMEN TOTAL'!G305</f>
        <v>PUNTO SEGURO - AGUSTIN RAMIREZ (domo)</v>
      </c>
      <c r="C232" t="str">
        <f>'RESUMEN TOTAL'!I305</f>
        <v>EL MALAMBO Y LA TRANQUERA</v>
      </c>
      <c r="D232" s="30" t="str">
        <f>'RESUMEN TOTAL'!J305</f>
        <v>DOMO</v>
      </c>
      <c r="E232" s="30" t="str">
        <f>'RESUMEN TOTAL'!K305</f>
        <v>Fibra Optica</v>
      </c>
      <c r="F232" s="70">
        <f>'RESUMEN TOTAL'!S305</f>
        <v>0</v>
      </c>
      <c r="G232" s="70">
        <f>'RESUMEN TOTAL'!T305</f>
        <v>0</v>
      </c>
      <c r="H232" s="70">
        <f>'RESUMEN TOTAL'!U305</f>
        <v>0</v>
      </c>
      <c r="I232" s="70">
        <f>'RESUMEN TOTAL'!V305</f>
        <v>0</v>
      </c>
      <c r="J232" s="70">
        <f>'RESUMEN TOTAL'!W305</f>
        <v>0</v>
      </c>
      <c r="K232" s="70">
        <f>'RESUMEN TOTAL'!X305</f>
        <v>0</v>
      </c>
      <c r="L232" s="70">
        <f>'RESUMEN TOTAL'!Y305</f>
        <v>0</v>
      </c>
      <c r="M232" s="70">
        <f>'RESUMEN TOTAL'!Z305</f>
        <v>0</v>
      </c>
      <c r="N232" s="70">
        <f>'RESUMEN TOTAL'!AA305</f>
        <v>0</v>
      </c>
      <c r="O232" s="70">
        <f>'RESUMEN TOTAL'!AB305</f>
        <v>0</v>
      </c>
      <c r="P232" s="70">
        <f>'RESUMEN TOTAL'!AC305</f>
        <v>0</v>
      </c>
      <c r="Q232" s="70">
        <f>'RESUMEN TOTAL'!AD305</f>
        <v>0</v>
      </c>
      <c r="R232" s="70">
        <f>'RESUMEN TOTAL'!AE305</f>
        <v>0</v>
      </c>
      <c r="S232" s="70">
        <f>'RESUMEN TOTAL'!AF305</f>
        <v>0</v>
      </c>
      <c r="T232" s="70">
        <f>'RESUMEN TOTAL'!AG305</f>
        <v>0</v>
      </c>
      <c r="U232" s="70">
        <f>'RESUMEN TOTAL'!AH305</f>
        <v>0</v>
      </c>
      <c r="V232" s="70">
        <f>'RESUMEN TOTAL'!AI305</f>
        <v>0</v>
      </c>
      <c r="W232" s="70">
        <f>'RESUMEN TOTAL'!AJ305</f>
        <v>0</v>
      </c>
      <c r="X232" s="70">
        <f>'RESUMEN TOTAL'!AK305</f>
        <v>0</v>
      </c>
      <c r="Y232" s="70">
        <f>'RESUMEN TOTAL'!AL305</f>
        <v>0</v>
      </c>
      <c r="Z232" s="70">
        <f>'RESUMEN TOTAL'!AM305</f>
        <v>0</v>
      </c>
      <c r="AA232" s="70">
        <f>'RESUMEN TOTAL'!AN305</f>
        <v>0</v>
      </c>
      <c r="AB232" s="70">
        <f>'RESUMEN TOTAL'!AO305</f>
        <v>0</v>
      </c>
      <c r="AC232" s="70">
        <f>'RESUMEN TOTAL'!AP305</f>
        <v>0</v>
      </c>
      <c r="AD232" s="70">
        <f>'RESUMEN TOTAL'!AQ305</f>
        <v>0</v>
      </c>
      <c r="AE232" s="70">
        <f>'RESUMEN TOTAL'!AR305</f>
        <v>0</v>
      </c>
      <c r="AF232" s="70">
        <f>'RESUMEN TOTAL'!AS305</f>
        <v>0</v>
      </c>
      <c r="AG232" s="70">
        <f>'RESUMEN TOTAL'!AT305</f>
        <v>0</v>
      </c>
      <c r="AH232" s="70">
        <f>'RESUMEN TOTAL'!AU305</f>
        <v>0</v>
      </c>
      <c r="AI232" s="70">
        <f>'RESUMEN TOTAL'!AV305</f>
        <v>0</v>
      </c>
      <c r="AJ232" s="70" t="e">
        <f>'RESUMEN TOTAL'!#REF!</f>
        <v>#REF!</v>
      </c>
    </row>
    <row r="233" spans="1:36" x14ac:dyDescent="0.25">
      <c r="A233" t="str">
        <f>'RESUMEN TOTAL'!F306</f>
        <v>AGUSTIN RAMIREZ</v>
      </c>
      <c r="B233" t="str">
        <f>'RESUMEN TOTAL'!G306</f>
        <v>PUNTO SEGURO - AGUSTIN RAMIREZ (fija)</v>
      </c>
      <c r="C233" t="str">
        <f>'RESUMEN TOTAL'!I306</f>
        <v>EL MALAMBO Y LA TRANQUERA</v>
      </c>
      <c r="D233" s="30" t="str">
        <f>'RESUMEN TOTAL'!J306</f>
        <v>Fija</v>
      </c>
      <c r="E233" s="30" t="str">
        <f>'RESUMEN TOTAL'!K306</f>
        <v>Fibra Optica</v>
      </c>
      <c r="F233" s="70">
        <f>'RESUMEN TOTAL'!S306</f>
        <v>0</v>
      </c>
      <c r="G233" s="70">
        <f>'RESUMEN TOTAL'!T306</f>
        <v>0</v>
      </c>
      <c r="H233" s="70">
        <f>'RESUMEN TOTAL'!U306</f>
        <v>0</v>
      </c>
      <c r="I233" s="70">
        <f>'RESUMEN TOTAL'!V306</f>
        <v>0</v>
      </c>
      <c r="J233" s="70">
        <f>'RESUMEN TOTAL'!W306</f>
        <v>0</v>
      </c>
      <c r="K233" s="70">
        <f>'RESUMEN TOTAL'!X306</f>
        <v>0</v>
      </c>
      <c r="L233" s="70">
        <f>'RESUMEN TOTAL'!Y306</f>
        <v>0</v>
      </c>
      <c r="M233" s="70">
        <f>'RESUMEN TOTAL'!Z306</f>
        <v>0</v>
      </c>
      <c r="N233" s="70">
        <f>'RESUMEN TOTAL'!AA306</f>
        <v>0</v>
      </c>
      <c r="O233" s="70">
        <f>'RESUMEN TOTAL'!AB306</f>
        <v>0</v>
      </c>
      <c r="P233" s="70">
        <f>'RESUMEN TOTAL'!AC306</f>
        <v>0</v>
      </c>
      <c r="Q233" s="70">
        <f>'RESUMEN TOTAL'!AD306</f>
        <v>0</v>
      </c>
      <c r="R233" s="70">
        <f>'RESUMEN TOTAL'!AE306</f>
        <v>0</v>
      </c>
      <c r="S233" s="70">
        <f>'RESUMEN TOTAL'!AF306</f>
        <v>0</v>
      </c>
      <c r="T233" s="70">
        <f>'RESUMEN TOTAL'!AG306</f>
        <v>0</v>
      </c>
      <c r="U233" s="70">
        <f>'RESUMEN TOTAL'!AH306</f>
        <v>0</v>
      </c>
      <c r="V233" s="70">
        <f>'RESUMEN TOTAL'!AI306</f>
        <v>0</v>
      </c>
      <c r="W233" s="70">
        <f>'RESUMEN TOTAL'!AJ306</f>
        <v>0</v>
      </c>
      <c r="X233" s="70">
        <f>'RESUMEN TOTAL'!AK306</f>
        <v>0</v>
      </c>
      <c r="Y233" s="70">
        <f>'RESUMEN TOTAL'!AL306</f>
        <v>0</v>
      </c>
      <c r="Z233" s="70">
        <f>'RESUMEN TOTAL'!AM306</f>
        <v>0</v>
      </c>
      <c r="AA233" s="70">
        <f>'RESUMEN TOTAL'!AN306</f>
        <v>0</v>
      </c>
      <c r="AB233" s="70">
        <f>'RESUMEN TOTAL'!AO306</f>
        <v>0</v>
      </c>
      <c r="AC233" s="70">
        <f>'RESUMEN TOTAL'!AP306</f>
        <v>0</v>
      </c>
      <c r="AD233" s="70">
        <f>'RESUMEN TOTAL'!AQ306</f>
        <v>0</v>
      </c>
      <c r="AE233" s="70">
        <f>'RESUMEN TOTAL'!AR306</f>
        <v>0</v>
      </c>
      <c r="AF233" s="70">
        <f>'RESUMEN TOTAL'!AS306</f>
        <v>0</v>
      </c>
      <c r="AG233" s="70">
        <f>'RESUMEN TOTAL'!AT306</f>
        <v>0</v>
      </c>
      <c r="AH233" s="70">
        <f>'RESUMEN TOTAL'!AU306</f>
        <v>0</v>
      </c>
      <c r="AI233" s="70">
        <f>'RESUMEN TOTAL'!AV306</f>
        <v>0</v>
      </c>
      <c r="AJ233" s="70" t="e">
        <f>'RESUMEN TOTAL'!#REF!</f>
        <v>#REF!</v>
      </c>
    </row>
    <row r="234" spans="1:36" x14ac:dyDescent="0.25">
      <c r="A234" t="str">
        <f>'RESUMEN TOTAL'!F307</f>
        <v>EL PARQUE</v>
      </c>
      <c r="B234" t="str">
        <f>'RESUMEN TOTAL'!G307</f>
        <v>PUNTO SEGURO - EL PARQUE (domo)</v>
      </c>
      <c r="C234" t="str">
        <f>'RESUMEN TOTAL'!I307</f>
        <v>CALLE 1282 Y 1201</v>
      </c>
      <c r="D234" s="30" t="str">
        <f>'RESUMEN TOTAL'!J307</f>
        <v>DOMO</v>
      </c>
      <c r="E234" s="30" t="str">
        <f>'RESUMEN TOTAL'!K307</f>
        <v>Fibra Optica</v>
      </c>
      <c r="F234" s="70">
        <f>'RESUMEN TOTAL'!S307</f>
        <v>0</v>
      </c>
      <c r="G234" s="70">
        <f>'RESUMEN TOTAL'!T307</f>
        <v>0</v>
      </c>
      <c r="H234" s="70">
        <f>'RESUMEN TOTAL'!U307</f>
        <v>0</v>
      </c>
      <c r="I234" s="70" t="str">
        <f>'RESUMEN TOTAL'!V307</f>
        <v>APAGADO</v>
      </c>
      <c r="J234" s="70" t="str">
        <f>'RESUMEN TOTAL'!W307</f>
        <v>APAGADO</v>
      </c>
      <c r="K234" s="70" t="str">
        <f>'RESUMEN TOTAL'!X307</f>
        <v>APAGADO</v>
      </c>
      <c r="L234" s="70" t="str">
        <f>'RESUMEN TOTAL'!Y307</f>
        <v>APAGADO</v>
      </c>
      <c r="M234" s="70" t="str">
        <f>'RESUMEN TOTAL'!Z307</f>
        <v>APAGADO</v>
      </c>
      <c r="N234" s="70">
        <f>'RESUMEN TOTAL'!AA307</f>
        <v>0</v>
      </c>
      <c r="O234" s="70">
        <f>'RESUMEN TOTAL'!AB307</f>
        <v>0</v>
      </c>
      <c r="P234" s="70" t="str">
        <f>'RESUMEN TOTAL'!AC307</f>
        <v>APAGADO</v>
      </c>
      <c r="Q234" s="70" t="str">
        <f>'RESUMEN TOTAL'!AD307</f>
        <v>APAGADO</v>
      </c>
      <c r="R234" s="70" t="str">
        <f>'RESUMEN TOTAL'!AE307</f>
        <v>APAGADO</v>
      </c>
      <c r="S234" s="70" t="str">
        <f>'RESUMEN TOTAL'!AF307</f>
        <v>APAGADO</v>
      </c>
      <c r="T234" s="70" t="str">
        <f>'RESUMEN TOTAL'!AG307</f>
        <v>APAGADO</v>
      </c>
      <c r="U234" s="70">
        <f>'RESUMEN TOTAL'!AH307</f>
        <v>0</v>
      </c>
      <c r="V234" s="70">
        <f>'RESUMEN TOTAL'!AI307</f>
        <v>0</v>
      </c>
      <c r="W234" s="70">
        <f>'RESUMEN TOTAL'!AJ307</f>
        <v>0</v>
      </c>
      <c r="X234" s="70">
        <f>'RESUMEN TOTAL'!AK307</f>
        <v>0</v>
      </c>
      <c r="Y234" s="70">
        <f>'RESUMEN TOTAL'!AL307</f>
        <v>0</v>
      </c>
      <c r="Z234" s="70">
        <f>'RESUMEN TOTAL'!AM307</f>
        <v>0</v>
      </c>
      <c r="AA234" s="70">
        <f>'RESUMEN TOTAL'!AN307</f>
        <v>0</v>
      </c>
      <c r="AB234" s="70">
        <f>'RESUMEN TOTAL'!AO307</f>
        <v>0</v>
      </c>
      <c r="AC234" s="70">
        <f>'RESUMEN TOTAL'!AP307</f>
        <v>0</v>
      </c>
      <c r="AD234" s="70">
        <f>'RESUMEN TOTAL'!AQ307</f>
        <v>0</v>
      </c>
      <c r="AE234" s="70">
        <f>'RESUMEN TOTAL'!AR307</f>
        <v>0</v>
      </c>
      <c r="AF234" s="70">
        <f>'RESUMEN TOTAL'!AS307</f>
        <v>0</v>
      </c>
      <c r="AG234" s="70">
        <f>'RESUMEN TOTAL'!AT307</f>
        <v>0</v>
      </c>
      <c r="AH234" s="70">
        <f>'RESUMEN TOTAL'!AU307</f>
        <v>0</v>
      </c>
      <c r="AI234" s="70">
        <f>'RESUMEN TOTAL'!AV307</f>
        <v>0</v>
      </c>
      <c r="AJ234" s="70" t="e">
        <f>'RESUMEN TOTAL'!#REF!</f>
        <v>#REF!</v>
      </c>
    </row>
    <row r="235" spans="1:36" x14ac:dyDescent="0.25">
      <c r="A235" t="str">
        <f>'RESUMEN TOTAL'!F308</f>
        <v>EL PARQUE</v>
      </c>
      <c r="B235" t="str">
        <f>'RESUMEN TOTAL'!G308</f>
        <v>PUNTO SEGURO - EL PARQUE (fija)</v>
      </c>
      <c r="C235" t="str">
        <f>'RESUMEN TOTAL'!I308</f>
        <v>CALLE 1282 Y 1201</v>
      </c>
      <c r="D235" s="30" t="str">
        <f>'RESUMEN TOTAL'!J308</f>
        <v>Fija</v>
      </c>
      <c r="E235" s="30" t="str">
        <f>'RESUMEN TOTAL'!K308</f>
        <v>Fibra Optica</v>
      </c>
      <c r="F235" s="70">
        <f>'RESUMEN TOTAL'!S308</f>
        <v>0</v>
      </c>
      <c r="G235" s="70">
        <f>'RESUMEN TOTAL'!T308</f>
        <v>0</v>
      </c>
      <c r="H235" s="70">
        <f>'RESUMEN TOTAL'!U308</f>
        <v>0</v>
      </c>
      <c r="I235" s="70" t="str">
        <f>'RESUMEN TOTAL'!V308</f>
        <v>APAGADO</v>
      </c>
      <c r="J235" s="70" t="str">
        <f>'RESUMEN TOTAL'!W308</f>
        <v>APAGADO</v>
      </c>
      <c r="K235" s="70" t="str">
        <f>'RESUMEN TOTAL'!X308</f>
        <v>APAGADO</v>
      </c>
      <c r="L235" s="70" t="str">
        <f>'RESUMEN TOTAL'!Y308</f>
        <v>APAGADO</v>
      </c>
      <c r="M235" s="70" t="str">
        <f>'RESUMEN TOTAL'!Z308</f>
        <v>APAGADO</v>
      </c>
      <c r="N235" s="70">
        <f>'RESUMEN TOTAL'!AA308</f>
        <v>0</v>
      </c>
      <c r="O235" s="70">
        <f>'RESUMEN TOTAL'!AB308</f>
        <v>0</v>
      </c>
      <c r="P235" s="70" t="str">
        <f>'RESUMEN TOTAL'!AC308</f>
        <v>APAGADO</v>
      </c>
      <c r="Q235" s="70" t="str">
        <f>'RESUMEN TOTAL'!AD308</f>
        <v>APAGADO</v>
      </c>
      <c r="R235" s="70" t="str">
        <f>'RESUMEN TOTAL'!AE308</f>
        <v>APAGADO</v>
      </c>
      <c r="S235" s="70" t="str">
        <f>'RESUMEN TOTAL'!AF308</f>
        <v>APAGADO</v>
      </c>
      <c r="T235" s="70" t="str">
        <f>'RESUMEN TOTAL'!AG308</f>
        <v>APAGADO</v>
      </c>
      <c r="U235" s="70">
        <f>'RESUMEN TOTAL'!AH308</f>
        <v>0</v>
      </c>
      <c r="V235" s="70">
        <f>'RESUMEN TOTAL'!AI308</f>
        <v>0</v>
      </c>
      <c r="W235" s="70" t="str">
        <f>'RESUMEN TOTAL'!AJ308</f>
        <v>APAGADO</v>
      </c>
      <c r="X235" s="70" t="str">
        <f>'RESUMEN TOTAL'!AK308</f>
        <v>APAGADO</v>
      </c>
      <c r="Y235" s="70" t="str">
        <f>'RESUMEN TOTAL'!AL308</f>
        <v>APAGADO</v>
      </c>
      <c r="Z235" s="70" t="str">
        <f>'RESUMEN TOTAL'!AM308</f>
        <v>APAGADO</v>
      </c>
      <c r="AA235" s="70" t="str">
        <f>'RESUMEN TOTAL'!AN308</f>
        <v>APAGADO</v>
      </c>
      <c r="AB235" s="70">
        <f>'RESUMEN TOTAL'!AO308</f>
        <v>0</v>
      </c>
      <c r="AC235" s="70">
        <f>'RESUMEN TOTAL'!AP308</f>
        <v>0</v>
      </c>
      <c r="AD235" s="70">
        <f>'RESUMEN TOTAL'!AQ308</f>
        <v>0</v>
      </c>
      <c r="AE235" s="70" t="str">
        <f>'RESUMEN TOTAL'!AR308</f>
        <v>APAGADO</v>
      </c>
      <c r="AF235" s="70" t="str">
        <f>'RESUMEN TOTAL'!AS308</f>
        <v>APAGADO</v>
      </c>
      <c r="AG235" s="70" t="str">
        <f>'RESUMEN TOTAL'!AT308</f>
        <v>APAGADO</v>
      </c>
      <c r="AH235" s="70">
        <f>'RESUMEN TOTAL'!AU308</f>
        <v>0</v>
      </c>
      <c r="AI235" s="70">
        <f>'RESUMEN TOTAL'!AV308</f>
        <v>0</v>
      </c>
      <c r="AJ235" s="70" t="e">
        <f>'RESUMEN TOTAL'!#REF!</f>
        <v>#REF!</v>
      </c>
    </row>
    <row r="236" spans="1:36" x14ac:dyDescent="0.25">
      <c r="A236" t="str">
        <f>'RESUMEN TOTAL'!F309</f>
        <v>EL PARQUE</v>
      </c>
      <c r="B236" t="str">
        <f>'RESUMEN TOTAL'!G309</f>
        <v>PUNTO SEGURO - EL PARQUE INTERCOMUNICADOR</v>
      </c>
      <c r="C236" t="str">
        <f>'RESUMEN TOTAL'!I309</f>
        <v>1282 Y 1201</v>
      </c>
      <c r="D236" s="30" t="str">
        <f>'RESUMEN TOTAL'!J309</f>
        <v>Fija</v>
      </c>
      <c r="E236" s="30" t="str">
        <f>'RESUMEN TOTAL'!K309</f>
        <v>Fibra Optica</v>
      </c>
      <c r="F236" s="70">
        <f>'RESUMEN TOTAL'!S309</f>
        <v>0</v>
      </c>
      <c r="G236" s="70">
        <f>'RESUMEN TOTAL'!T309</f>
        <v>0</v>
      </c>
      <c r="H236" s="70">
        <f>'RESUMEN TOTAL'!U309</f>
        <v>0</v>
      </c>
      <c r="I236" s="70">
        <f>'RESUMEN TOTAL'!V309</f>
        <v>0</v>
      </c>
      <c r="J236" s="70">
        <f>'RESUMEN TOTAL'!W309</f>
        <v>0</v>
      </c>
      <c r="K236" s="70">
        <f>'RESUMEN TOTAL'!X309</f>
        <v>0</v>
      </c>
      <c r="L236" s="70">
        <f>'RESUMEN TOTAL'!Y309</f>
        <v>0</v>
      </c>
      <c r="M236" s="70">
        <f>'RESUMEN TOTAL'!Z309</f>
        <v>0</v>
      </c>
      <c r="N236" s="70">
        <f>'RESUMEN TOTAL'!AA309</f>
        <v>0</v>
      </c>
      <c r="O236" s="70">
        <f>'RESUMEN TOTAL'!AB309</f>
        <v>0</v>
      </c>
      <c r="P236" s="70">
        <f>'RESUMEN TOTAL'!AC309</f>
        <v>0</v>
      </c>
      <c r="Q236" s="70">
        <f>'RESUMEN TOTAL'!AD309</f>
        <v>0</v>
      </c>
      <c r="R236" s="70">
        <f>'RESUMEN TOTAL'!AE309</f>
        <v>0</v>
      </c>
      <c r="S236" s="70">
        <f>'RESUMEN TOTAL'!AF309</f>
        <v>0</v>
      </c>
      <c r="T236" s="70">
        <f>'RESUMEN TOTAL'!AG309</f>
        <v>0</v>
      </c>
      <c r="U236" s="70">
        <f>'RESUMEN TOTAL'!AH309</f>
        <v>0</v>
      </c>
      <c r="V236" s="70">
        <f>'RESUMEN TOTAL'!AI309</f>
        <v>0</v>
      </c>
      <c r="W236" s="70">
        <f>'RESUMEN TOTAL'!AJ309</f>
        <v>0</v>
      </c>
      <c r="X236" s="70">
        <f>'RESUMEN TOTAL'!AK309</f>
        <v>0</v>
      </c>
      <c r="Y236" s="70">
        <f>'RESUMEN TOTAL'!AL309</f>
        <v>0</v>
      </c>
      <c r="Z236" s="70">
        <f>'RESUMEN TOTAL'!AM309</f>
        <v>0</v>
      </c>
      <c r="AA236" s="70">
        <f>'RESUMEN TOTAL'!AN309</f>
        <v>0</v>
      </c>
      <c r="AB236" s="70">
        <f>'RESUMEN TOTAL'!AO309</f>
        <v>0</v>
      </c>
      <c r="AC236" s="70">
        <f>'RESUMEN TOTAL'!AP309</f>
        <v>0</v>
      </c>
      <c r="AD236" s="70">
        <f>'RESUMEN TOTAL'!AQ309</f>
        <v>0</v>
      </c>
      <c r="AE236" s="70">
        <f>'RESUMEN TOTAL'!AR309</f>
        <v>0</v>
      </c>
      <c r="AF236" s="70" t="str">
        <f>'RESUMEN TOTAL'!AS309</f>
        <v>APAGADO</v>
      </c>
      <c r="AG236" s="70" t="str">
        <f>'RESUMEN TOTAL'!AT309</f>
        <v>APAGADO</v>
      </c>
      <c r="AH236" s="70">
        <f>'RESUMEN TOTAL'!AU309</f>
        <v>0</v>
      </c>
      <c r="AI236" s="70">
        <f>'RESUMEN TOTAL'!AV309</f>
        <v>0</v>
      </c>
      <c r="AJ236" s="70" t="e">
        <f>'RESUMEN TOTAL'!#REF!</f>
        <v>#REF!</v>
      </c>
    </row>
    <row r="237" spans="1:36" x14ac:dyDescent="0.25">
      <c r="A237" t="str">
        <f>'RESUMEN TOTAL'!F310</f>
        <v>INGENIERO ALLAN</v>
      </c>
      <c r="B237" t="str">
        <f>'RESUMEN TOTAL'!G310</f>
        <v>PUNTO SEGURO - ING ALLAN INTERCOMUNICADOR</v>
      </c>
      <c r="C237" t="str">
        <f>'RESUMEN TOTAL'!I310</f>
        <v>DIAG LOS YAGANES Y 1148</v>
      </c>
      <c r="D237" s="30" t="str">
        <f>'RESUMEN TOTAL'!J310</f>
        <v>Domo</v>
      </c>
      <c r="E237" s="30" t="str">
        <f>'RESUMEN TOTAL'!K310</f>
        <v>Fibra Optica</v>
      </c>
      <c r="F237" s="70">
        <f>'RESUMEN TOTAL'!S310</f>
        <v>0</v>
      </c>
      <c r="G237" s="70">
        <f>'RESUMEN TOTAL'!T310</f>
        <v>0</v>
      </c>
      <c r="H237" s="70">
        <f>'RESUMEN TOTAL'!U310</f>
        <v>0</v>
      </c>
      <c r="I237" s="70" t="str">
        <f>'RESUMEN TOTAL'!V310</f>
        <v>APAGADO</v>
      </c>
      <c r="J237" s="70" t="str">
        <f>'RESUMEN TOTAL'!W310</f>
        <v>APAGADO</v>
      </c>
      <c r="K237" s="70" t="str">
        <f>'RESUMEN TOTAL'!X310</f>
        <v>APAGADO</v>
      </c>
      <c r="L237" s="70" t="str">
        <f>'RESUMEN TOTAL'!Y310</f>
        <v>APAGADO</v>
      </c>
      <c r="M237" s="70" t="str">
        <f>'RESUMEN TOTAL'!Z310</f>
        <v>APAGADO</v>
      </c>
      <c r="N237" s="70">
        <f>'RESUMEN TOTAL'!AA310</f>
        <v>0</v>
      </c>
      <c r="O237" s="70">
        <f>'RESUMEN TOTAL'!AB310</f>
        <v>0</v>
      </c>
      <c r="P237" s="70" t="str">
        <f>'RESUMEN TOTAL'!AC310</f>
        <v>APAGADO</v>
      </c>
      <c r="Q237" s="70" t="str">
        <f>'RESUMEN TOTAL'!AD310</f>
        <v>APAGADO</v>
      </c>
      <c r="R237" s="70" t="str">
        <f>'RESUMEN TOTAL'!AE310</f>
        <v>APAGADO</v>
      </c>
      <c r="S237" s="70" t="str">
        <f>'RESUMEN TOTAL'!AF310</f>
        <v>APAGADO</v>
      </c>
      <c r="T237" s="70" t="str">
        <f>'RESUMEN TOTAL'!AG310</f>
        <v>APAGADO</v>
      </c>
      <c r="U237" s="70">
        <f>'RESUMEN TOTAL'!AH310</f>
        <v>0</v>
      </c>
      <c r="V237" s="70">
        <f>'RESUMEN TOTAL'!AI310</f>
        <v>0</v>
      </c>
      <c r="W237" s="70">
        <f>'RESUMEN TOTAL'!AJ310</f>
        <v>0</v>
      </c>
      <c r="X237" s="70">
        <f>'RESUMEN TOTAL'!AK310</f>
        <v>0</v>
      </c>
      <c r="Y237" s="70">
        <f>'RESUMEN TOTAL'!AL310</f>
        <v>0</v>
      </c>
      <c r="Z237" s="70">
        <f>'RESUMEN TOTAL'!AM310</f>
        <v>0</v>
      </c>
      <c r="AA237" s="70">
        <f>'RESUMEN TOTAL'!AN310</f>
        <v>0</v>
      </c>
      <c r="AB237" s="70">
        <f>'RESUMEN TOTAL'!AO310</f>
        <v>0</v>
      </c>
      <c r="AC237" s="70">
        <f>'RESUMEN TOTAL'!AP310</f>
        <v>0</v>
      </c>
      <c r="AD237" s="70">
        <f>'RESUMEN TOTAL'!AQ310</f>
        <v>0</v>
      </c>
      <c r="AE237" s="70">
        <f>'RESUMEN TOTAL'!AR310</f>
        <v>0</v>
      </c>
      <c r="AF237" s="70">
        <f>'RESUMEN TOTAL'!AS310</f>
        <v>0</v>
      </c>
      <c r="AG237" s="70">
        <f>'RESUMEN TOTAL'!AT310</f>
        <v>0</v>
      </c>
      <c r="AH237" s="70">
        <f>'RESUMEN TOTAL'!AU310</f>
        <v>0</v>
      </c>
      <c r="AI237" s="70">
        <f>'RESUMEN TOTAL'!AV310</f>
        <v>0</v>
      </c>
      <c r="AJ237" s="70" t="e">
        <f>'RESUMEN TOTAL'!#REF!</f>
        <v>#REF!</v>
      </c>
    </row>
    <row r="238" spans="1:36" x14ac:dyDescent="0.25">
      <c r="A238" t="str">
        <f>'RESUMEN TOTAL'!F311</f>
        <v>INGENIERO ALLAN</v>
      </c>
      <c r="B238" t="str">
        <f>'RESUMEN TOTAL'!G311</f>
        <v>PUNTO SEGURO - ING. ALLAN (domo)</v>
      </c>
      <c r="C238" t="str">
        <f>'RESUMEN TOTAL'!I311</f>
        <v>DIAG. LOS YAGANES Y 1148</v>
      </c>
      <c r="D238" s="30" t="str">
        <f>'RESUMEN TOTAL'!J311</f>
        <v>DOMO</v>
      </c>
      <c r="E238" s="30" t="str">
        <f>'RESUMEN TOTAL'!K311</f>
        <v>Fibra Optica</v>
      </c>
      <c r="F238" s="70">
        <f>'RESUMEN TOTAL'!S311</f>
        <v>0</v>
      </c>
      <c r="G238" s="70">
        <f>'RESUMEN TOTAL'!T311</f>
        <v>0</v>
      </c>
      <c r="H238" s="70">
        <f>'RESUMEN TOTAL'!U311</f>
        <v>0</v>
      </c>
      <c r="I238" s="70">
        <f>'RESUMEN TOTAL'!V311</f>
        <v>0</v>
      </c>
      <c r="J238" s="70">
        <f>'RESUMEN TOTAL'!W311</f>
        <v>0</v>
      </c>
      <c r="K238" s="70">
        <f>'RESUMEN TOTAL'!X311</f>
        <v>0</v>
      </c>
      <c r="L238" s="70">
        <f>'RESUMEN TOTAL'!Y311</f>
        <v>0</v>
      </c>
      <c r="M238" s="70">
        <f>'RESUMEN TOTAL'!Z311</f>
        <v>0</v>
      </c>
      <c r="N238" s="70">
        <f>'RESUMEN TOTAL'!AA311</f>
        <v>0</v>
      </c>
      <c r="O238" s="70">
        <f>'RESUMEN TOTAL'!AB311</f>
        <v>0</v>
      </c>
      <c r="P238" s="70">
        <f>'RESUMEN TOTAL'!AC311</f>
        <v>0</v>
      </c>
      <c r="Q238" s="70">
        <f>'RESUMEN TOTAL'!AD311</f>
        <v>0</v>
      </c>
      <c r="R238" s="70">
        <f>'RESUMEN TOTAL'!AE311</f>
        <v>0</v>
      </c>
      <c r="S238" s="70">
        <f>'RESUMEN TOTAL'!AF311</f>
        <v>0</v>
      </c>
      <c r="T238" s="70">
        <f>'RESUMEN TOTAL'!AG311</f>
        <v>0</v>
      </c>
      <c r="U238" s="70">
        <f>'RESUMEN TOTAL'!AH311</f>
        <v>0</v>
      </c>
      <c r="V238" s="70">
        <f>'RESUMEN TOTAL'!AI311</f>
        <v>0</v>
      </c>
      <c r="W238" s="70">
        <f>'RESUMEN TOTAL'!AJ311</f>
        <v>0</v>
      </c>
      <c r="X238" s="70">
        <f>'RESUMEN TOTAL'!AK311</f>
        <v>0</v>
      </c>
      <c r="Y238" s="70">
        <f>'RESUMEN TOTAL'!AL311</f>
        <v>0</v>
      </c>
      <c r="Z238" s="70">
        <f>'RESUMEN TOTAL'!AM311</f>
        <v>0</v>
      </c>
      <c r="AA238" s="70">
        <f>'RESUMEN TOTAL'!AN311</f>
        <v>0</v>
      </c>
      <c r="AB238" s="70">
        <f>'RESUMEN TOTAL'!AO311</f>
        <v>0</v>
      </c>
      <c r="AC238" s="70">
        <f>'RESUMEN TOTAL'!AP311</f>
        <v>0</v>
      </c>
      <c r="AD238" s="70">
        <f>'RESUMEN TOTAL'!AQ311</f>
        <v>0</v>
      </c>
      <c r="AE238" s="70">
        <f>'RESUMEN TOTAL'!AR311</f>
        <v>0</v>
      </c>
      <c r="AF238" s="70">
        <f>'RESUMEN TOTAL'!AS311</f>
        <v>0</v>
      </c>
      <c r="AG238" s="70">
        <f>'RESUMEN TOTAL'!AT311</f>
        <v>0</v>
      </c>
      <c r="AH238" s="70">
        <f>'RESUMEN TOTAL'!AU311</f>
        <v>0</v>
      </c>
      <c r="AI238" s="70">
        <f>'RESUMEN TOTAL'!AV311</f>
        <v>0</v>
      </c>
      <c r="AJ238" s="70" t="e">
        <f>'RESUMEN TOTAL'!#REF!</f>
        <v>#REF!</v>
      </c>
    </row>
    <row r="239" spans="1:36" x14ac:dyDescent="0.25">
      <c r="A239" t="str">
        <f>'RESUMEN TOTAL'!F312</f>
        <v>INGENIERO ALLAN</v>
      </c>
      <c r="B239" t="str">
        <f>'RESUMEN TOTAL'!G312</f>
        <v>PUNTO SEGURO - ING. ALLAN (fija)</v>
      </c>
      <c r="C239" t="str">
        <f>'RESUMEN TOTAL'!I312</f>
        <v>DIAG. LOS YAGANES Y 1148</v>
      </c>
      <c r="D239" s="30" t="str">
        <f>'RESUMEN TOTAL'!J312</f>
        <v>Fija</v>
      </c>
      <c r="E239" s="30" t="str">
        <f>'RESUMEN TOTAL'!K312</f>
        <v>Fibra Optica</v>
      </c>
      <c r="F239" s="70">
        <f>'RESUMEN TOTAL'!S312</f>
        <v>0</v>
      </c>
      <c r="G239" s="70">
        <f>'RESUMEN TOTAL'!T312</f>
        <v>0</v>
      </c>
      <c r="H239" s="70">
        <f>'RESUMEN TOTAL'!U312</f>
        <v>0</v>
      </c>
      <c r="I239" s="70" t="str">
        <f>'RESUMEN TOTAL'!V312</f>
        <v>APAGADO</v>
      </c>
      <c r="J239" s="70" t="str">
        <f>'RESUMEN TOTAL'!W312</f>
        <v>APAGADO</v>
      </c>
      <c r="K239" s="70" t="str">
        <f>'RESUMEN TOTAL'!X312</f>
        <v>APAGADO</v>
      </c>
      <c r="L239" s="70" t="str">
        <f>'RESUMEN TOTAL'!Y312</f>
        <v>APAGADO</v>
      </c>
      <c r="M239" s="70" t="str">
        <f>'RESUMEN TOTAL'!Z312</f>
        <v>APAGADO</v>
      </c>
      <c r="N239" s="70">
        <f>'RESUMEN TOTAL'!AA312</f>
        <v>0</v>
      </c>
      <c r="O239" s="70">
        <f>'RESUMEN TOTAL'!AB312</f>
        <v>0</v>
      </c>
      <c r="P239" s="70" t="str">
        <f>'RESUMEN TOTAL'!AC312</f>
        <v>APAGADO</v>
      </c>
      <c r="Q239" s="70" t="str">
        <f>'RESUMEN TOTAL'!AD312</f>
        <v>APAGADO</v>
      </c>
      <c r="R239" s="70" t="str">
        <f>'RESUMEN TOTAL'!AE312</f>
        <v>APAGADO</v>
      </c>
      <c r="S239" s="70" t="str">
        <f>'RESUMEN TOTAL'!AF312</f>
        <v>APAGADO</v>
      </c>
      <c r="T239" s="70" t="str">
        <f>'RESUMEN TOTAL'!AG312</f>
        <v>APAGADO</v>
      </c>
      <c r="U239" s="70">
        <f>'RESUMEN TOTAL'!AH312</f>
        <v>0</v>
      </c>
      <c r="V239" s="70">
        <f>'RESUMEN TOTAL'!AI312</f>
        <v>0</v>
      </c>
      <c r="W239" s="70">
        <f>'RESUMEN TOTAL'!AJ312</f>
        <v>0</v>
      </c>
      <c r="X239" s="70">
        <f>'RESUMEN TOTAL'!AK312</f>
        <v>0</v>
      </c>
      <c r="Y239" s="70">
        <f>'RESUMEN TOTAL'!AL312</f>
        <v>0</v>
      </c>
      <c r="Z239" s="70">
        <f>'RESUMEN TOTAL'!AM312</f>
        <v>0</v>
      </c>
      <c r="AA239" s="70">
        <f>'RESUMEN TOTAL'!AN312</f>
        <v>0</v>
      </c>
      <c r="AB239" s="70">
        <f>'RESUMEN TOTAL'!AO312</f>
        <v>0</v>
      </c>
      <c r="AC239" s="70">
        <f>'RESUMEN TOTAL'!AP312</f>
        <v>0</v>
      </c>
      <c r="AD239" s="70">
        <f>'RESUMEN TOTAL'!AQ312</f>
        <v>0</v>
      </c>
      <c r="AE239" s="70">
        <f>'RESUMEN TOTAL'!AR312</f>
        <v>0</v>
      </c>
      <c r="AF239" s="70">
        <f>'RESUMEN TOTAL'!AS312</f>
        <v>0</v>
      </c>
      <c r="AG239" s="70">
        <f>'RESUMEN TOTAL'!AT312</f>
        <v>0</v>
      </c>
      <c r="AH239" s="70">
        <f>'RESUMEN TOTAL'!AU312</f>
        <v>0</v>
      </c>
      <c r="AI239" s="70">
        <f>'RESUMEN TOTAL'!AV312</f>
        <v>0</v>
      </c>
      <c r="AJ239" s="70" t="e">
        <f>'RESUMEN TOTAL'!#REF!</f>
        <v>#REF!</v>
      </c>
    </row>
    <row r="240" spans="1:36" x14ac:dyDescent="0.25">
      <c r="A240" t="str">
        <f>'RESUMEN TOTAL'!F313</f>
        <v>LUJAN</v>
      </c>
      <c r="B240" t="str">
        <f>'RESUMEN TOTAL'!G313</f>
        <v>PUNTO SEGURO - LUJAN (fija)</v>
      </c>
      <c r="C240" t="str">
        <f>'RESUMEN TOTAL'!I313</f>
        <v>DIAG. LOS TILOS Y LOS ALGARROBOS</v>
      </c>
      <c r="D240" s="30" t="str">
        <f>'RESUMEN TOTAL'!J313</f>
        <v>Fija</v>
      </c>
      <c r="E240" s="30" t="str">
        <f>'RESUMEN TOTAL'!K313</f>
        <v>GPON</v>
      </c>
      <c r="F240" s="70">
        <f>'RESUMEN TOTAL'!S313</f>
        <v>0</v>
      </c>
      <c r="G240" s="70">
        <f>'RESUMEN TOTAL'!T313</f>
        <v>0</v>
      </c>
      <c r="H240" s="70">
        <f>'RESUMEN TOTAL'!U313</f>
        <v>0</v>
      </c>
      <c r="I240" s="70">
        <f>'RESUMEN TOTAL'!V313</f>
        <v>0</v>
      </c>
      <c r="J240" s="70">
        <f>'RESUMEN TOTAL'!W313</f>
        <v>0</v>
      </c>
      <c r="K240" s="70">
        <f>'RESUMEN TOTAL'!X313</f>
        <v>0</v>
      </c>
      <c r="L240" s="70">
        <f>'RESUMEN TOTAL'!Y313</f>
        <v>0</v>
      </c>
      <c r="M240" s="70">
        <f>'RESUMEN TOTAL'!Z313</f>
        <v>0</v>
      </c>
      <c r="N240" s="70">
        <f>'RESUMEN TOTAL'!AA313</f>
        <v>0</v>
      </c>
      <c r="O240" s="70">
        <f>'RESUMEN TOTAL'!AB313</f>
        <v>0</v>
      </c>
      <c r="P240" s="70">
        <f>'RESUMEN TOTAL'!AC313</f>
        <v>0</v>
      </c>
      <c r="Q240" s="70">
        <f>'RESUMEN TOTAL'!AD313</f>
        <v>0</v>
      </c>
      <c r="R240" s="70">
        <f>'RESUMEN TOTAL'!AE313</f>
        <v>0</v>
      </c>
      <c r="S240" s="70" t="str">
        <f>'RESUMEN TOTAL'!AF313</f>
        <v>APAGADO</v>
      </c>
      <c r="T240" s="70">
        <f>'RESUMEN TOTAL'!AG313</f>
        <v>0</v>
      </c>
      <c r="U240" s="70">
        <f>'RESUMEN TOTAL'!AH313</f>
        <v>0</v>
      </c>
      <c r="V240" s="70">
        <f>'RESUMEN TOTAL'!AI313</f>
        <v>0</v>
      </c>
      <c r="W240" s="70">
        <f>'RESUMEN TOTAL'!AJ313</f>
        <v>0</v>
      </c>
      <c r="X240" s="70">
        <f>'RESUMEN TOTAL'!AK313</f>
        <v>0</v>
      </c>
      <c r="Y240" s="70">
        <f>'RESUMEN TOTAL'!AL313</f>
        <v>0</v>
      </c>
      <c r="Z240" s="70">
        <f>'RESUMEN TOTAL'!AM313</f>
        <v>0</v>
      </c>
      <c r="AA240" s="70">
        <f>'RESUMEN TOTAL'!AN313</f>
        <v>0</v>
      </c>
      <c r="AB240" s="70">
        <f>'RESUMEN TOTAL'!AO313</f>
        <v>0</v>
      </c>
      <c r="AC240" s="70">
        <f>'RESUMEN TOTAL'!AP313</f>
        <v>0</v>
      </c>
      <c r="AD240" s="70">
        <f>'RESUMEN TOTAL'!AQ313</f>
        <v>0</v>
      </c>
      <c r="AE240" s="70">
        <f>'RESUMEN TOTAL'!AR313</f>
        <v>0</v>
      </c>
      <c r="AF240" s="70">
        <f>'RESUMEN TOTAL'!AS313</f>
        <v>0</v>
      </c>
      <c r="AG240" s="70">
        <f>'RESUMEN TOTAL'!AT313</f>
        <v>0</v>
      </c>
      <c r="AH240" s="70">
        <f>'RESUMEN TOTAL'!AU313</f>
        <v>0</v>
      </c>
      <c r="AI240" s="70">
        <f>'RESUMEN TOTAL'!AV313</f>
        <v>0</v>
      </c>
      <c r="AJ240" s="70" t="e">
        <f>'RESUMEN TOTAL'!#REF!</f>
        <v>#REF!</v>
      </c>
    </row>
    <row r="241" spans="1:36" x14ac:dyDescent="0.25">
      <c r="A241" t="str">
        <f>'RESUMEN TOTAL'!F314</f>
        <v>ZONA RURAL SANTA ROSA</v>
      </c>
      <c r="B241" t="str">
        <f>'RESUMEN TOTAL'!G314</f>
        <v>PUNTO SEGURO - PICO DE ORO (domo)</v>
      </c>
      <c r="C241" t="str">
        <f>'RESUMEN TOTAL'!I314</f>
        <v>PISANI Y BULGARIA</v>
      </c>
      <c r="D241" s="30" t="str">
        <f>'RESUMEN TOTAL'!J314</f>
        <v>DOMO</v>
      </c>
      <c r="E241" s="30" t="str">
        <f>'RESUMEN TOTAL'!K314</f>
        <v>Fibra Optica</v>
      </c>
      <c r="F241" s="70">
        <f>'RESUMEN TOTAL'!S314</f>
        <v>0</v>
      </c>
      <c r="G241" s="70">
        <f>'RESUMEN TOTAL'!T314</f>
        <v>0</v>
      </c>
      <c r="H241" s="70">
        <f>'RESUMEN TOTAL'!U314</f>
        <v>0</v>
      </c>
      <c r="I241" s="70">
        <f>'RESUMEN TOTAL'!V314</f>
        <v>0</v>
      </c>
      <c r="J241" s="70">
        <f>'RESUMEN TOTAL'!W314</f>
        <v>0</v>
      </c>
      <c r="K241" s="70">
        <f>'RESUMEN TOTAL'!X314</f>
        <v>0</v>
      </c>
      <c r="L241" s="70">
        <f>'RESUMEN TOTAL'!Y314</f>
        <v>0</v>
      </c>
      <c r="M241" s="70">
        <f>'RESUMEN TOTAL'!Z314</f>
        <v>0</v>
      </c>
      <c r="N241" s="70">
        <f>'RESUMEN TOTAL'!AA314</f>
        <v>0</v>
      </c>
      <c r="O241" s="70">
        <f>'RESUMEN TOTAL'!AB314</f>
        <v>0</v>
      </c>
      <c r="P241" s="70">
        <f>'RESUMEN TOTAL'!AC314</f>
        <v>0</v>
      </c>
      <c r="Q241" s="70">
        <f>'RESUMEN TOTAL'!AD314</f>
        <v>0</v>
      </c>
      <c r="R241" s="70">
        <f>'RESUMEN TOTAL'!AE314</f>
        <v>0</v>
      </c>
      <c r="S241" s="70">
        <f>'RESUMEN TOTAL'!AF314</f>
        <v>0</v>
      </c>
      <c r="T241" s="70">
        <f>'RESUMEN TOTAL'!AG314</f>
        <v>0</v>
      </c>
      <c r="U241" s="70">
        <f>'RESUMEN TOTAL'!AH314</f>
        <v>0</v>
      </c>
      <c r="V241" s="70">
        <f>'RESUMEN TOTAL'!AI314</f>
        <v>0</v>
      </c>
      <c r="W241" s="70">
        <f>'RESUMEN TOTAL'!AJ314</f>
        <v>0</v>
      </c>
      <c r="X241" s="70">
        <f>'RESUMEN TOTAL'!AK314</f>
        <v>0</v>
      </c>
      <c r="Y241" s="70">
        <f>'RESUMEN TOTAL'!AL314</f>
        <v>0</v>
      </c>
      <c r="Z241" s="70">
        <f>'RESUMEN TOTAL'!AM314</f>
        <v>0</v>
      </c>
      <c r="AA241" s="70">
        <f>'RESUMEN TOTAL'!AN314</f>
        <v>0</v>
      </c>
      <c r="AB241" s="70">
        <f>'RESUMEN TOTAL'!AO314</f>
        <v>0</v>
      </c>
      <c r="AC241" s="70">
        <f>'RESUMEN TOTAL'!AP314</f>
        <v>0</v>
      </c>
      <c r="AD241" s="70">
        <f>'RESUMEN TOTAL'!AQ314</f>
        <v>0</v>
      </c>
      <c r="AE241" s="70">
        <f>'RESUMEN TOTAL'!AR314</f>
        <v>0</v>
      </c>
      <c r="AF241" s="70">
        <f>'RESUMEN TOTAL'!AS314</f>
        <v>0</v>
      </c>
      <c r="AG241" s="70">
        <f>'RESUMEN TOTAL'!AT314</f>
        <v>0</v>
      </c>
      <c r="AH241" s="70">
        <f>'RESUMEN TOTAL'!AU314</f>
        <v>0</v>
      </c>
      <c r="AI241" s="70">
        <f>'RESUMEN TOTAL'!AV314</f>
        <v>0</v>
      </c>
      <c r="AJ241" s="70" t="e">
        <f>'RESUMEN TOTAL'!#REF!</f>
        <v>#REF!</v>
      </c>
    </row>
    <row r="242" spans="1:36" x14ac:dyDescent="0.25">
      <c r="A242" t="str">
        <f>'RESUMEN TOTAL'!F315</f>
        <v>ZONA RURAL SANTA ROSA</v>
      </c>
      <c r="B242" t="str">
        <f>'RESUMEN TOTAL'!G315</f>
        <v>PUNTO SEGURO - PICO DE ORO (fija)</v>
      </c>
      <c r="C242" t="str">
        <f>'RESUMEN TOTAL'!I315</f>
        <v>PISANI Y BULGARIA</v>
      </c>
      <c r="D242" s="30" t="str">
        <f>'RESUMEN TOTAL'!J315</f>
        <v>Fija</v>
      </c>
      <c r="E242" s="30" t="str">
        <f>'RESUMEN TOTAL'!K315</f>
        <v>Fibra Optica</v>
      </c>
      <c r="F242" s="70">
        <f>'RESUMEN TOTAL'!S315</f>
        <v>0</v>
      </c>
      <c r="G242" s="70">
        <f>'RESUMEN TOTAL'!T315</f>
        <v>0</v>
      </c>
      <c r="H242" s="70">
        <f>'RESUMEN TOTAL'!U315</f>
        <v>0</v>
      </c>
      <c r="I242" s="70">
        <f>'RESUMEN TOTAL'!V315</f>
        <v>0</v>
      </c>
      <c r="J242" s="70">
        <f>'RESUMEN TOTAL'!W315</f>
        <v>0</v>
      </c>
      <c r="K242" s="70">
        <f>'RESUMEN TOTAL'!X315</f>
        <v>0</v>
      </c>
      <c r="L242" s="70">
        <f>'RESUMEN TOTAL'!Y315</f>
        <v>0</v>
      </c>
      <c r="M242" s="70">
        <f>'RESUMEN TOTAL'!Z315</f>
        <v>0</v>
      </c>
      <c r="N242" s="70">
        <f>'RESUMEN TOTAL'!AA315</f>
        <v>0</v>
      </c>
      <c r="O242" s="70">
        <f>'RESUMEN TOTAL'!AB315</f>
        <v>0</v>
      </c>
      <c r="P242" s="70">
        <f>'RESUMEN TOTAL'!AC315</f>
        <v>0</v>
      </c>
      <c r="Q242" s="70">
        <f>'RESUMEN TOTAL'!AD315</f>
        <v>0</v>
      </c>
      <c r="R242" s="70">
        <f>'RESUMEN TOTAL'!AE315</f>
        <v>0</v>
      </c>
      <c r="S242" s="70">
        <f>'RESUMEN TOTAL'!AF315</f>
        <v>0</v>
      </c>
      <c r="T242" s="70">
        <f>'RESUMEN TOTAL'!AG315</f>
        <v>0</v>
      </c>
      <c r="U242" s="70">
        <f>'RESUMEN TOTAL'!AH315</f>
        <v>0</v>
      </c>
      <c r="V242" s="70">
        <f>'RESUMEN TOTAL'!AI315</f>
        <v>0</v>
      </c>
      <c r="W242" s="70">
        <f>'RESUMEN TOTAL'!AJ315</f>
        <v>0</v>
      </c>
      <c r="X242" s="70">
        <f>'RESUMEN TOTAL'!AK315</f>
        <v>0</v>
      </c>
      <c r="Y242" s="70">
        <f>'RESUMEN TOTAL'!AL315</f>
        <v>0</v>
      </c>
      <c r="Z242" s="70">
        <f>'RESUMEN TOTAL'!AM315</f>
        <v>0</v>
      </c>
      <c r="AA242" s="70">
        <f>'RESUMEN TOTAL'!AN315</f>
        <v>0</v>
      </c>
      <c r="AB242" s="70">
        <f>'RESUMEN TOTAL'!AO315</f>
        <v>0</v>
      </c>
      <c r="AC242" s="70">
        <f>'RESUMEN TOTAL'!AP315</f>
        <v>0</v>
      </c>
      <c r="AD242" s="70">
        <f>'RESUMEN TOTAL'!AQ315</f>
        <v>0</v>
      </c>
      <c r="AE242" s="70">
        <f>'RESUMEN TOTAL'!AR315</f>
        <v>0</v>
      </c>
      <c r="AF242" s="70">
        <f>'RESUMEN TOTAL'!AS315</f>
        <v>0</v>
      </c>
      <c r="AG242" s="70">
        <f>'RESUMEN TOTAL'!AT315</f>
        <v>0</v>
      </c>
      <c r="AH242" s="70">
        <f>'RESUMEN TOTAL'!AU315</f>
        <v>0</v>
      </c>
      <c r="AI242" s="70">
        <f>'RESUMEN TOTAL'!AV315</f>
        <v>0</v>
      </c>
      <c r="AJ242" s="70" t="e">
        <f>'RESUMEN TOTAL'!#REF!</f>
        <v>#REF!</v>
      </c>
    </row>
    <row r="243" spans="1:36" x14ac:dyDescent="0.25">
      <c r="A243" t="str">
        <f>'RESUMEN TOTAL'!F316</f>
        <v>SAN FRANCISCO ESTE (CHICO)</v>
      </c>
      <c r="B243" t="str">
        <f>'RESUMEN TOTAL'!G316</f>
        <v>PUNTO SEGURO - SAN FRANCISCO (domo)</v>
      </c>
      <c r="C243" t="str">
        <f>'RESUMEN TOTAL'!I316</f>
        <v>RP 53 Y 1332</v>
      </c>
      <c r="D243" s="30" t="str">
        <f>'RESUMEN TOTAL'!J316</f>
        <v>DOMO</v>
      </c>
      <c r="E243" s="30" t="str">
        <f>'RESUMEN TOTAL'!K316</f>
        <v>GPON</v>
      </c>
      <c r="F243" s="70">
        <f>'RESUMEN TOTAL'!S316</f>
        <v>0</v>
      </c>
      <c r="G243" s="70">
        <f>'RESUMEN TOTAL'!T316</f>
        <v>0</v>
      </c>
      <c r="H243" s="70">
        <f>'RESUMEN TOTAL'!U316</f>
        <v>0</v>
      </c>
      <c r="I243" s="70">
        <f>'RESUMEN TOTAL'!V316</f>
        <v>0</v>
      </c>
      <c r="J243" s="70">
        <f>'RESUMEN TOTAL'!W316</f>
        <v>0</v>
      </c>
      <c r="K243" s="70">
        <f>'RESUMEN TOTAL'!X316</f>
        <v>0</v>
      </c>
      <c r="L243" s="70">
        <f>'RESUMEN TOTAL'!Y316</f>
        <v>0</v>
      </c>
      <c r="M243" s="70">
        <f>'RESUMEN TOTAL'!Z316</f>
        <v>0</v>
      </c>
      <c r="N243" s="70">
        <f>'RESUMEN TOTAL'!AA316</f>
        <v>0</v>
      </c>
      <c r="O243" s="70">
        <f>'RESUMEN TOTAL'!AB316</f>
        <v>0</v>
      </c>
      <c r="P243" s="70">
        <f>'RESUMEN TOTAL'!AC316</f>
        <v>0</v>
      </c>
      <c r="Q243" s="70">
        <f>'RESUMEN TOTAL'!AD316</f>
        <v>0</v>
      </c>
      <c r="R243" s="70">
        <f>'RESUMEN TOTAL'!AE316</f>
        <v>0</v>
      </c>
      <c r="S243" s="70">
        <f>'RESUMEN TOTAL'!AF316</f>
        <v>0</v>
      </c>
      <c r="T243" s="70">
        <f>'RESUMEN TOTAL'!AG316</f>
        <v>0</v>
      </c>
      <c r="U243" s="70">
        <f>'RESUMEN TOTAL'!AH316</f>
        <v>0</v>
      </c>
      <c r="V243" s="70">
        <f>'RESUMEN TOTAL'!AI316</f>
        <v>0</v>
      </c>
      <c r="W243" s="70">
        <f>'RESUMEN TOTAL'!AJ316</f>
        <v>0</v>
      </c>
      <c r="X243" s="70">
        <f>'RESUMEN TOTAL'!AK316</f>
        <v>0</v>
      </c>
      <c r="Y243" s="70">
        <f>'RESUMEN TOTAL'!AL316</f>
        <v>0</v>
      </c>
      <c r="Z243" s="70">
        <f>'RESUMEN TOTAL'!AM316</f>
        <v>0</v>
      </c>
      <c r="AA243" s="70">
        <f>'RESUMEN TOTAL'!AN316</f>
        <v>0</v>
      </c>
      <c r="AB243" s="70">
        <f>'RESUMEN TOTAL'!AO316</f>
        <v>0</v>
      </c>
      <c r="AC243" s="70">
        <f>'RESUMEN TOTAL'!AP316</f>
        <v>0</v>
      </c>
      <c r="AD243" s="70">
        <f>'RESUMEN TOTAL'!AQ316</f>
        <v>0</v>
      </c>
      <c r="AE243" s="70">
        <f>'RESUMEN TOTAL'!AR316</f>
        <v>0</v>
      </c>
      <c r="AF243" s="70">
        <f>'RESUMEN TOTAL'!AS316</f>
        <v>0</v>
      </c>
      <c r="AG243" s="70">
        <f>'RESUMEN TOTAL'!AT316</f>
        <v>0</v>
      </c>
      <c r="AH243" s="70">
        <f>'RESUMEN TOTAL'!AU316</f>
        <v>0</v>
      </c>
      <c r="AI243" s="70">
        <f>'RESUMEN TOTAL'!AV316</f>
        <v>0</v>
      </c>
      <c r="AJ243" s="70" t="e">
        <f>'RESUMEN TOTAL'!#REF!</f>
        <v>#REF!</v>
      </c>
    </row>
    <row r="244" spans="1:36" x14ac:dyDescent="0.25">
      <c r="A244" t="str">
        <f>'RESUMEN TOTAL'!F317</f>
        <v>SAN JORGE</v>
      </c>
      <c r="B244" t="str">
        <f>'RESUMEN TOTAL'!G317</f>
        <v>Punto Seguro - San Jorge (Domo)</v>
      </c>
      <c r="C244" t="str">
        <f>'RESUMEN TOTAL'!I317</f>
        <v>CALLE 523 E/ 554 Y 556</v>
      </c>
      <c r="D244" s="30" t="str">
        <f>'RESUMEN TOTAL'!J317</f>
        <v>DOMO</v>
      </c>
      <c r="E244" s="30" t="str">
        <f>'RESUMEN TOTAL'!K317</f>
        <v>GPON</v>
      </c>
      <c r="F244" s="70">
        <f>'RESUMEN TOTAL'!S317</f>
        <v>0</v>
      </c>
      <c r="G244" s="70">
        <f>'RESUMEN TOTAL'!T317</f>
        <v>0</v>
      </c>
      <c r="H244" s="70">
        <f>'RESUMEN TOTAL'!U317</f>
        <v>0</v>
      </c>
      <c r="I244" s="70" t="str">
        <f>'RESUMEN TOTAL'!V317</f>
        <v>APAGADO</v>
      </c>
      <c r="J244" s="70" t="str">
        <f>'RESUMEN TOTAL'!W317</f>
        <v>APAGADO</v>
      </c>
      <c r="K244" s="70" t="str">
        <f>'RESUMEN TOTAL'!X317</f>
        <v>APAGADO</v>
      </c>
      <c r="L244" s="70" t="str">
        <f>'RESUMEN TOTAL'!Y317</f>
        <v>APAGADO</v>
      </c>
      <c r="M244" s="70" t="str">
        <f>'RESUMEN TOTAL'!Z317</f>
        <v>APAGADO</v>
      </c>
      <c r="N244" s="70">
        <f>'RESUMEN TOTAL'!AA317</f>
        <v>0</v>
      </c>
      <c r="O244" s="70">
        <f>'RESUMEN TOTAL'!AB317</f>
        <v>0</v>
      </c>
      <c r="P244" s="70" t="str">
        <f>'RESUMEN TOTAL'!AC317</f>
        <v>APAGADO</v>
      </c>
      <c r="Q244" s="70" t="str">
        <f>'RESUMEN TOTAL'!AD317</f>
        <v>APAGADO</v>
      </c>
      <c r="R244" s="70" t="str">
        <f>'RESUMEN TOTAL'!AE317</f>
        <v>APAGADO</v>
      </c>
      <c r="S244" s="70" t="str">
        <f>'RESUMEN TOTAL'!AF317</f>
        <v>APAGADO</v>
      </c>
      <c r="T244" s="70" t="str">
        <f>'RESUMEN TOTAL'!AG317</f>
        <v>APAGADO</v>
      </c>
      <c r="U244" s="70">
        <f>'RESUMEN TOTAL'!AH317</f>
        <v>0</v>
      </c>
      <c r="V244" s="70">
        <f>'RESUMEN TOTAL'!AI317</f>
        <v>0</v>
      </c>
      <c r="W244" s="70" t="str">
        <f>'RESUMEN TOTAL'!AJ317</f>
        <v>APAGADO</v>
      </c>
      <c r="X244" s="70" t="str">
        <f>'RESUMEN TOTAL'!AK317</f>
        <v>APAGADO</v>
      </c>
      <c r="Y244" s="70" t="str">
        <f>'RESUMEN TOTAL'!AL317</f>
        <v>APAGADO</v>
      </c>
      <c r="Z244" s="70" t="str">
        <f>'RESUMEN TOTAL'!AM317</f>
        <v>APAGADO</v>
      </c>
      <c r="AA244" s="70" t="str">
        <f>'RESUMEN TOTAL'!AN317</f>
        <v>APAGADO</v>
      </c>
      <c r="AB244" s="70">
        <f>'RESUMEN TOTAL'!AO317</f>
        <v>0</v>
      </c>
      <c r="AC244" s="70">
        <f>'RESUMEN TOTAL'!AP317</f>
        <v>0</v>
      </c>
      <c r="AD244" s="70">
        <f>'RESUMEN TOTAL'!AQ317</f>
        <v>0</v>
      </c>
      <c r="AE244" s="70" t="str">
        <f>'RESUMEN TOTAL'!AR317</f>
        <v>APAGADO</v>
      </c>
      <c r="AF244" s="70" t="str">
        <f>'RESUMEN TOTAL'!AS317</f>
        <v>APAGADO</v>
      </c>
      <c r="AG244" s="70" t="str">
        <f>'RESUMEN TOTAL'!AT317</f>
        <v>APAGADO</v>
      </c>
      <c r="AH244" s="70">
        <f>'RESUMEN TOTAL'!AU317</f>
        <v>0</v>
      </c>
      <c r="AI244" s="70">
        <f>'RESUMEN TOTAL'!AV317</f>
        <v>0</v>
      </c>
      <c r="AJ244" s="70" t="e">
        <f>'RESUMEN TOTAL'!#REF!</f>
        <v>#REF!</v>
      </c>
    </row>
    <row r="245" spans="1:36" x14ac:dyDescent="0.25">
      <c r="A245" t="str">
        <f>'RESUMEN TOTAL'!F318</f>
        <v>SAN JORGE</v>
      </c>
      <c r="B245" t="str">
        <f>'RESUMEN TOTAL'!G318</f>
        <v>Punto Seguro - San Jorge (Fija)</v>
      </c>
      <c r="C245" t="str">
        <f>'RESUMEN TOTAL'!I318</f>
        <v>CALLE 523 E/ 554 Y 556</v>
      </c>
      <c r="D245" s="30" t="str">
        <f>'RESUMEN TOTAL'!J318</f>
        <v>Fija</v>
      </c>
      <c r="E245" s="30" t="str">
        <f>'RESUMEN TOTAL'!K318</f>
        <v>GPON</v>
      </c>
      <c r="F245" s="70">
        <f>'RESUMEN TOTAL'!S318</f>
        <v>0</v>
      </c>
      <c r="G245" s="70">
        <f>'RESUMEN TOTAL'!T318</f>
        <v>0</v>
      </c>
      <c r="H245" s="70">
        <f>'RESUMEN TOTAL'!U318</f>
        <v>0</v>
      </c>
      <c r="I245" s="70">
        <f>'RESUMEN TOTAL'!V318</f>
        <v>0</v>
      </c>
      <c r="J245" s="70">
        <f>'RESUMEN TOTAL'!W318</f>
        <v>0</v>
      </c>
      <c r="K245" s="70">
        <f>'RESUMEN TOTAL'!X318</f>
        <v>0</v>
      </c>
      <c r="L245" s="70">
        <f>'RESUMEN TOTAL'!Y318</f>
        <v>0</v>
      </c>
      <c r="M245" s="70">
        <f>'RESUMEN TOTAL'!Z318</f>
        <v>0</v>
      </c>
      <c r="N245" s="70">
        <f>'RESUMEN TOTAL'!AA318</f>
        <v>0</v>
      </c>
      <c r="O245" s="70">
        <f>'RESUMEN TOTAL'!AB318</f>
        <v>0</v>
      </c>
      <c r="P245" s="70">
        <f>'RESUMEN TOTAL'!AC318</f>
        <v>0</v>
      </c>
      <c r="Q245" s="70">
        <f>'RESUMEN TOTAL'!AD318</f>
        <v>0</v>
      </c>
      <c r="R245" s="70">
        <f>'RESUMEN TOTAL'!AE318</f>
        <v>0</v>
      </c>
      <c r="S245" s="70">
        <f>'RESUMEN TOTAL'!AF318</f>
        <v>0</v>
      </c>
      <c r="T245" s="70">
        <f>'RESUMEN TOTAL'!AG318</f>
        <v>0</v>
      </c>
      <c r="U245" s="70">
        <f>'RESUMEN TOTAL'!AH318</f>
        <v>0</v>
      </c>
      <c r="V245" s="70">
        <f>'RESUMEN TOTAL'!AI318</f>
        <v>0</v>
      </c>
      <c r="W245" s="70">
        <f>'RESUMEN TOTAL'!AJ318</f>
        <v>0</v>
      </c>
      <c r="X245" s="70">
        <f>'RESUMEN TOTAL'!AK318</f>
        <v>0</v>
      </c>
      <c r="Y245" s="70">
        <f>'RESUMEN TOTAL'!AL318</f>
        <v>0</v>
      </c>
      <c r="Z245" s="70">
        <f>'RESUMEN TOTAL'!AM318</f>
        <v>0</v>
      </c>
      <c r="AA245" s="70">
        <f>'RESUMEN TOTAL'!AN318</f>
        <v>0</v>
      </c>
      <c r="AB245" s="70">
        <f>'RESUMEN TOTAL'!AO318</f>
        <v>0</v>
      </c>
      <c r="AC245" s="70">
        <f>'RESUMEN TOTAL'!AP318</f>
        <v>0</v>
      </c>
      <c r="AD245" s="70">
        <f>'RESUMEN TOTAL'!AQ318</f>
        <v>0</v>
      </c>
      <c r="AE245" s="70">
        <f>'RESUMEN TOTAL'!AR318</f>
        <v>0</v>
      </c>
      <c r="AF245" s="70">
        <f>'RESUMEN TOTAL'!AS318</f>
        <v>0</v>
      </c>
      <c r="AG245" s="70">
        <f>'RESUMEN TOTAL'!AT318</f>
        <v>0</v>
      </c>
      <c r="AH245" s="70">
        <f>'RESUMEN TOTAL'!AU318</f>
        <v>0</v>
      </c>
      <c r="AI245" s="70">
        <f>'RESUMEN TOTAL'!AV318</f>
        <v>0</v>
      </c>
      <c r="AJ245" s="70" t="e">
        <f>'RESUMEN TOTAL'!#REF!</f>
        <v>#REF!</v>
      </c>
    </row>
    <row r="246" spans="1:36" x14ac:dyDescent="0.25">
      <c r="A246" t="str">
        <f>'RESUMEN TOTAL'!F319</f>
        <v>SAN RUDECINDO</v>
      </c>
      <c r="B246" t="str">
        <f>'RESUMEN TOTAL'!G319</f>
        <v>PUNTO SEGURO - SAN RUDECINDO (fija)</v>
      </c>
      <c r="C246" t="str">
        <f>'RESUMEN TOTAL'!I319</f>
        <v>SANTA SOFIA Y ALVAR NUÑEZ</v>
      </c>
      <c r="D246" s="30" t="str">
        <f>'RESUMEN TOTAL'!J319</f>
        <v>Fija</v>
      </c>
      <c r="E246" s="30" t="str">
        <f>'RESUMEN TOTAL'!K319</f>
        <v>GPON</v>
      </c>
      <c r="F246" s="70">
        <f>'RESUMEN TOTAL'!S319</f>
        <v>0</v>
      </c>
      <c r="G246" s="70">
        <f>'RESUMEN TOTAL'!T319</f>
        <v>0</v>
      </c>
      <c r="H246" s="70">
        <f>'RESUMEN TOTAL'!U319</f>
        <v>0</v>
      </c>
      <c r="I246" s="70" t="str">
        <f>'RESUMEN TOTAL'!V319</f>
        <v>APAGADO</v>
      </c>
      <c r="J246" s="70" t="str">
        <f>'RESUMEN TOTAL'!W319</f>
        <v>APAGADO</v>
      </c>
      <c r="K246" s="70" t="str">
        <f>'RESUMEN TOTAL'!X319</f>
        <v>APAGADO</v>
      </c>
      <c r="L246" s="70" t="str">
        <f>'RESUMEN TOTAL'!Y319</f>
        <v>APAGADO</v>
      </c>
      <c r="M246" s="70" t="str">
        <f>'RESUMEN TOTAL'!Z319</f>
        <v>APAGADO</v>
      </c>
      <c r="N246" s="70">
        <f>'RESUMEN TOTAL'!AA319</f>
        <v>0</v>
      </c>
      <c r="O246" s="70">
        <f>'RESUMEN TOTAL'!AB319</f>
        <v>0</v>
      </c>
      <c r="P246" s="70" t="str">
        <f>'RESUMEN TOTAL'!AC319</f>
        <v>APAGADO</v>
      </c>
      <c r="Q246" s="70" t="str">
        <f>'RESUMEN TOTAL'!AD319</f>
        <v>APAGADO</v>
      </c>
      <c r="R246" s="70" t="str">
        <f>'RESUMEN TOTAL'!AE319</f>
        <v>APAGADO</v>
      </c>
      <c r="S246" s="70" t="str">
        <f>'RESUMEN TOTAL'!AF319</f>
        <v>APAGADO</v>
      </c>
      <c r="T246" s="70" t="str">
        <f>'RESUMEN TOTAL'!AG319</f>
        <v>APAGADO</v>
      </c>
      <c r="U246" s="70">
        <f>'RESUMEN TOTAL'!AH319</f>
        <v>0</v>
      </c>
      <c r="V246" s="70">
        <f>'RESUMEN TOTAL'!AI319</f>
        <v>0</v>
      </c>
      <c r="W246" s="70" t="str">
        <f>'RESUMEN TOTAL'!AJ319</f>
        <v>APAGADO</v>
      </c>
      <c r="X246" s="70" t="str">
        <f>'RESUMEN TOTAL'!AK319</f>
        <v>APAGADO</v>
      </c>
      <c r="Y246" s="70" t="str">
        <f>'RESUMEN TOTAL'!AL319</f>
        <v>APAGADO</v>
      </c>
      <c r="Z246" s="70" t="str">
        <f>'RESUMEN TOTAL'!AM319</f>
        <v>APAGADO</v>
      </c>
      <c r="AA246" s="70" t="str">
        <f>'RESUMEN TOTAL'!AN319</f>
        <v>APAGADO</v>
      </c>
      <c r="AB246" s="70">
        <f>'RESUMEN TOTAL'!AO319</f>
        <v>0</v>
      </c>
      <c r="AC246" s="70">
        <f>'RESUMEN TOTAL'!AP319</f>
        <v>0</v>
      </c>
      <c r="AD246" s="70">
        <f>'RESUMEN TOTAL'!AQ319</f>
        <v>0</v>
      </c>
      <c r="AE246" s="70" t="str">
        <f>'RESUMEN TOTAL'!AR319</f>
        <v>APAGADO</v>
      </c>
      <c r="AF246" s="70" t="str">
        <f>'RESUMEN TOTAL'!AS319</f>
        <v>APAGADO</v>
      </c>
      <c r="AG246" s="70" t="str">
        <f>'RESUMEN TOTAL'!AT319</f>
        <v>APAGADO</v>
      </c>
      <c r="AH246" s="70">
        <f>'RESUMEN TOTAL'!AU319</f>
        <v>0</v>
      </c>
      <c r="AI246" s="70">
        <f>'RESUMEN TOTAL'!AV319</f>
        <v>0</v>
      </c>
      <c r="AJ246" s="70" t="e">
        <f>'RESUMEN TOTAL'!#REF!</f>
        <v>#REF!</v>
      </c>
    </row>
    <row r="247" spans="1:36" x14ac:dyDescent="0.25">
      <c r="A247" t="str">
        <f>'RESUMEN TOTAL'!F320</f>
        <v>ZONA RURAL SANTA ROSA</v>
      </c>
      <c r="B247" t="str">
        <f>'RESUMEN TOTAL'!G320</f>
        <v>PUNTO SEGURO - SANTA ROSA (domo)</v>
      </c>
      <c r="C247" t="str">
        <f>'RESUMEN TOTAL'!I320</f>
        <v>BRUSELAS Y SICILIA</v>
      </c>
      <c r="D247" s="30" t="str">
        <f>'RESUMEN TOTAL'!J320</f>
        <v>DOMO</v>
      </c>
      <c r="E247" s="30" t="str">
        <f>'RESUMEN TOTAL'!K320</f>
        <v>Fibra Optica</v>
      </c>
      <c r="F247" s="70">
        <f>'RESUMEN TOTAL'!S320</f>
        <v>0</v>
      </c>
      <c r="G247" s="70">
        <f>'RESUMEN TOTAL'!T320</f>
        <v>0</v>
      </c>
      <c r="H247" s="70">
        <f>'RESUMEN TOTAL'!U320</f>
        <v>0</v>
      </c>
      <c r="I247" s="70" t="str">
        <f>'RESUMEN TOTAL'!V320</f>
        <v>APAGADO</v>
      </c>
      <c r="J247" s="70" t="str">
        <f>'RESUMEN TOTAL'!W320</f>
        <v>APAGADO</v>
      </c>
      <c r="K247" s="70">
        <f>'RESUMEN TOTAL'!X320</f>
        <v>0</v>
      </c>
      <c r="L247" s="70" t="str">
        <f>'RESUMEN TOTAL'!Y320</f>
        <v>APAGADO</v>
      </c>
      <c r="M247" s="70">
        <f>'RESUMEN TOTAL'!Z320</f>
        <v>0</v>
      </c>
      <c r="N247" s="70">
        <f>'RESUMEN TOTAL'!AA320</f>
        <v>0</v>
      </c>
      <c r="O247" s="70">
        <f>'RESUMEN TOTAL'!AB320</f>
        <v>0</v>
      </c>
      <c r="P247" s="70">
        <f>'RESUMEN TOTAL'!AC320</f>
        <v>0</v>
      </c>
      <c r="Q247" s="70" t="str">
        <f>'RESUMEN TOTAL'!AD320</f>
        <v>APAGADO</v>
      </c>
      <c r="R247" s="70" t="str">
        <f>'RESUMEN TOTAL'!AE320</f>
        <v>APAGADO</v>
      </c>
      <c r="S247" s="70">
        <f>'RESUMEN TOTAL'!AF320</f>
        <v>0</v>
      </c>
      <c r="T247" s="70">
        <f>'RESUMEN TOTAL'!AG320</f>
        <v>0</v>
      </c>
      <c r="U247" s="70">
        <f>'RESUMEN TOTAL'!AH320</f>
        <v>0</v>
      </c>
      <c r="V247" s="70">
        <f>'RESUMEN TOTAL'!AI320</f>
        <v>0</v>
      </c>
      <c r="W247" s="70" t="str">
        <f>'RESUMEN TOTAL'!AJ320</f>
        <v>APAGADO</v>
      </c>
      <c r="X247" s="70" t="str">
        <f>'RESUMEN TOTAL'!AK320</f>
        <v>APAGADO</v>
      </c>
      <c r="Y247" s="70" t="str">
        <f>'RESUMEN TOTAL'!AL320</f>
        <v>APAGADO</v>
      </c>
      <c r="Z247" s="70">
        <f>'RESUMEN TOTAL'!AM320</f>
        <v>0</v>
      </c>
      <c r="AA247" s="70" t="str">
        <f>'RESUMEN TOTAL'!AN320</f>
        <v>APAGADO</v>
      </c>
      <c r="AB247" s="70">
        <f>'RESUMEN TOTAL'!AO320</f>
        <v>0</v>
      </c>
      <c r="AC247" s="70">
        <f>'RESUMEN TOTAL'!AP320</f>
        <v>0</v>
      </c>
      <c r="AD247" s="70">
        <f>'RESUMEN TOTAL'!AQ320</f>
        <v>0</v>
      </c>
      <c r="AE247" s="70">
        <f>'RESUMEN TOTAL'!AR320</f>
        <v>0</v>
      </c>
      <c r="AF247" s="70">
        <f>'RESUMEN TOTAL'!AS320</f>
        <v>0</v>
      </c>
      <c r="AG247" s="70">
        <f>'RESUMEN TOTAL'!AT320</f>
        <v>0</v>
      </c>
      <c r="AH247" s="70">
        <f>'RESUMEN TOTAL'!AU320</f>
        <v>0</v>
      </c>
      <c r="AI247" s="70">
        <f>'RESUMEN TOTAL'!AV320</f>
        <v>0</v>
      </c>
      <c r="AJ247" s="70" t="e">
        <f>'RESUMEN TOTAL'!#REF!</f>
        <v>#REF!</v>
      </c>
    </row>
    <row r="248" spans="1:36" x14ac:dyDescent="0.25">
      <c r="A248" t="str">
        <f>'RESUMEN TOTAL'!F321</f>
        <v>ZONA RURAL SANTA ROSA</v>
      </c>
      <c r="B248" t="str">
        <f>'RESUMEN TOTAL'!G321</f>
        <v>PUNTO SEGURO - SANTA ROSA (fija)</v>
      </c>
      <c r="C248" t="str">
        <f>'RESUMEN TOTAL'!I321</f>
        <v>BRUSELAS Y SICILIA</v>
      </c>
      <c r="D248" s="30" t="str">
        <f>'RESUMEN TOTAL'!J321</f>
        <v>Fija</v>
      </c>
      <c r="E248" s="30" t="str">
        <f>'RESUMEN TOTAL'!K321</f>
        <v>Fibra Optica</v>
      </c>
      <c r="F248" s="70">
        <f>'RESUMEN TOTAL'!S321</f>
        <v>0</v>
      </c>
      <c r="G248" s="70">
        <f>'RESUMEN TOTAL'!T321</f>
        <v>0</v>
      </c>
      <c r="H248" s="70">
        <f>'RESUMEN TOTAL'!U321</f>
        <v>0</v>
      </c>
      <c r="I248" s="70">
        <f>'RESUMEN TOTAL'!V321</f>
        <v>0</v>
      </c>
      <c r="J248" s="70">
        <f>'RESUMEN TOTAL'!W321</f>
        <v>0</v>
      </c>
      <c r="K248" s="70">
        <f>'RESUMEN TOTAL'!X321</f>
        <v>0</v>
      </c>
      <c r="L248" s="70">
        <f>'RESUMEN TOTAL'!Y321</f>
        <v>0</v>
      </c>
      <c r="M248" s="70">
        <f>'RESUMEN TOTAL'!Z321</f>
        <v>0</v>
      </c>
      <c r="N248" s="70">
        <f>'RESUMEN TOTAL'!AA321</f>
        <v>0</v>
      </c>
      <c r="O248" s="70">
        <f>'RESUMEN TOTAL'!AB321</f>
        <v>0</v>
      </c>
      <c r="P248" s="70">
        <f>'RESUMEN TOTAL'!AC321</f>
        <v>0</v>
      </c>
      <c r="Q248" s="70">
        <f>'RESUMEN TOTAL'!AD321</f>
        <v>0</v>
      </c>
      <c r="R248" s="70">
        <f>'RESUMEN TOTAL'!AE321</f>
        <v>0</v>
      </c>
      <c r="S248" s="70">
        <f>'RESUMEN TOTAL'!AF321</f>
        <v>0</v>
      </c>
      <c r="T248" s="70">
        <f>'RESUMEN TOTAL'!AG321</f>
        <v>0</v>
      </c>
      <c r="U248" s="70">
        <f>'RESUMEN TOTAL'!AH321</f>
        <v>0</v>
      </c>
      <c r="V248" s="70">
        <f>'RESUMEN TOTAL'!AI321</f>
        <v>0</v>
      </c>
      <c r="W248" s="70" t="str">
        <f>'RESUMEN TOTAL'!AJ321</f>
        <v>APAGADO</v>
      </c>
      <c r="X248" s="70" t="str">
        <f>'RESUMEN TOTAL'!AK321</f>
        <v>APAGADO</v>
      </c>
      <c r="Y248" s="70" t="str">
        <f>'RESUMEN TOTAL'!AL321</f>
        <v>APAGADO</v>
      </c>
      <c r="Z248" s="70">
        <f>'RESUMEN TOTAL'!AM321</f>
        <v>0</v>
      </c>
      <c r="AA248" s="70">
        <f>'RESUMEN TOTAL'!AN321</f>
        <v>0</v>
      </c>
      <c r="AB248" s="70">
        <f>'RESUMEN TOTAL'!AO321</f>
        <v>0</v>
      </c>
      <c r="AC248" s="70">
        <f>'RESUMEN TOTAL'!AP321</f>
        <v>0</v>
      </c>
      <c r="AD248" s="70">
        <f>'RESUMEN TOTAL'!AQ321</f>
        <v>0</v>
      </c>
      <c r="AE248" s="70">
        <f>'RESUMEN TOTAL'!AR321</f>
        <v>0</v>
      </c>
      <c r="AF248" s="70">
        <f>'RESUMEN TOTAL'!AS321</f>
        <v>0</v>
      </c>
      <c r="AG248" s="70">
        <f>'RESUMEN TOTAL'!AT321</f>
        <v>0</v>
      </c>
      <c r="AH248" s="70">
        <f>'RESUMEN TOTAL'!AU321</f>
        <v>0</v>
      </c>
      <c r="AI248" s="70">
        <f>'RESUMEN TOTAL'!AV321</f>
        <v>0</v>
      </c>
      <c r="AJ248" s="70" t="e">
        <f>'RESUMEN TOTAL'!#REF!</f>
        <v>#REF!</v>
      </c>
    </row>
    <row r="249" spans="1:36" x14ac:dyDescent="0.25">
      <c r="A249" t="str">
        <f>'RESUMEN TOTAL'!F322</f>
        <v>AGUSTIN RAMIREZ</v>
      </c>
      <c r="B249" t="str">
        <f>'RESUMEN TOTAL'!G322</f>
        <v>PUNTO SEGURO AGUSTIN RAMIREZ INTERCOMUNICADOR</v>
      </c>
      <c r="C249" t="str">
        <f>'RESUMEN TOTAL'!I322</f>
        <v>MALAMBO Y LA TRANQUERA</v>
      </c>
      <c r="D249" s="30" t="str">
        <f>'RESUMEN TOTAL'!J322</f>
        <v>Fija</v>
      </c>
      <c r="E249" s="30" t="str">
        <f>'RESUMEN TOTAL'!K322</f>
        <v>Fibra Optica</v>
      </c>
      <c r="F249" s="70">
        <f>'RESUMEN TOTAL'!S322</f>
        <v>0</v>
      </c>
      <c r="G249" s="70">
        <f>'RESUMEN TOTAL'!T322</f>
        <v>0</v>
      </c>
      <c r="H249" s="70">
        <f>'RESUMEN TOTAL'!U322</f>
        <v>0</v>
      </c>
      <c r="I249" s="70">
        <f>'RESUMEN TOTAL'!V322</f>
        <v>0</v>
      </c>
      <c r="J249" s="70">
        <f>'RESUMEN TOTAL'!W322</f>
        <v>0</v>
      </c>
      <c r="K249" s="70">
        <f>'RESUMEN TOTAL'!X322</f>
        <v>0</v>
      </c>
      <c r="L249" s="70">
        <f>'RESUMEN TOTAL'!Y322</f>
        <v>0</v>
      </c>
      <c r="M249" s="70">
        <f>'RESUMEN TOTAL'!Z322</f>
        <v>0</v>
      </c>
      <c r="N249" s="70">
        <f>'RESUMEN TOTAL'!AA322</f>
        <v>0</v>
      </c>
      <c r="O249" s="70">
        <f>'RESUMEN TOTAL'!AB322</f>
        <v>0</v>
      </c>
      <c r="P249" s="70">
        <f>'RESUMEN TOTAL'!AC322</f>
        <v>0</v>
      </c>
      <c r="Q249" s="70">
        <f>'RESUMEN TOTAL'!AD322</f>
        <v>0</v>
      </c>
      <c r="R249" s="70">
        <f>'RESUMEN TOTAL'!AE322</f>
        <v>0</v>
      </c>
      <c r="S249" s="70">
        <f>'RESUMEN TOTAL'!AF322</f>
        <v>0</v>
      </c>
      <c r="T249" s="70">
        <f>'RESUMEN TOTAL'!AG322</f>
        <v>0</v>
      </c>
      <c r="U249" s="70">
        <f>'RESUMEN TOTAL'!AH322</f>
        <v>0</v>
      </c>
      <c r="V249" s="70">
        <f>'RESUMEN TOTAL'!AI322</f>
        <v>0</v>
      </c>
      <c r="W249" s="70">
        <f>'RESUMEN TOTAL'!AJ322</f>
        <v>0</v>
      </c>
      <c r="X249" s="70">
        <f>'RESUMEN TOTAL'!AK322</f>
        <v>0</v>
      </c>
      <c r="Y249" s="70">
        <f>'RESUMEN TOTAL'!AL322</f>
        <v>0</v>
      </c>
      <c r="Z249" s="70">
        <f>'RESUMEN TOTAL'!AM322</f>
        <v>0</v>
      </c>
      <c r="AA249" s="70">
        <f>'RESUMEN TOTAL'!AN322</f>
        <v>0</v>
      </c>
      <c r="AB249" s="70">
        <f>'RESUMEN TOTAL'!AO322</f>
        <v>0</v>
      </c>
      <c r="AC249" s="70">
        <f>'RESUMEN TOTAL'!AP322</f>
        <v>0</v>
      </c>
      <c r="AD249" s="70">
        <f>'RESUMEN TOTAL'!AQ322</f>
        <v>0</v>
      </c>
      <c r="AE249" s="70">
        <f>'RESUMEN TOTAL'!AR322</f>
        <v>0</v>
      </c>
      <c r="AF249" s="70">
        <f>'RESUMEN TOTAL'!AS322</f>
        <v>0</v>
      </c>
      <c r="AG249" s="70">
        <f>'RESUMEN TOTAL'!AT322</f>
        <v>0</v>
      </c>
      <c r="AH249" s="70">
        <f>'RESUMEN TOTAL'!AU322</f>
        <v>0</v>
      </c>
      <c r="AI249" s="70">
        <f>'RESUMEN TOTAL'!AV322</f>
        <v>0</v>
      </c>
      <c r="AJ249" s="70" t="e">
        <f>'RESUMEN TOTAL'!#REF!</f>
        <v>#REF!</v>
      </c>
    </row>
    <row r="250" spans="1:36" x14ac:dyDescent="0.25">
      <c r="A250" t="str">
        <f>'RESUMEN TOTAL'!F323</f>
        <v>LUJAN</v>
      </c>
      <c r="B250" t="str">
        <f>'RESUMEN TOTAL'!G323</f>
        <v>PUNTO SEGURO LUJAN (domo)</v>
      </c>
      <c r="C250" t="str">
        <f>'RESUMEN TOTAL'!I323</f>
        <v>DIAG. LOS TILOS Y LOS ALGARROBOS</v>
      </c>
      <c r="D250" s="30" t="str">
        <f>'RESUMEN TOTAL'!J323</f>
        <v>DOMO</v>
      </c>
      <c r="E250" s="30" t="str">
        <f>'RESUMEN TOTAL'!K323</f>
        <v>GPON</v>
      </c>
      <c r="F250" s="70">
        <f>'RESUMEN TOTAL'!S323</f>
        <v>0</v>
      </c>
      <c r="G250" s="70">
        <f>'RESUMEN TOTAL'!T323</f>
        <v>0</v>
      </c>
      <c r="H250" s="70">
        <f>'RESUMEN TOTAL'!U323</f>
        <v>0</v>
      </c>
      <c r="I250" s="70">
        <f>'RESUMEN TOTAL'!V323</f>
        <v>0</v>
      </c>
      <c r="J250" s="70">
        <f>'RESUMEN TOTAL'!W323</f>
        <v>0</v>
      </c>
      <c r="K250" s="70">
        <f>'RESUMEN TOTAL'!X323</f>
        <v>0</v>
      </c>
      <c r="L250" s="70">
        <f>'RESUMEN TOTAL'!Y323</f>
        <v>0</v>
      </c>
      <c r="M250" s="70">
        <f>'RESUMEN TOTAL'!Z323</f>
        <v>0</v>
      </c>
      <c r="N250" s="70">
        <f>'RESUMEN TOTAL'!AA323</f>
        <v>0</v>
      </c>
      <c r="O250" s="70">
        <f>'RESUMEN TOTAL'!AB323</f>
        <v>0</v>
      </c>
      <c r="P250" s="70">
        <f>'RESUMEN TOTAL'!AC323</f>
        <v>0</v>
      </c>
      <c r="Q250" s="70">
        <f>'RESUMEN TOTAL'!AD323</f>
        <v>0</v>
      </c>
      <c r="R250" s="70">
        <f>'RESUMEN TOTAL'!AE323</f>
        <v>0</v>
      </c>
      <c r="S250" s="70" t="str">
        <f>'RESUMEN TOTAL'!AF323</f>
        <v>APAGADO</v>
      </c>
      <c r="T250" s="70">
        <f>'RESUMEN TOTAL'!AG323</f>
        <v>0</v>
      </c>
      <c r="U250" s="70">
        <f>'RESUMEN TOTAL'!AH323</f>
        <v>0</v>
      </c>
      <c r="V250" s="70">
        <f>'RESUMEN TOTAL'!AI323</f>
        <v>0</v>
      </c>
      <c r="W250" s="70">
        <f>'RESUMEN TOTAL'!AJ323</f>
        <v>0</v>
      </c>
      <c r="X250" s="70">
        <f>'RESUMEN TOTAL'!AK323</f>
        <v>0</v>
      </c>
      <c r="Y250" s="70">
        <f>'RESUMEN TOTAL'!AL323</f>
        <v>0</v>
      </c>
      <c r="Z250" s="70">
        <f>'RESUMEN TOTAL'!AM323</f>
        <v>0</v>
      </c>
      <c r="AA250" s="70">
        <f>'RESUMEN TOTAL'!AN323</f>
        <v>0</v>
      </c>
      <c r="AB250" s="70">
        <f>'RESUMEN TOTAL'!AO323</f>
        <v>0</v>
      </c>
      <c r="AC250" s="70">
        <f>'RESUMEN TOTAL'!AP323</f>
        <v>0</v>
      </c>
      <c r="AD250" s="70">
        <f>'RESUMEN TOTAL'!AQ323</f>
        <v>0</v>
      </c>
      <c r="AE250" s="70">
        <f>'RESUMEN TOTAL'!AR323</f>
        <v>0</v>
      </c>
      <c r="AF250" s="70">
        <f>'RESUMEN TOTAL'!AS323</f>
        <v>0</v>
      </c>
      <c r="AG250" s="70">
        <f>'RESUMEN TOTAL'!AT323</f>
        <v>0</v>
      </c>
      <c r="AH250" s="70">
        <f>'RESUMEN TOTAL'!AU323</f>
        <v>0</v>
      </c>
      <c r="AI250" s="70">
        <f>'RESUMEN TOTAL'!AV323</f>
        <v>0</v>
      </c>
      <c r="AJ250" s="70" t="e">
        <f>'RESUMEN TOTAL'!#REF!</f>
        <v>#REF!</v>
      </c>
    </row>
    <row r="251" spans="1:36" x14ac:dyDescent="0.25">
      <c r="A251" t="str">
        <f>'RESUMEN TOTAL'!F324</f>
        <v>LUJAN</v>
      </c>
      <c r="B251" t="str">
        <f>'RESUMEN TOTAL'!G324</f>
        <v>PUNTO SEGURO LUJAN INTERCOMUNICADOR</v>
      </c>
      <c r="C251" t="str">
        <f>'RESUMEN TOTAL'!I324</f>
        <v>DIAG LOS TILOS Y LOS ALGARROBOS</v>
      </c>
      <c r="D251" s="30" t="str">
        <f>'RESUMEN TOTAL'!J324</f>
        <v>Fija</v>
      </c>
      <c r="E251" s="30" t="str">
        <f>'RESUMEN TOTAL'!K324</f>
        <v>GPON</v>
      </c>
      <c r="F251" s="70">
        <f>'RESUMEN TOTAL'!S324</f>
        <v>0</v>
      </c>
      <c r="G251" s="70">
        <f>'RESUMEN TOTAL'!T324</f>
        <v>0</v>
      </c>
      <c r="H251" s="70">
        <f>'RESUMEN TOTAL'!U324</f>
        <v>0</v>
      </c>
      <c r="I251" s="70">
        <f>'RESUMEN TOTAL'!V324</f>
        <v>0</v>
      </c>
      <c r="J251" s="70">
        <f>'RESUMEN TOTAL'!W324</f>
        <v>0</v>
      </c>
      <c r="K251" s="70">
        <f>'RESUMEN TOTAL'!X324</f>
        <v>0</v>
      </c>
      <c r="L251" s="70">
        <f>'RESUMEN TOTAL'!Y324</f>
        <v>0</v>
      </c>
      <c r="M251" s="70">
        <f>'RESUMEN TOTAL'!Z324</f>
        <v>0</v>
      </c>
      <c r="N251" s="70">
        <f>'RESUMEN TOTAL'!AA324</f>
        <v>0</v>
      </c>
      <c r="O251" s="70">
        <f>'RESUMEN TOTAL'!AB324</f>
        <v>0</v>
      </c>
      <c r="P251" s="70">
        <f>'RESUMEN TOTAL'!AC324</f>
        <v>0</v>
      </c>
      <c r="Q251" s="70">
        <f>'RESUMEN TOTAL'!AD324</f>
        <v>0</v>
      </c>
      <c r="R251" s="70">
        <f>'RESUMEN TOTAL'!AE324</f>
        <v>0</v>
      </c>
      <c r="S251" s="70" t="str">
        <f>'RESUMEN TOTAL'!AF324</f>
        <v>APAGADO</v>
      </c>
      <c r="T251" s="70">
        <f>'RESUMEN TOTAL'!AG324</f>
        <v>0</v>
      </c>
      <c r="U251" s="70">
        <f>'RESUMEN TOTAL'!AH324</f>
        <v>0</v>
      </c>
      <c r="V251" s="70">
        <f>'RESUMEN TOTAL'!AI324</f>
        <v>0</v>
      </c>
      <c r="W251" s="70">
        <f>'RESUMEN TOTAL'!AJ324</f>
        <v>0</v>
      </c>
      <c r="X251" s="70">
        <f>'RESUMEN TOTAL'!AK324</f>
        <v>0</v>
      </c>
      <c r="Y251" s="70">
        <f>'RESUMEN TOTAL'!AL324</f>
        <v>0</v>
      </c>
      <c r="Z251" s="70">
        <f>'RESUMEN TOTAL'!AM324</f>
        <v>0</v>
      </c>
      <c r="AA251" s="70">
        <f>'RESUMEN TOTAL'!AN324</f>
        <v>0</v>
      </c>
      <c r="AB251" s="70">
        <f>'RESUMEN TOTAL'!AO324</f>
        <v>0</v>
      </c>
      <c r="AC251" s="70">
        <f>'RESUMEN TOTAL'!AP324</f>
        <v>0</v>
      </c>
      <c r="AD251" s="70">
        <f>'RESUMEN TOTAL'!AQ324</f>
        <v>0</v>
      </c>
      <c r="AE251" s="70">
        <f>'RESUMEN TOTAL'!AR324</f>
        <v>0</v>
      </c>
      <c r="AF251" s="70">
        <f>'RESUMEN TOTAL'!AS324</f>
        <v>0</v>
      </c>
      <c r="AG251" s="70">
        <f>'RESUMEN TOTAL'!AT324</f>
        <v>0</v>
      </c>
      <c r="AH251" s="70">
        <f>'RESUMEN TOTAL'!AU324</f>
        <v>0</v>
      </c>
      <c r="AI251" s="70">
        <f>'RESUMEN TOTAL'!AV324</f>
        <v>0</v>
      </c>
      <c r="AJ251" s="70" t="e">
        <f>'RESUMEN TOTAL'!#REF!</f>
        <v>#REF!</v>
      </c>
    </row>
    <row r="252" spans="1:36" x14ac:dyDescent="0.25">
      <c r="A252" t="str">
        <f>'RESUMEN TOTAL'!F325</f>
        <v>ZONA RURAL SANTA ROSA</v>
      </c>
      <c r="B252" t="str">
        <f>'RESUMEN TOTAL'!G325</f>
        <v>PUNTO SEGURO PICO DE ORO INTERCOMUNICADOR</v>
      </c>
      <c r="C252" t="str">
        <f>'RESUMEN TOTAL'!I325</f>
        <v>PISANI Y BULGARIA</v>
      </c>
      <c r="D252" s="30" t="str">
        <f>'RESUMEN TOTAL'!J325</f>
        <v>Domo</v>
      </c>
      <c r="E252" s="30" t="str">
        <f>'RESUMEN TOTAL'!K325</f>
        <v>Fibra Optica</v>
      </c>
      <c r="F252" s="70">
        <f>'RESUMEN TOTAL'!S325</f>
        <v>0</v>
      </c>
      <c r="G252" s="70">
        <f>'RESUMEN TOTAL'!T325</f>
        <v>0</v>
      </c>
      <c r="H252" s="70">
        <f>'RESUMEN TOTAL'!U325</f>
        <v>0</v>
      </c>
      <c r="I252" s="70">
        <f>'RESUMEN TOTAL'!V325</f>
        <v>0</v>
      </c>
      <c r="J252" s="70">
        <f>'RESUMEN TOTAL'!W325</f>
        <v>0</v>
      </c>
      <c r="K252" s="70">
        <f>'RESUMEN TOTAL'!X325</f>
        <v>0</v>
      </c>
      <c r="L252" s="70">
        <f>'RESUMEN TOTAL'!Y325</f>
        <v>0</v>
      </c>
      <c r="M252" s="70">
        <f>'RESUMEN TOTAL'!Z325</f>
        <v>0</v>
      </c>
      <c r="N252" s="70">
        <f>'RESUMEN TOTAL'!AA325</f>
        <v>0</v>
      </c>
      <c r="O252" s="70">
        <f>'RESUMEN TOTAL'!AB325</f>
        <v>0</v>
      </c>
      <c r="P252" s="70">
        <f>'RESUMEN TOTAL'!AC325</f>
        <v>0</v>
      </c>
      <c r="Q252" s="70">
        <f>'RESUMEN TOTAL'!AD325</f>
        <v>0</v>
      </c>
      <c r="R252" s="70">
        <f>'RESUMEN TOTAL'!AE325</f>
        <v>0</v>
      </c>
      <c r="S252" s="70">
        <f>'RESUMEN TOTAL'!AF325</f>
        <v>0</v>
      </c>
      <c r="T252" s="70">
        <f>'RESUMEN TOTAL'!AG325</f>
        <v>0</v>
      </c>
      <c r="U252" s="70">
        <f>'RESUMEN TOTAL'!AH325</f>
        <v>0</v>
      </c>
      <c r="V252" s="70">
        <f>'RESUMEN TOTAL'!AI325</f>
        <v>0</v>
      </c>
      <c r="W252" s="70">
        <f>'RESUMEN TOTAL'!AJ325</f>
        <v>0</v>
      </c>
      <c r="X252" s="70">
        <f>'RESUMEN TOTAL'!AK325</f>
        <v>0</v>
      </c>
      <c r="Y252" s="70">
        <f>'RESUMEN TOTAL'!AL325</f>
        <v>0</v>
      </c>
      <c r="Z252" s="70">
        <f>'RESUMEN TOTAL'!AM325</f>
        <v>0</v>
      </c>
      <c r="AA252" s="70">
        <f>'RESUMEN TOTAL'!AN325</f>
        <v>0</v>
      </c>
      <c r="AB252" s="70">
        <f>'RESUMEN TOTAL'!AO325</f>
        <v>0</v>
      </c>
      <c r="AC252" s="70">
        <f>'RESUMEN TOTAL'!AP325</f>
        <v>0</v>
      </c>
      <c r="AD252" s="70">
        <f>'RESUMEN TOTAL'!AQ325</f>
        <v>0</v>
      </c>
      <c r="AE252" s="70">
        <f>'RESUMEN TOTAL'!AR325</f>
        <v>0</v>
      </c>
      <c r="AF252" s="70">
        <f>'RESUMEN TOTAL'!AS325</f>
        <v>0</v>
      </c>
      <c r="AG252" s="70">
        <f>'RESUMEN TOTAL'!AT325</f>
        <v>0</v>
      </c>
      <c r="AH252" s="70">
        <f>'RESUMEN TOTAL'!AU325</f>
        <v>0</v>
      </c>
      <c r="AI252" s="70">
        <f>'RESUMEN TOTAL'!AV325</f>
        <v>0</v>
      </c>
      <c r="AJ252" s="70" t="e">
        <f>'RESUMEN TOTAL'!#REF!</f>
        <v>#REF!</v>
      </c>
    </row>
    <row r="253" spans="1:36" x14ac:dyDescent="0.25">
      <c r="A253" t="str">
        <f>'RESUMEN TOTAL'!F326</f>
        <v>SAN JORGE</v>
      </c>
      <c r="B253" t="str">
        <f>'RESUMEN TOTAL'!G326</f>
        <v>PUNTO SEGURO SAN JORGE INTERCOMUNICADOR</v>
      </c>
      <c r="C253" t="str">
        <f>'RESUMEN TOTAL'!I326</f>
        <v>CALLE 554 Y 523</v>
      </c>
      <c r="D253" s="30" t="str">
        <f>'RESUMEN TOTAL'!J326</f>
        <v>Fija</v>
      </c>
      <c r="E253" s="30" t="str">
        <f>'RESUMEN TOTAL'!K326</f>
        <v>GPON</v>
      </c>
      <c r="F253" s="70">
        <f>'RESUMEN TOTAL'!S326</f>
        <v>0</v>
      </c>
      <c r="G253" s="70">
        <f>'RESUMEN TOTAL'!T326</f>
        <v>0</v>
      </c>
      <c r="H253" s="70">
        <f>'RESUMEN TOTAL'!U326</f>
        <v>0</v>
      </c>
      <c r="I253" s="70" t="str">
        <f>'RESUMEN TOTAL'!V326</f>
        <v>APAGADO</v>
      </c>
      <c r="J253" s="70" t="str">
        <f>'RESUMEN TOTAL'!W326</f>
        <v>APAGADO</v>
      </c>
      <c r="K253" s="70" t="str">
        <f>'RESUMEN TOTAL'!X326</f>
        <v>APAGADO</v>
      </c>
      <c r="L253" s="70" t="str">
        <f>'RESUMEN TOTAL'!Y326</f>
        <v>APAGADO</v>
      </c>
      <c r="M253" s="70" t="str">
        <f>'RESUMEN TOTAL'!Z326</f>
        <v>APAGADO</v>
      </c>
      <c r="N253" s="70">
        <f>'RESUMEN TOTAL'!AA326</f>
        <v>0</v>
      </c>
      <c r="O253" s="70">
        <f>'RESUMEN TOTAL'!AB326</f>
        <v>0</v>
      </c>
      <c r="P253" s="70" t="str">
        <f>'RESUMEN TOTAL'!AC326</f>
        <v>APAGADO</v>
      </c>
      <c r="Q253" s="70" t="str">
        <f>'RESUMEN TOTAL'!AD326</f>
        <v>APAGADO</v>
      </c>
      <c r="R253" s="70" t="str">
        <f>'RESUMEN TOTAL'!AE326</f>
        <v>APAGADO</v>
      </c>
      <c r="S253" s="70" t="str">
        <f>'RESUMEN TOTAL'!AF326</f>
        <v>APAGADO</v>
      </c>
      <c r="T253" s="70" t="str">
        <f>'RESUMEN TOTAL'!AG326</f>
        <v>APAGADO</v>
      </c>
      <c r="U253" s="70">
        <f>'RESUMEN TOTAL'!AH326</f>
        <v>0</v>
      </c>
      <c r="V253" s="70">
        <f>'RESUMEN TOTAL'!AI326</f>
        <v>0</v>
      </c>
      <c r="W253" s="70" t="str">
        <f>'RESUMEN TOTAL'!AJ326</f>
        <v>APAGADO</v>
      </c>
      <c r="X253" s="70" t="str">
        <f>'RESUMEN TOTAL'!AK326</f>
        <v>APAGADO</v>
      </c>
      <c r="Y253" s="70" t="str">
        <f>'RESUMEN TOTAL'!AL326</f>
        <v>APAGADO</v>
      </c>
      <c r="Z253" s="70" t="str">
        <f>'RESUMEN TOTAL'!AM326</f>
        <v>APAGADO</v>
      </c>
      <c r="AA253" s="70" t="str">
        <f>'RESUMEN TOTAL'!AN326</f>
        <v>APAGADO</v>
      </c>
      <c r="AB253" s="70">
        <f>'RESUMEN TOTAL'!AO326</f>
        <v>0</v>
      </c>
      <c r="AC253" s="70">
        <f>'RESUMEN TOTAL'!AP326</f>
        <v>0</v>
      </c>
      <c r="AD253" s="70">
        <f>'RESUMEN TOTAL'!AQ326</f>
        <v>0</v>
      </c>
      <c r="AE253" s="70" t="str">
        <f>'RESUMEN TOTAL'!AR326</f>
        <v>APAGADO</v>
      </c>
      <c r="AF253" s="70" t="str">
        <f>'RESUMEN TOTAL'!AS326</f>
        <v>APAGADO</v>
      </c>
      <c r="AG253" s="70" t="str">
        <f>'RESUMEN TOTAL'!AT326</f>
        <v>APAGADO</v>
      </c>
      <c r="AH253" s="70">
        <f>'RESUMEN TOTAL'!AU326</f>
        <v>0</v>
      </c>
      <c r="AI253" s="70">
        <f>'RESUMEN TOTAL'!AV326</f>
        <v>0</v>
      </c>
      <c r="AJ253" s="70" t="e">
        <f>'RESUMEN TOTAL'!#REF!</f>
        <v>#REF!</v>
      </c>
    </row>
    <row r="254" spans="1:36" x14ac:dyDescent="0.25">
      <c r="A254" t="str">
        <f>'RESUMEN TOTAL'!F327</f>
        <v>SAN RUDECINDO</v>
      </c>
      <c r="B254" t="str">
        <f>'RESUMEN TOTAL'!G327</f>
        <v>PUNTO SEGURO- SAN RUDECINDO (domo)</v>
      </c>
      <c r="C254" t="str">
        <f>'RESUMEN TOTAL'!I327</f>
        <v>SANTA SOFIA Y ALVAR NUÑEZ</v>
      </c>
      <c r="D254" s="30" t="str">
        <f>'RESUMEN TOTAL'!J327</f>
        <v>DOMO</v>
      </c>
      <c r="E254" s="30" t="str">
        <f>'RESUMEN TOTAL'!K327</f>
        <v>GPON</v>
      </c>
      <c r="F254" s="70">
        <f>'RESUMEN TOTAL'!S327</f>
        <v>0</v>
      </c>
      <c r="G254" s="70">
        <f>'RESUMEN TOTAL'!T327</f>
        <v>0</v>
      </c>
      <c r="H254" s="70">
        <f>'RESUMEN TOTAL'!U327</f>
        <v>0</v>
      </c>
      <c r="I254" s="70" t="str">
        <f>'RESUMEN TOTAL'!V327</f>
        <v>APAGADO</v>
      </c>
      <c r="J254" s="70" t="str">
        <f>'RESUMEN TOTAL'!W327</f>
        <v>APAGADO</v>
      </c>
      <c r="K254" s="70" t="str">
        <f>'RESUMEN TOTAL'!X327</f>
        <v>APAGADO</v>
      </c>
      <c r="L254" s="70" t="str">
        <f>'RESUMEN TOTAL'!Y327</f>
        <v>APAGADO</v>
      </c>
      <c r="M254" s="70" t="str">
        <f>'RESUMEN TOTAL'!Z327</f>
        <v>APAGADO</v>
      </c>
      <c r="N254" s="70">
        <f>'RESUMEN TOTAL'!AA327</f>
        <v>0</v>
      </c>
      <c r="O254" s="70" t="e">
        <f>'RESUMEN TOTAL'!#REF!</f>
        <v>#REF!</v>
      </c>
      <c r="P254" s="70" t="str">
        <f>'RESUMEN TOTAL'!AC327</f>
        <v>APAGADO</v>
      </c>
      <c r="Q254" s="70" t="str">
        <f>'RESUMEN TOTAL'!AD327</f>
        <v>APAGADO</v>
      </c>
      <c r="R254" s="70" t="str">
        <f>'RESUMEN TOTAL'!AE327</f>
        <v>APAGADO</v>
      </c>
      <c r="S254" s="70" t="str">
        <f>'RESUMEN TOTAL'!AF327</f>
        <v>APAGADO</v>
      </c>
      <c r="T254" s="70" t="str">
        <f>'RESUMEN TOTAL'!AG327</f>
        <v>APAGADO</v>
      </c>
      <c r="U254" s="70">
        <f>'RESUMEN TOTAL'!AH327</f>
        <v>0</v>
      </c>
      <c r="V254" s="70">
        <f>'RESUMEN TOTAL'!AI327</f>
        <v>0</v>
      </c>
      <c r="W254" s="70" t="str">
        <f>'RESUMEN TOTAL'!AJ327</f>
        <v>APAGADO</v>
      </c>
      <c r="X254" s="70" t="str">
        <f>'RESUMEN TOTAL'!AK327</f>
        <v>APAGADO</v>
      </c>
      <c r="Y254" s="70" t="str">
        <f>'RESUMEN TOTAL'!AL327</f>
        <v>APAGADO</v>
      </c>
      <c r="Z254" s="70" t="str">
        <f>'RESUMEN TOTAL'!AM327</f>
        <v>APAGADO</v>
      </c>
      <c r="AA254" s="70" t="str">
        <f>'RESUMEN TOTAL'!AN327</f>
        <v>APAGADO</v>
      </c>
      <c r="AB254" s="70">
        <f>'RESUMEN TOTAL'!AO327</f>
        <v>0</v>
      </c>
      <c r="AC254" s="70">
        <f>'RESUMEN TOTAL'!AP327</f>
        <v>0</v>
      </c>
      <c r="AD254" s="70">
        <f>'RESUMEN TOTAL'!AQ327</f>
        <v>0</v>
      </c>
      <c r="AE254" s="70" t="str">
        <f>'RESUMEN TOTAL'!AR327</f>
        <v>APAGADO</v>
      </c>
      <c r="AF254" s="70" t="str">
        <f>'RESUMEN TOTAL'!AS327</f>
        <v>APAGADO</v>
      </c>
      <c r="AG254" s="70" t="str">
        <f>'RESUMEN TOTAL'!AT327</f>
        <v>APAGADO</v>
      </c>
      <c r="AH254" s="70">
        <f>'RESUMEN TOTAL'!AU327</f>
        <v>0</v>
      </c>
      <c r="AI254" s="70">
        <f>'RESUMEN TOTAL'!AV327</f>
        <v>0</v>
      </c>
      <c r="AJ254" s="70" t="e">
        <f>'RESUMEN TOTAL'!#REF!</f>
        <v>#REF!</v>
      </c>
    </row>
    <row r="255" spans="1:36" x14ac:dyDescent="0.25">
      <c r="A255" t="str">
        <f>'RESUMEN TOTAL'!F328</f>
        <v>SAN RUDECINDO</v>
      </c>
      <c r="B255" t="str">
        <f>'RESUMEN TOTAL'!G328</f>
        <v>PUNTO SEGURO SAN RUDECINDO INTERCOMUNICADOR</v>
      </c>
      <c r="C255" t="str">
        <f>'RESUMEN TOTAL'!I328</f>
        <v>SABTA SOFIA Y ALVAR NUÃ‘EZ</v>
      </c>
      <c r="D255" s="30" t="str">
        <f>'RESUMEN TOTAL'!J328</f>
        <v>Domo</v>
      </c>
      <c r="E255" s="30" t="str">
        <f>'RESUMEN TOTAL'!K328</f>
        <v>GPON</v>
      </c>
      <c r="F255" s="70">
        <f>'RESUMEN TOTAL'!S328</f>
        <v>0</v>
      </c>
      <c r="G255" s="70">
        <f>'RESUMEN TOTAL'!T328</f>
        <v>0</v>
      </c>
      <c r="H255" s="70">
        <f>'RESUMEN TOTAL'!U328</f>
        <v>0</v>
      </c>
      <c r="I255" s="70" t="str">
        <f>'RESUMEN TOTAL'!V328</f>
        <v>APAGADO</v>
      </c>
      <c r="J255" s="70" t="str">
        <f>'RESUMEN TOTAL'!W328</f>
        <v>APAGADO</v>
      </c>
      <c r="K255" s="70" t="str">
        <f>'RESUMEN TOTAL'!X328</f>
        <v>APAGADO</v>
      </c>
      <c r="L255" s="70" t="str">
        <f>'RESUMEN TOTAL'!Y328</f>
        <v>APAGADO</v>
      </c>
      <c r="M255" s="70" t="str">
        <f>'RESUMEN TOTAL'!Z328</f>
        <v>APAGADO</v>
      </c>
      <c r="N255" s="70">
        <f>'RESUMEN TOTAL'!AA328</f>
        <v>0</v>
      </c>
      <c r="O255" s="70">
        <f>'RESUMEN TOTAL'!AB327</f>
        <v>0</v>
      </c>
      <c r="P255" s="70" t="str">
        <f>'RESUMEN TOTAL'!AC328</f>
        <v>APAGADO</v>
      </c>
      <c r="Q255" s="70" t="str">
        <f>'RESUMEN TOTAL'!AD328</f>
        <v>APAGADO</v>
      </c>
      <c r="R255" s="70" t="str">
        <f>'RESUMEN TOTAL'!AE328</f>
        <v>APAGADO</v>
      </c>
      <c r="S255" s="70" t="str">
        <f>'RESUMEN TOTAL'!AF328</f>
        <v>APAGADO</v>
      </c>
      <c r="T255" s="70" t="str">
        <f>'RESUMEN TOTAL'!AG328</f>
        <v>APAGADO</v>
      </c>
      <c r="U255" s="70">
        <f>'RESUMEN TOTAL'!AH328</f>
        <v>0</v>
      </c>
      <c r="V255" s="70">
        <f>'RESUMEN TOTAL'!AI328</f>
        <v>0</v>
      </c>
      <c r="W255" s="70" t="str">
        <f>'RESUMEN TOTAL'!AJ328</f>
        <v>APAGADO</v>
      </c>
      <c r="X255" s="70" t="str">
        <f>'RESUMEN TOTAL'!AK328</f>
        <v>APAGADO</v>
      </c>
      <c r="Y255" s="70" t="str">
        <f>'RESUMEN TOTAL'!AL328</f>
        <v>APAGADO</v>
      </c>
      <c r="Z255" s="70" t="str">
        <f>'RESUMEN TOTAL'!AM328</f>
        <v>APAGADO</v>
      </c>
      <c r="AA255" s="70" t="str">
        <f>'RESUMEN TOTAL'!AN328</f>
        <v>APAGADO</v>
      </c>
      <c r="AB255" s="70">
        <f>'RESUMEN TOTAL'!AO328</f>
        <v>0</v>
      </c>
      <c r="AC255" s="70">
        <f>'RESUMEN TOTAL'!AP328</f>
        <v>0</v>
      </c>
      <c r="AD255" s="70">
        <f>'RESUMEN TOTAL'!AQ328</f>
        <v>0</v>
      </c>
      <c r="AE255" s="70" t="str">
        <f>'RESUMEN TOTAL'!AR328</f>
        <v>APAGADO</v>
      </c>
      <c r="AF255" s="70" t="str">
        <f>'RESUMEN TOTAL'!AS328</f>
        <v>APAGADO</v>
      </c>
      <c r="AG255" s="70" t="str">
        <f>'RESUMEN TOTAL'!AT328</f>
        <v>APAGADO</v>
      </c>
      <c r="AH255" s="70">
        <f>'RESUMEN TOTAL'!AU328</f>
        <v>0</v>
      </c>
      <c r="AI255" s="70">
        <f>'RESUMEN TOTAL'!AV328</f>
        <v>0</v>
      </c>
      <c r="AJ255" s="70" t="e">
        <f>'RESUMEN TOTAL'!#REF!</f>
        <v>#REF!</v>
      </c>
    </row>
    <row r="256" spans="1:36" x14ac:dyDescent="0.25">
      <c r="A256" t="str">
        <f>'RESUMEN TOTAL'!F329</f>
        <v>ZONA RURAL SANTA ROSA</v>
      </c>
      <c r="B256" t="str">
        <f>'RESUMEN TOTAL'!G329</f>
        <v>PUNTO SEGURO SANTA ROSA INTERCOMUNICADOR</v>
      </c>
      <c r="C256" t="str">
        <f>'RESUMEN TOTAL'!I329</f>
        <v>Bruselas y sicilia</v>
      </c>
      <c r="D256" s="30" t="str">
        <f>'RESUMEN TOTAL'!J329</f>
        <v>Fija</v>
      </c>
      <c r="E256" s="30" t="str">
        <f>'RESUMEN TOTAL'!K329</f>
        <v>Fibra Optica</v>
      </c>
      <c r="F256" s="70">
        <f>'RESUMEN TOTAL'!S329</f>
        <v>0</v>
      </c>
      <c r="G256" s="70">
        <f>'RESUMEN TOTAL'!T329</f>
        <v>0</v>
      </c>
      <c r="H256" s="70">
        <f>'RESUMEN TOTAL'!U329</f>
        <v>0</v>
      </c>
      <c r="I256" s="70">
        <f>'RESUMEN TOTAL'!V329</f>
        <v>0</v>
      </c>
      <c r="J256" s="70">
        <f>'RESUMEN TOTAL'!W329</f>
        <v>0</v>
      </c>
      <c r="K256" s="70">
        <f>'RESUMEN TOTAL'!X329</f>
        <v>0</v>
      </c>
      <c r="L256" s="70">
        <f>'RESUMEN TOTAL'!Y329</f>
        <v>0</v>
      </c>
      <c r="M256" s="70">
        <f>'RESUMEN TOTAL'!Z329</f>
        <v>0</v>
      </c>
      <c r="N256" s="70">
        <f>'RESUMEN TOTAL'!AA329</f>
        <v>0</v>
      </c>
      <c r="O256" s="70">
        <f>'RESUMEN TOTAL'!AB329</f>
        <v>0</v>
      </c>
      <c r="P256" s="70">
        <f>'RESUMEN TOTAL'!AC329</f>
        <v>0</v>
      </c>
      <c r="Q256" s="70">
        <f>'RESUMEN TOTAL'!AD329</f>
        <v>0</v>
      </c>
      <c r="R256" s="70">
        <f>'RESUMEN TOTAL'!AE329</f>
        <v>0</v>
      </c>
      <c r="S256" s="70">
        <f>'RESUMEN TOTAL'!AF329</f>
        <v>0</v>
      </c>
      <c r="T256" s="70">
        <f>'RESUMEN TOTAL'!AG329</f>
        <v>0</v>
      </c>
      <c r="U256" s="70">
        <f>'RESUMEN TOTAL'!AH329</f>
        <v>0</v>
      </c>
      <c r="V256" s="70">
        <f>'RESUMEN TOTAL'!AI329</f>
        <v>0</v>
      </c>
      <c r="W256" s="70" t="str">
        <f>'RESUMEN TOTAL'!AJ329</f>
        <v>APAGADO</v>
      </c>
      <c r="X256" s="70" t="str">
        <f>'RESUMEN TOTAL'!AK329</f>
        <v>APAGADO</v>
      </c>
      <c r="Y256" s="70" t="str">
        <f>'RESUMEN TOTAL'!AL329</f>
        <v>APAGADO</v>
      </c>
      <c r="Z256" s="70">
        <f>'RESUMEN TOTAL'!AM329</f>
        <v>0</v>
      </c>
      <c r="AA256" s="70">
        <f>'RESUMEN TOTAL'!AN329</f>
        <v>0</v>
      </c>
      <c r="AB256" s="70">
        <f>'RESUMEN TOTAL'!AO329</f>
        <v>0</v>
      </c>
      <c r="AC256" s="70">
        <f>'RESUMEN TOTAL'!AP329</f>
        <v>0</v>
      </c>
      <c r="AD256" s="70">
        <f>'RESUMEN TOTAL'!AQ329</f>
        <v>0</v>
      </c>
      <c r="AE256" s="70">
        <f>'RESUMEN TOTAL'!AR329</f>
        <v>0</v>
      </c>
      <c r="AF256" s="70">
        <f>'RESUMEN TOTAL'!AS329</f>
        <v>0</v>
      </c>
      <c r="AG256" s="70">
        <f>'RESUMEN TOTAL'!AT329</f>
        <v>0</v>
      </c>
      <c r="AH256" s="70">
        <f>'RESUMEN TOTAL'!AU329</f>
        <v>0</v>
      </c>
      <c r="AI256" s="70">
        <f>'RESUMEN TOTAL'!AV329</f>
        <v>0</v>
      </c>
      <c r="AJ256" s="70" t="e">
        <f>'RESUMEN TOTAL'!#REF!</f>
        <v>#REF!</v>
      </c>
    </row>
    <row r="257" spans="1:36" x14ac:dyDescent="0.25">
      <c r="A257" t="str">
        <f>'RESUMEN TOTAL'!F330</f>
        <v>VILLA ARGENTINA</v>
      </c>
      <c r="B257" t="str">
        <f>'RESUMEN TOTAL'!G330</f>
        <v>PUNTO SEGURO VILLA ARGENTINA domo</v>
      </c>
      <c r="C257" t="str">
        <f>'RESUMEN TOTAL'!I330</f>
        <v>CALLE 513 Y DIAG PORTELA</v>
      </c>
      <c r="D257" s="30" t="str">
        <f>'RESUMEN TOTAL'!J330</f>
        <v>Fija</v>
      </c>
      <c r="E257" s="30" t="str">
        <f>'RESUMEN TOTAL'!K330</f>
        <v>Fibra Optica</v>
      </c>
      <c r="F257" s="70">
        <f>'RESUMEN TOTAL'!S330</f>
        <v>0</v>
      </c>
      <c r="G257" s="70">
        <f>'RESUMEN TOTAL'!T330</f>
        <v>0</v>
      </c>
      <c r="H257" s="70">
        <f>'RESUMEN TOTAL'!U330</f>
        <v>0</v>
      </c>
      <c r="I257" s="70">
        <f>'RESUMEN TOTAL'!V330</f>
        <v>0</v>
      </c>
      <c r="J257" s="70">
        <f>'RESUMEN TOTAL'!W330</f>
        <v>0</v>
      </c>
      <c r="K257" s="70">
        <f>'RESUMEN TOTAL'!X330</f>
        <v>0</v>
      </c>
      <c r="L257" s="70">
        <f>'RESUMEN TOTAL'!Y330</f>
        <v>0</v>
      </c>
      <c r="M257" s="70">
        <f>'RESUMEN TOTAL'!Z330</f>
        <v>0</v>
      </c>
      <c r="N257" s="70">
        <f>'RESUMEN TOTAL'!AA330</f>
        <v>0</v>
      </c>
      <c r="O257" s="70">
        <f>'RESUMEN TOTAL'!AB330</f>
        <v>0</v>
      </c>
      <c r="P257" s="70">
        <f>'RESUMEN TOTAL'!AC330</f>
        <v>0</v>
      </c>
      <c r="Q257" s="70">
        <f>'RESUMEN TOTAL'!AD330</f>
        <v>0</v>
      </c>
      <c r="R257" s="70">
        <f>'RESUMEN TOTAL'!AE330</f>
        <v>0</v>
      </c>
      <c r="S257" s="70">
        <f>'RESUMEN TOTAL'!AF330</f>
        <v>0</v>
      </c>
      <c r="T257" s="70">
        <f>'RESUMEN TOTAL'!AG330</f>
        <v>0</v>
      </c>
      <c r="U257" s="70">
        <f>'RESUMEN TOTAL'!AH330</f>
        <v>0</v>
      </c>
      <c r="V257" s="70">
        <f>'RESUMEN TOTAL'!AI330</f>
        <v>0</v>
      </c>
      <c r="W257" s="70">
        <f>'RESUMEN TOTAL'!AJ330</f>
        <v>0</v>
      </c>
      <c r="X257" s="70">
        <f>'RESUMEN TOTAL'!AK330</f>
        <v>0</v>
      </c>
      <c r="Y257" s="70">
        <f>'RESUMEN TOTAL'!AL330</f>
        <v>0</v>
      </c>
      <c r="Z257" s="70">
        <f>'RESUMEN TOTAL'!AM330</f>
        <v>0</v>
      </c>
      <c r="AA257" s="70">
        <f>'RESUMEN TOTAL'!AN330</f>
        <v>0</v>
      </c>
      <c r="AB257" s="70">
        <f>'RESUMEN TOTAL'!AO330</f>
        <v>0</v>
      </c>
      <c r="AC257" s="70">
        <f>'RESUMEN TOTAL'!AP330</f>
        <v>0</v>
      </c>
      <c r="AD257" s="70">
        <f>'RESUMEN TOTAL'!AQ330</f>
        <v>0</v>
      </c>
      <c r="AE257" s="70">
        <f>'RESUMEN TOTAL'!AR330</f>
        <v>0</v>
      </c>
      <c r="AF257" s="70">
        <f>'RESUMEN TOTAL'!AS330</f>
        <v>0</v>
      </c>
      <c r="AG257" s="70">
        <f>'RESUMEN TOTAL'!AT330</f>
        <v>0</v>
      </c>
      <c r="AH257" s="70">
        <f>'RESUMEN TOTAL'!AU330</f>
        <v>0</v>
      </c>
      <c r="AI257" s="70">
        <f>'RESUMEN TOTAL'!AV330</f>
        <v>0</v>
      </c>
      <c r="AJ257" s="70" t="e">
        <f>'RESUMEN TOTAL'!#REF!</f>
        <v>#REF!</v>
      </c>
    </row>
    <row r="258" spans="1:36" x14ac:dyDescent="0.25">
      <c r="A258" t="str">
        <f>'RESUMEN TOTAL'!F331</f>
        <v>VILLA ARGENTINA</v>
      </c>
      <c r="B258" t="str">
        <f>'RESUMEN TOTAL'!G331</f>
        <v>PUNTO SEGURO VILLA ARGENTINA fija</v>
      </c>
      <c r="C258" t="str">
        <f>'RESUMEN TOTAL'!I331</f>
        <v>CALLE 513 Y DIAG PORTELA</v>
      </c>
      <c r="D258" s="30" t="str">
        <f>'RESUMEN TOTAL'!J331</f>
        <v>Fija</v>
      </c>
      <c r="E258" s="30" t="str">
        <f>'RESUMEN TOTAL'!K331</f>
        <v>Fibra Optica</v>
      </c>
      <c r="F258" s="70">
        <f>'RESUMEN TOTAL'!S331</f>
        <v>0</v>
      </c>
      <c r="G258" s="70">
        <f>'RESUMEN TOTAL'!T331</f>
        <v>0</v>
      </c>
      <c r="H258" s="70">
        <f>'RESUMEN TOTAL'!U331</f>
        <v>0</v>
      </c>
      <c r="I258" s="70">
        <f>'RESUMEN TOTAL'!V331</f>
        <v>0</v>
      </c>
      <c r="J258" s="70">
        <f>'RESUMEN TOTAL'!W331</f>
        <v>0</v>
      </c>
      <c r="K258" s="70">
        <f>'RESUMEN TOTAL'!X331</f>
        <v>0</v>
      </c>
      <c r="L258" s="70">
        <f>'RESUMEN TOTAL'!Y331</f>
        <v>0</v>
      </c>
      <c r="M258" s="70">
        <f>'RESUMEN TOTAL'!Z331</f>
        <v>0</v>
      </c>
      <c r="N258" s="70">
        <f>'RESUMEN TOTAL'!AA331</f>
        <v>0</v>
      </c>
      <c r="O258" s="70">
        <f>'RESUMEN TOTAL'!AB331</f>
        <v>0</v>
      </c>
      <c r="P258" s="70">
        <f>'RESUMEN TOTAL'!AC331</f>
        <v>0</v>
      </c>
      <c r="Q258" s="70">
        <f>'RESUMEN TOTAL'!AD331</f>
        <v>0</v>
      </c>
      <c r="R258" s="70">
        <f>'RESUMEN TOTAL'!AE331</f>
        <v>0</v>
      </c>
      <c r="S258" s="70">
        <f>'RESUMEN TOTAL'!AF331</f>
        <v>0</v>
      </c>
      <c r="T258" s="70" t="str">
        <f>'RESUMEN TOTAL'!AG331</f>
        <v>APAGADO</v>
      </c>
      <c r="U258" s="70">
        <f>'RESUMEN TOTAL'!AH331</f>
        <v>0</v>
      </c>
      <c r="V258" s="70">
        <f>'RESUMEN TOTAL'!AI331</f>
        <v>0</v>
      </c>
      <c r="W258" s="70">
        <f>'RESUMEN TOTAL'!AJ331</f>
        <v>0</v>
      </c>
      <c r="X258" s="70">
        <f>'RESUMEN TOTAL'!AK331</f>
        <v>0</v>
      </c>
      <c r="Y258" s="70">
        <f>'RESUMEN TOTAL'!AL331</f>
        <v>0</v>
      </c>
      <c r="Z258" s="70">
        <f>'RESUMEN TOTAL'!AM331</f>
        <v>0</v>
      </c>
      <c r="AA258" s="70">
        <f>'RESUMEN TOTAL'!AN331</f>
        <v>0</v>
      </c>
      <c r="AB258" s="70">
        <f>'RESUMEN TOTAL'!AO331</f>
        <v>0</v>
      </c>
      <c r="AC258" s="70">
        <f>'RESUMEN TOTAL'!AP331</f>
        <v>0</v>
      </c>
      <c r="AD258" s="70">
        <f>'RESUMEN TOTAL'!AQ331</f>
        <v>0</v>
      </c>
      <c r="AE258" s="70">
        <f>'RESUMEN TOTAL'!AR331</f>
        <v>0</v>
      </c>
      <c r="AF258" s="70">
        <f>'RESUMEN TOTAL'!AS331</f>
        <v>0</v>
      </c>
      <c r="AG258" s="70">
        <f>'RESUMEN TOTAL'!AT331</f>
        <v>0</v>
      </c>
      <c r="AH258" s="70">
        <f>'RESUMEN TOTAL'!AU331</f>
        <v>0</v>
      </c>
      <c r="AI258" s="70">
        <f>'RESUMEN TOTAL'!AV331</f>
        <v>0</v>
      </c>
      <c r="AJ258" s="70" t="e">
        <f>'RESUMEN TOTAL'!#REF!</f>
        <v>#REF!</v>
      </c>
    </row>
    <row r="259" spans="1:36" x14ac:dyDescent="0.25">
      <c r="A259" t="str">
        <f>'RESUMEN TOTAL'!F332</f>
        <v>VILLA ARGENTINA</v>
      </c>
      <c r="B259" t="str">
        <f>'RESUMEN TOTAL'!G332</f>
        <v>PUNTO SEGURO VILLA ARGENTINA INTERCOMUNICADOR</v>
      </c>
      <c r="C259" t="str">
        <f>'RESUMEN TOTAL'!I332</f>
        <v>CALLE 513 Y DIAG PORTELA</v>
      </c>
      <c r="D259" s="30" t="str">
        <f>'RESUMEN TOTAL'!J332</f>
        <v>Fija</v>
      </c>
      <c r="E259" s="30" t="str">
        <f>'RESUMEN TOTAL'!K332</f>
        <v>Fibra Optica</v>
      </c>
      <c r="F259" s="70">
        <f>'RESUMEN TOTAL'!S332</f>
        <v>0</v>
      </c>
      <c r="G259" s="70">
        <f>'RESUMEN TOTAL'!T332</f>
        <v>0</v>
      </c>
      <c r="H259" s="70">
        <f>'RESUMEN TOTAL'!U332</f>
        <v>0</v>
      </c>
      <c r="I259" s="70">
        <f>'RESUMEN TOTAL'!V332</f>
        <v>0</v>
      </c>
      <c r="J259" s="70">
        <f>'RESUMEN TOTAL'!W332</f>
        <v>0</v>
      </c>
      <c r="K259" s="70">
        <f>'RESUMEN TOTAL'!X332</f>
        <v>0</v>
      </c>
      <c r="L259" s="70">
        <f>'RESUMEN TOTAL'!Y332</f>
        <v>0</v>
      </c>
      <c r="M259" s="70">
        <f>'RESUMEN TOTAL'!Z332</f>
        <v>0</v>
      </c>
      <c r="N259" s="70">
        <f>'RESUMEN TOTAL'!AA332</f>
        <v>0</v>
      </c>
      <c r="O259" s="70">
        <f>'RESUMEN TOTAL'!AB332</f>
        <v>0</v>
      </c>
      <c r="P259" s="70">
        <f>'RESUMEN TOTAL'!AC332</f>
        <v>0</v>
      </c>
      <c r="Q259" s="70">
        <f>'RESUMEN TOTAL'!AD332</f>
        <v>0</v>
      </c>
      <c r="R259" s="70">
        <f>'RESUMEN TOTAL'!AE332</f>
        <v>0</v>
      </c>
      <c r="S259" s="70">
        <f>'RESUMEN TOTAL'!AF332</f>
        <v>0</v>
      </c>
      <c r="T259" s="70">
        <f>'RESUMEN TOTAL'!AG332</f>
        <v>0</v>
      </c>
      <c r="U259" s="70">
        <f>'RESUMEN TOTAL'!AH332</f>
        <v>0</v>
      </c>
      <c r="V259" s="70">
        <f>'RESUMEN TOTAL'!AI332</f>
        <v>0</v>
      </c>
      <c r="W259" s="70">
        <f>'RESUMEN TOTAL'!AJ332</f>
        <v>0</v>
      </c>
      <c r="X259" s="70">
        <f>'RESUMEN TOTAL'!AK332</f>
        <v>0</v>
      </c>
      <c r="Y259" s="70">
        <f>'RESUMEN TOTAL'!AL332</f>
        <v>0</v>
      </c>
      <c r="Z259" s="70">
        <f>'RESUMEN TOTAL'!AM332</f>
        <v>0</v>
      </c>
      <c r="AA259" s="70">
        <f>'RESUMEN TOTAL'!AN332</f>
        <v>0</v>
      </c>
      <c r="AB259" s="70">
        <f>'RESUMEN TOTAL'!AO332</f>
        <v>0</v>
      </c>
      <c r="AC259" s="70">
        <f>'RESUMEN TOTAL'!AP332</f>
        <v>0</v>
      </c>
      <c r="AD259" s="70">
        <f>'RESUMEN TOTAL'!AQ332</f>
        <v>0</v>
      </c>
      <c r="AE259" s="70">
        <f>'RESUMEN TOTAL'!AR332</f>
        <v>0</v>
      </c>
      <c r="AF259" s="70">
        <f>'RESUMEN TOTAL'!AS332</f>
        <v>0</v>
      </c>
      <c r="AG259" s="70">
        <f>'RESUMEN TOTAL'!AT332</f>
        <v>0</v>
      </c>
      <c r="AH259" s="70">
        <f>'RESUMEN TOTAL'!AU332</f>
        <v>0</v>
      </c>
      <c r="AI259" s="70">
        <f>'RESUMEN TOTAL'!AV332</f>
        <v>0</v>
      </c>
      <c r="AJ259" s="70" t="e">
        <f>'RESUMEN TOTAL'!#REF!</f>
        <v>#REF!</v>
      </c>
    </row>
    <row r="260" spans="1:36" x14ac:dyDescent="0.25">
      <c r="A260" t="str">
        <f>'RESUMEN TOTAL'!F333</f>
        <v>EL ROCIO</v>
      </c>
      <c r="B260" t="str">
        <f>'RESUMEN TOTAL'!G333</f>
        <v>RCO 01</v>
      </c>
      <c r="C260" t="str">
        <f>'RESUMEN TOTAL'!I333</f>
        <v>AV. LUJAN Y LOBOS</v>
      </c>
      <c r="D260" s="30" t="str">
        <f>'RESUMEN TOTAL'!J333</f>
        <v>DOMO</v>
      </c>
      <c r="E260" s="30" t="str">
        <f>'RESUMEN TOTAL'!K333</f>
        <v>Fibra Optica</v>
      </c>
      <c r="F260" s="70">
        <f>'RESUMEN TOTAL'!S333</f>
        <v>0</v>
      </c>
      <c r="G260" s="70">
        <f>'RESUMEN TOTAL'!T333</f>
        <v>0</v>
      </c>
      <c r="H260" s="70">
        <f>'RESUMEN TOTAL'!U333</f>
        <v>0</v>
      </c>
      <c r="I260" s="70">
        <f>'RESUMEN TOTAL'!V333</f>
        <v>0</v>
      </c>
      <c r="J260" s="70">
        <f>'RESUMEN TOTAL'!W333</f>
        <v>0</v>
      </c>
      <c r="K260" s="70">
        <f>'RESUMEN TOTAL'!X333</f>
        <v>0</v>
      </c>
      <c r="L260" s="70">
        <f>'RESUMEN TOTAL'!Y333</f>
        <v>0</v>
      </c>
      <c r="M260" s="70" t="str">
        <f>'RESUMEN TOTAL'!Z333</f>
        <v>APAGADO</v>
      </c>
      <c r="N260" s="70">
        <f>'RESUMEN TOTAL'!AA333</f>
        <v>0</v>
      </c>
      <c r="O260" s="70">
        <f>'RESUMEN TOTAL'!AB333</f>
        <v>0</v>
      </c>
      <c r="P260" s="70">
        <f>'RESUMEN TOTAL'!AC333</f>
        <v>0</v>
      </c>
      <c r="Q260" s="70">
        <f>'RESUMEN TOTAL'!AD333</f>
        <v>0</v>
      </c>
      <c r="R260" s="70">
        <f>'RESUMEN TOTAL'!AE333</f>
        <v>0</v>
      </c>
      <c r="S260" s="70">
        <f>'RESUMEN TOTAL'!AF333</f>
        <v>0</v>
      </c>
      <c r="T260" s="70">
        <f>'RESUMEN TOTAL'!AG333</f>
        <v>0</v>
      </c>
      <c r="U260" s="70">
        <f>'RESUMEN TOTAL'!AH333</f>
        <v>0</v>
      </c>
      <c r="V260" s="70">
        <f>'RESUMEN TOTAL'!AI333</f>
        <v>0</v>
      </c>
      <c r="W260" s="70">
        <f>'RESUMEN TOTAL'!AJ333</f>
        <v>0</v>
      </c>
      <c r="X260" s="70">
        <f>'RESUMEN TOTAL'!AK333</f>
        <v>0</v>
      </c>
      <c r="Y260" s="70">
        <f>'RESUMEN TOTAL'!AL333</f>
        <v>0</v>
      </c>
      <c r="Z260" s="70">
        <f>'RESUMEN TOTAL'!AM333</f>
        <v>0</v>
      </c>
      <c r="AA260" s="70">
        <f>'RESUMEN TOTAL'!AN333</f>
        <v>0</v>
      </c>
      <c r="AB260" s="70">
        <f>'RESUMEN TOTAL'!AO333</f>
        <v>0</v>
      </c>
      <c r="AC260" s="70">
        <f>'RESUMEN TOTAL'!AP333</f>
        <v>0</v>
      </c>
      <c r="AD260" s="70">
        <f>'RESUMEN TOTAL'!AQ333</f>
        <v>0</v>
      </c>
      <c r="AE260" s="70">
        <f>'RESUMEN TOTAL'!AR333</f>
        <v>0</v>
      </c>
      <c r="AF260" s="70">
        <f>'RESUMEN TOTAL'!AS333</f>
        <v>0</v>
      </c>
      <c r="AG260" s="70">
        <f>'RESUMEN TOTAL'!AT333</f>
        <v>0</v>
      </c>
      <c r="AH260" s="70">
        <f>'RESUMEN TOTAL'!AU333</f>
        <v>0</v>
      </c>
      <c r="AI260" s="70">
        <f>'RESUMEN TOTAL'!AV333</f>
        <v>0</v>
      </c>
      <c r="AJ260" s="70" t="e">
        <f>'RESUMEN TOTAL'!#REF!</f>
        <v>#REF!</v>
      </c>
    </row>
    <row r="261" spans="1:36" x14ac:dyDescent="0.25">
      <c r="A261" t="str">
        <f>'RESUMEN TOTAL'!F334</f>
        <v>EL ROCIO</v>
      </c>
      <c r="B261" t="str">
        <f>'RESUMEN TOTAL'!G334</f>
        <v>RCO02</v>
      </c>
      <c r="C261" t="str">
        <f>'RESUMEN TOTAL'!I334</f>
        <v>AV. LUJAN Y BRANDSEN</v>
      </c>
      <c r="D261" s="30" t="str">
        <f>'RESUMEN TOTAL'!J334</f>
        <v>DOMO</v>
      </c>
      <c r="E261" s="30" t="str">
        <f>'RESUMEN TOTAL'!K334</f>
        <v>Fibra Optica</v>
      </c>
      <c r="F261" s="70">
        <f>'RESUMEN TOTAL'!S334</f>
        <v>0</v>
      </c>
      <c r="G261" s="70">
        <f>'RESUMEN TOTAL'!T334</f>
        <v>0</v>
      </c>
      <c r="H261" s="70">
        <f>'RESUMEN TOTAL'!U334</f>
        <v>0</v>
      </c>
      <c r="I261" s="70">
        <f>'RESUMEN TOTAL'!V334</f>
        <v>0</v>
      </c>
      <c r="J261" s="70">
        <f>'RESUMEN TOTAL'!W334</f>
        <v>0</v>
      </c>
      <c r="K261" s="70">
        <f>'RESUMEN TOTAL'!X334</f>
        <v>0</v>
      </c>
      <c r="L261" s="70">
        <f>'RESUMEN TOTAL'!Y334</f>
        <v>0</v>
      </c>
      <c r="M261" s="70">
        <f>'RESUMEN TOTAL'!Z334</f>
        <v>0</v>
      </c>
      <c r="N261" s="70">
        <f>'RESUMEN TOTAL'!AA334</f>
        <v>0</v>
      </c>
      <c r="O261" s="70">
        <f>'RESUMEN TOTAL'!AB334</f>
        <v>0</v>
      </c>
      <c r="P261" s="70">
        <f>'RESUMEN TOTAL'!AC334</f>
        <v>0</v>
      </c>
      <c r="Q261" s="70">
        <f>'RESUMEN TOTAL'!AD334</f>
        <v>0</v>
      </c>
      <c r="R261" s="70">
        <f>'RESUMEN TOTAL'!AE334</f>
        <v>0</v>
      </c>
      <c r="S261" s="70">
        <f>'RESUMEN TOTAL'!AF334</f>
        <v>0</v>
      </c>
      <c r="T261" s="70">
        <f>'RESUMEN TOTAL'!AG334</f>
        <v>0</v>
      </c>
      <c r="U261" s="70">
        <f>'RESUMEN TOTAL'!AH334</f>
        <v>0</v>
      </c>
      <c r="V261" s="70">
        <f>'RESUMEN TOTAL'!AI334</f>
        <v>0</v>
      </c>
      <c r="W261" s="70">
        <f>'RESUMEN TOTAL'!AJ334</f>
        <v>0</v>
      </c>
      <c r="X261" s="70">
        <f>'RESUMEN TOTAL'!AK334</f>
        <v>0</v>
      </c>
      <c r="Y261" s="70">
        <f>'RESUMEN TOTAL'!AL334</f>
        <v>0</v>
      </c>
      <c r="Z261" s="70">
        <f>'RESUMEN TOTAL'!AM334</f>
        <v>0</v>
      </c>
      <c r="AA261" s="70">
        <f>'RESUMEN TOTAL'!AN334</f>
        <v>0</v>
      </c>
      <c r="AB261" s="70">
        <f>'RESUMEN TOTAL'!AO334</f>
        <v>0</v>
      </c>
      <c r="AC261" s="70">
        <f>'RESUMEN TOTAL'!AP334</f>
        <v>0</v>
      </c>
      <c r="AD261" s="70">
        <f>'RESUMEN TOTAL'!AQ334</f>
        <v>0</v>
      </c>
      <c r="AE261" s="70">
        <f>'RESUMEN TOTAL'!AR334</f>
        <v>0</v>
      </c>
      <c r="AF261" s="70">
        <f>'RESUMEN TOTAL'!AS334</f>
        <v>0</v>
      </c>
      <c r="AG261" s="70">
        <f>'RESUMEN TOTAL'!AT334</f>
        <v>0</v>
      </c>
      <c r="AH261" s="70">
        <f>'RESUMEN TOTAL'!AU334</f>
        <v>0</v>
      </c>
      <c r="AI261" s="70">
        <f>'RESUMEN TOTAL'!AV334</f>
        <v>0</v>
      </c>
      <c r="AJ261" s="70" t="e">
        <f>'RESUMEN TOTAL'!#REF!</f>
        <v>#REF!</v>
      </c>
    </row>
    <row r="262" spans="1:36" x14ac:dyDescent="0.25">
      <c r="A262" t="str">
        <f>'RESUMEN TOTAL'!F335</f>
        <v>EL ROCIO</v>
      </c>
      <c r="B262" t="str">
        <f>'RESUMEN TOTAL'!G335</f>
        <v>RCO03 (fija 1)</v>
      </c>
      <c r="C262" t="str">
        <f>'RESUMEN TOTAL'!I335</f>
        <v>OLAVARRIA Y CONCORDIA</v>
      </c>
      <c r="D262" s="30" t="str">
        <f>'RESUMEN TOTAL'!J335</f>
        <v>Fija</v>
      </c>
      <c r="E262" s="30" t="str">
        <f>'RESUMEN TOTAL'!K335</f>
        <v>Fibra Optica</v>
      </c>
      <c r="F262" s="70">
        <f>'RESUMEN TOTAL'!S335</f>
        <v>0</v>
      </c>
      <c r="G262" s="70">
        <f>'RESUMEN TOTAL'!T335</f>
        <v>0</v>
      </c>
      <c r="H262" s="70">
        <f>'RESUMEN TOTAL'!U335</f>
        <v>0</v>
      </c>
      <c r="I262" s="70">
        <f>'RESUMEN TOTAL'!V335</f>
        <v>0</v>
      </c>
      <c r="J262" s="70">
        <f>'RESUMEN TOTAL'!W335</f>
        <v>0</v>
      </c>
      <c r="K262" s="70">
        <f>'RESUMEN TOTAL'!X335</f>
        <v>0</v>
      </c>
      <c r="L262" s="70" t="str">
        <f>'RESUMEN TOTAL'!Y335</f>
        <v>APAGADO</v>
      </c>
      <c r="M262" s="70">
        <f>'RESUMEN TOTAL'!Z335</f>
        <v>0</v>
      </c>
      <c r="N262" s="70">
        <f>'RESUMEN TOTAL'!AA335</f>
        <v>0</v>
      </c>
      <c r="O262" s="70">
        <f>'RESUMEN TOTAL'!AB335</f>
        <v>0</v>
      </c>
      <c r="P262" s="70">
        <f>'RESUMEN TOTAL'!AC335</f>
        <v>0</v>
      </c>
      <c r="Q262" s="70">
        <f>'RESUMEN TOTAL'!AD335</f>
        <v>0</v>
      </c>
      <c r="R262" s="70">
        <f>'RESUMEN TOTAL'!AE335</f>
        <v>0</v>
      </c>
      <c r="S262" s="70">
        <f>'RESUMEN TOTAL'!AF335</f>
        <v>0</v>
      </c>
      <c r="T262" s="70">
        <f>'RESUMEN TOTAL'!AG335</f>
        <v>0</v>
      </c>
      <c r="U262" s="70">
        <f>'RESUMEN TOTAL'!AH335</f>
        <v>0</v>
      </c>
      <c r="V262" s="70">
        <f>'RESUMEN TOTAL'!AI335</f>
        <v>0</v>
      </c>
      <c r="W262" s="70">
        <f>'RESUMEN TOTAL'!AJ335</f>
        <v>0</v>
      </c>
      <c r="X262" s="70">
        <f>'RESUMEN TOTAL'!AK335</f>
        <v>0</v>
      </c>
      <c r="Y262" s="70">
        <f>'RESUMEN TOTAL'!AL335</f>
        <v>0</v>
      </c>
      <c r="Z262" s="70">
        <f>'RESUMEN TOTAL'!AM335</f>
        <v>0</v>
      </c>
      <c r="AA262" s="70">
        <f>'RESUMEN TOTAL'!AN335</f>
        <v>0</v>
      </c>
      <c r="AB262" s="70">
        <f>'RESUMEN TOTAL'!AO335</f>
        <v>0</v>
      </c>
      <c r="AC262" s="70">
        <f>'RESUMEN TOTAL'!AP335</f>
        <v>0</v>
      </c>
      <c r="AD262" s="70">
        <f>'RESUMEN TOTAL'!AQ335</f>
        <v>0</v>
      </c>
      <c r="AE262" s="70">
        <f>'RESUMEN TOTAL'!AR335</f>
        <v>0</v>
      </c>
      <c r="AF262" s="70">
        <f>'RESUMEN TOTAL'!AS335</f>
        <v>0</v>
      </c>
      <c r="AG262" s="70">
        <f>'RESUMEN TOTAL'!AT335</f>
        <v>0</v>
      </c>
      <c r="AH262" s="70">
        <f>'RESUMEN TOTAL'!AU335</f>
        <v>0</v>
      </c>
      <c r="AI262" s="70">
        <f>'RESUMEN TOTAL'!AV335</f>
        <v>0</v>
      </c>
      <c r="AJ262" s="70" t="e">
        <f>'RESUMEN TOTAL'!#REF!</f>
        <v>#REF!</v>
      </c>
    </row>
    <row r="263" spans="1:36" x14ac:dyDescent="0.25">
      <c r="A263" t="str">
        <f>'RESUMEN TOTAL'!F336</f>
        <v>EL ROCIO</v>
      </c>
      <c r="B263" t="str">
        <f>'RESUMEN TOTAL'!G336</f>
        <v>RCO04 (fija 2)</v>
      </c>
      <c r="C263" t="str">
        <f>'RESUMEN TOTAL'!I336</f>
        <v>OLAVARRIA Y CONCORDIA</v>
      </c>
      <c r="D263" s="30" t="str">
        <f>'RESUMEN TOTAL'!J336</f>
        <v>Fija</v>
      </c>
      <c r="E263" s="30" t="str">
        <f>'RESUMEN TOTAL'!K336</f>
        <v>Fibra Optica</v>
      </c>
      <c r="F263" s="70">
        <f>'RESUMEN TOTAL'!S336</f>
        <v>0</v>
      </c>
      <c r="G263" s="70">
        <f>'RESUMEN TOTAL'!T336</f>
        <v>0</v>
      </c>
      <c r="H263" s="70">
        <f>'RESUMEN TOTAL'!U336</f>
        <v>0</v>
      </c>
      <c r="I263" s="70">
        <f>'RESUMEN TOTAL'!V336</f>
        <v>0</v>
      </c>
      <c r="J263" s="70">
        <f>'RESUMEN TOTAL'!W336</f>
        <v>0</v>
      </c>
      <c r="K263" s="70">
        <f>'RESUMEN TOTAL'!X336</f>
        <v>0</v>
      </c>
      <c r="L263" s="70" t="str">
        <f>'RESUMEN TOTAL'!Y336</f>
        <v>APAGADO</v>
      </c>
      <c r="M263" s="70">
        <f>'RESUMEN TOTAL'!Z336</f>
        <v>0</v>
      </c>
      <c r="N263" s="70">
        <f>'RESUMEN TOTAL'!AA336</f>
        <v>0</v>
      </c>
      <c r="O263" s="70">
        <f>'RESUMEN TOTAL'!AB336</f>
        <v>0</v>
      </c>
      <c r="P263" s="70">
        <f>'RESUMEN TOTAL'!AC336</f>
        <v>0</v>
      </c>
      <c r="Q263" s="70">
        <f>'RESUMEN TOTAL'!AD336</f>
        <v>0</v>
      </c>
      <c r="R263" s="70">
        <f>'RESUMEN TOTAL'!AE336</f>
        <v>0</v>
      </c>
      <c r="S263" s="70">
        <f>'RESUMEN TOTAL'!AF336</f>
        <v>0</v>
      </c>
      <c r="T263" s="70">
        <f>'RESUMEN TOTAL'!AG336</f>
        <v>0</v>
      </c>
      <c r="U263" s="70">
        <f>'RESUMEN TOTAL'!AH336</f>
        <v>0</v>
      </c>
      <c r="V263" s="70">
        <f>'RESUMEN TOTAL'!AI336</f>
        <v>0</v>
      </c>
      <c r="W263" s="70">
        <f>'RESUMEN TOTAL'!AJ336</f>
        <v>0</v>
      </c>
      <c r="X263" s="70">
        <f>'RESUMEN TOTAL'!AK336</f>
        <v>0</v>
      </c>
      <c r="Y263" s="70">
        <f>'RESUMEN TOTAL'!AL336</f>
        <v>0</v>
      </c>
      <c r="Z263" s="70">
        <f>'RESUMEN TOTAL'!AM336</f>
        <v>0</v>
      </c>
      <c r="AA263" s="70">
        <f>'RESUMEN TOTAL'!AN336</f>
        <v>0</v>
      </c>
      <c r="AB263" s="70">
        <f>'RESUMEN TOTAL'!AO336</f>
        <v>0</v>
      </c>
      <c r="AC263" s="70">
        <f>'RESUMEN TOTAL'!AP336</f>
        <v>0</v>
      </c>
      <c r="AD263" s="70">
        <f>'RESUMEN TOTAL'!AQ336</f>
        <v>0</v>
      </c>
      <c r="AE263" s="70">
        <f>'RESUMEN TOTAL'!AR336</f>
        <v>0</v>
      </c>
      <c r="AF263" s="70">
        <f>'RESUMEN TOTAL'!AS336</f>
        <v>0</v>
      </c>
      <c r="AG263" s="70">
        <f>'RESUMEN TOTAL'!AT336</f>
        <v>0</v>
      </c>
      <c r="AH263" s="70">
        <f>'RESUMEN TOTAL'!AU336</f>
        <v>0</v>
      </c>
      <c r="AI263" s="70">
        <f>'RESUMEN TOTAL'!AV336</f>
        <v>0</v>
      </c>
      <c r="AJ263" s="70" t="e">
        <f>'RESUMEN TOTAL'!#REF!</f>
        <v>#REF!</v>
      </c>
    </row>
    <row r="264" spans="1:36" x14ac:dyDescent="0.25">
      <c r="A264" t="str">
        <f>'RESUMEN TOTAL'!F337</f>
        <v>EL ROCIO</v>
      </c>
      <c r="B264" t="str">
        <f>'RESUMEN TOTAL'!G337</f>
        <v>RCO05 (fija 1)</v>
      </c>
      <c r="C264" t="str">
        <f>'RESUMEN TOTAL'!I337</f>
        <v>LOBOS Y CHASCOMUS</v>
      </c>
      <c r="D264" s="30" t="str">
        <f>'RESUMEN TOTAL'!J337</f>
        <v>Fija</v>
      </c>
      <c r="E264" s="30" t="str">
        <f>'RESUMEN TOTAL'!K337</f>
        <v>Fibra Optica</v>
      </c>
      <c r="F264" s="70">
        <f>'RESUMEN TOTAL'!S337</f>
        <v>0</v>
      </c>
      <c r="G264" s="70">
        <f>'RESUMEN TOTAL'!T337</f>
        <v>0</v>
      </c>
      <c r="H264" s="70">
        <f>'RESUMEN TOTAL'!U337</f>
        <v>0</v>
      </c>
      <c r="I264" s="70">
        <f>'RESUMEN TOTAL'!V337</f>
        <v>0</v>
      </c>
      <c r="J264" s="70">
        <f>'RESUMEN TOTAL'!W337</f>
        <v>0</v>
      </c>
      <c r="K264" s="70">
        <f>'RESUMEN TOTAL'!X337</f>
        <v>0</v>
      </c>
      <c r="L264" s="70">
        <f>'RESUMEN TOTAL'!Y337</f>
        <v>0</v>
      </c>
      <c r="M264" s="70">
        <f>'RESUMEN TOTAL'!Z337</f>
        <v>0</v>
      </c>
      <c r="N264" s="70">
        <f>'RESUMEN TOTAL'!AA337</f>
        <v>0</v>
      </c>
      <c r="O264" s="70">
        <f>'RESUMEN TOTAL'!AB337</f>
        <v>0</v>
      </c>
      <c r="P264" s="70">
        <f>'RESUMEN TOTAL'!AC337</f>
        <v>0</v>
      </c>
      <c r="Q264" s="70">
        <f>'RESUMEN TOTAL'!AD337</f>
        <v>0</v>
      </c>
      <c r="R264" s="70">
        <f>'RESUMEN TOTAL'!AE337</f>
        <v>0</v>
      </c>
      <c r="S264" s="70">
        <f>'RESUMEN TOTAL'!AF337</f>
        <v>0</v>
      </c>
      <c r="T264" s="70">
        <f>'RESUMEN TOTAL'!AG337</f>
        <v>0</v>
      </c>
      <c r="U264" s="70">
        <f>'RESUMEN TOTAL'!AH337</f>
        <v>0</v>
      </c>
      <c r="V264" s="70">
        <f>'RESUMEN TOTAL'!AI337</f>
        <v>0</v>
      </c>
      <c r="W264" s="70">
        <f>'RESUMEN TOTAL'!AJ337</f>
        <v>0</v>
      </c>
      <c r="X264" s="70">
        <f>'RESUMEN TOTAL'!AK337</f>
        <v>0</v>
      </c>
      <c r="Y264" s="70">
        <f>'RESUMEN TOTAL'!AL337</f>
        <v>0</v>
      </c>
      <c r="Z264" s="70">
        <f>'RESUMEN TOTAL'!AM337</f>
        <v>0</v>
      </c>
      <c r="AA264" s="70">
        <f>'RESUMEN TOTAL'!AN337</f>
        <v>0</v>
      </c>
      <c r="AB264" s="70">
        <f>'RESUMEN TOTAL'!AO337</f>
        <v>0</v>
      </c>
      <c r="AC264" s="70">
        <f>'RESUMEN TOTAL'!AP337</f>
        <v>0</v>
      </c>
      <c r="AD264" s="70">
        <f>'RESUMEN TOTAL'!AQ337</f>
        <v>0</v>
      </c>
      <c r="AE264" s="70">
        <f>'RESUMEN TOTAL'!AR337</f>
        <v>0</v>
      </c>
      <c r="AF264" s="70">
        <f>'RESUMEN TOTAL'!AS337</f>
        <v>0</v>
      </c>
      <c r="AG264" s="70">
        <f>'RESUMEN TOTAL'!AT337</f>
        <v>0</v>
      </c>
      <c r="AH264" s="70">
        <f>'RESUMEN TOTAL'!AU337</f>
        <v>0</v>
      </c>
      <c r="AI264" s="70">
        <f>'RESUMEN TOTAL'!AV337</f>
        <v>0</v>
      </c>
      <c r="AJ264" s="70" t="e">
        <f>'RESUMEN TOTAL'!#REF!</f>
        <v>#REF!</v>
      </c>
    </row>
    <row r="265" spans="1:36" x14ac:dyDescent="0.25">
      <c r="A265" t="str">
        <f>'RESUMEN TOTAL'!F340</f>
        <v>EL ROCIO</v>
      </c>
      <c r="B265" t="str">
        <f>'RESUMEN TOTAL'!G338</f>
        <v>RCO06 (fija 2)</v>
      </c>
      <c r="C265" t="str">
        <f>'RESUMEN TOTAL'!I338</f>
        <v>LOBOS Y CHASCOMUS</v>
      </c>
      <c r="D265" s="30" t="str">
        <f>'RESUMEN TOTAL'!J338</f>
        <v>FIJA</v>
      </c>
      <c r="E265" s="30" t="str">
        <f>'RESUMEN TOTAL'!K338</f>
        <v>Fibra Optica</v>
      </c>
      <c r="F265" s="70">
        <f>'RESUMEN TOTAL'!S338</f>
        <v>0</v>
      </c>
      <c r="G265" s="70">
        <f>'RESUMEN TOTAL'!T338</f>
        <v>0</v>
      </c>
      <c r="H265" s="70">
        <f>'RESUMEN TOTAL'!U338</f>
        <v>0</v>
      </c>
      <c r="I265" s="70">
        <f>'RESUMEN TOTAL'!V338</f>
        <v>0</v>
      </c>
      <c r="J265" s="70">
        <f>'RESUMEN TOTAL'!W338</f>
        <v>0</v>
      </c>
      <c r="K265" s="70">
        <f>'RESUMEN TOTAL'!X338</f>
        <v>0</v>
      </c>
      <c r="L265" s="70">
        <f>'RESUMEN TOTAL'!Y338</f>
        <v>0</v>
      </c>
      <c r="M265" s="70">
        <f>'RESUMEN TOTAL'!Z338</f>
        <v>0</v>
      </c>
      <c r="N265" s="70">
        <f>'RESUMEN TOTAL'!AA338</f>
        <v>0</v>
      </c>
      <c r="O265" s="70">
        <f>'RESUMEN TOTAL'!AB338</f>
        <v>0</v>
      </c>
      <c r="P265" s="70">
        <f>'RESUMEN TOTAL'!AC338</f>
        <v>0</v>
      </c>
      <c r="Q265" s="70">
        <f>'RESUMEN TOTAL'!AD338</f>
        <v>0</v>
      </c>
      <c r="R265" s="70">
        <f>'RESUMEN TOTAL'!AE338</f>
        <v>0</v>
      </c>
      <c r="S265" s="70">
        <f>'RESUMEN TOTAL'!AF338</f>
        <v>0</v>
      </c>
      <c r="T265" s="70">
        <f>'RESUMEN TOTAL'!AG338</f>
        <v>0</v>
      </c>
      <c r="U265" s="70">
        <f>'RESUMEN TOTAL'!AH338</f>
        <v>0</v>
      </c>
      <c r="V265" s="70">
        <f>'RESUMEN TOTAL'!AI338</f>
        <v>0</v>
      </c>
      <c r="W265" s="70">
        <f>'RESUMEN TOTAL'!AJ338</f>
        <v>0</v>
      </c>
      <c r="X265" s="70">
        <f>'RESUMEN TOTAL'!AK338</f>
        <v>0</v>
      </c>
      <c r="Y265" s="70">
        <f>'RESUMEN TOTAL'!AL338</f>
        <v>0</v>
      </c>
      <c r="Z265" s="70">
        <f>'RESUMEN TOTAL'!AM338</f>
        <v>0</v>
      </c>
      <c r="AA265" s="70">
        <f>'RESUMEN TOTAL'!AN338</f>
        <v>0</v>
      </c>
      <c r="AB265" s="70">
        <f>'RESUMEN TOTAL'!AO338</f>
        <v>0</v>
      </c>
      <c r="AC265" s="70">
        <f>'RESUMEN TOTAL'!AP338</f>
        <v>0</v>
      </c>
      <c r="AD265" s="70">
        <f>'RESUMEN TOTAL'!AQ338</f>
        <v>0</v>
      </c>
      <c r="AE265" s="70">
        <f>'RESUMEN TOTAL'!AR338</f>
        <v>0</v>
      </c>
      <c r="AF265" s="70">
        <f>'RESUMEN TOTAL'!AS338</f>
        <v>0</v>
      </c>
      <c r="AG265" s="70">
        <f>'RESUMEN TOTAL'!AT338</f>
        <v>0</v>
      </c>
      <c r="AH265" s="70">
        <f>'RESUMEN TOTAL'!AU338</f>
        <v>0</v>
      </c>
      <c r="AI265" s="70">
        <f>'RESUMEN TOTAL'!AV338</f>
        <v>0</v>
      </c>
      <c r="AJ265" s="70" t="e">
        <f>'RESUMEN TOTAL'!#REF!</f>
        <v>#REF!</v>
      </c>
    </row>
    <row r="266" spans="1:36" x14ac:dyDescent="0.25">
      <c r="A266" t="str">
        <f>'RESUMEN TOTAL'!F345</f>
        <v>RICARDO ROJAS</v>
      </c>
      <c r="B266" t="str">
        <f>'RESUMEN TOTAL'!G345</f>
        <v>RRJ 05</v>
      </c>
      <c r="C266" t="str">
        <f>'RESUMEN TOTAL'!I345</f>
        <v>LUJAN Y RUTA 36</v>
      </c>
      <c r="D266" s="30" t="str">
        <f>'RESUMEN TOTAL'!J345</f>
        <v>DOMO</v>
      </c>
      <c r="E266" s="30" t="str">
        <f>'RESUMEN TOTAL'!K345</f>
        <v>Fibra Optica</v>
      </c>
      <c r="F266" s="70">
        <f>'RESUMEN TOTAL'!S345</f>
        <v>0</v>
      </c>
      <c r="G266" s="70">
        <f>'RESUMEN TOTAL'!T345</f>
        <v>0</v>
      </c>
      <c r="H266" s="70">
        <f>'RESUMEN TOTAL'!U345</f>
        <v>0</v>
      </c>
      <c r="I266" s="70">
        <f>'RESUMEN TOTAL'!V345</f>
        <v>0</v>
      </c>
      <c r="J266" s="70">
        <f>'RESUMEN TOTAL'!W345</f>
        <v>0</v>
      </c>
      <c r="K266" s="70">
        <f>'RESUMEN TOTAL'!X345</f>
        <v>0</v>
      </c>
      <c r="L266" s="70">
        <f>'RESUMEN TOTAL'!Y345</f>
        <v>0</v>
      </c>
      <c r="M266" s="70">
        <f>'RESUMEN TOTAL'!Z345</f>
        <v>0</v>
      </c>
      <c r="N266" s="70">
        <f>'RESUMEN TOTAL'!AA345</f>
        <v>0</v>
      </c>
      <c r="O266" s="70">
        <f>'RESUMEN TOTAL'!AB345</f>
        <v>0</v>
      </c>
      <c r="P266" s="70">
        <f>'RESUMEN TOTAL'!AC345</f>
        <v>0</v>
      </c>
      <c r="Q266" s="70">
        <f>'RESUMEN TOTAL'!AD345</f>
        <v>0</v>
      </c>
      <c r="R266" s="70">
        <f>'RESUMEN TOTAL'!AE345</f>
        <v>0</v>
      </c>
      <c r="S266" s="70">
        <f>'RESUMEN TOTAL'!AF345</f>
        <v>0</v>
      </c>
      <c r="T266" s="70">
        <f>'RESUMEN TOTAL'!AG345</f>
        <v>0</v>
      </c>
      <c r="U266" s="70">
        <f>'RESUMEN TOTAL'!AH345</f>
        <v>0</v>
      </c>
      <c r="V266" s="70">
        <f>'RESUMEN TOTAL'!AI345</f>
        <v>0</v>
      </c>
      <c r="W266" s="70">
        <f>'RESUMEN TOTAL'!AJ345</f>
        <v>0</v>
      </c>
      <c r="X266" s="70">
        <f>'RESUMEN TOTAL'!AK345</f>
        <v>0</v>
      </c>
      <c r="Y266" s="70">
        <f>'RESUMEN TOTAL'!AL345</f>
        <v>0</v>
      </c>
      <c r="Z266" s="70">
        <f>'RESUMEN TOTAL'!AM345</f>
        <v>0</v>
      </c>
      <c r="AA266" s="70">
        <f>'RESUMEN TOTAL'!AN345</f>
        <v>0</v>
      </c>
      <c r="AB266" s="70">
        <f>'RESUMEN TOTAL'!AO345</f>
        <v>0</v>
      </c>
      <c r="AC266" s="70">
        <f>'RESUMEN TOTAL'!AP345</f>
        <v>0</v>
      </c>
      <c r="AD266" s="70">
        <f>'RESUMEN TOTAL'!AQ345</f>
        <v>0</v>
      </c>
      <c r="AE266" s="70">
        <f>'RESUMEN TOTAL'!AR345</f>
        <v>0</v>
      </c>
      <c r="AF266" s="70">
        <f>'RESUMEN TOTAL'!AS345</f>
        <v>0</v>
      </c>
      <c r="AG266" s="70">
        <f>'RESUMEN TOTAL'!AT345</f>
        <v>0</v>
      </c>
      <c r="AH266" s="70">
        <f>'RESUMEN TOTAL'!AU345</f>
        <v>0</v>
      </c>
      <c r="AI266" s="70">
        <f>'RESUMEN TOTAL'!AV345</f>
        <v>0</v>
      </c>
      <c r="AJ266" s="70" t="e">
        <f>'RESUMEN TOTAL'!#REF!</f>
        <v>#REF!</v>
      </c>
    </row>
    <row r="267" spans="1:36" x14ac:dyDescent="0.25">
      <c r="A267" t="str">
        <f>'RESUMEN TOTAL'!F346</f>
        <v>RICARDO ROJAS</v>
      </c>
      <c r="B267" t="str">
        <f>'RESUMEN TOTAL'!G346</f>
        <v>RRJ 06</v>
      </c>
      <c r="C267" t="str">
        <f>'RESUMEN TOTAL'!I346</f>
        <v>Constancio Vigil y Pablo Groussac</v>
      </c>
      <c r="D267" s="30" t="str">
        <f>'RESUMEN TOTAL'!J346</f>
        <v>Domo</v>
      </c>
      <c r="E267" s="30" t="str">
        <f>'RESUMEN TOTAL'!K346</f>
        <v>Fibra Optica</v>
      </c>
      <c r="F267" s="70">
        <f>'RESUMEN TOTAL'!S346</f>
        <v>0</v>
      </c>
      <c r="G267" s="70">
        <f>'RESUMEN TOTAL'!T346</f>
        <v>0</v>
      </c>
      <c r="H267" s="70">
        <f>'RESUMEN TOTAL'!U346</f>
        <v>0</v>
      </c>
      <c r="I267" s="70">
        <f>'RESUMEN TOTAL'!V346</f>
        <v>0</v>
      </c>
      <c r="J267" s="70">
        <f>'RESUMEN TOTAL'!W346</f>
        <v>0</v>
      </c>
      <c r="K267" s="70">
        <f>'RESUMEN TOTAL'!X346</f>
        <v>0</v>
      </c>
      <c r="L267" s="70" t="str">
        <f>'RESUMEN TOTAL'!Y346</f>
        <v>APAGADO</v>
      </c>
      <c r="M267" s="70">
        <f>'RESUMEN TOTAL'!Z346</f>
        <v>0</v>
      </c>
      <c r="N267" s="70">
        <f>'RESUMEN TOTAL'!AA346</f>
        <v>0</v>
      </c>
      <c r="O267" s="70">
        <f>'RESUMEN TOTAL'!AB346</f>
        <v>0</v>
      </c>
      <c r="P267" s="70">
        <f>'RESUMEN TOTAL'!AC346</f>
        <v>0</v>
      </c>
      <c r="Q267" s="70">
        <f>'RESUMEN TOTAL'!AD346</f>
        <v>0</v>
      </c>
      <c r="R267" s="70">
        <f>'RESUMEN TOTAL'!AE346</f>
        <v>0</v>
      </c>
      <c r="S267" s="70">
        <f>'RESUMEN TOTAL'!AF346</f>
        <v>0</v>
      </c>
      <c r="T267" s="70">
        <f>'RESUMEN TOTAL'!AG346</f>
        <v>0</v>
      </c>
      <c r="U267" s="70">
        <f>'RESUMEN TOTAL'!AH346</f>
        <v>0</v>
      </c>
      <c r="V267" s="70">
        <f>'RESUMEN TOTAL'!AI346</f>
        <v>0</v>
      </c>
      <c r="W267" s="70">
        <f>'RESUMEN TOTAL'!AJ346</f>
        <v>0</v>
      </c>
      <c r="X267" s="70" t="str">
        <f>'RESUMEN TOTAL'!AK346</f>
        <v>APAGADO</v>
      </c>
      <c r="Y267" s="70">
        <f>'RESUMEN TOTAL'!AL346</f>
        <v>0</v>
      </c>
      <c r="Z267" s="70">
        <f>'RESUMEN TOTAL'!AM346</f>
        <v>0</v>
      </c>
      <c r="AA267" s="70">
        <f>'RESUMEN TOTAL'!AN346</f>
        <v>0</v>
      </c>
      <c r="AB267" s="70">
        <f>'RESUMEN TOTAL'!AO346</f>
        <v>0</v>
      </c>
      <c r="AC267" s="70">
        <f>'RESUMEN TOTAL'!AP346</f>
        <v>0</v>
      </c>
      <c r="AD267" s="70">
        <f>'RESUMEN TOTAL'!AQ346</f>
        <v>0</v>
      </c>
      <c r="AE267" s="70" t="str">
        <f>'RESUMEN TOTAL'!AR346</f>
        <v>APAGADO</v>
      </c>
      <c r="AF267" s="70" t="str">
        <f>'RESUMEN TOTAL'!AS346</f>
        <v>APAGADO</v>
      </c>
      <c r="AG267" s="70">
        <f>'RESUMEN TOTAL'!AT346</f>
        <v>0</v>
      </c>
      <c r="AH267" s="70">
        <f>'RESUMEN TOTAL'!AU346</f>
        <v>0</v>
      </c>
      <c r="AI267" s="70">
        <f>'RESUMEN TOTAL'!AV346</f>
        <v>0</v>
      </c>
      <c r="AJ267" s="70" t="e">
        <f>'RESUMEN TOTAL'!#REF!</f>
        <v>#REF!</v>
      </c>
    </row>
    <row r="268" spans="1:36" x14ac:dyDescent="0.25">
      <c r="A268" t="str">
        <f>'RESUMEN TOTAL'!F347</f>
        <v>RICARDO ROJAS</v>
      </c>
      <c r="B268" t="str">
        <f>'RESUMEN TOTAL'!G347</f>
        <v>RRJ 07</v>
      </c>
      <c r="C268" t="str">
        <f>'RESUMEN TOTAL'!I347</f>
        <v>Constancio Vigil y Estanislao del Campo</v>
      </c>
      <c r="D268" s="30" t="str">
        <f>'RESUMEN TOTAL'!J347</f>
        <v>Domo</v>
      </c>
      <c r="E268" s="30" t="str">
        <f>'RESUMEN TOTAL'!K347</f>
        <v>Fibra Optica</v>
      </c>
      <c r="F268" s="70">
        <f>'RESUMEN TOTAL'!S347</f>
        <v>0</v>
      </c>
      <c r="G268" s="70">
        <f>'RESUMEN TOTAL'!T347</f>
        <v>0</v>
      </c>
      <c r="H268" s="70">
        <f>'RESUMEN TOTAL'!U347</f>
        <v>0</v>
      </c>
      <c r="I268" s="70">
        <f>'RESUMEN TOTAL'!V347</f>
        <v>0</v>
      </c>
      <c r="J268" s="70">
        <f>'RESUMEN TOTAL'!W347</f>
        <v>0</v>
      </c>
      <c r="K268" s="70">
        <f>'RESUMEN TOTAL'!X347</f>
        <v>0</v>
      </c>
      <c r="L268" s="70">
        <f>'RESUMEN TOTAL'!Y347</f>
        <v>0</v>
      </c>
      <c r="M268" s="70">
        <f>'RESUMEN TOTAL'!Z347</f>
        <v>0</v>
      </c>
      <c r="N268" s="70">
        <f>'RESUMEN TOTAL'!AA347</f>
        <v>0</v>
      </c>
      <c r="O268" s="70">
        <f>'RESUMEN TOTAL'!AB347</f>
        <v>0</v>
      </c>
      <c r="P268" s="70">
        <f>'RESUMEN TOTAL'!AC347</f>
        <v>0</v>
      </c>
      <c r="Q268" s="70">
        <f>'RESUMEN TOTAL'!AD347</f>
        <v>0</v>
      </c>
      <c r="R268" s="70">
        <f>'RESUMEN TOTAL'!AE347</f>
        <v>0</v>
      </c>
      <c r="S268" s="70">
        <f>'RESUMEN TOTAL'!AF347</f>
        <v>0</v>
      </c>
      <c r="T268" s="70">
        <f>'RESUMEN TOTAL'!AG347</f>
        <v>0</v>
      </c>
      <c r="U268" s="70">
        <f>'RESUMEN TOTAL'!AH347</f>
        <v>0</v>
      </c>
      <c r="V268" s="70">
        <f>'RESUMEN TOTAL'!AI347</f>
        <v>0</v>
      </c>
      <c r="W268" s="70">
        <f>'RESUMEN TOTAL'!AJ347</f>
        <v>0</v>
      </c>
      <c r="X268" s="70">
        <f>'RESUMEN TOTAL'!AK347</f>
        <v>0</v>
      </c>
      <c r="Y268" s="70">
        <f>'RESUMEN TOTAL'!AL347</f>
        <v>0</v>
      </c>
      <c r="Z268" s="70">
        <f>'RESUMEN TOTAL'!AM347</f>
        <v>0</v>
      </c>
      <c r="AA268" s="70">
        <f>'RESUMEN TOTAL'!AN347</f>
        <v>0</v>
      </c>
      <c r="AB268" s="70">
        <f>'RESUMEN TOTAL'!AO347</f>
        <v>0</v>
      </c>
      <c r="AC268" s="70">
        <f>'RESUMEN TOTAL'!AP347</f>
        <v>0</v>
      </c>
      <c r="AD268" s="70">
        <f>'RESUMEN TOTAL'!AQ347</f>
        <v>0</v>
      </c>
      <c r="AE268" s="70" t="str">
        <f>'RESUMEN TOTAL'!AR347</f>
        <v>APAGADO</v>
      </c>
      <c r="AF268" s="70" t="str">
        <f>'RESUMEN TOTAL'!AS347</f>
        <v>APAGADO</v>
      </c>
      <c r="AG268" s="70">
        <f>'RESUMEN TOTAL'!AT347</f>
        <v>0</v>
      </c>
      <c r="AH268" s="70">
        <f>'RESUMEN TOTAL'!AU347</f>
        <v>0</v>
      </c>
      <c r="AI268" s="70">
        <f>'RESUMEN TOTAL'!AV347</f>
        <v>0</v>
      </c>
      <c r="AJ268" s="70" t="e">
        <f>'RESUMEN TOTAL'!#REF!</f>
        <v>#REF!</v>
      </c>
    </row>
    <row r="269" spans="1:36" x14ac:dyDescent="0.25">
      <c r="A269" t="str">
        <f>'RESUMEN TOTAL'!F348</f>
        <v>RICARDO ROJAS</v>
      </c>
      <c r="B269" t="str">
        <f>'RESUMEN TOTAL'!G348</f>
        <v>RRJ 08</v>
      </c>
      <c r="C269" t="str">
        <f>'RESUMEN TOTAL'!I348</f>
        <v>Constancio Vigil y Pablo Podesta</v>
      </c>
      <c r="D269" s="30" t="str">
        <f>'RESUMEN TOTAL'!J348</f>
        <v>Domo</v>
      </c>
      <c r="E269" s="30" t="str">
        <f>'RESUMEN TOTAL'!K348</f>
        <v>Fibra Optica</v>
      </c>
      <c r="F269" s="70">
        <f>'RESUMEN TOTAL'!S348</f>
        <v>0</v>
      </c>
      <c r="G269" s="70">
        <f>'RESUMEN TOTAL'!T348</f>
        <v>0</v>
      </c>
      <c r="H269" s="70">
        <f>'RESUMEN TOTAL'!U348</f>
        <v>0</v>
      </c>
      <c r="I269" s="70">
        <f>'RESUMEN TOTAL'!V348</f>
        <v>0</v>
      </c>
      <c r="J269" s="70">
        <f>'RESUMEN TOTAL'!W348</f>
        <v>0</v>
      </c>
      <c r="K269" s="70">
        <f>'RESUMEN TOTAL'!X348</f>
        <v>0</v>
      </c>
      <c r="L269" s="70" t="str">
        <f>'RESUMEN TOTAL'!Y348</f>
        <v>APAGADO</v>
      </c>
      <c r="M269" s="70">
        <f>'RESUMEN TOTAL'!Z348</f>
        <v>0</v>
      </c>
      <c r="N269" s="70">
        <f>'RESUMEN TOTAL'!AA348</f>
        <v>0</v>
      </c>
      <c r="O269" s="70">
        <f>'RESUMEN TOTAL'!AB348</f>
        <v>0</v>
      </c>
      <c r="P269" s="70">
        <f>'RESUMEN TOTAL'!AC348</f>
        <v>0</v>
      </c>
      <c r="Q269" s="70">
        <f>'RESUMEN TOTAL'!AD348</f>
        <v>0</v>
      </c>
      <c r="R269" s="70">
        <f>'RESUMEN TOTAL'!AE348</f>
        <v>0</v>
      </c>
      <c r="S269" s="70">
        <f>'RESUMEN TOTAL'!AF348</f>
        <v>0</v>
      </c>
      <c r="T269" s="70">
        <f>'RESUMEN TOTAL'!AG348</f>
        <v>0</v>
      </c>
      <c r="U269" s="70">
        <f>'RESUMEN TOTAL'!AH348</f>
        <v>0</v>
      </c>
      <c r="V269" s="70">
        <f>'RESUMEN TOTAL'!AI348</f>
        <v>0</v>
      </c>
      <c r="W269" s="70">
        <f>'RESUMEN TOTAL'!AJ348</f>
        <v>0</v>
      </c>
      <c r="X269" s="70">
        <f>'RESUMEN TOTAL'!AK348</f>
        <v>0</v>
      </c>
      <c r="Y269" s="70">
        <f>'RESUMEN TOTAL'!AL348</f>
        <v>0</v>
      </c>
      <c r="Z269" s="70">
        <f>'RESUMEN TOTAL'!AM348</f>
        <v>0</v>
      </c>
      <c r="AA269" s="70">
        <f>'RESUMEN TOTAL'!AN348</f>
        <v>0</v>
      </c>
      <c r="AB269" s="70">
        <f>'RESUMEN TOTAL'!AO348</f>
        <v>0</v>
      </c>
      <c r="AC269" s="70">
        <f>'RESUMEN TOTAL'!AP348</f>
        <v>0</v>
      </c>
      <c r="AD269" s="70">
        <f>'RESUMEN TOTAL'!AQ348</f>
        <v>0</v>
      </c>
      <c r="AE269" s="70" t="str">
        <f>'RESUMEN TOTAL'!AR348</f>
        <v>APAGADO</v>
      </c>
      <c r="AF269" s="70" t="str">
        <f>'RESUMEN TOTAL'!AS348</f>
        <v>APAGADO</v>
      </c>
      <c r="AG269" s="70">
        <f>'RESUMEN TOTAL'!AT348</f>
        <v>0</v>
      </c>
      <c r="AH269" s="70">
        <f>'RESUMEN TOTAL'!AU348</f>
        <v>0</v>
      </c>
      <c r="AI269" s="70">
        <f>'RESUMEN TOTAL'!AV348</f>
        <v>0</v>
      </c>
      <c r="AJ269" s="70" t="e">
        <f>'RESUMEN TOTAL'!#REF!</f>
        <v>#REF!</v>
      </c>
    </row>
    <row r="270" spans="1:36" x14ac:dyDescent="0.25">
      <c r="A270" t="str">
        <f>'RESUMEN TOTAL'!F349</f>
        <v>RICARDO ROJAS</v>
      </c>
      <c r="B270" t="str">
        <f>'RESUMEN TOTAL'!G349</f>
        <v>RRJ 09</v>
      </c>
      <c r="C270" t="str">
        <f>'RESUMEN TOTAL'!I349</f>
        <v>Constancio Vigil y Jose Ingeniero</v>
      </c>
      <c r="D270" s="30" t="str">
        <f>'RESUMEN TOTAL'!J349</f>
        <v>Domo</v>
      </c>
      <c r="E270" s="30" t="str">
        <f>'RESUMEN TOTAL'!K349</f>
        <v>Fibra Optica</v>
      </c>
      <c r="F270" s="70">
        <f>'RESUMEN TOTAL'!S349</f>
        <v>0</v>
      </c>
      <c r="G270" s="70">
        <f>'RESUMEN TOTAL'!T349</f>
        <v>0</v>
      </c>
      <c r="H270" s="70">
        <f>'RESUMEN TOTAL'!U349</f>
        <v>0</v>
      </c>
      <c r="I270" s="70">
        <f>'RESUMEN TOTAL'!V349</f>
        <v>0</v>
      </c>
      <c r="J270" s="70">
        <f>'RESUMEN TOTAL'!W349</f>
        <v>0</v>
      </c>
      <c r="K270" s="70">
        <f>'RESUMEN TOTAL'!X349</f>
        <v>0</v>
      </c>
      <c r="L270" s="70" t="str">
        <f>'RESUMEN TOTAL'!Y349</f>
        <v>APAGADO</v>
      </c>
      <c r="M270" s="70">
        <f>'RESUMEN TOTAL'!Z349</f>
        <v>0</v>
      </c>
      <c r="N270" s="70">
        <f>'RESUMEN TOTAL'!AA349</f>
        <v>0</v>
      </c>
      <c r="O270" s="70">
        <f>'RESUMEN TOTAL'!AB349</f>
        <v>0</v>
      </c>
      <c r="P270" s="70">
        <f>'RESUMEN TOTAL'!AC349</f>
        <v>0</v>
      </c>
      <c r="Q270" s="70">
        <f>'RESUMEN TOTAL'!AD349</f>
        <v>0</v>
      </c>
      <c r="R270" s="70">
        <f>'RESUMEN TOTAL'!AE349</f>
        <v>0</v>
      </c>
      <c r="S270" s="70">
        <f>'RESUMEN TOTAL'!AF349</f>
        <v>0</v>
      </c>
      <c r="T270" s="70">
        <f>'RESUMEN TOTAL'!AG349</f>
        <v>0</v>
      </c>
      <c r="U270" s="70">
        <f>'RESUMEN TOTAL'!AH349</f>
        <v>0</v>
      </c>
      <c r="V270" s="70">
        <f>'RESUMEN TOTAL'!AI349</f>
        <v>0</v>
      </c>
      <c r="W270" s="70">
        <f>'RESUMEN TOTAL'!AJ349</f>
        <v>0</v>
      </c>
      <c r="X270" s="70">
        <f>'RESUMEN TOTAL'!AK349</f>
        <v>0</v>
      </c>
      <c r="Y270" s="70">
        <f>'RESUMEN TOTAL'!AL349</f>
        <v>0</v>
      </c>
      <c r="Z270" s="70">
        <f>'RESUMEN TOTAL'!AM349</f>
        <v>0</v>
      </c>
      <c r="AA270" s="70">
        <f>'RESUMEN TOTAL'!AN349</f>
        <v>0</v>
      </c>
      <c r="AB270" s="70">
        <f>'RESUMEN TOTAL'!AO349</f>
        <v>0</v>
      </c>
      <c r="AC270" s="70">
        <f>'RESUMEN TOTAL'!AP349</f>
        <v>0</v>
      </c>
      <c r="AD270" s="70">
        <f>'RESUMEN TOTAL'!AQ349</f>
        <v>0</v>
      </c>
      <c r="AE270" s="70" t="str">
        <f>'RESUMEN TOTAL'!AR349</f>
        <v>APAGADO</v>
      </c>
      <c r="AF270" s="70" t="str">
        <f>'RESUMEN TOTAL'!AS349</f>
        <v>APAGADO</v>
      </c>
      <c r="AG270" s="70">
        <f>'RESUMEN TOTAL'!AT349</f>
        <v>0</v>
      </c>
      <c r="AH270" s="70">
        <f>'RESUMEN TOTAL'!AU349</f>
        <v>0</v>
      </c>
      <c r="AI270" s="70">
        <f>'RESUMEN TOTAL'!AV349</f>
        <v>0</v>
      </c>
      <c r="AJ270" s="70" t="e">
        <f>'RESUMEN TOTAL'!#REF!</f>
        <v>#REF!</v>
      </c>
    </row>
    <row r="271" spans="1:36" x14ac:dyDescent="0.25">
      <c r="A271" t="str">
        <f>'RESUMEN TOTAL'!F350</f>
        <v>RICARDO ROJAS</v>
      </c>
      <c r="B271" t="str">
        <f>'RESUMEN TOTAL'!G350</f>
        <v>RRJ 10</v>
      </c>
      <c r="C271" t="str">
        <f>'RESUMEN TOTAL'!I350</f>
        <v>LUGONES Y OBLIGADO</v>
      </c>
      <c r="D271" s="30" t="str">
        <f>'RESUMEN TOTAL'!J350</f>
        <v>Domo</v>
      </c>
      <c r="E271" s="30" t="str">
        <f>'RESUMEN TOTAL'!K350</f>
        <v>Fibra Optica</v>
      </c>
      <c r="F271" s="70">
        <f>'RESUMEN TOTAL'!S350</f>
        <v>0</v>
      </c>
      <c r="G271" s="70">
        <f>'RESUMEN TOTAL'!T350</f>
        <v>0</v>
      </c>
      <c r="H271" s="70">
        <f>'RESUMEN TOTAL'!U350</f>
        <v>0</v>
      </c>
      <c r="I271" s="70">
        <f>'RESUMEN TOTAL'!V350</f>
        <v>0</v>
      </c>
      <c r="J271" s="70">
        <f>'RESUMEN TOTAL'!W350</f>
        <v>0</v>
      </c>
      <c r="K271" s="70">
        <f>'RESUMEN TOTAL'!X350</f>
        <v>0</v>
      </c>
      <c r="L271" s="70">
        <f>'RESUMEN TOTAL'!Y350</f>
        <v>0</v>
      </c>
      <c r="M271" s="70">
        <f>'RESUMEN TOTAL'!Z350</f>
        <v>0</v>
      </c>
      <c r="N271" s="70">
        <f>'RESUMEN TOTAL'!AA350</f>
        <v>0</v>
      </c>
      <c r="O271" s="70">
        <f>'RESUMEN TOTAL'!AB350</f>
        <v>0</v>
      </c>
      <c r="P271" s="70">
        <f>'RESUMEN TOTAL'!AC350</f>
        <v>0</v>
      </c>
      <c r="Q271" s="70">
        <f>'RESUMEN TOTAL'!AD350</f>
        <v>0</v>
      </c>
      <c r="R271" s="70">
        <f>'RESUMEN TOTAL'!AE350</f>
        <v>0</v>
      </c>
      <c r="S271" s="70">
        <f>'RESUMEN TOTAL'!AF350</f>
        <v>0</v>
      </c>
      <c r="T271" s="70">
        <f>'RESUMEN TOTAL'!AG350</f>
        <v>0</v>
      </c>
      <c r="U271" s="70">
        <f>'RESUMEN TOTAL'!AH350</f>
        <v>0</v>
      </c>
      <c r="V271" s="70">
        <f>'RESUMEN TOTAL'!AI350</f>
        <v>0</v>
      </c>
      <c r="W271" s="70">
        <f>'RESUMEN TOTAL'!AJ350</f>
        <v>0</v>
      </c>
      <c r="X271" s="70">
        <f>'RESUMEN TOTAL'!AK350</f>
        <v>0</v>
      </c>
      <c r="Y271" s="70">
        <f>'RESUMEN TOTAL'!AL350</f>
        <v>0</v>
      </c>
      <c r="Z271" s="70">
        <f>'RESUMEN TOTAL'!AM350</f>
        <v>0</v>
      </c>
      <c r="AA271" s="70">
        <f>'RESUMEN TOTAL'!AN350</f>
        <v>0</v>
      </c>
      <c r="AB271" s="70">
        <f>'RESUMEN TOTAL'!AO350</f>
        <v>0</v>
      </c>
      <c r="AC271" s="70">
        <f>'RESUMEN TOTAL'!AP350</f>
        <v>0</v>
      </c>
      <c r="AD271" s="70">
        <f>'RESUMEN TOTAL'!AQ350</f>
        <v>0</v>
      </c>
      <c r="AE271" s="70">
        <f>'RESUMEN TOTAL'!AR350</f>
        <v>0</v>
      </c>
      <c r="AF271" s="70" t="str">
        <f>'RESUMEN TOTAL'!AS350</f>
        <v>APAGADO</v>
      </c>
      <c r="AG271" s="70">
        <f>'RESUMEN TOTAL'!AT350</f>
        <v>0</v>
      </c>
      <c r="AH271" s="70">
        <f>'RESUMEN TOTAL'!AU350</f>
        <v>0</v>
      </c>
      <c r="AI271" s="70">
        <f>'RESUMEN TOTAL'!AV350</f>
        <v>0</v>
      </c>
      <c r="AJ271" s="70" t="e">
        <f>'RESUMEN TOTAL'!#REF!</f>
        <v>#REF!</v>
      </c>
    </row>
    <row r="272" spans="1:36" x14ac:dyDescent="0.25">
      <c r="A272" t="str">
        <f>'RESUMEN TOTAL'!F351</f>
        <v>RICARDO ROJAS</v>
      </c>
      <c r="B272" t="str">
        <f>'RESUMEN TOTAL'!G351</f>
        <v>RRJ 11</v>
      </c>
      <c r="C272" t="str">
        <f>'RESUMEN TOTAL'!I351</f>
        <v>LUGONES Y OBLIGADO</v>
      </c>
      <c r="D272" s="30" t="str">
        <f>'RESUMEN TOTAL'!J351</f>
        <v>Domo</v>
      </c>
      <c r="E272" s="30" t="str">
        <f>'RESUMEN TOTAL'!K351</f>
        <v>Fibra Optica</v>
      </c>
      <c r="F272" s="70">
        <f>'RESUMEN TOTAL'!S351</f>
        <v>0</v>
      </c>
      <c r="G272" s="70">
        <f>'RESUMEN TOTAL'!T351</f>
        <v>0</v>
      </c>
      <c r="H272" s="70">
        <f>'RESUMEN TOTAL'!U351</f>
        <v>0</v>
      </c>
      <c r="I272" s="70">
        <f>'RESUMEN TOTAL'!V351</f>
        <v>0</v>
      </c>
      <c r="J272" s="70">
        <f>'RESUMEN TOTAL'!W351</f>
        <v>0</v>
      </c>
      <c r="K272" s="70">
        <f>'RESUMEN TOTAL'!X351</f>
        <v>0</v>
      </c>
      <c r="L272" s="70">
        <f>'RESUMEN TOTAL'!Y351</f>
        <v>0</v>
      </c>
      <c r="M272" s="70">
        <f>'RESUMEN TOTAL'!Z351</f>
        <v>0</v>
      </c>
      <c r="N272" s="70">
        <f>'RESUMEN TOTAL'!AA351</f>
        <v>0</v>
      </c>
      <c r="O272" s="70">
        <f>'RESUMEN TOTAL'!AB351</f>
        <v>0</v>
      </c>
      <c r="P272" s="70">
        <f>'RESUMEN TOTAL'!AC351</f>
        <v>0</v>
      </c>
      <c r="Q272" s="70">
        <f>'RESUMEN TOTAL'!AD351</f>
        <v>0</v>
      </c>
      <c r="R272" s="70">
        <f>'RESUMEN TOTAL'!AE351</f>
        <v>0</v>
      </c>
      <c r="S272" s="70">
        <f>'RESUMEN TOTAL'!AF351</f>
        <v>0</v>
      </c>
      <c r="T272" s="70">
        <f>'RESUMEN TOTAL'!AG351</f>
        <v>0</v>
      </c>
      <c r="U272" s="70">
        <f>'RESUMEN TOTAL'!AH351</f>
        <v>0</v>
      </c>
      <c r="V272" s="70">
        <f>'RESUMEN TOTAL'!AI351</f>
        <v>0</v>
      </c>
      <c r="W272" s="70">
        <f>'RESUMEN TOTAL'!AJ351</f>
        <v>0</v>
      </c>
      <c r="X272" s="70">
        <f>'RESUMEN TOTAL'!AK351</f>
        <v>0</v>
      </c>
      <c r="Y272" s="70">
        <f>'RESUMEN TOTAL'!AL351</f>
        <v>0</v>
      </c>
      <c r="Z272" s="70">
        <f>'RESUMEN TOTAL'!AM351</f>
        <v>0</v>
      </c>
      <c r="AA272" s="70">
        <f>'RESUMEN TOTAL'!AN351</f>
        <v>0</v>
      </c>
      <c r="AB272" s="70">
        <f>'RESUMEN TOTAL'!AO351</f>
        <v>0</v>
      </c>
      <c r="AC272" s="70">
        <f>'RESUMEN TOTAL'!AP351</f>
        <v>0</v>
      </c>
      <c r="AD272" s="70">
        <f>'RESUMEN TOTAL'!AQ351</f>
        <v>0</v>
      </c>
      <c r="AE272" s="70">
        <f>'RESUMEN TOTAL'!AR351</f>
        <v>0</v>
      </c>
      <c r="AF272" s="70" t="str">
        <f>'RESUMEN TOTAL'!AS351</f>
        <v>APAGADO</v>
      </c>
      <c r="AG272" s="70">
        <f>'RESUMEN TOTAL'!AT351</f>
        <v>0</v>
      </c>
      <c r="AH272" s="70">
        <f>'RESUMEN TOTAL'!AU351</f>
        <v>0</v>
      </c>
      <c r="AI272" s="70">
        <f>'RESUMEN TOTAL'!AV351</f>
        <v>0</v>
      </c>
      <c r="AJ272" s="70" t="e">
        <f>'RESUMEN TOTAL'!#REF!</f>
        <v>#REF!</v>
      </c>
    </row>
    <row r="273" spans="1:36" x14ac:dyDescent="0.25">
      <c r="A273" t="str">
        <f>'RESUMEN TOTAL'!F352</f>
        <v>RICARDO ROJAS</v>
      </c>
      <c r="B273" t="str">
        <f>'RESUMEN TOTAL'!G352</f>
        <v>RRJ 12</v>
      </c>
      <c r="C273" t="str">
        <f>'RESUMEN TOTAL'!I352</f>
        <v>FADER Y DIAGONAL LOS POETAS</v>
      </c>
      <c r="D273" s="30" t="str">
        <f>'RESUMEN TOTAL'!J352</f>
        <v>DOMO</v>
      </c>
      <c r="E273" s="30" t="str">
        <f>'RESUMEN TOTAL'!K352</f>
        <v>Fibra Optica</v>
      </c>
      <c r="F273" s="70">
        <f>'RESUMEN TOTAL'!S352</f>
        <v>0</v>
      </c>
      <c r="G273" s="70">
        <f>'RESUMEN TOTAL'!T352</f>
        <v>0</v>
      </c>
      <c r="H273" s="70">
        <f>'RESUMEN TOTAL'!U352</f>
        <v>0</v>
      </c>
      <c r="I273" s="70">
        <f>'RESUMEN TOTAL'!V352</f>
        <v>0</v>
      </c>
      <c r="J273" s="70">
        <f>'RESUMEN TOTAL'!W352</f>
        <v>0</v>
      </c>
      <c r="K273" s="70">
        <f>'RESUMEN TOTAL'!X352</f>
        <v>0</v>
      </c>
      <c r="L273" s="70">
        <f>'RESUMEN TOTAL'!Y352</f>
        <v>0</v>
      </c>
      <c r="M273" s="70">
        <f>'RESUMEN TOTAL'!Z352</f>
        <v>0</v>
      </c>
      <c r="N273" s="70">
        <f>'RESUMEN TOTAL'!AA352</f>
        <v>0</v>
      </c>
      <c r="O273" s="70">
        <f>'RESUMEN TOTAL'!AB352</f>
        <v>0</v>
      </c>
      <c r="P273" s="70">
        <f>'RESUMEN TOTAL'!AC352</f>
        <v>0</v>
      </c>
      <c r="Q273" s="70">
        <f>'RESUMEN TOTAL'!AD352</f>
        <v>0</v>
      </c>
      <c r="R273" s="70">
        <f>'RESUMEN TOTAL'!AE352</f>
        <v>0</v>
      </c>
      <c r="S273" s="70">
        <f>'RESUMEN TOTAL'!AF352</f>
        <v>0</v>
      </c>
      <c r="T273" s="70">
        <f>'RESUMEN TOTAL'!AG352</f>
        <v>0</v>
      </c>
      <c r="U273" s="70">
        <f>'RESUMEN TOTAL'!AH352</f>
        <v>0</v>
      </c>
      <c r="V273" s="70">
        <f>'RESUMEN TOTAL'!AI353</f>
        <v>0</v>
      </c>
      <c r="W273" s="70">
        <f>'RESUMEN TOTAL'!AJ352</f>
        <v>0</v>
      </c>
      <c r="X273" s="70">
        <f>'RESUMEN TOTAL'!AK352</f>
        <v>0</v>
      </c>
      <c r="Y273" s="70">
        <f>'RESUMEN TOTAL'!AL352</f>
        <v>0</v>
      </c>
      <c r="Z273" s="70">
        <f>'RESUMEN TOTAL'!AM352</f>
        <v>0</v>
      </c>
      <c r="AA273" s="70">
        <f>'RESUMEN TOTAL'!AN352</f>
        <v>0</v>
      </c>
      <c r="AB273" s="70">
        <f>'RESUMEN TOTAL'!AO352</f>
        <v>0</v>
      </c>
      <c r="AC273" s="70">
        <f>'RESUMEN TOTAL'!AP352</f>
        <v>0</v>
      </c>
      <c r="AD273" s="70">
        <f>'RESUMEN TOTAL'!AQ352</f>
        <v>0</v>
      </c>
      <c r="AE273" s="70">
        <f>'RESUMEN TOTAL'!AR352</f>
        <v>0</v>
      </c>
      <c r="AF273" s="70">
        <f>'RESUMEN TOTAL'!AS352</f>
        <v>0</v>
      </c>
      <c r="AG273" s="70">
        <f>'RESUMEN TOTAL'!AT352</f>
        <v>0</v>
      </c>
      <c r="AH273" s="70">
        <f>'RESUMEN TOTAL'!AU352</f>
        <v>0</v>
      </c>
      <c r="AI273" s="70">
        <f>'RESUMEN TOTAL'!AV352</f>
        <v>0</v>
      </c>
      <c r="AJ273" s="70" t="e">
        <f>'RESUMEN TOTAL'!#REF!</f>
        <v>#REF!</v>
      </c>
    </row>
    <row r="274" spans="1:36" x14ac:dyDescent="0.25">
      <c r="A274" t="str">
        <f>'RESUMEN TOTAL'!F353</f>
        <v>RICARDO ROJAS</v>
      </c>
      <c r="B274" t="str">
        <f>'RESUMEN TOTAL'!G353</f>
        <v>RRJ 13</v>
      </c>
      <c r="C274" t="str">
        <f>'RESUMEN TOTAL'!I353</f>
        <v>LUJAN Y DIAGONAL LOS POETAS</v>
      </c>
      <c r="D274" s="30" t="str">
        <f>'RESUMEN TOTAL'!J353</f>
        <v>Fija</v>
      </c>
      <c r="E274" s="30" t="str">
        <f>'RESUMEN TOTAL'!K353</f>
        <v>Fibra Optica</v>
      </c>
      <c r="F274" s="70">
        <f>'RESUMEN TOTAL'!S353</f>
        <v>0</v>
      </c>
      <c r="G274" s="70">
        <f>'RESUMEN TOTAL'!T353</f>
        <v>0</v>
      </c>
      <c r="H274" s="70">
        <f>'RESUMEN TOTAL'!U353</f>
        <v>0</v>
      </c>
      <c r="I274" s="70">
        <f>'RESUMEN TOTAL'!V353</f>
        <v>0</v>
      </c>
      <c r="J274" s="70">
        <f>'RESUMEN TOTAL'!W353</f>
        <v>0</v>
      </c>
      <c r="K274" s="70">
        <f>'RESUMEN TOTAL'!X353</f>
        <v>0</v>
      </c>
      <c r="L274" s="70">
        <f>'RESUMEN TOTAL'!Y353</f>
        <v>0</v>
      </c>
      <c r="M274" s="70">
        <f>'RESUMEN TOTAL'!Z353</f>
        <v>0</v>
      </c>
      <c r="N274" s="70">
        <f>'RESUMEN TOTAL'!AA353</f>
        <v>0</v>
      </c>
      <c r="O274" s="70">
        <f>'RESUMEN TOTAL'!AB353</f>
        <v>0</v>
      </c>
      <c r="P274" s="70">
        <f>'RESUMEN TOTAL'!AC353</f>
        <v>0</v>
      </c>
      <c r="Q274" s="70">
        <f>'RESUMEN TOTAL'!AD353</f>
        <v>0</v>
      </c>
      <c r="R274" s="70">
        <f>'RESUMEN TOTAL'!AE353</f>
        <v>0</v>
      </c>
      <c r="S274" s="70">
        <f>'RESUMEN TOTAL'!AF353</f>
        <v>0</v>
      </c>
      <c r="T274" s="70">
        <f>'RESUMEN TOTAL'!AG353</f>
        <v>0</v>
      </c>
      <c r="U274" s="70">
        <f>'RESUMEN TOTAL'!AH353</f>
        <v>0</v>
      </c>
      <c r="V274" s="70" t="e">
        <f>'RESUMEN TOTAL'!#REF!</f>
        <v>#REF!</v>
      </c>
      <c r="W274" s="70">
        <f>'RESUMEN TOTAL'!AJ353</f>
        <v>0</v>
      </c>
      <c r="X274" s="70">
        <f>'RESUMEN TOTAL'!AK353</f>
        <v>0</v>
      </c>
      <c r="Y274" s="70">
        <f>'RESUMEN TOTAL'!AL353</f>
        <v>0</v>
      </c>
      <c r="Z274" s="70">
        <f>'RESUMEN TOTAL'!AM353</f>
        <v>0</v>
      </c>
      <c r="AA274" s="70">
        <f>'RESUMEN TOTAL'!AN353</f>
        <v>0</v>
      </c>
      <c r="AB274" s="70">
        <f>'RESUMEN TOTAL'!AO353</f>
        <v>0</v>
      </c>
      <c r="AC274" s="70">
        <f>'RESUMEN TOTAL'!AP353</f>
        <v>0</v>
      </c>
      <c r="AD274" s="70">
        <f>'RESUMEN TOTAL'!AQ353</f>
        <v>0</v>
      </c>
      <c r="AE274" s="70">
        <f>'RESUMEN TOTAL'!AR353</f>
        <v>0</v>
      </c>
      <c r="AF274" s="70">
        <f>'RESUMEN TOTAL'!AS353</f>
        <v>0</v>
      </c>
      <c r="AG274" s="70">
        <f>'RESUMEN TOTAL'!AT353</f>
        <v>0</v>
      </c>
      <c r="AH274" s="70">
        <f>'RESUMEN TOTAL'!AU353</f>
        <v>0</v>
      </c>
      <c r="AI274" s="70">
        <f>'RESUMEN TOTAL'!AV353</f>
        <v>0</v>
      </c>
      <c r="AJ274" s="70" t="e">
        <f>'RESUMEN TOTAL'!#REF!</f>
        <v>#REF!</v>
      </c>
    </row>
    <row r="275" spans="1:36" x14ac:dyDescent="0.25">
      <c r="A275" t="str">
        <f>'RESUMEN TOTAL'!F354</f>
        <v>RICARDO ROJAS</v>
      </c>
      <c r="B275" t="str">
        <f>'RESUMEN TOTAL'!G354</f>
        <v>RRJ 14</v>
      </c>
      <c r="C275" t="str">
        <f>'RESUMEN TOTAL'!I354</f>
        <v> Constancio Vigil y Ruta 36 Domo</v>
      </c>
      <c r="D275" s="30" t="str">
        <f>'RESUMEN TOTAL'!J354</f>
        <v>DOMO</v>
      </c>
      <c r="E275" s="30" t="str">
        <f>'RESUMEN TOTAL'!K354</f>
        <v>PTO A FO</v>
      </c>
      <c r="F275" s="70">
        <f>'RESUMEN TOTAL'!S354</f>
        <v>0</v>
      </c>
      <c r="G275" s="70">
        <f>'RESUMEN TOTAL'!T354</f>
        <v>0</v>
      </c>
      <c r="H275" s="70">
        <f>'RESUMEN TOTAL'!U354</f>
        <v>0</v>
      </c>
      <c r="I275" s="70" t="str">
        <f>'RESUMEN TOTAL'!V354</f>
        <v>APAGADO</v>
      </c>
      <c r="J275" s="70" t="str">
        <f>'RESUMEN TOTAL'!W354</f>
        <v>APAGADO</v>
      </c>
      <c r="K275" s="70" t="str">
        <f>'RESUMEN TOTAL'!X354</f>
        <v>APAGADO</v>
      </c>
      <c r="L275" s="70" t="str">
        <f>'RESUMEN TOTAL'!Y354</f>
        <v>APAGADO</v>
      </c>
      <c r="M275" s="70" t="str">
        <f>'RESUMEN TOTAL'!Z354</f>
        <v>APAGADO</v>
      </c>
      <c r="N275" s="70">
        <f>'RESUMEN TOTAL'!AA354</f>
        <v>0</v>
      </c>
      <c r="O275" s="70">
        <f>'RESUMEN TOTAL'!AB354</f>
        <v>0</v>
      </c>
      <c r="P275" s="70" t="str">
        <f>'RESUMEN TOTAL'!AC354</f>
        <v>APAGADO</v>
      </c>
      <c r="Q275" s="70" t="str">
        <f>'RESUMEN TOTAL'!AD354</f>
        <v>APAGADO</v>
      </c>
      <c r="R275" s="70" t="str">
        <f>'RESUMEN TOTAL'!AE354</f>
        <v>APAGADO</v>
      </c>
      <c r="S275" s="70" t="str">
        <f>'RESUMEN TOTAL'!AF354</f>
        <v>APAGADO</v>
      </c>
      <c r="T275" s="70" t="str">
        <f>'RESUMEN TOTAL'!AG354</f>
        <v>APAGADO</v>
      </c>
      <c r="U275" s="70">
        <f>'RESUMEN TOTAL'!AH354</f>
        <v>0</v>
      </c>
      <c r="V275" s="70">
        <f>'RESUMEN TOTAL'!AI354</f>
        <v>0</v>
      </c>
      <c r="W275" s="70" t="str">
        <f>'RESUMEN TOTAL'!AJ354</f>
        <v>APAGADO</v>
      </c>
      <c r="X275" s="70" t="str">
        <f>'RESUMEN TOTAL'!AK354</f>
        <v>APAGADO</v>
      </c>
      <c r="Y275" s="70" t="str">
        <f>'RESUMEN TOTAL'!AL354</f>
        <v>APAGADO</v>
      </c>
      <c r="Z275" s="70" t="str">
        <f>'RESUMEN TOTAL'!AM354</f>
        <v>APAGADO</v>
      </c>
      <c r="AA275" s="70" t="str">
        <f>'RESUMEN TOTAL'!AN354</f>
        <v>APAGADO</v>
      </c>
      <c r="AB275" s="70">
        <f>'RESUMEN TOTAL'!AO354</f>
        <v>0</v>
      </c>
      <c r="AC275" s="70">
        <f>'RESUMEN TOTAL'!AP354</f>
        <v>0</v>
      </c>
      <c r="AD275" s="70">
        <f>'RESUMEN TOTAL'!AQ354</f>
        <v>0</v>
      </c>
      <c r="AE275" s="70" t="str">
        <f>'RESUMEN TOTAL'!AR354</f>
        <v>APAGADO</v>
      </c>
      <c r="AF275" s="70" t="str">
        <f>'RESUMEN TOTAL'!AS354</f>
        <v>APAGADO</v>
      </c>
      <c r="AG275" s="70" t="str">
        <f>'RESUMEN TOTAL'!AT354</f>
        <v>APAGADO</v>
      </c>
      <c r="AH275" s="70">
        <f>'RESUMEN TOTAL'!AU354</f>
        <v>0</v>
      </c>
      <c r="AI275" s="70">
        <f>'RESUMEN TOTAL'!AV354</f>
        <v>0</v>
      </c>
      <c r="AJ275" s="70" t="e">
        <f>'RESUMEN TOTAL'!#REF!</f>
        <v>#REF!</v>
      </c>
    </row>
    <row r="276" spans="1:36" x14ac:dyDescent="0.25">
      <c r="A276" t="str">
        <f>'RESUMEN TOTAL'!F355</f>
        <v>RICARDO ROJAS</v>
      </c>
      <c r="B276" t="str">
        <f>'RESUMEN TOTAL'!G355</f>
        <v>RRJ 15</v>
      </c>
      <c r="C276" t="str">
        <f>'RESUMEN TOTAL'!I355</f>
        <v>Constancio Vigil y Ruta 36 fija</v>
      </c>
      <c r="D276" s="30" t="str">
        <f>'RESUMEN TOTAL'!J355</f>
        <v>Fija</v>
      </c>
      <c r="E276" s="30" t="str">
        <f>'RESUMEN TOTAL'!K355</f>
        <v>PTO A FO</v>
      </c>
      <c r="F276" s="70">
        <f>'RESUMEN TOTAL'!S355</f>
        <v>0</v>
      </c>
      <c r="G276" s="70">
        <f>'RESUMEN TOTAL'!T355</f>
        <v>0</v>
      </c>
      <c r="H276" s="70">
        <f>'RESUMEN TOTAL'!U355</f>
        <v>0</v>
      </c>
      <c r="I276" s="70" t="str">
        <f>'RESUMEN TOTAL'!V355</f>
        <v>APAGADO</v>
      </c>
      <c r="J276" s="70" t="str">
        <f>'RESUMEN TOTAL'!W355</f>
        <v>APAGADO</v>
      </c>
      <c r="K276" s="70" t="str">
        <f>'RESUMEN TOTAL'!X355</f>
        <v>APAGADO</v>
      </c>
      <c r="L276" s="70" t="str">
        <f>'RESUMEN TOTAL'!Y355</f>
        <v>APAGADO</v>
      </c>
      <c r="M276" s="70" t="str">
        <f>'RESUMEN TOTAL'!Z355</f>
        <v>APAGADO</v>
      </c>
      <c r="N276" s="70">
        <f>'RESUMEN TOTAL'!AA355</f>
        <v>0</v>
      </c>
      <c r="O276" s="70">
        <f>'RESUMEN TOTAL'!AB355</f>
        <v>0</v>
      </c>
      <c r="P276" s="70" t="str">
        <f>'RESUMEN TOTAL'!AC355</f>
        <v>APAGADO</v>
      </c>
      <c r="Q276" s="70" t="str">
        <f>'RESUMEN TOTAL'!AD355</f>
        <v>APAGADO</v>
      </c>
      <c r="R276" s="70" t="str">
        <f>'RESUMEN TOTAL'!AE355</f>
        <v>APAGADO</v>
      </c>
      <c r="S276" s="70" t="str">
        <f>'RESUMEN TOTAL'!AF355</f>
        <v>APAGADO</v>
      </c>
      <c r="T276" s="70" t="str">
        <f>'RESUMEN TOTAL'!AG355</f>
        <v>APAGADO</v>
      </c>
      <c r="U276" s="70">
        <f>'RESUMEN TOTAL'!AH355</f>
        <v>0</v>
      </c>
      <c r="V276" s="70">
        <f>'RESUMEN TOTAL'!AI355</f>
        <v>0</v>
      </c>
      <c r="W276" s="70" t="str">
        <f>'RESUMEN TOTAL'!AJ355</f>
        <v>APAGADO</v>
      </c>
      <c r="X276" s="70" t="str">
        <f>'RESUMEN TOTAL'!AK355</f>
        <v>APAGADO</v>
      </c>
      <c r="Y276" s="70" t="str">
        <f>'RESUMEN TOTAL'!AL355</f>
        <v>APAGADO</v>
      </c>
      <c r="Z276" s="70" t="str">
        <f>'RESUMEN TOTAL'!AM355</f>
        <v>APAGADO</v>
      </c>
      <c r="AA276" s="70" t="str">
        <f>'RESUMEN TOTAL'!AN355</f>
        <v>APAGADO</v>
      </c>
      <c r="AB276" s="70">
        <f>'RESUMEN TOTAL'!AO355</f>
        <v>0</v>
      </c>
      <c r="AC276" s="70">
        <f>'RESUMEN TOTAL'!AP355</f>
        <v>0</v>
      </c>
      <c r="AD276" s="70">
        <f>'RESUMEN TOTAL'!AQ355</f>
        <v>0</v>
      </c>
      <c r="AE276" s="70" t="str">
        <f>'RESUMEN TOTAL'!AR355</f>
        <v>APAGADO</v>
      </c>
      <c r="AF276" s="70" t="str">
        <f>'RESUMEN TOTAL'!AS355</f>
        <v>APAGADO</v>
      </c>
      <c r="AG276" s="70" t="str">
        <f>'RESUMEN TOTAL'!AT355</f>
        <v>APAGADO</v>
      </c>
      <c r="AH276" s="70">
        <f>'RESUMEN TOTAL'!AU355</f>
        <v>0</v>
      </c>
      <c r="AI276" s="70">
        <f>'RESUMEN TOTAL'!AV355</f>
        <v>0</v>
      </c>
      <c r="AJ276" s="70" t="e">
        <f>'RESUMEN TOTAL'!#REF!</f>
        <v>#REF!</v>
      </c>
    </row>
    <row r="277" spans="1:36" x14ac:dyDescent="0.25">
      <c r="A277" t="str">
        <f>'RESUMEN TOTAL'!F356</f>
        <v>RICARDO ROJAS</v>
      </c>
      <c r="B277" t="str">
        <f>'RESUMEN TOTAL'!G356</f>
        <v>RRJ 16</v>
      </c>
      <c r="C277" t="str">
        <f>'RESUMEN TOTAL'!I356</f>
        <v>Constancio Vigil y Lujan</v>
      </c>
      <c r="D277" s="30" t="str">
        <f>'RESUMEN TOTAL'!J356</f>
        <v>DOMO</v>
      </c>
      <c r="E277" s="30" t="str">
        <f>'RESUMEN TOTAL'!K356</f>
        <v>Fibra Optica</v>
      </c>
      <c r="F277" s="70">
        <f>'RESUMEN TOTAL'!S356</f>
        <v>0</v>
      </c>
      <c r="G277" s="70">
        <f>'RESUMEN TOTAL'!T356</f>
        <v>0</v>
      </c>
      <c r="H277" s="70">
        <f>'RESUMEN TOTAL'!U356</f>
        <v>0</v>
      </c>
      <c r="I277" s="70" t="str">
        <f>'RESUMEN TOTAL'!V356</f>
        <v>APAGADO</v>
      </c>
      <c r="J277" s="70" t="str">
        <f>'RESUMEN TOTAL'!W356</f>
        <v>APAGADO</v>
      </c>
      <c r="K277" s="70" t="str">
        <f>'RESUMEN TOTAL'!X356</f>
        <v>APAGADO</v>
      </c>
      <c r="L277" s="70" t="str">
        <f>'RESUMEN TOTAL'!Y356</f>
        <v>APAGADO</v>
      </c>
      <c r="M277" s="70" t="str">
        <f>'RESUMEN TOTAL'!Z356</f>
        <v>APAGADO</v>
      </c>
      <c r="N277" s="70">
        <f>'RESUMEN TOTAL'!AA356</f>
        <v>0</v>
      </c>
      <c r="O277" s="70">
        <f>'RESUMEN TOTAL'!AB356</f>
        <v>0</v>
      </c>
      <c r="P277" s="70" t="str">
        <f>'RESUMEN TOTAL'!AC356</f>
        <v>APAGADO</v>
      </c>
      <c r="Q277" s="70" t="str">
        <f>'RESUMEN TOTAL'!AD356</f>
        <v>APAGADO</v>
      </c>
      <c r="R277" s="70" t="str">
        <f>'RESUMEN TOTAL'!AE356</f>
        <v>APAGADO</v>
      </c>
      <c r="S277" s="70" t="str">
        <f>'RESUMEN TOTAL'!AF356</f>
        <v>APAGADO</v>
      </c>
      <c r="T277" s="70" t="str">
        <f>'RESUMEN TOTAL'!AG356</f>
        <v>APAGADO</v>
      </c>
      <c r="U277" s="70">
        <f>'RESUMEN TOTAL'!AH356</f>
        <v>0</v>
      </c>
      <c r="V277" s="70">
        <f>'RESUMEN TOTAL'!AI356</f>
        <v>0</v>
      </c>
      <c r="W277" s="70" t="str">
        <f>'RESUMEN TOTAL'!AJ356</f>
        <v>APAGADO</v>
      </c>
      <c r="X277" s="70" t="str">
        <f>'RESUMEN TOTAL'!AK356</f>
        <v>APAGADO</v>
      </c>
      <c r="Y277" s="70" t="str">
        <f>'RESUMEN TOTAL'!AL356</f>
        <v>APAGADO</v>
      </c>
      <c r="Z277" s="70" t="str">
        <f>'RESUMEN TOTAL'!AM356</f>
        <v>APAGADO</v>
      </c>
      <c r="AA277" s="70" t="str">
        <f>'RESUMEN TOTAL'!AN356</f>
        <v>APAGADO</v>
      </c>
      <c r="AB277" s="70">
        <f>'RESUMEN TOTAL'!AO356</f>
        <v>0</v>
      </c>
      <c r="AC277" s="70">
        <f>'RESUMEN TOTAL'!AP356</f>
        <v>0</v>
      </c>
      <c r="AD277" s="70">
        <f>'RESUMEN TOTAL'!AQ356</f>
        <v>0</v>
      </c>
      <c r="AE277" s="70" t="str">
        <f>'RESUMEN TOTAL'!AR356</f>
        <v>APAGADO</v>
      </c>
      <c r="AF277" s="70" t="str">
        <f>'RESUMEN TOTAL'!AS356</f>
        <v>APAGADO</v>
      </c>
      <c r="AG277" s="70" t="str">
        <f>'RESUMEN TOTAL'!AT356</f>
        <v>APAGADO</v>
      </c>
      <c r="AH277" s="70">
        <f>'RESUMEN TOTAL'!AU356</f>
        <v>0</v>
      </c>
      <c r="AI277" s="70">
        <f>'RESUMEN TOTAL'!AV356</f>
        <v>0</v>
      </c>
      <c r="AJ277" s="70" t="e">
        <f>'RESUMEN TOTAL'!#REF!</f>
        <v>#REF!</v>
      </c>
    </row>
    <row r="278" spans="1:36" x14ac:dyDescent="0.25">
      <c r="A278" t="str">
        <f>'RESUMEN TOTAL'!F357</f>
        <v>RICARDO ROJAS</v>
      </c>
      <c r="B278" t="str">
        <f>'RESUMEN TOTAL'!G357</f>
        <v>RRJ01</v>
      </c>
      <c r="C278" t="str">
        <f>'RESUMEN TOTAL'!I357</f>
        <v>AV. LUJAN Y BRAGADO</v>
      </c>
      <c r="D278" s="30" t="str">
        <f>'RESUMEN TOTAL'!J357</f>
        <v>DOMO</v>
      </c>
      <c r="E278" s="30" t="str">
        <f>'RESUMEN TOTAL'!K357</f>
        <v>Fibra Optica</v>
      </c>
      <c r="F278" s="70">
        <f>'RESUMEN TOTAL'!S357</f>
        <v>0</v>
      </c>
      <c r="G278" s="70">
        <f>'RESUMEN TOTAL'!T357</f>
        <v>0</v>
      </c>
      <c r="H278" s="70">
        <f>'RESUMEN TOTAL'!U357</f>
        <v>0</v>
      </c>
      <c r="I278" s="70">
        <f>'RESUMEN TOTAL'!V357</f>
        <v>0</v>
      </c>
      <c r="J278" s="70">
        <f>'RESUMEN TOTAL'!W357</f>
        <v>0</v>
      </c>
      <c r="K278" s="70">
        <f>'RESUMEN TOTAL'!X357</f>
        <v>0</v>
      </c>
      <c r="L278" s="70">
        <f>'RESUMEN TOTAL'!Y357</f>
        <v>0</v>
      </c>
      <c r="M278" s="70">
        <f>'RESUMEN TOTAL'!Z357</f>
        <v>0</v>
      </c>
      <c r="N278" s="70">
        <f>'RESUMEN TOTAL'!AA357</f>
        <v>0</v>
      </c>
      <c r="O278" s="70">
        <f>'RESUMEN TOTAL'!AB357</f>
        <v>0</v>
      </c>
      <c r="P278" s="70">
        <f>'RESUMEN TOTAL'!AC357</f>
        <v>0</v>
      </c>
      <c r="Q278" s="70">
        <f>'RESUMEN TOTAL'!AD357</f>
        <v>0</v>
      </c>
      <c r="R278" s="70">
        <f>'RESUMEN TOTAL'!AE357</f>
        <v>0</v>
      </c>
      <c r="S278" s="70">
        <f>'RESUMEN TOTAL'!AF357</f>
        <v>0</v>
      </c>
      <c r="T278" s="70">
        <f>'RESUMEN TOTAL'!AG357</f>
        <v>0</v>
      </c>
      <c r="U278" s="70">
        <f>'RESUMEN TOTAL'!AH357</f>
        <v>0</v>
      </c>
      <c r="V278" s="70">
        <f>'RESUMEN TOTAL'!AI357</f>
        <v>0</v>
      </c>
      <c r="W278" s="70">
        <f>'RESUMEN TOTAL'!AJ357</f>
        <v>0</v>
      </c>
      <c r="X278" s="70">
        <f>'RESUMEN TOTAL'!AK357</f>
        <v>0</v>
      </c>
      <c r="Y278" s="70">
        <f>'RESUMEN TOTAL'!AL357</f>
        <v>0</v>
      </c>
      <c r="Z278" s="70">
        <f>'RESUMEN TOTAL'!AM357</f>
        <v>0</v>
      </c>
      <c r="AA278" s="70">
        <f>'RESUMEN TOTAL'!AN357</f>
        <v>0</v>
      </c>
      <c r="AB278" s="70">
        <f>'RESUMEN TOTAL'!AO357</f>
        <v>0</v>
      </c>
      <c r="AC278" s="70">
        <f>'RESUMEN TOTAL'!AP357</f>
        <v>0</v>
      </c>
      <c r="AD278" s="70">
        <f>'RESUMEN TOTAL'!AQ357</f>
        <v>0</v>
      </c>
      <c r="AE278" s="70">
        <f>'RESUMEN TOTAL'!AR357</f>
        <v>0</v>
      </c>
      <c r="AF278" s="70">
        <f>'RESUMEN TOTAL'!AS357</f>
        <v>0</v>
      </c>
      <c r="AG278" s="70">
        <f>'RESUMEN TOTAL'!AT357</f>
        <v>0</v>
      </c>
      <c r="AH278" s="70">
        <f>'RESUMEN TOTAL'!AU357</f>
        <v>0</v>
      </c>
      <c r="AI278" s="70">
        <f>'RESUMEN TOTAL'!AV357</f>
        <v>0</v>
      </c>
      <c r="AJ278" s="70" t="e">
        <f>'RESUMEN TOTAL'!#REF!</f>
        <v>#REF!</v>
      </c>
    </row>
    <row r="279" spans="1:36" x14ac:dyDescent="0.25">
      <c r="A279" t="str">
        <f>'RESUMEN TOTAL'!F361</f>
        <v>SANTA ANA</v>
      </c>
      <c r="B279" t="str">
        <f>'RESUMEN TOTAL'!G361</f>
        <v>SAN 02</v>
      </c>
      <c r="C279" t="str">
        <f>'RESUMEN TOTAL'!I361</f>
        <v>HUDSON Y SUIPACHA</v>
      </c>
      <c r="D279" s="30" t="str">
        <f>'RESUMEN TOTAL'!J361</f>
        <v>Fija 2</v>
      </c>
      <c r="E279" s="30" t="str">
        <f>'RESUMEN TOTAL'!K361</f>
        <v>GPON</v>
      </c>
      <c r="F279" s="70">
        <f>'RESUMEN TOTAL'!S361</f>
        <v>0</v>
      </c>
      <c r="G279" s="70">
        <f>'RESUMEN TOTAL'!T361</f>
        <v>0</v>
      </c>
      <c r="H279" s="70">
        <f>'RESUMEN TOTAL'!U361</f>
        <v>0</v>
      </c>
      <c r="I279" s="70">
        <f>'RESUMEN TOTAL'!V361</f>
        <v>0</v>
      </c>
      <c r="J279" s="70">
        <f>'RESUMEN TOTAL'!W361</f>
        <v>0</v>
      </c>
      <c r="K279" s="70">
        <f>'RESUMEN TOTAL'!X361</f>
        <v>0</v>
      </c>
      <c r="L279" s="70">
        <f>'RESUMEN TOTAL'!Y361</f>
        <v>0</v>
      </c>
      <c r="M279" s="70">
        <f>'RESUMEN TOTAL'!Z361</f>
        <v>0</v>
      </c>
      <c r="N279" s="70">
        <f>'RESUMEN TOTAL'!AA361</f>
        <v>0</v>
      </c>
      <c r="O279" s="70">
        <f>'RESUMEN TOTAL'!AB361</f>
        <v>0</v>
      </c>
      <c r="P279" s="70">
        <f>'RESUMEN TOTAL'!AC361</f>
        <v>0</v>
      </c>
      <c r="Q279" s="70">
        <f>'RESUMEN TOTAL'!AD361</f>
        <v>0</v>
      </c>
      <c r="R279" s="70">
        <f>'RESUMEN TOTAL'!AE361</f>
        <v>0</v>
      </c>
      <c r="S279" s="70">
        <f>'RESUMEN TOTAL'!AF361</f>
        <v>0</v>
      </c>
      <c r="T279" s="70">
        <f>'RESUMEN TOTAL'!AG361</f>
        <v>0</v>
      </c>
      <c r="U279" s="70">
        <f>'RESUMEN TOTAL'!AH361</f>
        <v>0</v>
      </c>
      <c r="V279" s="70">
        <f>'RESUMEN TOTAL'!AI361</f>
        <v>0</v>
      </c>
      <c r="W279" s="70">
        <f>'RESUMEN TOTAL'!AJ361</f>
        <v>0</v>
      </c>
      <c r="X279" s="70">
        <f>'RESUMEN TOTAL'!AK361</f>
        <v>0</v>
      </c>
      <c r="Y279" s="70">
        <f>'RESUMEN TOTAL'!AL361</f>
        <v>0</v>
      </c>
      <c r="Z279" s="70">
        <f>'RESUMEN TOTAL'!AM361</f>
        <v>0</v>
      </c>
      <c r="AA279" s="70">
        <f>'RESUMEN TOTAL'!AN361</f>
        <v>0</v>
      </c>
      <c r="AB279" s="70">
        <f>'RESUMEN TOTAL'!AO361</f>
        <v>0</v>
      </c>
      <c r="AC279" s="70">
        <f>'RESUMEN TOTAL'!AP361</f>
        <v>0</v>
      </c>
      <c r="AD279" s="70">
        <f>'RESUMEN TOTAL'!AQ361</f>
        <v>0</v>
      </c>
      <c r="AE279" s="70">
        <f>'RESUMEN TOTAL'!AR361</f>
        <v>0</v>
      </c>
      <c r="AF279" s="70">
        <f>'RESUMEN TOTAL'!AS361</f>
        <v>0</v>
      </c>
      <c r="AG279" s="70">
        <f>'RESUMEN TOTAL'!AT361</f>
        <v>0</v>
      </c>
      <c r="AH279" s="70">
        <f>'RESUMEN TOTAL'!AU361</f>
        <v>0</v>
      </c>
      <c r="AI279" s="70">
        <f>'RESUMEN TOTAL'!AV361</f>
        <v>0</v>
      </c>
      <c r="AJ279" s="70" t="e">
        <f>'RESUMEN TOTAL'!#REF!</f>
        <v>#REF!</v>
      </c>
    </row>
    <row r="280" spans="1:36" x14ac:dyDescent="0.25">
      <c r="A280" t="str">
        <f>'RESUMEN TOTAL'!F362</f>
        <v>SANTA ANA</v>
      </c>
      <c r="B280" t="str">
        <f>'RESUMEN TOTAL'!G362</f>
        <v>SAN01</v>
      </c>
      <c r="C280" t="str">
        <f>'RESUMEN TOTAL'!I362</f>
        <v>HUDSON Y SUIPACHA</v>
      </c>
      <c r="D280" s="30" t="str">
        <f>'RESUMEN TOTAL'!J362</f>
        <v>Fija 1</v>
      </c>
      <c r="E280" s="30" t="str">
        <f>'RESUMEN TOTAL'!K362</f>
        <v>GPON</v>
      </c>
      <c r="F280" s="70">
        <f>'RESUMEN TOTAL'!S362</f>
        <v>0</v>
      </c>
      <c r="G280" s="70">
        <f>'RESUMEN TOTAL'!T362</f>
        <v>0</v>
      </c>
      <c r="H280" s="70">
        <f>'RESUMEN TOTAL'!U362</f>
        <v>0</v>
      </c>
      <c r="I280" s="70">
        <f>'RESUMEN TOTAL'!V362</f>
        <v>0</v>
      </c>
      <c r="J280" s="70">
        <f>'RESUMEN TOTAL'!W362</f>
        <v>0</v>
      </c>
      <c r="K280" s="70">
        <f>'RESUMEN TOTAL'!X362</f>
        <v>0</v>
      </c>
      <c r="L280" s="70">
        <f>'RESUMEN TOTAL'!Y362</f>
        <v>0</v>
      </c>
      <c r="M280" s="70">
        <f>'RESUMEN TOTAL'!Z362</f>
        <v>0</v>
      </c>
      <c r="N280" s="70">
        <f>'RESUMEN TOTAL'!AA362</f>
        <v>0</v>
      </c>
      <c r="O280" s="70">
        <f>'RESUMEN TOTAL'!AB362</f>
        <v>0</v>
      </c>
      <c r="P280" s="70">
        <f>'RESUMEN TOTAL'!AC362</f>
        <v>0</v>
      </c>
      <c r="Q280" s="70">
        <f>'RESUMEN TOTAL'!AD362</f>
        <v>0</v>
      </c>
      <c r="R280" s="70">
        <f>'RESUMEN TOTAL'!AE362</f>
        <v>0</v>
      </c>
      <c r="S280" s="70">
        <f>'RESUMEN TOTAL'!AF362</f>
        <v>0</v>
      </c>
      <c r="T280" s="70">
        <f>'RESUMEN TOTAL'!AG362</f>
        <v>0</v>
      </c>
      <c r="U280" s="70">
        <f>'RESUMEN TOTAL'!AH362</f>
        <v>0</v>
      </c>
      <c r="V280" s="70">
        <f>'RESUMEN TOTAL'!AI362</f>
        <v>0</v>
      </c>
      <c r="W280" s="70">
        <f>'RESUMEN TOTAL'!AJ362</f>
        <v>0</v>
      </c>
      <c r="X280" s="70">
        <f>'RESUMEN TOTAL'!AK362</f>
        <v>0</v>
      </c>
      <c r="Y280" s="70">
        <f>'RESUMEN TOTAL'!AL362</f>
        <v>0</v>
      </c>
      <c r="Z280" s="70">
        <f>'RESUMEN TOTAL'!AM362</f>
        <v>0</v>
      </c>
      <c r="AA280" s="70">
        <f>'RESUMEN TOTAL'!AN362</f>
        <v>0</v>
      </c>
      <c r="AB280" s="70">
        <f>'RESUMEN TOTAL'!AO362</f>
        <v>0</v>
      </c>
      <c r="AC280" s="70">
        <f>'RESUMEN TOTAL'!AP362</f>
        <v>0</v>
      </c>
      <c r="AD280" s="70">
        <f>'RESUMEN TOTAL'!AQ362</f>
        <v>0</v>
      </c>
      <c r="AE280" s="70">
        <f>'RESUMEN TOTAL'!AR362</f>
        <v>0</v>
      </c>
      <c r="AF280" s="70">
        <f>'RESUMEN TOTAL'!AS362</f>
        <v>0</v>
      </c>
      <c r="AG280" s="70">
        <f>'RESUMEN TOTAL'!AT362</f>
        <v>0</v>
      </c>
      <c r="AH280" s="70">
        <f>'RESUMEN TOTAL'!AU362</f>
        <v>0</v>
      </c>
      <c r="AI280" s="70">
        <f>'RESUMEN TOTAL'!AV362</f>
        <v>0</v>
      </c>
      <c r="AJ280" s="70" t="e">
        <f>'RESUMEN TOTAL'!#REF!</f>
        <v>#REF!</v>
      </c>
    </row>
    <row r="281" spans="1:36" x14ac:dyDescent="0.25">
      <c r="A281" t="str">
        <f>'RESUMEN TOTAL'!F363</f>
        <v>PRESIDENTE SARMIENTO</v>
      </c>
      <c r="B281" t="str">
        <f>'RESUMEN TOTAL'!G363</f>
        <v>SAR 02 (fija 1)</v>
      </c>
      <c r="C281" t="str">
        <f>'RESUMEN TOTAL'!I363</f>
        <v>DARDO ROCHA Y GABRIELA MISTRAL</v>
      </c>
      <c r="D281" s="30" t="str">
        <f>'RESUMEN TOTAL'!J363</f>
        <v>Fija</v>
      </c>
      <c r="E281" s="30" t="str">
        <f>'RESUMEN TOTAL'!K363</f>
        <v>GPON</v>
      </c>
      <c r="F281" s="70">
        <f>'RESUMEN TOTAL'!S363</f>
        <v>0</v>
      </c>
      <c r="G281" s="70">
        <f>'RESUMEN TOTAL'!T363</f>
        <v>0</v>
      </c>
      <c r="H281" s="70">
        <f>'RESUMEN TOTAL'!U363</f>
        <v>0</v>
      </c>
      <c r="I281" s="70">
        <f>'RESUMEN TOTAL'!V363</f>
        <v>0</v>
      </c>
      <c r="J281" s="70">
        <f>'RESUMEN TOTAL'!W363</f>
        <v>0</v>
      </c>
      <c r="K281" s="70">
        <f>'RESUMEN TOTAL'!X363</f>
        <v>0</v>
      </c>
      <c r="L281" s="70">
        <f>'RESUMEN TOTAL'!Y363</f>
        <v>0</v>
      </c>
      <c r="M281" s="70">
        <f>'RESUMEN TOTAL'!Z363</f>
        <v>0</v>
      </c>
      <c r="N281" s="70">
        <f>'RESUMEN TOTAL'!AA363</f>
        <v>0</v>
      </c>
      <c r="O281" s="70">
        <f>'RESUMEN TOTAL'!AB363</f>
        <v>0</v>
      </c>
      <c r="P281" s="70">
        <f>'RESUMEN TOTAL'!AC363</f>
        <v>0</v>
      </c>
      <c r="Q281" s="70">
        <f>'RESUMEN TOTAL'!AD363</f>
        <v>0</v>
      </c>
      <c r="R281" s="70">
        <f>'RESUMEN TOTAL'!AE363</f>
        <v>0</v>
      </c>
      <c r="S281" s="70">
        <f>'RESUMEN TOTAL'!AF363</f>
        <v>0</v>
      </c>
      <c r="T281" s="70">
        <f>'RESUMEN TOTAL'!AG363</f>
        <v>0</v>
      </c>
      <c r="U281" s="70">
        <f>'RESUMEN TOTAL'!AH363</f>
        <v>0</v>
      </c>
      <c r="V281" s="70">
        <f>'RESUMEN TOTAL'!AI363</f>
        <v>0</v>
      </c>
      <c r="W281" s="70">
        <f>'RESUMEN TOTAL'!AJ363</f>
        <v>0</v>
      </c>
      <c r="X281" s="70">
        <f>'RESUMEN TOTAL'!AK363</f>
        <v>0</v>
      </c>
      <c r="Y281" s="70">
        <f>'RESUMEN TOTAL'!AL363</f>
        <v>0</v>
      </c>
      <c r="Z281" s="70">
        <f>'RESUMEN TOTAL'!AM363</f>
        <v>0</v>
      </c>
      <c r="AA281" s="70">
        <f>'RESUMEN TOTAL'!AN363</f>
        <v>0</v>
      </c>
      <c r="AB281" s="70">
        <f>'RESUMEN TOTAL'!AO363</f>
        <v>0</v>
      </c>
      <c r="AC281" s="70">
        <f>'RESUMEN TOTAL'!AP363</f>
        <v>0</v>
      </c>
      <c r="AD281" s="70">
        <f>'RESUMEN TOTAL'!AQ363</f>
        <v>0</v>
      </c>
      <c r="AE281" s="70">
        <f>'RESUMEN TOTAL'!AR363</f>
        <v>0</v>
      </c>
      <c r="AF281" s="70">
        <f>'RESUMEN TOTAL'!AS363</f>
        <v>0</v>
      </c>
      <c r="AG281" s="70">
        <f>'RESUMEN TOTAL'!AT363</f>
        <v>0</v>
      </c>
      <c r="AH281" s="70">
        <f>'RESUMEN TOTAL'!AU363</f>
        <v>0</v>
      </c>
      <c r="AI281" s="70">
        <f>'RESUMEN TOTAL'!AV363</f>
        <v>0</v>
      </c>
      <c r="AJ281" s="70" t="e">
        <f>'RESUMEN TOTAL'!#REF!</f>
        <v>#REF!</v>
      </c>
    </row>
    <row r="282" spans="1:36" x14ac:dyDescent="0.25">
      <c r="A282" t="str">
        <f>'RESUMEN TOTAL'!F364</f>
        <v>PRESIDENTE SARMIENTO</v>
      </c>
      <c r="B282" t="str">
        <f>'RESUMEN TOTAL'!G364</f>
        <v>SAR 03 (fija 2)</v>
      </c>
      <c r="C282" t="str">
        <f>'RESUMEN TOTAL'!I364</f>
        <v>DARDO ROCHA Y GABRIELA MISTRAL</v>
      </c>
      <c r="D282" s="30" t="str">
        <f>'RESUMEN TOTAL'!J364</f>
        <v>Fija</v>
      </c>
      <c r="E282" s="30" t="str">
        <f>'RESUMEN TOTAL'!K364</f>
        <v>GPON</v>
      </c>
      <c r="F282" s="70">
        <f>'RESUMEN TOTAL'!S364</f>
        <v>0</v>
      </c>
      <c r="G282" s="70">
        <f>'RESUMEN TOTAL'!T364</f>
        <v>0</v>
      </c>
      <c r="H282" s="70">
        <f>'RESUMEN TOTAL'!U364</f>
        <v>0</v>
      </c>
      <c r="I282" s="70">
        <f>'RESUMEN TOTAL'!V364</f>
        <v>0</v>
      </c>
      <c r="J282" s="70">
        <f>'RESUMEN TOTAL'!W364</f>
        <v>0</v>
      </c>
      <c r="K282" s="70">
        <f>'RESUMEN TOTAL'!X364</f>
        <v>0</v>
      </c>
      <c r="L282" s="70">
        <f>'RESUMEN TOTAL'!Y364</f>
        <v>0</v>
      </c>
      <c r="M282" s="70">
        <f>'RESUMEN TOTAL'!Z364</f>
        <v>0</v>
      </c>
      <c r="N282" s="70">
        <f>'RESUMEN TOTAL'!AA364</f>
        <v>0</v>
      </c>
      <c r="O282" s="70">
        <f>'RESUMEN TOTAL'!AB364</f>
        <v>0</v>
      </c>
      <c r="P282" s="70">
        <f>'RESUMEN TOTAL'!AC364</f>
        <v>0</v>
      </c>
      <c r="Q282" s="70">
        <f>'RESUMEN TOTAL'!AD364</f>
        <v>0</v>
      </c>
      <c r="R282" s="70">
        <f>'RESUMEN TOTAL'!AE364</f>
        <v>0</v>
      </c>
      <c r="S282" s="70">
        <f>'RESUMEN TOTAL'!AF364</f>
        <v>0</v>
      </c>
      <c r="T282" s="70">
        <f>'RESUMEN TOTAL'!AG364</f>
        <v>0</v>
      </c>
      <c r="U282" s="70">
        <f>'RESUMEN TOTAL'!AH364</f>
        <v>0</v>
      </c>
      <c r="V282" s="70">
        <f>'RESUMEN TOTAL'!AI364</f>
        <v>0</v>
      </c>
      <c r="W282" s="70">
        <f>'RESUMEN TOTAL'!AJ364</f>
        <v>0</v>
      </c>
      <c r="X282" s="70">
        <f>'RESUMEN TOTAL'!AK364</f>
        <v>0</v>
      </c>
      <c r="Y282" s="70">
        <f>'RESUMEN TOTAL'!AL364</f>
        <v>0</v>
      </c>
      <c r="Z282" s="70">
        <f>'RESUMEN TOTAL'!AM364</f>
        <v>0</v>
      </c>
      <c r="AA282" s="70">
        <f>'RESUMEN TOTAL'!AN364</f>
        <v>0</v>
      </c>
      <c r="AB282" s="70">
        <f>'RESUMEN TOTAL'!AO364</f>
        <v>0</v>
      </c>
      <c r="AC282" s="70">
        <f>'RESUMEN TOTAL'!AP364</f>
        <v>0</v>
      </c>
      <c r="AD282" s="70">
        <f>'RESUMEN TOTAL'!AQ364</f>
        <v>0</v>
      </c>
      <c r="AE282" s="70">
        <f>'RESUMEN TOTAL'!AR364</f>
        <v>0</v>
      </c>
      <c r="AF282" s="70">
        <f>'RESUMEN TOTAL'!AS364</f>
        <v>0</v>
      </c>
      <c r="AG282" s="70">
        <f>'RESUMEN TOTAL'!AT364</f>
        <v>0</v>
      </c>
      <c r="AH282" s="70">
        <f>'RESUMEN TOTAL'!AU364</f>
        <v>0</v>
      </c>
      <c r="AI282" s="70">
        <f>'RESUMEN TOTAL'!AV364</f>
        <v>0</v>
      </c>
      <c r="AJ282" s="70" t="e">
        <f>'RESUMEN TOTAL'!#REF!</f>
        <v>#REF!</v>
      </c>
    </row>
    <row r="283" spans="1:36" x14ac:dyDescent="0.25">
      <c r="A283" t="str">
        <f>'RESUMEN TOTAL'!F365</f>
        <v>PRESIDENTE SARMIENTO</v>
      </c>
      <c r="B283" t="str">
        <f>'RESUMEN TOTAL'!G365</f>
        <v>SAR 04</v>
      </c>
      <c r="C283" t="str">
        <f>'RESUMEN TOTAL'!I365</f>
        <v>MONTES DE OCA Y ALVARADO</v>
      </c>
      <c r="D283" s="30" t="str">
        <f>'RESUMEN TOTAL'!J365</f>
        <v>Domo</v>
      </c>
      <c r="E283" s="30" t="str">
        <f>'RESUMEN TOTAL'!K365</f>
        <v>Fibra Optica</v>
      </c>
      <c r="F283" s="70">
        <f>'RESUMEN TOTAL'!S365</f>
        <v>0</v>
      </c>
      <c r="G283" s="70">
        <f>'RESUMEN TOTAL'!T365</f>
        <v>0</v>
      </c>
      <c r="H283" s="70">
        <f>'RESUMEN TOTAL'!U365</f>
        <v>0</v>
      </c>
      <c r="I283" s="70">
        <f>'RESUMEN TOTAL'!V365</f>
        <v>0</v>
      </c>
      <c r="J283" s="70">
        <f>'RESUMEN TOTAL'!W365</f>
        <v>0</v>
      </c>
      <c r="K283" s="70">
        <f>'RESUMEN TOTAL'!X365</f>
        <v>0</v>
      </c>
      <c r="L283" s="70">
        <f>'RESUMEN TOTAL'!Y365</f>
        <v>0</v>
      </c>
      <c r="M283" s="70">
        <f>'RESUMEN TOTAL'!Z365</f>
        <v>0</v>
      </c>
      <c r="N283" s="70">
        <f>'RESUMEN TOTAL'!AA365</f>
        <v>0</v>
      </c>
      <c r="O283" s="70">
        <f>'RESUMEN TOTAL'!AB365</f>
        <v>0</v>
      </c>
      <c r="P283" s="70">
        <f>'RESUMEN TOTAL'!AC365</f>
        <v>0</v>
      </c>
      <c r="Q283" s="70">
        <f>'RESUMEN TOTAL'!AD365</f>
        <v>0</v>
      </c>
      <c r="R283" s="70">
        <f>'RESUMEN TOTAL'!AE365</f>
        <v>0</v>
      </c>
      <c r="S283" s="70">
        <f>'RESUMEN TOTAL'!AF365</f>
        <v>0</v>
      </c>
      <c r="T283" s="70">
        <f>'RESUMEN TOTAL'!AG365</f>
        <v>0</v>
      </c>
      <c r="U283" s="70">
        <f>'RESUMEN TOTAL'!AH365</f>
        <v>0</v>
      </c>
      <c r="V283" s="70">
        <f>'RESUMEN TOTAL'!AI365</f>
        <v>0</v>
      </c>
      <c r="W283" s="70">
        <f>'RESUMEN TOTAL'!AJ365</f>
        <v>0</v>
      </c>
      <c r="X283" s="70">
        <f>'RESUMEN TOTAL'!AK365</f>
        <v>0</v>
      </c>
      <c r="Y283" s="70">
        <f>'RESUMEN TOTAL'!AL365</f>
        <v>0</v>
      </c>
      <c r="Z283" s="70">
        <f>'RESUMEN TOTAL'!AM365</f>
        <v>0</v>
      </c>
      <c r="AA283" s="70">
        <f>'RESUMEN TOTAL'!AN365</f>
        <v>0</v>
      </c>
      <c r="AB283" s="70">
        <f>'RESUMEN TOTAL'!AO365</f>
        <v>0</v>
      </c>
      <c r="AC283" s="70">
        <f>'RESUMEN TOTAL'!AP365</f>
        <v>0</v>
      </c>
      <c r="AD283" s="70">
        <f>'RESUMEN TOTAL'!AQ365</f>
        <v>0</v>
      </c>
      <c r="AE283" s="70">
        <f>'RESUMEN TOTAL'!AR365</f>
        <v>0</v>
      </c>
      <c r="AF283" s="70">
        <f>'RESUMEN TOTAL'!AS365</f>
        <v>0</v>
      </c>
      <c r="AG283" s="70">
        <f>'RESUMEN TOTAL'!AT365</f>
        <v>0</v>
      </c>
      <c r="AH283" s="70">
        <f>'RESUMEN TOTAL'!AU365</f>
        <v>0</v>
      </c>
      <c r="AI283" s="70">
        <f>'RESUMEN TOTAL'!AV365</f>
        <v>0</v>
      </c>
      <c r="AJ283" s="70" t="e">
        <f>'RESUMEN TOTAL'!#REF!</f>
        <v>#REF!</v>
      </c>
    </row>
    <row r="284" spans="1:36" x14ac:dyDescent="0.25">
      <c r="A284" t="str">
        <f>'RESUMEN TOTAL'!F366</f>
        <v>PRESIDENTE SARMIENTO</v>
      </c>
      <c r="B284" t="str">
        <f>'RESUMEN TOTAL'!G366</f>
        <v>SAR 05</v>
      </c>
      <c r="C284" t="str">
        <f>'RESUMEN TOTAL'!I366</f>
        <v>ALVARADO Y ROCHA</v>
      </c>
      <c r="D284" s="30" t="str">
        <f>'RESUMEN TOTAL'!J366</f>
        <v>Domo</v>
      </c>
      <c r="E284" s="30" t="str">
        <f>'RESUMEN TOTAL'!K366</f>
        <v>Fibra Optica</v>
      </c>
      <c r="F284" s="70">
        <f>'RESUMEN TOTAL'!S366</f>
        <v>0</v>
      </c>
      <c r="G284" s="70">
        <f>'RESUMEN TOTAL'!T366</f>
        <v>0</v>
      </c>
      <c r="H284" s="70">
        <f>'RESUMEN TOTAL'!U366</f>
        <v>0</v>
      </c>
      <c r="I284" s="70">
        <f>'RESUMEN TOTAL'!V366</f>
        <v>0</v>
      </c>
      <c r="J284" s="70">
        <f>'RESUMEN TOTAL'!W366</f>
        <v>0</v>
      </c>
      <c r="K284" s="70">
        <f>'RESUMEN TOTAL'!X366</f>
        <v>0</v>
      </c>
      <c r="L284" s="70">
        <f>'RESUMEN TOTAL'!Y366</f>
        <v>0</v>
      </c>
      <c r="M284" s="70">
        <f>'RESUMEN TOTAL'!Z366</f>
        <v>0</v>
      </c>
      <c r="N284" s="70">
        <f>'RESUMEN TOTAL'!AA366</f>
        <v>0</v>
      </c>
      <c r="O284" s="70">
        <f>'RESUMEN TOTAL'!AB366</f>
        <v>0</v>
      </c>
      <c r="P284" s="70">
        <f>'RESUMEN TOTAL'!AC366</f>
        <v>0</v>
      </c>
      <c r="Q284" s="70">
        <f>'RESUMEN TOTAL'!AD366</f>
        <v>0</v>
      </c>
      <c r="R284" s="70">
        <f>'RESUMEN TOTAL'!AE366</f>
        <v>0</v>
      </c>
      <c r="S284" s="70">
        <f>'RESUMEN TOTAL'!AF366</f>
        <v>0</v>
      </c>
      <c r="T284" s="70">
        <f>'RESUMEN TOTAL'!AG366</f>
        <v>0</v>
      </c>
      <c r="U284" s="70">
        <f>'RESUMEN TOTAL'!AH366</f>
        <v>0</v>
      </c>
      <c r="V284" s="70">
        <f>'RESUMEN TOTAL'!AI366</f>
        <v>0</v>
      </c>
      <c r="W284" s="70">
        <f>'RESUMEN TOTAL'!AJ366</f>
        <v>0</v>
      </c>
      <c r="X284" s="70">
        <f>'RESUMEN TOTAL'!AK366</f>
        <v>0</v>
      </c>
      <c r="Y284" s="70">
        <f>'RESUMEN TOTAL'!AL366</f>
        <v>0</v>
      </c>
      <c r="Z284" s="70">
        <f>'RESUMEN TOTAL'!AM366</f>
        <v>0</v>
      </c>
      <c r="AA284" s="70">
        <f>'RESUMEN TOTAL'!AN366</f>
        <v>0</v>
      </c>
      <c r="AB284" s="70">
        <f>'RESUMEN TOTAL'!AO366</f>
        <v>0</v>
      </c>
      <c r="AC284" s="70">
        <f>'RESUMEN TOTAL'!AP366</f>
        <v>0</v>
      </c>
      <c r="AD284" s="70">
        <f>'RESUMEN TOTAL'!AQ366</f>
        <v>0</v>
      </c>
      <c r="AE284" s="70">
        <f>'RESUMEN TOTAL'!AR366</f>
        <v>0</v>
      </c>
      <c r="AF284" s="70">
        <f>'RESUMEN TOTAL'!AS366</f>
        <v>0</v>
      </c>
      <c r="AG284" s="70">
        <f>'RESUMEN TOTAL'!AT366</f>
        <v>0</v>
      </c>
      <c r="AH284" s="70">
        <f>'RESUMEN TOTAL'!AU366</f>
        <v>0</v>
      </c>
      <c r="AI284" s="70">
        <f>'RESUMEN TOTAL'!AV366</f>
        <v>0</v>
      </c>
      <c r="AJ284" s="70" t="e">
        <f>'RESUMEN TOTAL'!#REF!</f>
        <v>#REF!</v>
      </c>
    </row>
    <row r="285" spans="1:36" x14ac:dyDescent="0.25">
      <c r="A285" t="str">
        <f>'RESUMEN TOTAL'!F367</f>
        <v>PRESIDENTE SARMIENTO</v>
      </c>
      <c r="B285" t="str">
        <f>'RESUMEN TOTAL'!G367</f>
        <v>SAR 06</v>
      </c>
      <c r="C285" t="str">
        <f>'RESUMEN TOTAL'!I367</f>
        <v>Necochea y Lorenzini</v>
      </c>
      <c r="D285" s="30" t="str">
        <f>'RESUMEN TOTAL'!J367</f>
        <v>Fija</v>
      </c>
      <c r="E285" s="30" t="str">
        <f>'RESUMEN TOTAL'!K367</f>
        <v>Fibra Optica</v>
      </c>
      <c r="F285" s="70">
        <f>'RESUMEN TOTAL'!S367</f>
        <v>0</v>
      </c>
      <c r="G285" s="70">
        <f>'RESUMEN TOTAL'!T367</f>
        <v>0</v>
      </c>
      <c r="H285" s="70">
        <f>'RESUMEN TOTAL'!U367</f>
        <v>0</v>
      </c>
      <c r="I285" s="70">
        <f>'RESUMEN TOTAL'!V367</f>
        <v>0</v>
      </c>
      <c r="J285" s="70">
        <f>'RESUMEN TOTAL'!W367</f>
        <v>0</v>
      </c>
      <c r="K285" s="70">
        <f>'RESUMEN TOTAL'!X367</f>
        <v>0</v>
      </c>
      <c r="L285" s="70">
        <f>'RESUMEN TOTAL'!Y367</f>
        <v>0</v>
      </c>
      <c r="M285" s="70">
        <f>'RESUMEN TOTAL'!Z367</f>
        <v>0</v>
      </c>
      <c r="N285" s="70">
        <f>'RESUMEN TOTAL'!AA367</f>
        <v>0</v>
      </c>
      <c r="O285" s="70">
        <f>'RESUMEN TOTAL'!AB367</f>
        <v>0</v>
      </c>
      <c r="P285" s="70">
        <f>'RESUMEN TOTAL'!AC367</f>
        <v>0</v>
      </c>
      <c r="Q285" s="70">
        <f>'RESUMEN TOTAL'!AD367</f>
        <v>0</v>
      </c>
      <c r="R285" s="70">
        <f>'RESUMEN TOTAL'!AE367</f>
        <v>0</v>
      </c>
      <c r="S285" s="70">
        <f>'RESUMEN TOTAL'!AF367</f>
        <v>0</v>
      </c>
      <c r="T285" s="70">
        <f>'RESUMEN TOTAL'!AG367</f>
        <v>0</v>
      </c>
      <c r="U285" s="70">
        <f>'RESUMEN TOTAL'!AH367</f>
        <v>0</v>
      </c>
      <c r="V285" s="70">
        <f>'RESUMEN TOTAL'!AI367</f>
        <v>0</v>
      </c>
      <c r="W285" s="70">
        <f>'RESUMEN TOTAL'!AJ367</f>
        <v>0</v>
      </c>
      <c r="X285" s="70">
        <f>'RESUMEN TOTAL'!AK367</f>
        <v>0</v>
      </c>
      <c r="Y285" s="70">
        <f>'RESUMEN TOTAL'!AL367</f>
        <v>0</v>
      </c>
      <c r="Z285" s="70">
        <f>'RESUMEN TOTAL'!AM367</f>
        <v>0</v>
      </c>
      <c r="AA285" s="70">
        <f>'RESUMEN TOTAL'!AN367</f>
        <v>0</v>
      </c>
      <c r="AB285" s="70">
        <f>'RESUMEN TOTAL'!AO367</f>
        <v>0</v>
      </c>
      <c r="AC285" s="70">
        <f>'RESUMEN TOTAL'!AP367</f>
        <v>0</v>
      </c>
      <c r="AD285" s="70">
        <f>'RESUMEN TOTAL'!AQ367</f>
        <v>0</v>
      </c>
      <c r="AE285" s="70">
        <f>'RESUMEN TOTAL'!AR367</f>
        <v>0</v>
      </c>
      <c r="AF285" s="70">
        <f>'RESUMEN TOTAL'!AS367</f>
        <v>0</v>
      </c>
      <c r="AG285" s="70">
        <f>'RESUMEN TOTAL'!AT367</f>
        <v>0</v>
      </c>
      <c r="AH285" s="70">
        <f>'RESUMEN TOTAL'!AU367</f>
        <v>0</v>
      </c>
      <c r="AI285" s="70">
        <f>'RESUMEN TOTAL'!AV367</f>
        <v>0</v>
      </c>
      <c r="AJ285" s="70" t="e">
        <f>'RESUMEN TOTAL'!#REF!</f>
        <v>#REF!</v>
      </c>
    </row>
    <row r="286" spans="1:36" x14ac:dyDescent="0.25">
      <c r="A286" t="str">
        <f>'RESUMEN TOTAL'!F368</f>
        <v>PRESIDENTE SARMIENTO</v>
      </c>
      <c r="B286" t="str">
        <f>'RESUMEN TOTAL'!G368</f>
        <v>SAR 07</v>
      </c>
      <c r="C286" t="str">
        <f>'RESUMEN TOTAL'!I368</f>
        <v>Necochea y Lorenzini</v>
      </c>
      <c r="D286" s="30" t="str">
        <f>'RESUMEN TOTAL'!J368</f>
        <v>Fija</v>
      </c>
      <c r="E286" s="30" t="str">
        <f>'RESUMEN TOTAL'!K368</f>
        <v>Fibra Optica</v>
      </c>
      <c r="F286" s="70">
        <f>'RESUMEN TOTAL'!S368</f>
        <v>0</v>
      </c>
      <c r="G286" s="70">
        <f>'RESUMEN TOTAL'!T368</f>
        <v>0</v>
      </c>
      <c r="H286" s="70">
        <f>'RESUMEN TOTAL'!U368</f>
        <v>0</v>
      </c>
      <c r="I286" s="70">
        <f>'RESUMEN TOTAL'!V368</f>
        <v>0</v>
      </c>
      <c r="J286" s="70">
        <f>'RESUMEN TOTAL'!W368</f>
        <v>0</v>
      </c>
      <c r="K286" s="70">
        <f>'RESUMEN TOTAL'!X368</f>
        <v>0</v>
      </c>
      <c r="L286" s="70">
        <f>'RESUMEN TOTAL'!Y368</f>
        <v>0</v>
      </c>
      <c r="M286" s="70">
        <f>'RESUMEN TOTAL'!Z368</f>
        <v>0</v>
      </c>
      <c r="N286" s="70">
        <f>'RESUMEN TOTAL'!AA368</f>
        <v>0</v>
      </c>
      <c r="O286" s="70">
        <f>'RESUMEN TOTAL'!AB368</f>
        <v>0</v>
      </c>
      <c r="P286" s="70">
        <f>'RESUMEN TOTAL'!AC368</f>
        <v>0</v>
      </c>
      <c r="Q286" s="70">
        <f>'RESUMEN TOTAL'!AD368</f>
        <v>0</v>
      </c>
      <c r="R286" s="70">
        <f>'RESUMEN TOTAL'!AE368</f>
        <v>0</v>
      </c>
      <c r="S286" s="70">
        <f>'RESUMEN TOTAL'!AF368</f>
        <v>0</v>
      </c>
      <c r="T286" s="70">
        <f>'RESUMEN TOTAL'!AG368</f>
        <v>0</v>
      </c>
      <c r="U286" s="70">
        <f>'RESUMEN TOTAL'!AH368</f>
        <v>0</v>
      </c>
      <c r="V286" s="70">
        <f>'RESUMEN TOTAL'!AI368</f>
        <v>0</v>
      </c>
      <c r="W286" s="70">
        <f>'RESUMEN TOTAL'!AJ368</f>
        <v>0</v>
      </c>
      <c r="X286" s="70">
        <f>'RESUMEN TOTAL'!AK368</f>
        <v>0</v>
      </c>
      <c r="Y286" s="70">
        <f>'RESUMEN TOTAL'!AL368</f>
        <v>0</v>
      </c>
      <c r="Z286" s="70">
        <f>'RESUMEN TOTAL'!AM368</f>
        <v>0</v>
      </c>
      <c r="AA286" s="70">
        <f>'RESUMEN TOTAL'!AN368</f>
        <v>0</v>
      </c>
      <c r="AB286" s="70">
        <f>'RESUMEN TOTAL'!AO368</f>
        <v>0</v>
      </c>
      <c r="AC286" s="70">
        <f>'RESUMEN TOTAL'!AP368</f>
        <v>0</v>
      </c>
      <c r="AD286" s="70">
        <f>'RESUMEN TOTAL'!AQ368</f>
        <v>0</v>
      </c>
      <c r="AE286" s="70">
        <f>'RESUMEN TOTAL'!AR368</f>
        <v>0</v>
      </c>
      <c r="AF286" s="70">
        <f>'RESUMEN TOTAL'!AS368</f>
        <v>0</v>
      </c>
      <c r="AG286" s="70">
        <f>'RESUMEN TOTAL'!AT368</f>
        <v>0</v>
      </c>
      <c r="AH286" s="70">
        <f>'RESUMEN TOTAL'!AU368</f>
        <v>0</v>
      </c>
      <c r="AI286" s="70">
        <f>'RESUMEN TOTAL'!AV368</f>
        <v>0</v>
      </c>
      <c r="AJ286" s="70" t="e">
        <f>'RESUMEN TOTAL'!#REF!</f>
        <v>#REF!</v>
      </c>
    </row>
    <row r="287" spans="1:36" x14ac:dyDescent="0.25">
      <c r="A287" t="str">
        <f>'RESUMEN TOTAL'!F369</f>
        <v>PRESIDENTE SARMIENTO</v>
      </c>
      <c r="B287" t="str">
        <f>'RESUMEN TOTAL'!G369</f>
        <v>SAR 08</v>
      </c>
      <c r="C287" t="str">
        <f>'RESUMEN TOTAL'!I369</f>
        <v>Necochea y Montes de Oca</v>
      </c>
      <c r="D287" s="30" t="str">
        <f>'RESUMEN TOTAL'!J369</f>
        <v>Fija</v>
      </c>
      <c r="E287" s="30" t="str">
        <f>'RESUMEN TOTAL'!K369</f>
        <v>Fibra Optica</v>
      </c>
      <c r="F287" s="70">
        <f>'RESUMEN TOTAL'!S369</f>
        <v>0</v>
      </c>
      <c r="G287" s="70">
        <f>'RESUMEN TOTAL'!T369</f>
        <v>0</v>
      </c>
      <c r="H287" s="70">
        <f>'RESUMEN TOTAL'!U369</f>
        <v>0</v>
      </c>
      <c r="I287" s="70">
        <f>'RESUMEN TOTAL'!V369</f>
        <v>0</v>
      </c>
      <c r="J287" s="70">
        <f>'RESUMEN TOTAL'!W369</f>
        <v>0</v>
      </c>
      <c r="K287" s="70">
        <f>'RESUMEN TOTAL'!X369</f>
        <v>0</v>
      </c>
      <c r="L287" s="70">
        <f>'RESUMEN TOTAL'!Y369</f>
        <v>0</v>
      </c>
      <c r="M287" s="70">
        <f>'RESUMEN TOTAL'!Z369</f>
        <v>0</v>
      </c>
      <c r="N287" s="70">
        <f>'RESUMEN TOTAL'!AA369</f>
        <v>0</v>
      </c>
      <c r="O287" s="70">
        <f>'RESUMEN TOTAL'!AB369</f>
        <v>0</v>
      </c>
      <c r="P287" s="70">
        <f>'RESUMEN TOTAL'!AC369</f>
        <v>0</v>
      </c>
      <c r="Q287" s="70">
        <f>'RESUMEN TOTAL'!AD369</f>
        <v>0</v>
      </c>
      <c r="R287" s="70">
        <f>'RESUMEN TOTAL'!AE369</f>
        <v>0</v>
      </c>
      <c r="S287" s="70">
        <f>'RESUMEN TOTAL'!AF369</f>
        <v>0</v>
      </c>
      <c r="T287" s="70">
        <f>'RESUMEN TOTAL'!AG369</f>
        <v>0</v>
      </c>
      <c r="U287" s="70">
        <f>'RESUMEN TOTAL'!AH369</f>
        <v>0</v>
      </c>
      <c r="V287" s="70">
        <f>'RESUMEN TOTAL'!AI369</f>
        <v>0</v>
      </c>
      <c r="W287" s="70">
        <f>'RESUMEN TOTAL'!AJ369</f>
        <v>0</v>
      </c>
      <c r="X287" s="70">
        <f>'RESUMEN TOTAL'!AK369</f>
        <v>0</v>
      </c>
      <c r="Y287" s="70">
        <f>'RESUMEN TOTAL'!AL369</f>
        <v>0</v>
      </c>
      <c r="Z287" s="70">
        <f>'RESUMEN TOTAL'!AM369</f>
        <v>0</v>
      </c>
      <c r="AA287" s="70">
        <f>'RESUMEN TOTAL'!AN369</f>
        <v>0</v>
      </c>
      <c r="AB287" s="70">
        <f>'RESUMEN TOTAL'!AO369</f>
        <v>0</v>
      </c>
      <c r="AC287" s="70">
        <f>'RESUMEN TOTAL'!AP369</f>
        <v>0</v>
      </c>
      <c r="AD287" s="70">
        <f>'RESUMEN TOTAL'!AQ369</f>
        <v>0</v>
      </c>
      <c r="AE287" s="70">
        <f>'RESUMEN TOTAL'!AR369</f>
        <v>0</v>
      </c>
      <c r="AF287" s="70">
        <f>'RESUMEN TOTAL'!AS369</f>
        <v>0</v>
      </c>
      <c r="AG287" s="70">
        <f>'RESUMEN TOTAL'!AT369</f>
        <v>0</v>
      </c>
      <c r="AH287" s="70">
        <f>'RESUMEN TOTAL'!AU369</f>
        <v>0</v>
      </c>
      <c r="AI287" s="70">
        <f>'RESUMEN TOTAL'!AV369</f>
        <v>0</v>
      </c>
      <c r="AJ287" s="70" t="e">
        <f>'RESUMEN TOTAL'!#REF!</f>
        <v>#REF!</v>
      </c>
    </row>
    <row r="288" spans="1:36" x14ac:dyDescent="0.25">
      <c r="A288" t="str">
        <f>'RESUMEN TOTAL'!F370</f>
        <v>PRESIDENTE SARMIENTO</v>
      </c>
      <c r="B288" t="str">
        <f>'RESUMEN TOTAL'!G370</f>
        <v>SAR 09</v>
      </c>
      <c r="C288" t="str">
        <f>'RESUMEN TOTAL'!I370</f>
        <v>Necochea y Montes de Oca</v>
      </c>
      <c r="D288" s="30" t="str">
        <f>'RESUMEN TOTAL'!J370</f>
        <v>Fija</v>
      </c>
      <c r="E288" s="30" t="str">
        <f>'RESUMEN TOTAL'!K370</f>
        <v>Fibra Optica</v>
      </c>
      <c r="F288" s="70">
        <f>'RESUMEN TOTAL'!S370</f>
        <v>0</v>
      </c>
      <c r="G288" s="70">
        <f>'RESUMEN TOTAL'!T370</f>
        <v>0</v>
      </c>
      <c r="H288" s="70">
        <f>'RESUMEN TOTAL'!U370</f>
        <v>0</v>
      </c>
      <c r="I288" s="70">
        <f>'RESUMEN TOTAL'!V370</f>
        <v>0</v>
      </c>
      <c r="J288" s="70">
        <f>'RESUMEN TOTAL'!W370</f>
        <v>0</v>
      </c>
      <c r="K288" s="70">
        <f>'RESUMEN TOTAL'!X370</f>
        <v>0</v>
      </c>
      <c r="L288" s="70">
        <f>'RESUMEN TOTAL'!Y370</f>
        <v>0</v>
      </c>
      <c r="M288" s="70">
        <f>'RESUMEN TOTAL'!Z370</f>
        <v>0</v>
      </c>
      <c r="N288" s="70">
        <f>'RESUMEN TOTAL'!AA370</f>
        <v>0</v>
      </c>
      <c r="O288" s="70">
        <f>'RESUMEN TOTAL'!AB370</f>
        <v>0</v>
      </c>
      <c r="P288" s="70">
        <f>'RESUMEN TOTAL'!AC370</f>
        <v>0</v>
      </c>
      <c r="Q288" s="70">
        <f>'RESUMEN TOTAL'!AD370</f>
        <v>0</v>
      </c>
      <c r="R288" s="70">
        <f>'RESUMEN TOTAL'!AE370</f>
        <v>0</v>
      </c>
      <c r="S288" s="70">
        <f>'RESUMEN TOTAL'!AF370</f>
        <v>0</v>
      </c>
      <c r="T288" s="70">
        <f>'RESUMEN TOTAL'!AG370</f>
        <v>0</v>
      </c>
      <c r="U288" s="70">
        <f>'RESUMEN TOTAL'!AH370</f>
        <v>0</v>
      </c>
      <c r="V288" s="70">
        <f>'RESUMEN TOTAL'!AI370</f>
        <v>0</v>
      </c>
      <c r="W288" s="70">
        <f>'RESUMEN TOTAL'!AJ370</f>
        <v>0</v>
      </c>
      <c r="X288" s="70">
        <f>'RESUMEN TOTAL'!AK370</f>
        <v>0</v>
      </c>
      <c r="Y288" s="70">
        <f>'RESUMEN TOTAL'!AL370</f>
        <v>0</v>
      </c>
      <c r="Z288" s="70">
        <f>'RESUMEN TOTAL'!AM370</f>
        <v>0</v>
      </c>
      <c r="AA288" s="70">
        <f>'RESUMEN TOTAL'!AN370</f>
        <v>0</v>
      </c>
      <c r="AB288" s="70">
        <f>'RESUMEN TOTAL'!AO370</f>
        <v>0</v>
      </c>
      <c r="AC288" s="70">
        <f>'RESUMEN TOTAL'!AP370</f>
        <v>0</v>
      </c>
      <c r="AD288" s="70">
        <f>'RESUMEN TOTAL'!AQ370</f>
        <v>0</v>
      </c>
      <c r="AE288" s="70">
        <f>'RESUMEN TOTAL'!AR370</f>
        <v>0</v>
      </c>
      <c r="AF288" s="70">
        <f>'RESUMEN TOTAL'!AS370</f>
        <v>0</v>
      </c>
      <c r="AG288" s="70">
        <f>'RESUMEN TOTAL'!AT370</f>
        <v>0</v>
      </c>
      <c r="AH288" s="70">
        <f>'RESUMEN TOTAL'!AU370</f>
        <v>0</v>
      </c>
      <c r="AI288" s="70">
        <f>'RESUMEN TOTAL'!AV370</f>
        <v>0</v>
      </c>
      <c r="AJ288" s="70" t="e">
        <f>'RESUMEN TOTAL'!#REF!</f>
        <v>#REF!</v>
      </c>
    </row>
    <row r="289" spans="1:36" x14ac:dyDescent="0.25">
      <c r="A289" t="str">
        <f>'RESUMEN TOTAL'!F371</f>
        <v>MONTE CUDINE</v>
      </c>
      <c r="B289" t="str">
        <f>'RESUMEN TOTAL'!G371</f>
        <v>SAR 10</v>
      </c>
      <c r="C289" t="str">
        <f>'RESUMEN TOTAL'!I371</f>
        <v>SENZABELLO Y TINOGASTA</v>
      </c>
      <c r="D289" s="30" t="str">
        <f>'RESUMEN TOTAL'!J371</f>
        <v>Domo</v>
      </c>
      <c r="E289" s="30" t="str">
        <f>'RESUMEN TOTAL'!K371</f>
        <v>Fibra Optica</v>
      </c>
      <c r="F289" s="70">
        <f>'RESUMEN TOTAL'!S371</f>
        <v>0</v>
      </c>
      <c r="G289" s="70">
        <f>'RESUMEN TOTAL'!T371</f>
        <v>0</v>
      </c>
      <c r="H289" s="70">
        <f>'RESUMEN TOTAL'!U371</f>
        <v>0</v>
      </c>
      <c r="I289" s="70">
        <f>'RESUMEN TOTAL'!V371</f>
        <v>0</v>
      </c>
      <c r="J289" s="70">
        <f>'RESUMEN TOTAL'!W371</f>
        <v>0</v>
      </c>
      <c r="K289" s="70">
        <f>'RESUMEN TOTAL'!X371</f>
        <v>0</v>
      </c>
      <c r="L289" s="70">
        <f>'RESUMEN TOTAL'!Y371</f>
        <v>0</v>
      </c>
      <c r="M289" s="70">
        <f>'RESUMEN TOTAL'!Z371</f>
        <v>0</v>
      </c>
      <c r="N289" s="70">
        <f>'RESUMEN TOTAL'!AA371</f>
        <v>0</v>
      </c>
      <c r="O289" s="70">
        <f>'RESUMEN TOTAL'!AB371</f>
        <v>0</v>
      </c>
      <c r="P289" s="70">
        <f>'RESUMEN TOTAL'!AC371</f>
        <v>0</v>
      </c>
      <c r="Q289" s="70">
        <f>'RESUMEN TOTAL'!AD371</f>
        <v>0</v>
      </c>
      <c r="R289" s="70">
        <f>'RESUMEN TOTAL'!AE371</f>
        <v>0</v>
      </c>
      <c r="S289" s="70">
        <f>'RESUMEN TOTAL'!AF371</f>
        <v>0</v>
      </c>
      <c r="T289" s="70">
        <f>'RESUMEN TOTAL'!AG371</f>
        <v>0</v>
      </c>
      <c r="U289" s="70">
        <f>'RESUMEN TOTAL'!AH371</f>
        <v>0</v>
      </c>
      <c r="V289" s="70">
        <f>'RESUMEN TOTAL'!AI371</f>
        <v>0</v>
      </c>
      <c r="W289" s="70">
        <f>'RESUMEN TOTAL'!AJ371</f>
        <v>0</v>
      </c>
      <c r="X289" s="70">
        <f>'RESUMEN TOTAL'!AK371</f>
        <v>0</v>
      </c>
      <c r="Y289" s="70">
        <f>'RESUMEN TOTAL'!AL371</f>
        <v>0</v>
      </c>
      <c r="Z289" s="70">
        <f>'RESUMEN TOTAL'!AM371</f>
        <v>0</v>
      </c>
      <c r="AA289" s="70">
        <f>'RESUMEN TOTAL'!AN371</f>
        <v>0</v>
      </c>
      <c r="AB289" s="70">
        <f>'RESUMEN TOTAL'!AO371</f>
        <v>0</v>
      </c>
      <c r="AC289" s="70">
        <f>'RESUMEN TOTAL'!AP371</f>
        <v>0</v>
      </c>
      <c r="AD289" s="70">
        <f>'RESUMEN TOTAL'!AQ371</f>
        <v>0</v>
      </c>
      <c r="AE289" s="70">
        <f>'RESUMEN TOTAL'!AR371</f>
        <v>0</v>
      </c>
      <c r="AF289" s="70">
        <f>'RESUMEN TOTAL'!AS371</f>
        <v>0</v>
      </c>
      <c r="AG289" s="70">
        <f>'RESUMEN TOTAL'!AT371</f>
        <v>0</v>
      </c>
      <c r="AH289" s="70">
        <f>'RESUMEN TOTAL'!AU371</f>
        <v>0</v>
      </c>
      <c r="AI289" s="70">
        <f>'RESUMEN TOTAL'!AV371</f>
        <v>0</v>
      </c>
      <c r="AJ289" s="70" t="e">
        <f>'RESUMEN TOTAL'!#REF!</f>
        <v>#REF!</v>
      </c>
    </row>
    <row r="290" spans="1:36" x14ac:dyDescent="0.25">
      <c r="A290" t="str">
        <f>'RESUMEN TOTAL'!F372</f>
        <v>MONTE CUDINE</v>
      </c>
      <c r="B290" t="str">
        <f>'RESUMEN TOTAL'!G372</f>
        <v>SAR 11</v>
      </c>
      <c r="C290" t="str">
        <f>'RESUMEN TOTAL'!I372</f>
        <v>SENSABELLO Y BRAILLE</v>
      </c>
      <c r="D290" s="30" t="str">
        <f>'RESUMEN TOTAL'!J372</f>
        <v>Domo</v>
      </c>
      <c r="E290" s="30" t="str">
        <f>'RESUMEN TOTAL'!K372</f>
        <v>Fibra Optica</v>
      </c>
      <c r="F290" s="70">
        <f>'RESUMEN TOTAL'!S372</f>
        <v>0</v>
      </c>
      <c r="G290" s="70">
        <f>'RESUMEN TOTAL'!T372</f>
        <v>0</v>
      </c>
      <c r="H290" s="70">
        <f>'RESUMEN TOTAL'!U372</f>
        <v>0</v>
      </c>
      <c r="I290" s="70">
        <f>'RESUMEN TOTAL'!V372</f>
        <v>0</v>
      </c>
      <c r="J290" s="70">
        <f>'RESUMEN TOTAL'!W372</f>
        <v>0</v>
      </c>
      <c r="K290" s="70">
        <f>'RESUMEN TOTAL'!X372</f>
        <v>0</v>
      </c>
      <c r="L290" s="70">
        <f>'RESUMEN TOTAL'!Y372</f>
        <v>0</v>
      </c>
      <c r="M290" s="70">
        <f>'RESUMEN TOTAL'!Z372</f>
        <v>0</v>
      </c>
      <c r="N290" s="70">
        <f>'RESUMEN TOTAL'!AA372</f>
        <v>0</v>
      </c>
      <c r="O290" s="70">
        <f>'RESUMEN TOTAL'!AB372</f>
        <v>0</v>
      </c>
      <c r="P290" s="70">
        <f>'RESUMEN TOTAL'!AC372</f>
        <v>0</v>
      </c>
      <c r="Q290" s="70">
        <f>'RESUMEN TOTAL'!AD372</f>
        <v>0</v>
      </c>
      <c r="R290" s="70">
        <f>'RESUMEN TOTAL'!AE372</f>
        <v>0</v>
      </c>
      <c r="S290" s="70">
        <f>'RESUMEN TOTAL'!AF372</f>
        <v>0</v>
      </c>
      <c r="T290" s="70">
        <f>'RESUMEN TOTAL'!AG372</f>
        <v>0</v>
      </c>
      <c r="U290" s="70">
        <f>'RESUMEN TOTAL'!AH372</f>
        <v>0</v>
      </c>
      <c r="V290" s="70">
        <f>'RESUMEN TOTAL'!AI372</f>
        <v>0</v>
      </c>
      <c r="W290" s="70">
        <f>'RESUMEN TOTAL'!AJ372</f>
        <v>0</v>
      </c>
      <c r="X290" s="70">
        <f>'RESUMEN TOTAL'!AK372</f>
        <v>0</v>
      </c>
      <c r="Y290" s="70">
        <f>'RESUMEN TOTAL'!AL372</f>
        <v>0</v>
      </c>
      <c r="Z290" s="70">
        <f>'RESUMEN TOTAL'!AM372</f>
        <v>0</v>
      </c>
      <c r="AA290" s="70">
        <f>'RESUMEN TOTAL'!AN372</f>
        <v>0</v>
      </c>
      <c r="AB290" s="70">
        <f>'RESUMEN TOTAL'!AO372</f>
        <v>0</v>
      </c>
      <c r="AC290" s="70">
        <f>'RESUMEN TOTAL'!AP372</f>
        <v>0</v>
      </c>
      <c r="AD290" s="70">
        <f>'RESUMEN TOTAL'!AQ372</f>
        <v>0</v>
      </c>
      <c r="AE290" s="70">
        <f>'RESUMEN TOTAL'!AR372</f>
        <v>0</v>
      </c>
      <c r="AF290" s="70">
        <f>'RESUMEN TOTAL'!AS372</f>
        <v>0</v>
      </c>
      <c r="AG290" s="70">
        <f>'RESUMEN TOTAL'!AT372</f>
        <v>0</v>
      </c>
      <c r="AH290" s="70">
        <f>'RESUMEN TOTAL'!AU372</f>
        <v>0</v>
      </c>
      <c r="AI290" s="70">
        <f>'RESUMEN TOTAL'!AV372</f>
        <v>0</v>
      </c>
      <c r="AJ290" s="70" t="e">
        <f>'RESUMEN TOTAL'!#REF!</f>
        <v>#REF!</v>
      </c>
    </row>
    <row r="291" spans="1:36" x14ac:dyDescent="0.25">
      <c r="A291" t="str">
        <f>'RESUMEN TOTAL'!F373</f>
        <v>MONTE CUDINE</v>
      </c>
      <c r="B291" t="str">
        <f>'RESUMEN TOTAL'!G373</f>
        <v>SAR 12</v>
      </c>
      <c r="C291" t="str">
        <f>'RESUMEN TOTAL'!I373</f>
        <v>Arenales y Estrada</v>
      </c>
      <c r="D291" s="30" t="str">
        <f>'RESUMEN TOTAL'!J373</f>
        <v>Fija</v>
      </c>
      <c r="E291" s="30" t="str">
        <f>'RESUMEN TOTAL'!K373</f>
        <v>GPON</v>
      </c>
      <c r="F291" s="70">
        <f>'RESUMEN TOTAL'!S373</f>
        <v>0</v>
      </c>
      <c r="G291" s="70">
        <f>'RESUMEN TOTAL'!T373</f>
        <v>0</v>
      </c>
      <c r="H291" s="70">
        <f>'RESUMEN TOTAL'!U373</f>
        <v>0</v>
      </c>
      <c r="I291" s="70">
        <f>'RESUMEN TOTAL'!V373</f>
        <v>0</v>
      </c>
      <c r="J291" s="70">
        <f>'RESUMEN TOTAL'!W373</f>
        <v>0</v>
      </c>
      <c r="K291" s="70">
        <f>'RESUMEN TOTAL'!X373</f>
        <v>0</v>
      </c>
      <c r="L291" s="70">
        <f>'RESUMEN TOTAL'!Y373</f>
        <v>0</v>
      </c>
      <c r="M291" s="70">
        <f>'RESUMEN TOTAL'!Z373</f>
        <v>0</v>
      </c>
      <c r="N291" s="70">
        <f>'RESUMEN TOTAL'!AA373</f>
        <v>0</v>
      </c>
      <c r="O291" s="70">
        <f>'RESUMEN TOTAL'!AB373</f>
        <v>0</v>
      </c>
      <c r="P291" s="70">
        <f>'RESUMEN TOTAL'!AC373</f>
        <v>0</v>
      </c>
      <c r="Q291" s="70">
        <f>'RESUMEN TOTAL'!AD373</f>
        <v>0</v>
      </c>
      <c r="R291" s="70">
        <f>'RESUMEN TOTAL'!AE373</f>
        <v>0</v>
      </c>
      <c r="S291" s="70">
        <f>'RESUMEN TOTAL'!AF373</f>
        <v>0</v>
      </c>
      <c r="T291" s="70">
        <f>'RESUMEN TOTAL'!AG373</f>
        <v>0</v>
      </c>
      <c r="U291" s="70">
        <f>'RESUMEN TOTAL'!AH373</f>
        <v>0</v>
      </c>
      <c r="V291" s="70">
        <f>'RESUMEN TOTAL'!AI373</f>
        <v>0</v>
      </c>
      <c r="W291" s="70">
        <f>'RESUMEN TOTAL'!AJ373</f>
        <v>0</v>
      </c>
      <c r="X291" s="70">
        <f>'RESUMEN TOTAL'!AK373</f>
        <v>0</v>
      </c>
      <c r="Y291" s="70">
        <f>'RESUMEN TOTAL'!AL373</f>
        <v>0</v>
      </c>
      <c r="Z291" s="70">
        <f>'RESUMEN TOTAL'!AM373</f>
        <v>0</v>
      </c>
      <c r="AA291" s="70">
        <f>'RESUMEN TOTAL'!AN373</f>
        <v>0</v>
      </c>
      <c r="AB291" s="70">
        <f>'RESUMEN TOTAL'!AO373</f>
        <v>0</v>
      </c>
      <c r="AC291" s="70">
        <f>'RESUMEN TOTAL'!AP373</f>
        <v>0</v>
      </c>
      <c r="AD291" s="70">
        <f>'RESUMEN TOTAL'!AQ373</f>
        <v>0</v>
      </c>
      <c r="AE291" s="70">
        <f>'RESUMEN TOTAL'!AR373</f>
        <v>0</v>
      </c>
      <c r="AF291" s="70">
        <f>'RESUMEN TOTAL'!AS373</f>
        <v>0</v>
      </c>
      <c r="AG291" s="70">
        <f>'RESUMEN TOTAL'!AT373</f>
        <v>0</v>
      </c>
      <c r="AH291" s="70">
        <f>'RESUMEN TOTAL'!AU373</f>
        <v>0</v>
      </c>
      <c r="AI291" s="70">
        <f>'RESUMEN TOTAL'!AV373</f>
        <v>0</v>
      </c>
      <c r="AJ291" s="70" t="e">
        <f>'RESUMEN TOTAL'!#REF!</f>
        <v>#REF!</v>
      </c>
    </row>
    <row r="292" spans="1:36" x14ac:dyDescent="0.25">
      <c r="A292" t="str">
        <f>'RESUMEN TOTAL'!F378</f>
        <v>SAN EDUARDO</v>
      </c>
      <c r="B292" t="str">
        <f>'RESUMEN TOTAL'!G378</f>
        <v>SEDU01</v>
      </c>
      <c r="C292" t="str">
        <f>'RESUMEN TOTAL'!I378</f>
        <v>San Martin y Sperandio</v>
      </c>
      <c r="D292" s="30" t="str">
        <f>'RESUMEN TOTAL'!J378</f>
        <v>Domo</v>
      </c>
      <c r="E292" s="30" t="str">
        <f>'RESUMEN TOTAL'!K378</f>
        <v>Fibra Optica</v>
      </c>
      <c r="F292" s="70">
        <f>'RESUMEN TOTAL'!S378</f>
        <v>0</v>
      </c>
      <c r="G292" s="70">
        <f>'RESUMEN TOTAL'!T378</f>
        <v>0</v>
      </c>
      <c r="H292" s="70">
        <f>'RESUMEN TOTAL'!U378</f>
        <v>0</v>
      </c>
      <c r="I292" s="70" t="str">
        <f>'RESUMEN TOTAL'!V378</f>
        <v>APAGADO</v>
      </c>
      <c r="J292" s="70" t="str">
        <f>'RESUMEN TOTAL'!W378</f>
        <v>APAGADO</v>
      </c>
      <c r="K292" s="70" t="str">
        <f>'RESUMEN TOTAL'!X378</f>
        <v>APAGADO</v>
      </c>
      <c r="L292" s="70" t="str">
        <f>'RESUMEN TOTAL'!Y378</f>
        <v>APAGADO</v>
      </c>
      <c r="M292" s="70">
        <f>'RESUMEN TOTAL'!Z378</f>
        <v>0</v>
      </c>
      <c r="N292" s="70">
        <f>'RESUMEN TOTAL'!AA378</f>
        <v>0</v>
      </c>
      <c r="O292" s="70">
        <f>'RESUMEN TOTAL'!AB378</f>
        <v>0</v>
      </c>
      <c r="P292" s="70">
        <f>'RESUMEN TOTAL'!AC378</f>
        <v>0</v>
      </c>
      <c r="Q292" s="70">
        <f>'RESUMEN TOTAL'!AD378</f>
        <v>0</v>
      </c>
      <c r="R292" s="70">
        <f>'RESUMEN TOTAL'!AE378</f>
        <v>0</v>
      </c>
      <c r="S292" s="70">
        <f>'RESUMEN TOTAL'!AF378</f>
        <v>0</v>
      </c>
      <c r="T292" s="70">
        <f>'RESUMEN TOTAL'!AG378</f>
        <v>0</v>
      </c>
      <c r="U292" s="70">
        <f>'RESUMEN TOTAL'!AH378</f>
        <v>0</v>
      </c>
      <c r="V292" s="70">
        <f>'RESUMEN TOTAL'!AI378</f>
        <v>0</v>
      </c>
      <c r="W292" s="70">
        <f>'RESUMEN TOTAL'!AJ378</f>
        <v>0</v>
      </c>
      <c r="X292" s="70">
        <f>'RESUMEN TOTAL'!AK378</f>
        <v>0</v>
      </c>
      <c r="Y292" s="70">
        <f>'RESUMEN TOTAL'!AL378</f>
        <v>0</v>
      </c>
      <c r="Z292" s="70">
        <f>'RESUMEN TOTAL'!AM378</f>
        <v>0</v>
      </c>
      <c r="AA292" s="70">
        <f>'RESUMEN TOTAL'!AN378</f>
        <v>0</v>
      </c>
      <c r="AB292" s="70">
        <f>'RESUMEN TOTAL'!AO378</f>
        <v>0</v>
      </c>
      <c r="AC292" s="70">
        <f>'RESUMEN TOTAL'!AP378</f>
        <v>0</v>
      </c>
      <c r="AD292" s="70">
        <f>'RESUMEN TOTAL'!AQ378</f>
        <v>0</v>
      </c>
      <c r="AE292" s="70">
        <f>'RESUMEN TOTAL'!AR378</f>
        <v>0</v>
      </c>
      <c r="AF292" s="70">
        <f>'RESUMEN TOTAL'!AS378</f>
        <v>0</v>
      </c>
      <c r="AG292" s="70">
        <f>'RESUMEN TOTAL'!AT378</f>
        <v>0</v>
      </c>
      <c r="AH292" s="70">
        <f>'RESUMEN TOTAL'!AU378</f>
        <v>0</v>
      </c>
      <c r="AI292" s="70">
        <f>'RESUMEN TOTAL'!AV378</f>
        <v>0</v>
      </c>
      <c r="AJ292" s="70" t="e">
        <f>'RESUMEN TOTAL'!#REF!</f>
        <v>#REF!</v>
      </c>
    </row>
    <row r="293" spans="1:36" x14ac:dyDescent="0.25">
      <c r="A293" t="str">
        <f>'RESUMEN TOTAL'!F379</f>
        <v>SAN EDUARDO</v>
      </c>
      <c r="B293" t="str">
        <f>'RESUMEN TOTAL'!G379</f>
        <v>SEDU02</v>
      </c>
      <c r="C293" t="str">
        <f>'RESUMEN TOTAL'!I379</f>
        <v>Curva de Berraymundo</v>
      </c>
      <c r="D293" s="30" t="str">
        <f>'RESUMEN TOTAL'!J379</f>
        <v>Domo</v>
      </c>
      <c r="E293" s="30" t="str">
        <f>'RESUMEN TOTAL'!K379</f>
        <v>GPON</v>
      </c>
      <c r="F293" s="70">
        <f>'RESUMEN TOTAL'!S379</f>
        <v>0</v>
      </c>
      <c r="G293" s="70">
        <f>'RESUMEN TOTAL'!T379</f>
        <v>0</v>
      </c>
      <c r="H293" s="70">
        <f>'RESUMEN TOTAL'!U379</f>
        <v>0</v>
      </c>
      <c r="I293" s="70">
        <f>'RESUMEN TOTAL'!V379</f>
        <v>0</v>
      </c>
      <c r="J293" s="70">
        <f>'RESUMEN TOTAL'!W379</f>
        <v>0</v>
      </c>
      <c r="K293" s="70">
        <f>'RESUMEN TOTAL'!X379</f>
        <v>0</v>
      </c>
      <c r="L293" s="70">
        <f>'RESUMEN TOTAL'!Y379</f>
        <v>0</v>
      </c>
      <c r="M293" s="70">
        <f>'RESUMEN TOTAL'!Z379</f>
        <v>0</v>
      </c>
      <c r="N293" s="70">
        <f>'RESUMEN TOTAL'!AA379</f>
        <v>0</v>
      </c>
      <c r="O293" s="70">
        <f>'RESUMEN TOTAL'!AB379</f>
        <v>0</v>
      </c>
      <c r="P293" s="70">
        <f>'RESUMEN TOTAL'!AC379</f>
        <v>0</v>
      </c>
      <c r="Q293" s="70">
        <f>'RESUMEN TOTAL'!AD379</f>
        <v>0</v>
      </c>
      <c r="R293" s="70">
        <f>'RESUMEN TOTAL'!AE379</f>
        <v>0</v>
      </c>
      <c r="S293" s="70">
        <f>'RESUMEN TOTAL'!AF379</f>
        <v>0</v>
      </c>
      <c r="T293" s="70">
        <f>'RESUMEN TOTAL'!AG379</f>
        <v>0</v>
      </c>
      <c r="U293" s="70">
        <f>'RESUMEN TOTAL'!AH379</f>
        <v>0</v>
      </c>
      <c r="V293" s="70">
        <f>'RESUMEN TOTAL'!AI379</f>
        <v>0</v>
      </c>
      <c r="W293" s="70">
        <f>'RESUMEN TOTAL'!AJ379</f>
        <v>0</v>
      </c>
      <c r="X293" s="70">
        <f>'RESUMEN TOTAL'!AK379</f>
        <v>0</v>
      </c>
      <c r="Y293" s="70">
        <f>'RESUMEN TOTAL'!AL379</f>
        <v>0</v>
      </c>
      <c r="Z293" s="70">
        <f>'RESUMEN TOTAL'!AM379</f>
        <v>0</v>
      </c>
      <c r="AA293" s="70">
        <f>'RESUMEN TOTAL'!AN379</f>
        <v>0</v>
      </c>
      <c r="AB293" s="70">
        <f>'RESUMEN TOTAL'!AO379</f>
        <v>0</v>
      </c>
      <c r="AC293" s="70">
        <f>'RESUMEN TOTAL'!AP379</f>
        <v>0</v>
      </c>
      <c r="AD293" s="70">
        <f>'RESUMEN TOTAL'!AQ379</f>
        <v>0</v>
      </c>
      <c r="AE293" s="70">
        <f>'RESUMEN TOTAL'!AR379</f>
        <v>0</v>
      </c>
      <c r="AF293" s="70">
        <f>'RESUMEN TOTAL'!AS379</f>
        <v>0</v>
      </c>
      <c r="AG293" s="70">
        <f>'RESUMEN TOTAL'!AT379</f>
        <v>0</v>
      </c>
      <c r="AH293" s="70">
        <f>'RESUMEN TOTAL'!AU379</f>
        <v>0</v>
      </c>
      <c r="AI293" s="70">
        <f>'RESUMEN TOTAL'!AV379</f>
        <v>0</v>
      </c>
      <c r="AJ293" s="70" t="e">
        <f>'RESUMEN TOTAL'!#REF!</f>
        <v>#REF!</v>
      </c>
    </row>
    <row r="294" spans="1:36" x14ac:dyDescent="0.25">
      <c r="A294" t="str">
        <f>'RESUMEN TOTAL'!F380</f>
        <v>VILLA CIRIO</v>
      </c>
      <c r="B294" t="str">
        <f>'RESUMEN TOTAL'!G380</f>
        <v>SEDU03</v>
      </c>
      <c r="C294" t="str">
        <f>'RESUMEN TOTAL'!I380</f>
        <v>Av. San Martin y Las Americas</v>
      </c>
      <c r="D294" s="30" t="str">
        <f>'RESUMEN TOTAL'!J380</f>
        <v>Domo</v>
      </c>
      <c r="E294" s="30" t="str">
        <f>'RESUMEN TOTAL'!K380</f>
        <v>GPON</v>
      </c>
      <c r="F294" s="70">
        <f>'RESUMEN TOTAL'!S380</f>
        <v>0</v>
      </c>
      <c r="G294" s="70">
        <f>'RESUMEN TOTAL'!T380</f>
        <v>0</v>
      </c>
      <c r="H294" s="70">
        <f>'RESUMEN TOTAL'!U380</f>
        <v>0</v>
      </c>
      <c r="I294" s="70">
        <f>'RESUMEN TOTAL'!V380</f>
        <v>0</v>
      </c>
      <c r="J294" s="70">
        <f>'RESUMEN TOTAL'!W380</f>
        <v>0</v>
      </c>
      <c r="K294" s="70">
        <f>'RESUMEN TOTAL'!X380</f>
        <v>0</v>
      </c>
      <c r="L294" s="70">
        <f>'RESUMEN TOTAL'!Y380</f>
        <v>0</v>
      </c>
      <c r="M294" s="70">
        <f>'RESUMEN TOTAL'!Z380</f>
        <v>0</v>
      </c>
      <c r="N294" s="70">
        <f>'RESUMEN TOTAL'!AA380</f>
        <v>0</v>
      </c>
      <c r="O294" s="70">
        <f>'RESUMEN TOTAL'!AB380</f>
        <v>0</v>
      </c>
      <c r="P294" s="70">
        <f>'RESUMEN TOTAL'!AC380</f>
        <v>0</v>
      </c>
      <c r="Q294" s="70">
        <f>'RESUMEN TOTAL'!AD380</f>
        <v>0</v>
      </c>
      <c r="R294" s="70">
        <f>'RESUMEN TOTAL'!AE380</f>
        <v>0</v>
      </c>
      <c r="S294" s="70">
        <f>'RESUMEN TOTAL'!AF380</f>
        <v>0</v>
      </c>
      <c r="T294" s="70">
        <f>'RESUMEN TOTAL'!AG380</f>
        <v>0</v>
      </c>
      <c r="U294" s="70">
        <f>'RESUMEN TOTAL'!AH380</f>
        <v>0</v>
      </c>
      <c r="V294" s="70">
        <f>'RESUMEN TOTAL'!AI380</f>
        <v>0</v>
      </c>
      <c r="W294" s="70">
        <f>'RESUMEN TOTAL'!AJ380</f>
        <v>0</v>
      </c>
      <c r="X294" s="70">
        <f>'RESUMEN TOTAL'!AK380</f>
        <v>0</v>
      </c>
      <c r="Y294" s="70">
        <f>'RESUMEN TOTAL'!AL380</f>
        <v>0</v>
      </c>
      <c r="Z294" s="70">
        <f>'RESUMEN TOTAL'!AM380</f>
        <v>0</v>
      </c>
      <c r="AA294" s="70">
        <f>'RESUMEN TOTAL'!AN380</f>
        <v>0</v>
      </c>
      <c r="AB294" s="70">
        <f>'RESUMEN TOTAL'!AO380</f>
        <v>0</v>
      </c>
      <c r="AC294" s="70">
        <f>'RESUMEN TOTAL'!AP380</f>
        <v>0</v>
      </c>
      <c r="AD294" s="70">
        <f>'RESUMEN TOTAL'!AQ380</f>
        <v>0</v>
      </c>
      <c r="AE294" s="70">
        <f>'RESUMEN TOTAL'!AR380</f>
        <v>0</v>
      </c>
      <c r="AF294" s="70">
        <f>'RESUMEN TOTAL'!AS380</f>
        <v>0</v>
      </c>
      <c r="AG294" s="70">
        <f>'RESUMEN TOTAL'!AT380</f>
        <v>0</v>
      </c>
      <c r="AH294" s="70">
        <f>'RESUMEN TOTAL'!AU380</f>
        <v>0</v>
      </c>
      <c r="AI294" s="70">
        <f>'RESUMEN TOTAL'!AV380</f>
        <v>0</v>
      </c>
      <c r="AJ294" s="70" t="e">
        <f>'RESUMEN TOTAL'!#REF!</f>
        <v>#REF!</v>
      </c>
    </row>
    <row r="295" spans="1:36" x14ac:dyDescent="0.25">
      <c r="A295" t="str">
        <f>'RESUMEN TOTAL'!F382</f>
        <v>SAN EMILIO</v>
      </c>
      <c r="B295" t="str">
        <f>'RESUMEN TOTAL'!G382</f>
        <v>SEMI 02</v>
      </c>
      <c r="C295" t="str">
        <f>'RESUMEN TOTAL'!I382</f>
        <v>Cno. Gral. Belgrano y Francia</v>
      </c>
      <c r="D295" s="30" t="str">
        <f>'RESUMEN TOTAL'!J382</f>
        <v>Domo</v>
      </c>
      <c r="E295" s="30" t="str">
        <f>'RESUMEN TOTAL'!K382</f>
        <v>GPON</v>
      </c>
      <c r="F295" s="70">
        <f>'RESUMEN TOTAL'!S382</f>
        <v>0</v>
      </c>
      <c r="G295" s="70">
        <f>'RESUMEN TOTAL'!T382</f>
        <v>0</v>
      </c>
      <c r="H295" s="70">
        <f>'RESUMEN TOTAL'!U382</f>
        <v>0</v>
      </c>
      <c r="I295" s="70">
        <f>'RESUMEN TOTAL'!V382</f>
        <v>0</v>
      </c>
      <c r="J295" s="70">
        <f>'RESUMEN TOTAL'!W382</f>
        <v>0</v>
      </c>
      <c r="K295" s="70">
        <f>'RESUMEN TOTAL'!X382</f>
        <v>0</v>
      </c>
      <c r="L295" s="70">
        <f>'RESUMEN TOTAL'!Y382</f>
        <v>0</v>
      </c>
      <c r="M295" s="70">
        <f>'RESUMEN TOTAL'!Z382</f>
        <v>0</v>
      </c>
      <c r="N295" s="70">
        <f>'RESUMEN TOTAL'!AA382</f>
        <v>0</v>
      </c>
      <c r="O295" s="70">
        <f>'RESUMEN TOTAL'!AB382</f>
        <v>0</v>
      </c>
      <c r="P295" s="70">
        <f>'RESUMEN TOTAL'!AC382</f>
        <v>0</v>
      </c>
      <c r="Q295" s="70">
        <f>'RESUMEN TOTAL'!AD382</f>
        <v>0</v>
      </c>
      <c r="R295" s="70">
        <f>'RESUMEN TOTAL'!AE382</f>
        <v>0</v>
      </c>
      <c r="S295" s="70">
        <f>'RESUMEN TOTAL'!AF382</f>
        <v>0</v>
      </c>
      <c r="T295" s="70">
        <f>'RESUMEN TOTAL'!AG382</f>
        <v>0</v>
      </c>
      <c r="U295" s="70">
        <f>'RESUMEN TOTAL'!AH382</f>
        <v>0</v>
      </c>
      <c r="V295" s="70">
        <f>'RESUMEN TOTAL'!AI382</f>
        <v>0</v>
      </c>
      <c r="W295" s="70">
        <f>'RESUMEN TOTAL'!AJ382</f>
        <v>0</v>
      </c>
      <c r="X295" s="70">
        <f>'RESUMEN TOTAL'!AK382</f>
        <v>0</v>
      </c>
      <c r="Y295" s="70">
        <f>'RESUMEN TOTAL'!AL382</f>
        <v>0</v>
      </c>
      <c r="Z295" s="70">
        <f>'RESUMEN TOTAL'!AM382</f>
        <v>0</v>
      </c>
      <c r="AA295" s="70">
        <f>'RESUMEN TOTAL'!AN382</f>
        <v>0</v>
      </c>
      <c r="AB295" s="70">
        <f>'RESUMEN TOTAL'!AO382</f>
        <v>0</v>
      </c>
      <c r="AC295" s="70">
        <f>'RESUMEN TOTAL'!AP382</f>
        <v>0</v>
      </c>
      <c r="AD295" s="70">
        <f>'RESUMEN TOTAL'!AQ382</f>
        <v>0</v>
      </c>
      <c r="AE295" s="70">
        <f>'RESUMEN TOTAL'!AR382</f>
        <v>0</v>
      </c>
      <c r="AF295" s="70">
        <f>'RESUMEN TOTAL'!AS382</f>
        <v>0</v>
      </c>
      <c r="AG295" s="70">
        <f>'RESUMEN TOTAL'!AT382</f>
        <v>0</v>
      </c>
      <c r="AH295" s="70">
        <f>'RESUMEN TOTAL'!AU382</f>
        <v>0</v>
      </c>
      <c r="AI295" s="70">
        <f>'RESUMEN TOTAL'!AV382</f>
        <v>0</v>
      </c>
      <c r="AJ295" s="70" t="e">
        <f>'RESUMEN TOTAL'!#REF!</f>
        <v>#REF!</v>
      </c>
    </row>
    <row r="296" spans="1:36" x14ac:dyDescent="0.25">
      <c r="A296" t="str">
        <f>'RESUMEN TOTAL'!F383</f>
        <v>SAN EMILIO</v>
      </c>
      <c r="B296" t="str">
        <f>'RESUMEN TOTAL'!G383</f>
        <v>SEMI01</v>
      </c>
      <c r="C296" t="str">
        <f>'RESUMEN TOTAL'!I383</f>
        <v>San Martin y Av. del Trabajo</v>
      </c>
      <c r="D296" s="30" t="str">
        <f>'RESUMEN TOTAL'!J383</f>
        <v>Domo</v>
      </c>
      <c r="E296" s="30" t="str">
        <f>'RESUMEN TOTAL'!K383</f>
        <v>Fibra Optica</v>
      </c>
      <c r="F296" s="70">
        <f>'RESUMEN TOTAL'!S383</f>
        <v>0</v>
      </c>
      <c r="G296" s="70">
        <f>'RESUMEN TOTAL'!T383</f>
        <v>0</v>
      </c>
      <c r="H296" s="70">
        <f>'RESUMEN TOTAL'!U383</f>
        <v>0</v>
      </c>
      <c r="I296" s="70">
        <f>'RESUMEN TOTAL'!V383</f>
        <v>0</v>
      </c>
      <c r="J296" s="70">
        <f>'RESUMEN TOTAL'!W383</f>
        <v>0</v>
      </c>
      <c r="K296" s="70">
        <f>'RESUMEN TOTAL'!X383</f>
        <v>0</v>
      </c>
      <c r="L296" s="70">
        <f>'RESUMEN TOTAL'!Y383</f>
        <v>0</v>
      </c>
      <c r="M296" s="70">
        <f>'RESUMEN TOTAL'!Z383</f>
        <v>0</v>
      </c>
      <c r="N296" s="70">
        <f>'RESUMEN TOTAL'!AA383</f>
        <v>0</v>
      </c>
      <c r="O296" s="70">
        <f>'RESUMEN TOTAL'!AB383</f>
        <v>0</v>
      </c>
      <c r="P296" s="70">
        <f>'RESUMEN TOTAL'!AC383</f>
        <v>0</v>
      </c>
      <c r="Q296" s="70">
        <f>'RESUMEN TOTAL'!AD383</f>
        <v>0</v>
      </c>
      <c r="R296" s="70">
        <f>'RESUMEN TOTAL'!AE383</f>
        <v>0</v>
      </c>
      <c r="S296" s="70">
        <f>'RESUMEN TOTAL'!AF383</f>
        <v>0</v>
      </c>
      <c r="T296" s="70">
        <f>'RESUMEN TOTAL'!AG383</f>
        <v>0</v>
      </c>
      <c r="U296" s="70">
        <f>'RESUMEN TOTAL'!AH383</f>
        <v>0</v>
      </c>
      <c r="V296" s="70">
        <f>'RESUMEN TOTAL'!AI383</f>
        <v>0</v>
      </c>
      <c r="W296" s="70">
        <f>'RESUMEN TOTAL'!AJ383</f>
        <v>0</v>
      </c>
      <c r="X296" s="70">
        <f>'RESUMEN TOTAL'!AK383</f>
        <v>0</v>
      </c>
      <c r="Y296" s="70">
        <f>'RESUMEN TOTAL'!AL383</f>
        <v>0</v>
      </c>
      <c r="Z296" s="70">
        <f>'RESUMEN TOTAL'!AM383</f>
        <v>0</v>
      </c>
      <c r="AA296" s="70">
        <f>'RESUMEN TOTAL'!AN383</f>
        <v>0</v>
      </c>
      <c r="AB296" s="70">
        <f>'RESUMEN TOTAL'!AO383</f>
        <v>0</v>
      </c>
      <c r="AC296" s="70">
        <f>'RESUMEN TOTAL'!AP383</f>
        <v>0</v>
      </c>
      <c r="AD296" s="70">
        <f>'RESUMEN TOTAL'!AQ383</f>
        <v>0</v>
      </c>
      <c r="AE296" s="70">
        <f>'RESUMEN TOTAL'!AR383</f>
        <v>0</v>
      </c>
      <c r="AF296" s="70">
        <f>'RESUMEN TOTAL'!AS383</f>
        <v>0</v>
      </c>
      <c r="AG296" s="70">
        <f>'RESUMEN TOTAL'!AT383</f>
        <v>0</v>
      </c>
      <c r="AH296" s="70">
        <f>'RESUMEN TOTAL'!AU383</f>
        <v>0</v>
      </c>
      <c r="AI296" s="70">
        <f>'RESUMEN TOTAL'!AV383</f>
        <v>0</v>
      </c>
      <c r="AJ296" s="70" t="e">
        <f>'RESUMEN TOTAL'!#REF!</f>
        <v>#REF!</v>
      </c>
    </row>
    <row r="297" spans="1:36" x14ac:dyDescent="0.25">
      <c r="A297" t="str">
        <f>'RESUMEN TOTAL'!F384</f>
        <v>SAN EMILIO</v>
      </c>
      <c r="B297" t="str">
        <f>'RESUMEN TOTAL'!G384</f>
        <v>SEMI03 (fija 1)</v>
      </c>
      <c r="C297" t="str">
        <f>'RESUMEN TOTAL'!I384</f>
        <v>GORRITI E/ GALARZA Y LOPE DE VEGA</v>
      </c>
      <c r="D297" s="30" t="str">
        <f>'RESUMEN TOTAL'!J384</f>
        <v>Fija</v>
      </c>
      <c r="E297" s="30" t="str">
        <f>'RESUMEN TOTAL'!K384</f>
        <v>Fibra Optica</v>
      </c>
      <c r="F297" s="70">
        <f>'RESUMEN TOTAL'!S384</f>
        <v>0</v>
      </c>
      <c r="G297" s="70">
        <f>'RESUMEN TOTAL'!T384</f>
        <v>0</v>
      </c>
      <c r="H297" s="70">
        <f>'RESUMEN TOTAL'!U384</f>
        <v>0</v>
      </c>
      <c r="I297" s="70">
        <f>'RESUMEN TOTAL'!V384</f>
        <v>0</v>
      </c>
      <c r="J297" s="70">
        <f>'RESUMEN TOTAL'!W384</f>
        <v>0</v>
      </c>
      <c r="K297" s="70">
        <f>'RESUMEN TOTAL'!X384</f>
        <v>0</v>
      </c>
      <c r="L297" s="70">
        <f>'RESUMEN TOTAL'!Y384</f>
        <v>0</v>
      </c>
      <c r="M297" s="70">
        <f>'RESUMEN TOTAL'!Z384</f>
        <v>0</v>
      </c>
      <c r="N297" s="70">
        <f>'RESUMEN TOTAL'!AA384</f>
        <v>0</v>
      </c>
      <c r="O297" s="70">
        <f>'RESUMEN TOTAL'!AB384</f>
        <v>0</v>
      </c>
      <c r="P297" s="70">
        <f>'RESUMEN TOTAL'!AC384</f>
        <v>0</v>
      </c>
      <c r="Q297" s="70">
        <f>'RESUMEN TOTAL'!AD384</f>
        <v>0</v>
      </c>
      <c r="R297" s="70">
        <f>'RESUMEN TOTAL'!AE384</f>
        <v>0</v>
      </c>
      <c r="S297" s="70">
        <f>'RESUMEN TOTAL'!AF384</f>
        <v>0</v>
      </c>
      <c r="T297" s="70">
        <f>'RESUMEN TOTAL'!AG384</f>
        <v>0</v>
      </c>
      <c r="U297" s="70">
        <f>'RESUMEN TOTAL'!AH384</f>
        <v>0</v>
      </c>
      <c r="V297" s="70">
        <f>'RESUMEN TOTAL'!AI384</f>
        <v>0</v>
      </c>
      <c r="W297" s="70">
        <f>'RESUMEN TOTAL'!AJ384</f>
        <v>0</v>
      </c>
      <c r="X297" s="70">
        <f>'RESUMEN TOTAL'!AK384</f>
        <v>0</v>
      </c>
      <c r="Y297" s="70">
        <f>'RESUMEN TOTAL'!AL384</f>
        <v>0</v>
      </c>
      <c r="Z297" s="70">
        <f>'RESUMEN TOTAL'!AM384</f>
        <v>0</v>
      </c>
      <c r="AA297" s="70">
        <f>'RESUMEN TOTAL'!AN384</f>
        <v>0</v>
      </c>
      <c r="AB297" s="70">
        <f>'RESUMEN TOTAL'!AO384</f>
        <v>0</v>
      </c>
      <c r="AC297" s="70">
        <f>'RESUMEN TOTAL'!AP384</f>
        <v>0</v>
      </c>
      <c r="AD297" s="70">
        <f>'RESUMEN TOTAL'!AQ384</f>
        <v>0</v>
      </c>
      <c r="AE297" s="70">
        <f>'RESUMEN TOTAL'!AR384</f>
        <v>0</v>
      </c>
      <c r="AF297" s="70">
        <f>'RESUMEN TOTAL'!AS384</f>
        <v>0</v>
      </c>
      <c r="AG297" s="70">
        <f>'RESUMEN TOTAL'!AT384</f>
        <v>0</v>
      </c>
      <c r="AH297" s="70">
        <f>'RESUMEN TOTAL'!AU384</f>
        <v>0</v>
      </c>
      <c r="AI297" s="70">
        <f>'RESUMEN TOTAL'!AV384</f>
        <v>0</v>
      </c>
      <c r="AJ297" s="70" t="e">
        <f>'RESUMEN TOTAL'!#REF!</f>
        <v>#REF!</v>
      </c>
    </row>
    <row r="298" spans="1:36" x14ac:dyDescent="0.25">
      <c r="A298" t="str">
        <f>'RESUMEN TOTAL'!F385</f>
        <v>SAN EMILIO</v>
      </c>
      <c r="B298" t="str">
        <f>'RESUMEN TOTAL'!G385</f>
        <v>SEMI04 (fija 2)</v>
      </c>
      <c r="C298" t="str">
        <f>'RESUMEN TOTAL'!I385</f>
        <v>GORRITI E/ GALARZA Y LOPE DE VEGA</v>
      </c>
      <c r="D298" s="30" t="str">
        <f>'RESUMEN TOTAL'!J385</f>
        <v>Fija</v>
      </c>
      <c r="E298" s="30" t="str">
        <f>'RESUMEN TOTAL'!K385</f>
        <v>Fibra Optica</v>
      </c>
      <c r="F298" s="70">
        <f>'RESUMEN TOTAL'!S385</f>
        <v>0</v>
      </c>
      <c r="G298" s="70">
        <f>'RESUMEN TOTAL'!T385</f>
        <v>0</v>
      </c>
      <c r="H298" s="70">
        <f>'RESUMEN TOTAL'!U385</f>
        <v>0</v>
      </c>
      <c r="I298" s="70">
        <f>'RESUMEN TOTAL'!V385</f>
        <v>0</v>
      </c>
      <c r="J298" s="70">
        <f>'RESUMEN TOTAL'!W385</f>
        <v>0</v>
      </c>
      <c r="K298" s="70">
        <f>'RESUMEN TOTAL'!X385</f>
        <v>0</v>
      </c>
      <c r="L298" s="70">
        <f>'RESUMEN TOTAL'!Y385</f>
        <v>0</v>
      </c>
      <c r="M298" s="70">
        <f>'RESUMEN TOTAL'!Z385</f>
        <v>0</v>
      </c>
      <c r="N298" s="70">
        <f>'RESUMEN TOTAL'!AA385</f>
        <v>0</v>
      </c>
      <c r="O298" s="70">
        <f>'RESUMEN TOTAL'!AB385</f>
        <v>0</v>
      </c>
      <c r="P298" s="70">
        <f>'RESUMEN TOTAL'!AC385</f>
        <v>0</v>
      </c>
      <c r="Q298" s="70">
        <f>'RESUMEN TOTAL'!AD385</f>
        <v>0</v>
      </c>
      <c r="R298" s="70">
        <f>'RESUMEN TOTAL'!AE385</f>
        <v>0</v>
      </c>
      <c r="S298" s="70">
        <f>'RESUMEN TOTAL'!AF385</f>
        <v>0</v>
      </c>
      <c r="T298" s="70">
        <f>'RESUMEN TOTAL'!AG385</f>
        <v>0</v>
      </c>
      <c r="U298" s="70">
        <f>'RESUMEN TOTAL'!AH385</f>
        <v>0</v>
      </c>
      <c r="V298" s="70">
        <f>'RESUMEN TOTAL'!AI385</f>
        <v>0</v>
      </c>
      <c r="W298" s="70">
        <f>'RESUMEN TOTAL'!AJ385</f>
        <v>0</v>
      </c>
      <c r="X298" s="70">
        <f>'RESUMEN TOTAL'!AK385</f>
        <v>0</v>
      </c>
      <c r="Y298" s="70">
        <f>'RESUMEN TOTAL'!AL385</f>
        <v>0</v>
      </c>
      <c r="Z298" s="70">
        <f>'RESUMEN TOTAL'!AM385</f>
        <v>0</v>
      </c>
      <c r="AA298" s="70">
        <f>'RESUMEN TOTAL'!AN385</f>
        <v>0</v>
      </c>
      <c r="AB298" s="70">
        <f>'RESUMEN TOTAL'!AO385</f>
        <v>0</v>
      </c>
      <c r="AC298" s="70">
        <f>'RESUMEN TOTAL'!AP385</f>
        <v>0</v>
      </c>
      <c r="AD298" s="70">
        <f>'RESUMEN TOTAL'!AQ385</f>
        <v>0</v>
      </c>
      <c r="AE298" s="70">
        <f>'RESUMEN TOTAL'!AR385</f>
        <v>0</v>
      </c>
      <c r="AF298" s="70">
        <f>'RESUMEN TOTAL'!AS385</f>
        <v>0</v>
      </c>
      <c r="AG298" s="70">
        <f>'RESUMEN TOTAL'!AT385</f>
        <v>0</v>
      </c>
      <c r="AH298" s="70">
        <f>'RESUMEN TOTAL'!AU385</f>
        <v>0</v>
      </c>
      <c r="AI298" s="70">
        <f>'RESUMEN TOTAL'!AV385</f>
        <v>0</v>
      </c>
      <c r="AJ298" s="70" t="e">
        <f>'RESUMEN TOTAL'!#REF!</f>
        <v>#REF!</v>
      </c>
    </row>
    <row r="299" spans="1:36" x14ac:dyDescent="0.25">
      <c r="A299" t="str">
        <f>'RESUMEN TOTAL'!F386</f>
        <v>SAN EMILIO</v>
      </c>
      <c r="B299" t="str">
        <f>'RESUMEN TOTAL'!G386</f>
        <v xml:space="preserve">SEMI05 </v>
      </c>
      <c r="C299" t="str">
        <f>'RESUMEN TOTAL'!I386</f>
        <v xml:space="preserve">Av Del Trabajo y Carlos Gardel </v>
      </c>
      <c r="D299" s="30" t="str">
        <f>'RESUMEN TOTAL'!J386</f>
        <v>DOMO</v>
      </c>
      <c r="E299" s="30" t="str">
        <f>'RESUMEN TOTAL'!K386</f>
        <v>PTO A FO</v>
      </c>
      <c r="F299" s="70">
        <f>'RESUMEN TOTAL'!S386</f>
        <v>0</v>
      </c>
      <c r="G299" s="70">
        <f>'RESUMEN TOTAL'!T386</f>
        <v>0</v>
      </c>
      <c r="H299" s="70">
        <f>'RESUMEN TOTAL'!U386</f>
        <v>0</v>
      </c>
      <c r="I299" s="70">
        <f>'RESUMEN TOTAL'!V386</f>
        <v>0</v>
      </c>
      <c r="J299" s="70">
        <f>'RESUMEN TOTAL'!W386</f>
        <v>0</v>
      </c>
      <c r="K299" s="70">
        <f>'RESUMEN TOTAL'!X386</f>
        <v>0</v>
      </c>
      <c r="L299" s="70">
        <f>'RESUMEN TOTAL'!Y386</f>
        <v>0</v>
      </c>
      <c r="M299" s="70">
        <f>'RESUMEN TOTAL'!Z386</f>
        <v>0</v>
      </c>
      <c r="N299" s="70">
        <f>'RESUMEN TOTAL'!AA386</f>
        <v>0</v>
      </c>
      <c r="O299" s="70">
        <f>'RESUMEN TOTAL'!AB386</f>
        <v>0</v>
      </c>
      <c r="P299" s="70">
        <f>'RESUMEN TOTAL'!AC386</f>
        <v>0</v>
      </c>
      <c r="Q299" s="70">
        <f>'RESUMEN TOTAL'!AD386</f>
        <v>0</v>
      </c>
      <c r="R299" s="70">
        <f>'RESUMEN TOTAL'!AE386</f>
        <v>0</v>
      </c>
      <c r="S299" s="70">
        <f>'RESUMEN TOTAL'!AF386</f>
        <v>0</v>
      </c>
      <c r="T299" s="70">
        <f>'RESUMEN TOTAL'!AG386</f>
        <v>0</v>
      </c>
      <c r="U299" s="70">
        <f>'RESUMEN TOTAL'!AH386</f>
        <v>0</v>
      </c>
      <c r="V299" s="70">
        <f>'RESUMEN TOTAL'!AI386</f>
        <v>0</v>
      </c>
      <c r="W299" s="70">
        <f>'RESUMEN TOTAL'!AJ386</f>
        <v>0</v>
      </c>
      <c r="X299" s="70">
        <f>'RESUMEN TOTAL'!AK386</f>
        <v>0</v>
      </c>
      <c r="Y299" s="70">
        <f>'RESUMEN TOTAL'!AL386</f>
        <v>0</v>
      </c>
      <c r="Z299" s="70">
        <f>'RESUMEN TOTAL'!AM386</f>
        <v>0</v>
      </c>
      <c r="AA299" s="70">
        <f>'RESUMEN TOTAL'!AN386</f>
        <v>0</v>
      </c>
      <c r="AB299" s="70">
        <f>'RESUMEN TOTAL'!AO386</f>
        <v>0</v>
      </c>
      <c r="AC299" s="70">
        <f>'RESUMEN TOTAL'!AP386</f>
        <v>0</v>
      </c>
      <c r="AD299" s="70">
        <f>'RESUMEN TOTAL'!AQ386</f>
        <v>0</v>
      </c>
      <c r="AE299" s="70">
        <f>'RESUMEN TOTAL'!AR386</f>
        <v>0</v>
      </c>
      <c r="AF299" s="70">
        <f>'RESUMEN TOTAL'!AS386</f>
        <v>0</v>
      </c>
      <c r="AG299" s="70">
        <f>'RESUMEN TOTAL'!AT386</f>
        <v>0</v>
      </c>
      <c r="AH299" s="70">
        <f>'RESUMEN TOTAL'!AU386</f>
        <v>0</v>
      </c>
      <c r="AI299" s="70">
        <f>'RESUMEN TOTAL'!AV386</f>
        <v>0</v>
      </c>
      <c r="AJ299" s="70" t="e">
        <f>'RESUMEN TOTAL'!#REF!</f>
        <v>#REF!</v>
      </c>
    </row>
    <row r="300" spans="1:36" x14ac:dyDescent="0.25">
      <c r="A300" t="str">
        <f>'RESUMEN TOTAL'!F387</f>
        <v>SAN EDUARDO</v>
      </c>
      <c r="B300" t="str">
        <f>'RESUMEN TOTAL'!G387</f>
        <v>SIR 02</v>
      </c>
      <c r="C300" t="str">
        <f>'RESUMEN TOTAL'!I387</f>
        <v>Victorino de la Plaza y Argentina</v>
      </c>
      <c r="D300" s="30" t="str">
        <f>'RESUMEN TOTAL'!J387</f>
        <v>Domo</v>
      </c>
      <c r="E300" s="30" t="str">
        <f>'RESUMEN TOTAL'!K387</f>
        <v>GPON</v>
      </c>
      <c r="F300" s="70">
        <f>'RESUMEN TOTAL'!S387</f>
        <v>0</v>
      </c>
      <c r="G300" s="70">
        <f>'RESUMEN TOTAL'!T387</f>
        <v>0</v>
      </c>
      <c r="H300" s="70">
        <f>'RESUMEN TOTAL'!U387</f>
        <v>0</v>
      </c>
      <c r="I300" s="70" t="str">
        <f>'RESUMEN TOTAL'!V387</f>
        <v>APAGADO</v>
      </c>
      <c r="J300" s="70" t="str">
        <f>'RESUMEN TOTAL'!W387</f>
        <v>APAGADO</v>
      </c>
      <c r="K300" s="70" t="str">
        <f>'RESUMEN TOTAL'!X387</f>
        <v>APAGADO</v>
      </c>
      <c r="L300" s="70">
        <f>'RESUMEN TOTAL'!Y387</f>
        <v>0</v>
      </c>
      <c r="M300" s="70">
        <f>'RESUMEN TOTAL'!Z387</f>
        <v>0</v>
      </c>
      <c r="N300" s="70">
        <f>'RESUMEN TOTAL'!AA387</f>
        <v>0</v>
      </c>
      <c r="O300" s="70">
        <f>'RESUMEN TOTAL'!AB387</f>
        <v>0</v>
      </c>
      <c r="P300" s="70" t="str">
        <f>'RESUMEN TOTAL'!AC387</f>
        <v>APAGADO</v>
      </c>
      <c r="Q300" s="70" t="str">
        <f>'RESUMEN TOTAL'!AD387</f>
        <v>APAGADO</v>
      </c>
      <c r="R300" s="70" t="str">
        <f>'RESUMEN TOTAL'!AE387</f>
        <v>APAGADO</v>
      </c>
      <c r="S300" s="70" t="str">
        <f>'RESUMEN TOTAL'!AF387</f>
        <v>APAGADO</v>
      </c>
      <c r="T300" s="70" t="str">
        <f>'RESUMEN TOTAL'!AG387</f>
        <v>APAGADO</v>
      </c>
      <c r="U300" s="70">
        <f>'RESUMEN TOTAL'!AH387</f>
        <v>0</v>
      </c>
      <c r="V300" s="70">
        <f>'RESUMEN TOTAL'!AI387</f>
        <v>0</v>
      </c>
      <c r="W300" s="70">
        <f>'RESUMEN TOTAL'!AJ387</f>
        <v>0</v>
      </c>
      <c r="X300" s="70">
        <f>'RESUMEN TOTAL'!AK387</f>
        <v>0</v>
      </c>
      <c r="Y300" s="70">
        <f>'RESUMEN TOTAL'!AL387</f>
        <v>0</v>
      </c>
      <c r="Z300" s="70">
        <f>'RESUMEN TOTAL'!AM387</f>
        <v>0</v>
      </c>
      <c r="AA300" s="70">
        <f>'RESUMEN TOTAL'!AN387</f>
        <v>0</v>
      </c>
      <c r="AB300" s="70">
        <f>'RESUMEN TOTAL'!AO387</f>
        <v>0</v>
      </c>
      <c r="AC300" s="70">
        <f>'RESUMEN TOTAL'!AP387</f>
        <v>0</v>
      </c>
      <c r="AD300" s="70">
        <f>'RESUMEN TOTAL'!AQ387</f>
        <v>0</v>
      </c>
      <c r="AE300" s="70">
        <f>'RESUMEN TOTAL'!AR387</f>
        <v>0</v>
      </c>
      <c r="AF300" s="70">
        <f>'RESUMEN TOTAL'!AS387</f>
        <v>0</v>
      </c>
      <c r="AG300" s="70">
        <f>'RESUMEN TOTAL'!AT387</f>
        <v>0</v>
      </c>
      <c r="AH300" s="70">
        <f>'RESUMEN TOTAL'!AU387</f>
        <v>0</v>
      </c>
      <c r="AI300" s="70">
        <f>'RESUMEN TOTAL'!AV387</f>
        <v>0</v>
      </c>
      <c r="AJ300" s="70" t="e">
        <f>'RESUMEN TOTAL'!#REF!</f>
        <v>#REF!</v>
      </c>
    </row>
    <row r="301" spans="1:36" x14ac:dyDescent="0.25">
      <c r="A301" t="str">
        <f>'RESUMEN TOTAL'!F388</f>
        <v>SAN EDUARDO</v>
      </c>
      <c r="B301" t="str">
        <f>'RESUMEN TOTAL'!G388</f>
        <v>SIR 03</v>
      </c>
      <c r="C301" t="str">
        <f>'RESUMEN TOTAL'!I388</f>
        <v>MONTES Y LONARDI</v>
      </c>
      <c r="D301" s="30" t="str">
        <f>'RESUMEN TOTAL'!J388</f>
        <v>DOMO</v>
      </c>
      <c r="E301" s="30" t="str">
        <f>'RESUMEN TOTAL'!K388</f>
        <v>Fibra Optica</v>
      </c>
      <c r="F301" s="70">
        <f>'RESUMEN TOTAL'!S388</f>
        <v>0</v>
      </c>
      <c r="G301" s="70">
        <f>'RESUMEN TOTAL'!T388</f>
        <v>0</v>
      </c>
      <c r="H301" s="70">
        <f>'RESUMEN TOTAL'!U388</f>
        <v>0</v>
      </c>
      <c r="I301" s="70">
        <f>'RESUMEN TOTAL'!V388</f>
        <v>0</v>
      </c>
      <c r="J301" s="70">
        <f>'RESUMEN TOTAL'!W388</f>
        <v>0</v>
      </c>
      <c r="K301" s="70" t="str">
        <f>'RESUMEN TOTAL'!X388</f>
        <v>APAGADO</v>
      </c>
      <c r="L301" s="70" t="str">
        <f>'RESUMEN TOTAL'!Y388</f>
        <v>APAGADO</v>
      </c>
      <c r="M301" s="70" t="str">
        <f>'RESUMEN TOTAL'!Z388</f>
        <v>APAGADO</v>
      </c>
      <c r="N301" s="70">
        <f>'RESUMEN TOTAL'!AA388</f>
        <v>0</v>
      </c>
      <c r="O301" s="70">
        <f>'RESUMEN TOTAL'!AB388</f>
        <v>0</v>
      </c>
      <c r="P301" s="70" t="str">
        <f>'RESUMEN TOTAL'!AC388</f>
        <v>APAGADO</v>
      </c>
      <c r="Q301" s="70" t="str">
        <f>'RESUMEN TOTAL'!AD388</f>
        <v>APAGADO</v>
      </c>
      <c r="R301" s="70" t="str">
        <f>'RESUMEN TOTAL'!AE388</f>
        <v>APAGADO</v>
      </c>
      <c r="S301" s="70" t="str">
        <f>'RESUMEN TOTAL'!AF388</f>
        <v>APAGADO</v>
      </c>
      <c r="T301" s="70" t="str">
        <f>'RESUMEN TOTAL'!AG388</f>
        <v>APAGADO</v>
      </c>
      <c r="U301" s="70">
        <f>'RESUMEN TOTAL'!AH388</f>
        <v>0</v>
      </c>
      <c r="V301" s="70">
        <f>'RESUMEN TOTAL'!AI388</f>
        <v>0</v>
      </c>
      <c r="W301" s="70" t="str">
        <f>'RESUMEN TOTAL'!AJ388</f>
        <v>APAGADO</v>
      </c>
      <c r="X301" s="70" t="str">
        <f>'RESUMEN TOTAL'!AK388</f>
        <v>APAGADO</v>
      </c>
      <c r="Y301" s="70">
        <f>'RESUMEN TOTAL'!AL388</f>
        <v>0</v>
      </c>
      <c r="Z301" s="70">
        <f>'RESUMEN TOTAL'!AM388</f>
        <v>0</v>
      </c>
      <c r="AA301" s="70">
        <f>'RESUMEN TOTAL'!AN388</f>
        <v>0</v>
      </c>
      <c r="AB301" s="70">
        <f>'RESUMEN TOTAL'!AO388</f>
        <v>0</v>
      </c>
      <c r="AC301" s="70">
        <f>'RESUMEN TOTAL'!AP388</f>
        <v>0</v>
      </c>
      <c r="AD301" s="70">
        <f>'RESUMEN TOTAL'!AQ388</f>
        <v>0</v>
      </c>
      <c r="AE301" s="70">
        <f>'RESUMEN TOTAL'!AR388</f>
        <v>0</v>
      </c>
      <c r="AF301" s="70">
        <f>'RESUMEN TOTAL'!AS388</f>
        <v>0</v>
      </c>
      <c r="AG301" s="70">
        <f>'RESUMEN TOTAL'!AT388</f>
        <v>0</v>
      </c>
      <c r="AH301" s="70">
        <f>'RESUMEN TOTAL'!AU388</f>
        <v>0</v>
      </c>
      <c r="AI301" s="70">
        <f>'RESUMEN TOTAL'!AV388</f>
        <v>0</v>
      </c>
      <c r="AJ301" s="70" t="e">
        <f>'RESUMEN TOTAL'!#REF!</f>
        <v>#REF!</v>
      </c>
    </row>
    <row r="302" spans="1:36" x14ac:dyDescent="0.25">
      <c r="A302" t="str">
        <f>'RESUMEN TOTAL'!F389</f>
        <v>LA SIRENA</v>
      </c>
      <c r="B302" t="str">
        <f>'RESUMEN TOTAL'!G389</f>
        <v>SIR 04</v>
      </c>
      <c r="C302" t="str">
        <f>'RESUMEN TOTAL'!I389</f>
        <v>AV. MONTEVERDE Y MORAN</v>
      </c>
      <c r="D302" s="30" t="str">
        <f>'RESUMEN TOTAL'!J389</f>
        <v>Domo</v>
      </c>
      <c r="E302" s="30" t="str">
        <f>'RESUMEN TOTAL'!K389</f>
        <v>Fibra Optica</v>
      </c>
      <c r="F302" s="70">
        <f>'RESUMEN TOTAL'!S389</f>
        <v>0</v>
      </c>
      <c r="G302" s="70">
        <f>'RESUMEN TOTAL'!T389</f>
        <v>0</v>
      </c>
      <c r="H302" s="70">
        <f>'RESUMEN TOTAL'!U389</f>
        <v>0</v>
      </c>
      <c r="I302" s="70">
        <f>'RESUMEN TOTAL'!V389</f>
        <v>0</v>
      </c>
      <c r="J302" s="70">
        <f>'RESUMEN TOTAL'!W389</f>
        <v>0</v>
      </c>
      <c r="K302" s="70">
        <f>'RESUMEN TOTAL'!X389</f>
        <v>0</v>
      </c>
      <c r="L302" s="70">
        <f>'RESUMEN TOTAL'!Y389</f>
        <v>0</v>
      </c>
      <c r="M302" s="70">
        <f>'RESUMEN TOTAL'!Z389</f>
        <v>0</v>
      </c>
      <c r="N302" s="70">
        <f>'RESUMEN TOTAL'!AA389</f>
        <v>0</v>
      </c>
      <c r="O302" s="70">
        <f>'RESUMEN TOTAL'!AB389</f>
        <v>0</v>
      </c>
      <c r="P302" s="70">
        <f>'RESUMEN TOTAL'!AC389</f>
        <v>0</v>
      </c>
      <c r="Q302" s="70">
        <f>'RESUMEN TOTAL'!AD389</f>
        <v>0</v>
      </c>
      <c r="R302" s="70">
        <f>'RESUMEN TOTAL'!AE389</f>
        <v>0</v>
      </c>
      <c r="S302" s="70">
        <f>'RESUMEN TOTAL'!AF389</f>
        <v>0</v>
      </c>
      <c r="T302" s="70">
        <f>'RESUMEN TOTAL'!AG389</f>
        <v>0</v>
      </c>
      <c r="U302" s="70">
        <f>'RESUMEN TOTAL'!AH389</f>
        <v>0</v>
      </c>
      <c r="V302" s="70">
        <f>'RESUMEN TOTAL'!AI389</f>
        <v>0</v>
      </c>
      <c r="W302" s="70">
        <f>'RESUMEN TOTAL'!AJ389</f>
        <v>0</v>
      </c>
      <c r="X302" s="70">
        <f>'RESUMEN TOTAL'!AK389</f>
        <v>0</v>
      </c>
      <c r="Y302" s="70">
        <f>'RESUMEN TOTAL'!AL389</f>
        <v>0</v>
      </c>
      <c r="Z302" s="70">
        <f>'RESUMEN TOTAL'!AM389</f>
        <v>0</v>
      </c>
      <c r="AA302" s="70">
        <f>'RESUMEN TOTAL'!AN389</f>
        <v>0</v>
      </c>
      <c r="AB302" s="70">
        <f>'RESUMEN TOTAL'!AO389</f>
        <v>0</v>
      </c>
      <c r="AC302" s="70">
        <f>'RESUMEN TOTAL'!AP389</f>
        <v>0</v>
      </c>
      <c r="AD302" s="70">
        <f>'RESUMEN TOTAL'!AQ389</f>
        <v>0</v>
      </c>
      <c r="AE302" s="70">
        <f>'RESUMEN TOTAL'!AR389</f>
        <v>0</v>
      </c>
      <c r="AF302" s="70">
        <f>'RESUMEN TOTAL'!AS389</f>
        <v>0</v>
      </c>
      <c r="AG302" s="70">
        <f>'RESUMEN TOTAL'!AT389</f>
        <v>0</v>
      </c>
      <c r="AH302" s="70">
        <f>'RESUMEN TOTAL'!AU389</f>
        <v>0</v>
      </c>
      <c r="AI302" s="70">
        <f>'RESUMEN TOTAL'!AV389</f>
        <v>0</v>
      </c>
      <c r="AJ302" s="70" t="e">
        <f>'RESUMEN TOTAL'!#REF!</f>
        <v>#REF!</v>
      </c>
    </row>
    <row r="303" spans="1:36" x14ac:dyDescent="0.25">
      <c r="A303" t="str">
        <f>'RESUMEN TOTAL'!F390</f>
        <v>LA SIRENA</v>
      </c>
      <c r="B303" t="str">
        <f>'RESUMEN TOTAL'!G390</f>
        <v>SIR 05 (FIJA 01)</v>
      </c>
      <c r="C303" t="str">
        <f>'RESUMEN TOTAL'!I390</f>
        <v>AV. MONTEVERDE Y MORAN</v>
      </c>
      <c r="D303" s="30" t="str">
        <f>'RESUMEN TOTAL'!J390</f>
        <v>Fija</v>
      </c>
      <c r="E303" s="30" t="str">
        <f>'RESUMEN TOTAL'!K390</f>
        <v>Fibra Optica</v>
      </c>
      <c r="F303" s="70">
        <f>'RESUMEN TOTAL'!S390</f>
        <v>0</v>
      </c>
      <c r="G303" s="70">
        <f>'RESUMEN TOTAL'!T390</f>
        <v>0</v>
      </c>
      <c r="H303" s="70">
        <f>'RESUMEN TOTAL'!U390</f>
        <v>0</v>
      </c>
      <c r="I303" s="70">
        <f>'RESUMEN TOTAL'!V390</f>
        <v>0</v>
      </c>
      <c r="J303" s="70">
        <f>'RESUMEN TOTAL'!W390</f>
        <v>0</v>
      </c>
      <c r="K303" s="70">
        <f>'RESUMEN TOTAL'!X390</f>
        <v>0</v>
      </c>
      <c r="L303" s="70">
        <f>'RESUMEN TOTAL'!Y390</f>
        <v>0</v>
      </c>
      <c r="M303" s="70">
        <f>'RESUMEN TOTAL'!Z390</f>
        <v>0</v>
      </c>
      <c r="N303" s="70">
        <f>'RESUMEN TOTAL'!AA390</f>
        <v>0</v>
      </c>
      <c r="O303" s="70">
        <f>'RESUMEN TOTAL'!AB390</f>
        <v>0</v>
      </c>
      <c r="P303" s="70">
        <f>'RESUMEN TOTAL'!AC390</f>
        <v>0</v>
      </c>
      <c r="Q303" s="70">
        <f>'RESUMEN TOTAL'!AD390</f>
        <v>0</v>
      </c>
      <c r="R303" s="70">
        <f>'RESUMEN TOTAL'!AE390</f>
        <v>0</v>
      </c>
      <c r="S303" s="70">
        <f>'RESUMEN TOTAL'!AF390</f>
        <v>0</v>
      </c>
      <c r="T303" s="70">
        <f>'RESUMEN TOTAL'!AG390</f>
        <v>0</v>
      </c>
      <c r="U303" s="70">
        <f>'RESUMEN TOTAL'!AH390</f>
        <v>0</v>
      </c>
      <c r="V303" s="70">
        <f>'RESUMEN TOTAL'!AI390</f>
        <v>0</v>
      </c>
      <c r="W303" s="70">
        <f>'RESUMEN TOTAL'!AJ390</f>
        <v>0</v>
      </c>
      <c r="X303" s="70">
        <f>'RESUMEN TOTAL'!AK390</f>
        <v>0</v>
      </c>
      <c r="Y303" s="70">
        <f>'RESUMEN TOTAL'!AL390</f>
        <v>0</v>
      </c>
      <c r="Z303" s="70">
        <f>'RESUMEN TOTAL'!AM390</f>
        <v>0</v>
      </c>
      <c r="AA303" s="70">
        <f>'RESUMEN TOTAL'!AN390</f>
        <v>0</v>
      </c>
      <c r="AB303" s="70">
        <f>'RESUMEN TOTAL'!AO390</f>
        <v>0</v>
      </c>
      <c r="AC303" s="70">
        <f>'RESUMEN TOTAL'!AP390</f>
        <v>0</v>
      </c>
      <c r="AD303" s="70">
        <f>'RESUMEN TOTAL'!AQ390</f>
        <v>0</v>
      </c>
      <c r="AE303" s="70">
        <f>'RESUMEN TOTAL'!AR390</f>
        <v>0</v>
      </c>
      <c r="AF303" s="70">
        <f>'RESUMEN TOTAL'!AS390</f>
        <v>0</v>
      </c>
      <c r="AG303" s="70">
        <f>'RESUMEN TOTAL'!AT390</f>
        <v>0</v>
      </c>
      <c r="AH303" s="70">
        <f>'RESUMEN TOTAL'!AU390</f>
        <v>0</v>
      </c>
      <c r="AI303" s="70">
        <f>'RESUMEN TOTAL'!AV390</f>
        <v>0</v>
      </c>
      <c r="AJ303" s="70" t="e">
        <f>'RESUMEN TOTAL'!#REF!</f>
        <v>#REF!</v>
      </c>
    </row>
    <row r="304" spans="1:36" x14ac:dyDescent="0.25">
      <c r="A304" t="str">
        <f>'RESUMEN TOTAL'!F391</f>
        <v>LA SIRENA</v>
      </c>
      <c r="B304" t="str">
        <f>'RESUMEN TOTAL'!G391</f>
        <v>SIR 06 (FIJA 02)</v>
      </c>
      <c r="C304" t="str">
        <f>'RESUMEN TOTAL'!I391</f>
        <v>AV. MONTEVERDE Y MORAN</v>
      </c>
      <c r="D304" s="30" t="str">
        <f>'RESUMEN TOTAL'!J391</f>
        <v>Fija</v>
      </c>
      <c r="E304" s="30" t="str">
        <f>'RESUMEN TOTAL'!K391</f>
        <v>Fibra Optica</v>
      </c>
      <c r="F304" s="70">
        <f>'RESUMEN TOTAL'!S391</f>
        <v>0</v>
      </c>
      <c r="G304" s="70">
        <f>'RESUMEN TOTAL'!T391</f>
        <v>0</v>
      </c>
      <c r="H304" s="70">
        <f>'RESUMEN TOTAL'!U391</f>
        <v>0</v>
      </c>
      <c r="I304" s="70">
        <f>'RESUMEN TOTAL'!V391</f>
        <v>0</v>
      </c>
      <c r="J304" s="70">
        <f>'RESUMEN TOTAL'!W391</f>
        <v>0</v>
      </c>
      <c r="K304" s="70">
        <f>'RESUMEN TOTAL'!X391</f>
        <v>0</v>
      </c>
      <c r="L304" s="70">
        <f>'RESUMEN TOTAL'!Y391</f>
        <v>0</v>
      </c>
      <c r="M304" s="70">
        <f>'RESUMEN TOTAL'!Z391</f>
        <v>0</v>
      </c>
      <c r="N304" s="70">
        <f>'RESUMEN TOTAL'!AA391</f>
        <v>0</v>
      </c>
      <c r="O304" s="70">
        <f>'RESUMEN TOTAL'!AB391</f>
        <v>0</v>
      </c>
      <c r="P304" s="70">
        <f>'RESUMEN TOTAL'!AC391</f>
        <v>0</v>
      </c>
      <c r="Q304" s="70">
        <f>'RESUMEN TOTAL'!AD391</f>
        <v>0</v>
      </c>
      <c r="R304" s="70">
        <f>'RESUMEN TOTAL'!AE391</f>
        <v>0</v>
      </c>
      <c r="S304" s="70">
        <f>'RESUMEN TOTAL'!AF391</f>
        <v>0</v>
      </c>
      <c r="T304" s="70">
        <f>'RESUMEN TOTAL'!AG391</f>
        <v>0</v>
      </c>
      <c r="U304" s="70">
        <f>'RESUMEN TOTAL'!AH391</f>
        <v>0</v>
      </c>
      <c r="V304" s="70">
        <f>'RESUMEN TOTAL'!AI391</f>
        <v>0</v>
      </c>
      <c r="W304" s="70">
        <f>'RESUMEN TOTAL'!AJ391</f>
        <v>0</v>
      </c>
      <c r="X304" s="70">
        <f>'RESUMEN TOTAL'!AK391</f>
        <v>0</v>
      </c>
      <c r="Y304" s="70">
        <f>'RESUMEN TOTAL'!AL391</f>
        <v>0</v>
      </c>
      <c r="Z304" s="70">
        <f>'RESUMEN TOTAL'!AM391</f>
        <v>0</v>
      </c>
      <c r="AA304" s="70">
        <f>'RESUMEN TOTAL'!AN391</f>
        <v>0</v>
      </c>
      <c r="AB304" s="70">
        <f>'RESUMEN TOTAL'!AO391</f>
        <v>0</v>
      </c>
      <c r="AC304" s="70">
        <f>'RESUMEN TOTAL'!AP391</f>
        <v>0</v>
      </c>
      <c r="AD304" s="70">
        <f>'RESUMEN TOTAL'!AQ391</f>
        <v>0</v>
      </c>
      <c r="AE304" s="70">
        <f>'RESUMEN TOTAL'!AR391</f>
        <v>0</v>
      </c>
      <c r="AF304" s="70">
        <f>'RESUMEN TOTAL'!AS391</f>
        <v>0</v>
      </c>
      <c r="AG304" s="70">
        <f>'RESUMEN TOTAL'!AT391</f>
        <v>0</v>
      </c>
      <c r="AH304" s="70">
        <f>'RESUMEN TOTAL'!AU391</f>
        <v>0</v>
      </c>
      <c r="AI304" s="70">
        <f>'RESUMEN TOTAL'!AV391</f>
        <v>0</v>
      </c>
      <c r="AJ304" s="70" t="e">
        <f>'RESUMEN TOTAL'!#REF!</f>
        <v>#REF!</v>
      </c>
    </row>
    <row r="305" spans="1:36" x14ac:dyDescent="0.25">
      <c r="A305" t="str">
        <f>'RESUMEN TOTAL'!F392</f>
        <v>VILLA AURORA</v>
      </c>
      <c r="B305" t="str">
        <f>'RESUMEN TOTAL'!G392</f>
        <v>SIR 13</v>
      </c>
      <c r="C305" t="str">
        <f>'RESUMEN TOTAL'!I392</f>
        <v>AV MONTEVERDE Y URIBURU</v>
      </c>
      <c r="D305" s="30" t="str">
        <f>'RESUMEN TOTAL'!J392</f>
        <v>Domo</v>
      </c>
      <c r="E305" s="30" t="str">
        <f>'RESUMEN TOTAL'!K392</f>
        <v>Fibra Optica</v>
      </c>
      <c r="F305" s="70">
        <f>'RESUMEN TOTAL'!S392</f>
        <v>0</v>
      </c>
      <c r="G305" s="70">
        <f>'RESUMEN TOTAL'!T392</f>
        <v>0</v>
      </c>
      <c r="H305" s="70">
        <f>'RESUMEN TOTAL'!U392</f>
        <v>0</v>
      </c>
      <c r="I305" s="70" t="str">
        <f>'RESUMEN TOTAL'!V392</f>
        <v>APAGADO</v>
      </c>
      <c r="J305" s="70" t="str">
        <f>'RESUMEN TOTAL'!W392</f>
        <v>APAGADO</v>
      </c>
      <c r="K305" s="70" t="str">
        <f>'RESUMEN TOTAL'!X392</f>
        <v>APAGADO</v>
      </c>
      <c r="L305" s="70" t="str">
        <f>'RESUMEN TOTAL'!Y392</f>
        <v>APAGADO</v>
      </c>
      <c r="M305" s="70" t="str">
        <f>'RESUMEN TOTAL'!Z392</f>
        <v>APAGADO</v>
      </c>
      <c r="N305" s="70">
        <f>'RESUMEN TOTAL'!AA392</f>
        <v>0</v>
      </c>
      <c r="O305" s="70">
        <f>'RESUMEN TOTAL'!AB392</f>
        <v>0</v>
      </c>
      <c r="P305" s="70" t="str">
        <f>'RESUMEN TOTAL'!AC392</f>
        <v>APAGADO</v>
      </c>
      <c r="Q305" s="70" t="str">
        <f>'RESUMEN TOTAL'!AD392</f>
        <v>APAGADO</v>
      </c>
      <c r="R305" s="70" t="str">
        <f>'RESUMEN TOTAL'!AE392</f>
        <v>APAGADO</v>
      </c>
      <c r="S305" s="70" t="str">
        <f>'RESUMEN TOTAL'!AF392</f>
        <v>APAGADO</v>
      </c>
      <c r="T305" s="70" t="str">
        <f>'RESUMEN TOTAL'!AG392</f>
        <v>APAGADO</v>
      </c>
      <c r="U305" s="70">
        <f>'RESUMEN TOTAL'!AH392</f>
        <v>0</v>
      </c>
      <c r="V305" s="70">
        <f>'RESUMEN TOTAL'!AI392</f>
        <v>0</v>
      </c>
      <c r="W305" s="70" t="str">
        <f>'RESUMEN TOTAL'!AJ392</f>
        <v>APAGADO</v>
      </c>
      <c r="X305" s="70" t="str">
        <f>'RESUMEN TOTAL'!AK392</f>
        <v>APAGADO</v>
      </c>
      <c r="Y305" s="70" t="str">
        <f>'RESUMEN TOTAL'!AL392</f>
        <v>APAGADO</v>
      </c>
      <c r="Z305" s="70" t="str">
        <f>'RESUMEN TOTAL'!AM392</f>
        <v>APAGADO</v>
      </c>
      <c r="AA305" s="70" t="str">
        <f>'RESUMEN TOTAL'!AN392</f>
        <v>APAGADO</v>
      </c>
      <c r="AB305" s="70">
        <f>'RESUMEN TOTAL'!AO392</f>
        <v>0</v>
      </c>
      <c r="AC305" s="70">
        <f>'RESUMEN TOTAL'!AP392</f>
        <v>0</v>
      </c>
      <c r="AD305" s="70">
        <f>'RESUMEN TOTAL'!AQ392</f>
        <v>0</v>
      </c>
      <c r="AE305" s="70" t="str">
        <f>'RESUMEN TOTAL'!AR392</f>
        <v>APAGADO</v>
      </c>
      <c r="AF305" s="70" t="str">
        <f>'RESUMEN TOTAL'!AS392</f>
        <v>APAGADO</v>
      </c>
      <c r="AG305" s="70" t="str">
        <f>'RESUMEN TOTAL'!AT392</f>
        <v>APAGADO</v>
      </c>
      <c r="AH305" s="70">
        <f>'RESUMEN TOTAL'!AU392</f>
        <v>0</v>
      </c>
      <c r="AI305" s="70">
        <f>'RESUMEN TOTAL'!AV392</f>
        <v>0</v>
      </c>
      <c r="AJ305" s="70" t="e">
        <f>'RESUMEN TOTAL'!#REF!</f>
        <v>#REF!</v>
      </c>
    </row>
    <row r="306" spans="1:36" x14ac:dyDescent="0.25">
      <c r="A306" t="str">
        <f>'RESUMEN TOTAL'!F393</f>
        <v>LA SIRENA</v>
      </c>
      <c r="B306" t="str">
        <f>'RESUMEN TOTAL'!G393</f>
        <v>SIR 14</v>
      </c>
      <c r="C306" t="str">
        <f>'RESUMEN TOTAL'!I393</f>
        <v>MANUEL IGLESIAS Y PEDRAZA</v>
      </c>
      <c r="D306" s="30" t="str">
        <f>'RESUMEN TOTAL'!J393</f>
        <v>Domo</v>
      </c>
      <c r="E306" s="30" t="str">
        <f>'RESUMEN TOTAL'!K393</f>
        <v>Fibra Optica</v>
      </c>
      <c r="F306" s="70">
        <f>'RESUMEN TOTAL'!S393</f>
        <v>0</v>
      </c>
      <c r="G306" s="70">
        <f>'RESUMEN TOTAL'!T393</f>
        <v>0</v>
      </c>
      <c r="H306" s="70">
        <f>'RESUMEN TOTAL'!U393</f>
        <v>0</v>
      </c>
      <c r="I306" s="70" t="str">
        <f>'RESUMEN TOTAL'!V393</f>
        <v>APAGADO</v>
      </c>
      <c r="J306" s="70" t="str">
        <f>'RESUMEN TOTAL'!W393</f>
        <v>APAGADO</v>
      </c>
      <c r="K306" s="70" t="str">
        <f>'RESUMEN TOTAL'!X393</f>
        <v>APAGADO</v>
      </c>
      <c r="L306" s="70" t="str">
        <f>'RESUMEN TOTAL'!Y393</f>
        <v>APAGADO</v>
      </c>
      <c r="M306" s="70" t="str">
        <f>'RESUMEN TOTAL'!Z393</f>
        <v>APAGADO</v>
      </c>
      <c r="N306" s="70">
        <f>'RESUMEN TOTAL'!AA393</f>
        <v>0</v>
      </c>
      <c r="O306" s="70">
        <f>'RESUMEN TOTAL'!AB393</f>
        <v>0</v>
      </c>
      <c r="P306" s="70" t="str">
        <f>'RESUMEN TOTAL'!AC393</f>
        <v>APAGADO</v>
      </c>
      <c r="Q306" s="70" t="str">
        <f>'RESUMEN TOTAL'!AD393</f>
        <v>APAGADO</v>
      </c>
      <c r="R306" s="70" t="str">
        <f>'RESUMEN TOTAL'!AE393</f>
        <v>APAGADO</v>
      </c>
      <c r="S306" s="70" t="str">
        <f>'RESUMEN TOTAL'!AF393</f>
        <v>APAGADO</v>
      </c>
      <c r="T306" s="70" t="str">
        <f>'RESUMEN TOTAL'!AG393</f>
        <v>APAGADO</v>
      </c>
      <c r="U306" s="70">
        <f>'RESUMEN TOTAL'!AH393</f>
        <v>0</v>
      </c>
      <c r="V306" s="70">
        <f>'RESUMEN TOTAL'!AI393</f>
        <v>0</v>
      </c>
      <c r="W306" s="70" t="str">
        <f>'RESUMEN TOTAL'!AJ393</f>
        <v>APAGADO</v>
      </c>
      <c r="X306" s="70" t="str">
        <f>'RESUMEN TOTAL'!AK393</f>
        <v>APAGADO</v>
      </c>
      <c r="Y306" s="70" t="str">
        <f>'RESUMEN TOTAL'!AL393</f>
        <v>APAGADO</v>
      </c>
      <c r="Z306" s="70" t="str">
        <f>'RESUMEN TOTAL'!AM393</f>
        <v>APAGADO</v>
      </c>
      <c r="AA306" s="70" t="str">
        <f>'RESUMEN TOTAL'!AN393</f>
        <v>APAGADO</v>
      </c>
      <c r="AB306" s="70">
        <f>'RESUMEN TOTAL'!AO393</f>
        <v>0</v>
      </c>
      <c r="AC306" s="70">
        <f>'RESUMEN TOTAL'!AP393</f>
        <v>0</v>
      </c>
      <c r="AD306" s="70">
        <f>'RESUMEN TOTAL'!AQ393</f>
        <v>0</v>
      </c>
      <c r="AE306" s="70" t="str">
        <f>'RESUMEN TOTAL'!AR393</f>
        <v>APAGADO</v>
      </c>
      <c r="AF306" s="70" t="str">
        <f>'RESUMEN TOTAL'!AS393</f>
        <v>APAGADO</v>
      </c>
      <c r="AG306" s="70">
        <f>'RESUMEN TOTAL'!AT393</f>
        <v>0</v>
      </c>
      <c r="AH306" s="70">
        <f>'RESUMEN TOTAL'!AU393</f>
        <v>0</v>
      </c>
      <c r="AI306" s="70">
        <f>'RESUMEN TOTAL'!AV393</f>
        <v>0</v>
      </c>
      <c r="AJ306" s="70" t="e">
        <f>'RESUMEN TOTAL'!#REF!</f>
        <v>#REF!</v>
      </c>
    </row>
    <row r="307" spans="1:36" x14ac:dyDescent="0.25">
      <c r="A307" t="str">
        <f>'RESUMEN TOTAL'!F394</f>
        <v>LA SIRENA</v>
      </c>
      <c r="B307" t="str">
        <f>'RESUMEN TOTAL'!G394</f>
        <v>SIR 15</v>
      </c>
      <c r="C307" t="str">
        <f>'RESUMEN TOTAL'!I394</f>
        <v>Monteverde y Azara</v>
      </c>
      <c r="D307" s="30" t="str">
        <f>'RESUMEN TOTAL'!J394</f>
        <v>Domo</v>
      </c>
      <c r="E307" s="30" t="str">
        <f>'RESUMEN TOTAL'!K394</f>
        <v>GPON</v>
      </c>
      <c r="F307" s="70">
        <f>'RESUMEN TOTAL'!S394</f>
        <v>0</v>
      </c>
      <c r="G307" s="70">
        <f>'RESUMEN TOTAL'!T394</f>
        <v>0</v>
      </c>
      <c r="H307" s="70">
        <f>'RESUMEN TOTAL'!U394</f>
        <v>0</v>
      </c>
      <c r="I307" s="70" t="str">
        <f>'RESUMEN TOTAL'!V394</f>
        <v>APAGADO</v>
      </c>
      <c r="J307" s="70">
        <f>'RESUMEN TOTAL'!W394</f>
        <v>0</v>
      </c>
      <c r="K307" s="70">
        <f>'RESUMEN TOTAL'!X394</f>
        <v>0</v>
      </c>
      <c r="L307" s="70">
        <f>'RESUMEN TOTAL'!Y394</f>
        <v>0</v>
      </c>
      <c r="M307" s="70">
        <f>'RESUMEN TOTAL'!Z394</f>
        <v>0</v>
      </c>
      <c r="N307" s="70">
        <f>'RESUMEN TOTAL'!AA394</f>
        <v>0</v>
      </c>
      <c r="O307" s="70">
        <f>'RESUMEN TOTAL'!AB394</f>
        <v>0</v>
      </c>
      <c r="P307" s="70">
        <f>'RESUMEN TOTAL'!AC394</f>
        <v>0</v>
      </c>
      <c r="Q307" s="70">
        <f>'RESUMEN TOTAL'!AD394</f>
        <v>0</v>
      </c>
      <c r="R307" s="70">
        <f>'RESUMEN TOTAL'!AE394</f>
        <v>0</v>
      </c>
      <c r="S307" s="70">
        <f>'RESUMEN TOTAL'!AF394</f>
        <v>0</v>
      </c>
      <c r="T307" s="70">
        <f>'RESUMEN TOTAL'!AG394</f>
        <v>0</v>
      </c>
      <c r="U307" s="70">
        <f>'RESUMEN TOTAL'!AH394</f>
        <v>0</v>
      </c>
      <c r="V307" s="70">
        <f>'RESUMEN TOTAL'!AI394</f>
        <v>0</v>
      </c>
      <c r="W307" s="70">
        <f>'RESUMEN TOTAL'!AJ394</f>
        <v>0</v>
      </c>
      <c r="X307" s="70">
        <f>'RESUMEN TOTAL'!AK394</f>
        <v>0</v>
      </c>
      <c r="Y307" s="70">
        <f>'RESUMEN TOTAL'!AL394</f>
        <v>0</v>
      </c>
      <c r="Z307" s="70">
        <f>'RESUMEN TOTAL'!AM394</f>
        <v>0</v>
      </c>
      <c r="AA307" s="70">
        <f>'RESUMEN TOTAL'!AN394</f>
        <v>0</v>
      </c>
      <c r="AB307" s="70">
        <f>'RESUMEN TOTAL'!AO394</f>
        <v>0</v>
      </c>
      <c r="AC307" s="70">
        <f>'RESUMEN TOTAL'!AP394</f>
        <v>0</v>
      </c>
      <c r="AD307" s="70">
        <f>'RESUMEN TOTAL'!AQ394</f>
        <v>0</v>
      </c>
      <c r="AE307" s="70">
        <f>'RESUMEN TOTAL'!AR394</f>
        <v>0</v>
      </c>
      <c r="AF307" s="70">
        <f>'RESUMEN TOTAL'!AS394</f>
        <v>0</v>
      </c>
      <c r="AG307" s="70">
        <f>'RESUMEN TOTAL'!AT394</f>
        <v>0</v>
      </c>
      <c r="AH307" s="70">
        <f>'RESUMEN TOTAL'!AU394</f>
        <v>0</v>
      </c>
      <c r="AI307" s="70">
        <f>'RESUMEN TOTAL'!AV394</f>
        <v>0</v>
      </c>
      <c r="AJ307" s="70" t="e">
        <f>'RESUMEN TOTAL'!#REF!</f>
        <v>#REF!</v>
      </c>
    </row>
    <row r="308" spans="1:36" x14ac:dyDescent="0.25">
      <c r="A308" t="str">
        <f>'RESUMEN TOTAL'!F395</f>
        <v>LA SIRENA</v>
      </c>
      <c r="B308" t="str">
        <f>'RESUMEN TOTAL'!G395</f>
        <v>SIR 16</v>
      </c>
      <c r="C308" t="str">
        <f>'RESUMEN TOTAL'!I395</f>
        <v>Las Heras y Finochietto</v>
      </c>
      <c r="D308" s="30" t="str">
        <f>'RESUMEN TOTAL'!J395</f>
        <v>Domo</v>
      </c>
      <c r="E308" s="30" t="str">
        <f>'RESUMEN TOTAL'!K395</f>
        <v>GPON</v>
      </c>
      <c r="F308" s="70">
        <f>'RESUMEN TOTAL'!S395</f>
        <v>0</v>
      </c>
      <c r="G308" s="70">
        <f>'RESUMEN TOTAL'!T395</f>
        <v>0</v>
      </c>
      <c r="H308" s="70">
        <f>'RESUMEN TOTAL'!U395</f>
        <v>0</v>
      </c>
      <c r="I308" s="70">
        <f>'RESUMEN TOTAL'!V395</f>
        <v>0</v>
      </c>
      <c r="J308" s="70">
        <f>'RESUMEN TOTAL'!W395</f>
        <v>0</v>
      </c>
      <c r="K308" s="70">
        <f>'RESUMEN TOTAL'!X395</f>
        <v>0</v>
      </c>
      <c r="L308" s="70">
        <f>'RESUMEN TOTAL'!Y395</f>
        <v>0</v>
      </c>
      <c r="M308" s="70">
        <f>'RESUMEN TOTAL'!Z395</f>
        <v>0</v>
      </c>
      <c r="N308" s="70">
        <f>'RESUMEN TOTAL'!AA395</f>
        <v>0</v>
      </c>
      <c r="O308" s="70">
        <f>'RESUMEN TOTAL'!AB395</f>
        <v>0</v>
      </c>
      <c r="P308" s="70">
        <f>'RESUMEN TOTAL'!AC395</f>
        <v>0</v>
      </c>
      <c r="Q308" s="70">
        <f>'RESUMEN TOTAL'!AD395</f>
        <v>0</v>
      </c>
      <c r="R308" s="70">
        <f>'RESUMEN TOTAL'!AE395</f>
        <v>0</v>
      </c>
      <c r="S308" s="70">
        <f>'RESUMEN TOTAL'!AF395</f>
        <v>0</v>
      </c>
      <c r="T308" s="70">
        <f>'RESUMEN TOTAL'!AG395</f>
        <v>0</v>
      </c>
      <c r="U308" s="70">
        <f>'RESUMEN TOTAL'!AH395</f>
        <v>0</v>
      </c>
      <c r="V308" s="70">
        <f>'RESUMEN TOTAL'!AI395</f>
        <v>0</v>
      </c>
      <c r="W308" s="70">
        <f>'RESUMEN TOTAL'!AJ395</f>
        <v>0</v>
      </c>
      <c r="X308" s="70">
        <f>'RESUMEN TOTAL'!AK395</f>
        <v>0</v>
      </c>
      <c r="Y308" s="70">
        <f>'RESUMEN TOTAL'!AL395</f>
        <v>0</v>
      </c>
      <c r="Z308" s="70">
        <f>'RESUMEN TOTAL'!AM395</f>
        <v>0</v>
      </c>
      <c r="AA308" s="70">
        <f>'RESUMEN TOTAL'!AN395</f>
        <v>0</v>
      </c>
      <c r="AB308" s="70">
        <f>'RESUMEN TOTAL'!AO395</f>
        <v>0</v>
      </c>
      <c r="AC308" s="70">
        <f>'RESUMEN TOTAL'!AP395</f>
        <v>0</v>
      </c>
      <c r="AD308" s="70">
        <f>'RESUMEN TOTAL'!AQ395</f>
        <v>0</v>
      </c>
      <c r="AE308" s="70">
        <f>'RESUMEN TOTAL'!AR395</f>
        <v>0</v>
      </c>
      <c r="AF308" s="70">
        <f>'RESUMEN TOTAL'!AS395</f>
        <v>0</v>
      </c>
      <c r="AG308" s="70">
        <f>'RESUMEN TOTAL'!AT395</f>
        <v>0</v>
      </c>
      <c r="AH308" s="70">
        <f>'RESUMEN TOTAL'!AU395</f>
        <v>0</v>
      </c>
      <c r="AI308" s="70">
        <f>'RESUMEN TOTAL'!AV395</f>
        <v>0</v>
      </c>
      <c r="AJ308" s="70" t="e">
        <f>'RESUMEN TOTAL'!#REF!</f>
        <v>#REF!</v>
      </c>
    </row>
    <row r="309" spans="1:36" x14ac:dyDescent="0.25">
      <c r="A309" t="str">
        <f>'RESUMEN TOTAL'!F396</f>
        <v>LA SIRENA</v>
      </c>
      <c r="B309" t="str">
        <f>'RESUMEN TOTAL'!G396</f>
        <v>SIR 17</v>
      </c>
      <c r="C309" t="str">
        <f>'RESUMEN TOTAL'!I396</f>
        <v>Las Heras y Finochietto</v>
      </c>
      <c r="D309" s="30" t="str">
        <f>'RESUMEN TOTAL'!J396</f>
        <v>Fija</v>
      </c>
      <c r="E309" s="30" t="str">
        <f>'RESUMEN TOTAL'!K396</f>
        <v>GPON</v>
      </c>
      <c r="F309" s="70">
        <f>'RESUMEN TOTAL'!S396</f>
        <v>0</v>
      </c>
      <c r="G309" s="70">
        <f>'RESUMEN TOTAL'!T396</f>
        <v>0</v>
      </c>
      <c r="H309" s="70">
        <f>'RESUMEN TOTAL'!U396</f>
        <v>0</v>
      </c>
      <c r="I309" s="70">
        <f>'RESUMEN TOTAL'!V396</f>
        <v>0</v>
      </c>
      <c r="J309" s="70">
        <f>'RESUMEN TOTAL'!W396</f>
        <v>0</v>
      </c>
      <c r="K309" s="70">
        <f>'RESUMEN TOTAL'!X396</f>
        <v>0</v>
      </c>
      <c r="L309" s="70">
        <f>'RESUMEN TOTAL'!Y396</f>
        <v>0</v>
      </c>
      <c r="M309" s="70">
        <f>'RESUMEN TOTAL'!Z396</f>
        <v>0</v>
      </c>
      <c r="N309" s="70">
        <f>'RESUMEN TOTAL'!AA396</f>
        <v>0</v>
      </c>
      <c r="O309" s="70">
        <f>'RESUMEN TOTAL'!AB396</f>
        <v>0</v>
      </c>
      <c r="P309" s="70">
        <f>'RESUMEN TOTAL'!AC396</f>
        <v>0</v>
      </c>
      <c r="Q309" s="70">
        <f>'RESUMEN TOTAL'!AD396</f>
        <v>0</v>
      </c>
      <c r="R309" s="70">
        <f>'RESUMEN TOTAL'!AE396</f>
        <v>0</v>
      </c>
      <c r="S309" s="70">
        <f>'RESUMEN TOTAL'!AF396</f>
        <v>0</v>
      </c>
      <c r="T309" s="70">
        <f>'RESUMEN TOTAL'!AG396</f>
        <v>0</v>
      </c>
      <c r="U309" s="70">
        <f>'RESUMEN TOTAL'!AH396</f>
        <v>0</v>
      </c>
      <c r="V309" s="70">
        <f>'RESUMEN TOTAL'!AI396</f>
        <v>0</v>
      </c>
      <c r="W309" s="70">
        <f>'RESUMEN TOTAL'!AJ396</f>
        <v>0</v>
      </c>
      <c r="X309" s="70">
        <f>'RESUMEN TOTAL'!AK396</f>
        <v>0</v>
      </c>
      <c r="Y309" s="70">
        <f>'RESUMEN TOTAL'!AL396</f>
        <v>0</v>
      </c>
      <c r="Z309" s="70">
        <f>'RESUMEN TOTAL'!AM396</f>
        <v>0</v>
      </c>
      <c r="AA309" s="70">
        <f>'RESUMEN TOTAL'!AN396</f>
        <v>0</v>
      </c>
      <c r="AB309" s="70">
        <f>'RESUMEN TOTAL'!AO396</f>
        <v>0</v>
      </c>
      <c r="AC309" s="70">
        <f>'RESUMEN TOTAL'!AP396</f>
        <v>0</v>
      </c>
      <c r="AD309" s="70">
        <f>'RESUMEN TOTAL'!AQ396</f>
        <v>0</v>
      </c>
      <c r="AE309" s="70">
        <f>'RESUMEN TOTAL'!AR396</f>
        <v>0</v>
      </c>
      <c r="AF309" s="70">
        <f>'RESUMEN TOTAL'!AS396</f>
        <v>0</v>
      </c>
      <c r="AG309" s="70">
        <f>'RESUMEN TOTAL'!AT396</f>
        <v>0</v>
      </c>
      <c r="AH309" s="70">
        <f>'RESUMEN TOTAL'!AU396</f>
        <v>0</v>
      </c>
      <c r="AI309" s="70">
        <f>'RESUMEN TOTAL'!AV396</f>
        <v>0</v>
      </c>
      <c r="AJ309" s="70" t="e">
        <f>'RESUMEN TOTAL'!#REF!</f>
        <v>#REF!</v>
      </c>
    </row>
    <row r="310" spans="1:36" x14ac:dyDescent="0.25">
      <c r="A310" t="str">
        <f>'RESUMEN TOTAL'!F397</f>
        <v>LA SIRENA</v>
      </c>
      <c r="B310" t="str">
        <f>'RESUMEN TOTAL'!G397</f>
        <v>SIR 18</v>
      </c>
      <c r="C310" t="str">
        <f>'RESUMEN TOTAL'!I397</f>
        <v>Las Heras y Finochietto</v>
      </c>
      <c r="D310" s="30" t="str">
        <f>'RESUMEN TOTAL'!J397</f>
        <v>Fija</v>
      </c>
      <c r="E310" s="30" t="str">
        <f>'RESUMEN TOTAL'!K397</f>
        <v>GPON</v>
      </c>
      <c r="F310" s="70">
        <f>'RESUMEN TOTAL'!S397</f>
        <v>0</v>
      </c>
      <c r="G310" s="70">
        <f>'RESUMEN TOTAL'!T397</f>
        <v>0</v>
      </c>
      <c r="H310" s="70">
        <f>'RESUMEN TOTAL'!U397</f>
        <v>0</v>
      </c>
      <c r="I310" s="70">
        <f>'RESUMEN TOTAL'!V397</f>
        <v>0</v>
      </c>
      <c r="J310" s="70">
        <f>'RESUMEN TOTAL'!W397</f>
        <v>0</v>
      </c>
      <c r="K310" s="70">
        <f>'RESUMEN TOTAL'!X397</f>
        <v>0</v>
      </c>
      <c r="L310" s="70">
        <f>'RESUMEN TOTAL'!Y397</f>
        <v>0</v>
      </c>
      <c r="M310" s="70">
        <f>'RESUMEN TOTAL'!Z397</f>
        <v>0</v>
      </c>
      <c r="N310" s="70">
        <f>'RESUMEN TOTAL'!AA397</f>
        <v>0</v>
      </c>
      <c r="O310" s="70">
        <f>'RESUMEN TOTAL'!AB397</f>
        <v>0</v>
      </c>
      <c r="P310" s="70">
        <f>'RESUMEN TOTAL'!AC397</f>
        <v>0</v>
      </c>
      <c r="Q310" s="70">
        <f>'RESUMEN TOTAL'!AD397</f>
        <v>0</v>
      </c>
      <c r="R310" s="70">
        <f>'RESUMEN TOTAL'!AE397</f>
        <v>0</v>
      </c>
      <c r="S310" s="70">
        <f>'RESUMEN TOTAL'!AF397</f>
        <v>0</v>
      </c>
      <c r="T310" s="70">
        <f>'RESUMEN TOTAL'!AG397</f>
        <v>0</v>
      </c>
      <c r="U310" s="70">
        <f>'RESUMEN TOTAL'!AH397</f>
        <v>0</v>
      </c>
      <c r="V310" s="70">
        <f>'RESUMEN TOTAL'!AI397</f>
        <v>0</v>
      </c>
      <c r="W310" s="70">
        <f>'RESUMEN TOTAL'!AJ397</f>
        <v>0</v>
      </c>
      <c r="X310" s="70">
        <f>'RESUMEN TOTAL'!AK397</f>
        <v>0</v>
      </c>
      <c r="Y310" s="70">
        <f>'RESUMEN TOTAL'!AL397</f>
        <v>0</v>
      </c>
      <c r="Z310" s="70">
        <f>'RESUMEN TOTAL'!AM397</f>
        <v>0</v>
      </c>
      <c r="AA310" s="70">
        <f>'RESUMEN TOTAL'!AN397</f>
        <v>0</v>
      </c>
      <c r="AB310" s="70">
        <f>'RESUMEN TOTAL'!AO397</f>
        <v>0</v>
      </c>
      <c r="AC310" s="70">
        <f>'RESUMEN TOTAL'!AP397</f>
        <v>0</v>
      </c>
      <c r="AD310" s="70">
        <f>'RESUMEN TOTAL'!AQ397</f>
        <v>0</v>
      </c>
      <c r="AE310" s="70">
        <f>'RESUMEN TOTAL'!AR397</f>
        <v>0</v>
      </c>
      <c r="AF310" s="70">
        <f>'RESUMEN TOTAL'!AS397</f>
        <v>0</v>
      </c>
      <c r="AG310" s="70">
        <f>'RESUMEN TOTAL'!AT397</f>
        <v>0</v>
      </c>
      <c r="AH310" s="70">
        <f>'RESUMEN TOTAL'!AU397</f>
        <v>0</v>
      </c>
      <c r="AI310" s="70">
        <f>'RESUMEN TOTAL'!AV397</f>
        <v>0</v>
      </c>
      <c r="AJ310" s="70" t="e">
        <f>'RESUMEN TOTAL'!#REF!</f>
        <v>#REF!</v>
      </c>
    </row>
    <row r="311" spans="1:36" x14ac:dyDescent="0.25">
      <c r="A311" t="str">
        <f>'RESUMEN TOTAL'!F398</f>
        <v>LA SIRENA</v>
      </c>
      <c r="B311" t="str">
        <f>'RESUMEN TOTAL'!G398</f>
        <v>SIR 19</v>
      </c>
      <c r="C311" t="str">
        <f>'RESUMEN TOTAL'!I398</f>
        <v xml:space="preserve">AZARA Y NUESTRAS MALVINAS </v>
      </c>
      <c r="D311" s="30" t="str">
        <f>'RESUMEN TOTAL'!J398</f>
        <v>Domo</v>
      </c>
      <c r="E311" s="30" t="str">
        <f>'RESUMEN TOTAL'!K398</f>
        <v>Fibra Optica</v>
      </c>
      <c r="F311" s="70" t="str">
        <f>'RESUMEN TOTAL'!S398</f>
        <v>A4-18-94-05-51-D3</v>
      </c>
      <c r="G311" s="70" t="str">
        <f>'RESUMEN TOTAL'!T398</f>
        <v>A4-18-94-05-51-D4</v>
      </c>
      <c r="H311" s="70" t="str">
        <f>'RESUMEN TOTAL'!U398</f>
        <v>A4-18-94-05-51-D5</v>
      </c>
      <c r="I311" s="70" t="str">
        <f>'RESUMEN TOTAL'!V398</f>
        <v>A4-18-94-05-51-D6</v>
      </c>
      <c r="J311" s="70" t="str">
        <f>'RESUMEN TOTAL'!W398</f>
        <v>A4-18-94-05-51-D7</v>
      </c>
      <c r="K311" s="70" t="str">
        <f>'RESUMEN TOTAL'!X398</f>
        <v>A4-18-94-05-51-D8</v>
      </c>
      <c r="L311" s="70">
        <f>'RESUMEN TOTAL'!Y398</f>
        <v>0</v>
      </c>
      <c r="M311" s="70">
        <f>'RESUMEN TOTAL'!Z398</f>
        <v>0</v>
      </c>
      <c r="N311" s="70">
        <f>'RESUMEN TOTAL'!AA398</f>
        <v>0</v>
      </c>
      <c r="O311" s="70">
        <f>'RESUMEN TOTAL'!AB398</f>
        <v>0</v>
      </c>
      <c r="P311" s="70">
        <f>'RESUMEN TOTAL'!AC398</f>
        <v>0</v>
      </c>
      <c r="Q311" s="70">
        <f>'RESUMEN TOTAL'!AD398</f>
        <v>0</v>
      </c>
      <c r="R311" s="70">
        <f>'RESUMEN TOTAL'!AE398</f>
        <v>0</v>
      </c>
      <c r="S311" s="70">
        <f>'RESUMEN TOTAL'!AF398</f>
        <v>0</v>
      </c>
      <c r="T311" s="70">
        <f>'RESUMEN TOTAL'!AG398</f>
        <v>0</v>
      </c>
      <c r="U311" s="70">
        <f>'RESUMEN TOTAL'!AH398</f>
        <v>0</v>
      </c>
      <c r="V311" s="70">
        <f>'RESUMEN TOTAL'!AI398</f>
        <v>0</v>
      </c>
      <c r="W311" s="70">
        <f>'RESUMEN TOTAL'!AJ398</f>
        <v>0</v>
      </c>
      <c r="X311" s="70">
        <f>'RESUMEN TOTAL'!AK398</f>
        <v>0</v>
      </c>
      <c r="Y311" s="70">
        <f>'RESUMEN TOTAL'!AL398</f>
        <v>0</v>
      </c>
      <c r="Z311" s="70">
        <f>'RESUMEN TOTAL'!AM398</f>
        <v>0</v>
      </c>
      <c r="AA311" s="70">
        <f>'RESUMEN TOTAL'!AN398</f>
        <v>0</v>
      </c>
      <c r="AB311" s="70">
        <f>'RESUMEN TOTAL'!AO398</f>
        <v>0</v>
      </c>
      <c r="AC311" s="70">
        <f>'RESUMEN TOTAL'!AP398</f>
        <v>0</v>
      </c>
      <c r="AD311" s="70">
        <f>'RESUMEN TOTAL'!AQ398</f>
        <v>0</v>
      </c>
      <c r="AE311" s="70">
        <f>'RESUMEN TOTAL'!AR398</f>
        <v>0</v>
      </c>
      <c r="AF311" s="70">
        <f>'RESUMEN TOTAL'!AS398</f>
        <v>0</v>
      </c>
      <c r="AG311" s="70">
        <f>'RESUMEN TOTAL'!AT398</f>
        <v>0</v>
      </c>
      <c r="AH311" s="70">
        <f>'RESUMEN TOTAL'!AU398</f>
        <v>0</v>
      </c>
      <c r="AI311" s="70">
        <f>'RESUMEN TOTAL'!AV398</f>
        <v>0</v>
      </c>
      <c r="AJ311" s="70" t="e">
        <f>'RESUMEN TOTAL'!#REF!</f>
        <v>#REF!</v>
      </c>
    </row>
    <row r="312" spans="1:36" x14ac:dyDescent="0.25">
      <c r="A312" t="str">
        <f>'RESUMEN TOTAL'!F399</f>
        <v>LA SIRENA</v>
      </c>
      <c r="B312" t="str">
        <f>'RESUMEN TOTAL'!G399</f>
        <v>SIR 20</v>
      </c>
      <c r="C312" t="str">
        <f>'RESUMEN TOTAL'!I399</f>
        <v>Darragueira y Monteverde</v>
      </c>
      <c r="D312" s="30" t="str">
        <f>'RESUMEN TOTAL'!J399</f>
        <v>Domo</v>
      </c>
      <c r="E312" s="30" t="str">
        <f>'RESUMEN TOTAL'!K399</f>
        <v>GPON</v>
      </c>
      <c r="F312" s="70">
        <f>'RESUMEN TOTAL'!S399</f>
        <v>0</v>
      </c>
      <c r="G312" s="70">
        <f>'RESUMEN TOTAL'!T399</f>
        <v>0</v>
      </c>
      <c r="H312" s="70">
        <f>'RESUMEN TOTAL'!U399</f>
        <v>0</v>
      </c>
      <c r="I312" s="70">
        <f>'RESUMEN TOTAL'!V399</f>
        <v>0</v>
      </c>
      <c r="J312" s="70">
        <f>'RESUMEN TOTAL'!W399</f>
        <v>0</v>
      </c>
      <c r="K312" s="70">
        <f>'RESUMEN TOTAL'!X399</f>
        <v>0</v>
      </c>
      <c r="L312" s="70">
        <f>'RESUMEN TOTAL'!Y399</f>
        <v>0</v>
      </c>
      <c r="M312" s="70">
        <f>'RESUMEN TOTAL'!Z399</f>
        <v>0</v>
      </c>
      <c r="N312" s="70">
        <f>'RESUMEN TOTAL'!AA399</f>
        <v>0</v>
      </c>
      <c r="O312" s="70">
        <f>'RESUMEN TOTAL'!AB399</f>
        <v>0</v>
      </c>
      <c r="P312" s="70">
        <f>'RESUMEN TOTAL'!AC399</f>
        <v>0</v>
      </c>
      <c r="Q312" s="70">
        <f>'RESUMEN TOTAL'!AD399</f>
        <v>0</v>
      </c>
      <c r="R312" s="70">
        <f>'RESUMEN TOTAL'!AE399</f>
        <v>0</v>
      </c>
      <c r="S312" s="70">
        <f>'RESUMEN TOTAL'!AF399</f>
        <v>0</v>
      </c>
      <c r="T312" s="70">
        <f>'RESUMEN TOTAL'!AG399</f>
        <v>0</v>
      </c>
      <c r="U312" s="70">
        <f>'RESUMEN TOTAL'!AH399</f>
        <v>0</v>
      </c>
      <c r="V312" s="70">
        <f>'RESUMEN TOTAL'!AI399</f>
        <v>0</v>
      </c>
      <c r="W312" s="70">
        <f>'RESUMEN TOTAL'!AJ399</f>
        <v>0</v>
      </c>
      <c r="X312" s="70">
        <f>'RESUMEN TOTAL'!AK399</f>
        <v>0</v>
      </c>
      <c r="Y312" s="70">
        <f>'RESUMEN TOTAL'!AL399</f>
        <v>0</v>
      </c>
      <c r="Z312" s="70">
        <f>'RESUMEN TOTAL'!AM399</f>
        <v>0</v>
      </c>
      <c r="AA312" s="70">
        <f>'RESUMEN TOTAL'!AN399</f>
        <v>0</v>
      </c>
      <c r="AB312" s="70">
        <f>'RESUMEN TOTAL'!AO399</f>
        <v>0</v>
      </c>
      <c r="AC312" s="70">
        <f>'RESUMEN TOTAL'!AP399</f>
        <v>0</v>
      </c>
      <c r="AD312" s="70">
        <f>'RESUMEN TOTAL'!AQ399</f>
        <v>0</v>
      </c>
      <c r="AE312" s="70">
        <f>'RESUMEN TOTAL'!AR399</f>
        <v>0</v>
      </c>
      <c r="AF312" s="70">
        <f>'RESUMEN TOTAL'!AS399</f>
        <v>0</v>
      </c>
      <c r="AG312" s="70">
        <f>'RESUMEN TOTAL'!AT399</f>
        <v>0</v>
      </c>
      <c r="AH312" s="70">
        <f>'RESUMEN TOTAL'!AU399</f>
        <v>0</v>
      </c>
      <c r="AI312" s="70">
        <f>'RESUMEN TOTAL'!AV399</f>
        <v>0</v>
      </c>
      <c r="AJ312" s="70" t="e">
        <f>'RESUMEN TOTAL'!#REF!</f>
        <v>#REF!</v>
      </c>
    </row>
    <row r="313" spans="1:36" x14ac:dyDescent="0.25">
      <c r="A313" t="str">
        <f>'RESUMEN TOTAL'!F400</f>
        <v>LA SIRENA</v>
      </c>
      <c r="B313" t="str">
        <f>'RESUMEN TOTAL'!G400</f>
        <v>SIR01</v>
      </c>
      <c r="C313" t="str">
        <f>'RESUMEN TOTAL'!I400</f>
        <v>Moran y Calle 14</v>
      </c>
      <c r="D313" s="30" t="str">
        <f>'RESUMEN TOTAL'!J400</f>
        <v>DOMO</v>
      </c>
      <c r="E313" s="30" t="str">
        <f>'RESUMEN TOTAL'!K400</f>
        <v>Radio</v>
      </c>
      <c r="F313" s="70">
        <f>'RESUMEN TOTAL'!S400</f>
        <v>0</v>
      </c>
      <c r="G313" s="70">
        <f>'RESUMEN TOTAL'!T400</f>
        <v>0</v>
      </c>
      <c r="H313" s="70">
        <f>'RESUMEN TOTAL'!U400</f>
        <v>0</v>
      </c>
      <c r="I313" s="70" t="str">
        <f>'RESUMEN TOTAL'!V400</f>
        <v>APAGADO</v>
      </c>
      <c r="J313" s="70" t="str">
        <f>'RESUMEN TOTAL'!W400</f>
        <v>APAGADO</v>
      </c>
      <c r="K313" s="70" t="str">
        <f>'RESUMEN TOTAL'!X400</f>
        <v>APAGADO</v>
      </c>
      <c r="L313" s="70" t="str">
        <f>'RESUMEN TOTAL'!Y400</f>
        <v>APAGADO</v>
      </c>
      <c r="M313" s="70" t="str">
        <f>'RESUMEN TOTAL'!Z400</f>
        <v>APAGADO</v>
      </c>
      <c r="N313" s="70">
        <f>'RESUMEN TOTAL'!AA400</f>
        <v>0</v>
      </c>
      <c r="O313" s="70">
        <f>'RESUMEN TOTAL'!AB400</f>
        <v>0</v>
      </c>
      <c r="P313" s="70" t="str">
        <f>'RESUMEN TOTAL'!AC400</f>
        <v>APAGADO</v>
      </c>
      <c r="Q313" s="70" t="str">
        <f>'RESUMEN TOTAL'!AD400</f>
        <v>APAGADO</v>
      </c>
      <c r="R313" s="70" t="str">
        <f>'RESUMEN TOTAL'!AE400</f>
        <v>APAGADO</v>
      </c>
      <c r="S313" s="70" t="str">
        <f>'RESUMEN TOTAL'!AF400</f>
        <v>APAGADO</v>
      </c>
      <c r="T313" s="70" t="str">
        <f>'RESUMEN TOTAL'!AG400</f>
        <v>APAGADO</v>
      </c>
      <c r="U313" s="70">
        <f>'RESUMEN TOTAL'!AH400</f>
        <v>0</v>
      </c>
      <c r="V313" s="70">
        <f>'RESUMEN TOTAL'!AI400</f>
        <v>0</v>
      </c>
      <c r="W313" s="70" t="str">
        <f>'RESUMEN TOTAL'!AJ400</f>
        <v>APAGADO</v>
      </c>
      <c r="X313" s="70" t="str">
        <f>'RESUMEN TOTAL'!AK400</f>
        <v>APAGADO</v>
      </c>
      <c r="Y313" s="70" t="str">
        <f>'RESUMEN TOTAL'!AL400</f>
        <v>APAGADO</v>
      </c>
      <c r="Z313" s="70" t="str">
        <f>'RESUMEN TOTAL'!AM400</f>
        <v>APAGADO</v>
      </c>
      <c r="AA313" s="70" t="str">
        <f>'RESUMEN TOTAL'!AN400</f>
        <v>APAGADO</v>
      </c>
      <c r="AB313" s="70">
        <f>'RESUMEN TOTAL'!AO400</f>
        <v>0</v>
      </c>
      <c r="AC313" s="70">
        <f>'RESUMEN TOTAL'!AP400</f>
        <v>0</v>
      </c>
      <c r="AD313" s="70">
        <f>'RESUMEN TOTAL'!AQ400</f>
        <v>0</v>
      </c>
      <c r="AE313" s="70" t="str">
        <f>'RESUMEN TOTAL'!AR400</f>
        <v>APAGADO</v>
      </c>
      <c r="AF313" s="70" t="str">
        <f>'RESUMEN TOTAL'!AS400</f>
        <v>APAGADO</v>
      </c>
      <c r="AG313" s="70" t="str">
        <f>'RESUMEN TOTAL'!AT400</f>
        <v>APAGADO</v>
      </c>
      <c r="AH313" s="70">
        <f>'RESUMEN TOTAL'!AU400</f>
        <v>0</v>
      </c>
      <c r="AI313" s="70">
        <f>'RESUMEN TOTAL'!AV400</f>
        <v>0</v>
      </c>
      <c r="AJ313" s="70" t="e">
        <f>'RESUMEN TOTAL'!#REF!</f>
        <v>#REF!</v>
      </c>
    </row>
    <row r="314" spans="1:36" x14ac:dyDescent="0.25">
      <c r="A314" t="str">
        <f>'RESUMEN TOTAL'!F401</f>
        <v>VILLA AURORA</v>
      </c>
      <c r="B314" t="str">
        <f>'RESUMEN TOTAL'!G401</f>
        <v>SIR07 (fija 1)</v>
      </c>
      <c r="C314" t="str">
        <f>'RESUMEN TOTAL'!I401</f>
        <v>MONTEVERDE Y URIBURU</v>
      </c>
      <c r="D314" s="30" t="str">
        <f>'RESUMEN TOTAL'!J401</f>
        <v>Fija</v>
      </c>
      <c r="E314" s="30" t="str">
        <f>'RESUMEN TOTAL'!K401</f>
        <v>Fibra Optica</v>
      </c>
      <c r="F314" s="70">
        <f>'RESUMEN TOTAL'!S401</f>
        <v>0</v>
      </c>
      <c r="G314" s="70">
        <f>'RESUMEN TOTAL'!T401</f>
        <v>0</v>
      </c>
      <c r="H314" s="70">
        <f>'RESUMEN TOTAL'!U401</f>
        <v>0</v>
      </c>
      <c r="I314" s="70" t="str">
        <f>'RESUMEN TOTAL'!V401</f>
        <v>APAGADO</v>
      </c>
      <c r="J314" s="70" t="str">
        <f>'RESUMEN TOTAL'!W401</f>
        <v>APAGADO</v>
      </c>
      <c r="K314" s="70" t="str">
        <f>'RESUMEN TOTAL'!X401</f>
        <v>APAGADO</v>
      </c>
      <c r="L314" s="70" t="str">
        <f>'RESUMEN TOTAL'!Y401</f>
        <v>APAGADO</v>
      </c>
      <c r="M314" s="70" t="str">
        <f>'RESUMEN TOTAL'!Z401</f>
        <v>APAGADO</v>
      </c>
      <c r="N314" s="70">
        <f>'RESUMEN TOTAL'!AA401</f>
        <v>0</v>
      </c>
      <c r="O314" s="70">
        <f>'RESUMEN TOTAL'!AB401</f>
        <v>0</v>
      </c>
      <c r="P314" s="70" t="str">
        <f>'RESUMEN TOTAL'!AC401</f>
        <v>APAGADO</v>
      </c>
      <c r="Q314" s="70" t="str">
        <f>'RESUMEN TOTAL'!AD401</f>
        <v>APAGADO</v>
      </c>
      <c r="R314" s="70" t="str">
        <f>'RESUMEN TOTAL'!AE401</f>
        <v>APAGADO</v>
      </c>
      <c r="S314" s="70" t="str">
        <f>'RESUMEN TOTAL'!AF401</f>
        <v>APAGADO</v>
      </c>
      <c r="T314" s="70">
        <f>'RESUMEN TOTAL'!AG401</f>
        <v>0</v>
      </c>
      <c r="U314" s="70">
        <f>'RESUMEN TOTAL'!AH401</f>
        <v>0</v>
      </c>
      <c r="V314" s="70">
        <f>'RESUMEN TOTAL'!AI401</f>
        <v>0</v>
      </c>
      <c r="W314" s="70" t="str">
        <f>'RESUMEN TOTAL'!AJ401</f>
        <v>APAGADO</v>
      </c>
      <c r="X314" s="70" t="str">
        <f>'RESUMEN TOTAL'!AK401</f>
        <v>APAGADO</v>
      </c>
      <c r="Y314" s="70" t="str">
        <f>'RESUMEN TOTAL'!AL401</f>
        <v>APAGADO</v>
      </c>
      <c r="Z314" s="70" t="str">
        <f>'RESUMEN TOTAL'!AM401</f>
        <v>APAGADO</v>
      </c>
      <c r="AA314" s="70" t="str">
        <f>'RESUMEN TOTAL'!AN401</f>
        <v>APAGADO</v>
      </c>
      <c r="AB314" s="70">
        <f>'RESUMEN TOTAL'!AO401</f>
        <v>0</v>
      </c>
      <c r="AC314" s="70">
        <f>'RESUMEN TOTAL'!AP401</f>
        <v>0</v>
      </c>
      <c r="AD314" s="70">
        <f>'RESUMEN TOTAL'!AQ401</f>
        <v>0</v>
      </c>
      <c r="AE314" s="70" t="str">
        <f>'RESUMEN TOTAL'!AR401</f>
        <v>APAGADO</v>
      </c>
      <c r="AF314" s="70" t="str">
        <f>'RESUMEN TOTAL'!AS401</f>
        <v>APAGADO</v>
      </c>
      <c r="AG314" s="70">
        <f>'RESUMEN TOTAL'!AT401</f>
        <v>0</v>
      </c>
      <c r="AH314" s="70">
        <f>'RESUMEN TOTAL'!AU401</f>
        <v>0</v>
      </c>
      <c r="AI314" s="70">
        <f>'RESUMEN TOTAL'!AV401</f>
        <v>0</v>
      </c>
      <c r="AJ314" s="70" t="e">
        <f>'RESUMEN TOTAL'!#REF!</f>
        <v>#REF!</v>
      </c>
    </row>
    <row r="315" spans="1:36" x14ac:dyDescent="0.25">
      <c r="A315" t="str">
        <f>'RESUMEN TOTAL'!F402</f>
        <v>VILLA AURORA</v>
      </c>
      <c r="B315" t="str">
        <f>'RESUMEN TOTAL'!G402</f>
        <v>SIR08 (fija 2)</v>
      </c>
      <c r="C315" t="str">
        <f>'RESUMEN TOTAL'!I402</f>
        <v>MONTEVERDE Y URIBURU</v>
      </c>
      <c r="D315" s="30" t="str">
        <f>'RESUMEN TOTAL'!J402</f>
        <v>Fija</v>
      </c>
      <c r="E315" s="30" t="str">
        <f>'RESUMEN TOTAL'!K402</f>
        <v>Fibra Optica</v>
      </c>
      <c r="F315" s="70">
        <f>'RESUMEN TOTAL'!S402</f>
        <v>0</v>
      </c>
      <c r="G315" s="70">
        <f>'RESUMEN TOTAL'!T402</f>
        <v>0</v>
      </c>
      <c r="H315" s="70">
        <f>'RESUMEN TOTAL'!U402</f>
        <v>0</v>
      </c>
      <c r="I315" s="70" t="str">
        <f>'RESUMEN TOTAL'!V402</f>
        <v>APAGADO</v>
      </c>
      <c r="J315" s="70" t="str">
        <f>'RESUMEN TOTAL'!W402</f>
        <v>APAGADO</v>
      </c>
      <c r="K315" s="70" t="str">
        <f>'RESUMEN TOTAL'!X402</f>
        <v>APAGADO</v>
      </c>
      <c r="L315" s="70" t="str">
        <f>'RESUMEN TOTAL'!Y402</f>
        <v>APAGADO</v>
      </c>
      <c r="M315" s="70" t="str">
        <f>'RESUMEN TOTAL'!Z402</f>
        <v>APAGADO</v>
      </c>
      <c r="N315" s="70">
        <f>'RESUMEN TOTAL'!AA402</f>
        <v>0</v>
      </c>
      <c r="O315" s="70">
        <f>'RESUMEN TOTAL'!AB402</f>
        <v>0</v>
      </c>
      <c r="P315" s="70" t="str">
        <f>'RESUMEN TOTAL'!AC402</f>
        <v>APAGADO</v>
      </c>
      <c r="Q315" s="70" t="str">
        <f>'RESUMEN TOTAL'!AD402</f>
        <v>APAGADO</v>
      </c>
      <c r="R315" s="70" t="str">
        <f>'RESUMEN TOTAL'!AE402</f>
        <v>APAGADO</v>
      </c>
      <c r="S315" s="70" t="str">
        <f>'RESUMEN TOTAL'!AF402</f>
        <v>APAGADO</v>
      </c>
      <c r="T315" s="70">
        <f>'RESUMEN TOTAL'!AG402</f>
        <v>0</v>
      </c>
      <c r="U315" s="70">
        <f>'RESUMEN TOTAL'!AH402</f>
        <v>0</v>
      </c>
      <c r="V315" s="70">
        <f>'RESUMEN TOTAL'!AI402</f>
        <v>0</v>
      </c>
      <c r="W315" s="70" t="str">
        <f>'RESUMEN TOTAL'!AJ402</f>
        <v>APAGADO</v>
      </c>
      <c r="X315" s="70" t="str">
        <f>'RESUMEN TOTAL'!AK402</f>
        <v>APAGADO</v>
      </c>
      <c r="Y315" s="70" t="str">
        <f>'RESUMEN TOTAL'!AL402</f>
        <v>APAGADO</v>
      </c>
      <c r="Z315" s="70" t="str">
        <f>'RESUMEN TOTAL'!AM402</f>
        <v>APAGADO</v>
      </c>
      <c r="AA315" s="70" t="str">
        <f>'RESUMEN TOTAL'!AN402</f>
        <v>APAGADO</v>
      </c>
      <c r="AB315" s="70">
        <f>'RESUMEN TOTAL'!AO402</f>
        <v>0</v>
      </c>
      <c r="AC315" s="70">
        <f>'RESUMEN TOTAL'!AP402</f>
        <v>0</v>
      </c>
      <c r="AD315" s="70">
        <f>'RESUMEN TOTAL'!AQ402</f>
        <v>0</v>
      </c>
      <c r="AE315" s="70" t="str">
        <f>'RESUMEN TOTAL'!AR402</f>
        <v>APAGADO</v>
      </c>
      <c r="AF315" s="70" t="str">
        <f>'RESUMEN TOTAL'!AS402</f>
        <v>APAGADO</v>
      </c>
      <c r="AG315" s="70">
        <f>'RESUMEN TOTAL'!AT402</f>
        <v>0</v>
      </c>
      <c r="AH315" s="70">
        <f>'RESUMEN TOTAL'!AU402</f>
        <v>0</v>
      </c>
      <c r="AI315" s="70">
        <f>'RESUMEN TOTAL'!AV402</f>
        <v>0</v>
      </c>
      <c r="AJ315" s="70" t="e">
        <f>'RESUMEN TOTAL'!#REF!</f>
        <v>#REF!</v>
      </c>
    </row>
    <row r="316" spans="1:36" x14ac:dyDescent="0.25">
      <c r="A316" t="str">
        <f>'RESUMEN TOTAL'!F408</f>
        <v>SAN JORGE</v>
      </c>
      <c r="B316" t="str">
        <f>'RESUMEN TOTAL'!G408</f>
        <v>SJO 04</v>
      </c>
      <c r="C316" t="str">
        <f>'RESUMEN TOTAL'!I408</f>
        <v>552 Y 519</v>
      </c>
      <c r="D316" s="30" t="str">
        <f>'RESUMEN TOTAL'!J408</f>
        <v>DOMO</v>
      </c>
      <c r="E316" s="30" t="str">
        <f>'RESUMEN TOTAL'!K408</f>
        <v>GPON</v>
      </c>
      <c r="F316" s="70">
        <f>'RESUMEN TOTAL'!S408</f>
        <v>0</v>
      </c>
      <c r="G316" s="70">
        <f>'RESUMEN TOTAL'!T408</f>
        <v>0</v>
      </c>
      <c r="H316" s="70">
        <f>'RESUMEN TOTAL'!U408</f>
        <v>0</v>
      </c>
      <c r="I316" s="70">
        <f>'RESUMEN TOTAL'!V408</f>
        <v>0</v>
      </c>
      <c r="J316" s="70">
        <f>'RESUMEN TOTAL'!W408</f>
        <v>0</v>
      </c>
      <c r="K316" s="70">
        <f>'RESUMEN TOTAL'!X408</f>
        <v>0</v>
      </c>
      <c r="L316" s="70">
        <f>'RESUMEN TOTAL'!Y408</f>
        <v>0</v>
      </c>
      <c r="M316" s="70">
        <f>'RESUMEN TOTAL'!Z408</f>
        <v>0</v>
      </c>
      <c r="N316" s="70">
        <f>'RESUMEN TOTAL'!AA408</f>
        <v>0</v>
      </c>
      <c r="O316" s="70">
        <f>'RESUMEN TOTAL'!AB408</f>
        <v>0</v>
      </c>
      <c r="P316" s="70">
        <f>'RESUMEN TOTAL'!AC408</f>
        <v>0</v>
      </c>
      <c r="Q316" s="70">
        <f>'RESUMEN TOTAL'!AD408</f>
        <v>0</v>
      </c>
      <c r="R316" s="70">
        <f>'RESUMEN TOTAL'!AE408</f>
        <v>0</v>
      </c>
      <c r="S316" s="70">
        <f>'RESUMEN TOTAL'!AF408</f>
        <v>0</v>
      </c>
      <c r="T316" s="70">
        <f>'RESUMEN TOTAL'!AG408</f>
        <v>0</v>
      </c>
      <c r="U316" s="70">
        <f>'RESUMEN TOTAL'!AH408</f>
        <v>0</v>
      </c>
      <c r="V316" s="70">
        <f>'RESUMEN TOTAL'!AI408</f>
        <v>0</v>
      </c>
      <c r="W316" s="70" t="str">
        <f>'RESUMEN TOTAL'!AJ408</f>
        <v>APAGADO</v>
      </c>
      <c r="X316" s="70" t="str">
        <f>'RESUMEN TOTAL'!AK408</f>
        <v>APAGADO</v>
      </c>
      <c r="Y316" s="70" t="str">
        <f>'RESUMEN TOTAL'!AL408</f>
        <v>APAGADO</v>
      </c>
      <c r="Z316" s="70">
        <f>'RESUMEN TOTAL'!AM408</f>
        <v>0</v>
      </c>
      <c r="AA316" s="70">
        <f>'RESUMEN TOTAL'!AN408</f>
        <v>0</v>
      </c>
      <c r="AB316" s="70">
        <f>'RESUMEN TOTAL'!AO408</f>
        <v>0</v>
      </c>
      <c r="AC316" s="70">
        <f>'RESUMEN TOTAL'!AP408</f>
        <v>0</v>
      </c>
      <c r="AD316" s="70">
        <f>'RESUMEN TOTAL'!AQ408</f>
        <v>0</v>
      </c>
      <c r="AE316" s="70">
        <f>'RESUMEN TOTAL'!AR408</f>
        <v>0</v>
      </c>
      <c r="AF316" s="70">
        <f>'RESUMEN TOTAL'!AS408</f>
        <v>0</v>
      </c>
      <c r="AG316" s="70">
        <f>'RESUMEN TOTAL'!AT408</f>
        <v>0</v>
      </c>
      <c r="AH316" s="70">
        <f>'RESUMEN TOTAL'!AU408</f>
        <v>0</v>
      </c>
      <c r="AI316" s="70">
        <f>'RESUMEN TOTAL'!AV408</f>
        <v>0</v>
      </c>
      <c r="AJ316" s="70" t="e">
        <f>'RESUMEN TOTAL'!#REF!</f>
        <v>#REF!</v>
      </c>
    </row>
    <row r="317" spans="1:36" x14ac:dyDescent="0.25">
      <c r="A317" t="str">
        <f>'RESUMEN TOTAL'!F409</f>
        <v>SAN JORGE</v>
      </c>
      <c r="B317" t="str">
        <f>'RESUMEN TOTAL'!G409</f>
        <v>SJO 09 (FIJA 1)</v>
      </c>
      <c r="C317" t="str">
        <f>'RESUMEN TOTAL'!I409</f>
        <v>515 Y 566</v>
      </c>
      <c r="D317" s="30" t="str">
        <f>'RESUMEN TOTAL'!J409</f>
        <v>Fija</v>
      </c>
      <c r="E317" s="30" t="str">
        <f>'RESUMEN TOTAL'!K409</f>
        <v>Radio</v>
      </c>
      <c r="F317" s="70">
        <f>'RESUMEN TOTAL'!S409</f>
        <v>0</v>
      </c>
      <c r="G317" s="70">
        <f>'RESUMEN TOTAL'!T409</f>
        <v>0</v>
      </c>
      <c r="H317" s="70">
        <f>'RESUMEN TOTAL'!V409</f>
        <v>0</v>
      </c>
      <c r="I317" s="70">
        <v>0</v>
      </c>
      <c r="J317" s="70">
        <f>'RESUMEN TOTAL'!W409</f>
        <v>0</v>
      </c>
      <c r="K317" s="70">
        <f>'RESUMEN TOTAL'!X409</f>
        <v>0</v>
      </c>
      <c r="L317" s="70">
        <f>'RESUMEN TOTAL'!Y409</f>
        <v>0</v>
      </c>
      <c r="M317" s="70">
        <f>'RESUMEN TOTAL'!Z409</f>
        <v>0</v>
      </c>
      <c r="N317" s="70">
        <f>'RESUMEN TOTAL'!AA409</f>
        <v>0</v>
      </c>
      <c r="O317" s="70">
        <f>'RESUMEN TOTAL'!AB409</f>
        <v>0</v>
      </c>
      <c r="P317" s="70">
        <f>'RESUMEN TOTAL'!AC409</f>
        <v>0</v>
      </c>
      <c r="Q317" s="70">
        <f>'RESUMEN TOTAL'!AD409</f>
        <v>0</v>
      </c>
      <c r="R317" s="70">
        <f>'RESUMEN TOTAL'!AE409</f>
        <v>0</v>
      </c>
      <c r="S317" s="70">
        <f>'RESUMEN TOTAL'!AF409</f>
        <v>0</v>
      </c>
      <c r="T317" s="70">
        <f>'RESUMEN TOTAL'!AG409</f>
        <v>0</v>
      </c>
      <c r="U317" s="70">
        <f>'RESUMEN TOTAL'!AH409</f>
        <v>0</v>
      </c>
      <c r="V317" s="70">
        <f>'RESUMEN TOTAL'!AI409</f>
        <v>0</v>
      </c>
      <c r="W317" s="70">
        <f>'RESUMEN TOTAL'!AJ409</f>
        <v>0</v>
      </c>
      <c r="X317" s="70">
        <f>'RESUMEN TOTAL'!AK409</f>
        <v>0</v>
      </c>
      <c r="Y317" s="70">
        <f>'RESUMEN TOTAL'!AL409</f>
        <v>0</v>
      </c>
      <c r="Z317" s="70">
        <f>'RESUMEN TOTAL'!AM409</f>
        <v>0</v>
      </c>
      <c r="AA317" s="70">
        <f>'RESUMEN TOTAL'!AN409</f>
        <v>0</v>
      </c>
      <c r="AB317" s="70">
        <f>'RESUMEN TOTAL'!AO409</f>
        <v>0</v>
      </c>
      <c r="AC317" s="70">
        <f>'RESUMEN TOTAL'!AP409</f>
        <v>0</v>
      </c>
      <c r="AD317" s="70">
        <f>'RESUMEN TOTAL'!AQ409</f>
        <v>0</v>
      </c>
      <c r="AE317" s="70">
        <f>'RESUMEN TOTAL'!AR409</f>
        <v>0</v>
      </c>
      <c r="AF317" s="70">
        <f>'RESUMEN TOTAL'!AS409</f>
        <v>0</v>
      </c>
      <c r="AG317" s="70">
        <f>'RESUMEN TOTAL'!AT409</f>
        <v>0</v>
      </c>
      <c r="AH317" s="70">
        <f>'RESUMEN TOTAL'!AU409</f>
        <v>0</v>
      </c>
      <c r="AI317" s="70">
        <f>'RESUMEN TOTAL'!AV409</f>
        <v>0</v>
      </c>
      <c r="AJ317" s="70" t="e">
        <f>'RESUMEN TOTAL'!#REF!</f>
        <v>#REF!</v>
      </c>
    </row>
    <row r="318" spans="1:36" x14ac:dyDescent="0.25">
      <c r="A318" t="str">
        <f>'RESUMEN TOTAL'!F410</f>
        <v>SAN JORGE</v>
      </c>
      <c r="B318" t="str">
        <f>'RESUMEN TOTAL'!G410</f>
        <v>SJO 10 (FIJA 2)</v>
      </c>
      <c r="C318" t="str">
        <f>'RESUMEN TOTAL'!I410</f>
        <v>515 Y 566</v>
      </c>
      <c r="D318" s="30" t="str">
        <f>'RESUMEN TOTAL'!J410</f>
        <v>Fija</v>
      </c>
      <c r="E318" s="30" t="str">
        <f>'RESUMEN TOTAL'!K410</f>
        <v>Radio</v>
      </c>
      <c r="F318" s="70">
        <f>'RESUMEN TOTAL'!S410</f>
        <v>0</v>
      </c>
      <c r="G318" s="70">
        <f>'RESUMEN TOTAL'!T410</f>
        <v>0</v>
      </c>
      <c r="H318" s="70">
        <f>'RESUMEN TOTAL'!U410</f>
        <v>0</v>
      </c>
      <c r="I318" s="70">
        <f>'RESUMEN TOTAL'!V410</f>
        <v>0</v>
      </c>
      <c r="J318" s="70">
        <f>'RESUMEN TOTAL'!W410</f>
        <v>0</v>
      </c>
      <c r="K318" s="70">
        <f>'RESUMEN TOTAL'!X410</f>
        <v>0</v>
      </c>
      <c r="L318" s="70">
        <f>'RESUMEN TOTAL'!Y410</f>
        <v>0</v>
      </c>
      <c r="M318" s="70">
        <f>'RESUMEN TOTAL'!Z410</f>
        <v>0</v>
      </c>
      <c r="N318" s="70">
        <f>'RESUMEN TOTAL'!AA410</f>
        <v>0</v>
      </c>
      <c r="O318" s="70">
        <f>'RESUMEN TOTAL'!AB410</f>
        <v>0</v>
      </c>
      <c r="P318" s="70">
        <f>'RESUMEN TOTAL'!AC410</f>
        <v>0</v>
      </c>
      <c r="Q318" s="70">
        <f>'RESUMEN TOTAL'!AD410</f>
        <v>0</v>
      </c>
      <c r="R318" s="70">
        <f>'RESUMEN TOTAL'!AE410</f>
        <v>0</v>
      </c>
      <c r="S318" s="70">
        <f>'RESUMEN TOTAL'!AF410</f>
        <v>0</v>
      </c>
      <c r="T318" s="70">
        <f>'RESUMEN TOTAL'!AG410</f>
        <v>0</v>
      </c>
      <c r="U318" s="70">
        <f>'RESUMEN TOTAL'!AH410</f>
        <v>0</v>
      </c>
      <c r="V318" s="70">
        <f>'RESUMEN TOTAL'!AI410</f>
        <v>0</v>
      </c>
      <c r="W318" s="70">
        <f>'RESUMEN TOTAL'!AJ410</f>
        <v>0</v>
      </c>
      <c r="X318" s="70">
        <f>'RESUMEN TOTAL'!AK410</f>
        <v>0</v>
      </c>
      <c r="Y318" s="70">
        <f>'RESUMEN TOTAL'!AL410</f>
        <v>0</v>
      </c>
      <c r="Z318" s="70">
        <f>'RESUMEN TOTAL'!AM410</f>
        <v>0</v>
      </c>
      <c r="AA318" s="70">
        <f>'RESUMEN TOTAL'!AN410</f>
        <v>0</v>
      </c>
      <c r="AB318" s="70">
        <f>'RESUMEN TOTAL'!AO410</f>
        <v>0</v>
      </c>
      <c r="AC318" s="70">
        <f>'RESUMEN TOTAL'!AP410</f>
        <v>0</v>
      </c>
      <c r="AD318" s="70">
        <f>'RESUMEN TOTAL'!AQ410</f>
        <v>0</v>
      </c>
      <c r="AE318" s="70">
        <f>'RESUMEN TOTAL'!AR410</f>
        <v>0</v>
      </c>
      <c r="AF318" s="70">
        <f>'RESUMEN TOTAL'!AS410</f>
        <v>0</v>
      </c>
      <c r="AG318" s="70">
        <f>'RESUMEN TOTAL'!AT410</f>
        <v>0</v>
      </c>
      <c r="AH318" s="70">
        <f>'RESUMEN TOTAL'!AU410</f>
        <v>0</v>
      </c>
      <c r="AI318" s="70">
        <f>'RESUMEN TOTAL'!AV410</f>
        <v>0</v>
      </c>
      <c r="AJ318" s="70" t="e">
        <f>'RESUMEN TOTAL'!#REF!</f>
        <v>#REF!</v>
      </c>
    </row>
    <row r="319" spans="1:36" x14ac:dyDescent="0.25">
      <c r="A319" t="str">
        <f>'RESUMEN TOTAL'!F411</f>
        <v>SAN JORGE</v>
      </c>
      <c r="B319" t="str">
        <f>'RESUMEN TOTAL'!G411</f>
        <v>SJO01</v>
      </c>
      <c r="C319" t="str">
        <f>'RESUMEN TOTAL'!I411</f>
        <v>Calle 554 y 527</v>
      </c>
      <c r="D319" s="30" t="str">
        <f>'RESUMEN TOTAL'!J411</f>
        <v>Domo</v>
      </c>
      <c r="E319" s="30" t="str">
        <f>'RESUMEN TOTAL'!K411</f>
        <v>PTO A FO</v>
      </c>
      <c r="F319" s="70">
        <f>'RESUMEN TOTAL'!S411</f>
        <v>0</v>
      </c>
      <c r="G319" s="70">
        <f>'RESUMEN TOTAL'!T411</f>
        <v>0</v>
      </c>
      <c r="H319" s="70">
        <f>'RESUMEN TOTAL'!U411</f>
        <v>0</v>
      </c>
      <c r="I319" s="70">
        <f>'RESUMEN TOTAL'!V411</f>
        <v>0</v>
      </c>
      <c r="J319" s="70">
        <f>'RESUMEN TOTAL'!W411</f>
        <v>0</v>
      </c>
      <c r="K319" s="70">
        <f>'RESUMEN TOTAL'!X411</f>
        <v>0</v>
      </c>
      <c r="L319" s="70">
        <f>'RESUMEN TOTAL'!Y411</f>
        <v>0</v>
      </c>
      <c r="M319" s="70">
        <f>'RESUMEN TOTAL'!Z411</f>
        <v>0</v>
      </c>
      <c r="N319" s="70">
        <f>'RESUMEN TOTAL'!AA411</f>
        <v>0</v>
      </c>
      <c r="O319" s="70">
        <f>'RESUMEN TOTAL'!AB411</f>
        <v>0</v>
      </c>
      <c r="P319" s="70">
        <f>'RESUMEN TOTAL'!AC411</f>
        <v>0</v>
      </c>
      <c r="Q319" s="70">
        <f>'RESUMEN TOTAL'!AD411</f>
        <v>0</v>
      </c>
      <c r="R319" s="70">
        <f>'RESUMEN TOTAL'!AE411</f>
        <v>0</v>
      </c>
      <c r="S319" s="70">
        <f>'RESUMEN TOTAL'!AF411</f>
        <v>0</v>
      </c>
      <c r="T319" s="70">
        <f>'RESUMEN TOTAL'!AG411</f>
        <v>0</v>
      </c>
      <c r="U319" s="70">
        <f>'RESUMEN TOTAL'!AH411</f>
        <v>0</v>
      </c>
      <c r="V319" s="70">
        <f>'RESUMEN TOTAL'!AI411</f>
        <v>0</v>
      </c>
      <c r="W319" s="70">
        <f>'RESUMEN TOTAL'!AJ411</f>
        <v>0</v>
      </c>
      <c r="X319" s="70">
        <f>'RESUMEN TOTAL'!AK411</f>
        <v>0</v>
      </c>
      <c r="Y319" s="70">
        <f>'RESUMEN TOTAL'!AL411</f>
        <v>0</v>
      </c>
      <c r="Z319" s="70">
        <f>'RESUMEN TOTAL'!AM411</f>
        <v>0</v>
      </c>
      <c r="AA319" s="70">
        <f>'RESUMEN TOTAL'!AN411</f>
        <v>0</v>
      </c>
      <c r="AB319" s="70">
        <f>'RESUMEN TOTAL'!AO411</f>
        <v>0</v>
      </c>
      <c r="AC319" s="70">
        <f>'RESUMEN TOTAL'!AP411</f>
        <v>0</v>
      </c>
      <c r="AD319" s="70">
        <f>'RESUMEN TOTAL'!AQ411</f>
        <v>0</v>
      </c>
      <c r="AE319" s="70">
        <f>'RESUMEN TOTAL'!AR411</f>
        <v>0</v>
      </c>
      <c r="AF319" s="70">
        <f>'RESUMEN TOTAL'!AS411</f>
        <v>0</v>
      </c>
      <c r="AG319" s="70" t="str">
        <f>'RESUMEN TOTAL'!AT411</f>
        <v>APAGADO</v>
      </c>
      <c r="AH319" s="70">
        <f>'RESUMEN TOTAL'!AU411</f>
        <v>0</v>
      </c>
      <c r="AI319" s="70">
        <f>'RESUMEN TOTAL'!AV411</f>
        <v>0</v>
      </c>
      <c r="AJ319" s="70" t="e">
        <f>'RESUMEN TOTAL'!#REF!</f>
        <v>#REF!</v>
      </c>
    </row>
    <row r="320" spans="1:36" x14ac:dyDescent="0.25">
      <c r="A320" t="str">
        <f>'RESUMEN TOTAL'!F412</f>
        <v>SAN JORGE</v>
      </c>
      <c r="B320" t="str">
        <f>'RESUMEN TOTAL'!G412</f>
        <v>SJO02</v>
      </c>
      <c r="C320" t="str">
        <f>'RESUMEN TOTAL'!I412</f>
        <v>Calle 554 y 511</v>
      </c>
      <c r="D320" s="30" t="str">
        <f>'RESUMEN TOTAL'!J412</f>
        <v>Domo</v>
      </c>
      <c r="E320" s="30" t="str">
        <f>'RESUMEN TOTAL'!K412</f>
        <v>Radio</v>
      </c>
      <c r="F320" s="70">
        <f>'RESUMEN TOTAL'!S412</f>
        <v>0</v>
      </c>
      <c r="G320" s="70">
        <f>'RESUMEN TOTAL'!T412</f>
        <v>0</v>
      </c>
      <c r="H320" s="70">
        <f>'RESUMEN TOTAL'!U412</f>
        <v>0</v>
      </c>
      <c r="I320" s="70">
        <f>'RESUMEN TOTAL'!V412</f>
        <v>0</v>
      </c>
      <c r="J320" s="70">
        <f>'RESUMEN TOTAL'!W412</f>
        <v>0</v>
      </c>
      <c r="K320" s="70">
        <f>'RESUMEN TOTAL'!X412</f>
        <v>0</v>
      </c>
      <c r="L320" s="70">
        <f>'RESUMEN TOTAL'!Y412</f>
        <v>0</v>
      </c>
      <c r="M320" s="70">
        <f>'RESUMEN TOTAL'!Z412</f>
        <v>0</v>
      </c>
      <c r="N320" s="70">
        <f>'RESUMEN TOTAL'!AA412</f>
        <v>0</v>
      </c>
      <c r="O320" s="70">
        <f>'RESUMEN TOTAL'!AB412</f>
        <v>0</v>
      </c>
      <c r="P320" s="70">
        <f>'RESUMEN TOTAL'!AC412</f>
        <v>0</v>
      </c>
      <c r="Q320" s="70">
        <f>'RESUMEN TOTAL'!AD412</f>
        <v>0</v>
      </c>
      <c r="R320" s="70">
        <f>'RESUMEN TOTAL'!AE412</f>
        <v>0</v>
      </c>
      <c r="S320" s="70">
        <f>'RESUMEN TOTAL'!AF412</f>
        <v>0</v>
      </c>
      <c r="T320" s="70">
        <f>'RESUMEN TOTAL'!AG412</f>
        <v>0</v>
      </c>
      <c r="U320" s="70">
        <f>'RESUMEN TOTAL'!AH412</f>
        <v>0</v>
      </c>
      <c r="V320" s="70">
        <f>'RESUMEN TOTAL'!AI412</f>
        <v>0</v>
      </c>
      <c r="W320" s="70">
        <f>'RESUMEN TOTAL'!AJ412</f>
        <v>0</v>
      </c>
      <c r="X320" s="70">
        <f>'RESUMEN TOTAL'!AK412</f>
        <v>0</v>
      </c>
      <c r="Y320" s="70">
        <f>'RESUMEN TOTAL'!AL412</f>
        <v>0</v>
      </c>
      <c r="Z320" s="70">
        <f>'RESUMEN TOTAL'!AM412</f>
        <v>0</v>
      </c>
      <c r="AA320" s="70">
        <f>'RESUMEN TOTAL'!AN412</f>
        <v>0</v>
      </c>
      <c r="AB320" s="70">
        <f>'RESUMEN TOTAL'!AO412</f>
        <v>0</v>
      </c>
      <c r="AC320" s="70">
        <f>'RESUMEN TOTAL'!AP412</f>
        <v>0</v>
      </c>
      <c r="AD320" s="70">
        <f>'RESUMEN TOTAL'!AQ412</f>
        <v>0</v>
      </c>
      <c r="AE320" s="70">
        <f>'RESUMEN TOTAL'!AR412</f>
        <v>0</v>
      </c>
      <c r="AF320" s="70">
        <f>'RESUMEN TOTAL'!AS412</f>
        <v>0</v>
      </c>
      <c r="AG320" s="70">
        <f>'RESUMEN TOTAL'!AT412</f>
        <v>0</v>
      </c>
      <c r="AH320" s="70">
        <f>'RESUMEN TOTAL'!AU412</f>
        <v>0</v>
      </c>
      <c r="AI320" s="70">
        <f>'RESUMEN TOTAL'!AV412</f>
        <v>0</v>
      </c>
      <c r="AJ320" s="70" t="e">
        <f>'RESUMEN TOTAL'!#REF!</f>
        <v>#REF!</v>
      </c>
    </row>
    <row r="321" spans="1:36" x14ac:dyDescent="0.25">
      <c r="A321" t="str">
        <f>'RESUMEN TOTAL'!F413</f>
        <v>SAN JORGE</v>
      </c>
      <c r="B321" t="str">
        <f>'RESUMEN TOTAL'!G413</f>
        <v>SJO05 (fija 1)</v>
      </c>
      <c r="C321" t="str">
        <f>'RESUMEN TOTAL'!I413</f>
        <v>511 Y 560</v>
      </c>
      <c r="D321" s="30" t="str">
        <f>'RESUMEN TOTAL'!J413</f>
        <v>Fija</v>
      </c>
      <c r="E321" s="30" t="str">
        <f>'RESUMEN TOTAL'!K413</f>
        <v>FO A GPON</v>
      </c>
      <c r="F321" s="70">
        <f>'RESUMEN TOTAL'!S413</f>
        <v>0</v>
      </c>
      <c r="G321" s="70">
        <f>'RESUMEN TOTAL'!T413</f>
        <v>0</v>
      </c>
      <c r="H321" s="70" t="str">
        <f>'RESUMEN TOTAL'!V413</f>
        <v>APAGADO</v>
      </c>
      <c r="I321" s="70">
        <v>0</v>
      </c>
      <c r="J321" s="70" t="str">
        <f>'RESUMEN TOTAL'!W413</f>
        <v>APAGADO</v>
      </c>
      <c r="K321" s="70" t="str">
        <f>'RESUMEN TOTAL'!X413</f>
        <v>APAGADO</v>
      </c>
      <c r="L321" s="70" t="str">
        <f>'RESUMEN TOTAL'!Y413</f>
        <v>APAGADO</v>
      </c>
      <c r="M321" s="70" t="str">
        <f>'RESUMEN TOTAL'!Z413</f>
        <v>APAGADO</v>
      </c>
      <c r="N321" s="70">
        <f>'RESUMEN TOTAL'!AA413</f>
        <v>0</v>
      </c>
      <c r="O321" s="70">
        <f>'RESUMEN TOTAL'!AB413</f>
        <v>0</v>
      </c>
      <c r="P321" s="70" t="str">
        <f>'RESUMEN TOTAL'!AC413</f>
        <v>APAGADO</v>
      </c>
      <c r="Q321" s="70" t="str">
        <f>'RESUMEN TOTAL'!AD413</f>
        <v>APAGADO</v>
      </c>
      <c r="R321" s="70" t="str">
        <f>'RESUMEN TOTAL'!AE413</f>
        <v>APAGADO</v>
      </c>
      <c r="S321" s="70" t="str">
        <f>'RESUMEN TOTAL'!AF413</f>
        <v>APAGADO</v>
      </c>
      <c r="T321" s="70" t="str">
        <f>'RESUMEN TOTAL'!AG413</f>
        <v>APAGADO</v>
      </c>
      <c r="U321" s="70">
        <f>'RESUMEN TOTAL'!AH413</f>
        <v>0</v>
      </c>
      <c r="V321" s="70">
        <f>'RESUMEN TOTAL'!AI413</f>
        <v>0</v>
      </c>
      <c r="W321" s="70" t="str">
        <f>'RESUMEN TOTAL'!AJ413</f>
        <v>APAGADO</v>
      </c>
      <c r="X321" s="70" t="str">
        <f>'RESUMEN TOTAL'!AK413</f>
        <v>APAGADO</v>
      </c>
      <c r="Y321" s="70" t="str">
        <f>'RESUMEN TOTAL'!AL413</f>
        <v>APAGADO</v>
      </c>
      <c r="Z321" s="70" t="str">
        <f>'RESUMEN TOTAL'!AM413</f>
        <v>APAGADO</v>
      </c>
      <c r="AA321" s="70" t="str">
        <f>'RESUMEN TOTAL'!AN413</f>
        <v>APAGADO</v>
      </c>
      <c r="AB321" s="70">
        <f>'RESUMEN TOTAL'!AO413</f>
        <v>0</v>
      </c>
      <c r="AC321" s="70">
        <f>'RESUMEN TOTAL'!AP413</f>
        <v>0</v>
      </c>
      <c r="AD321" s="70">
        <f>'RESUMEN TOTAL'!AQ413</f>
        <v>0</v>
      </c>
      <c r="AE321" s="70" t="str">
        <f>'RESUMEN TOTAL'!AR413</f>
        <v>APAGADO</v>
      </c>
      <c r="AF321" s="70" t="str">
        <f>'RESUMEN TOTAL'!AS413</f>
        <v>APAGADO</v>
      </c>
      <c r="AG321" s="70" t="str">
        <f>'RESUMEN TOTAL'!AT413</f>
        <v>APAGADO</v>
      </c>
      <c r="AH321" s="70">
        <f>'RESUMEN TOTAL'!AU413</f>
        <v>0</v>
      </c>
      <c r="AI321" s="70">
        <f>'RESUMEN TOTAL'!AV413</f>
        <v>0</v>
      </c>
      <c r="AJ321" s="70" t="e">
        <f>'RESUMEN TOTAL'!#REF!</f>
        <v>#REF!</v>
      </c>
    </row>
    <row r="322" spans="1:36" x14ac:dyDescent="0.25">
      <c r="A322" t="str">
        <f>'RESUMEN TOTAL'!F414</f>
        <v>SAN JORGE</v>
      </c>
      <c r="B322" t="str">
        <f>'RESUMEN TOTAL'!G414</f>
        <v>SJO06 (fija 2)</v>
      </c>
      <c r="C322" t="str">
        <f>'RESUMEN TOTAL'!I414</f>
        <v>511 Y 560</v>
      </c>
      <c r="D322" s="30" t="str">
        <f>'RESUMEN TOTAL'!J414</f>
        <v>Fija</v>
      </c>
      <c r="E322" s="30" t="str">
        <f>'RESUMEN TOTAL'!K414</f>
        <v>FO A GPON</v>
      </c>
      <c r="F322" s="70">
        <f>'RESUMEN TOTAL'!S414</f>
        <v>0</v>
      </c>
      <c r="G322" s="70">
        <f>'RESUMEN TOTAL'!T414</f>
        <v>0</v>
      </c>
      <c r="H322" s="70" t="str">
        <f>'RESUMEN TOTAL'!V414</f>
        <v>APAGADO</v>
      </c>
      <c r="I322" s="70">
        <v>0</v>
      </c>
      <c r="J322" s="70" t="str">
        <f>'RESUMEN TOTAL'!W414</f>
        <v>APAGADO</v>
      </c>
      <c r="K322" s="70" t="str">
        <f>'RESUMEN TOTAL'!X414</f>
        <v>APAGADO</v>
      </c>
      <c r="L322" s="70" t="str">
        <f>'RESUMEN TOTAL'!Y414</f>
        <v>APAGADO</v>
      </c>
      <c r="M322" s="70" t="str">
        <f>'RESUMEN TOTAL'!Z414</f>
        <v>APAGADO</v>
      </c>
      <c r="N322" s="70">
        <f>'RESUMEN TOTAL'!AA414</f>
        <v>0</v>
      </c>
      <c r="O322" s="70">
        <f>'RESUMEN TOTAL'!AB414</f>
        <v>0</v>
      </c>
      <c r="P322" s="70" t="str">
        <f>'RESUMEN TOTAL'!AC414</f>
        <v>APAGADO</v>
      </c>
      <c r="Q322" s="70" t="str">
        <f>'RESUMEN TOTAL'!AD414</f>
        <v>APAGADO</v>
      </c>
      <c r="R322" s="70" t="str">
        <f>'RESUMEN TOTAL'!AE414</f>
        <v>APAGADO</v>
      </c>
      <c r="S322" s="70" t="str">
        <f>'RESUMEN TOTAL'!AF414</f>
        <v>APAGADO</v>
      </c>
      <c r="T322" s="70" t="str">
        <f>'RESUMEN TOTAL'!AG414</f>
        <v>APAGADO</v>
      </c>
      <c r="U322" s="70">
        <f>'RESUMEN TOTAL'!AH414</f>
        <v>0</v>
      </c>
      <c r="V322" s="70">
        <f>'RESUMEN TOTAL'!AI414</f>
        <v>0</v>
      </c>
      <c r="W322" s="70" t="str">
        <f>'RESUMEN TOTAL'!AJ414</f>
        <v>APAGADO</v>
      </c>
      <c r="X322" s="70" t="str">
        <f>'RESUMEN TOTAL'!AK414</f>
        <v>APAGADO</v>
      </c>
      <c r="Y322" s="70" t="str">
        <f>'RESUMEN TOTAL'!AL414</f>
        <v>APAGADO</v>
      </c>
      <c r="Z322" s="70" t="str">
        <f>'RESUMEN TOTAL'!AM414</f>
        <v>APAGADO</v>
      </c>
      <c r="AA322" s="70" t="str">
        <f>'RESUMEN TOTAL'!AN414</f>
        <v>APAGADO</v>
      </c>
      <c r="AB322" s="70">
        <f>'RESUMEN TOTAL'!AO414</f>
        <v>0</v>
      </c>
      <c r="AC322" s="70">
        <f>'RESUMEN TOTAL'!AP414</f>
        <v>0</v>
      </c>
      <c r="AD322" s="70">
        <f>'RESUMEN TOTAL'!AQ414</f>
        <v>0</v>
      </c>
      <c r="AE322" s="70" t="str">
        <f>'RESUMEN TOTAL'!AR414</f>
        <v>APAGADO</v>
      </c>
      <c r="AF322" s="70" t="str">
        <f>'RESUMEN TOTAL'!AS414</f>
        <v>APAGADO</v>
      </c>
      <c r="AG322" s="70" t="str">
        <f>'RESUMEN TOTAL'!AT414</f>
        <v>APAGADO</v>
      </c>
      <c r="AH322" s="70">
        <f>'RESUMEN TOTAL'!AU414</f>
        <v>0</v>
      </c>
      <c r="AI322" s="70">
        <f>'RESUMEN TOTAL'!AV414</f>
        <v>0</v>
      </c>
      <c r="AJ322" s="70" t="e">
        <f>'RESUMEN TOTAL'!#REF!</f>
        <v>#REF!</v>
      </c>
    </row>
    <row r="323" spans="1:36" x14ac:dyDescent="0.25">
      <c r="A323" t="str">
        <f>'RESUMEN TOTAL'!F415</f>
        <v>SAN JORGE</v>
      </c>
      <c r="B323" t="str">
        <f>'RESUMEN TOTAL'!G415</f>
        <v>SJO07 (fija 1)</v>
      </c>
      <c r="C323" t="str">
        <f>'RESUMEN TOTAL'!I415</f>
        <v>503 Y 556</v>
      </c>
      <c r="D323" s="30" t="str">
        <f>'RESUMEN TOTAL'!J415</f>
        <v>Fija</v>
      </c>
      <c r="E323" s="30" t="str">
        <f>'RESUMEN TOTAL'!K415</f>
        <v>GPON</v>
      </c>
      <c r="F323" s="70">
        <f>'RESUMEN TOTAL'!S415</f>
        <v>0</v>
      </c>
      <c r="G323" s="70">
        <f>'RESUMEN TOTAL'!T415</f>
        <v>0</v>
      </c>
      <c r="H323" s="70" t="str">
        <f>'RESUMEN TOTAL'!V415</f>
        <v>APAGADO</v>
      </c>
      <c r="I323" s="70">
        <v>0</v>
      </c>
      <c r="J323" s="70" t="str">
        <f>'RESUMEN TOTAL'!W415</f>
        <v>APAGADO</v>
      </c>
      <c r="K323" s="70" t="str">
        <f>'RESUMEN TOTAL'!X415</f>
        <v>APAGADO</v>
      </c>
      <c r="L323" s="70" t="str">
        <f>'RESUMEN TOTAL'!Y415</f>
        <v>APAGADO</v>
      </c>
      <c r="M323" s="70" t="str">
        <f>'RESUMEN TOTAL'!Z415</f>
        <v>APAGADO</v>
      </c>
      <c r="N323" s="70">
        <f>'RESUMEN TOTAL'!AA415</f>
        <v>0</v>
      </c>
      <c r="O323" s="70">
        <f>'RESUMEN TOTAL'!AB415</f>
        <v>0</v>
      </c>
      <c r="P323" s="70" t="str">
        <f>'RESUMEN TOTAL'!AC415</f>
        <v>APAGADO</v>
      </c>
      <c r="Q323" s="70" t="str">
        <f>'RESUMEN TOTAL'!AD415</f>
        <v>APAGADO</v>
      </c>
      <c r="R323" s="70" t="str">
        <f>'RESUMEN TOTAL'!AE415</f>
        <v>APAGADO</v>
      </c>
      <c r="S323" s="70" t="str">
        <f>'RESUMEN TOTAL'!AF415</f>
        <v>APAGADO</v>
      </c>
      <c r="T323" s="70" t="str">
        <f>'RESUMEN TOTAL'!AG415</f>
        <v>APAGADO</v>
      </c>
      <c r="U323" s="70">
        <f>'RESUMEN TOTAL'!AH415</f>
        <v>0</v>
      </c>
      <c r="V323" s="70">
        <f>'RESUMEN TOTAL'!AI415</f>
        <v>0</v>
      </c>
      <c r="W323" s="70">
        <f>'RESUMEN TOTAL'!AJ415</f>
        <v>0</v>
      </c>
      <c r="X323" s="70">
        <f>'RESUMEN TOTAL'!AK415</f>
        <v>0</v>
      </c>
      <c r="Y323" s="70">
        <f>'RESUMEN TOTAL'!AL415</f>
        <v>0</v>
      </c>
      <c r="Z323" s="70">
        <f>'RESUMEN TOTAL'!AM415</f>
        <v>0</v>
      </c>
      <c r="AA323" s="70">
        <f>'RESUMEN TOTAL'!AN415</f>
        <v>0</v>
      </c>
      <c r="AB323" s="70">
        <f>'RESUMEN TOTAL'!AO415</f>
        <v>0</v>
      </c>
      <c r="AC323" s="70">
        <f>'RESUMEN TOTAL'!AP415</f>
        <v>0</v>
      </c>
      <c r="AD323" s="70">
        <f>'RESUMEN TOTAL'!AQ415</f>
        <v>0</v>
      </c>
      <c r="AE323" s="70">
        <f>'RESUMEN TOTAL'!AR415</f>
        <v>0</v>
      </c>
      <c r="AF323" s="70">
        <f>'RESUMEN TOTAL'!AS415</f>
        <v>0</v>
      </c>
      <c r="AG323" s="70">
        <f>'RESUMEN TOTAL'!AT415</f>
        <v>0</v>
      </c>
      <c r="AH323" s="70">
        <f>'RESUMEN TOTAL'!AU415</f>
        <v>0</v>
      </c>
      <c r="AI323" s="70">
        <f>'RESUMEN TOTAL'!AV415</f>
        <v>0</v>
      </c>
      <c r="AJ323" s="70" t="e">
        <f>'RESUMEN TOTAL'!#REF!</f>
        <v>#REF!</v>
      </c>
    </row>
    <row r="324" spans="1:36" x14ac:dyDescent="0.25">
      <c r="A324" t="str">
        <f>'RESUMEN TOTAL'!F416</f>
        <v>SAN JORGE</v>
      </c>
      <c r="B324" t="str">
        <f>'RESUMEN TOTAL'!G416</f>
        <v>SJO08 (fija 2)</v>
      </c>
      <c r="C324" t="str">
        <f>'RESUMEN TOTAL'!I416</f>
        <v>503 Y 556</v>
      </c>
      <c r="D324" s="30" t="str">
        <f>'RESUMEN TOTAL'!J416</f>
        <v>Fija</v>
      </c>
      <c r="E324" s="30" t="str">
        <f>'RESUMEN TOTAL'!K416</f>
        <v>GPON</v>
      </c>
      <c r="F324" s="70">
        <f>'RESUMEN TOTAL'!S416</f>
        <v>0</v>
      </c>
      <c r="G324" s="70">
        <f>'RESUMEN TOTAL'!T416</f>
        <v>0</v>
      </c>
      <c r="H324" s="70" t="str">
        <f>'RESUMEN TOTAL'!V416</f>
        <v>APAGADO</v>
      </c>
      <c r="I324" s="70">
        <v>0</v>
      </c>
      <c r="J324" s="70" t="str">
        <f>'RESUMEN TOTAL'!W416</f>
        <v>APAGADO</v>
      </c>
      <c r="K324" s="70" t="str">
        <f>'RESUMEN TOTAL'!X416</f>
        <v>APAGADO</v>
      </c>
      <c r="L324" s="70" t="str">
        <f>'RESUMEN TOTAL'!Y416</f>
        <v>APAGADO</v>
      </c>
      <c r="M324" s="70" t="str">
        <f>'RESUMEN TOTAL'!Z416</f>
        <v>APAGADO</v>
      </c>
      <c r="N324" s="70">
        <f>'RESUMEN TOTAL'!AA416</f>
        <v>0</v>
      </c>
      <c r="O324" s="70">
        <f>'RESUMEN TOTAL'!AB416</f>
        <v>0</v>
      </c>
      <c r="P324" s="70" t="str">
        <f>'RESUMEN TOTAL'!AC416</f>
        <v>APAGADO</v>
      </c>
      <c r="Q324" s="70" t="str">
        <f>'RESUMEN TOTAL'!AD416</f>
        <v>APAGADO</v>
      </c>
      <c r="R324" s="70" t="str">
        <f>'RESUMEN TOTAL'!AE416</f>
        <v>APAGADO</v>
      </c>
      <c r="S324" s="70" t="str">
        <f>'RESUMEN TOTAL'!AF416</f>
        <v>APAGADO</v>
      </c>
      <c r="T324" s="70" t="str">
        <f>'RESUMEN TOTAL'!AG416</f>
        <v>APAGADO</v>
      </c>
      <c r="U324" s="70">
        <f>'RESUMEN TOTAL'!AH416</f>
        <v>0</v>
      </c>
      <c r="V324" s="70">
        <f>'RESUMEN TOTAL'!AI416</f>
        <v>0</v>
      </c>
      <c r="W324" s="70">
        <f>'RESUMEN TOTAL'!AJ416</f>
        <v>0</v>
      </c>
      <c r="X324" s="70">
        <f>'RESUMEN TOTAL'!AK416</f>
        <v>0</v>
      </c>
      <c r="Y324" s="70">
        <f>'RESUMEN TOTAL'!AL416</f>
        <v>0</v>
      </c>
      <c r="Z324" s="70">
        <f>'RESUMEN TOTAL'!AM416</f>
        <v>0</v>
      </c>
      <c r="AA324" s="70">
        <f>'RESUMEN TOTAL'!AN416</f>
        <v>0</v>
      </c>
      <c r="AB324" s="70">
        <f>'RESUMEN TOTAL'!AO416</f>
        <v>0</v>
      </c>
      <c r="AC324" s="70">
        <f>'RESUMEN TOTAL'!AP416</f>
        <v>0</v>
      </c>
      <c r="AD324" s="70">
        <f>'RESUMEN TOTAL'!AQ416</f>
        <v>0</v>
      </c>
      <c r="AE324" s="70">
        <f>'RESUMEN TOTAL'!AR416</f>
        <v>0</v>
      </c>
      <c r="AF324" s="70">
        <f>'RESUMEN TOTAL'!AS416</f>
        <v>0</v>
      </c>
      <c r="AG324" s="70">
        <f>'RESUMEN TOTAL'!AT416</f>
        <v>0</v>
      </c>
      <c r="AH324" s="70">
        <f>'RESUMEN TOTAL'!AU416</f>
        <v>0</v>
      </c>
      <c r="AI324" s="70">
        <f>'RESUMEN TOTAL'!AV416</f>
        <v>0</v>
      </c>
      <c r="AJ324" s="70" t="e">
        <f>'RESUMEN TOTAL'!#REF!</f>
        <v>#REF!</v>
      </c>
    </row>
    <row r="325" spans="1:36" x14ac:dyDescent="0.25">
      <c r="A325" t="str">
        <f>'RESUMEN TOTAL'!F417</f>
        <v>SAN JORGE</v>
      </c>
      <c r="B325" t="str">
        <f>'RESUMEN TOTAL'!G417</f>
        <v>SJO11 (fija 1)</v>
      </c>
      <c r="C325" t="str">
        <f>'RESUMEN TOTAL'!I417</f>
        <v>554 Y 531</v>
      </c>
      <c r="D325" s="30" t="str">
        <f>'RESUMEN TOTAL'!J417</f>
        <v>Fija</v>
      </c>
      <c r="E325" s="30" t="str">
        <f>'RESUMEN TOTAL'!K417</f>
        <v>GPON</v>
      </c>
      <c r="F325" s="70">
        <f>'RESUMEN TOTAL'!S417</f>
        <v>0</v>
      </c>
      <c r="G325" s="70">
        <f>'RESUMEN TOTAL'!T417</f>
        <v>0</v>
      </c>
      <c r="H325" s="70">
        <f>'RESUMEN TOTAL'!V417</f>
        <v>0</v>
      </c>
      <c r="I325" s="70">
        <v>0</v>
      </c>
      <c r="J325" s="70">
        <f>'RESUMEN TOTAL'!W417</f>
        <v>0</v>
      </c>
      <c r="K325" s="70">
        <f>'RESUMEN TOTAL'!X417</f>
        <v>0</v>
      </c>
      <c r="L325" s="70">
        <f>'RESUMEN TOTAL'!Y417</f>
        <v>0</v>
      </c>
      <c r="M325" s="70">
        <f>'RESUMEN TOTAL'!Z417</f>
        <v>0</v>
      </c>
      <c r="N325" s="70">
        <f>'RESUMEN TOTAL'!AA417</f>
        <v>0</v>
      </c>
      <c r="O325" s="70">
        <f>'RESUMEN TOTAL'!AB417</f>
        <v>0</v>
      </c>
      <c r="P325" s="70">
        <f>'RESUMEN TOTAL'!AC417</f>
        <v>0</v>
      </c>
      <c r="Q325" s="70">
        <f>'RESUMEN TOTAL'!AD417</f>
        <v>0</v>
      </c>
      <c r="R325" s="70">
        <f>'RESUMEN TOTAL'!AE417</f>
        <v>0</v>
      </c>
      <c r="S325" s="70">
        <f>'RESUMEN TOTAL'!AF417</f>
        <v>0</v>
      </c>
      <c r="T325" s="70">
        <f>'RESUMEN TOTAL'!AG417</f>
        <v>0</v>
      </c>
      <c r="U325" s="70">
        <f>'RESUMEN TOTAL'!AH417</f>
        <v>0</v>
      </c>
      <c r="V325" s="70">
        <f>'RESUMEN TOTAL'!AI417</f>
        <v>0</v>
      </c>
      <c r="W325" s="70">
        <f>'RESUMEN TOTAL'!AJ417</f>
        <v>0</v>
      </c>
      <c r="X325" s="70">
        <f>'RESUMEN TOTAL'!AK417</f>
        <v>0</v>
      </c>
      <c r="Y325" s="70">
        <f>'RESUMEN TOTAL'!AL417</f>
        <v>0</v>
      </c>
      <c r="Z325" s="70">
        <f>'RESUMEN TOTAL'!AM417</f>
        <v>0</v>
      </c>
      <c r="AA325" s="70">
        <f>'RESUMEN TOTAL'!AN417</f>
        <v>0</v>
      </c>
      <c r="AB325" s="70">
        <f>'RESUMEN TOTAL'!AO417</f>
        <v>0</v>
      </c>
      <c r="AC325" s="70">
        <f>'RESUMEN TOTAL'!AP417</f>
        <v>0</v>
      </c>
      <c r="AD325" s="70">
        <f>'RESUMEN TOTAL'!AQ417</f>
        <v>0</v>
      </c>
      <c r="AE325" s="70">
        <f>'RESUMEN TOTAL'!AR417</f>
        <v>0</v>
      </c>
      <c r="AF325" s="70">
        <f>'RESUMEN TOTAL'!AS417</f>
        <v>0</v>
      </c>
      <c r="AG325" s="70">
        <f>'RESUMEN TOTAL'!AT417</f>
        <v>0</v>
      </c>
      <c r="AH325" s="70">
        <f>'RESUMEN TOTAL'!AU417</f>
        <v>0</v>
      </c>
      <c r="AI325" s="70">
        <f>'RESUMEN TOTAL'!AV417</f>
        <v>0</v>
      </c>
      <c r="AJ325" s="70" t="e">
        <f>'RESUMEN TOTAL'!#REF!</f>
        <v>#REF!</v>
      </c>
    </row>
    <row r="326" spans="1:36" x14ac:dyDescent="0.25">
      <c r="A326" t="str">
        <f>'RESUMEN TOTAL'!F422</f>
        <v>SAN JUAN</v>
      </c>
      <c r="B326" t="str">
        <f>'RESUMEN TOTAL'!G422</f>
        <v>SJU02</v>
      </c>
      <c r="C326" t="str">
        <f>'RESUMEN TOTAL'!I422</f>
        <v>Av Bosques y Touring Club</v>
      </c>
      <c r="D326" s="30" t="str">
        <f>'RESUMEN TOTAL'!J422</f>
        <v>Domo</v>
      </c>
      <c r="E326" s="30" t="str">
        <f>'RESUMEN TOTAL'!K422</f>
        <v>GPON</v>
      </c>
      <c r="F326" s="70">
        <f>'RESUMEN TOTAL'!S422</f>
        <v>0</v>
      </c>
      <c r="G326" s="70">
        <f>'RESUMEN TOTAL'!T422</f>
        <v>0</v>
      </c>
      <c r="H326" s="70">
        <f>'RESUMEN TOTAL'!U422</f>
        <v>0</v>
      </c>
      <c r="I326" s="70">
        <f>'RESUMEN TOTAL'!V422</f>
        <v>0</v>
      </c>
      <c r="J326" s="70">
        <f>'RESUMEN TOTAL'!W422</f>
        <v>0</v>
      </c>
      <c r="K326" s="70">
        <f>'RESUMEN TOTAL'!X422</f>
        <v>0</v>
      </c>
      <c r="L326" s="70">
        <f>'RESUMEN TOTAL'!Y422</f>
        <v>0</v>
      </c>
      <c r="M326" s="70">
        <f>'RESUMEN TOTAL'!Z422</f>
        <v>0</v>
      </c>
      <c r="N326" s="70">
        <f>'RESUMEN TOTAL'!AA422</f>
        <v>0</v>
      </c>
      <c r="O326" s="70">
        <f>'RESUMEN TOTAL'!AB422</f>
        <v>0</v>
      </c>
      <c r="P326" s="70">
        <f>'RESUMEN TOTAL'!AC422</f>
        <v>0</v>
      </c>
      <c r="Q326" s="70">
        <f>'RESUMEN TOTAL'!AD422</f>
        <v>0</v>
      </c>
      <c r="R326" s="70">
        <f>'RESUMEN TOTAL'!AE422</f>
        <v>0</v>
      </c>
      <c r="S326" s="70">
        <f>'RESUMEN TOTAL'!AF422</f>
        <v>0</v>
      </c>
      <c r="T326" s="70">
        <f>'RESUMEN TOTAL'!AG422</f>
        <v>0</v>
      </c>
      <c r="U326" s="70">
        <f>'RESUMEN TOTAL'!AH422</f>
        <v>0</v>
      </c>
      <c r="V326" s="70">
        <f>'RESUMEN TOTAL'!AI422</f>
        <v>0</v>
      </c>
      <c r="W326" s="70">
        <f>'RESUMEN TOTAL'!AJ422</f>
        <v>0</v>
      </c>
      <c r="X326" s="70">
        <f>'RESUMEN TOTAL'!AK422</f>
        <v>0</v>
      </c>
      <c r="Y326" s="70">
        <f>'RESUMEN TOTAL'!AL422</f>
        <v>0</v>
      </c>
      <c r="Z326" s="70" t="str">
        <f>'RESUMEN TOTAL'!AM422</f>
        <v>APAGADO</v>
      </c>
      <c r="AA326" s="70">
        <f>'RESUMEN TOTAL'!AN422</f>
        <v>0</v>
      </c>
      <c r="AB326" s="70">
        <f>'RESUMEN TOTAL'!AO422</f>
        <v>0</v>
      </c>
      <c r="AC326" s="70">
        <f>'RESUMEN TOTAL'!AP422</f>
        <v>0</v>
      </c>
      <c r="AD326" s="70">
        <f>'RESUMEN TOTAL'!AQ422</f>
        <v>0</v>
      </c>
      <c r="AE326" s="70">
        <f>'RESUMEN TOTAL'!AR422</f>
        <v>0</v>
      </c>
      <c r="AF326" s="70">
        <f>'RESUMEN TOTAL'!AS422</f>
        <v>0</v>
      </c>
      <c r="AG326" s="70">
        <f>'RESUMEN TOTAL'!AT422</f>
        <v>0</v>
      </c>
      <c r="AH326" s="70">
        <f>'RESUMEN TOTAL'!AU422</f>
        <v>0</v>
      </c>
      <c r="AI326" s="70">
        <f>'RESUMEN TOTAL'!AV422</f>
        <v>0</v>
      </c>
      <c r="AJ326" s="70" t="e">
        <f>'RESUMEN TOTAL'!#REF!</f>
        <v>#REF!</v>
      </c>
    </row>
    <row r="327" spans="1:36" x14ac:dyDescent="0.25">
      <c r="A327" t="str">
        <f>'RESUMEN TOTAL'!F426</f>
        <v>VILLA GENERAL SAN MARTIN</v>
      </c>
      <c r="B327" t="str">
        <f>'RESUMEN TOTAL'!G426</f>
        <v>SMA 04</v>
      </c>
      <c r="C327" t="str">
        <f>'RESUMEN TOTAL'!I426</f>
        <v>HUDSON Y MONTEVIDEO</v>
      </c>
      <c r="D327" s="30" t="str">
        <f>'RESUMEN TOTAL'!J426</f>
        <v>FIJA</v>
      </c>
      <c r="E327" s="30" t="str">
        <f>'RESUMEN TOTAL'!K426</f>
        <v>GPON</v>
      </c>
      <c r="F327" s="70">
        <f>'RESUMEN TOTAL'!S426</f>
        <v>0</v>
      </c>
      <c r="G327" s="70">
        <f>'RESUMEN TOTAL'!T426</f>
        <v>0</v>
      </c>
      <c r="H327" s="70">
        <f>'RESUMEN TOTAL'!U426</f>
        <v>0</v>
      </c>
      <c r="I327" s="70">
        <f>'RESUMEN TOTAL'!V426</f>
        <v>0</v>
      </c>
      <c r="J327" s="70">
        <f>'RESUMEN TOTAL'!W426</f>
        <v>0</v>
      </c>
      <c r="K327" s="70" t="str">
        <f>'RESUMEN TOTAL'!X426</f>
        <v>APAGADO</v>
      </c>
      <c r="L327" s="70">
        <f>'RESUMEN TOTAL'!Y426</f>
        <v>0</v>
      </c>
      <c r="M327" s="70">
        <f>'RESUMEN TOTAL'!Z426</f>
        <v>0</v>
      </c>
      <c r="N327" s="70">
        <f>'RESUMEN TOTAL'!AA426</f>
        <v>0</v>
      </c>
      <c r="O327" s="70">
        <f>'RESUMEN TOTAL'!AB426</f>
        <v>0</v>
      </c>
      <c r="P327" s="70">
        <f>'RESUMEN TOTAL'!AC426</f>
        <v>0</v>
      </c>
      <c r="Q327" s="70">
        <f>'RESUMEN TOTAL'!AD426</f>
        <v>0</v>
      </c>
      <c r="R327" s="70">
        <f>'RESUMEN TOTAL'!AE426</f>
        <v>0</v>
      </c>
      <c r="S327" s="70">
        <f>'RESUMEN TOTAL'!AF426</f>
        <v>0</v>
      </c>
      <c r="T327" s="70">
        <f>'RESUMEN TOTAL'!AG426</f>
        <v>0</v>
      </c>
      <c r="U327" s="70">
        <f>'RESUMEN TOTAL'!AH426</f>
        <v>0</v>
      </c>
      <c r="V327" s="70">
        <f>'RESUMEN TOTAL'!AI426</f>
        <v>0</v>
      </c>
      <c r="W327" s="70">
        <f>'RESUMEN TOTAL'!AJ426</f>
        <v>0</v>
      </c>
      <c r="X327" s="70">
        <f>'RESUMEN TOTAL'!AK426</f>
        <v>0</v>
      </c>
      <c r="Y327" s="70">
        <f>'RESUMEN TOTAL'!AL426</f>
        <v>0</v>
      </c>
      <c r="Z327" s="70">
        <f>'RESUMEN TOTAL'!AM426</f>
        <v>0</v>
      </c>
      <c r="AA327" s="70">
        <f>'RESUMEN TOTAL'!AN426</f>
        <v>0</v>
      </c>
      <c r="AB327" s="70">
        <f>'RESUMEN TOTAL'!AO426</f>
        <v>0</v>
      </c>
      <c r="AC327" s="70">
        <f>'RESUMEN TOTAL'!AP426</f>
        <v>0</v>
      </c>
      <c r="AD327" s="70">
        <f>'RESUMEN TOTAL'!AQ426</f>
        <v>0</v>
      </c>
      <c r="AE327" s="70">
        <f>'RESUMEN TOTAL'!AR426</f>
        <v>0</v>
      </c>
      <c r="AF327" s="70">
        <f>'RESUMEN TOTAL'!AS426</f>
        <v>0</v>
      </c>
      <c r="AG327" s="70">
        <f>'RESUMEN TOTAL'!AT426</f>
        <v>0</v>
      </c>
      <c r="AH327" s="70">
        <f>'RESUMEN TOTAL'!AU426</f>
        <v>0</v>
      </c>
      <c r="AI327" s="70">
        <f>'RESUMEN TOTAL'!AV426</f>
        <v>0</v>
      </c>
      <c r="AJ327" s="70" t="e">
        <f>'RESUMEN TOTAL'!#REF!</f>
        <v>#REF!</v>
      </c>
    </row>
    <row r="328" spans="1:36" x14ac:dyDescent="0.25">
      <c r="A328" t="str">
        <f>'RESUMEN TOTAL'!F427</f>
        <v>VILLA GENERAL SAN MARTIN</v>
      </c>
      <c r="B328" t="str">
        <f>'RESUMEN TOTAL'!G427</f>
        <v>SMA 06</v>
      </c>
      <c r="C328" t="str">
        <f>'RESUMEN TOTAL'!I427</f>
        <v>AV. HUDSON Y RIO IGUAZU</v>
      </c>
      <c r="D328" s="30" t="str">
        <f>'RESUMEN TOTAL'!J427</f>
        <v>DOMO</v>
      </c>
      <c r="E328" s="30" t="str">
        <f>'RESUMEN TOTAL'!K427</f>
        <v>Fibra Optica</v>
      </c>
      <c r="F328" s="70">
        <f>'RESUMEN TOTAL'!S427</f>
        <v>0</v>
      </c>
      <c r="G328" s="70">
        <f>'RESUMEN TOTAL'!T427</f>
        <v>0</v>
      </c>
      <c r="H328" s="70">
        <f>'RESUMEN TOTAL'!U427</f>
        <v>0</v>
      </c>
      <c r="I328" s="70">
        <f>'RESUMEN TOTAL'!V427</f>
        <v>0</v>
      </c>
      <c r="J328" s="70">
        <f>'RESUMEN TOTAL'!W427</f>
        <v>0</v>
      </c>
      <c r="K328" s="70">
        <f>'RESUMEN TOTAL'!X427</f>
        <v>0</v>
      </c>
      <c r="L328" s="70">
        <f>'RESUMEN TOTAL'!Y427</f>
        <v>0</v>
      </c>
      <c r="M328" s="70">
        <f>'RESUMEN TOTAL'!Z427</f>
        <v>0</v>
      </c>
      <c r="N328" s="70">
        <f>'RESUMEN TOTAL'!AA427</f>
        <v>0</v>
      </c>
      <c r="O328" s="70">
        <f>'RESUMEN TOTAL'!AB427</f>
        <v>0</v>
      </c>
      <c r="P328" s="70">
        <f>'RESUMEN TOTAL'!AC427</f>
        <v>0</v>
      </c>
      <c r="Q328" s="70">
        <f>'RESUMEN TOTAL'!AD427</f>
        <v>0</v>
      </c>
      <c r="R328" s="70">
        <f>'RESUMEN TOTAL'!AE427</f>
        <v>0</v>
      </c>
      <c r="S328" s="70">
        <f>'RESUMEN TOTAL'!AF427</f>
        <v>0</v>
      </c>
      <c r="T328" s="70">
        <f>'RESUMEN TOTAL'!AG427</f>
        <v>0</v>
      </c>
      <c r="U328" s="70">
        <f>'RESUMEN TOTAL'!AH427</f>
        <v>0</v>
      </c>
      <c r="V328" s="70">
        <f>'RESUMEN TOTAL'!AI427</f>
        <v>0</v>
      </c>
      <c r="W328" s="70">
        <f>'RESUMEN TOTAL'!AJ427</f>
        <v>0</v>
      </c>
      <c r="X328" s="70">
        <f>'RESUMEN TOTAL'!AK427</f>
        <v>0</v>
      </c>
      <c r="Y328" s="70">
        <f>'RESUMEN TOTAL'!AL427</f>
        <v>0</v>
      </c>
      <c r="Z328" s="70">
        <f>'RESUMEN TOTAL'!AM427</f>
        <v>0</v>
      </c>
      <c r="AA328" s="70">
        <f>'RESUMEN TOTAL'!AN427</f>
        <v>0</v>
      </c>
      <c r="AB328" s="70">
        <f>'RESUMEN TOTAL'!AO427</f>
        <v>0</v>
      </c>
      <c r="AC328" s="70">
        <f>'RESUMEN TOTAL'!AP427</f>
        <v>0</v>
      </c>
      <c r="AD328" s="70">
        <f>'RESUMEN TOTAL'!AQ427</f>
        <v>0</v>
      </c>
      <c r="AE328" s="70">
        <f>'RESUMEN TOTAL'!AR427</f>
        <v>0</v>
      </c>
      <c r="AF328" s="70">
        <f>'RESUMEN TOTAL'!AS427</f>
        <v>0</v>
      </c>
      <c r="AG328" s="70">
        <f>'RESUMEN TOTAL'!AT427</f>
        <v>0</v>
      </c>
      <c r="AH328" s="70">
        <f>'RESUMEN TOTAL'!AU427</f>
        <v>0</v>
      </c>
      <c r="AI328" s="70">
        <f>'RESUMEN TOTAL'!AV427</f>
        <v>0</v>
      </c>
      <c r="AJ328" s="70" t="e">
        <f>'RESUMEN TOTAL'!#REF!</f>
        <v>#REF!</v>
      </c>
    </row>
    <row r="329" spans="1:36" x14ac:dyDescent="0.25">
      <c r="A329" t="str">
        <f>'RESUMEN TOTAL'!F428</f>
        <v>VILLA GENERAL SAN MARTIN</v>
      </c>
      <c r="B329" t="str">
        <f>'RESUMEN TOTAL'!G428</f>
        <v>SMA 07</v>
      </c>
      <c r="C329" t="str">
        <f>'RESUMEN TOTAL'!I428</f>
        <v>AV. HUDSON Y RIO TURBIO</v>
      </c>
      <c r="D329" s="30" t="str">
        <f>'RESUMEN TOTAL'!J428</f>
        <v>DOMO</v>
      </c>
      <c r="E329" s="30" t="str">
        <f>'RESUMEN TOTAL'!K428</f>
        <v>GPON</v>
      </c>
      <c r="F329" s="70">
        <f>'RESUMEN TOTAL'!S428</f>
        <v>0</v>
      </c>
      <c r="G329" s="70">
        <f>'RESUMEN TOTAL'!T428</f>
        <v>0</v>
      </c>
      <c r="H329" s="70">
        <f>'RESUMEN TOTAL'!U428</f>
        <v>0</v>
      </c>
      <c r="I329" s="70" t="str">
        <f>'RESUMEN TOTAL'!V428</f>
        <v>APAGADO</v>
      </c>
      <c r="J329" s="70">
        <f>'RESUMEN TOTAL'!W428</f>
        <v>0</v>
      </c>
      <c r="K329" s="70">
        <f>'RESUMEN TOTAL'!X428</f>
        <v>0</v>
      </c>
      <c r="L329" s="70">
        <f>'RESUMEN TOTAL'!Y428</f>
        <v>0</v>
      </c>
      <c r="M329" s="70" t="str">
        <f>'RESUMEN TOTAL'!Z428</f>
        <v>APAGADO</v>
      </c>
      <c r="N329" s="70">
        <f>'RESUMEN TOTAL'!AA428</f>
        <v>0</v>
      </c>
      <c r="O329" s="70">
        <f>'RESUMEN TOTAL'!AB428</f>
        <v>0</v>
      </c>
      <c r="P329" s="70" t="str">
        <f>'RESUMEN TOTAL'!AC428</f>
        <v>APAGADO</v>
      </c>
      <c r="Q329" s="70" t="str">
        <f>'RESUMEN TOTAL'!AD428</f>
        <v>APAGADO</v>
      </c>
      <c r="R329" s="70" t="str">
        <f>'RESUMEN TOTAL'!AE428</f>
        <v>APAGADO</v>
      </c>
      <c r="S329" s="70" t="str">
        <f>'RESUMEN TOTAL'!AF428</f>
        <v>APAGADO</v>
      </c>
      <c r="T329" s="70" t="str">
        <f>'RESUMEN TOTAL'!AG428</f>
        <v>APAGADO</v>
      </c>
      <c r="U329" s="70">
        <f>'RESUMEN TOTAL'!AH428</f>
        <v>0</v>
      </c>
      <c r="V329" s="70">
        <f>'RESUMEN TOTAL'!AI428</f>
        <v>0</v>
      </c>
      <c r="W329" s="70" t="str">
        <f>'RESUMEN TOTAL'!AJ428</f>
        <v>APAGADO</v>
      </c>
      <c r="X329" s="70" t="str">
        <f>'RESUMEN TOTAL'!AK428</f>
        <v>APAGADO</v>
      </c>
      <c r="Y329" s="70" t="str">
        <f>'RESUMEN TOTAL'!AL428</f>
        <v>APAGADO</v>
      </c>
      <c r="Z329" s="70" t="str">
        <f>'RESUMEN TOTAL'!AM428</f>
        <v>APAGADO</v>
      </c>
      <c r="AA329" s="70" t="str">
        <f>'RESUMEN TOTAL'!AN428</f>
        <v>APAGADO</v>
      </c>
      <c r="AB329" s="70">
        <f>'RESUMEN TOTAL'!AO428</f>
        <v>0</v>
      </c>
      <c r="AC329" s="70">
        <f>'RESUMEN TOTAL'!AP428</f>
        <v>0</v>
      </c>
      <c r="AD329" s="70">
        <f>'RESUMEN TOTAL'!AQ428</f>
        <v>0</v>
      </c>
      <c r="AE329" s="70" t="str">
        <f>'RESUMEN TOTAL'!AR428</f>
        <v>APAGADO</v>
      </c>
      <c r="AF329" s="70">
        <f>'RESUMEN TOTAL'!AS428</f>
        <v>0</v>
      </c>
      <c r="AG329" s="70">
        <f>'RESUMEN TOTAL'!AT428</f>
        <v>0</v>
      </c>
      <c r="AH329" s="70">
        <f>'RESUMEN TOTAL'!AU428</f>
        <v>0</v>
      </c>
      <c r="AI329" s="70">
        <f>'RESUMEN TOTAL'!AV428</f>
        <v>0</v>
      </c>
      <c r="AJ329" s="70" t="e">
        <f>'RESUMEN TOTAL'!#REF!</f>
        <v>#REF!</v>
      </c>
    </row>
    <row r="330" spans="1:36" x14ac:dyDescent="0.25">
      <c r="A330" t="str">
        <f>'RESUMEN TOTAL'!F429</f>
        <v>SAN MARTIN</v>
      </c>
      <c r="B330" t="str">
        <f>'RESUMEN TOTAL'!G429</f>
        <v>SMA 08</v>
      </c>
      <c r="C330" t="str">
        <f>'RESUMEN TOTAL'!I429</f>
        <v>12 De Octubre y H. Lagos</v>
      </c>
      <c r="D330" s="30" t="str">
        <f>'RESUMEN TOTAL'!J429</f>
        <v>fija</v>
      </c>
      <c r="E330" s="30" t="str">
        <f>'RESUMEN TOTAL'!K429</f>
        <v>FO A GPON</v>
      </c>
      <c r="F330" s="70">
        <f>'RESUMEN TOTAL'!S429</f>
        <v>0</v>
      </c>
      <c r="G330" s="70">
        <f>'RESUMEN TOTAL'!T429</f>
        <v>0</v>
      </c>
      <c r="H330" s="70">
        <f>'RESUMEN TOTAL'!U429</f>
        <v>0</v>
      </c>
      <c r="I330" s="70">
        <f>'RESUMEN TOTAL'!V429</f>
        <v>0</v>
      </c>
      <c r="J330" s="70">
        <f>'RESUMEN TOTAL'!W429</f>
        <v>0</v>
      </c>
      <c r="K330" s="70">
        <f>'RESUMEN TOTAL'!X429</f>
        <v>0</v>
      </c>
      <c r="L330" s="70">
        <f>'RESUMEN TOTAL'!Y429</f>
        <v>0</v>
      </c>
      <c r="M330" s="70">
        <f>'RESUMEN TOTAL'!Z429</f>
        <v>0</v>
      </c>
      <c r="N330" s="70">
        <f>'RESUMEN TOTAL'!AA429</f>
        <v>0</v>
      </c>
      <c r="O330" s="70">
        <f>'RESUMEN TOTAL'!AB429</f>
        <v>0</v>
      </c>
      <c r="P330" s="70">
        <f>'RESUMEN TOTAL'!AC429</f>
        <v>0</v>
      </c>
      <c r="Q330" s="70">
        <f>'RESUMEN TOTAL'!AD429</f>
        <v>0</v>
      </c>
      <c r="R330" s="70">
        <f>'RESUMEN TOTAL'!AE429</f>
        <v>0</v>
      </c>
      <c r="S330" s="70">
        <f>'RESUMEN TOTAL'!AF429</f>
        <v>0</v>
      </c>
      <c r="T330" s="70">
        <f>'RESUMEN TOTAL'!AG429</f>
        <v>0</v>
      </c>
      <c r="U330" s="70">
        <f>'RESUMEN TOTAL'!AH429</f>
        <v>0</v>
      </c>
      <c r="V330" s="70">
        <f>'RESUMEN TOTAL'!AI429</f>
        <v>0</v>
      </c>
      <c r="W330" s="70">
        <f>'RESUMEN TOTAL'!AJ429</f>
        <v>0</v>
      </c>
      <c r="X330" s="70">
        <f>'RESUMEN TOTAL'!AK429</f>
        <v>0</v>
      </c>
      <c r="Y330" s="70">
        <f>'RESUMEN TOTAL'!AL429</f>
        <v>0</v>
      </c>
      <c r="Z330" s="70">
        <f>'RESUMEN TOTAL'!AM429</f>
        <v>0</v>
      </c>
      <c r="AA330" s="70">
        <f>'RESUMEN TOTAL'!AN429</f>
        <v>0</v>
      </c>
      <c r="AB330" s="70">
        <f>'RESUMEN TOTAL'!AO429</f>
        <v>0</v>
      </c>
      <c r="AC330" s="70">
        <f>'RESUMEN TOTAL'!AP429</f>
        <v>0</v>
      </c>
      <c r="AD330" s="70">
        <f>'RESUMEN TOTAL'!AQ429</f>
        <v>0</v>
      </c>
      <c r="AE330" s="70">
        <f>'RESUMEN TOTAL'!AR429</f>
        <v>0</v>
      </c>
      <c r="AF330" s="70">
        <f>'RESUMEN TOTAL'!AS429</f>
        <v>0</v>
      </c>
      <c r="AG330" s="70">
        <f>'RESUMEN TOTAL'!AT429</f>
        <v>0</v>
      </c>
      <c r="AH330" s="70">
        <f>'RESUMEN TOTAL'!AU429</f>
        <v>0</v>
      </c>
      <c r="AI330" s="70">
        <f>'RESUMEN TOTAL'!AV429</f>
        <v>0</v>
      </c>
      <c r="AJ330" s="70" t="e">
        <f>'RESUMEN TOTAL'!#REF!</f>
        <v>#REF!</v>
      </c>
    </row>
    <row r="331" spans="1:36" x14ac:dyDescent="0.25">
      <c r="A331" t="str">
        <f>'RESUMEN TOTAL'!F430</f>
        <v>SAN MARTIN</v>
      </c>
      <c r="B331" t="str">
        <f>'RESUMEN TOTAL'!G430</f>
        <v>SMA 09</v>
      </c>
      <c r="C331" t="str">
        <f>'RESUMEN TOTAL'!I430</f>
        <v>12 De Octubre y H. Lagos</v>
      </c>
      <c r="D331" s="30" t="str">
        <f>'RESUMEN TOTAL'!J430</f>
        <v>fija</v>
      </c>
      <c r="E331" s="30" t="str">
        <f>'RESUMEN TOTAL'!K430</f>
        <v>FO A GPON</v>
      </c>
      <c r="F331" s="70">
        <f>'RESUMEN TOTAL'!S430</f>
        <v>0</v>
      </c>
      <c r="G331" s="70">
        <f>'RESUMEN TOTAL'!T430</f>
        <v>0</v>
      </c>
      <c r="H331" s="70">
        <f>'RESUMEN TOTAL'!U430</f>
        <v>0</v>
      </c>
      <c r="I331" s="70">
        <f>'RESUMEN TOTAL'!V430</f>
        <v>0</v>
      </c>
      <c r="J331" s="70">
        <f>'RESUMEN TOTAL'!W430</f>
        <v>0</v>
      </c>
      <c r="K331" s="70">
        <f>'RESUMEN TOTAL'!X430</f>
        <v>0</v>
      </c>
      <c r="L331" s="70">
        <f>'RESUMEN TOTAL'!Y430</f>
        <v>0</v>
      </c>
      <c r="M331" s="70">
        <f>'RESUMEN TOTAL'!Z430</f>
        <v>0</v>
      </c>
      <c r="N331" s="70">
        <f>'RESUMEN TOTAL'!AA430</f>
        <v>0</v>
      </c>
      <c r="O331" s="70">
        <f>'RESUMEN TOTAL'!AB430</f>
        <v>0</v>
      </c>
      <c r="P331" s="70">
        <f>'RESUMEN TOTAL'!AC430</f>
        <v>0</v>
      </c>
      <c r="Q331" s="70">
        <f>'RESUMEN TOTAL'!AD430</f>
        <v>0</v>
      </c>
      <c r="R331" s="70">
        <f>'RESUMEN TOTAL'!AE430</f>
        <v>0</v>
      </c>
      <c r="S331" s="70">
        <f>'RESUMEN TOTAL'!AF430</f>
        <v>0</v>
      </c>
      <c r="T331" s="70">
        <f>'RESUMEN TOTAL'!AG430</f>
        <v>0</v>
      </c>
      <c r="U331" s="70">
        <f>'RESUMEN TOTAL'!AH430</f>
        <v>0</v>
      </c>
      <c r="V331" s="70">
        <f>'RESUMEN TOTAL'!AI430</f>
        <v>0</v>
      </c>
      <c r="W331" s="70">
        <f>'RESUMEN TOTAL'!AJ430</f>
        <v>0</v>
      </c>
      <c r="X331" s="70">
        <f>'RESUMEN TOTAL'!AK430</f>
        <v>0</v>
      </c>
      <c r="Y331" s="70">
        <f>'RESUMEN TOTAL'!AL430</f>
        <v>0</v>
      </c>
      <c r="Z331" s="70">
        <f>'RESUMEN TOTAL'!AM430</f>
        <v>0</v>
      </c>
      <c r="AA331" s="70">
        <f>'RESUMEN TOTAL'!AN430</f>
        <v>0</v>
      </c>
      <c r="AB331" s="70">
        <f>'RESUMEN TOTAL'!AO430</f>
        <v>0</v>
      </c>
      <c r="AC331" s="70">
        <f>'RESUMEN TOTAL'!AP430</f>
        <v>0</v>
      </c>
      <c r="AD331" s="70">
        <f>'RESUMEN TOTAL'!AQ430</f>
        <v>0</v>
      </c>
      <c r="AE331" s="70">
        <f>'RESUMEN TOTAL'!AR430</f>
        <v>0</v>
      </c>
      <c r="AF331" s="70">
        <f>'RESUMEN TOTAL'!AS430</f>
        <v>0</v>
      </c>
      <c r="AG331" s="70">
        <f>'RESUMEN TOTAL'!AT430</f>
        <v>0</v>
      </c>
      <c r="AH331" s="70">
        <f>'RESUMEN TOTAL'!AU430</f>
        <v>0</v>
      </c>
      <c r="AI331" s="70">
        <f>'RESUMEN TOTAL'!AV430</f>
        <v>0</v>
      </c>
      <c r="AJ331" s="70" t="e">
        <f>'RESUMEN TOTAL'!#REF!</f>
        <v>#REF!</v>
      </c>
    </row>
    <row r="332" spans="1:36" x14ac:dyDescent="0.25">
      <c r="A332" t="str">
        <f>'RESUMEN TOTAL'!F431</f>
        <v>VILLA GENERAL SAN MARTIN</v>
      </c>
      <c r="B332" t="str">
        <f>'RESUMEN TOTAL'!G431</f>
        <v>SMA01</v>
      </c>
      <c r="C332" t="str">
        <f>'RESUMEN TOTAL'!I431</f>
        <v>Hudson y Montevideo</v>
      </c>
      <c r="D332" s="30" t="str">
        <f>'RESUMEN TOTAL'!J431</f>
        <v>DOMO</v>
      </c>
      <c r="E332" s="30" t="str">
        <f>'RESUMEN TOTAL'!K431</f>
        <v>GPON</v>
      </c>
      <c r="F332" s="70">
        <f>'RESUMEN TOTAL'!S431</f>
        <v>0</v>
      </c>
      <c r="G332" s="70">
        <f>'RESUMEN TOTAL'!T431</f>
        <v>0</v>
      </c>
      <c r="H332" s="70">
        <f>'RESUMEN TOTAL'!U431</f>
        <v>0</v>
      </c>
      <c r="I332" s="70">
        <f>'RESUMEN TOTAL'!V431</f>
        <v>0</v>
      </c>
      <c r="J332" s="70">
        <f>'RESUMEN TOTAL'!W431</f>
        <v>0</v>
      </c>
      <c r="K332" s="70">
        <f>'RESUMEN TOTAL'!X431</f>
        <v>0</v>
      </c>
      <c r="L332" s="70">
        <f>'RESUMEN TOTAL'!Y431</f>
        <v>0</v>
      </c>
      <c r="M332" s="70">
        <f>'RESUMEN TOTAL'!Z431</f>
        <v>0</v>
      </c>
      <c r="N332" s="70">
        <f>'RESUMEN TOTAL'!AA431</f>
        <v>0</v>
      </c>
      <c r="O332" s="70">
        <f>'RESUMEN TOTAL'!AB431</f>
        <v>0</v>
      </c>
      <c r="P332" s="70">
        <f>'RESUMEN TOTAL'!AC431</f>
        <v>0</v>
      </c>
      <c r="Q332" s="70">
        <f>'RESUMEN TOTAL'!AD431</f>
        <v>0</v>
      </c>
      <c r="R332" s="70">
        <f>'RESUMEN TOTAL'!AE431</f>
        <v>0</v>
      </c>
      <c r="S332" s="70">
        <f>'RESUMEN TOTAL'!AF431</f>
        <v>0</v>
      </c>
      <c r="T332" s="70">
        <f>'RESUMEN TOTAL'!AG431</f>
        <v>0</v>
      </c>
      <c r="U332" s="70">
        <f>'RESUMEN TOTAL'!AH431</f>
        <v>0</v>
      </c>
      <c r="V332" s="70">
        <f>'RESUMEN TOTAL'!AI431</f>
        <v>0</v>
      </c>
      <c r="W332" s="70">
        <f>'RESUMEN TOTAL'!AJ431</f>
        <v>0</v>
      </c>
      <c r="X332" s="70">
        <f>'RESUMEN TOTAL'!AK431</f>
        <v>0</v>
      </c>
      <c r="Y332" s="70">
        <f>'RESUMEN TOTAL'!AL431</f>
        <v>0</v>
      </c>
      <c r="Z332" s="70">
        <f>'RESUMEN TOTAL'!AM431</f>
        <v>0</v>
      </c>
      <c r="AA332" s="70">
        <f>'RESUMEN TOTAL'!AN431</f>
        <v>0</v>
      </c>
      <c r="AB332" s="70">
        <f>'RESUMEN TOTAL'!AO431</f>
        <v>0</v>
      </c>
      <c r="AC332" s="70">
        <f>'RESUMEN TOTAL'!AP431</f>
        <v>0</v>
      </c>
      <c r="AD332" s="70">
        <f>'RESUMEN TOTAL'!AQ431</f>
        <v>0</v>
      </c>
      <c r="AE332" s="70">
        <f>'RESUMEN TOTAL'!AR431</f>
        <v>0</v>
      </c>
      <c r="AF332" s="70">
        <f>'RESUMEN TOTAL'!AS431</f>
        <v>0</v>
      </c>
      <c r="AG332" s="70">
        <f>'RESUMEN TOTAL'!AT431</f>
        <v>0</v>
      </c>
      <c r="AH332" s="70">
        <f>'RESUMEN TOTAL'!AU431</f>
        <v>0</v>
      </c>
      <c r="AI332" s="70">
        <f>'RESUMEN TOTAL'!AV431</f>
        <v>0</v>
      </c>
      <c r="AJ332" s="70" t="e">
        <f>'RESUMEN TOTAL'!#REF!</f>
        <v>#REF!</v>
      </c>
    </row>
    <row r="333" spans="1:36" x14ac:dyDescent="0.25">
      <c r="A333" t="str">
        <f>'RESUMEN TOTAL'!F432</f>
        <v>VILLA GENERAL SAN MARTIN</v>
      </c>
      <c r="B333" t="str">
        <f>'RESUMEN TOTAL'!G432</f>
        <v>SMA02</v>
      </c>
      <c r="C333" t="str">
        <f>'RESUMEN TOTAL'!I432</f>
        <v>Hudson y San Nicolas</v>
      </c>
      <c r="D333" s="30" t="str">
        <f>'RESUMEN TOTAL'!J432</f>
        <v>Domo</v>
      </c>
      <c r="E333" s="30" t="str">
        <f>'RESUMEN TOTAL'!K432</f>
        <v>GPON</v>
      </c>
      <c r="F333" s="70">
        <f>'RESUMEN TOTAL'!S432</f>
        <v>0</v>
      </c>
      <c r="G333" s="70">
        <f>'RESUMEN TOTAL'!T432</f>
        <v>0</v>
      </c>
      <c r="H333" s="70">
        <f>'RESUMEN TOTAL'!U432</f>
        <v>0</v>
      </c>
      <c r="I333" s="70" t="str">
        <f>'RESUMEN TOTAL'!V432</f>
        <v>APAGADO</v>
      </c>
      <c r="J333" s="70" t="str">
        <f>'RESUMEN TOTAL'!W432</f>
        <v>APAGADO</v>
      </c>
      <c r="K333" s="70" t="str">
        <f>'RESUMEN TOTAL'!X432</f>
        <v>APAGADO</v>
      </c>
      <c r="L333" s="70" t="str">
        <f>'RESUMEN TOTAL'!Y432</f>
        <v>APAGADO</v>
      </c>
      <c r="M333" s="70" t="str">
        <f>'RESUMEN TOTAL'!Z432</f>
        <v>APAGADO</v>
      </c>
      <c r="N333" s="70">
        <f>'RESUMEN TOTAL'!AA432</f>
        <v>0</v>
      </c>
      <c r="O333" s="70">
        <f>'RESUMEN TOTAL'!AB432</f>
        <v>0</v>
      </c>
      <c r="P333" s="70" t="str">
        <f>'RESUMEN TOTAL'!AC432</f>
        <v>APAGADO</v>
      </c>
      <c r="Q333" s="70" t="str">
        <f>'RESUMEN TOTAL'!AD432</f>
        <v>APAGADO</v>
      </c>
      <c r="R333" s="70" t="str">
        <f>'RESUMEN TOTAL'!AE432</f>
        <v>APAGADO</v>
      </c>
      <c r="S333" s="70" t="str">
        <f>'RESUMEN TOTAL'!AF432</f>
        <v>APAGADO</v>
      </c>
      <c r="T333" s="70" t="str">
        <f>'RESUMEN TOTAL'!AG432</f>
        <v>APAGADO</v>
      </c>
      <c r="U333" s="70">
        <f>'RESUMEN TOTAL'!AH432</f>
        <v>0</v>
      </c>
      <c r="V333" s="70">
        <f>'RESUMEN TOTAL'!AI432</f>
        <v>0</v>
      </c>
      <c r="W333" s="70" t="str">
        <f>'RESUMEN TOTAL'!AJ432</f>
        <v>APAGADO</v>
      </c>
      <c r="X333" s="70" t="str">
        <f>'RESUMEN TOTAL'!AK432</f>
        <v>APAGADO</v>
      </c>
      <c r="Y333" s="70" t="str">
        <f>'RESUMEN TOTAL'!AL432</f>
        <v>APAGADO</v>
      </c>
      <c r="Z333" s="70" t="str">
        <f>'RESUMEN TOTAL'!AM432</f>
        <v>APAGADO</v>
      </c>
      <c r="AA333" s="70" t="str">
        <f>'RESUMEN TOTAL'!AN432</f>
        <v>APAGADO</v>
      </c>
      <c r="AB333" s="70">
        <f>'RESUMEN TOTAL'!AO432</f>
        <v>0</v>
      </c>
      <c r="AC333" s="70">
        <f>'RESUMEN TOTAL'!AP432</f>
        <v>0</v>
      </c>
      <c r="AD333" s="70">
        <f>'RESUMEN TOTAL'!AQ432</f>
        <v>0</v>
      </c>
      <c r="AE333" s="70" t="str">
        <f>'RESUMEN TOTAL'!AR432</f>
        <v>APAGADO</v>
      </c>
      <c r="AF333" s="70" t="str">
        <f>'RESUMEN TOTAL'!AS432</f>
        <v>APAGADO</v>
      </c>
      <c r="AG333" s="70" t="str">
        <f>'RESUMEN TOTAL'!AT432</f>
        <v>APAGADO</v>
      </c>
      <c r="AH333" s="70">
        <f>'RESUMEN TOTAL'!AU432</f>
        <v>0</v>
      </c>
      <c r="AI333" s="70">
        <f>'RESUMEN TOTAL'!AV432</f>
        <v>0</v>
      </c>
      <c r="AJ333" s="70" t="e">
        <f>'RESUMEN TOTAL'!#REF!</f>
        <v>#REF!</v>
      </c>
    </row>
    <row r="334" spans="1:36" x14ac:dyDescent="0.25">
      <c r="A334" t="str">
        <f>'RESUMEN TOTAL'!F433</f>
        <v>VILLA GENERAL SAN MARTIN</v>
      </c>
      <c r="B334" t="str">
        <f>'RESUMEN TOTAL'!G433</f>
        <v>SMA05</v>
      </c>
      <c r="C334" t="str">
        <f>'RESUMEN TOTAL'!I433</f>
        <v>MONTEVIDEO Y VILLEGAS</v>
      </c>
      <c r="D334" s="30" t="str">
        <f>'RESUMEN TOTAL'!J433</f>
        <v>DOMO</v>
      </c>
      <c r="E334" s="30" t="str">
        <f>'RESUMEN TOTAL'!K433</f>
        <v>PTO A FO</v>
      </c>
      <c r="F334" s="70">
        <f>'RESUMEN TOTAL'!S433</f>
        <v>0</v>
      </c>
      <c r="G334" s="70">
        <f>'RESUMEN TOTAL'!T433</f>
        <v>0</v>
      </c>
      <c r="H334" s="70">
        <f>'RESUMEN TOTAL'!V433</f>
        <v>0</v>
      </c>
      <c r="I334" s="70">
        <v>0</v>
      </c>
      <c r="J334" s="70">
        <f>'RESUMEN TOTAL'!W433</f>
        <v>0</v>
      </c>
      <c r="K334" s="70">
        <f>'RESUMEN TOTAL'!X433</f>
        <v>0</v>
      </c>
      <c r="L334" s="70">
        <f>'RESUMEN TOTAL'!Y433</f>
        <v>0</v>
      </c>
      <c r="M334" s="70">
        <f>'RESUMEN TOTAL'!Z433</f>
        <v>0</v>
      </c>
      <c r="N334" s="70">
        <f>'RESUMEN TOTAL'!AA433</f>
        <v>0</v>
      </c>
      <c r="O334" s="70">
        <f>'RESUMEN TOTAL'!AB433</f>
        <v>0</v>
      </c>
      <c r="P334" s="70">
        <f>'RESUMEN TOTAL'!AC433</f>
        <v>0</v>
      </c>
      <c r="Q334" s="70">
        <f>'RESUMEN TOTAL'!AD433</f>
        <v>0</v>
      </c>
      <c r="R334" s="70">
        <f>'RESUMEN TOTAL'!AE433</f>
        <v>0</v>
      </c>
      <c r="S334" s="70">
        <f>'RESUMEN TOTAL'!AF433</f>
        <v>0</v>
      </c>
      <c r="T334" s="70">
        <f>'RESUMEN TOTAL'!AG433</f>
        <v>0</v>
      </c>
      <c r="U334" s="70">
        <f>'RESUMEN TOTAL'!AH433</f>
        <v>0</v>
      </c>
      <c r="V334" s="70">
        <f>'RESUMEN TOTAL'!AI433</f>
        <v>0</v>
      </c>
      <c r="W334" s="70">
        <f>'RESUMEN TOTAL'!AJ433</f>
        <v>0</v>
      </c>
      <c r="X334" s="70">
        <f>'RESUMEN TOTAL'!AK433</f>
        <v>0</v>
      </c>
      <c r="Y334" s="70">
        <f>'RESUMEN TOTAL'!AL433</f>
        <v>0</v>
      </c>
      <c r="Z334" s="70">
        <f>'RESUMEN TOTAL'!AM433</f>
        <v>0</v>
      </c>
      <c r="AA334" s="70">
        <f>'RESUMEN TOTAL'!AN433</f>
        <v>0</v>
      </c>
      <c r="AB334" s="70">
        <f>'RESUMEN TOTAL'!AO433</f>
        <v>0</v>
      </c>
      <c r="AC334" s="70">
        <f>'RESUMEN TOTAL'!AP433</f>
        <v>0</v>
      </c>
      <c r="AD334" s="70">
        <f>'RESUMEN TOTAL'!AQ433</f>
        <v>0</v>
      </c>
      <c r="AE334" s="70">
        <f>'RESUMEN TOTAL'!AR433</f>
        <v>0</v>
      </c>
      <c r="AF334" s="70">
        <f>'RESUMEN TOTAL'!AS433</f>
        <v>0</v>
      </c>
      <c r="AG334" s="70">
        <f>'RESUMEN TOTAL'!AT433</f>
        <v>0</v>
      </c>
      <c r="AH334" s="70">
        <f>'RESUMEN TOTAL'!AU433</f>
        <v>0</v>
      </c>
      <c r="AI334" s="70">
        <f>'RESUMEN TOTAL'!AV433</f>
        <v>0</v>
      </c>
      <c r="AJ334" s="70" t="e">
        <f>'RESUMEN TOTAL'!#REF!</f>
        <v>#REF!</v>
      </c>
    </row>
    <row r="335" spans="1:36" x14ac:dyDescent="0.25">
      <c r="A335" t="str">
        <f>'RESUMEN TOTAL'!F434</f>
        <v>SAN EMILIO</v>
      </c>
      <c r="B335" t="str">
        <f>'RESUMEN TOTAL'!G434</f>
        <v>SMAT01</v>
      </c>
      <c r="C335" t="str">
        <f>'RESUMEN TOTAL'!I434</f>
        <v xml:space="preserve">AV BOSQUES Y CANTU </v>
      </c>
      <c r="D335" s="30" t="str">
        <f>'RESUMEN TOTAL'!J434</f>
        <v>DOMO</v>
      </c>
      <c r="E335" s="30" t="str">
        <f>'RESUMEN TOTAL'!K434</f>
        <v>GPON</v>
      </c>
      <c r="F335" s="70">
        <f>'RESUMEN TOTAL'!S434</f>
        <v>0</v>
      </c>
      <c r="G335" s="70">
        <f>'RESUMEN TOTAL'!T434</f>
        <v>0</v>
      </c>
      <c r="H335" s="70">
        <f>'RESUMEN TOTAL'!V434</f>
        <v>0</v>
      </c>
      <c r="I335" s="70">
        <v>0</v>
      </c>
      <c r="J335" s="70">
        <f>'RESUMEN TOTAL'!W434</f>
        <v>0</v>
      </c>
      <c r="K335" s="70">
        <f>'RESUMEN TOTAL'!X434</f>
        <v>0</v>
      </c>
      <c r="L335" s="70">
        <f>'RESUMEN TOTAL'!Y434</f>
        <v>0</v>
      </c>
      <c r="M335" s="70" t="str">
        <f>'RESUMEN TOTAL'!Z434</f>
        <v>APAGADO</v>
      </c>
      <c r="N335" s="70">
        <f>'RESUMEN TOTAL'!AA434</f>
        <v>0</v>
      </c>
      <c r="O335" s="70">
        <f>'RESUMEN TOTAL'!AB434</f>
        <v>0</v>
      </c>
      <c r="P335" s="70">
        <f>'RESUMEN TOTAL'!AC434</f>
        <v>0</v>
      </c>
      <c r="Q335" s="70">
        <f>'RESUMEN TOTAL'!AD434</f>
        <v>0</v>
      </c>
      <c r="R335" s="70">
        <f>'RESUMEN TOTAL'!AE434</f>
        <v>0</v>
      </c>
      <c r="S335" s="70">
        <f>'RESUMEN TOTAL'!AF434</f>
        <v>0</v>
      </c>
      <c r="T335" s="70">
        <f>'RESUMEN TOTAL'!AG434</f>
        <v>0</v>
      </c>
      <c r="U335" s="70">
        <f>'RESUMEN TOTAL'!AH434</f>
        <v>0</v>
      </c>
      <c r="V335" s="70">
        <f>'RESUMEN TOTAL'!AI434</f>
        <v>0</v>
      </c>
      <c r="W335" s="70">
        <f>'RESUMEN TOTAL'!AJ434</f>
        <v>0</v>
      </c>
      <c r="X335" s="70">
        <f>'RESUMEN TOTAL'!AK434</f>
        <v>0</v>
      </c>
      <c r="Y335" s="70">
        <f>'RESUMEN TOTAL'!AL434</f>
        <v>0</v>
      </c>
      <c r="Z335" s="70">
        <f>'RESUMEN TOTAL'!AM434</f>
        <v>0</v>
      </c>
      <c r="AA335" s="70">
        <f>'RESUMEN TOTAL'!AN434</f>
        <v>0</v>
      </c>
      <c r="AB335" s="70">
        <f>'RESUMEN TOTAL'!AO434</f>
        <v>0</v>
      </c>
      <c r="AC335" s="70">
        <f>'RESUMEN TOTAL'!AP434</f>
        <v>0</v>
      </c>
      <c r="AD335" s="70">
        <f>'RESUMEN TOTAL'!AQ434</f>
        <v>0</v>
      </c>
      <c r="AE335" s="70">
        <f>'RESUMEN TOTAL'!AR434</f>
        <v>0</v>
      </c>
      <c r="AF335" s="70" t="str">
        <f>'RESUMEN TOTAL'!AS434</f>
        <v>APAGADO</v>
      </c>
      <c r="AG335" s="70">
        <f>'RESUMEN TOTAL'!AT434</f>
        <v>0</v>
      </c>
      <c r="AH335" s="70">
        <f>'RESUMEN TOTAL'!AU434</f>
        <v>0</v>
      </c>
      <c r="AI335" s="70">
        <f>'RESUMEN TOTAL'!AV434</f>
        <v>0</v>
      </c>
      <c r="AJ335" s="70" t="e">
        <f>'RESUMEN TOTAL'!#REF!</f>
        <v>#REF!</v>
      </c>
    </row>
    <row r="336" spans="1:36" x14ac:dyDescent="0.25">
      <c r="A336" t="str">
        <f>'RESUMEN TOTAL'!F438</f>
        <v>SAN NICOLAS</v>
      </c>
      <c r="B336" t="str">
        <f>'RESUMEN TOTAL'!G438</f>
        <v>SNI 03 (fija 1)</v>
      </c>
      <c r="C336" t="str">
        <f>'RESUMEN TOTAL'!I438</f>
        <v>SARRATEA Y LOS TREBOLES</v>
      </c>
      <c r="D336" s="30" t="str">
        <f>'RESUMEN TOTAL'!J438</f>
        <v>Fija</v>
      </c>
      <c r="E336" s="30" t="str">
        <f>'RESUMEN TOTAL'!K438</f>
        <v>Fibra Optica</v>
      </c>
      <c r="F336" s="70">
        <f>'RESUMEN TOTAL'!S438</f>
        <v>0</v>
      </c>
      <c r="G336" s="70">
        <f>'RESUMEN TOTAL'!T438</f>
        <v>0</v>
      </c>
      <c r="H336" s="70">
        <f>'RESUMEN TOTAL'!U438</f>
        <v>0</v>
      </c>
      <c r="I336" s="70">
        <f>'RESUMEN TOTAL'!V438</f>
        <v>0</v>
      </c>
      <c r="J336" s="70">
        <f>'RESUMEN TOTAL'!W438</f>
        <v>0</v>
      </c>
      <c r="K336" s="70">
        <f>'RESUMEN TOTAL'!X438</f>
        <v>0</v>
      </c>
      <c r="L336" s="70">
        <f>'RESUMEN TOTAL'!Y438</f>
        <v>0</v>
      </c>
      <c r="M336" s="70">
        <f>'RESUMEN TOTAL'!Z438</f>
        <v>0</v>
      </c>
      <c r="N336" s="70">
        <f>'RESUMEN TOTAL'!AA438</f>
        <v>0</v>
      </c>
      <c r="O336" s="70">
        <f>'RESUMEN TOTAL'!AB438</f>
        <v>0</v>
      </c>
      <c r="P336" s="70">
        <f>'RESUMEN TOTAL'!AC438</f>
        <v>0</v>
      </c>
      <c r="Q336" s="70">
        <f>'RESUMEN TOTAL'!AD438</f>
        <v>0</v>
      </c>
      <c r="R336" s="70">
        <f>'RESUMEN TOTAL'!AE438</f>
        <v>0</v>
      </c>
      <c r="S336" s="70">
        <f>'RESUMEN TOTAL'!AF438</f>
        <v>0</v>
      </c>
      <c r="T336" s="70">
        <f>'RESUMEN TOTAL'!AG438</f>
        <v>0</v>
      </c>
      <c r="U336" s="70">
        <f>'RESUMEN TOTAL'!AH438</f>
        <v>0</v>
      </c>
      <c r="V336" s="70">
        <f>'RESUMEN TOTAL'!AI438</f>
        <v>0</v>
      </c>
      <c r="W336" s="70">
        <f>'RESUMEN TOTAL'!AJ438</f>
        <v>0</v>
      </c>
      <c r="X336" s="70">
        <f>'RESUMEN TOTAL'!AK438</f>
        <v>0</v>
      </c>
      <c r="Y336" s="70">
        <f>'RESUMEN TOTAL'!AL438</f>
        <v>0</v>
      </c>
      <c r="Z336" s="70">
        <f>'RESUMEN TOTAL'!AM438</f>
        <v>0</v>
      </c>
      <c r="AA336" s="70">
        <f>'RESUMEN TOTAL'!AN438</f>
        <v>0</v>
      </c>
      <c r="AB336" s="70">
        <f>'RESUMEN TOTAL'!AO438</f>
        <v>0</v>
      </c>
      <c r="AC336" s="70">
        <f>'RESUMEN TOTAL'!AP438</f>
        <v>0</v>
      </c>
      <c r="AD336" s="70">
        <f>'RESUMEN TOTAL'!AQ438</f>
        <v>0</v>
      </c>
      <c r="AE336" s="70">
        <f>'RESUMEN TOTAL'!AR438</f>
        <v>0</v>
      </c>
      <c r="AF336" s="70">
        <f>'RESUMEN TOTAL'!AS438</f>
        <v>0</v>
      </c>
      <c r="AG336" s="70">
        <f>'RESUMEN TOTAL'!AT438</f>
        <v>0</v>
      </c>
      <c r="AH336" s="70">
        <f>'RESUMEN TOTAL'!AU438</f>
        <v>0</v>
      </c>
      <c r="AI336" s="70">
        <f>'RESUMEN TOTAL'!AV438</f>
        <v>0</v>
      </c>
      <c r="AJ336" s="70" t="e">
        <f>'RESUMEN TOTAL'!#REF!</f>
        <v>#REF!</v>
      </c>
    </row>
    <row r="337" spans="1:36" x14ac:dyDescent="0.25">
      <c r="A337" t="str">
        <f>'RESUMEN TOTAL'!F439</f>
        <v>SAN NICOLAS</v>
      </c>
      <c r="B337" t="str">
        <f>'RESUMEN TOTAL'!G439</f>
        <v>SNI 04 (fija 2)</v>
      </c>
      <c r="C337" t="str">
        <f>'RESUMEN TOTAL'!I439</f>
        <v>SARRATEA Y LOS TREBOLES</v>
      </c>
      <c r="D337" s="30" t="str">
        <f>'RESUMEN TOTAL'!J439</f>
        <v>Fija</v>
      </c>
      <c r="E337" s="30" t="str">
        <f>'RESUMEN TOTAL'!K439</f>
        <v>Fibra Optica</v>
      </c>
      <c r="F337" s="70">
        <f>'RESUMEN TOTAL'!S439</f>
        <v>0</v>
      </c>
      <c r="G337" s="70">
        <f>'RESUMEN TOTAL'!T439</f>
        <v>0</v>
      </c>
      <c r="H337" s="70">
        <f>'RESUMEN TOTAL'!U439</f>
        <v>0</v>
      </c>
      <c r="I337" s="70">
        <f>'RESUMEN TOTAL'!V439</f>
        <v>0</v>
      </c>
      <c r="J337" s="70">
        <f>'RESUMEN TOTAL'!W439</f>
        <v>0</v>
      </c>
      <c r="K337" s="70">
        <f>'RESUMEN TOTAL'!X439</f>
        <v>0</v>
      </c>
      <c r="L337" s="70">
        <f>'RESUMEN TOTAL'!Y439</f>
        <v>0</v>
      </c>
      <c r="M337" s="70">
        <f>'RESUMEN TOTAL'!Z439</f>
        <v>0</v>
      </c>
      <c r="N337" s="70">
        <f>'RESUMEN TOTAL'!AA439</f>
        <v>0</v>
      </c>
      <c r="O337" s="70">
        <f>'RESUMEN TOTAL'!AB439</f>
        <v>0</v>
      </c>
      <c r="P337" s="70">
        <f>'RESUMEN TOTAL'!AC439</f>
        <v>0</v>
      </c>
      <c r="Q337" s="70">
        <f>'RESUMEN TOTAL'!AD439</f>
        <v>0</v>
      </c>
      <c r="R337" s="70">
        <f>'RESUMEN TOTAL'!AE439</f>
        <v>0</v>
      </c>
      <c r="S337" s="70">
        <f>'RESUMEN TOTAL'!AF439</f>
        <v>0</v>
      </c>
      <c r="T337" s="70">
        <f>'RESUMEN TOTAL'!AG439</f>
        <v>0</v>
      </c>
      <c r="U337" s="70">
        <f>'RESUMEN TOTAL'!AH439</f>
        <v>0</v>
      </c>
      <c r="V337" s="70">
        <f>'RESUMEN TOTAL'!AI439</f>
        <v>0</v>
      </c>
      <c r="W337" s="70">
        <f>'RESUMEN TOTAL'!AJ439</f>
        <v>0</v>
      </c>
      <c r="X337" s="70">
        <f>'RESUMEN TOTAL'!AK439</f>
        <v>0</v>
      </c>
      <c r="Y337" s="70">
        <f>'RESUMEN TOTAL'!AL439</f>
        <v>0</v>
      </c>
      <c r="Z337" s="70">
        <f>'RESUMEN TOTAL'!AM439</f>
        <v>0</v>
      </c>
      <c r="AA337" s="70">
        <f>'RESUMEN TOTAL'!AN439</f>
        <v>0</v>
      </c>
      <c r="AB337" s="70">
        <f>'RESUMEN TOTAL'!AO439</f>
        <v>0</v>
      </c>
      <c r="AC337" s="70">
        <f>'RESUMEN TOTAL'!AP439</f>
        <v>0</v>
      </c>
      <c r="AD337" s="70">
        <f>'RESUMEN TOTAL'!AQ439</f>
        <v>0</v>
      </c>
      <c r="AE337" s="70">
        <f>'RESUMEN TOTAL'!AR439</f>
        <v>0</v>
      </c>
      <c r="AF337" s="70">
        <f>'RESUMEN TOTAL'!AS439</f>
        <v>0</v>
      </c>
      <c r="AG337" s="70">
        <f>'RESUMEN TOTAL'!AT439</f>
        <v>0</v>
      </c>
      <c r="AH337" s="70">
        <f>'RESUMEN TOTAL'!AU439</f>
        <v>0</v>
      </c>
      <c r="AI337" s="70">
        <f>'RESUMEN TOTAL'!AV439</f>
        <v>0</v>
      </c>
      <c r="AJ337" s="70" t="e">
        <f>'RESUMEN TOTAL'!#REF!</f>
        <v>#REF!</v>
      </c>
    </row>
    <row r="338" spans="1:36" x14ac:dyDescent="0.25">
      <c r="A338" t="str">
        <f>'RESUMEN TOTAL'!F440</f>
        <v>SAN NICOLAS</v>
      </c>
      <c r="B338" t="str">
        <f>'RESUMEN TOTAL'!G440</f>
        <v>SNI01 (fija 1)</v>
      </c>
      <c r="C338" t="str">
        <f>'RESUMEN TOTAL'!I440</f>
        <v>SARRATEA E/ EEUU DE A. Y AGRELO</v>
      </c>
      <c r="D338" s="30" t="str">
        <f>'RESUMEN TOTAL'!J440</f>
        <v>Fija</v>
      </c>
      <c r="E338" s="30" t="str">
        <f>'RESUMEN TOTAL'!K440</f>
        <v>Fibra Optica</v>
      </c>
      <c r="F338" s="70">
        <f>'RESUMEN TOTAL'!S440</f>
        <v>0</v>
      </c>
      <c r="G338" s="70">
        <f>'RESUMEN TOTAL'!T440</f>
        <v>0</v>
      </c>
      <c r="H338" s="70">
        <f>'RESUMEN TOTAL'!U440</f>
        <v>0</v>
      </c>
      <c r="I338" s="70">
        <f>'RESUMEN TOTAL'!V440</f>
        <v>0</v>
      </c>
      <c r="J338" s="70">
        <f>'RESUMEN TOTAL'!W440</f>
        <v>0</v>
      </c>
      <c r="K338" s="70">
        <f>'RESUMEN TOTAL'!X440</f>
        <v>0</v>
      </c>
      <c r="L338" s="70">
        <f>'RESUMEN TOTAL'!Y440</f>
        <v>0</v>
      </c>
      <c r="M338" s="70">
        <f>'RESUMEN TOTAL'!Z440</f>
        <v>0</v>
      </c>
      <c r="N338" s="70">
        <f>'RESUMEN TOTAL'!AA440</f>
        <v>0</v>
      </c>
      <c r="O338" s="70">
        <f>'RESUMEN TOTAL'!AB440</f>
        <v>0</v>
      </c>
      <c r="P338" s="70">
        <f>'RESUMEN TOTAL'!AC440</f>
        <v>0</v>
      </c>
      <c r="Q338" s="70">
        <f>'RESUMEN TOTAL'!AD440</f>
        <v>0</v>
      </c>
      <c r="R338" s="70">
        <f>'RESUMEN TOTAL'!AE440</f>
        <v>0</v>
      </c>
      <c r="S338" s="70">
        <f>'RESUMEN TOTAL'!AF440</f>
        <v>0</v>
      </c>
      <c r="T338" s="70">
        <f>'RESUMEN TOTAL'!AG440</f>
        <v>0</v>
      </c>
      <c r="U338" s="70">
        <f>'RESUMEN TOTAL'!AH440</f>
        <v>0</v>
      </c>
      <c r="V338" s="70">
        <f>'RESUMEN TOTAL'!AI440</f>
        <v>0</v>
      </c>
      <c r="W338" s="70">
        <f>'RESUMEN TOTAL'!AJ440</f>
        <v>0</v>
      </c>
      <c r="X338" s="70">
        <f>'RESUMEN TOTAL'!AK440</f>
        <v>0</v>
      </c>
      <c r="Y338" s="70">
        <f>'RESUMEN TOTAL'!AL440</f>
        <v>0</v>
      </c>
      <c r="Z338" s="70">
        <f>'RESUMEN TOTAL'!AM440</f>
        <v>0</v>
      </c>
      <c r="AA338" s="70">
        <f>'RESUMEN TOTAL'!AN440</f>
        <v>0</v>
      </c>
      <c r="AB338" s="70">
        <f>'RESUMEN TOTAL'!AO440</f>
        <v>0</v>
      </c>
      <c r="AC338" s="70">
        <f>'RESUMEN TOTAL'!AP440</f>
        <v>0</v>
      </c>
      <c r="AD338" s="70">
        <f>'RESUMEN TOTAL'!AQ440</f>
        <v>0</v>
      </c>
      <c r="AE338" s="70">
        <f>'RESUMEN TOTAL'!AR440</f>
        <v>0</v>
      </c>
      <c r="AF338" s="70">
        <f>'RESUMEN TOTAL'!AS440</f>
        <v>0</v>
      </c>
      <c r="AG338" s="70">
        <f>'RESUMEN TOTAL'!AT440</f>
        <v>0</v>
      </c>
      <c r="AH338" s="70">
        <f>'RESUMEN TOTAL'!AU440</f>
        <v>0</v>
      </c>
      <c r="AI338" s="70">
        <f>'RESUMEN TOTAL'!AV440</f>
        <v>0</v>
      </c>
      <c r="AJ338" s="70" t="e">
        <f>'RESUMEN TOTAL'!#REF!</f>
        <v>#REF!</v>
      </c>
    </row>
    <row r="339" spans="1:36" x14ac:dyDescent="0.25">
      <c r="A339" t="str">
        <f>'RESUMEN TOTAL'!F441</f>
        <v>SAN NICOLAS</v>
      </c>
      <c r="B339" t="str">
        <f>'RESUMEN TOTAL'!G441</f>
        <v>SNI02 (fija 2)</v>
      </c>
      <c r="C339" t="str">
        <f>'RESUMEN TOTAL'!I441</f>
        <v>SARRATEA E/ EEUU DE A. Y AGRELO</v>
      </c>
      <c r="D339" s="30" t="str">
        <f>'RESUMEN TOTAL'!J441</f>
        <v>Fija</v>
      </c>
      <c r="E339" s="30" t="str">
        <f>'RESUMEN TOTAL'!K441</f>
        <v>Fibra Optica</v>
      </c>
      <c r="F339" s="70">
        <f>'RESUMEN TOTAL'!S441</f>
        <v>0</v>
      </c>
      <c r="G339" s="70">
        <f>'RESUMEN TOTAL'!T441</f>
        <v>0</v>
      </c>
      <c r="H339" s="70">
        <f>'RESUMEN TOTAL'!U441</f>
        <v>0</v>
      </c>
      <c r="I339" s="70">
        <f>'RESUMEN TOTAL'!V441</f>
        <v>0</v>
      </c>
      <c r="J339" s="70">
        <f>'RESUMEN TOTAL'!W441</f>
        <v>0</v>
      </c>
      <c r="K339" s="70">
        <f>'RESUMEN TOTAL'!X441</f>
        <v>0</v>
      </c>
      <c r="L339" s="70">
        <f>'RESUMEN TOTAL'!Y441</f>
        <v>0</v>
      </c>
      <c r="M339" s="70">
        <f>'RESUMEN TOTAL'!Z441</f>
        <v>0</v>
      </c>
      <c r="N339" s="70">
        <f>'RESUMEN TOTAL'!AA441</f>
        <v>0</v>
      </c>
      <c r="O339" s="70">
        <f>'RESUMEN TOTAL'!AB441</f>
        <v>0</v>
      </c>
      <c r="P339" s="70">
        <f>'RESUMEN TOTAL'!AC441</f>
        <v>0</v>
      </c>
      <c r="Q339" s="70">
        <f>'RESUMEN TOTAL'!AD441</f>
        <v>0</v>
      </c>
      <c r="R339" s="70">
        <f>'RESUMEN TOTAL'!AE441</f>
        <v>0</v>
      </c>
      <c r="S339" s="70">
        <f>'RESUMEN TOTAL'!AF441</f>
        <v>0</v>
      </c>
      <c r="T339" s="70">
        <f>'RESUMEN TOTAL'!AG441</f>
        <v>0</v>
      </c>
      <c r="U339" s="70">
        <f>'RESUMEN TOTAL'!AH441</f>
        <v>0</v>
      </c>
      <c r="V339" s="70">
        <f>'RESUMEN TOTAL'!AI441</f>
        <v>0</v>
      </c>
      <c r="W339" s="70">
        <f>'RESUMEN TOTAL'!AJ441</f>
        <v>0</v>
      </c>
      <c r="X339" s="70">
        <f>'RESUMEN TOTAL'!AK441</f>
        <v>0</v>
      </c>
      <c r="Y339" s="70">
        <f>'RESUMEN TOTAL'!AL441</f>
        <v>0</v>
      </c>
      <c r="Z339" s="70">
        <f>'RESUMEN TOTAL'!AM441</f>
        <v>0</v>
      </c>
      <c r="AA339" s="70">
        <f>'RESUMEN TOTAL'!AN441</f>
        <v>0</v>
      </c>
      <c r="AB339" s="70">
        <f>'RESUMEN TOTAL'!AO441</f>
        <v>0</v>
      </c>
      <c r="AC339" s="70">
        <f>'RESUMEN TOTAL'!AP441</f>
        <v>0</v>
      </c>
      <c r="AD339" s="70">
        <f>'RESUMEN TOTAL'!AQ441</f>
        <v>0</v>
      </c>
      <c r="AE339" s="70">
        <f>'RESUMEN TOTAL'!AR441</f>
        <v>0</v>
      </c>
      <c r="AF339" s="70">
        <f>'RESUMEN TOTAL'!AS441</f>
        <v>0</v>
      </c>
      <c r="AG339" s="70">
        <f>'RESUMEN TOTAL'!AT441</f>
        <v>0</v>
      </c>
      <c r="AH339" s="70">
        <f>'RESUMEN TOTAL'!AU441</f>
        <v>0</v>
      </c>
      <c r="AI339" s="70">
        <f>'RESUMEN TOTAL'!AV441</f>
        <v>0</v>
      </c>
      <c r="AJ339" s="70" t="e">
        <f>'RESUMEN TOTAL'!#REF!</f>
        <v>#REF!</v>
      </c>
    </row>
    <row r="340" spans="1:36" x14ac:dyDescent="0.25">
      <c r="A340" t="str">
        <f>'RESUMEN TOTAL'!F442</f>
        <v>SANTA ROSA</v>
      </c>
      <c r="B340" t="str">
        <f>'RESUMEN TOTAL'!G442</f>
        <v>SRO 04</v>
      </c>
      <c r="C340" t="str">
        <f>'RESUMEN TOTAL'!I442</f>
        <v>Belgica y Andorra</v>
      </c>
      <c r="D340" s="30" t="str">
        <f>'RESUMEN TOTAL'!J442</f>
        <v>Domo</v>
      </c>
      <c r="E340" s="30" t="str">
        <f>'RESUMEN TOTAL'!K442</f>
        <v>GPON</v>
      </c>
      <c r="F340" s="70">
        <f>'RESUMEN TOTAL'!S442</f>
        <v>0</v>
      </c>
      <c r="G340" s="70">
        <f>'RESUMEN TOTAL'!T442</f>
        <v>0</v>
      </c>
      <c r="H340" s="70">
        <f>'RESUMEN TOTAL'!U442</f>
        <v>0</v>
      </c>
      <c r="I340" s="70" t="str">
        <f>'RESUMEN TOTAL'!V442</f>
        <v>APAGADO</v>
      </c>
      <c r="J340" s="70" t="str">
        <f>'RESUMEN TOTAL'!W442</f>
        <v>APAGADO</v>
      </c>
      <c r="K340" s="70" t="str">
        <f>'RESUMEN TOTAL'!X442</f>
        <v>APAGADO</v>
      </c>
      <c r="L340" s="70" t="str">
        <f>'RESUMEN TOTAL'!Y442</f>
        <v>APAGADO</v>
      </c>
      <c r="M340" s="70" t="str">
        <f>'RESUMEN TOTAL'!Z442</f>
        <v>APAGADO</v>
      </c>
      <c r="N340" s="70">
        <f>'RESUMEN TOTAL'!AA442</f>
        <v>0</v>
      </c>
      <c r="O340" s="70">
        <f>'RESUMEN TOTAL'!AB442</f>
        <v>0</v>
      </c>
      <c r="P340" s="70" t="str">
        <f>'RESUMEN TOTAL'!AC442</f>
        <v>APAGADO</v>
      </c>
      <c r="Q340" s="70" t="str">
        <f>'RESUMEN TOTAL'!AD442</f>
        <v>APAGADO</v>
      </c>
      <c r="R340" s="70" t="str">
        <f>'RESUMEN TOTAL'!AE442</f>
        <v>APAGADO</v>
      </c>
      <c r="S340" s="70" t="str">
        <f>'RESUMEN TOTAL'!AF442</f>
        <v>APAGADO</v>
      </c>
      <c r="T340" s="70" t="str">
        <f>'RESUMEN TOTAL'!AG442</f>
        <v>APAGADO</v>
      </c>
      <c r="U340" s="70">
        <f>'RESUMEN TOTAL'!AH442</f>
        <v>0</v>
      </c>
      <c r="V340" s="70">
        <f>'RESUMEN TOTAL'!AI442</f>
        <v>0</v>
      </c>
      <c r="W340" s="70" t="str">
        <f>'RESUMEN TOTAL'!AJ442</f>
        <v>APAGADO</v>
      </c>
      <c r="X340" s="70" t="str">
        <f>'RESUMEN TOTAL'!AK442</f>
        <v>APAGADO</v>
      </c>
      <c r="Y340" s="70" t="str">
        <f>'RESUMEN TOTAL'!AL442</f>
        <v>APAGADO</v>
      </c>
      <c r="Z340" s="70" t="str">
        <f>'RESUMEN TOTAL'!AM442</f>
        <v>APAGADO</v>
      </c>
      <c r="AA340" s="70" t="str">
        <f>'RESUMEN TOTAL'!AN442</f>
        <v>APAGADO</v>
      </c>
      <c r="AB340" s="70">
        <f>'RESUMEN TOTAL'!AO442</f>
        <v>0</v>
      </c>
      <c r="AC340" s="70">
        <f>'RESUMEN TOTAL'!AP442</f>
        <v>0</v>
      </c>
      <c r="AD340" s="70">
        <f>'RESUMEN TOTAL'!AQ442</f>
        <v>0</v>
      </c>
      <c r="AE340" s="70" t="str">
        <f>'RESUMEN TOTAL'!AR442</f>
        <v>APAGADO</v>
      </c>
      <c r="AF340" s="70" t="str">
        <f>'RESUMEN TOTAL'!AS442</f>
        <v>APAGADO</v>
      </c>
      <c r="AG340" s="70" t="str">
        <f>'RESUMEN TOTAL'!AT442</f>
        <v>APAGADO</v>
      </c>
      <c r="AH340" s="70">
        <f>'RESUMEN TOTAL'!AU442</f>
        <v>0</v>
      </c>
      <c r="AI340" s="70">
        <f>'RESUMEN TOTAL'!AV442</f>
        <v>0</v>
      </c>
      <c r="AJ340" s="70" t="e">
        <f>'RESUMEN TOTAL'!#REF!</f>
        <v>#REF!</v>
      </c>
    </row>
    <row r="341" spans="1:36" x14ac:dyDescent="0.25">
      <c r="A341" t="str">
        <f>'RESUMEN TOTAL'!F443</f>
        <v>SANTA ROSA</v>
      </c>
      <c r="B341" t="str">
        <f>'RESUMEN TOTAL'!G443</f>
        <v>SRO 08</v>
      </c>
      <c r="C341" t="str">
        <f>'RESUMEN TOTAL'!I443</f>
        <v>NOVAK E/ DESSY Y BELGICA (POLIDEPORTIVO LA PATRIADA)</v>
      </c>
      <c r="D341" s="30" t="str">
        <f>'RESUMEN TOTAL'!J443</f>
        <v>Domo</v>
      </c>
      <c r="E341" s="30" t="str">
        <f>'RESUMEN TOTAL'!K443</f>
        <v>GPON</v>
      </c>
      <c r="F341" s="70">
        <f>'RESUMEN TOTAL'!S443</f>
        <v>0</v>
      </c>
      <c r="G341" s="70">
        <f>'RESUMEN TOTAL'!T443</f>
        <v>0</v>
      </c>
      <c r="H341" s="70">
        <f>'RESUMEN TOTAL'!U443</f>
        <v>0</v>
      </c>
      <c r="I341" s="70">
        <f>'RESUMEN TOTAL'!V443</f>
        <v>0</v>
      </c>
      <c r="J341" s="70">
        <f>'RESUMEN TOTAL'!W443</f>
        <v>0</v>
      </c>
      <c r="K341" s="70">
        <f>'RESUMEN TOTAL'!X443</f>
        <v>0</v>
      </c>
      <c r="L341" s="70">
        <f>'RESUMEN TOTAL'!Y443</f>
        <v>0</v>
      </c>
      <c r="M341" s="70">
        <f>'RESUMEN TOTAL'!Z443</f>
        <v>0</v>
      </c>
      <c r="N341" s="70">
        <f>'RESUMEN TOTAL'!AA443</f>
        <v>0</v>
      </c>
      <c r="O341" s="70">
        <f>'RESUMEN TOTAL'!AB443</f>
        <v>0</v>
      </c>
      <c r="P341" s="70">
        <f>'RESUMEN TOTAL'!AC443</f>
        <v>0</v>
      </c>
      <c r="Q341" s="70">
        <f>'RESUMEN TOTAL'!AD443</f>
        <v>0</v>
      </c>
      <c r="R341" s="70">
        <f>'RESUMEN TOTAL'!AE443</f>
        <v>0</v>
      </c>
      <c r="S341" s="70">
        <f>'RESUMEN TOTAL'!AF443</f>
        <v>0</v>
      </c>
      <c r="T341" s="70">
        <f>'RESUMEN TOTAL'!AG443</f>
        <v>0</v>
      </c>
      <c r="U341" s="70">
        <f>'RESUMEN TOTAL'!AH443</f>
        <v>0</v>
      </c>
      <c r="V341" s="70">
        <f>'RESUMEN TOTAL'!AI443</f>
        <v>0</v>
      </c>
      <c r="W341" s="70">
        <f>'RESUMEN TOTAL'!AJ443</f>
        <v>0</v>
      </c>
      <c r="X341" s="70" t="str">
        <f>'RESUMEN TOTAL'!AK443</f>
        <v>APAGADO</v>
      </c>
      <c r="Y341" s="70">
        <f>'RESUMEN TOTAL'!AL443</f>
        <v>0</v>
      </c>
      <c r="Z341" s="70">
        <f>'RESUMEN TOTAL'!AM443</f>
        <v>0</v>
      </c>
      <c r="AA341" s="70">
        <f>'RESUMEN TOTAL'!AN443</f>
        <v>0</v>
      </c>
      <c r="AB341" s="70">
        <f>'RESUMEN TOTAL'!AO443</f>
        <v>0</v>
      </c>
      <c r="AC341" s="70">
        <f>'RESUMEN TOTAL'!AP443</f>
        <v>0</v>
      </c>
      <c r="AD341" s="70">
        <f>'RESUMEN TOTAL'!AQ443</f>
        <v>0</v>
      </c>
      <c r="AE341" s="70">
        <f>'RESUMEN TOTAL'!AR443</f>
        <v>0</v>
      </c>
      <c r="AF341" s="70">
        <f>'RESUMEN TOTAL'!AS443</f>
        <v>0</v>
      </c>
      <c r="AG341" s="70">
        <f>'RESUMEN TOTAL'!AT443</f>
        <v>0</v>
      </c>
      <c r="AH341" s="70">
        <f>'RESUMEN TOTAL'!AU443</f>
        <v>0</v>
      </c>
      <c r="AI341" s="70">
        <f>'RESUMEN TOTAL'!AV443</f>
        <v>0</v>
      </c>
      <c r="AJ341" s="70" t="e">
        <f>'RESUMEN TOTAL'!#REF!</f>
        <v>#REF!</v>
      </c>
    </row>
    <row r="342" spans="1:36" x14ac:dyDescent="0.25">
      <c r="A342" t="str">
        <f>'RESUMEN TOTAL'!F444</f>
        <v>SANTA ROSA</v>
      </c>
      <c r="B342" t="str">
        <f>'RESUMEN TOTAL'!G444</f>
        <v>SRO 11</v>
      </c>
      <c r="C342" t="str">
        <f>'RESUMEN TOTAL'!I444</f>
        <v>MILAN Y MALLORCA</v>
      </c>
      <c r="D342" s="30" t="str">
        <f>'RESUMEN TOTAL'!J444</f>
        <v>DOMO</v>
      </c>
      <c r="E342" s="30" t="str">
        <f>'RESUMEN TOTAL'!K444</f>
        <v>Radio</v>
      </c>
      <c r="F342" s="70">
        <f>'RESUMEN TOTAL'!S444</f>
        <v>0</v>
      </c>
      <c r="G342" s="70">
        <f>'RESUMEN TOTAL'!T444</f>
        <v>0</v>
      </c>
      <c r="H342" s="70">
        <f>'RESUMEN TOTAL'!U444</f>
        <v>0</v>
      </c>
      <c r="I342" s="70" t="str">
        <f>'RESUMEN TOTAL'!V444</f>
        <v>APAGADO</v>
      </c>
      <c r="J342" s="70" t="str">
        <f>'RESUMEN TOTAL'!W444</f>
        <v>APAGADO</v>
      </c>
      <c r="K342" s="70" t="str">
        <f>'RESUMEN TOTAL'!X444</f>
        <v>APAGADO</v>
      </c>
      <c r="L342" s="70" t="str">
        <f>'RESUMEN TOTAL'!Y444</f>
        <v>APAGADO</v>
      </c>
      <c r="M342" s="70" t="str">
        <f>'RESUMEN TOTAL'!Z444</f>
        <v>APAGADO</v>
      </c>
      <c r="N342" s="70">
        <f>'RESUMEN TOTAL'!AA444</f>
        <v>0</v>
      </c>
      <c r="O342" s="70">
        <f>'RESUMEN TOTAL'!AB444</f>
        <v>0</v>
      </c>
      <c r="P342" s="70" t="str">
        <f>'RESUMEN TOTAL'!AC444</f>
        <v>APAGADO</v>
      </c>
      <c r="Q342" s="70" t="str">
        <f>'RESUMEN TOTAL'!AD444</f>
        <v>APAGADO</v>
      </c>
      <c r="R342" s="70" t="str">
        <f>'RESUMEN TOTAL'!AE444</f>
        <v>APAGADO</v>
      </c>
      <c r="S342" s="70" t="str">
        <f>'RESUMEN TOTAL'!AF444</f>
        <v>APAGADO</v>
      </c>
      <c r="T342" s="70" t="str">
        <f>'RESUMEN TOTAL'!AG444</f>
        <v>APAGADO</v>
      </c>
      <c r="U342" s="70">
        <f>'RESUMEN TOTAL'!AH444</f>
        <v>0</v>
      </c>
      <c r="V342" s="70">
        <f>'RESUMEN TOTAL'!AI444</f>
        <v>0</v>
      </c>
      <c r="W342" s="70" t="str">
        <f>'RESUMEN TOTAL'!AJ444</f>
        <v>APAGADO</v>
      </c>
      <c r="X342" s="70" t="str">
        <f>'RESUMEN TOTAL'!AK444</f>
        <v>APAGADO</v>
      </c>
      <c r="Y342" s="70" t="str">
        <f>'RESUMEN TOTAL'!AL444</f>
        <v>APAGADO</v>
      </c>
      <c r="Z342" s="70" t="str">
        <f>'RESUMEN TOTAL'!AM444</f>
        <v>APAGADO</v>
      </c>
      <c r="AA342" s="70" t="str">
        <f>'RESUMEN TOTAL'!AN444</f>
        <v>APAGADO</v>
      </c>
      <c r="AB342" s="70">
        <f>'RESUMEN TOTAL'!AO444</f>
        <v>0</v>
      </c>
      <c r="AC342" s="70">
        <f>'RESUMEN TOTAL'!AP444</f>
        <v>0</v>
      </c>
      <c r="AD342" s="70">
        <f>'RESUMEN TOTAL'!AQ444</f>
        <v>0</v>
      </c>
      <c r="AE342" s="70" t="str">
        <f>'RESUMEN TOTAL'!AR444</f>
        <v>APAGADO</v>
      </c>
      <c r="AF342" s="70" t="str">
        <f>'RESUMEN TOTAL'!AS444</f>
        <v>APAGADO</v>
      </c>
      <c r="AG342" s="70" t="str">
        <f>'RESUMEN TOTAL'!AT444</f>
        <v>APAGADO</v>
      </c>
      <c r="AH342" s="70">
        <f>'RESUMEN TOTAL'!AU444</f>
        <v>0</v>
      </c>
      <c r="AI342" s="70">
        <f>'RESUMEN TOTAL'!AV444</f>
        <v>0</v>
      </c>
      <c r="AJ342" s="70" t="e">
        <f>'RESUMEN TOTAL'!#REF!</f>
        <v>#REF!</v>
      </c>
    </row>
    <row r="343" spans="1:36" x14ac:dyDescent="0.25">
      <c r="A343" t="str">
        <f>'RESUMEN TOTAL'!F445</f>
        <v>ZONA RURAL SANTA ROSA</v>
      </c>
      <c r="B343" t="str">
        <f>'RESUMEN TOTAL'!G445</f>
        <v>SRO 13 (fija 1)</v>
      </c>
      <c r="C343" t="str">
        <f>'RESUMEN TOTAL'!I445</f>
        <v>BRUSELAS E/ GRECIA Y CHECOSLOVAQUIA</v>
      </c>
      <c r="D343" s="30" t="str">
        <f>'RESUMEN TOTAL'!J445</f>
        <v>Fija</v>
      </c>
      <c r="E343" s="30" t="str">
        <f>'RESUMEN TOTAL'!K445</f>
        <v>FO A GPON</v>
      </c>
      <c r="F343" s="70">
        <f>'RESUMEN TOTAL'!S445</f>
        <v>0</v>
      </c>
      <c r="G343" s="70">
        <f>'RESUMEN TOTAL'!T445</f>
        <v>0</v>
      </c>
      <c r="H343" s="70">
        <f>'RESUMEN TOTAL'!U445</f>
        <v>0</v>
      </c>
      <c r="I343" s="70">
        <f>'RESUMEN TOTAL'!V445</f>
        <v>0</v>
      </c>
      <c r="J343" s="70">
        <f>'RESUMEN TOTAL'!W445</f>
        <v>0</v>
      </c>
      <c r="K343" s="70">
        <f>'RESUMEN TOTAL'!X445</f>
        <v>0</v>
      </c>
      <c r="L343" s="70">
        <f>'RESUMEN TOTAL'!Y445</f>
        <v>0</v>
      </c>
      <c r="M343" s="70">
        <f>'RESUMEN TOTAL'!Z445</f>
        <v>0</v>
      </c>
      <c r="N343" s="70">
        <f>'RESUMEN TOTAL'!AA445</f>
        <v>0</v>
      </c>
      <c r="O343" s="70">
        <f>'RESUMEN TOTAL'!AB445</f>
        <v>0</v>
      </c>
      <c r="P343" s="70">
        <f>'RESUMEN TOTAL'!AC445</f>
        <v>0</v>
      </c>
      <c r="Q343" s="70">
        <f>'RESUMEN TOTAL'!AD445</f>
        <v>0</v>
      </c>
      <c r="R343" s="70">
        <f>'RESUMEN TOTAL'!AE445</f>
        <v>0</v>
      </c>
      <c r="S343" s="70">
        <f>'RESUMEN TOTAL'!AF445</f>
        <v>0</v>
      </c>
      <c r="T343" s="70">
        <f>'RESUMEN TOTAL'!AG445</f>
        <v>0</v>
      </c>
      <c r="U343" s="70">
        <f>'RESUMEN TOTAL'!AH445</f>
        <v>0</v>
      </c>
      <c r="V343" s="70">
        <f>'RESUMEN TOTAL'!AI445</f>
        <v>0</v>
      </c>
      <c r="W343" s="70" t="str">
        <f>'RESUMEN TOTAL'!AJ445</f>
        <v>APAGADO</v>
      </c>
      <c r="X343" s="70" t="str">
        <f>'RESUMEN TOTAL'!AK445</f>
        <v>APAGADO</v>
      </c>
      <c r="Y343" s="70" t="str">
        <f>'RESUMEN TOTAL'!AL445</f>
        <v>APAGADO</v>
      </c>
      <c r="Z343" s="70">
        <f>'RESUMEN TOTAL'!AM445</f>
        <v>0</v>
      </c>
      <c r="AA343" s="70">
        <f>'RESUMEN TOTAL'!AN445</f>
        <v>0</v>
      </c>
      <c r="AB343" s="70">
        <f>'RESUMEN TOTAL'!AO445</f>
        <v>0</v>
      </c>
      <c r="AC343" s="70">
        <f>'RESUMEN TOTAL'!AP445</f>
        <v>0</v>
      </c>
      <c r="AD343" s="70">
        <f>'RESUMEN TOTAL'!AQ445</f>
        <v>0</v>
      </c>
      <c r="AE343" s="70">
        <f>'RESUMEN TOTAL'!AR445</f>
        <v>0</v>
      </c>
      <c r="AF343" s="70">
        <f>'RESUMEN TOTAL'!AS445</f>
        <v>0</v>
      </c>
      <c r="AG343" s="70">
        <f>'RESUMEN TOTAL'!AT445</f>
        <v>0</v>
      </c>
      <c r="AH343" s="70">
        <f>'RESUMEN TOTAL'!AU445</f>
        <v>0</v>
      </c>
      <c r="AI343" s="70">
        <f>'RESUMEN TOTAL'!AV445</f>
        <v>0</v>
      </c>
      <c r="AJ343" s="70" t="e">
        <f>'RESUMEN TOTAL'!#REF!</f>
        <v>#REF!</v>
      </c>
    </row>
    <row r="344" spans="1:36" x14ac:dyDescent="0.25">
      <c r="A344" t="str">
        <f>'RESUMEN TOTAL'!F446</f>
        <v>ZONA RURAL SANTA ROSA</v>
      </c>
      <c r="B344" t="str">
        <f>'RESUMEN TOTAL'!G446</f>
        <v>SRO 14 (fija 2)</v>
      </c>
      <c r="C344" t="str">
        <f>'RESUMEN TOTAL'!I446</f>
        <v>BRUSELAS E/ GRECIA Y CHECOSLOVAQUIA</v>
      </c>
      <c r="D344" s="30" t="str">
        <f>'RESUMEN TOTAL'!J446</f>
        <v>Fija</v>
      </c>
      <c r="E344" s="30" t="str">
        <f>'RESUMEN TOTAL'!K446</f>
        <v>FO A GPON</v>
      </c>
      <c r="F344" s="70">
        <f>'RESUMEN TOTAL'!S446</f>
        <v>0</v>
      </c>
      <c r="G344" s="70">
        <f>'RESUMEN TOTAL'!T446</f>
        <v>0</v>
      </c>
      <c r="H344" s="70">
        <f>'RESUMEN TOTAL'!U446</f>
        <v>0</v>
      </c>
      <c r="I344" s="70">
        <f>'RESUMEN TOTAL'!V446</f>
        <v>0</v>
      </c>
      <c r="J344" s="70">
        <f>'RESUMEN TOTAL'!W446</f>
        <v>0</v>
      </c>
      <c r="K344" s="70">
        <f>'RESUMEN TOTAL'!X446</f>
        <v>0</v>
      </c>
      <c r="L344" s="70">
        <f>'RESUMEN TOTAL'!Y446</f>
        <v>0</v>
      </c>
      <c r="M344" s="70">
        <f>'RESUMEN TOTAL'!Z446</f>
        <v>0</v>
      </c>
      <c r="N344" s="70">
        <f>'RESUMEN TOTAL'!AA446</f>
        <v>0</v>
      </c>
      <c r="O344" s="70">
        <f>'RESUMEN TOTAL'!AB446</f>
        <v>0</v>
      </c>
      <c r="P344" s="70">
        <f>'RESUMEN TOTAL'!AC446</f>
        <v>0</v>
      </c>
      <c r="Q344" s="70">
        <f>'RESUMEN TOTAL'!AD446</f>
        <v>0</v>
      </c>
      <c r="R344" s="70">
        <f>'RESUMEN TOTAL'!AE446</f>
        <v>0</v>
      </c>
      <c r="S344" s="70">
        <f>'RESUMEN TOTAL'!AF446</f>
        <v>0</v>
      </c>
      <c r="T344" s="70">
        <f>'RESUMEN TOTAL'!AG446</f>
        <v>0</v>
      </c>
      <c r="U344" s="70">
        <f>'RESUMEN TOTAL'!AH446</f>
        <v>0</v>
      </c>
      <c r="V344" s="70">
        <f>'RESUMEN TOTAL'!AI446</f>
        <v>0</v>
      </c>
      <c r="W344" s="70" t="str">
        <f>'RESUMEN TOTAL'!AJ446</f>
        <v>APAGADO</v>
      </c>
      <c r="X344" s="70" t="str">
        <f>'RESUMEN TOTAL'!AK446</f>
        <v>APAGADO</v>
      </c>
      <c r="Y344" s="70" t="str">
        <f>'RESUMEN TOTAL'!AL446</f>
        <v>APAGADO</v>
      </c>
      <c r="Z344" s="70">
        <f>'RESUMEN TOTAL'!AM446</f>
        <v>0</v>
      </c>
      <c r="AA344" s="70">
        <f>'RESUMEN TOTAL'!AN446</f>
        <v>0</v>
      </c>
      <c r="AB344" s="70">
        <f>'RESUMEN TOTAL'!AO446</f>
        <v>0</v>
      </c>
      <c r="AC344" s="70">
        <f>'RESUMEN TOTAL'!AP446</f>
        <v>0</v>
      </c>
      <c r="AD344" s="70">
        <f>'RESUMEN TOTAL'!AQ446</f>
        <v>0</v>
      </c>
      <c r="AE344" s="70">
        <f>'RESUMEN TOTAL'!AR446</f>
        <v>0</v>
      </c>
      <c r="AF344" s="70">
        <f>'RESUMEN TOTAL'!AS446</f>
        <v>0</v>
      </c>
      <c r="AG344" s="70">
        <f>'RESUMEN TOTAL'!AT446</f>
        <v>0</v>
      </c>
      <c r="AH344" s="70">
        <f>'RESUMEN TOTAL'!AU446</f>
        <v>0</v>
      </c>
      <c r="AI344" s="70">
        <f>'RESUMEN TOTAL'!AV446</f>
        <v>0</v>
      </c>
      <c r="AJ344" s="70" t="e">
        <f>'RESUMEN TOTAL'!#REF!</f>
        <v>#REF!</v>
      </c>
    </row>
    <row r="345" spans="1:36" x14ac:dyDescent="0.25">
      <c r="A345" t="str">
        <f>'RESUMEN TOTAL'!F447</f>
        <v>SANTA ROSA</v>
      </c>
      <c r="B345" t="str">
        <f>'RESUMEN TOTAL'!G447</f>
        <v>SRO 18 (fija 1)</v>
      </c>
      <c r="C345" t="str">
        <f>'RESUMEN TOTAL'!I447</f>
        <v>GRAN CANARIA Y BUDAPEST</v>
      </c>
      <c r="D345" s="30" t="str">
        <f>'RESUMEN TOTAL'!J447</f>
        <v>Fija</v>
      </c>
      <c r="E345" s="30" t="str">
        <f>'RESUMEN TOTAL'!K447</f>
        <v>FO A GPON</v>
      </c>
      <c r="F345" s="70">
        <f>'RESUMEN TOTAL'!S447</f>
        <v>0</v>
      </c>
      <c r="G345" s="70">
        <f>'RESUMEN TOTAL'!T447</f>
        <v>0</v>
      </c>
      <c r="H345" s="70">
        <f>'RESUMEN TOTAL'!U447</f>
        <v>0</v>
      </c>
      <c r="I345" s="70">
        <f>'RESUMEN TOTAL'!V447</f>
        <v>0</v>
      </c>
      <c r="J345" s="70">
        <f>'RESUMEN TOTAL'!W447</f>
        <v>0</v>
      </c>
      <c r="K345" s="70">
        <f>'RESUMEN TOTAL'!X447</f>
        <v>0</v>
      </c>
      <c r="L345" s="70">
        <f>'RESUMEN TOTAL'!Y447</f>
        <v>0</v>
      </c>
      <c r="M345" s="70">
        <f>'RESUMEN TOTAL'!Z447</f>
        <v>0</v>
      </c>
      <c r="N345" s="70">
        <f>'RESUMEN TOTAL'!AA447</f>
        <v>0</v>
      </c>
      <c r="O345" s="70">
        <f>'RESUMEN TOTAL'!AB447</f>
        <v>0</v>
      </c>
      <c r="P345" s="70">
        <f>'RESUMEN TOTAL'!AC447</f>
        <v>0</v>
      </c>
      <c r="Q345" s="70">
        <f>'RESUMEN TOTAL'!AD447</f>
        <v>0</v>
      </c>
      <c r="R345" s="70">
        <f>'RESUMEN TOTAL'!AE447</f>
        <v>0</v>
      </c>
      <c r="S345" s="70">
        <f>'RESUMEN TOTAL'!AF447</f>
        <v>0</v>
      </c>
      <c r="T345" s="70">
        <f>'RESUMEN TOTAL'!AG447</f>
        <v>0</v>
      </c>
      <c r="U345" s="70">
        <f>'RESUMEN TOTAL'!AH447</f>
        <v>0</v>
      </c>
      <c r="V345" s="70">
        <f>'RESUMEN TOTAL'!AI447</f>
        <v>0</v>
      </c>
      <c r="W345" s="70" t="str">
        <f>'RESUMEN TOTAL'!AJ447</f>
        <v>APAGADO</v>
      </c>
      <c r="X345" s="70" t="str">
        <f>'RESUMEN TOTAL'!AK447</f>
        <v>APAGADO</v>
      </c>
      <c r="Y345" s="70" t="str">
        <f>'RESUMEN TOTAL'!AL447</f>
        <v>APAGADO</v>
      </c>
      <c r="Z345" s="70">
        <f>'RESUMEN TOTAL'!AM447</f>
        <v>0</v>
      </c>
      <c r="AA345" s="70">
        <f>'RESUMEN TOTAL'!AN447</f>
        <v>0</v>
      </c>
      <c r="AB345" s="70">
        <f>'RESUMEN TOTAL'!AO447</f>
        <v>0</v>
      </c>
      <c r="AC345" s="70">
        <f>'RESUMEN TOTAL'!AP447</f>
        <v>0</v>
      </c>
      <c r="AD345" s="70">
        <f>'RESUMEN TOTAL'!AQ447</f>
        <v>0</v>
      </c>
      <c r="AE345" s="70">
        <f>'RESUMEN TOTAL'!AR447</f>
        <v>0</v>
      </c>
      <c r="AF345" s="70">
        <f>'RESUMEN TOTAL'!AS447</f>
        <v>0</v>
      </c>
      <c r="AG345" s="70">
        <f>'RESUMEN TOTAL'!AT447</f>
        <v>0</v>
      </c>
      <c r="AH345" s="70">
        <f>'RESUMEN TOTAL'!AU447</f>
        <v>0</v>
      </c>
      <c r="AI345" s="70">
        <f>'RESUMEN TOTAL'!AV447</f>
        <v>0</v>
      </c>
      <c r="AJ345" s="70" t="e">
        <f>'RESUMEN TOTAL'!#REF!</f>
        <v>#REF!</v>
      </c>
    </row>
    <row r="346" spans="1:36" x14ac:dyDescent="0.25">
      <c r="A346" t="str">
        <f>'RESUMEN TOTAL'!F448</f>
        <v>SANTA ROSA</v>
      </c>
      <c r="B346" t="str">
        <f>'RESUMEN TOTAL'!G448</f>
        <v>SRO 19 (fija 2)</v>
      </c>
      <c r="C346" t="str">
        <f>'RESUMEN TOTAL'!I448</f>
        <v>GRAN CANARIA Y BUDAPEST</v>
      </c>
      <c r="D346" s="30" t="str">
        <f>'RESUMEN TOTAL'!J448</f>
        <v>Fija</v>
      </c>
      <c r="E346" s="30" t="str">
        <f>'RESUMEN TOTAL'!K448</f>
        <v>FO A GPON</v>
      </c>
      <c r="F346" s="70">
        <f>'RESUMEN TOTAL'!S448</f>
        <v>0</v>
      </c>
      <c r="G346" s="70">
        <f>'RESUMEN TOTAL'!T448</f>
        <v>0</v>
      </c>
      <c r="H346" s="70">
        <f>'RESUMEN TOTAL'!U448</f>
        <v>0</v>
      </c>
      <c r="I346" s="70">
        <f>'RESUMEN TOTAL'!V448</f>
        <v>0</v>
      </c>
      <c r="J346" s="70">
        <f>'RESUMEN TOTAL'!W448</f>
        <v>0</v>
      </c>
      <c r="K346" s="70">
        <f>'RESUMEN TOTAL'!X448</f>
        <v>0</v>
      </c>
      <c r="L346" s="70">
        <f>'RESUMEN TOTAL'!Y448</f>
        <v>0</v>
      </c>
      <c r="M346" s="70">
        <f>'RESUMEN TOTAL'!Z448</f>
        <v>0</v>
      </c>
      <c r="N346" s="70">
        <f>'RESUMEN TOTAL'!AA448</f>
        <v>0</v>
      </c>
      <c r="O346" s="70">
        <f>'RESUMEN TOTAL'!AB448</f>
        <v>0</v>
      </c>
      <c r="P346" s="70">
        <f>'RESUMEN TOTAL'!AC448</f>
        <v>0</v>
      </c>
      <c r="Q346" s="70">
        <f>'RESUMEN TOTAL'!AD448</f>
        <v>0</v>
      </c>
      <c r="R346" s="70">
        <f>'RESUMEN TOTAL'!AE448</f>
        <v>0</v>
      </c>
      <c r="S346" s="70">
        <f>'RESUMEN TOTAL'!AF448</f>
        <v>0</v>
      </c>
      <c r="T346" s="70">
        <f>'RESUMEN TOTAL'!AG448</f>
        <v>0</v>
      </c>
      <c r="U346" s="70">
        <f>'RESUMEN TOTAL'!AH448</f>
        <v>0</v>
      </c>
      <c r="V346" s="70">
        <f>'RESUMEN TOTAL'!AI448</f>
        <v>0</v>
      </c>
      <c r="W346" s="70" t="str">
        <f>'RESUMEN TOTAL'!AJ448</f>
        <v>APAGADO</v>
      </c>
      <c r="X346" s="70" t="str">
        <f>'RESUMEN TOTAL'!AK448</f>
        <v>APAGADO</v>
      </c>
      <c r="Y346" s="70" t="str">
        <f>'RESUMEN TOTAL'!AL448</f>
        <v>APAGADO</v>
      </c>
      <c r="Z346" s="70">
        <f>'RESUMEN TOTAL'!AM448</f>
        <v>0</v>
      </c>
      <c r="AA346" s="70">
        <f>'RESUMEN TOTAL'!AN448</f>
        <v>0</v>
      </c>
      <c r="AB346" s="70">
        <f>'RESUMEN TOTAL'!AO448</f>
        <v>0</v>
      </c>
      <c r="AC346" s="70">
        <f>'RESUMEN TOTAL'!AP448</f>
        <v>0</v>
      </c>
      <c r="AD346" s="70">
        <f>'RESUMEN TOTAL'!AQ448</f>
        <v>0</v>
      </c>
      <c r="AE346" s="70">
        <f>'RESUMEN TOTAL'!AR448</f>
        <v>0</v>
      </c>
      <c r="AF346" s="70">
        <f>'RESUMEN TOTAL'!AS448</f>
        <v>0</v>
      </c>
      <c r="AG346" s="70">
        <f>'RESUMEN TOTAL'!AT448</f>
        <v>0</v>
      </c>
      <c r="AH346" s="70">
        <f>'RESUMEN TOTAL'!AU448</f>
        <v>0</v>
      </c>
      <c r="AI346" s="70">
        <f>'RESUMEN TOTAL'!AV448</f>
        <v>0</v>
      </c>
      <c r="AJ346" s="70" t="e">
        <f>'RESUMEN TOTAL'!#REF!</f>
        <v>#REF!</v>
      </c>
    </row>
    <row r="347" spans="1:36" x14ac:dyDescent="0.25">
      <c r="A347" t="str">
        <f>'RESUMEN TOTAL'!F449</f>
        <v>SANTA ROSA</v>
      </c>
      <c r="B347" t="str">
        <f>'RESUMEN TOTAL'!G449</f>
        <v>SRO01</v>
      </c>
      <c r="C347" t="str">
        <f>'RESUMEN TOTAL'!I449</f>
        <v>Yugoslavia y Milan</v>
      </c>
      <c r="D347" s="30" t="str">
        <f>'RESUMEN TOTAL'!J449</f>
        <v>Domo</v>
      </c>
      <c r="E347" s="30" t="str">
        <f>'RESUMEN TOTAL'!K449</f>
        <v>PTO A FO</v>
      </c>
      <c r="F347" s="70">
        <f>'RESUMEN TOTAL'!S449</f>
        <v>0</v>
      </c>
      <c r="G347" s="70">
        <f>'RESUMEN TOTAL'!T449</f>
        <v>0</v>
      </c>
      <c r="H347" s="70">
        <f>'RESUMEN TOTAL'!U449</f>
        <v>0</v>
      </c>
      <c r="I347" s="70">
        <f>'RESUMEN TOTAL'!V449</f>
        <v>0</v>
      </c>
      <c r="J347" s="70">
        <f>'RESUMEN TOTAL'!W449</f>
        <v>0</v>
      </c>
      <c r="K347" s="70">
        <f>'RESUMEN TOTAL'!X449</f>
        <v>0</v>
      </c>
      <c r="L347" s="70">
        <f>'RESUMEN TOTAL'!Y449</f>
        <v>0</v>
      </c>
      <c r="M347" s="70">
        <f>'RESUMEN TOTAL'!Z449</f>
        <v>0</v>
      </c>
      <c r="N347" s="70">
        <f>'RESUMEN TOTAL'!AA449</f>
        <v>0</v>
      </c>
      <c r="O347" s="70">
        <f>'RESUMEN TOTAL'!AB449</f>
        <v>0</v>
      </c>
      <c r="P347" s="70">
        <f>'RESUMEN TOTAL'!AC449</f>
        <v>0</v>
      </c>
      <c r="Q347" s="70">
        <f>'RESUMEN TOTAL'!AD449</f>
        <v>0</v>
      </c>
      <c r="R347" s="70">
        <f>'RESUMEN TOTAL'!AE449</f>
        <v>0</v>
      </c>
      <c r="S347" s="70">
        <f>'RESUMEN TOTAL'!AF449</f>
        <v>0</v>
      </c>
      <c r="T347" s="70">
        <f>'RESUMEN TOTAL'!AG449</f>
        <v>0</v>
      </c>
      <c r="U347" s="70">
        <f>'RESUMEN TOTAL'!AH449</f>
        <v>0</v>
      </c>
      <c r="V347" s="70">
        <f>'RESUMEN TOTAL'!AI449</f>
        <v>0</v>
      </c>
      <c r="W347" s="70" t="str">
        <f>'RESUMEN TOTAL'!AJ449</f>
        <v>APAGADO</v>
      </c>
      <c r="X347" s="70" t="str">
        <f>'RESUMEN TOTAL'!AK449</f>
        <v>APAGADO</v>
      </c>
      <c r="Y347" s="70" t="str">
        <f>'RESUMEN TOTAL'!AL449</f>
        <v>APAGADO</v>
      </c>
      <c r="Z347" s="70">
        <f>'RESUMEN TOTAL'!AM449</f>
        <v>0</v>
      </c>
      <c r="AA347" s="70">
        <f>'RESUMEN TOTAL'!AN449</f>
        <v>0</v>
      </c>
      <c r="AB347" s="70">
        <f>'RESUMEN TOTAL'!AO449</f>
        <v>0</v>
      </c>
      <c r="AC347" s="70">
        <f>'RESUMEN TOTAL'!AP449</f>
        <v>0</v>
      </c>
      <c r="AD347" s="70">
        <f>'RESUMEN TOTAL'!AQ449</f>
        <v>0</v>
      </c>
      <c r="AE347" s="70">
        <f>'RESUMEN TOTAL'!AR449</f>
        <v>0</v>
      </c>
      <c r="AF347" s="70">
        <f>'RESUMEN TOTAL'!AS449</f>
        <v>0</v>
      </c>
      <c r="AG347" s="70">
        <f>'RESUMEN TOTAL'!AT449</f>
        <v>0</v>
      </c>
      <c r="AH347" s="70">
        <f>'RESUMEN TOTAL'!AU449</f>
        <v>0</v>
      </c>
      <c r="AI347" s="70">
        <f>'RESUMEN TOTAL'!AV449</f>
        <v>0</v>
      </c>
      <c r="AJ347" s="70" t="e">
        <f>'RESUMEN TOTAL'!#REF!</f>
        <v>#REF!</v>
      </c>
    </row>
    <row r="348" spans="1:36" x14ac:dyDescent="0.25">
      <c r="A348" t="str">
        <f>'RESUMEN TOTAL'!F450</f>
        <v>ZONA RURAL SANTA ROSA</v>
      </c>
      <c r="B348" t="str">
        <f>'RESUMEN TOTAL'!G450</f>
        <v>SRO02</v>
      </c>
      <c r="C348" t="str">
        <f>'RESUMEN TOTAL'!I450</f>
        <v>Bruselas y Calle 647</v>
      </c>
      <c r="D348" s="30" t="str">
        <f>'RESUMEN TOTAL'!J450</f>
        <v>Domo</v>
      </c>
      <c r="E348" s="30" t="str">
        <f>'RESUMEN TOTAL'!K450</f>
        <v>PTO A GPON</v>
      </c>
      <c r="F348" s="70">
        <f>'RESUMEN TOTAL'!S450</f>
        <v>0</v>
      </c>
      <c r="G348" s="70">
        <f>'RESUMEN TOTAL'!T450</f>
        <v>0</v>
      </c>
      <c r="H348" s="70">
        <f>'RESUMEN TOTAL'!U450</f>
        <v>0</v>
      </c>
      <c r="I348" s="70">
        <f>'RESUMEN TOTAL'!V450</f>
        <v>0</v>
      </c>
      <c r="J348" s="70">
        <f>'RESUMEN TOTAL'!W450</f>
        <v>0</v>
      </c>
      <c r="K348" s="70">
        <f>'RESUMEN TOTAL'!X450</f>
        <v>0</v>
      </c>
      <c r="L348" s="70">
        <f>'RESUMEN TOTAL'!Y450</f>
        <v>0</v>
      </c>
      <c r="M348" s="70">
        <f>'RESUMEN TOTAL'!Z450</f>
        <v>0</v>
      </c>
      <c r="N348" s="70">
        <f>'RESUMEN TOTAL'!AA450</f>
        <v>0</v>
      </c>
      <c r="O348" s="70">
        <f>'RESUMEN TOTAL'!AB450</f>
        <v>0</v>
      </c>
      <c r="P348" s="70">
        <f>'RESUMEN TOTAL'!AC450</f>
        <v>0</v>
      </c>
      <c r="Q348" s="70">
        <f>'RESUMEN TOTAL'!AD450</f>
        <v>0</v>
      </c>
      <c r="R348" s="70">
        <f>'RESUMEN TOTAL'!AE450</f>
        <v>0</v>
      </c>
      <c r="S348" s="70">
        <f>'RESUMEN TOTAL'!AF450</f>
        <v>0</v>
      </c>
      <c r="T348" s="70">
        <f>'RESUMEN TOTAL'!AG450</f>
        <v>0</v>
      </c>
      <c r="U348" s="70">
        <f>'RESUMEN TOTAL'!AH450</f>
        <v>0</v>
      </c>
      <c r="V348" s="70">
        <f>'RESUMEN TOTAL'!AI450</f>
        <v>0</v>
      </c>
      <c r="W348" s="70" t="str">
        <f>'RESUMEN TOTAL'!AJ450</f>
        <v>APAGADO</v>
      </c>
      <c r="X348" s="70" t="str">
        <f>'RESUMEN TOTAL'!AK450</f>
        <v>APAGADO</v>
      </c>
      <c r="Y348" s="70" t="str">
        <f>'RESUMEN TOTAL'!AL450</f>
        <v>APAGADO</v>
      </c>
      <c r="Z348" s="70">
        <f>'RESUMEN TOTAL'!AM450</f>
        <v>0</v>
      </c>
      <c r="AA348" s="70">
        <f>'RESUMEN TOTAL'!AN450</f>
        <v>0</v>
      </c>
      <c r="AB348" s="70">
        <f>'RESUMEN TOTAL'!AO450</f>
        <v>0</v>
      </c>
      <c r="AC348" s="70">
        <f>'RESUMEN TOTAL'!AP450</f>
        <v>0</v>
      </c>
      <c r="AD348" s="70">
        <f>'RESUMEN TOTAL'!AQ450</f>
        <v>0</v>
      </c>
      <c r="AE348" s="70">
        <f>'RESUMEN TOTAL'!AR450</f>
        <v>0</v>
      </c>
      <c r="AF348" s="70">
        <f>'RESUMEN TOTAL'!AS450</f>
        <v>0</v>
      </c>
      <c r="AG348" s="70">
        <f>'RESUMEN TOTAL'!AT450</f>
        <v>0</v>
      </c>
      <c r="AH348" s="70">
        <f>'RESUMEN TOTAL'!AU450</f>
        <v>0</v>
      </c>
      <c r="AI348" s="70">
        <f>'RESUMEN TOTAL'!AV450</f>
        <v>0</v>
      </c>
      <c r="AJ348" s="70" t="e">
        <f>'RESUMEN TOTAL'!#REF!</f>
        <v>#REF!</v>
      </c>
    </row>
    <row r="349" spans="1:36" x14ac:dyDescent="0.25">
      <c r="A349" t="str">
        <f>'RESUMEN TOTAL'!F451</f>
        <v>SANTA ROSA</v>
      </c>
      <c r="B349" t="str">
        <f>'RESUMEN TOTAL'!G451</f>
        <v>SRO03</v>
      </c>
      <c r="C349" t="str">
        <f>'RESUMEN TOTAL'!I451</f>
        <v>Eva Peron y Paysandu</v>
      </c>
      <c r="D349" s="30" t="str">
        <f>'RESUMEN TOTAL'!J451</f>
        <v>Domo</v>
      </c>
      <c r="E349" s="30" t="str">
        <f>'RESUMEN TOTAL'!K451</f>
        <v>GPON</v>
      </c>
      <c r="F349" s="70">
        <f>'RESUMEN TOTAL'!S451</f>
        <v>0</v>
      </c>
      <c r="G349" s="70">
        <f>'RESUMEN TOTAL'!T451</f>
        <v>0</v>
      </c>
      <c r="H349" s="70">
        <f>'RESUMEN TOTAL'!U451</f>
        <v>0</v>
      </c>
      <c r="I349" s="70">
        <f>'RESUMEN TOTAL'!V451</f>
        <v>0</v>
      </c>
      <c r="J349" s="70">
        <f>'RESUMEN TOTAL'!W451</f>
        <v>0</v>
      </c>
      <c r="K349" s="70">
        <f>'RESUMEN TOTAL'!X451</f>
        <v>0</v>
      </c>
      <c r="L349" s="70">
        <f>'RESUMEN TOTAL'!Y451</f>
        <v>0</v>
      </c>
      <c r="M349" s="70">
        <f>'RESUMEN TOTAL'!Z451</f>
        <v>0</v>
      </c>
      <c r="N349" s="70">
        <f>'RESUMEN TOTAL'!AA451</f>
        <v>0</v>
      </c>
      <c r="O349" s="70">
        <f>'RESUMEN TOTAL'!AB451</f>
        <v>0</v>
      </c>
      <c r="P349" s="70">
        <f>'RESUMEN TOTAL'!AC451</f>
        <v>0</v>
      </c>
      <c r="Q349" s="70">
        <f>'RESUMEN TOTAL'!AD451</f>
        <v>0</v>
      </c>
      <c r="R349" s="70">
        <f>'RESUMEN TOTAL'!AE451</f>
        <v>0</v>
      </c>
      <c r="S349" s="70">
        <f>'RESUMEN TOTAL'!AF451</f>
        <v>0</v>
      </c>
      <c r="T349" s="70">
        <f>'RESUMEN TOTAL'!AG451</f>
        <v>0</v>
      </c>
      <c r="U349" s="70">
        <f>'RESUMEN TOTAL'!AH451</f>
        <v>0</v>
      </c>
      <c r="V349" s="70">
        <f>'RESUMEN TOTAL'!AI451</f>
        <v>0</v>
      </c>
      <c r="W349" s="70">
        <f>'RESUMEN TOTAL'!AJ451</f>
        <v>0</v>
      </c>
      <c r="X349" s="70">
        <f>'RESUMEN TOTAL'!AK451</f>
        <v>0</v>
      </c>
      <c r="Y349" s="70">
        <f>'RESUMEN TOTAL'!AL451</f>
        <v>0</v>
      </c>
      <c r="Z349" s="70">
        <f>'RESUMEN TOTAL'!AM451</f>
        <v>0</v>
      </c>
      <c r="AA349" s="70">
        <f>'RESUMEN TOTAL'!AN451</f>
        <v>0</v>
      </c>
      <c r="AB349" s="70">
        <f>'RESUMEN TOTAL'!AO451</f>
        <v>0</v>
      </c>
      <c r="AC349" s="70">
        <f>'RESUMEN TOTAL'!AP451</f>
        <v>0</v>
      </c>
      <c r="AD349" s="70">
        <f>'RESUMEN TOTAL'!AQ451</f>
        <v>0</v>
      </c>
      <c r="AE349" s="70">
        <f>'RESUMEN TOTAL'!AR451</f>
        <v>0</v>
      </c>
      <c r="AF349" s="70">
        <f>'RESUMEN TOTAL'!AS451</f>
        <v>0</v>
      </c>
      <c r="AG349" s="70">
        <f>'RESUMEN TOTAL'!AT451</f>
        <v>0</v>
      </c>
      <c r="AH349" s="70">
        <f>'RESUMEN TOTAL'!AU451</f>
        <v>0</v>
      </c>
      <c r="AI349" s="70">
        <f>'RESUMEN TOTAL'!AV451</f>
        <v>0</v>
      </c>
      <c r="AJ349" s="70" t="e">
        <f>'RESUMEN TOTAL'!#REF!</f>
        <v>#REF!</v>
      </c>
    </row>
    <row r="350" spans="1:36" x14ac:dyDescent="0.25">
      <c r="A350" t="str">
        <f>'RESUMEN TOTAL'!F452</f>
        <v>SANTA ROSA</v>
      </c>
      <c r="B350" t="str">
        <f>'RESUMEN TOTAL'!G452</f>
        <v>SRO05</v>
      </c>
      <c r="C350" t="str">
        <f>'RESUMEN TOTAL'!I452</f>
        <v>CAFFERATA Y BONN</v>
      </c>
      <c r="D350" s="30" t="str">
        <f>'RESUMEN TOTAL'!J452</f>
        <v>DOMO</v>
      </c>
      <c r="E350" s="30" t="str">
        <f>'RESUMEN TOTAL'!K452</f>
        <v>Radio</v>
      </c>
      <c r="F350" s="70">
        <f>'RESUMEN TOTAL'!S452</f>
        <v>0</v>
      </c>
      <c r="G350" s="70">
        <f>'RESUMEN TOTAL'!T452</f>
        <v>0</v>
      </c>
      <c r="H350" s="70">
        <f>'RESUMEN TOTAL'!U452</f>
        <v>0</v>
      </c>
      <c r="I350" s="70">
        <f>'RESUMEN TOTAL'!V452</f>
        <v>0</v>
      </c>
      <c r="J350" s="70">
        <f>'RESUMEN TOTAL'!W452</f>
        <v>0</v>
      </c>
      <c r="K350" s="70">
        <f>'RESUMEN TOTAL'!X452</f>
        <v>0</v>
      </c>
      <c r="L350" s="70">
        <f>'RESUMEN TOTAL'!Y452</f>
        <v>0</v>
      </c>
      <c r="M350" s="70">
        <f>'RESUMEN TOTAL'!Z452</f>
        <v>0</v>
      </c>
      <c r="N350" s="70">
        <f>'RESUMEN TOTAL'!AA452</f>
        <v>0</v>
      </c>
      <c r="O350" s="70">
        <f>'RESUMEN TOTAL'!AB452</f>
        <v>0</v>
      </c>
      <c r="P350" s="70">
        <f>'RESUMEN TOTAL'!AC452</f>
        <v>0</v>
      </c>
      <c r="Q350" s="70">
        <f>'RESUMEN TOTAL'!AD452</f>
        <v>0</v>
      </c>
      <c r="R350" s="70">
        <f>'RESUMEN TOTAL'!AE452</f>
        <v>0</v>
      </c>
      <c r="S350" s="70">
        <f>'RESUMEN TOTAL'!AF452</f>
        <v>0</v>
      </c>
      <c r="T350" s="70">
        <f>'RESUMEN TOTAL'!AG452</f>
        <v>0</v>
      </c>
      <c r="U350" s="70">
        <f>'RESUMEN TOTAL'!AH452</f>
        <v>0</v>
      </c>
      <c r="V350" s="70">
        <f>'RESUMEN TOTAL'!AI452</f>
        <v>0</v>
      </c>
      <c r="W350" s="70">
        <f>'RESUMEN TOTAL'!AJ452</f>
        <v>0</v>
      </c>
      <c r="X350" s="70">
        <f>'RESUMEN TOTAL'!AK452</f>
        <v>0</v>
      </c>
      <c r="Y350" s="70">
        <f>'RESUMEN TOTAL'!AL452</f>
        <v>0</v>
      </c>
      <c r="Z350" s="70">
        <f>'RESUMEN TOTAL'!AM452</f>
        <v>0</v>
      </c>
      <c r="AA350" s="70">
        <f>'RESUMEN TOTAL'!AN452</f>
        <v>0</v>
      </c>
      <c r="AB350" s="70">
        <f>'RESUMEN TOTAL'!AO452</f>
        <v>0</v>
      </c>
      <c r="AC350" s="70">
        <f>'RESUMEN TOTAL'!AP452</f>
        <v>0</v>
      </c>
      <c r="AD350" s="70">
        <f>'RESUMEN TOTAL'!AQ452</f>
        <v>0</v>
      </c>
      <c r="AE350" s="70">
        <f>'RESUMEN TOTAL'!AR452</f>
        <v>0</v>
      </c>
      <c r="AF350" s="70">
        <f>'RESUMEN TOTAL'!AS452</f>
        <v>0</v>
      </c>
      <c r="AG350" s="70">
        <f>'RESUMEN TOTAL'!AT452</f>
        <v>0</v>
      </c>
      <c r="AH350" s="70">
        <f>'RESUMEN TOTAL'!AU452</f>
        <v>0</v>
      </c>
      <c r="AI350" s="70">
        <f>'RESUMEN TOTAL'!AV452</f>
        <v>0</v>
      </c>
      <c r="AJ350" s="70" t="e">
        <f>'RESUMEN TOTAL'!#REF!</f>
        <v>#REF!</v>
      </c>
    </row>
    <row r="351" spans="1:36" x14ac:dyDescent="0.25">
      <c r="A351" t="str">
        <f>'RESUMEN TOTAL'!F453</f>
        <v>SANTA ROSA</v>
      </c>
      <c r="B351" t="str">
        <f>'RESUMEN TOTAL'!G453</f>
        <v>SRO06</v>
      </c>
      <c r="C351" t="str">
        <f>'RESUMEN TOTAL'!I453</f>
        <v>Novak y Bonn</v>
      </c>
      <c r="D351" s="30" t="str">
        <f>'RESUMEN TOTAL'!J453</f>
        <v>Domo</v>
      </c>
      <c r="E351" s="30" t="str">
        <f>'RESUMEN TOTAL'!K453</f>
        <v>GPON</v>
      </c>
      <c r="F351" s="70">
        <f>'RESUMEN TOTAL'!S453</f>
        <v>0</v>
      </c>
      <c r="G351" s="70">
        <f>'RESUMEN TOTAL'!T453</f>
        <v>0</v>
      </c>
      <c r="H351" s="70">
        <f>'RESUMEN TOTAL'!U453</f>
        <v>0</v>
      </c>
      <c r="I351" s="70">
        <f>'RESUMEN TOTAL'!V453</f>
        <v>0</v>
      </c>
      <c r="J351" s="70">
        <f>'RESUMEN TOTAL'!W453</f>
        <v>0</v>
      </c>
      <c r="K351" s="70">
        <f>'RESUMEN TOTAL'!X453</f>
        <v>0</v>
      </c>
      <c r="L351" s="70">
        <f>'RESUMEN TOTAL'!Y453</f>
        <v>0</v>
      </c>
      <c r="M351" s="70">
        <f>'RESUMEN TOTAL'!Z453</f>
        <v>0</v>
      </c>
      <c r="N351" s="70">
        <f>'RESUMEN TOTAL'!AA453</f>
        <v>0</v>
      </c>
      <c r="O351" s="70">
        <f>'RESUMEN TOTAL'!AB453</f>
        <v>0</v>
      </c>
      <c r="P351" s="70">
        <f>'RESUMEN TOTAL'!AC453</f>
        <v>0</v>
      </c>
      <c r="Q351" s="70">
        <f>'RESUMEN TOTAL'!AD453</f>
        <v>0</v>
      </c>
      <c r="R351" s="70">
        <f>'RESUMEN TOTAL'!AE453</f>
        <v>0</v>
      </c>
      <c r="S351" s="70">
        <f>'RESUMEN TOTAL'!AF453</f>
        <v>0</v>
      </c>
      <c r="T351" s="70">
        <f>'RESUMEN TOTAL'!AG453</f>
        <v>0</v>
      </c>
      <c r="U351" s="70">
        <f>'RESUMEN TOTAL'!AH453</f>
        <v>0</v>
      </c>
      <c r="V351" s="70">
        <f>'RESUMEN TOTAL'!AI453</f>
        <v>0</v>
      </c>
      <c r="W351" s="70">
        <f>'RESUMEN TOTAL'!AJ453</f>
        <v>0</v>
      </c>
      <c r="X351" s="70" t="str">
        <f>'RESUMEN TOTAL'!AK453</f>
        <v>APAGADO</v>
      </c>
      <c r="Y351" s="70">
        <f>'RESUMEN TOTAL'!AL453</f>
        <v>0</v>
      </c>
      <c r="Z351" s="70">
        <f>'RESUMEN TOTAL'!AM453</f>
        <v>0</v>
      </c>
      <c r="AA351" s="70">
        <f>'RESUMEN TOTAL'!AN453</f>
        <v>0</v>
      </c>
      <c r="AB351" s="70">
        <f>'RESUMEN TOTAL'!AO453</f>
        <v>0</v>
      </c>
      <c r="AC351" s="70">
        <f>'RESUMEN TOTAL'!AP453</f>
        <v>0</v>
      </c>
      <c r="AD351" s="70">
        <f>'RESUMEN TOTAL'!AQ453</f>
        <v>0</v>
      </c>
      <c r="AE351" s="70">
        <f>'RESUMEN TOTAL'!AR453</f>
        <v>0</v>
      </c>
      <c r="AF351" s="70">
        <f>'RESUMEN TOTAL'!AS453</f>
        <v>0</v>
      </c>
      <c r="AG351" s="70">
        <f>'RESUMEN TOTAL'!AT453</f>
        <v>0</v>
      </c>
      <c r="AH351" s="70">
        <f>'RESUMEN TOTAL'!AU453</f>
        <v>0</v>
      </c>
      <c r="AI351" s="70">
        <f>'RESUMEN TOTAL'!AV453</f>
        <v>0</v>
      </c>
      <c r="AJ351" s="70" t="e">
        <f>'RESUMEN TOTAL'!#REF!</f>
        <v>#REF!</v>
      </c>
    </row>
    <row r="352" spans="1:36" x14ac:dyDescent="0.25">
      <c r="A352" t="str">
        <f>'RESUMEN TOTAL'!F454</f>
        <v>SANTA ROSA</v>
      </c>
      <c r="B352" t="str">
        <f>'RESUMEN TOTAL'!G454</f>
        <v>SRO07</v>
      </c>
      <c r="C352" t="str">
        <f>'RESUMEN TOTAL'!I454</f>
        <v>NOVAK Y BELGICA</v>
      </c>
      <c r="D352" s="30" t="str">
        <f>'RESUMEN TOTAL'!J454</f>
        <v>Domo</v>
      </c>
      <c r="E352" s="30" t="str">
        <f>'RESUMEN TOTAL'!K454</f>
        <v>GPON</v>
      </c>
      <c r="F352" s="70">
        <f>'RESUMEN TOTAL'!S454</f>
        <v>0</v>
      </c>
      <c r="G352" s="70">
        <f>'RESUMEN TOTAL'!T454</f>
        <v>0</v>
      </c>
      <c r="H352" s="70">
        <f>'RESUMEN TOTAL'!U454</f>
        <v>0</v>
      </c>
      <c r="I352" s="70">
        <f>'RESUMEN TOTAL'!V454</f>
        <v>0</v>
      </c>
      <c r="J352" s="70">
        <f>'RESUMEN TOTAL'!W454</f>
        <v>0</v>
      </c>
      <c r="K352" s="70">
        <f>'RESUMEN TOTAL'!X454</f>
        <v>0</v>
      </c>
      <c r="L352" s="70">
        <f>'RESUMEN TOTAL'!Y454</f>
        <v>0</v>
      </c>
      <c r="M352" s="70">
        <f>'RESUMEN TOTAL'!Z454</f>
        <v>0</v>
      </c>
      <c r="N352" s="70">
        <f>'RESUMEN TOTAL'!AA454</f>
        <v>0</v>
      </c>
      <c r="O352" s="70">
        <f>'RESUMEN TOTAL'!AB454</f>
        <v>0</v>
      </c>
      <c r="P352" s="70">
        <f>'RESUMEN TOTAL'!AC454</f>
        <v>0</v>
      </c>
      <c r="Q352" s="70">
        <f>'RESUMEN TOTAL'!AD454</f>
        <v>0</v>
      </c>
      <c r="R352" s="70">
        <f>'RESUMEN TOTAL'!AE454</f>
        <v>0</v>
      </c>
      <c r="S352" s="70">
        <f>'RESUMEN TOTAL'!AF454</f>
        <v>0</v>
      </c>
      <c r="T352" s="70">
        <f>'RESUMEN TOTAL'!AG454</f>
        <v>0</v>
      </c>
      <c r="U352" s="70">
        <f>'RESUMEN TOTAL'!AH454</f>
        <v>0</v>
      </c>
      <c r="V352" s="70">
        <f>'RESUMEN TOTAL'!AI454</f>
        <v>0</v>
      </c>
      <c r="W352" s="70">
        <f>'RESUMEN TOTAL'!AJ454</f>
        <v>0</v>
      </c>
      <c r="X352" s="70">
        <f>'RESUMEN TOTAL'!AK454</f>
        <v>0</v>
      </c>
      <c r="Y352" s="70">
        <f>'RESUMEN TOTAL'!AL454</f>
        <v>0</v>
      </c>
      <c r="Z352" s="70">
        <f>'RESUMEN TOTAL'!AM454</f>
        <v>0</v>
      </c>
      <c r="AA352" s="70">
        <f>'RESUMEN TOTAL'!AN454</f>
        <v>0</v>
      </c>
      <c r="AB352" s="70">
        <f>'RESUMEN TOTAL'!AO454</f>
        <v>0</v>
      </c>
      <c r="AC352" s="70">
        <f>'RESUMEN TOTAL'!AP454</f>
        <v>0</v>
      </c>
      <c r="AD352" s="70">
        <f>'RESUMEN TOTAL'!AQ454</f>
        <v>0</v>
      </c>
      <c r="AE352" s="70">
        <f>'RESUMEN TOTAL'!AR454</f>
        <v>0</v>
      </c>
      <c r="AF352" s="70">
        <f>'RESUMEN TOTAL'!AS454</f>
        <v>0</v>
      </c>
      <c r="AG352" s="70">
        <f>'RESUMEN TOTAL'!AT454</f>
        <v>0</v>
      </c>
      <c r="AH352" s="70">
        <f>'RESUMEN TOTAL'!AU454</f>
        <v>0</v>
      </c>
      <c r="AI352" s="70">
        <f>'RESUMEN TOTAL'!AV454</f>
        <v>0</v>
      </c>
      <c r="AJ352" s="70" t="e">
        <f>'RESUMEN TOTAL'!#REF!</f>
        <v>#REF!</v>
      </c>
    </row>
    <row r="353" spans="1:36" x14ac:dyDescent="0.25">
      <c r="A353" t="str">
        <f>'RESUMEN TOTAL'!F455</f>
        <v>SANTA ROSA</v>
      </c>
      <c r="B353" t="str">
        <f>'RESUMEN TOTAL'!G455</f>
        <v>SRO09</v>
      </c>
      <c r="C353" t="str">
        <f>'RESUMEN TOTAL'!I455</f>
        <v>BUCAREST E/ ALEMANIA Y CAFFERATA</v>
      </c>
      <c r="D353" s="30" t="str">
        <f>'RESUMEN TOTAL'!J455</f>
        <v>DOMO</v>
      </c>
      <c r="E353" s="30" t="str">
        <f>'RESUMEN TOTAL'!K455</f>
        <v>Radio</v>
      </c>
      <c r="F353" s="70">
        <f>'RESUMEN TOTAL'!S455</f>
        <v>0</v>
      </c>
      <c r="G353" s="70">
        <f>'RESUMEN TOTAL'!T455</f>
        <v>0</v>
      </c>
      <c r="H353" s="70">
        <f>'RESUMEN TOTAL'!U455</f>
        <v>0</v>
      </c>
      <c r="I353" s="70">
        <f>'RESUMEN TOTAL'!V455</f>
        <v>0</v>
      </c>
      <c r="J353" s="70">
        <f>'RESUMEN TOTAL'!W455</f>
        <v>0</v>
      </c>
      <c r="K353" s="70">
        <f>'RESUMEN TOTAL'!X455</f>
        <v>0</v>
      </c>
      <c r="L353" s="70">
        <f>'RESUMEN TOTAL'!Y455</f>
        <v>0</v>
      </c>
      <c r="M353" s="70">
        <f>'RESUMEN TOTAL'!Z455</f>
        <v>0</v>
      </c>
      <c r="N353" s="70">
        <f>'RESUMEN TOTAL'!AA455</f>
        <v>0</v>
      </c>
      <c r="O353" s="70">
        <f>'RESUMEN TOTAL'!AB455</f>
        <v>0</v>
      </c>
      <c r="P353" s="70">
        <f>'RESUMEN TOTAL'!AC455</f>
        <v>0</v>
      </c>
      <c r="Q353" s="70">
        <f>'RESUMEN TOTAL'!AD455</f>
        <v>0</v>
      </c>
      <c r="R353" s="70">
        <f>'RESUMEN TOTAL'!AE455</f>
        <v>0</v>
      </c>
      <c r="S353" s="70">
        <f>'RESUMEN TOTAL'!AF455</f>
        <v>0</v>
      </c>
      <c r="T353" s="70">
        <f>'RESUMEN TOTAL'!AG455</f>
        <v>0</v>
      </c>
      <c r="U353" s="70">
        <f>'RESUMEN TOTAL'!AH455</f>
        <v>0</v>
      </c>
      <c r="V353" s="70">
        <f>'RESUMEN TOTAL'!AI455</f>
        <v>0</v>
      </c>
      <c r="W353" s="70">
        <f>'RESUMEN TOTAL'!AJ455</f>
        <v>0</v>
      </c>
      <c r="X353" s="70">
        <f>'RESUMEN TOTAL'!AK455</f>
        <v>0</v>
      </c>
      <c r="Y353" s="70">
        <f>'RESUMEN TOTAL'!AL455</f>
        <v>0</v>
      </c>
      <c r="Z353" s="70">
        <f>'RESUMEN TOTAL'!AM455</f>
        <v>0</v>
      </c>
      <c r="AA353" s="70">
        <f>'RESUMEN TOTAL'!AN455</f>
        <v>0</v>
      </c>
      <c r="AB353" s="70">
        <f>'RESUMEN TOTAL'!AO455</f>
        <v>0</v>
      </c>
      <c r="AC353" s="70">
        <f>'RESUMEN TOTAL'!AP455</f>
        <v>0</v>
      </c>
      <c r="AD353" s="70">
        <f>'RESUMEN TOTAL'!AQ455</f>
        <v>0</v>
      </c>
      <c r="AE353" s="70">
        <f>'RESUMEN TOTAL'!AR455</f>
        <v>0</v>
      </c>
      <c r="AF353" s="70">
        <f>'RESUMEN TOTAL'!AS455</f>
        <v>0</v>
      </c>
      <c r="AG353" s="70">
        <f>'RESUMEN TOTAL'!AT455</f>
        <v>0</v>
      </c>
      <c r="AH353" s="70">
        <f>'RESUMEN TOTAL'!AU455</f>
        <v>0</v>
      </c>
      <c r="AI353" s="70">
        <f>'RESUMEN TOTAL'!AV455</f>
        <v>0</v>
      </c>
      <c r="AJ353" s="70" t="e">
        <f>'RESUMEN TOTAL'!#REF!</f>
        <v>#REF!</v>
      </c>
    </row>
    <row r="354" spans="1:36" x14ac:dyDescent="0.25">
      <c r="A354" t="str">
        <f>'RESUMEN TOTAL'!F456</f>
        <v>SANTA ROSA</v>
      </c>
      <c r="B354" t="str">
        <f>'RESUMEN TOTAL'!G456</f>
        <v>SRO10</v>
      </c>
      <c r="C354" t="str">
        <f>'RESUMEN TOTAL'!I456</f>
        <v>DINAMARCA Y MILAN</v>
      </c>
      <c r="D354" s="30" t="str">
        <f>'RESUMEN TOTAL'!J456</f>
        <v>DOMO</v>
      </c>
      <c r="E354" s="30" t="str">
        <f>'RESUMEN TOTAL'!K456</f>
        <v>Radio</v>
      </c>
      <c r="F354" s="70">
        <f>'RESUMEN TOTAL'!S456</f>
        <v>0</v>
      </c>
      <c r="G354" s="70">
        <f>'RESUMEN TOTAL'!T456</f>
        <v>0</v>
      </c>
      <c r="H354" s="70">
        <f>'RESUMEN TOTAL'!U456</f>
        <v>0</v>
      </c>
      <c r="I354" s="70" t="str">
        <f>'RESUMEN TOTAL'!V456</f>
        <v>APAGADO</v>
      </c>
      <c r="J354" s="70" t="str">
        <f>'RESUMEN TOTAL'!W456</f>
        <v>APAGADO</v>
      </c>
      <c r="K354" s="70" t="str">
        <f>'RESUMEN TOTAL'!X456</f>
        <v>APAGADO</v>
      </c>
      <c r="L354" s="70" t="str">
        <f>'RESUMEN TOTAL'!Y456</f>
        <v>APAGADO</v>
      </c>
      <c r="M354" s="70" t="str">
        <f>'RESUMEN TOTAL'!Z456</f>
        <v>APAGADO</v>
      </c>
      <c r="N354" s="70">
        <f>'RESUMEN TOTAL'!AA456</f>
        <v>0</v>
      </c>
      <c r="O354" s="70">
        <f>'RESUMEN TOTAL'!AB456</f>
        <v>0</v>
      </c>
      <c r="P354" s="70" t="str">
        <f>'RESUMEN TOTAL'!AC456</f>
        <v>APAGADO</v>
      </c>
      <c r="Q354" s="70" t="str">
        <f>'RESUMEN TOTAL'!AD456</f>
        <v>APAGADO</v>
      </c>
      <c r="R354" s="70" t="str">
        <f>'RESUMEN TOTAL'!AE456</f>
        <v>APAGADO</v>
      </c>
      <c r="S354" s="70" t="str">
        <f>'RESUMEN TOTAL'!AF456</f>
        <v>APAGADO</v>
      </c>
      <c r="T354" s="70" t="str">
        <f>'RESUMEN TOTAL'!AG456</f>
        <v>APAGADO</v>
      </c>
      <c r="U354" s="70">
        <f>'RESUMEN TOTAL'!AH456</f>
        <v>0</v>
      </c>
      <c r="V354" s="70">
        <f>'RESUMEN TOTAL'!AI456</f>
        <v>0</v>
      </c>
      <c r="W354" s="70" t="str">
        <f>'RESUMEN TOTAL'!AJ456</f>
        <v>APAGADO</v>
      </c>
      <c r="X354" s="70" t="str">
        <f>'RESUMEN TOTAL'!AK456</f>
        <v>APAGADO</v>
      </c>
      <c r="Y354" s="70" t="str">
        <f>'RESUMEN TOTAL'!AL456</f>
        <v>APAGADO</v>
      </c>
      <c r="Z354" s="70" t="str">
        <f>'RESUMEN TOTAL'!AM456</f>
        <v>APAGADO</v>
      </c>
      <c r="AA354" s="70" t="str">
        <f>'RESUMEN TOTAL'!AN456</f>
        <v>APAGADO</v>
      </c>
      <c r="AB354" s="70">
        <f>'RESUMEN TOTAL'!AO456</f>
        <v>0</v>
      </c>
      <c r="AC354" s="70">
        <f>'RESUMEN TOTAL'!AP456</f>
        <v>0</v>
      </c>
      <c r="AD354" s="70">
        <f>'RESUMEN TOTAL'!AQ456</f>
        <v>0</v>
      </c>
      <c r="AE354" s="70" t="str">
        <f>'RESUMEN TOTAL'!AR456</f>
        <v>APAGADO</v>
      </c>
      <c r="AF354" s="70" t="str">
        <f>'RESUMEN TOTAL'!AS456</f>
        <v>APAGADO</v>
      </c>
      <c r="AG354" s="70">
        <f>'RESUMEN TOTAL'!AT456</f>
        <v>0</v>
      </c>
      <c r="AH354" s="70">
        <f>'RESUMEN TOTAL'!AU456</f>
        <v>0</v>
      </c>
      <c r="AI354" s="70">
        <f>'RESUMEN TOTAL'!AV456</f>
        <v>0</v>
      </c>
      <c r="AJ354" s="70" t="e">
        <f>'RESUMEN TOTAL'!#REF!</f>
        <v>#REF!</v>
      </c>
    </row>
    <row r="355" spans="1:36" x14ac:dyDescent="0.25">
      <c r="A355" t="str">
        <f>'RESUMEN TOTAL'!F457</f>
        <v>SANTA ROSA</v>
      </c>
      <c r="B355" t="str">
        <f>'RESUMEN TOTAL'!G457</f>
        <v>SRO12</v>
      </c>
      <c r="C355" t="str">
        <f>'RESUMEN TOTAL'!I457</f>
        <v>YUGOSLAVIA Y PAYSANDU</v>
      </c>
      <c r="D355" s="30" t="str">
        <f>'RESUMEN TOTAL'!J457</f>
        <v>DOMO</v>
      </c>
      <c r="E355" s="30" t="str">
        <f>'RESUMEN TOTAL'!K457</f>
        <v>Radio</v>
      </c>
      <c r="F355" s="70">
        <f>'RESUMEN TOTAL'!S457</f>
        <v>0</v>
      </c>
      <c r="G355" s="70">
        <f>'RESUMEN TOTAL'!T457</f>
        <v>0</v>
      </c>
      <c r="H355" s="70">
        <f>'RESUMEN TOTAL'!U457</f>
        <v>0</v>
      </c>
      <c r="I355" s="70">
        <f>'RESUMEN TOTAL'!V457</f>
        <v>0</v>
      </c>
      <c r="J355" s="70">
        <f>'RESUMEN TOTAL'!W457</f>
        <v>0</v>
      </c>
      <c r="K355" s="70">
        <f>'RESUMEN TOTAL'!X457</f>
        <v>0</v>
      </c>
      <c r="L355" s="70">
        <f>'RESUMEN TOTAL'!Y457</f>
        <v>0</v>
      </c>
      <c r="M355" s="70">
        <f>'RESUMEN TOTAL'!Z457</f>
        <v>0</v>
      </c>
      <c r="N355" s="70">
        <f>'RESUMEN TOTAL'!AA457</f>
        <v>0</v>
      </c>
      <c r="O355" s="70">
        <f>'RESUMEN TOTAL'!AB457</f>
        <v>0</v>
      </c>
      <c r="P355" s="70">
        <f>'RESUMEN TOTAL'!AC457</f>
        <v>0</v>
      </c>
      <c r="Q355" s="70">
        <f>'RESUMEN TOTAL'!AD457</f>
        <v>0</v>
      </c>
      <c r="R355" s="70">
        <f>'RESUMEN TOTAL'!AE457</f>
        <v>0</v>
      </c>
      <c r="S355" s="70">
        <f>'RESUMEN TOTAL'!AF457</f>
        <v>0</v>
      </c>
      <c r="T355" s="70">
        <f>'RESUMEN TOTAL'!AG457</f>
        <v>0</v>
      </c>
      <c r="U355" s="70">
        <f>'RESUMEN TOTAL'!AH457</f>
        <v>0</v>
      </c>
      <c r="V355" s="70">
        <f>'RESUMEN TOTAL'!AI457</f>
        <v>0</v>
      </c>
      <c r="W355" s="70">
        <f>'RESUMEN TOTAL'!AJ457</f>
        <v>0</v>
      </c>
      <c r="X355" s="70">
        <f>'RESUMEN TOTAL'!AK457</f>
        <v>0</v>
      </c>
      <c r="Y355" s="70">
        <f>'RESUMEN TOTAL'!AL457</f>
        <v>0</v>
      </c>
      <c r="Z355" s="70">
        <f>'RESUMEN TOTAL'!AM457</f>
        <v>0</v>
      </c>
      <c r="AA355" s="70">
        <f>'RESUMEN TOTAL'!AN457</f>
        <v>0</v>
      </c>
      <c r="AB355" s="70">
        <f>'RESUMEN TOTAL'!AO457</f>
        <v>0</v>
      </c>
      <c r="AC355" s="70">
        <f>'RESUMEN TOTAL'!AP457</f>
        <v>0</v>
      </c>
      <c r="AD355" s="70">
        <f>'RESUMEN TOTAL'!AQ457</f>
        <v>0</v>
      </c>
      <c r="AE355" s="70">
        <f>'RESUMEN TOTAL'!AR457</f>
        <v>0</v>
      </c>
      <c r="AF355" s="70">
        <f>'RESUMEN TOTAL'!AS457</f>
        <v>0</v>
      </c>
      <c r="AG355" s="70">
        <f>'RESUMEN TOTAL'!AT457</f>
        <v>0</v>
      </c>
      <c r="AH355" s="70">
        <f>'RESUMEN TOTAL'!AU457</f>
        <v>0</v>
      </c>
      <c r="AI355" s="70">
        <f>'RESUMEN TOTAL'!AV457</f>
        <v>0</v>
      </c>
      <c r="AJ355" s="70" t="e">
        <f>'RESUMEN TOTAL'!#REF!</f>
        <v>#REF!</v>
      </c>
    </row>
    <row r="356" spans="1:36" x14ac:dyDescent="0.25">
      <c r="A356" t="str">
        <f>'RESUMEN TOTAL'!F458</f>
        <v>SANTA ROSA</v>
      </c>
      <c r="B356" t="str">
        <f>'RESUMEN TOTAL'!G458</f>
        <v>SRO15</v>
      </c>
      <c r="C356" t="str">
        <f>'RESUMEN TOTAL'!I458</f>
        <v>NOVAK Y TIRANA (614)</v>
      </c>
      <c r="D356" s="30" t="str">
        <f>'RESUMEN TOTAL'!J458</f>
        <v>DOMO</v>
      </c>
      <c r="E356" s="30" t="str">
        <f>'RESUMEN TOTAL'!K458</f>
        <v>GPON</v>
      </c>
      <c r="F356" s="70">
        <f>'RESUMEN TOTAL'!S458</f>
        <v>0</v>
      </c>
      <c r="G356" s="70">
        <f>'RESUMEN TOTAL'!T458</f>
        <v>0</v>
      </c>
      <c r="H356" s="70">
        <f>'RESUMEN TOTAL'!U458</f>
        <v>0</v>
      </c>
      <c r="I356" s="70">
        <f>'RESUMEN TOTAL'!V458</f>
        <v>0</v>
      </c>
      <c r="J356" s="70">
        <f>'RESUMEN TOTAL'!W458</f>
        <v>0</v>
      </c>
      <c r="K356" s="70">
        <f>'RESUMEN TOTAL'!X458</f>
        <v>0</v>
      </c>
      <c r="L356" s="70">
        <f>'RESUMEN TOTAL'!Y458</f>
        <v>0</v>
      </c>
      <c r="M356" s="70">
        <f>'RESUMEN TOTAL'!Z458</f>
        <v>0</v>
      </c>
      <c r="N356" s="70">
        <f>'RESUMEN TOTAL'!AA458</f>
        <v>0</v>
      </c>
      <c r="O356" s="70">
        <f>'RESUMEN TOTAL'!AB458</f>
        <v>0</v>
      </c>
      <c r="P356" s="70">
        <f>'RESUMEN TOTAL'!AC458</f>
        <v>0</v>
      </c>
      <c r="Q356" s="70">
        <f>'RESUMEN TOTAL'!AD458</f>
        <v>0</v>
      </c>
      <c r="R356" s="70">
        <f>'RESUMEN TOTAL'!AE458</f>
        <v>0</v>
      </c>
      <c r="S356" s="70">
        <f>'RESUMEN TOTAL'!AF458</f>
        <v>0</v>
      </c>
      <c r="T356" s="70">
        <f>'RESUMEN TOTAL'!AG458</f>
        <v>0</v>
      </c>
      <c r="U356" s="70">
        <f>'RESUMEN TOTAL'!AH458</f>
        <v>0</v>
      </c>
      <c r="V356" s="70">
        <f>'RESUMEN TOTAL'!AI458</f>
        <v>0</v>
      </c>
      <c r="W356" s="70">
        <f>'RESUMEN TOTAL'!AJ458</f>
        <v>0</v>
      </c>
      <c r="X356" s="70">
        <f>'RESUMEN TOTAL'!AK458</f>
        <v>0</v>
      </c>
      <c r="Y356" s="70">
        <f>'RESUMEN TOTAL'!AL458</f>
        <v>0</v>
      </c>
      <c r="Z356" s="70">
        <f>'RESUMEN TOTAL'!AM458</f>
        <v>0</v>
      </c>
      <c r="AA356" s="70">
        <f>'RESUMEN TOTAL'!AN458</f>
        <v>0</v>
      </c>
      <c r="AB356" s="70">
        <f>'RESUMEN TOTAL'!AO458</f>
        <v>0</v>
      </c>
      <c r="AC356" s="70">
        <f>'RESUMEN TOTAL'!AP458</f>
        <v>0</v>
      </c>
      <c r="AD356" s="70">
        <f>'RESUMEN TOTAL'!AQ458</f>
        <v>0</v>
      </c>
      <c r="AE356" s="70">
        <f>'RESUMEN TOTAL'!AR458</f>
        <v>0</v>
      </c>
      <c r="AF356" s="70">
        <f>'RESUMEN TOTAL'!AS458</f>
        <v>0</v>
      </c>
      <c r="AG356" s="70">
        <f>'RESUMEN TOTAL'!AT458</f>
        <v>0</v>
      </c>
      <c r="AH356" s="70">
        <f>'RESUMEN TOTAL'!AU458</f>
        <v>0</v>
      </c>
      <c r="AI356" s="70">
        <f>'RESUMEN TOTAL'!AV458</f>
        <v>0</v>
      </c>
      <c r="AJ356" s="70" t="e">
        <f>'RESUMEN TOTAL'!#REF!</f>
        <v>#REF!</v>
      </c>
    </row>
    <row r="357" spans="1:36" x14ac:dyDescent="0.25">
      <c r="A357" t="str">
        <f>'RESUMEN TOTAL'!F459</f>
        <v>SANTA ROSA</v>
      </c>
      <c r="B357" t="str">
        <f>'RESUMEN TOTAL'!G459</f>
        <v>SRO16 (fija 1)</v>
      </c>
      <c r="C357" t="str">
        <f>'RESUMEN TOTAL'!I459</f>
        <v>ANDORRA E/ BELGICA Y SAN MARINO</v>
      </c>
      <c r="D357" s="30" t="str">
        <f>'RESUMEN TOTAL'!J459</f>
        <v>Fija</v>
      </c>
      <c r="E357" s="30" t="str">
        <f>'RESUMEN TOTAL'!K459</f>
        <v>GPON</v>
      </c>
      <c r="F357" s="70">
        <f>'RESUMEN TOTAL'!S459</f>
        <v>0</v>
      </c>
      <c r="G357" s="70">
        <f>'RESUMEN TOTAL'!T459</f>
        <v>0</v>
      </c>
      <c r="H357" s="70">
        <f>'RESUMEN TOTAL'!U459</f>
        <v>0</v>
      </c>
      <c r="I357" s="70">
        <f>'RESUMEN TOTAL'!V459</f>
        <v>0</v>
      </c>
      <c r="J357" s="70">
        <f>'RESUMEN TOTAL'!W459</f>
        <v>0</v>
      </c>
      <c r="K357" s="70">
        <f>'RESUMEN TOTAL'!X459</f>
        <v>0</v>
      </c>
      <c r="L357" s="70">
        <f>'RESUMEN TOTAL'!Y459</f>
        <v>0</v>
      </c>
      <c r="M357" s="70">
        <f>'RESUMEN TOTAL'!Z459</f>
        <v>0</v>
      </c>
      <c r="N357" s="70">
        <f>'RESUMEN TOTAL'!AA459</f>
        <v>0</v>
      </c>
      <c r="O357" s="70">
        <f>'RESUMEN TOTAL'!AB459</f>
        <v>0</v>
      </c>
      <c r="P357" s="70">
        <f>'RESUMEN TOTAL'!AC459</f>
        <v>0</v>
      </c>
      <c r="Q357" s="70">
        <f>'RESUMEN TOTAL'!AD459</f>
        <v>0</v>
      </c>
      <c r="R357" s="70">
        <f>'RESUMEN TOTAL'!AE459</f>
        <v>0</v>
      </c>
      <c r="S357" s="70">
        <f>'RESUMEN TOTAL'!AF459</f>
        <v>0</v>
      </c>
      <c r="T357" s="70">
        <f>'RESUMEN TOTAL'!AG459</f>
        <v>0</v>
      </c>
      <c r="U357" s="70">
        <f>'RESUMEN TOTAL'!AH459</f>
        <v>0</v>
      </c>
      <c r="V357" s="70">
        <f>'RESUMEN TOTAL'!AI459</f>
        <v>0</v>
      </c>
      <c r="W357" s="70">
        <f>'RESUMEN TOTAL'!AJ459</f>
        <v>0</v>
      </c>
      <c r="X357" s="70">
        <f>'RESUMEN TOTAL'!AK459</f>
        <v>0</v>
      </c>
      <c r="Y357" s="70">
        <f>'RESUMEN TOTAL'!AL459</f>
        <v>0</v>
      </c>
      <c r="Z357" s="70">
        <f>'RESUMEN TOTAL'!AM459</f>
        <v>0</v>
      </c>
      <c r="AA357" s="70">
        <f>'RESUMEN TOTAL'!AN459</f>
        <v>0</v>
      </c>
      <c r="AB357" s="70">
        <f>'RESUMEN TOTAL'!AO459</f>
        <v>0</v>
      </c>
      <c r="AC357" s="70">
        <f>'RESUMEN TOTAL'!AP459</f>
        <v>0</v>
      </c>
      <c r="AD357" s="70">
        <f>'RESUMEN TOTAL'!AQ459</f>
        <v>0</v>
      </c>
      <c r="AE357" s="70">
        <f>'RESUMEN TOTAL'!AR459</f>
        <v>0</v>
      </c>
      <c r="AF357" s="70">
        <f>'RESUMEN TOTAL'!AS459</f>
        <v>0</v>
      </c>
      <c r="AG357" s="70">
        <f>'RESUMEN TOTAL'!AT459</f>
        <v>0</v>
      </c>
      <c r="AH357" s="70">
        <f>'RESUMEN TOTAL'!AU459</f>
        <v>0</v>
      </c>
      <c r="AI357" s="70">
        <f>'RESUMEN TOTAL'!AV459</f>
        <v>0</v>
      </c>
      <c r="AJ357" s="70" t="e">
        <f>'RESUMEN TOTAL'!#REF!</f>
        <v>#REF!</v>
      </c>
    </row>
    <row r="358" spans="1:36" x14ac:dyDescent="0.25">
      <c r="A358" t="str">
        <f>'RESUMEN TOTAL'!F460</f>
        <v>SANTA ROSA</v>
      </c>
      <c r="B358" t="str">
        <f>'RESUMEN TOTAL'!G460</f>
        <v>SRO17 (fija 2)</v>
      </c>
      <c r="C358" t="str">
        <f>'RESUMEN TOTAL'!I460</f>
        <v>ANDORRA E/ BELGICA Y SAN MARINO</v>
      </c>
      <c r="D358" s="30" t="str">
        <f>'RESUMEN TOTAL'!J460</f>
        <v>Fija</v>
      </c>
      <c r="E358" s="30" t="str">
        <f>'RESUMEN TOTAL'!K460</f>
        <v>GPON</v>
      </c>
      <c r="F358" s="70">
        <f>'RESUMEN TOTAL'!S460</f>
        <v>0</v>
      </c>
      <c r="G358" s="70">
        <f>'RESUMEN TOTAL'!T460</f>
        <v>0</v>
      </c>
      <c r="H358" s="70">
        <f>'RESUMEN TOTAL'!U460</f>
        <v>0</v>
      </c>
      <c r="I358" s="70">
        <f>'RESUMEN TOTAL'!V460</f>
        <v>0</v>
      </c>
      <c r="J358" s="70">
        <f>'RESUMEN TOTAL'!W460</f>
        <v>0</v>
      </c>
      <c r="K358" s="70">
        <f>'RESUMEN TOTAL'!X460</f>
        <v>0</v>
      </c>
      <c r="L358" s="70">
        <f>'RESUMEN TOTAL'!Y460</f>
        <v>0</v>
      </c>
      <c r="M358" s="70">
        <f>'RESUMEN TOTAL'!Z460</f>
        <v>0</v>
      </c>
      <c r="N358" s="70">
        <f>'RESUMEN TOTAL'!AA460</f>
        <v>0</v>
      </c>
      <c r="O358" s="70">
        <f>'RESUMEN TOTAL'!AB460</f>
        <v>0</v>
      </c>
      <c r="P358" s="70">
        <f>'RESUMEN TOTAL'!AC460</f>
        <v>0</v>
      </c>
      <c r="Q358" s="70">
        <f>'RESUMEN TOTAL'!AD460</f>
        <v>0</v>
      </c>
      <c r="R358" s="70">
        <f>'RESUMEN TOTAL'!AE460</f>
        <v>0</v>
      </c>
      <c r="S358" s="70">
        <f>'RESUMEN TOTAL'!AF460</f>
        <v>0</v>
      </c>
      <c r="T358" s="70">
        <f>'RESUMEN TOTAL'!AG460</f>
        <v>0</v>
      </c>
      <c r="U358" s="70">
        <f>'RESUMEN TOTAL'!AH460</f>
        <v>0</v>
      </c>
      <c r="V358" s="70">
        <f>'RESUMEN TOTAL'!AI460</f>
        <v>0</v>
      </c>
      <c r="W358" s="70">
        <f>'RESUMEN TOTAL'!AJ460</f>
        <v>0</v>
      </c>
      <c r="X358" s="70">
        <f>'RESUMEN TOTAL'!AK460</f>
        <v>0</v>
      </c>
      <c r="Y358" s="70">
        <f>'RESUMEN TOTAL'!AL460</f>
        <v>0</v>
      </c>
      <c r="Z358" s="70">
        <f>'RESUMEN TOTAL'!AM460</f>
        <v>0</v>
      </c>
      <c r="AA358" s="70">
        <f>'RESUMEN TOTAL'!AN460</f>
        <v>0</v>
      </c>
      <c r="AB358" s="70">
        <f>'RESUMEN TOTAL'!AO460</f>
        <v>0</v>
      </c>
      <c r="AC358" s="70">
        <f>'RESUMEN TOTAL'!AP460</f>
        <v>0</v>
      </c>
      <c r="AD358" s="70">
        <f>'RESUMEN TOTAL'!AQ460</f>
        <v>0</v>
      </c>
      <c r="AE358" s="70">
        <f>'RESUMEN TOTAL'!AR460</f>
        <v>0</v>
      </c>
      <c r="AF358" s="70">
        <f>'RESUMEN TOTAL'!AS460</f>
        <v>0</v>
      </c>
      <c r="AG358" s="70">
        <f>'RESUMEN TOTAL'!AT460</f>
        <v>0</v>
      </c>
      <c r="AH358" s="70">
        <f>'RESUMEN TOTAL'!AU460</f>
        <v>0</v>
      </c>
      <c r="AI358" s="70">
        <f>'RESUMEN TOTAL'!AV460</f>
        <v>0</v>
      </c>
      <c r="AJ358" s="70" t="e">
        <f>'RESUMEN TOTAL'!#REF!</f>
        <v>#REF!</v>
      </c>
    </row>
    <row r="359" spans="1:36" x14ac:dyDescent="0.25">
      <c r="A359" t="str">
        <f>'RESUMEN TOTAL'!F461</f>
        <v>SANTA ROSA</v>
      </c>
      <c r="B359" t="str">
        <f>'RESUMEN TOTAL'!G461</f>
        <v>SRO20</v>
      </c>
      <c r="C359" t="str">
        <f>'RESUMEN TOTAL'!I461</f>
        <v>NOVAK Y BONN</v>
      </c>
      <c r="D359" s="30" t="str">
        <f>'RESUMEN TOTAL'!J461</f>
        <v>Fija</v>
      </c>
      <c r="E359" s="30" t="str">
        <f>'RESUMEN TOTAL'!K461</f>
        <v>GPON</v>
      </c>
      <c r="F359" s="70">
        <f>'RESUMEN TOTAL'!S461</f>
        <v>0</v>
      </c>
      <c r="G359" s="70">
        <f>'RESUMEN TOTAL'!T461</f>
        <v>0</v>
      </c>
      <c r="H359" s="70">
        <f>'RESUMEN TOTAL'!U461</f>
        <v>0</v>
      </c>
      <c r="I359" s="70">
        <f>'RESUMEN TOTAL'!V461</f>
        <v>0</v>
      </c>
      <c r="J359" s="70">
        <f>'RESUMEN TOTAL'!W461</f>
        <v>0</v>
      </c>
      <c r="K359" s="70">
        <f>'RESUMEN TOTAL'!X461</f>
        <v>0</v>
      </c>
      <c r="L359" s="70">
        <f>'RESUMEN TOTAL'!Y461</f>
        <v>0</v>
      </c>
      <c r="M359" s="70">
        <f>'RESUMEN TOTAL'!Z461</f>
        <v>0</v>
      </c>
      <c r="N359" s="70">
        <f>'RESUMEN TOTAL'!AA461</f>
        <v>0</v>
      </c>
      <c r="O359" s="70">
        <f>'RESUMEN TOTAL'!AB461</f>
        <v>0</v>
      </c>
      <c r="P359" s="70">
        <f>'RESUMEN TOTAL'!AC461</f>
        <v>0</v>
      </c>
      <c r="Q359" s="70">
        <f>'RESUMEN TOTAL'!AD461</f>
        <v>0</v>
      </c>
      <c r="R359" s="70">
        <f>'RESUMEN TOTAL'!AE461</f>
        <v>0</v>
      </c>
      <c r="S359" s="70">
        <f>'RESUMEN TOTAL'!AF461</f>
        <v>0</v>
      </c>
      <c r="T359" s="70">
        <f>'RESUMEN TOTAL'!AG461</f>
        <v>0</v>
      </c>
      <c r="U359" s="70">
        <f>'RESUMEN TOTAL'!AH461</f>
        <v>0</v>
      </c>
      <c r="V359" s="70">
        <f>'RESUMEN TOTAL'!AI461</f>
        <v>0</v>
      </c>
      <c r="W359" s="70">
        <f>'RESUMEN TOTAL'!AJ461</f>
        <v>0</v>
      </c>
      <c r="X359" s="70" t="str">
        <f>'RESUMEN TOTAL'!AK461</f>
        <v>APAGADO</v>
      </c>
      <c r="Y359" s="70" t="str">
        <f>'RESUMEN TOTAL'!AL461</f>
        <v>APAGADO</v>
      </c>
      <c r="Z359" s="70">
        <f>'RESUMEN TOTAL'!AM461</f>
        <v>0</v>
      </c>
      <c r="AA359" s="70">
        <f>'RESUMEN TOTAL'!AN461</f>
        <v>0</v>
      </c>
      <c r="AB359" s="70">
        <f>'RESUMEN TOTAL'!AO461</f>
        <v>0</v>
      </c>
      <c r="AC359" s="70">
        <f>'RESUMEN TOTAL'!AP461</f>
        <v>0</v>
      </c>
      <c r="AD359" s="70">
        <f>'RESUMEN TOTAL'!AQ461</f>
        <v>0</v>
      </c>
      <c r="AE359" s="70">
        <f>'RESUMEN TOTAL'!AR461</f>
        <v>0</v>
      </c>
      <c r="AF359" s="70">
        <f>'RESUMEN TOTAL'!AS461</f>
        <v>0</v>
      </c>
      <c r="AG359" s="70">
        <f>'RESUMEN TOTAL'!AT461</f>
        <v>0</v>
      </c>
      <c r="AH359" s="70">
        <f>'RESUMEN TOTAL'!AU461</f>
        <v>0</v>
      </c>
      <c r="AI359" s="70">
        <f>'RESUMEN TOTAL'!AV461</f>
        <v>0</v>
      </c>
      <c r="AJ359" s="70" t="e">
        <f>'RESUMEN TOTAL'!#REF!</f>
        <v>#REF!</v>
      </c>
    </row>
    <row r="360" spans="1:36" x14ac:dyDescent="0.25">
      <c r="A360" t="str">
        <f>'RESUMEN TOTAL'!F462</f>
        <v>SANTA ROSA</v>
      </c>
      <c r="B360" t="str">
        <f>'RESUMEN TOTAL'!G462</f>
        <v>SRO21</v>
      </c>
      <c r="C360" t="str">
        <f>'RESUMEN TOTAL'!I462</f>
        <v>NOVAK Y BONN</v>
      </c>
      <c r="D360" s="30" t="str">
        <f>'RESUMEN TOTAL'!J462</f>
        <v>Fija</v>
      </c>
      <c r="E360" s="30" t="str">
        <f>'RESUMEN TOTAL'!K462</f>
        <v>GPON</v>
      </c>
      <c r="F360" s="70">
        <f>'RESUMEN TOTAL'!S462</f>
        <v>0</v>
      </c>
      <c r="G360" s="70">
        <f>'RESUMEN TOTAL'!T462</f>
        <v>0</v>
      </c>
      <c r="H360" s="70">
        <f>'RESUMEN TOTAL'!U462</f>
        <v>0</v>
      </c>
      <c r="I360" s="70">
        <f>'RESUMEN TOTAL'!V462</f>
        <v>0</v>
      </c>
      <c r="J360" s="70">
        <f>'RESUMEN TOTAL'!W462</f>
        <v>0</v>
      </c>
      <c r="K360" s="70">
        <f>'RESUMEN TOTAL'!X462</f>
        <v>0</v>
      </c>
      <c r="L360" s="70">
        <f>'RESUMEN TOTAL'!Y462</f>
        <v>0</v>
      </c>
      <c r="M360" s="70">
        <f>'RESUMEN TOTAL'!Z462</f>
        <v>0</v>
      </c>
      <c r="N360" s="70">
        <f>'RESUMEN TOTAL'!AA462</f>
        <v>0</v>
      </c>
      <c r="O360" s="70">
        <f>'RESUMEN TOTAL'!AB462</f>
        <v>0</v>
      </c>
      <c r="P360" s="70">
        <f>'RESUMEN TOTAL'!AC462</f>
        <v>0</v>
      </c>
      <c r="Q360" s="70">
        <f>'RESUMEN TOTAL'!AD462</f>
        <v>0</v>
      </c>
      <c r="R360" s="70">
        <f>'RESUMEN TOTAL'!AE462</f>
        <v>0</v>
      </c>
      <c r="S360" s="70">
        <f>'RESUMEN TOTAL'!AF462</f>
        <v>0</v>
      </c>
      <c r="T360" s="70">
        <f>'RESUMEN TOTAL'!AG462</f>
        <v>0</v>
      </c>
      <c r="U360" s="70">
        <f>'RESUMEN TOTAL'!AH462</f>
        <v>0</v>
      </c>
      <c r="V360" s="70">
        <f>'RESUMEN TOTAL'!AI462</f>
        <v>0</v>
      </c>
      <c r="W360" s="70">
        <f>'RESUMEN TOTAL'!AJ462</f>
        <v>0</v>
      </c>
      <c r="X360" s="70" t="str">
        <f>'RESUMEN TOTAL'!AK462</f>
        <v>APAGADO</v>
      </c>
      <c r="Y360" s="70" t="str">
        <f>'RESUMEN TOTAL'!AL462</f>
        <v>APAGADO</v>
      </c>
      <c r="Z360" s="70">
        <f>'RESUMEN TOTAL'!AM462</f>
        <v>0</v>
      </c>
      <c r="AA360" s="70">
        <f>'RESUMEN TOTAL'!AN462</f>
        <v>0</v>
      </c>
      <c r="AB360" s="70">
        <f>'RESUMEN TOTAL'!AO462</f>
        <v>0</v>
      </c>
      <c r="AC360" s="70">
        <f>'RESUMEN TOTAL'!AP462</f>
        <v>0</v>
      </c>
      <c r="AD360" s="70">
        <f>'RESUMEN TOTAL'!AQ462</f>
        <v>0</v>
      </c>
      <c r="AE360" s="70">
        <f>'RESUMEN TOTAL'!AR462</f>
        <v>0</v>
      </c>
      <c r="AF360" s="70">
        <f>'RESUMEN TOTAL'!AS462</f>
        <v>0</v>
      </c>
      <c r="AG360" s="70">
        <f>'RESUMEN TOTAL'!AT462</f>
        <v>0</v>
      </c>
      <c r="AH360" s="70">
        <f>'RESUMEN TOTAL'!AU462</f>
        <v>0</v>
      </c>
      <c r="AI360" s="70">
        <f>'RESUMEN TOTAL'!AV462</f>
        <v>0</v>
      </c>
      <c r="AJ360" s="70" t="e">
        <f>'RESUMEN TOTAL'!#REF!</f>
        <v>#REF!</v>
      </c>
    </row>
    <row r="361" spans="1:36" x14ac:dyDescent="0.25">
      <c r="A361" t="str">
        <f>'RESUMEN TOTAL'!F469</f>
        <v>SAN RUDECINDO</v>
      </c>
      <c r="B361" t="str">
        <f>'RESUMEN TOTAL'!G469</f>
        <v>SRU01 (fija 1)</v>
      </c>
      <c r="C361" t="str">
        <f>'RESUMEN TOTAL'!I469</f>
        <v>HERNANDARIAS Y AMBATO</v>
      </c>
      <c r="D361" s="30" t="str">
        <f>'RESUMEN TOTAL'!J469</f>
        <v>Fija</v>
      </c>
      <c r="E361" s="30" t="str">
        <f>'RESUMEN TOTAL'!K469</f>
        <v>GPON</v>
      </c>
      <c r="F361" s="70">
        <f>'RESUMEN TOTAL'!S469</f>
        <v>0</v>
      </c>
      <c r="G361" s="70">
        <f>'RESUMEN TOTAL'!T469</f>
        <v>0</v>
      </c>
      <c r="H361" s="70">
        <f>'RESUMEN TOTAL'!U469</f>
        <v>0</v>
      </c>
      <c r="I361" s="70" t="str">
        <f>'RESUMEN TOTAL'!V469</f>
        <v>APAGADO</v>
      </c>
      <c r="J361" s="70" t="str">
        <f>'RESUMEN TOTAL'!W469</f>
        <v>APAGADO</v>
      </c>
      <c r="K361" s="70" t="str">
        <f>'RESUMEN TOTAL'!X469</f>
        <v>APAGADO</v>
      </c>
      <c r="L361" s="70" t="str">
        <f>'RESUMEN TOTAL'!Y469</f>
        <v>APAGADO</v>
      </c>
      <c r="M361" s="70" t="str">
        <f>'RESUMEN TOTAL'!Z469</f>
        <v>APAGADO</v>
      </c>
      <c r="N361" s="70">
        <f>'RESUMEN TOTAL'!AA469</f>
        <v>0</v>
      </c>
      <c r="O361" s="70">
        <f>'RESUMEN TOTAL'!AB469</f>
        <v>0</v>
      </c>
      <c r="P361" s="70" t="str">
        <f>'RESUMEN TOTAL'!AC469</f>
        <v>APAGADO</v>
      </c>
      <c r="Q361" s="70" t="str">
        <f>'RESUMEN TOTAL'!AD469</f>
        <v>APAGADO</v>
      </c>
      <c r="R361" s="70" t="str">
        <f>'RESUMEN TOTAL'!AE469</f>
        <v>APAGADO</v>
      </c>
      <c r="S361" s="70" t="str">
        <f>'RESUMEN TOTAL'!AF469</f>
        <v>APAGADO</v>
      </c>
      <c r="T361" s="70" t="str">
        <f>'RESUMEN TOTAL'!AG469</f>
        <v>APAGADO</v>
      </c>
      <c r="U361" s="70">
        <f>'RESUMEN TOTAL'!AH469</f>
        <v>0</v>
      </c>
      <c r="V361" s="70">
        <f>'RESUMEN TOTAL'!AI469</f>
        <v>0</v>
      </c>
      <c r="W361" s="70" t="str">
        <f>'RESUMEN TOTAL'!AJ469</f>
        <v>APAGADO</v>
      </c>
      <c r="X361" s="70" t="str">
        <f>'RESUMEN TOTAL'!AK469</f>
        <v>APAGADO</v>
      </c>
      <c r="Y361" s="70" t="str">
        <f>'RESUMEN TOTAL'!AL469</f>
        <v>APAGADO</v>
      </c>
      <c r="Z361" s="70" t="str">
        <f>'RESUMEN TOTAL'!AM469</f>
        <v>APAGADO</v>
      </c>
      <c r="AA361" s="70" t="str">
        <f>'RESUMEN TOTAL'!AN469</f>
        <v>APAGADO</v>
      </c>
      <c r="AB361" s="70">
        <f>'RESUMEN TOTAL'!AO469</f>
        <v>0</v>
      </c>
      <c r="AC361" s="70">
        <f>'RESUMEN TOTAL'!AP469</f>
        <v>0</v>
      </c>
      <c r="AD361" s="70">
        <f>'RESUMEN TOTAL'!AQ469</f>
        <v>0</v>
      </c>
      <c r="AE361" s="70" t="str">
        <f>'RESUMEN TOTAL'!AR469</f>
        <v>APAGADO</v>
      </c>
      <c r="AF361" s="70" t="str">
        <f>'RESUMEN TOTAL'!AS469</f>
        <v>APAGADO</v>
      </c>
      <c r="AG361" s="70" t="str">
        <f>'RESUMEN TOTAL'!AT469</f>
        <v>APAGADO</v>
      </c>
      <c r="AH361" s="70">
        <f>'RESUMEN TOTAL'!AU469</f>
        <v>0</v>
      </c>
      <c r="AI361" s="70">
        <f>'RESUMEN TOTAL'!AV469</f>
        <v>0</v>
      </c>
      <c r="AJ361" s="70" t="e">
        <f>'RESUMEN TOTAL'!#REF!</f>
        <v>#REF!</v>
      </c>
    </row>
    <row r="362" spans="1:36" x14ac:dyDescent="0.25">
      <c r="A362" t="str">
        <f>'RESUMEN TOTAL'!F470</f>
        <v>SAN RUDECINDO</v>
      </c>
      <c r="B362" t="str">
        <f>'RESUMEN TOTAL'!G470</f>
        <v>SRU02 (fija 2)</v>
      </c>
      <c r="C362" t="str">
        <f>'RESUMEN TOTAL'!I470</f>
        <v>HERNANDARIAS Y AMBATO</v>
      </c>
      <c r="D362" s="30" t="str">
        <f>'RESUMEN TOTAL'!J470</f>
        <v>Fija</v>
      </c>
      <c r="E362" s="30" t="str">
        <f>'RESUMEN TOTAL'!K470</f>
        <v>GPON</v>
      </c>
      <c r="F362" s="70">
        <f>'RESUMEN TOTAL'!S470</f>
        <v>0</v>
      </c>
      <c r="G362" s="70">
        <f>'RESUMEN TOTAL'!T470</f>
        <v>0</v>
      </c>
      <c r="H362" s="70">
        <f>'RESUMEN TOTAL'!U470</f>
        <v>0</v>
      </c>
      <c r="I362" s="70" t="str">
        <f>'RESUMEN TOTAL'!V470</f>
        <v>APAGADO</v>
      </c>
      <c r="J362" s="70" t="str">
        <f>'RESUMEN TOTAL'!W470</f>
        <v>APAGADO</v>
      </c>
      <c r="K362" s="70" t="str">
        <f>'RESUMEN TOTAL'!X470</f>
        <v>APAGADO</v>
      </c>
      <c r="L362" s="70" t="str">
        <f>'RESUMEN TOTAL'!Y470</f>
        <v>APAGADO</v>
      </c>
      <c r="M362" s="70" t="str">
        <f>'RESUMEN TOTAL'!Z470</f>
        <v>APAGADO</v>
      </c>
      <c r="N362" s="70">
        <f>'RESUMEN TOTAL'!AA470</f>
        <v>0</v>
      </c>
      <c r="O362" s="70">
        <f>'RESUMEN TOTAL'!AB470</f>
        <v>0</v>
      </c>
      <c r="P362" s="70" t="str">
        <f>'RESUMEN TOTAL'!AC470</f>
        <v>APAGADO</v>
      </c>
      <c r="Q362" s="70" t="str">
        <f>'RESUMEN TOTAL'!AD470</f>
        <v>APAGADO</v>
      </c>
      <c r="R362" s="70" t="str">
        <f>'RESUMEN TOTAL'!AE470</f>
        <v>APAGADO</v>
      </c>
      <c r="S362" s="70" t="str">
        <f>'RESUMEN TOTAL'!AF470</f>
        <v>APAGADO</v>
      </c>
      <c r="T362" s="70" t="str">
        <f>'RESUMEN TOTAL'!AG470</f>
        <v>APAGADO</v>
      </c>
      <c r="U362" s="70">
        <f>'RESUMEN TOTAL'!AH470</f>
        <v>0</v>
      </c>
      <c r="V362" s="70">
        <f>'RESUMEN TOTAL'!AI470</f>
        <v>0</v>
      </c>
      <c r="W362" s="70" t="str">
        <f>'RESUMEN TOTAL'!AJ470</f>
        <v>APAGADO</v>
      </c>
      <c r="X362" s="70" t="str">
        <f>'RESUMEN TOTAL'!AK470</f>
        <v>APAGADO</v>
      </c>
      <c r="Y362" s="70" t="str">
        <f>'RESUMEN TOTAL'!AL470</f>
        <v>APAGADO</v>
      </c>
      <c r="Z362" s="70" t="str">
        <f>'RESUMEN TOTAL'!AM470</f>
        <v>APAGADO</v>
      </c>
      <c r="AA362" s="70" t="str">
        <f>'RESUMEN TOTAL'!AN470</f>
        <v>APAGADO</v>
      </c>
      <c r="AB362" s="70">
        <f>'RESUMEN TOTAL'!AO470</f>
        <v>0</v>
      </c>
      <c r="AC362" s="70">
        <f>'RESUMEN TOTAL'!AP470</f>
        <v>0</v>
      </c>
      <c r="AD362" s="70">
        <f>'RESUMEN TOTAL'!AQ470</f>
        <v>0</v>
      </c>
      <c r="AE362" s="70" t="str">
        <f>'RESUMEN TOTAL'!AR470</f>
        <v>APAGADO</v>
      </c>
      <c r="AF362" s="70" t="str">
        <f>'RESUMEN TOTAL'!AS470</f>
        <v>APAGADO</v>
      </c>
      <c r="AG362" s="70" t="str">
        <f>'RESUMEN TOTAL'!AT470</f>
        <v>APAGADO</v>
      </c>
      <c r="AH362" s="70">
        <f>'RESUMEN TOTAL'!AU470</f>
        <v>0</v>
      </c>
      <c r="AI362" s="70">
        <f>'RESUMEN TOTAL'!AV470</f>
        <v>0</v>
      </c>
      <c r="AJ362" s="70" t="e">
        <f>'RESUMEN TOTAL'!#REF!</f>
        <v>#REF!</v>
      </c>
    </row>
    <row r="363" spans="1:36" x14ac:dyDescent="0.25">
      <c r="A363" t="str">
        <f>'RESUMEN TOTAL'!F471</f>
        <v>SAN RUDECINDO</v>
      </c>
      <c r="B363" t="str">
        <f>'RESUMEN TOTAL'!G471</f>
        <v>SRU03</v>
      </c>
      <c r="C363" t="str">
        <f>'RESUMEN TOTAL'!I471</f>
        <v>SANTA SOFIA Y LUIS AGOTE</v>
      </c>
      <c r="D363" s="30" t="str">
        <f>'RESUMEN TOTAL'!J471</f>
        <v>DOMO</v>
      </c>
      <c r="E363" s="30" t="str">
        <f>'RESUMEN TOTAL'!K471</f>
        <v>GPON</v>
      </c>
      <c r="F363" s="70">
        <f>'RESUMEN TOTAL'!S471</f>
        <v>0</v>
      </c>
      <c r="G363" s="70">
        <f>'RESUMEN TOTAL'!T471</f>
        <v>0</v>
      </c>
      <c r="H363" s="70">
        <f>'RESUMEN TOTAL'!U471</f>
        <v>0</v>
      </c>
      <c r="I363" s="70" t="str">
        <f>'RESUMEN TOTAL'!V471</f>
        <v>APAGADO</v>
      </c>
      <c r="J363" s="70" t="str">
        <f>'RESUMEN TOTAL'!W471</f>
        <v>APAGADO</v>
      </c>
      <c r="K363" s="70" t="str">
        <f>'RESUMEN TOTAL'!X471</f>
        <v>APAGADO</v>
      </c>
      <c r="L363" s="70" t="str">
        <f>'RESUMEN TOTAL'!Y471</f>
        <v>APAGADO</v>
      </c>
      <c r="M363" s="70" t="str">
        <f>'RESUMEN TOTAL'!Z471</f>
        <v>APAGADO</v>
      </c>
      <c r="N363" s="70">
        <f>'RESUMEN TOTAL'!AA471</f>
        <v>0</v>
      </c>
      <c r="O363" s="70">
        <f>'RESUMEN TOTAL'!AB471</f>
        <v>0</v>
      </c>
      <c r="P363" s="70" t="str">
        <f>'RESUMEN TOTAL'!AC471</f>
        <v>APAGADO</v>
      </c>
      <c r="Q363" s="70" t="str">
        <f>'RESUMEN TOTAL'!AD471</f>
        <v>APAGADO</v>
      </c>
      <c r="R363" s="70" t="str">
        <f>'RESUMEN TOTAL'!AE471</f>
        <v>APAGADO</v>
      </c>
      <c r="S363" s="70" t="str">
        <f>'RESUMEN TOTAL'!AF471</f>
        <v>APAGADO</v>
      </c>
      <c r="T363" s="70" t="str">
        <f>'RESUMEN TOTAL'!AG471</f>
        <v>APAGADO</v>
      </c>
      <c r="U363" s="70">
        <f>'RESUMEN TOTAL'!AH471</f>
        <v>0</v>
      </c>
      <c r="V363" s="70">
        <f>'RESUMEN TOTAL'!AI471</f>
        <v>0</v>
      </c>
      <c r="W363" s="70" t="str">
        <f>'RESUMEN TOTAL'!AJ471</f>
        <v>APAGADO</v>
      </c>
      <c r="X363" s="70" t="str">
        <f>'RESUMEN TOTAL'!AK471</f>
        <v>APAGADO</v>
      </c>
      <c r="Y363" s="70" t="str">
        <f>'RESUMEN TOTAL'!AL471</f>
        <v>APAGADO</v>
      </c>
      <c r="Z363" s="70" t="str">
        <f>'RESUMEN TOTAL'!AM471</f>
        <v>APAGADO</v>
      </c>
      <c r="AA363" s="70" t="str">
        <f>'RESUMEN TOTAL'!AN471</f>
        <v>APAGADO</v>
      </c>
      <c r="AB363" s="70">
        <f>'RESUMEN TOTAL'!AO471</f>
        <v>0</v>
      </c>
      <c r="AC363" s="70">
        <f>'RESUMEN TOTAL'!AP471</f>
        <v>0</v>
      </c>
      <c r="AD363" s="70">
        <f>'RESUMEN TOTAL'!AQ471</f>
        <v>0</v>
      </c>
      <c r="AE363" s="70" t="str">
        <f>'RESUMEN TOTAL'!AR471</f>
        <v>APAGADO</v>
      </c>
      <c r="AF363" s="70" t="str">
        <f>'RESUMEN TOTAL'!AS471</f>
        <v>APAGADO</v>
      </c>
      <c r="AG363" s="70" t="str">
        <f>'RESUMEN TOTAL'!AT471</f>
        <v>APAGADO</v>
      </c>
      <c r="AH363" s="70">
        <f>'RESUMEN TOTAL'!AU471</f>
        <v>0</v>
      </c>
      <c r="AI363" s="70">
        <f>'RESUMEN TOTAL'!AV471</f>
        <v>0</v>
      </c>
      <c r="AJ363" s="70" t="e">
        <f>'RESUMEN TOTAL'!#REF!</f>
        <v>#REF!</v>
      </c>
    </row>
    <row r="364" spans="1:36" x14ac:dyDescent="0.25">
      <c r="A364" t="str">
        <f>'RESUMEN TOTAL'!F474</f>
        <v>PRESIDENTE SARMIENTO</v>
      </c>
      <c r="B364" t="str">
        <f>'RESUMEN TOTAL'!G474</f>
        <v>VANG 09</v>
      </c>
      <c r="C364" t="str">
        <f>'RESUMEN TOTAL'!I474</f>
        <v>Ruta 36 y Senzabello</v>
      </c>
      <c r="D364" s="30" t="str">
        <f>'RESUMEN TOTAL'!J474</f>
        <v>Domo</v>
      </c>
      <c r="E364" s="30" t="str">
        <f>'RESUMEN TOTAL'!K474</f>
        <v>PTO A FO</v>
      </c>
      <c r="F364" s="70">
        <f>'RESUMEN TOTAL'!S474</f>
        <v>0</v>
      </c>
      <c r="G364" s="70">
        <f>'RESUMEN TOTAL'!T474</f>
        <v>0</v>
      </c>
      <c r="H364" s="70">
        <f>'RESUMEN TOTAL'!U474</f>
        <v>0</v>
      </c>
      <c r="I364" s="70" t="str">
        <f>'RESUMEN TOTAL'!V474</f>
        <v>APAGADO</v>
      </c>
      <c r="J364" s="70" t="str">
        <f>'RESUMEN TOTAL'!W474</f>
        <v>APAGADO</v>
      </c>
      <c r="K364" s="70">
        <f>'RESUMEN TOTAL'!X474</f>
        <v>0</v>
      </c>
      <c r="L364" s="70">
        <f>'RESUMEN TOTAL'!Y474</f>
        <v>0</v>
      </c>
      <c r="M364" s="70">
        <f>'RESUMEN TOTAL'!Z474</f>
        <v>0</v>
      </c>
      <c r="N364" s="70">
        <f>'RESUMEN TOTAL'!AA474</f>
        <v>0</v>
      </c>
      <c r="O364" s="70">
        <f>'RESUMEN TOTAL'!AB474</f>
        <v>0</v>
      </c>
      <c r="P364" s="70">
        <f>'RESUMEN TOTAL'!AC474</f>
        <v>0</v>
      </c>
      <c r="Q364" s="70">
        <f>'RESUMEN TOTAL'!AD474</f>
        <v>0</v>
      </c>
      <c r="R364" s="70">
        <f>'RESUMEN TOTAL'!AE474</f>
        <v>0</v>
      </c>
      <c r="S364" s="70">
        <f>'RESUMEN TOTAL'!AF474</f>
        <v>0</v>
      </c>
      <c r="T364" s="70">
        <f>'RESUMEN TOTAL'!AG474</f>
        <v>0</v>
      </c>
      <c r="U364" s="70">
        <f>'RESUMEN TOTAL'!AH474</f>
        <v>0</v>
      </c>
      <c r="V364" s="70">
        <f>'RESUMEN TOTAL'!AI474</f>
        <v>0</v>
      </c>
      <c r="W364" s="70">
        <f>'RESUMEN TOTAL'!AJ474</f>
        <v>0</v>
      </c>
      <c r="X364" s="70">
        <f>'RESUMEN TOTAL'!AK474</f>
        <v>0</v>
      </c>
      <c r="Y364" s="70">
        <f>'RESUMEN TOTAL'!AL474</f>
        <v>0</v>
      </c>
      <c r="Z364" s="70">
        <f>'RESUMEN TOTAL'!AM474</f>
        <v>0</v>
      </c>
      <c r="AA364" s="70">
        <f>'RESUMEN TOTAL'!AN474</f>
        <v>0</v>
      </c>
      <c r="AB364" s="70">
        <f>'RESUMEN TOTAL'!AO474</f>
        <v>0</v>
      </c>
      <c r="AC364" s="70">
        <f>'RESUMEN TOTAL'!AP474</f>
        <v>0</v>
      </c>
      <c r="AD364" s="70">
        <f>'RESUMEN TOTAL'!AQ474</f>
        <v>0</v>
      </c>
      <c r="AE364" s="70">
        <f>'RESUMEN TOTAL'!AR474</f>
        <v>0</v>
      </c>
      <c r="AF364" s="70">
        <f>'RESUMEN TOTAL'!AS474</f>
        <v>0</v>
      </c>
      <c r="AG364" s="70">
        <f>'RESUMEN TOTAL'!AT474</f>
        <v>0</v>
      </c>
      <c r="AH364" s="70">
        <f>'RESUMEN TOTAL'!AU474</f>
        <v>0</v>
      </c>
      <c r="AI364" s="70">
        <f>'RESUMEN TOTAL'!AV474</f>
        <v>0</v>
      </c>
      <c r="AJ364" s="70" t="e">
        <f>'RESUMEN TOTAL'!#REF!</f>
        <v>#REF!</v>
      </c>
    </row>
    <row r="365" spans="1:36" x14ac:dyDescent="0.25">
      <c r="A365" t="str">
        <f>'RESUMEN TOTAL'!F475</f>
        <v>VILLA ANGELICA</v>
      </c>
      <c r="B365" t="str">
        <f>'RESUMEN TOTAL'!G475</f>
        <v>VANG01</v>
      </c>
      <c r="C365" t="str">
        <f>'RESUMEN TOTAL'!I475</f>
        <v>SENZABELLO Y REMDIOS DE ESCALADA</v>
      </c>
      <c r="D365" s="30" t="str">
        <f>'RESUMEN TOTAL'!J475</f>
        <v>Domo</v>
      </c>
      <c r="E365" s="30" t="str">
        <f>'RESUMEN TOTAL'!K475</f>
        <v>PTO A FO</v>
      </c>
      <c r="F365" s="70">
        <f>'RESUMEN TOTAL'!S475</f>
        <v>0</v>
      </c>
      <c r="G365" s="70">
        <f>'RESUMEN TOTAL'!T475</f>
        <v>0</v>
      </c>
      <c r="H365" s="70">
        <f>'RESUMEN TOTAL'!U475</f>
        <v>0</v>
      </c>
      <c r="I365" s="70" t="str">
        <f>'RESUMEN TOTAL'!V475</f>
        <v>APAGADO</v>
      </c>
      <c r="J365" s="70" t="str">
        <f>'RESUMEN TOTAL'!W475</f>
        <v>APAGADO</v>
      </c>
      <c r="K365" s="70">
        <f>'RESUMEN TOTAL'!X475</f>
        <v>0</v>
      </c>
      <c r="L365" s="70">
        <f>'RESUMEN TOTAL'!Y475</f>
        <v>0</v>
      </c>
      <c r="M365" s="70">
        <f>'RESUMEN TOTAL'!Z475</f>
        <v>0</v>
      </c>
      <c r="N365" s="70">
        <f>'RESUMEN TOTAL'!AA475</f>
        <v>0</v>
      </c>
      <c r="O365" s="70">
        <f>'RESUMEN TOTAL'!AB475</f>
        <v>0</v>
      </c>
      <c r="P365" s="70">
        <f>'RESUMEN TOTAL'!AC475</f>
        <v>0</v>
      </c>
      <c r="Q365" s="70">
        <f>'RESUMEN TOTAL'!AD475</f>
        <v>0</v>
      </c>
      <c r="R365" s="70">
        <f>'RESUMEN TOTAL'!AE475</f>
        <v>0</v>
      </c>
      <c r="S365" s="70">
        <f>'RESUMEN TOTAL'!AF475</f>
        <v>0</v>
      </c>
      <c r="T365" s="70">
        <f>'RESUMEN TOTAL'!AG475</f>
        <v>0</v>
      </c>
      <c r="U365" s="70">
        <f>'RESUMEN TOTAL'!AH475</f>
        <v>0</v>
      </c>
      <c r="V365" s="70">
        <f>'RESUMEN TOTAL'!AI475</f>
        <v>0</v>
      </c>
      <c r="W365" s="70">
        <f>'RESUMEN TOTAL'!AJ475</f>
        <v>0</v>
      </c>
      <c r="X365" s="70">
        <f>'RESUMEN TOTAL'!AK475</f>
        <v>0</v>
      </c>
      <c r="Y365" s="70">
        <f>'RESUMEN TOTAL'!AL475</f>
        <v>0</v>
      </c>
      <c r="Z365" s="70">
        <f>'RESUMEN TOTAL'!AM475</f>
        <v>0</v>
      </c>
      <c r="AA365" s="70">
        <f>'RESUMEN TOTAL'!AN475</f>
        <v>0</v>
      </c>
      <c r="AB365" s="70">
        <f>'RESUMEN TOTAL'!AO475</f>
        <v>0</v>
      </c>
      <c r="AC365" s="70">
        <f>'RESUMEN TOTAL'!AP475</f>
        <v>0</v>
      </c>
      <c r="AD365" s="70">
        <f>'RESUMEN TOTAL'!AQ475</f>
        <v>0</v>
      </c>
      <c r="AE365" s="70">
        <f>'RESUMEN TOTAL'!AR475</f>
        <v>0</v>
      </c>
      <c r="AF365" s="70">
        <f>'RESUMEN TOTAL'!AS475</f>
        <v>0</v>
      </c>
      <c r="AG365" s="70">
        <f>'RESUMEN TOTAL'!AT475</f>
        <v>0</v>
      </c>
      <c r="AH365" s="70">
        <f>'RESUMEN TOTAL'!AU475</f>
        <v>0</v>
      </c>
      <c r="AI365" s="70">
        <f>'RESUMEN TOTAL'!AV475</f>
        <v>0</v>
      </c>
      <c r="AJ365" s="70" t="e">
        <f>'RESUMEN TOTAL'!#REF!</f>
        <v>#REF!</v>
      </c>
    </row>
    <row r="366" spans="1:36" x14ac:dyDescent="0.25">
      <c r="A366" t="str">
        <f>'RESUMEN TOTAL'!F476</f>
        <v>VILLA ANGELICA</v>
      </c>
      <c r="B366" t="str">
        <f>'RESUMEN TOTAL'!G476</f>
        <v>VANG02</v>
      </c>
      <c r="C366" t="str">
        <f>'RESUMEN TOTAL'!I476</f>
        <v>Thevenet y Ruta 36</v>
      </c>
      <c r="D366" s="30" t="str">
        <f>'RESUMEN TOTAL'!J476</f>
        <v>Domo</v>
      </c>
      <c r="E366" s="30" t="str">
        <f>'RESUMEN TOTAL'!K476</f>
        <v>Fibra Optica</v>
      </c>
      <c r="F366" s="70">
        <f>'RESUMEN TOTAL'!S476</f>
        <v>0</v>
      </c>
      <c r="G366" s="70">
        <f>'RESUMEN TOTAL'!T476</f>
        <v>0</v>
      </c>
      <c r="H366" s="70">
        <f>'RESUMEN TOTAL'!U476</f>
        <v>0</v>
      </c>
      <c r="I366" s="70">
        <f>'RESUMEN TOTAL'!V476</f>
        <v>0</v>
      </c>
      <c r="J366" s="70">
        <f>'RESUMEN TOTAL'!W476</f>
        <v>0</v>
      </c>
      <c r="K366" s="70">
        <f>'RESUMEN TOTAL'!X476</f>
        <v>0</v>
      </c>
      <c r="L366" s="70">
        <f>'RESUMEN TOTAL'!Y476</f>
        <v>0</v>
      </c>
      <c r="M366" s="70">
        <f>'RESUMEN TOTAL'!Z476</f>
        <v>0</v>
      </c>
      <c r="N366" s="70">
        <f>'RESUMEN TOTAL'!AA476</f>
        <v>0</v>
      </c>
      <c r="O366" s="70">
        <f>'RESUMEN TOTAL'!AB476</f>
        <v>0</v>
      </c>
      <c r="P366" s="70">
        <f>'RESUMEN TOTAL'!AC476</f>
        <v>0</v>
      </c>
      <c r="Q366" s="70">
        <f>'RESUMEN TOTAL'!AD476</f>
        <v>0</v>
      </c>
      <c r="R366" s="70">
        <f>'RESUMEN TOTAL'!AE476</f>
        <v>0</v>
      </c>
      <c r="S366" s="70">
        <f>'RESUMEN TOTAL'!AF476</f>
        <v>0</v>
      </c>
      <c r="T366" s="70">
        <f>'RESUMEN TOTAL'!AG476</f>
        <v>0</v>
      </c>
      <c r="U366" s="70">
        <f>'RESUMEN TOTAL'!AH476</f>
        <v>0</v>
      </c>
      <c r="V366" s="70">
        <f>'RESUMEN TOTAL'!AI476</f>
        <v>0</v>
      </c>
      <c r="W366" s="70">
        <f>'RESUMEN TOTAL'!AJ476</f>
        <v>0</v>
      </c>
      <c r="X366" s="70">
        <f>'RESUMEN TOTAL'!AK476</f>
        <v>0</v>
      </c>
      <c r="Y366" s="70">
        <f>'RESUMEN TOTAL'!AL476</f>
        <v>0</v>
      </c>
      <c r="Z366" s="70">
        <f>'RESUMEN TOTAL'!AM476</f>
        <v>0</v>
      </c>
      <c r="AA366" s="70">
        <f>'RESUMEN TOTAL'!AN476</f>
        <v>0</v>
      </c>
      <c r="AB366" s="70">
        <f>'RESUMEN TOTAL'!AO476</f>
        <v>0</v>
      </c>
      <c r="AC366" s="70">
        <f>'RESUMEN TOTAL'!AP476</f>
        <v>0</v>
      </c>
      <c r="AD366" s="70">
        <f>'RESUMEN TOTAL'!AQ476</f>
        <v>0</v>
      </c>
      <c r="AE366" s="70">
        <f>'RESUMEN TOTAL'!AR476</f>
        <v>0</v>
      </c>
      <c r="AF366" s="70">
        <f>'RESUMEN TOTAL'!AS476</f>
        <v>0</v>
      </c>
      <c r="AG366" s="70">
        <f>'RESUMEN TOTAL'!AT476</f>
        <v>0</v>
      </c>
      <c r="AH366" s="70">
        <f>'RESUMEN TOTAL'!AU476</f>
        <v>0</v>
      </c>
      <c r="AI366" s="70">
        <f>'RESUMEN TOTAL'!AV476</f>
        <v>0</v>
      </c>
      <c r="AJ366" s="70" t="e">
        <f>'RESUMEN TOTAL'!#REF!</f>
        <v>#REF!</v>
      </c>
    </row>
    <row r="367" spans="1:36" x14ac:dyDescent="0.25">
      <c r="A367" t="str">
        <f>'RESUMEN TOTAL'!F477</f>
        <v>VILLA DEL PLATA</v>
      </c>
      <c r="B367" t="str">
        <f>'RESUMEN TOTAL'!G477</f>
        <v>VANG03</v>
      </c>
      <c r="C367" t="str">
        <f>'RESUMEN TOTAL'!I477</f>
        <v>Thevenet 1950</v>
      </c>
      <c r="D367" s="30" t="str">
        <f>'RESUMEN TOTAL'!J477</f>
        <v>Domo</v>
      </c>
      <c r="E367" s="30" t="str">
        <f>'RESUMEN TOTAL'!K477</f>
        <v>Fibra Optica</v>
      </c>
      <c r="F367" s="70">
        <f>'RESUMEN TOTAL'!S477</f>
        <v>0</v>
      </c>
      <c r="G367" s="70">
        <f>'RESUMEN TOTAL'!T477</f>
        <v>0</v>
      </c>
      <c r="H367" s="70">
        <f>'RESUMEN TOTAL'!U477</f>
        <v>0</v>
      </c>
      <c r="I367" s="70">
        <f>'RESUMEN TOTAL'!V477</f>
        <v>0</v>
      </c>
      <c r="J367" s="70">
        <f>'RESUMEN TOTAL'!W477</f>
        <v>0</v>
      </c>
      <c r="K367" s="70">
        <f>'RESUMEN TOTAL'!X477</f>
        <v>0</v>
      </c>
      <c r="L367" s="70">
        <f>'RESUMEN TOTAL'!Y477</f>
        <v>0</v>
      </c>
      <c r="M367" s="70">
        <f>'RESUMEN TOTAL'!Z477</f>
        <v>0</v>
      </c>
      <c r="N367" s="70">
        <f>'RESUMEN TOTAL'!AA477</f>
        <v>0</v>
      </c>
      <c r="O367" s="70">
        <f>'RESUMEN TOTAL'!AB477</f>
        <v>0</v>
      </c>
      <c r="P367" s="70">
        <f>'RESUMEN TOTAL'!AC477</f>
        <v>0</v>
      </c>
      <c r="Q367" s="70">
        <f>'RESUMEN TOTAL'!AD477</f>
        <v>0</v>
      </c>
      <c r="R367" s="70">
        <f>'RESUMEN TOTAL'!AE477</f>
        <v>0</v>
      </c>
      <c r="S367" s="70">
        <f>'RESUMEN TOTAL'!AF477</f>
        <v>0</v>
      </c>
      <c r="T367" s="70">
        <f>'RESUMEN TOTAL'!AG477</f>
        <v>0</v>
      </c>
      <c r="U367" s="70">
        <f>'RESUMEN TOTAL'!AH477</f>
        <v>0</v>
      </c>
      <c r="V367" s="70">
        <f>'RESUMEN TOTAL'!AI477</f>
        <v>0</v>
      </c>
      <c r="W367" s="70">
        <f>'RESUMEN TOTAL'!AJ477</f>
        <v>0</v>
      </c>
      <c r="X367" s="70">
        <f>'RESUMEN TOTAL'!AK477</f>
        <v>0</v>
      </c>
      <c r="Y367" s="70">
        <f>'RESUMEN TOTAL'!AL477</f>
        <v>0</v>
      </c>
      <c r="Z367" s="70">
        <f>'RESUMEN TOTAL'!AM477</f>
        <v>0</v>
      </c>
      <c r="AA367" s="70">
        <f>'RESUMEN TOTAL'!AN477</f>
        <v>0</v>
      </c>
      <c r="AB367" s="70">
        <f>'RESUMEN TOTAL'!AO477</f>
        <v>0</v>
      </c>
      <c r="AC367" s="70">
        <f>'RESUMEN TOTAL'!AP477</f>
        <v>0</v>
      </c>
      <c r="AD367" s="70">
        <f>'RESUMEN TOTAL'!AQ477</f>
        <v>0</v>
      </c>
      <c r="AE367" s="70">
        <f>'RESUMEN TOTAL'!AR477</f>
        <v>0</v>
      </c>
      <c r="AF367" s="70">
        <f>'RESUMEN TOTAL'!AS477</f>
        <v>0</v>
      </c>
      <c r="AG367" s="70">
        <f>'RESUMEN TOTAL'!AT477</f>
        <v>0</v>
      </c>
      <c r="AH367" s="70">
        <f>'RESUMEN TOTAL'!AU477</f>
        <v>0</v>
      </c>
      <c r="AI367" s="70">
        <f>'RESUMEN TOTAL'!AV477</f>
        <v>0</v>
      </c>
      <c r="AJ367" s="70" t="e">
        <f>'RESUMEN TOTAL'!#REF!</f>
        <v>#REF!</v>
      </c>
    </row>
    <row r="368" spans="1:36" x14ac:dyDescent="0.25">
      <c r="A368" t="str">
        <f>'RESUMEN TOTAL'!F478</f>
        <v>VILLA ANGELICA</v>
      </c>
      <c r="B368" t="str">
        <f>'RESUMEN TOTAL'!G478</f>
        <v>VANG04</v>
      </c>
      <c r="C368" t="str">
        <f>'RESUMEN TOTAL'!I478</f>
        <v>Storni e/Thevenet y Calle 158</v>
      </c>
      <c r="D368" s="30" t="str">
        <f>'RESUMEN TOTAL'!J478</f>
        <v>DOMO</v>
      </c>
      <c r="E368" s="30" t="str">
        <f>'RESUMEN TOTAL'!K478</f>
        <v>Fibra Optica</v>
      </c>
      <c r="F368" s="70">
        <f>'RESUMEN TOTAL'!S478</f>
        <v>0</v>
      </c>
      <c r="G368" s="70">
        <f>'RESUMEN TOTAL'!T478</f>
        <v>0</v>
      </c>
      <c r="H368" s="70">
        <f>'RESUMEN TOTAL'!U478</f>
        <v>0</v>
      </c>
      <c r="I368" s="70">
        <f>'RESUMEN TOTAL'!V478</f>
        <v>0</v>
      </c>
      <c r="J368" s="70">
        <f>'RESUMEN TOTAL'!W478</f>
        <v>0</v>
      </c>
      <c r="K368" s="70">
        <f>'RESUMEN TOTAL'!X478</f>
        <v>0</v>
      </c>
      <c r="L368" s="70">
        <f>'RESUMEN TOTAL'!Y478</f>
        <v>0</v>
      </c>
      <c r="M368" s="70">
        <f>'RESUMEN TOTAL'!Z478</f>
        <v>0</v>
      </c>
      <c r="N368" s="70">
        <f>'RESUMEN TOTAL'!AA478</f>
        <v>0</v>
      </c>
      <c r="O368" s="70">
        <f>'RESUMEN TOTAL'!AB478</f>
        <v>0</v>
      </c>
      <c r="P368" s="70">
        <f>'RESUMEN TOTAL'!AC478</f>
        <v>0</v>
      </c>
      <c r="Q368" s="70">
        <f>'RESUMEN TOTAL'!AD478</f>
        <v>0</v>
      </c>
      <c r="R368" s="70">
        <f>'RESUMEN TOTAL'!AE478</f>
        <v>0</v>
      </c>
      <c r="S368" s="70">
        <f>'RESUMEN TOTAL'!AF478</f>
        <v>0</v>
      </c>
      <c r="T368" s="70">
        <f>'RESUMEN TOTAL'!AG478</f>
        <v>0</v>
      </c>
      <c r="U368" s="70">
        <f>'RESUMEN TOTAL'!AH478</f>
        <v>0</v>
      </c>
      <c r="V368" s="70">
        <f>'RESUMEN TOTAL'!AI478</f>
        <v>0</v>
      </c>
      <c r="W368" s="70">
        <f>'RESUMEN TOTAL'!AJ478</f>
        <v>0</v>
      </c>
      <c r="X368" s="70">
        <f>'RESUMEN TOTAL'!AK478</f>
        <v>0</v>
      </c>
      <c r="Y368" s="70">
        <f>'RESUMEN TOTAL'!AL478</f>
        <v>0</v>
      </c>
      <c r="Z368" s="70">
        <f>'RESUMEN TOTAL'!AM478</f>
        <v>0</v>
      </c>
      <c r="AA368" s="70">
        <f>'RESUMEN TOTAL'!AN478</f>
        <v>0</v>
      </c>
      <c r="AB368" s="70">
        <f>'RESUMEN TOTAL'!AO478</f>
        <v>0</v>
      </c>
      <c r="AC368" s="70">
        <f>'RESUMEN TOTAL'!AP478</f>
        <v>0</v>
      </c>
      <c r="AD368" s="70">
        <f>'RESUMEN TOTAL'!AQ478</f>
        <v>0</v>
      </c>
      <c r="AE368" s="70">
        <f>'RESUMEN TOTAL'!AR478</f>
        <v>0</v>
      </c>
      <c r="AF368" s="70">
        <f>'RESUMEN TOTAL'!AS478</f>
        <v>0</v>
      </c>
      <c r="AG368" s="70">
        <f>'RESUMEN TOTAL'!AT478</f>
        <v>0</v>
      </c>
      <c r="AH368" s="70">
        <f>'RESUMEN TOTAL'!AU478</f>
        <v>0</v>
      </c>
      <c r="AI368" s="70">
        <f>'RESUMEN TOTAL'!AV478</f>
        <v>0</v>
      </c>
      <c r="AJ368" s="70" t="e">
        <f>'RESUMEN TOTAL'!#REF!</f>
        <v>#REF!</v>
      </c>
    </row>
    <row r="369" spans="1:36" x14ac:dyDescent="0.25">
      <c r="A369" t="str">
        <f>'RESUMEN TOTAL'!F479</f>
        <v>VILLA ANGELICA</v>
      </c>
      <c r="B369" t="str">
        <f>'RESUMEN TOTAL'!G479</f>
        <v>VANG05</v>
      </c>
      <c r="C369" t="str">
        <f>'RESUMEN TOTAL'!I479</f>
        <v>Storni y Thevenet</v>
      </c>
      <c r="D369" s="30" t="str">
        <f>'RESUMEN TOTAL'!J479</f>
        <v>Domo</v>
      </c>
      <c r="E369" s="30" t="str">
        <f>'RESUMEN TOTAL'!K479</f>
        <v>Fibra Optica</v>
      </c>
      <c r="F369" s="70">
        <f>'RESUMEN TOTAL'!S479</f>
        <v>0</v>
      </c>
      <c r="G369" s="70">
        <f>'RESUMEN TOTAL'!T479</f>
        <v>0</v>
      </c>
      <c r="H369" s="70">
        <f>'RESUMEN TOTAL'!U479</f>
        <v>0</v>
      </c>
      <c r="I369" s="70">
        <f>'RESUMEN TOTAL'!V479</f>
        <v>0</v>
      </c>
      <c r="J369" s="70">
        <f>'RESUMEN TOTAL'!W479</f>
        <v>0</v>
      </c>
      <c r="K369" s="70">
        <f>'RESUMEN TOTAL'!X479</f>
        <v>0</v>
      </c>
      <c r="L369" s="70">
        <f>'RESUMEN TOTAL'!Y479</f>
        <v>0</v>
      </c>
      <c r="M369" s="70">
        <f>'RESUMEN TOTAL'!Z479</f>
        <v>0</v>
      </c>
      <c r="N369" s="70">
        <f>'RESUMEN TOTAL'!AA479</f>
        <v>0</v>
      </c>
      <c r="O369" s="70">
        <f>'RESUMEN TOTAL'!AB479</f>
        <v>0</v>
      </c>
      <c r="P369" s="70">
        <f>'RESUMEN TOTAL'!AC479</f>
        <v>0</v>
      </c>
      <c r="Q369" s="70">
        <f>'RESUMEN TOTAL'!AD479</f>
        <v>0</v>
      </c>
      <c r="R369" s="70">
        <f>'RESUMEN TOTAL'!AE479</f>
        <v>0</v>
      </c>
      <c r="S369" s="70">
        <f>'RESUMEN TOTAL'!AF479</f>
        <v>0</v>
      </c>
      <c r="T369" s="70">
        <f>'RESUMEN TOTAL'!AG479</f>
        <v>0</v>
      </c>
      <c r="U369" s="70">
        <f>'RESUMEN TOTAL'!AH479</f>
        <v>0</v>
      </c>
      <c r="V369" s="70">
        <f>'RESUMEN TOTAL'!AI479</f>
        <v>0</v>
      </c>
      <c r="W369" s="70">
        <f>'RESUMEN TOTAL'!AJ479</f>
        <v>0</v>
      </c>
      <c r="X369" s="70">
        <f>'RESUMEN TOTAL'!AK479</f>
        <v>0</v>
      </c>
      <c r="Y369" s="70">
        <f>'RESUMEN TOTAL'!AL479</f>
        <v>0</v>
      </c>
      <c r="Z369" s="70">
        <f>'RESUMEN TOTAL'!AM479</f>
        <v>0</v>
      </c>
      <c r="AA369" s="70">
        <f>'RESUMEN TOTAL'!AN479</f>
        <v>0</v>
      </c>
      <c r="AB369" s="70">
        <f>'RESUMEN TOTAL'!AO479</f>
        <v>0</v>
      </c>
      <c r="AC369" s="70">
        <f>'RESUMEN TOTAL'!AP479</f>
        <v>0</v>
      </c>
      <c r="AD369" s="70">
        <f>'RESUMEN TOTAL'!AQ479</f>
        <v>0</v>
      </c>
      <c r="AE369" s="70">
        <f>'RESUMEN TOTAL'!AR479</f>
        <v>0</v>
      </c>
      <c r="AF369" s="70">
        <f>'RESUMEN TOTAL'!AS479</f>
        <v>0</v>
      </c>
      <c r="AG369" s="70">
        <f>'RESUMEN TOTAL'!AT479</f>
        <v>0</v>
      </c>
      <c r="AH369" s="70">
        <f>'RESUMEN TOTAL'!AU479</f>
        <v>0</v>
      </c>
      <c r="AI369" s="70">
        <f>'RESUMEN TOTAL'!AV479</f>
        <v>0</v>
      </c>
      <c r="AJ369" s="70" t="e">
        <f>'RESUMEN TOTAL'!#REF!</f>
        <v>#REF!</v>
      </c>
    </row>
    <row r="370" spans="1:36" x14ac:dyDescent="0.25">
      <c r="A370" t="str">
        <f>'RESUMEN TOTAL'!F480</f>
        <v>VILLA ANGELICA</v>
      </c>
      <c r="B370" t="str">
        <f>'RESUMEN TOTAL'!G480</f>
        <v>VANG06</v>
      </c>
      <c r="C370" t="str">
        <f>'RESUMEN TOTAL'!I480</f>
        <v>Arenales e/Thevenet y Calle 158</v>
      </c>
      <c r="D370" s="30" t="str">
        <f>'RESUMEN TOTAL'!J480</f>
        <v>DOMO</v>
      </c>
      <c r="E370" s="30" t="str">
        <f>'RESUMEN TOTAL'!K480</f>
        <v>GPON</v>
      </c>
      <c r="F370" s="70">
        <f>'RESUMEN TOTAL'!S480</f>
        <v>0</v>
      </c>
      <c r="G370" s="70">
        <f>'RESUMEN TOTAL'!T480</f>
        <v>0</v>
      </c>
      <c r="H370" s="70">
        <f>'RESUMEN TOTAL'!U480</f>
        <v>0</v>
      </c>
      <c r="I370" s="70">
        <f>'RESUMEN TOTAL'!V480</f>
        <v>0</v>
      </c>
      <c r="J370" s="70">
        <f>'RESUMEN TOTAL'!W480</f>
        <v>0</v>
      </c>
      <c r="K370" s="70">
        <f>'RESUMEN TOTAL'!X480</f>
        <v>0</v>
      </c>
      <c r="L370" s="70">
        <f>'RESUMEN TOTAL'!Y480</f>
        <v>0</v>
      </c>
      <c r="M370" s="70">
        <f>'RESUMEN TOTAL'!Z480</f>
        <v>0</v>
      </c>
      <c r="N370" s="70">
        <f>'RESUMEN TOTAL'!AA480</f>
        <v>0</v>
      </c>
      <c r="O370" s="70">
        <f>'RESUMEN TOTAL'!AB480</f>
        <v>0</v>
      </c>
      <c r="P370" s="70">
        <f>'RESUMEN TOTAL'!AC480</f>
        <v>0</v>
      </c>
      <c r="Q370" s="70">
        <f>'RESUMEN TOTAL'!AD480</f>
        <v>0</v>
      </c>
      <c r="R370" s="70">
        <f>'RESUMEN TOTAL'!AE480</f>
        <v>0</v>
      </c>
      <c r="S370" s="70">
        <f>'RESUMEN TOTAL'!AF480</f>
        <v>0</v>
      </c>
      <c r="T370" s="70">
        <f>'RESUMEN TOTAL'!AG480</f>
        <v>0</v>
      </c>
      <c r="U370" s="70">
        <f>'RESUMEN TOTAL'!AH480</f>
        <v>0</v>
      </c>
      <c r="V370" s="70">
        <f>'RESUMEN TOTAL'!AI480</f>
        <v>0</v>
      </c>
      <c r="W370" s="70">
        <f>'RESUMEN TOTAL'!AJ480</f>
        <v>0</v>
      </c>
      <c r="X370" s="70">
        <f>'RESUMEN TOTAL'!AK480</f>
        <v>0</v>
      </c>
      <c r="Y370" s="70">
        <f>'RESUMEN TOTAL'!AL480</f>
        <v>0</v>
      </c>
      <c r="Z370" s="70">
        <f>'RESUMEN TOTAL'!AM480</f>
        <v>0</v>
      </c>
      <c r="AA370" s="70">
        <f>'RESUMEN TOTAL'!AN480</f>
        <v>0</v>
      </c>
      <c r="AB370" s="70">
        <f>'RESUMEN TOTAL'!AO480</f>
        <v>0</v>
      </c>
      <c r="AC370" s="70">
        <f>'RESUMEN TOTAL'!AP480</f>
        <v>0</v>
      </c>
      <c r="AD370" s="70">
        <f>'RESUMEN TOTAL'!AQ480</f>
        <v>0</v>
      </c>
      <c r="AE370" s="70">
        <f>'RESUMEN TOTAL'!AR480</f>
        <v>0</v>
      </c>
      <c r="AF370" s="70">
        <f>'RESUMEN TOTAL'!AS480</f>
        <v>0</v>
      </c>
      <c r="AG370" s="70">
        <f>'RESUMEN TOTAL'!AT480</f>
        <v>0</v>
      </c>
      <c r="AH370" s="70">
        <f>'RESUMEN TOTAL'!AU480</f>
        <v>0</v>
      </c>
      <c r="AI370" s="70">
        <f>'RESUMEN TOTAL'!AV480</f>
        <v>0</v>
      </c>
      <c r="AJ370" s="70" t="e">
        <f>'RESUMEN TOTAL'!#REF!</f>
        <v>#REF!</v>
      </c>
    </row>
    <row r="371" spans="1:36" x14ac:dyDescent="0.25">
      <c r="A371" t="str">
        <f>'RESUMEN TOTAL'!F481</f>
        <v>VILLA ANGELICA</v>
      </c>
      <c r="B371" t="str">
        <f>'RESUMEN TOTAL'!G481</f>
        <v>VANG07</v>
      </c>
      <c r="C371" t="str">
        <f>'RESUMEN TOTAL'!I481</f>
        <v>Arenales y Thevenet</v>
      </c>
      <c r="D371" s="30" t="str">
        <f>'RESUMEN TOTAL'!J481</f>
        <v>Domo</v>
      </c>
      <c r="E371" s="30" t="str">
        <f>'RESUMEN TOTAL'!K481</f>
        <v>GPON</v>
      </c>
      <c r="F371" s="70">
        <f>'RESUMEN TOTAL'!S481</f>
        <v>0</v>
      </c>
      <c r="G371" s="70">
        <f>'RESUMEN TOTAL'!T481</f>
        <v>0</v>
      </c>
      <c r="H371" s="70">
        <f>'RESUMEN TOTAL'!U481</f>
        <v>0</v>
      </c>
      <c r="I371" s="70">
        <f>'RESUMEN TOTAL'!V481</f>
        <v>0</v>
      </c>
      <c r="J371" s="70">
        <f>'RESUMEN TOTAL'!W481</f>
        <v>0</v>
      </c>
      <c r="K371" s="70">
        <f>'RESUMEN TOTAL'!X481</f>
        <v>0</v>
      </c>
      <c r="L371" s="70">
        <f>'RESUMEN TOTAL'!Y481</f>
        <v>0</v>
      </c>
      <c r="M371" s="70">
        <f>'RESUMEN TOTAL'!Z481</f>
        <v>0</v>
      </c>
      <c r="N371" s="70">
        <f>'RESUMEN TOTAL'!AA481</f>
        <v>0</v>
      </c>
      <c r="O371" s="70">
        <f>'RESUMEN TOTAL'!AB481</f>
        <v>0</v>
      </c>
      <c r="P371" s="70">
        <f>'RESUMEN TOTAL'!AC481</f>
        <v>0</v>
      </c>
      <c r="Q371" s="70">
        <f>'RESUMEN TOTAL'!AD481</f>
        <v>0</v>
      </c>
      <c r="R371" s="70">
        <f>'RESUMEN TOTAL'!AE481</f>
        <v>0</v>
      </c>
      <c r="S371" s="70">
        <f>'RESUMEN TOTAL'!AF481</f>
        <v>0</v>
      </c>
      <c r="T371" s="70">
        <f>'RESUMEN TOTAL'!AG481</f>
        <v>0</v>
      </c>
      <c r="U371" s="70">
        <f>'RESUMEN TOTAL'!AH481</f>
        <v>0</v>
      </c>
      <c r="V371" s="70">
        <f>'RESUMEN TOTAL'!AI481</f>
        <v>0</v>
      </c>
      <c r="W371" s="70">
        <f>'RESUMEN TOTAL'!AJ481</f>
        <v>0</v>
      </c>
      <c r="X371" s="70">
        <f>'RESUMEN TOTAL'!AK481</f>
        <v>0</v>
      </c>
      <c r="Y371" s="70">
        <f>'RESUMEN TOTAL'!AL481</f>
        <v>0</v>
      </c>
      <c r="Z371" s="70">
        <f>'RESUMEN TOTAL'!AM481</f>
        <v>0</v>
      </c>
      <c r="AA371" s="70">
        <f>'RESUMEN TOTAL'!AN481</f>
        <v>0</v>
      </c>
      <c r="AB371" s="70">
        <f>'RESUMEN TOTAL'!AO481</f>
        <v>0</v>
      </c>
      <c r="AC371" s="70">
        <f>'RESUMEN TOTAL'!AP481</f>
        <v>0</v>
      </c>
      <c r="AD371" s="70">
        <f>'RESUMEN TOTAL'!AQ481</f>
        <v>0</v>
      </c>
      <c r="AE371" s="70">
        <f>'RESUMEN TOTAL'!AR481</f>
        <v>0</v>
      </c>
      <c r="AF371" s="70">
        <f>'RESUMEN TOTAL'!AS481</f>
        <v>0</v>
      </c>
      <c r="AG371" s="70">
        <f>'RESUMEN TOTAL'!AT481</f>
        <v>0</v>
      </c>
      <c r="AH371" s="70">
        <f>'RESUMEN TOTAL'!AU481</f>
        <v>0</v>
      </c>
      <c r="AI371" s="70">
        <f>'RESUMEN TOTAL'!AV481</f>
        <v>0</v>
      </c>
      <c r="AJ371" s="70" t="e">
        <f>'RESUMEN TOTAL'!#REF!</f>
        <v>#REF!</v>
      </c>
    </row>
    <row r="372" spans="1:36" x14ac:dyDescent="0.25">
      <c r="A372" t="str">
        <f>'RESUMEN TOTAL'!F482</f>
        <v>VILLA ANGELICA</v>
      </c>
      <c r="B372" t="str">
        <f>'RESUMEN TOTAL'!G482</f>
        <v>VANG08</v>
      </c>
      <c r="C372" t="str">
        <f>'RESUMEN TOTAL'!I482</f>
        <v>Calle 158 al 2200</v>
      </c>
      <c r="D372" s="30" t="str">
        <f>'RESUMEN TOTAL'!J482</f>
        <v>Domo</v>
      </c>
      <c r="E372" s="30" t="str">
        <f>'RESUMEN TOTAL'!K482</f>
        <v>PTO A FO</v>
      </c>
      <c r="F372" s="70">
        <f>'RESUMEN TOTAL'!S482</f>
        <v>0</v>
      </c>
      <c r="G372" s="70">
        <f>'RESUMEN TOTAL'!T482</f>
        <v>0</v>
      </c>
      <c r="H372" s="70">
        <f>'RESUMEN TOTAL'!U482</f>
        <v>0</v>
      </c>
      <c r="I372" s="70" t="str">
        <f>'RESUMEN TOTAL'!V482</f>
        <v>APAGADO</v>
      </c>
      <c r="J372" s="70">
        <f>'RESUMEN TOTAL'!W482</f>
        <v>0</v>
      </c>
      <c r="K372" s="70">
        <f>'RESUMEN TOTAL'!X482</f>
        <v>0</v>
      </c>
      <c r="L372" s="70">
        <f>'RESUMEN TOTAL'!Y482</f>
        <v>0</v>
      </c>
      <c r="M372" s="70">
        <f>'RESUMEN TOTAL'!Z482</f>
        <v>0</v>
      </c>
      <c r="N372" s="70">
        <f>'RESUMEN TOTAL'!AA482</f>
        <v>0</v>
      </c>
      <c r="O372" s="70">
        <f>'RESUMEN TOTAL'!AB482</f>
        <v>0</v>
      </c>
      <c r="P372" s="70">
        <f>'RESUMEN TOTAL'!AC482</f>
        <v>0</v>
      </c>
      <c r="Q372" s="70">
        <f>'RESUMEN TOTAL'!AD482</f>
        <v>0</v>
      </c>
      <c r="R372" s="70">
        <f>'RESUMEN TOTAL'!AE482</f>
        <v>0</v>
      </c>
      <c r="S372" s="70">
        <f>'RESUMEN TOTAL'!AF482</f>
        <v>0</v>
      </c>
      <c r="T372" s="70">
        <f>'RESUMEN TOTAL'!AG482</f>
        <v>0</v>
      </c>
      <c r="U372" s="70">
        <f>'RESUMEN TOTAL'!AH482</f>
        <v>0</v>
      </c>
      <c r="V372" s="70">
        <f>'RESUMEN TOTAL'!AI482</f>
        <v>0</v>
      </c>
      <c r="W372" s="70">
        <f>'RESUMEN TOTAL'!AJ482</f>
        <v>0</v>
      </c>
      <c r="X372" s="70">
        <f>'RESUMEN TOTAL'!AK482</f>
        <v>0</v>
      </c>
      <c r="Y372" s="70">
        <f>'RESUMEN TOTAL'!AL482</f>
        <v>0</v>
      </c>
      <c r="Z372" s="70">
        <f>'RESUMEN TOTAL'!AM482</f>
        <v>0</v>
      </c>
      <c r="AA372" s="70">
        <f>'RESUMEN TOTAL'!AN482</f>
        <v>0</v>
      </c>
      <c r="AB372" s="70">
        <f>'RESUMEN TOTAL'!AO482</f>
        <v>0</v>
      </c>
      <c r="AC372" s="70">
        <f>'RESUMEN TOTAL'!AP482</f>
        <v>0</v>
      </c>
      <c r="AD372" s="70">
        <f>'RESUMEN TOTAL'!AQ482</f>
        <v>0</v>
      </c>
      <c r="AE372" s="70">
        <f>'RESUMEN TOTAL'!AR483</f>
        <v>0</v>
      </c>
      <c r="AF372" s="70">
        <f>'RESUMEN TOTAL'!AS482</f>
        <v>0</v>
      </c>
      <c r="AG372" s="70">
        <f>'RESUMEN TOTAL'!AT482</f>
        <v>0</v>
      </c>
      <c r="AH372" s="70">
        <f>'RESUMEN TOTAL'!AU482</f>
        <v>0</v>
      </c>
      <c r="AI372" s="70">
        <f>'RESUMEN TOTAL'!AV482</f>
        <v>0</v>
      </c>
      <c r="AJ372" s="70" t="e">
        <f>'RESUMEN TOTAL'!#REF!</f>
        <v>#REF!</v>
      </c>
    </row>
    <row r="373" spans="1:36" x14ac:dyDescent="0.25">
      <c r="A373" t="str">
        <f>'RESUMEN TOTAL'!F483</f>
        <v>VILLA ANGELICA</v>
      </c>
      <c r="B373" t="str">
        <f>'RESUMEN TOTAL'!G483</f>
        <v>VANG10</v>
      </c>
      <c r="C373" t="str">
        <f>'RESUMEN TOTAL'!I483</f>
        <v>Senzabello y Braile</v>
      </c>
      <c r="D373" s="30" t="str">
        <f>'RESUMEN TOTAL'!J483</f>
        <v>fija</v>
      </c>
      <c r="E373" s="30" t="str">
        <f>'RESUMEN TOTAL'!K483</f>
        <v>GPON</v>
      </c>
      <c r="F373" s="70">
        <f>'RESUMEN TOTAL'!S483</f>
        <v>0</v>
      </c>
      <c r="G373" s="70">
        <f>'RESUMEN TOTAL'!T483</f>
        <v>0</v>
      </c>
      <c r="H373" s="70">
        <f>'RESUMEN TOTAL'!U483</f>
        <v>0</v>
      </c>
      <c r="I373" s="70">
        <f>'RESUMEN TOTAL'!V483</f>
        <v>0</v>
      </c>
      <c r="J373" s="70">
        <f>'RESUMEN TOTAL'!W483</f>
        <v>0</v>
      </c>
      <c r="K373" s="70">
        <f>'RESUMEN TOTAL'!X483</f>
        <v>0</v>
      </c>
      <c r="L373" s="70">
        <f>'RESUMEN TOTAL'!Y483</f>
        <v>0</v>
      </c>
      <c r="M373" s="70">
        <f>'RESUMEN TOTAL'!Z483</f>
        <v>0</v>
      </c>
      <c r="N373" s="70">
        <f>'RESUMEN TOTAL'!AA483</f>
        <v>0</v>
      </c>
      <c r="O373" s="70">
        <f>'RESUMEN TOTAL'!AB483</f>
        <v>0</v>
      </c>
      <c r="P373" s="70">
        <f>'RESUMEN TOTAL'!AC483</f>
        <v>0</v>
      </c>
      <c r="Q373" s="70">
        <f>'RESUMEN TOTAL'!AD483</f>
        <v>0</v>
      </c>
      <c r="R373" s="70">
        <f>'RESUMEN TOTAL'!AE483</f>
        <v>0</v>
      </c>
      <c r="S373" s="70">
        <f>'RESUMEN TOTAL'!AF483</f>
        <v>0</v>
      </c>
      <c r="T373" s="70">
        <f>'RESUMEN TOTAL'!AG483</f>
        <v>0</v>
      </c>
      <c r="U373" s="70">
        <f>'RESUMEN TOTAL'!AH483</f>
        <v>0</v>
      </c>
      <c r="V373" s="70">
        <f>'RESUMEN TOTAL'!AI483</f>
        <v>0</v>
      </c>
      <c r="W373" s="70">
        <f>'RESUMEN TOTAL'!AJ483</f>
        <v>0</v>
      </c>
      <c r="X373" s="70">
        <f>'RESUMEN TOTAL'!AK483</f>
        <v>0</v>
      </c>
      <c r="Y373" s="70">
        <f>'RESUMEN TOTAL'!AL483</f>
        <v>0</v>
      </c>
      <c r="Z373" s="70">
        <f>'RESUMEN TOTAL'!AM483</f>
        <v>0</v>
      </c>
      <c r="AA373" s="70">
        <f>'RESUMEN TOTAL'!AN483</f>
        <v>0</v>
      </c>
      <c r="AB373" s="70">
        <f>'RESUMEN TOTAL'!AO483</f>
        <v>0</v>
      </c>
      <c r="AC373" s="70">
        <f>'RESUMEN TOTAL'!AP483</f>
        <v>0</v>
      </c>
      <c r="AD373" s="70">
        <f>'RESUMEN TOTAL'!AQ483</f>
        <v>0</v>
      </c>
      <c r="AE373" s="70" t="e">
        <f>'RESUMEN TOTAL'!#REF!</f>
        <v>#REF!</v>
      </c>
      <c r="AF373" s="70">
        <f>'RESUMEN TOTAL'!AS483</f>
        <v>0</v>
      </c>
      <c r="AG373" s="70">
        <f>'RESUMEN TOTAL'!AT483</f>
        <v>0</v>
      </c>
      <c r="AH373" s="70">
        <f>'RESUMEN TOTAL'!AU483</f>
        <v>0</v>
      </c>
      <c r="AI373" s="70">
        <f>'RESUMEN TOTAL'!AV483</f>
        <v>0</v>
      </c>
      <c r="AJ373" s="70" t="e">
        <f>'RESUMEN TOTAL'!#REF!</f>
        <v>#REF!</v>
      </c>
    </row>
    <row r="374" spans="1:36" x14ac:dyDescent="0.25">
      <c r="A374" t="str">
        <f>'RESUMEN TOTAL'!F484</f>
        <v>VILLA ANGELICA</v>
      </c>
      <c r="B374" t="str">
        <f>'RESUMEN TOTAL'!G484</f>
        <v>VANG11</v>
      </c>
      <c r="C374" t="str">
        <f>'RESUMEN TOTAL'!I484</f>
        <v>Senzabello y Braile</v>
      </c>
      <c r="D374" s="30" t="str">
        <f>'RESUMEN TOTAL'!J484</f>
        <v>fija</v>
      </c>
      <c r="E374" s="30" t="str">
        <f>'RESUMEN TOTAL'!K484</f>
        <v>Fibra Optica</v>
      </c>
      <c r="F374" s="70">
        <f>'RESUMEN TOTAL'!S484</f>
        <v>0</v>
      </c>
      <c r="G374" s="70">
        <f>'RESUMEN TOTAL'!T484</f>
        <v>0</v>
      </c>
      <c r="H374" s="70">
        <f>'RESUMEN TOTAL'!U484</f>
        <v>0</v>
      </c>
      <c r="I374" s="70">
        <f>'RESUMEN TOTAL'!V484</f>
        <v>0</v>
      </c>
      <c r="J374" s="70">
        <f>'RESUMEN TOTAL'!W484</f>
        <v>0</v>
      </c>
      <c r="K374" s="70">
        <f>'RESUMEN TOTAL'!X484</f>
        <v>0</v>
      </c>
      <c r="L374" s="70">
        <f>'RESUMEN TOTAL'!Y484</f>
        <v>0</v>
      </c>
      <c r="M374" s="70">
        <f>'RESUMEN TOTAL'!Z484</f>
        <v>0</v>
      </c>
      <c r="N374" s="70">
        <f>'RESUMEN TOTAL'!AA484</f>
        <v>0</v>
      </c>
      <c r="O374" s="70">
        <f>'RESUMEN TOTAL'!AB484</f>
        <v>0</v>
      </c>
      <c r="P374" s="70">
        <f>'RESUMEN TOTAL'!AC484</f>
        <v>0</v>
      </c>
      <c r="Q374" s="70">
        <f>'RESUMEN TOTAL'!AD484</f>
        <v>0</v>
      </c>
      <c r="R374" s="70">
        <f>'RESUMEN TOTAL'!AE484</f>
        <v>0</v>
      </c>
      <c r="S374" s="70">
        <f>'RESUMEN TOTAL'!AF484</f>
        <v>0</v>
      </c>
      <c r="T374" s="70">
        <f>'RESUMEN TOTAL'!AG484</f>
        <v>0</v>
      </c>
      <c r="U374" s="70">
        <f>'RESUMEN TOTAL'!AH484</f>
        <v>0</v>
      </c>
      <c r="V374" s="70">
        <f>'RESUMEN TOTAL'!AI484</f>
        <v>0</v>
      </c>
      <c r="W374" s="70">
        <f>'RESUMEN TOTAL'!AJ484</f>
        <v>0</v>
      </c>
      <c r="X374" s="70">
        <f>'RESUMEN TOTAL'!AK484</f>
        <v>0</v>
      </c>
      <c r="Y374" s="70">
        <f>'RESUMEN TOTAL'!AL484</f>
        <v>0</v>
      </c>
      <c r="Z374" s="70">
        <f>'RESUMEN TOTAL'!AM484</f>
        <v>0</v>
      </c>
      <c r="AA374" s="70">
        <f>'RESUMEN TOTAL'!AN484</f>
        <v>0</v>
      </c>
      <c r="AB374" s="70">
        <f>'RESUMEN TOTAL'!AO484</f>
        <v>0</v>
      </c>
      <c r="AC374" s="70">
        <f>'RESUMEN TOTAL'!AP484</f>
        <v>0</v>
      </c>
      <c r="AD374" s="70">
        <f>'RESUMEN TOTAL'!AQ484</f>
        <v>0</v>
      </c>
      <c r="AE374" s="70">
        <f>'RESUMEN TOTAL'!AR484</f>
        <v>0</v>
      </c>
      <c r="AF374" s="70">
        <f>'RESUMEN TOTAL'!AS484</f>
        <v>0</v>
      </c>
      <c r="AG374" s="70">
        <f>'RESUMEN TOTAL'!AT484</f>
        <v>0</v>
      </c>
      <c r="AH374" s="70">
        <f>'RESUMEN TOTAL'!AU484</f>
        <v>0</v>
      </c>
      <c r="AI374" s="70">
        <f>'RESUMEN TOTAL'!AV484</f>
        <v>0</v>
      </c>
      <c r="AJ374" s="70" t="e">
        <f>'RESUMEN TOTAL'!#REF!</f>
        <v>#REF!</v>
      </c>
    </row>
    <row r="375" spans="1:36" x14ac:dyDescent="0.25">
      <c r="A375" t="str">
        <f>'RESUMEN TOTAL'!F485</f>
        <v>VILLA ANGELICA</v>
      </c>
      <c r="B375" t="str">
        <f>'RESUMEN TOTAL'!G485</f>
        <v>VANG12</v>
      </c>
      <c r="C375" t="str">
        <f>'RESUMEN TOTAL'!I485</f>
        <v>TAPALQUE E/ BOLIVAR Y GORRITI</v>
      </c>
      <c r="D375" s="30" t="str">
        <f>'RESUMEN TOTAL'!J485</f>
        <v>Fija</v>
      </c>
      <c r="E375" s="30" t="str">
        <f>'RESUMEN TOTAL'!K485</f>
        <v>Fibra Optica</v>
      </c>
      <c r="F375" s="70">
        <f>'RESUMEN TOTAL'!S485</f>
        <v>0</v>
      </c>
      <c r="G375" s="70">
        <f>'RESUMEN TOTAL'!T485</f>
        <v>0</v>
      </c>
      <c r="H375" s="70">
        <f>'RESUMEN TOTAL'!U485</f>
        <v>0</v>
      </c>
      <c r="I375" s="70">
        <f>'RESUMEN TOTAL'!V485</f>
        <v>0</v>
      </c>
      <c r="J375" s="70">
        <f>'RESUMEN TOTAL'!W485</f>
        <v>0</v>
      </c>
      <c r="K375" s="70">
        <f>'RESUMEN TOTAL'!X485</f>
        <v>0</v>
      </c>
      <c r="L375" s="70">
        <f>'RESUMEN TOTAL'!Y485</f>
        <v>0</v>
      </c>
      <c r="M375" s="70">
        <f>'RESUMEN TOTAL'!Z485</f>
        <v>0</v>
      </c>
      <c r="N375" s="70">
        <f>'RESUMEN TOTAL'!AA485</f>
        <v>0</v>
      </c>
      <c r="O375" s="70">
        <f>'RESUMEN TOTAL'!AB485</f>
        <v>0</v>
      </c>
      <c r="P375" s="70">
        <f>'RESUMEN TOTAL'!AC485</f>
        <v>0</v>
      </c>
      <c r="Q375" s="70">
        <f>'RESUMEN TOTAL'!AD485</f>
        <v>0</v>
      </c>
      <c r="R375" s="70">
        <f>'RESUMEN TOTAL'!AE485</f>
        <v>0</v>
      </c>
      <c r="S375" s="70">
        <f>'RESUMEN TOTAL'!AF485</f>
        <v>0</v>
      </c>
      <c r="T375" s="70">
        <f>'RESUMEN TOTAL'!AG485</f>
        <v>0</v>
      </c>
      <c r="U375" s="70">
        <f>'RESUMEN TOTAL'!AH485</f>
        <v>0</v>
      </c>
      <c r="V375" s="70">
        <f>'RESUMEN TOTAL'!AI485</f>
        <v>0</v>
      </c>
      <c r="W375" s="70">
        <f>'RESUMEN TOTAL'!AJ485</f>
        <v>0</v>
      </c>
      <c r="X375" s="70">
        <f>'RESUMEN TOTAL'!AK485</f>
        <v>0</v>
      </c>
      <c r="Y375" s="70">
        <f>'RESUMEN TOTAL'!AL485</f>
        <v>0</v>
      </c>
      <c r="Z375" s="70">
        <f>'RESUMEN TOTAL'!AM485</f>
        <v>0</v>
      </c>
      <c r="AA375" s="70">
        <f>'RESUMEN TOTAL'!AN485</f>
        <v>0</v>
      </c>
      <c r="AB375" s="70">
        <f>'RESUMEN TOTAL'!AO485</f>
        <v>0</v>
      </c>
      <c r="AC375" s="70">
        <f>'RESUMEN TOTAL'!AP485</f>
        <v>0</v>
      </c>
      <c r="AD375" s="70">
        <f>'RESUMEN TOTAL'!AQ485</f>
        <v>0</v>
      </c>
      <c r="AE375" s="70">
        <f>'RESUMEN TOTAL'!AR485</f>
        <v>0</v>
      </c>
      <c r="AF375" s="70">
        <f>'RESUMEN TOTAL'!AS485</f>
        <v>0</v>
      </c>
      <c r="AG375" s="70">
        <f>'RESUMEN TOTAL'!AT485</f>
        <v>0</v>
      </c>
      <c r="AH375" s="70">
        <f>'RESUMEN TOTAL'!AU485</f>
        <v>0</v>
      </c>
      <c r="AI375" s="70">
        <f>'RESUMEN TOTAL'!AV485</f>
        <v>0</v>
      </c>
      <c r="AJ375" s="70" t="e">
        <f>'RESUMEN TOTAL'!#REF!</f>
        <v>#REF!</v>
      </c>
    </row>
    <row r="376" spans="1:36" x14ac:dyDescent="0.25">
      <c r="A376" t="str">
        <f>'RESUMEN TOTAL'!F486</f>
        <v>VILLA ANGELICA</v>
      </c>
      <c r="B376" t="str">
        <f>'RESUMEN TOTAL'!G486</f>
        <v>VANG13</v>
      </c>
      <c r="C376" t="str">
        <f>'RESUMEN TOTAL'!I486</f>
        <v>TAPALQUE E/ BOLIVAR Y GORRITI</v>
      </c>
      <c r="D376" s="30" t="str">
        <f>'RESUMEN TOTAL'!J486</f>
        <v>Fija</v>
      </c>
      <c r="E376" s="30" t="str">
        <f>'RESUMEN TOTAL'!K486</f>
        <v>Fibra Optica</v>
      </c>
      <c r="F376" s="70">
        <f>'RESUMEN TOTAL'!S486</f>
        <v>0</v>
      </c>
      <c r="G376" s="70">
        <f>'RESUMEN TOTAL'!T486</f>
        <v>0</v>
      </c>
      <c r="H376" s="70">
        <f>'RESUMEN TOTAL'!U486</f>
        <v>0</v>
      </c>
      <c r="I376" s="70">
        <f>'RESUMEN TOTAL'!V486</f>
        <v>0</v>
      </c>
      <c r="J376" s="70">
        <f>'RESUMEN TOTAL'!W486</f>
        <v>0</v>
      </c>
      <c r="K376" s="70">
        <f>'RESUMEN TOTAL'!X486</f>
        <v>0</v>
      </c>
      <c r="L376" s="70">
        <f>'RESUMEN TOTAL'!Y486</f>
        <v>0</v>
      </c>
      <c r="M376" s="70">
        <f>'RESUMEN TOTAL'!Z486</f>
        <v>0</v>
      </c>
      <c r="N376" s="70">
        <f>'RESUMEN TOTAL'!AA486</f>
        <v>0</v>
      </c>
      <c r="O376" s="70">
        <f>'RESUMEN TOTAL'!AB486</f>
        <v>0</v>
      </c>
      <c r="P376" s="70">
        <f>'RESUMEN TOTAL'!AC486</f>
        <v>0</v>
      </c>
      <c r="Q376" s="70">
        <f>'RESUMEN TOTAL'!AD486</f>
        <v>0</v>
      </c>
      <c r="R376" s="70">
        <f>'RESUMEN TOTAL'!AE486</f>
        <v>0</v>
      </c>
      <c r="S376" s="70">
        <f>'RESUMEN TOTAL'!AF486</f>
        <v>0</v>
      </c>
      <c r="T376" s="70">
        <f>'RESUMEN TOTAL'!AG486</f>
        <v>0</v>
      </c>
      <c r="U376" s="70">
        <f>'RESUMEN TOTAL'!AH486</f>
        <v>0</v>
      </c>
      <c r="V376" s="70">
        <f>'RESUMEN TOTAL'!AI486</f>
        <v>0</v>
      </c>
      <c r="W376" s="70">
        <f>'RESUMEN TOTAL'!AJ486</f>
        <v>0</v>
      </c>
      <c r="X376" s="70">
        <f>'RESUMEN TOTAL'!AK486</f>
        <v>0</v>
      </c>
      <c r="Y376" s="70">
        <f>'RESUMEN TOTAL'!AL486</f>
        <v>0</v>
      </c>
      <c r="Z376" s="70">
        <f>'RESUMEN TOTAL'!AM486</f>
        <v>0</v>
      </c>
      <c r="AA376" s="70">
        <f>'RESUMEN TOTAL'!AN486</f>
        <v>0</v>
      </c>
      <c r="AB376" s="70">
        <f>'RESUMEN TOTAL'!AO486</f>
        <v>0</v>
      </c>
      <c r="AC376" s="70">
        <f>'RESUMEN TOTAL'!AP486</f>
        <v>0</v>
      </c>
      <c r="AD376" s="70">
        <f>'RESUMEN TOTAL'!AQ486</f>
        <v>0</v>
      </c>
      <c r="AE376" s="70">
        <f>'RESUMEN TOTAL'!AR486</f>
        <v>0</v>
      </c>
      <c r="AF376" s="70">
        <f>'RESUMEN TOTAL'!AS486</f>
        <v>0</v>
      </c>
      <c r="AG376" s="70">
        <f>'RESUMEN TOTAL'!AT486</f>
        <v>0</v>
      </c>
      <c r="AH376" s="70">
        <f>'RESUMEN TOTAL'!AU486</f>
        <v>0</v>
      </c>
      <c r="AI376" s="70">
        <f>'RESUMEN TOTAL'!AV486</f>
        <v>0</v>
      </c>
      <c r="AJ376" s="70" t="e">
        <f>'RESUMEN TOTAL'!#REF!</f>
        <v>#REF!</v>
      </c>
    </row>
    <row r="377" spans="1:36" x14ac:dyDescent="0.25">
      <c r="A377" t="str">
        <f>'RESUMEN TOTAL'!F494</f>
        <v>VILLA ARGENTINA</v>
      </c>
      <c r="B377" t="str">
        <f>'RESUMEN TOTAL'!G494</f>
        <v>VAR 01</v>
      </c>
      <c r="C377" t="str">
        <f>'RESUMEN TOTAL'!I494</f>
        <v>Calle 519 y 546</v>
      </c>
      <c r="D377" s="30" t="str">
        <f>'RESUMEN TOTAL'!J494</f>
        <v>Domo</v>
      </c>
      <c r="E377" s="30" t="str">
        <f>'RESUMEN TOTAL'!K494</f>
        <v>GPON</v>
      </c>
      <c r="F377" s="70">
        <f>'RESUMEN TOTAL'!S494</f>
        <v>0</v>
      </c>
      <c r="G377" s="70">
        <f>'RESUMEN TOTAL'!T494</f>
        <v>0</v>
      </c>
      <c r="H377" s="70">
        <f>'RESUMEN TOTAL'!U494</f>
        <v>0</v>
      </c>
      <c r="I377" s="70">
        <f>'RESUMEN TOTAL'!V494</f>
        <v>0</v>
      </c>
      <c r="J377" s="70">
        <f>'RESUMEN TOTAL'!W494</f>
        <v>0</v>
      </c>
      <c r="K377" s="70">
        <f>'RESUMEN TOTAL'!X494</f>
        <v>0</v>
      </c>
      <c r="L377" s="70">
        <f>'RESUMEN TOTAL'!Y494</f>
        <v>0</v>
      </c>
      <c r="M377" s="70">
        <f>'RESUMEN TOTAL'!Z494</f>
        <v>0</v>
      </c>
      <c r="N377" s="70">
        <f>'RESUMEN TOTAL'!AA494</f>
        <v>0</v>
      </c>
      <c r="O377" s="70">
        <f>'RESUMEN TOTAL'!AB494</f>
        <v>0</v>
      </c>
      <c r="P377" s="70">
        <f>'RESUMEN TOTAL'!AC494</f>
        <v>0</v>
      </c>
      <c r="Q377" s="70">
        <f>'RESUMEN TOTAL'!AD494</f>
        <v>0</v>
      </c>
      <c r="R377" s="70">
        <f>'RESUMEN TOTAL'!AE494</f>
        <v>0</v>
      </c>
      <c r="S377" s="70">
        <f>'RESUMEN TOTAL'!AF494</f>
        <v>0</v>
      </c>
      <c r="T377" s="70">
        <f>'RESUMEN TOTAL'!AG494</f>
        <v>0</v>
      </c>
      <c r="U377" s="70">
        <f>'RESUMEN TOTAL'!AH494</f>
        <v>0</v>
      </c>
      <c r="V377" s="70">
        <f>'RESUMEN TOTAL'!AI494</f>
        <v>0</v>
      </c>
      <c r="W377" s="70">
        <f>'RESUMEN TOTAL'!AJ494</f>
        <v>0</v>
      </c>
      <c r="X377" s="70">
        <f>'RESUMEN TOTAL'!AK494</f>
        <v>0</v>
      </c>
      <c r="Y377" s="70">
        <f>'RESUMEN TOTAL'!AL494</f>
        <v>0</v>
      </c>
      <c r="Z377" s="70">
        <f>'RESUMEN TOTAL'!AM494</f>
        <v>0</v>
      </c>
      <c r="AA377" s="70">
        <f>'RESUMEN TOTAL'!AN494</f>
        <v>0</v>
      </c>
      <c r="AB377" s="70">
        <f>'RESUMEN TOTAL'!AO494</f>
        <v>0</v>
      </c>
      <c r="AC377" s="70">
        <f>'RESUMEN TOTAL'!AP494</f>
        <v>0</v>
      </c>
      <c r="AD377" s="70">
        <f>'RESUMEN TOTAL'!AQ494</f>
        <v>0</v>
      </c>
      <c r="AE377" s="70">
        <f>'RESUMEN TOTAL'!AR494</f>
        <v>0</v>
      </c>
      <c r="AF377" s="70">
        <f>'RESUMEN TOTAL'!AS494</f>
        <v>0</v>
      </c>
      <c r="AG377" s="70">
        <f>'RESUMEN TOTAL'!AT494</f>
        <v>0</v>
      </c>
      <c r="AH377" s="70">
        <f>'RESUMEN TOTAL'!AU494</f>
        <v>0</v>
      </c>
      <c r="AI377" s="70">
        <f>'RESUMEN TOTAL'!AV494</f>
        <v>0</v>
      </c>
      <c r="AJ377" s="70" t="e">
        <f>'RESUMEN TOTAL'!#REF!</f>
        <v>#REF!</v>
      </c>
    </row>
    <row r="378" spans="1:36" x14ac:dyDescent="0.25">
      <c r="A378" t="str">
        <f>'RESUMEN TOTAL'!F495</f>
        <v>VILLA ARGENTINA</v>
      </c>
      <c r="B378" t="str">
        <f>'RESUMEN TOTAL'!G495</f>
        <v>VAR 02</v>
      </c>
      <c r="C378" t="str">
        <f>'RESUMEN TOTAL'!I495</f>
        <v>DIAGONAL LOS TILOS Y 542</v>
      </c>
      <c r="D378" s="30" t="str">
        <f>'RESUMEN TOTAL'!J495</f>
        <v>DOMO</v>
      </c>
      <c r="E378" s="30" t="str">
        <f>'RESUMEN TOTAL'!K495</f>
        <v>Radio</v>
      </c>
      <c r="F378" s="70">
        <f>'RESUMEN TOTAL'!S495</f>
        <v>0</v>
      </c>
      <c r="G378" s="70">
        <f>'RESUMEN TOTAL'!T495</f>
        <v>0</v>
      </c>
      <c r="H378" s="70">
        <f>'RESUMEN TOTAL'!U495</f>
        <v>0</v>
      </c>
      <c r="I378" s="70">
        <f>'RESUMEN TOTAL'!V495</f>
        <v>0</v>
      </c>
      <c r="J378" s="70">
        <f>'RESUMEN TOTAL'!W495</f>
        <v>0</v>
      </c>
      <c r="K378" s="70">
        <f>'RESUMEN TOTAL'!X495</f>
        <v>0</v>
      </c>
      <c r="L378" s="70">
        <f>'RESUMEN TOTAL'!Y495</f>
        <v>0</v>
      </c>
      <c r="M378" s="70">
        <f>'RESUMEN TOTAL'!Z495</f>
        <v>0</v>
      </c>
      <c r="N378" s="70">
        <f>'RESUMEN TOTAL'!AA495</f>
        <v>0</v>
      </c>
      <c r="O378" s="70">
        <f>'RESUMEN TOTAL'!AB495</f>
        <v>0</v>
      </c>
      <c r="P378" s="70">
        <f>'RESUMEN TOTAL'!AC495</f>
        <v>0</v>
      </c>
      <c r="Q378" s="70">
        <f>'RESUMEN TOTAL'!AD495</f>
        <v>0</v>
      </c>
      <c r="R378" s="70">
        <f>'RESUMEN TOTAL'!AE495</f>
        <v>0</v>
      </c>
      <c r="S378" s="70">
        <f>'RESUMEN TOTAL'!AF495</f>
        <v>0</v>
      </c>
      <c r="T378" s="70">
        <f>'RESUMEN TOTAL'!AG495</f>
        <v>0</v>
      </c>
      <c r="U378" s="70">
        <f>'RESUMEN TOTAL'!AH495</f>
        <v>0</v>
      </c>
      <c r="V378" s="70">
        <f>'RESUMEN TOTAL'!AI495</f>
        <v>0</v>
      </c>
      <c r="W378" s="70">
        <f>'RESUMEN TOTAL'!AJ495</f>
        <v>0</v>
      </c>
      <c r="X378" s="70">
        <f>'RESUMEN TOTAL'!AK495</f>
        <v>0</v>
      </c>
      <c r="Y378" s="70">
        <f>'RESUMEN TOTAL'!AL495</f>
        <v>0</v>
      </c>
      <c r="Z378" s="70">
        <f>'RESUMEN TOTAL'!AM495</f>
        <v>0</v>
      </c>
      <c r="AA378" s="70">
        <f>'RESUMEN TOTAL'!AN495</f>
        <v>0</v>
      </c>
      <c r="AB378" s="70">
        <f>'RESUMEN TOTAL'!AO495</f>
        <v>0</v>
      </c>
      <c r="AC378" s="70">
        <f>'RESUMEN TOTAL'!AP495</f>
        <v>0</v>
      </c>
      <c r="AD378" s="70">
        <f>'RESUMEN TOTAL'!AQ495</f>
        <v>0</v>
      </c>
      <c r="AE378" s="70">
        <f>'RESUMEN TOTAL'!AR495</f>
        <v>0</v>
      </c>
      <c r="AF378" s="70">
        <f>'RESUMEN TOTAL'!AS495</f>
        <v>0</v>
      </c>
      <c r="AG378" s="70">
        <f>'RESUMEN TOTAL'!AT495</f>
        <v>0</v>
      </c>
      <c r="AH378" s="70">
        <f>'RESUMEN TOTAL'!AU495</f>
        <v>0</v>
      </c>
      <c r="AI378" s="70">
        <f>'RESUMEN TOTAL'!AV495</f>
        <v>0</v>
      </c>
      <c r="AJ378" s="70" t="e">
        <f>'RESUMEN TOTAL'!#REF!</f>
        <v>#REF!</v>
      </c>
    </row>
    <row r="379" spans="1:36" x14ac:dyDescent="0.25">
      <c r="A379" t="str">
        <f>'RESUMEN TOTAL'!F496</f>
        <v>VILLA ARGENTINA</v>
      </c>
      <c r="B379" t="str">
        <f>'RESUMEN TOTAL'!G496</f>
        <v>VAR 08 (fija 1)</v>
      </c>
      <c r="C379" t="str">
        <f>'RESUMEN TOTAL'!I496</f>
        <v>534 Y 523</v>
      </c>
      <c r="D379" s="30" t="str">
        <f>'RESUMEN TOTAL'!J496</f>
        <v>Fija</v>
      </c>
      <c r="E379" s="30" t="str">
        <f>'RESUMEN TOTAL'!K496</f>
        <v>Fibra Optica</v>
      </c>
      <c r="F379" s="70">
        <f>'RESUMEN TOTAL'!S496</f>
        <v>0</v>
      </c>
      <c r="G379" s="70">
        <f>'RESUMEN TOTAL'!T496</f>
        <v>0</v>
      </c>
      <c r="H379" s="70">
        <f>'RESUMEN TOTAL'!U496</f>
        <v>0</v>
      </c>
      <c r="I379" s="70">
        <f>'RESUMEN TOTAL'!V496</f>
        <v>0</v>
      </c>
      <c r="J379" s="70">
        <f>'RESUMEN TOTAL'!W496</f>
        <v>0</v>
      </c>
      <c r="K379" s="70">
        <f>'RESUMEN TOTAL'!X496</f>
        <v>0</v>
      </c>
      <c r="L379" s="70">
        <f>'RESUMEN TOTAL'!Y496</f>
        <v>0</v>
      </c>
      <c r="M379" s="70">
        <f>'RESUMEN TOTAL'!Z496</f>
        <v>0</v>
      </c>
      <c r="N379" s="70">
        <f>'RESUMEN TOTAL'!AA496</f>
        <v>0</v>
      </c>
      <c r="O379" s="70">
        <f>'RESUMEN TOTAL'!AB496</f>
        <v>0</v>
      </c>
      <c r="P379" s="70">
        <f>'RESUMEN TOTAL'!AC496</f>
        <v>0</v>
      </c>
      <c r="Q379" s="70">
        <f>'RESUMEN TOTAL'!AD496</f>
        <v>0</v>
      </c>
      <c r="R379" s="70">
        <f>'RESUMEN TOTAL'!AE496</f>
        <v>0</v>
      </c>
      <c r="S379" s="70">
        <f>'RESUMEN TOTAL'!AF496</f>
        <v>0</v>
      </c>
      <c r="T379" s="70">
        <f>'RESUMEN TOTAL'!AG496</f>
        <v>0</v>
      </c>
      <c r="U379" s="70">
        <f>'RESUMEN TOTAL'!AH496</f>
        <v>0</v>
      </c>
      <c r="V379" s="70">
        <f>'RESUMEN TOTAL'!AI496</f>
        <v>0</v>
      </c>
      <c r="W379" s="70">
        <f>'RESUMEN TOTAL'!AJ496</f>
        <v>0</v>
      </c>
      <c r="X379" s="70">
        <f>'RESUMEN TOTAL'!AK496</f>
        <v>0</v>
      </c>
      <c r="Y379" s="70">
        <f>'RESUMEN TOTAL'!AL496</f>
        <v>0</v>
      </c>
      <c r="Z379" s="70">
        <f>'RESUMEN TOTAL'!AM496</f>
        <v>0</v>
      </c>
      <c r="AA379" s="70">
        <f>'RESUMEN TOTAL'!AN496</f>
        <v>0</v>
      </c>
      <c r="AB379" s="70">
        <f>'RESUMEN TOTAL'!AO496</f>
        <v>0</v>
      </c>
      <c r="AC379" s="70">
        <f>'RESUMEN TOTAL'!AP496</f>
        <v>0</v>
      </c>
      <c r="AD379" s="70">
        <f>'RESUMEN TOTAL'!AQ496</f>
        <v>0</v>
      </c>
      <c r="AE379" s="70">
        <f>'RESUMEN TOTAL'!AR496</f>
        <v>0</v>
      </c>
      <c r="AF379" s="70">
        <f>'RESUMEN TOTAL'!AS496</f>
        <v>0</v>
      </c>
      <c r="AG379" s="70">
        <f>'RESUMEN TOTAL'!AT496</f>
        <v>0</v>
      </c>
      <c r="AH379" s="70">
        <f>'RESUMEN TOTAL'!AU496</f>
        <v>0</v>
      </c>
      <c r="AI379" s="70">
        <f>'RESUMEN TOTAL'!AV496</f>
        <v>0</v>
      </c>
      <c r="AJ379" s="70" t="e">
        <f>'RESUMEN TOTAL'!#REF!</f>
        <v>#REF!</v>
      </c>
    </row>
    <row r="380" spans="1:36" x14ac:dyDescent="0.25">
      <c r="A380" t="str">
        <f>'RESUMEN TOTAL'!F497</f>
        <v>VILLA ARGENTINA</v>
      </c>
      <c r="B380" t="str">
        <f>'RESUMEN TOTAL'!G497</f>
        <v>VAR 09 (fija 2)</v>
      </c>
      <c r="C380" t="str">
        <f>'RESUMEN TOTAL'!I497</f>
        <v>534 Y 523</v>
      </c>
      <c r="D380" s="30" t="str">
        <f>'RESUMEN TOTAL'!J497</f>
        <v>Fija</v>
      </c>
      <c r="E380" s="30" t="str">
        <f>'RESUMEN TOTAL'!K497</f>
        <v>Fibra Optica</v>
      </c>
      <c r="F380" s="70">
        <f>'RESUMEN TOTAL'!S497</f>
        <v>0</v>
      </c>
      <c r="G380" s="70">
        <f>'RESUMEN TOTAL'!T497</f>
        <v>0</v>
      </c>
      <c r="H380" s="70">
        <f>'RESUMEN TOTAL'!U497</f>
        <v>0</v>
      </c>
      <c r="I380" s="70">
        <f>'RESUMEN TOTAL'!V497</f>
        <v>0</v>
      </c>
      <c r="J380" s="70">
        <f>'RESUMEN TOTAL'!W497</f>
        <v>0</v>
      </c>
      <c r="K380" s="70">
        <f>'RESUMEN TOTAL'!X497</f>
        <v>0</v>
      </c>
      <c r="L380" s="70">
        <f>'RESUMEN TOTAL'!Y497</f>
        <v>0</v>
      </c>
      <c r="M380" s="70">
        <f>'RESUMEN TOTAL'!Z497</f>
        <v>0</v>
      </c>
      <c r="N380" s="70">
        <f>'RESUMEN TOTAL'!AA497</f>
        <v>0</v>
      </c>
      <c r="O380" s="70">
        <f>'RESUMEN TOTAL'!AB497</f>
        <v>0</v>
      </c>
      <c r="P380" s="70">
        <f>'RESUMEN TOTAL'!AC497</f>
        <v>0</v>
      </c>
      <c r="Q380" s="70">
        <f>'RESUMEN TOTAL'!AD497</f>
        <v>0</v>
      </c>
      <c r="R380" s="70">
        <f>'RESUMEN TOTAL'!AE497</f>
        <v>0</v>
      </c>
      <c r="S380" s="70">
        <f>'RESUMEN TOTAL'!AF497</f>
        <v>0</v>
      </c>
      <c r="T380" s="70">
        <f>'RESUMEN TOTAL'!AG497</f>
        <v>0</v>
      </c>
      <c r="U380" s="70">
        <f>'RESUMEN TOTAL'!AH497</f>
        <v>0</v>
      </c>
      <c r="V380" s="70">
        <f>'RESUMEN TOTAL'!AI497</f>
        <v>0</v>
      </c>
      <c r="W380" s="70">
        <f>'RESUMEN TOTAL'!AJ497</f>
        <v>0</v>
      </c>
      <c r="X380" s="70">
        <f>'RESUMEN TOTAL'!AK497</f>
        <v>0</v>
      </c>
      <c r="Y380" s="70">
        <f>'RESUMEN TOTAL'!AL497</f>
        <v>0</v>
      </c>
      <c r="Z380" s="70">
        <f>'RESUMEN TOTAL'!AM497</f>
        <v>0</v>
      </c>
      <c r="AA380" s="70">
        <f>'RESUMEN TOTAL'!AN497</f>
        <v>0</v>
      </c>
      <c r="AB380" s="70">
        <f>'RESUMEN TOTAL'!AO497</f>
        <v>0</v>
      </c>
      <c r="AC380" s="70">
        <f>'RESUMEN TOTAL'!AP497</f>
        <v>0</v>
      </c>
      <c r="AD380" s="70">
        <f>'RESUMEN TOTAL'!AQ497</f>
        <v>0</v>
      </c>
      <c r="AE380" s="70">
        <f>'RESUMEN TOTAL'!AR497</f>
        <v>0</v>
      </c>
      <c r="AF380" s="70">
        <f>'RESUMEN TOTAL'!AS497</f>
        <v>0</v>
      </c>
      <c r="AG380" s="70">
        <f>'RESUMEN TOTAL'!AT497</f>
        <v>0</v>
      </c>
      <c r="AH380" s="70">
        <f>'RESUMEN TOTAL'!AU497</f>
        <v>0</v>
      </c>
      <c r="AI380" s="70">
        <f>'RESUMEN TOTAL'!AV497</f>
        <v>0</v>
      </c>
      <c r="AJ380" s="70" t="e">
        <f>'RESUMEN TOTAL'!#REF!</f>
        <v>#REF!</v>
      </c>
    </row>
    <row r="381" spans="1:36" x14ac:dyDescent="0.25">
      <c r="A381" t="str">
        <f>'RESUMEN TOTAL'!F498</f>
        <v>VILLA ARGENTINA</v>
      </c>
      <c r="B381" t="str">
        <f>'RESUMEN TOTAL'!G498</f>
        <v>VAR03 (fija 1)</v>
      </c>
      <c r="C381" t="str">
        <f>'RESUMEN TOTAL'!I498</f>
        <v>509 y 546</v>
      </c>
      <c r="D381" s="30" t="str">
        <f>'RESUMEN TOTAL'!J498</f>
        <v>Fija</v>
      </c>
      <c r="E381" s="30" t="str">
        <f>'RESUMEN TOTAL'!K498</f>
        <v>Radio</v>
      </c>
      <c r="F381" s="70">
        <f>'RESUMEN TOTAL'!S498</f>
        <v>0</v>
      </c>
      <c r="G381" s="70">
        <f>'RESUMEN TOTAL'!T498</f>
        <v>0</v>
      </c>
      <c r="H381" s="70">
        <f>'RESUMEN TOTAL'!U498</f>
        <v>0</v>
      </c>
      <c r="I381" s="70">
        <f>'RESUMEN TOTAL'!V498</f>
        <v>0</v>
      </c>
      <c r="J381" s="70">
        <f>'RESUMEN TOTAL'!W498</f>
        <v>0</v>
      </c>
      <c r="K381" s="70">
        <f>'RESUMEN TOTAL'!X498</f>
        <v>0</v>
      </c>
      <c r="L381" s="70">
        <f>'RESUMEN TOTAL'!Y498</f>
        <v>0</v>
      </c>
      <c r="M381" s="70">
        <f>'RESUMEN TOTAL'!Z498</f>
        <v>0</v>
      </c>
      <c r="N381" s="70">
        <f>'RESUMEN TOTAL'!AA498</f>
        <v>0</v>
      </c>
      <c r="O381" s="70">
        <f>'RESUMEN TOTAL'!AB498</f>
        <v>0</v>
      </c>
      <c r="P381" s="70">
        <f>'RESUMEN TOTAL'!AC498</f>
        <v>0</v>
      </c>
      <c r="Q381" s="70">
        <f>'RESUMEN TOTAL'!AD498</f>
        <v>0</v>
      </c>
      <c r="R381" s="70">
        <f>'RESUMEN TOTAL'!AE498</f>
        <v>0</v>
      </c>
      <c r="S381" s="70">
        <f>'RESUMEN TOTAL'!AF498</f>
        <v>0</v>
      </c>
      <c r="T381" s="70">
        <f>'RESUMEN TOTAL'!AG498</f>
        <v>0</v>
      </c>
      <c r="U381" s="70">
        <f>'RESUMEN TOTAL'!AH498</f>
        <v>0</v>
      </c>
      <c r="V381" s="70">
        <f>'RESUMEN TOTAL'!AI498</f>
        <v>0</v>
      </c>
      <c r="W381" s="70">
        <f>'RESUMEN TOTAL'!AJ498</f>
        <v>0</v>
      </c>
      <c r="X381" s="70">
        <f>'RESUMEN TOTAL'!AK498</f>
        <v>0</v>
      </c>
      <c r="Y381" s="70">
        <f>'RESUMEN TOTAL'!AL498</f>
        <v>0</v>
      </c>
      <c r="Z381" s="70">
        <f>'RESUMEN TOTAL'!AM498</f>
        <v>0</v>
      </c>
      <c r="AA381" s="70">
        <f>'RESUMEN TOTAL'!AN498</f>
        <v>0</v>
      </c>
      <c r="AB381" s="70">
        <f>'RESUMEN TOTAL'!AO498</f>
        <v>0</v>
      </c>
      <c r="AC381" s="70">
        <f>'RESUMEN TOTAL'!AP498</f>
        <v>0</v>
      </c>
      <c r="AD381" s="70">
        <f>'RESUMEN TOTAL'!AQ498</f>
        <v>0</v>
      </c>
      <c r="AE381" s="70">
        <f>'RESUMEN TOTAL'!AR498</f>
        <v>0</v>
      </c>
      <c r="AF381" s="70">
        <f>'RESUMEN TOTAL'!AS498</f>
        <v>0</v>
      </c>
      <c r="AG381" s="70">
        <f>'RESUMEN TOTAL'!AT498</f>
        <v>0</v>
      </c>
      <c r="AH381" s="70">
        <f>'RESUMEN TOTAL'!AU498</f>
        <v>0</v>
      </c>
      <c r="AI381" s="70">
        <f>'RESUMEN TOTAL'!AV498</f>
        <v>0</v>
      </c>
      <c r="AJ381" s="70" t="e">
        <f>'RESUMEN TOTAL'!#REF!</f>
        <v>#REF!</v>
      </c>
    </row>
    <row r="382" spans="1:36" x14ac:dyDescent="0.25">
      <c r="A382" t="str">
        <f>'RESUMEN TOTAL'!F499</f>
        <v>VILLA ARGENTINA</v>
      </c>
      <c r="B382" t="str">
        <f>'RESUMEN TOTAL'!G499</f>
        <v>VAR04 (fija 2)</v>
      </c>
      <c r="C382" t="str">
        <f>'RESUMEN TOTAL'!I499</f>
        <v>509 y 546</v>
      </c>
      <c r="D382" s="30" t="str">
        <f>'RESUMEN TOTAL'!J499</f>
        <v>Fija</v>
      </c>
      <c r="E382" s="30" t="str">
        <f>'RESUMEN TOTAL'!K499</f>
        <v>Radio</v>
      </c>
      <c r="F382" s="70">
        <f>'RESUMEN TOTAL'!S499</f>
        <v>0</v>
      </c>
      <c r="G382" s="70">
        <f>'RESUMEN TOTAL'!T499</f>
        <v>0</v>
      </c>
      <c r="H382" s="70">
        <f>'RESUMEN TOTAL'!U499</f>
        <v>0</v>
      </c>
      <c r="I382" s="70">
        <f>'RESUMEN TOTAL'!V499</f>
        <v>0</v>
      </c>
      <c r="J382" s="70">
        <f>'RESUMEN TOTAL'!W499</f>
        <v>0</v>
      </c>
      <c r="K382" s="70" t="str">
        <f>'RESUMEN TOTAL'!X499</f>
        <v>APAGADO</v>
      </c>
      <c r="L382" s="70" t="str">
        <f>'RESUMEN TOTAL'!Y499</f>
        <v>APAGADO</v>
      </c>
      <c r="M382" s="70">
        <f>'RESUMEN TOTAL'!Z499</f>
        <v>0</v>
      </c>
      <c r="N382" s="70">
        <f>'RESUMEN TOTAL'!AA499</f>
        <v>0</v>
      </c>
      <c r="O382" s="70">
        <f>'RESUMEN TOTAL'!AB499</f>
        <v>0</v>
      </c>
      <c r="P382" s="70">
        <f>'RESUMEN TOTAL'!AC499</f>
        <v>0</v>
      </c>
      <c r="Q382" s="70">
        <f>'RESUMEN TOTAL'!AD499</f>
        <v>0</v>
      </c>
      <c r="R382" s="70" t="str">
        <f>'RESUMEN TOTAL'!AE499</f>
        <v>APAGADO</v>
      </c>
      <c r="S382" s="70">
        <f>'RESUMEN TOTAL'!AF499</f>
        <v>0</v>
      </c>
      <c r="T382" s="70">
        <f>'RESUMEN TOTAL'!AG499</f>
        <v>0</v>
      </c>
      <c r="U382" s="70">
        <f>'RESUMEN TOTAL'!AH499</f>
        <v>0</v>
      </c>
      <c r="V382" s="70">
        <f>'RESUMEN TOTAL'!AI499</f>
        <v>0</v>
      </c>
      <c r="W382" s="70">
        <f>'RESUMEN TOTAL'!AJ499</f>
        <v>0</v>
      </c>
      <c r="X382" s="70">
        <f>'RESUMEN TOTAL'!AK499</f>
        <v>0</v>
      </c>
      <c r="Y382" s="70">
        <f>'RESUMEN TOTAL'!AL499</f>
        <v>0</v>
      </c>
      <c r="Z382" s="70">
        <f>'RESUMEN TOTAL'!AM499</f>
        <v>0</v>
      </c>
      <c r="AA382" s="70">
        <f>'RESUMEN TOTAL'!AN499</f>
        <v>0</v>
      </c>
      <c r="AB382" s="70">
        <f>'RESUMEN TOTAL'!AO499</f>
        <v>0</v>
      </c>
      <c r="AC382" s="70">
        <f>'RESUMEN TOTAL'!AP499</f>
        <v>0</v>
      </c>
      <c r="AD382" s="70">
        <f>'RESUMEN TOTAL'!AQ499</f>
        <v>0</v>
      </c>
      <c r="AE382" s="70">
        <f>'RESUMEN TOTAL'!AR499</f>
        <v>0</v>
      </c>
      <c r="AF382" s="70">
        <f>'RESUMEN TOTAL'!AS499</f>
        <v>0</v>
      </c>
      <c r="AG382" s="70">
        <f>'RESUMEN TOTAL'!AT499</f>
        <v>0</v>
      </c>
      <c r="AH382" s="70">
        <f>'RESUMEN TOTAL'!AU499</f>
        <v>0</v>
      </c>
      <c r="AI382" s="70">
        <f>'RESUMEN TOTAL'!AV499</f>
        <v>0</v>
      </c>
      <c r="AJ382" s="70" t="e">
        <f>'RESUMEN TOTAL'!#REF!</f>
        <v>#REF!</v>
      </c>
    </row>
    <row r="383" spans="1:36" x14ac:dyDescent="0.25">
      <c r="A383" t="str">
        <f>'RESUMEN TOTAL'!F500</f>
        <v>VILLA ARGENTINA</v>
      </c>
      <c r="B383" t="str">
        <f>'RESUMEN TOTAL'!G500</f>
        <v>VAR05 (fija 1)</v>
      </c>
      <c r="C383" t="str">
        <f>'RESUMEN TOTAL'!I500</f>
        <v>511 E/ 544 Y 546</v>
      </c>
      <c r="D383" s="30" t="str">
        <f>'RESUMEN TOTAL'!J500</f>
        <v>Fija</v>
      </c>
      <c r="E383" s="30" t="str">
        <f>'RESUMEN TOTAL'!K500</f>
        <v>Radio</v>
      </c>
      <c r="F383" s="70">
        <f>'RESUMEN TOTAL'!S500</f>
        <v>0</v>
      </c>
      <c r="G383" s="70">
        <f>'RESUMEN TOTAL'!T500</f>
        <v>0</v>
      </c>
      <c r="H383" s="70">
        <f>'RESUMEN TOTAL'!U500</f>
        <v>0</v>
      </c>
      <c r="I383" s="70">
        <f>'RESUMEN TOTAL'!V500</f>
        <v>0</v>
      </c>
      <c r="J383" s="70">
        <f>'RESUMEN TOTAL'!W500</f>
        <v>0</v>
      </c>
      <c r="K383" s="70">
        <f>'RESUMEN TOTAL'!X500</f>
        <v>0</v>
      </c>
      <c r="L383" s="70">
        <f>'RESUMEN TOTAL'!Y500</f>
        <v>0</v>
      </c>
      <c r="M383" s="70">
        <f>'RESUMEN TOTAL'!Z500</f>
        <v>0</v>
      </c>
      <c r="N383" s="70">
        <f>'RESUMEN TOTAL'!AA500</f>
        <v>0</v>
      </c>
      <c r="O383" s="70">
        <f>'RESUMEN TOTAL'!AB500</f>
        <v>0</v>
      </c>
      <c r="P383" s="70">
        <f>'RESUMEN TOTAL'!AC500</f>
        <v>0</v>
      </c>
      <c r="Q383" s="70">
        <f>'RESUMEN TOTAL'!AD500</f>
        <v>0</v>
      </c>
      <c r="R383" s="70">
        <f>'RESUMEN TOTAL'!AE500</f>
        <v>0</v>
      </c>
      <c r="S383" s="70">
        <f>'RESUMEN TOTAL'!AF500</f>
        <v>0</v>
      </c>
      <c r="T383" s="70">
        <f>'RESUMEN TOTAL'!AG500</f>
        <v>0</v>
      </c>
      <c r="U383" s="70">
        <f>'RESUMEN TOTAL'!AH500</f>
        <v>0</v>
      </c>
      <c r="V383" s="70">
        <f>'RESUMEN TOTAL'!AI500</f>
        <v>0</v>
      </c>
      <c r="W383" s="70">
        <f>'RESUMEN TOTAL'!AJ500</f>
        <v>0</v>
      </c>
      <c r="X383" s="70">
        <f>'RESUMEN TOTAL'!AK500</f>
        <v>0</v>
      </c>
      <c r="Y383" s="70">
        <f>'RESUMEN TOTAL'!AL500</f>
        <v>0</v>
      </c>
      <c r="Z383" s="70">
        <f>'RESUMEN TOTAL'!AM500</f>
        <v>0</v>
      </c>
      <c r="AA383" s="70">
        <f>'RESUMEN TOTAL'!AN500</f>
        <v>0</v>
      </c>
      <c r="AB383" s="70">
        <f>'RESUMEN TOTAL'!AO500</f>
        <v>0</v>
      </c>
      <c r="AC383" s="70">
        <f>'RESUMEN TOTAL'!AP500</f>
        <v>0</v>
      </c>
      <c r="AD383" s="70">
        <f>'RESUMEN TOTAL'!AQ500</f>
        <v>0</v>
      </c>
      <c r="AE383" s="70">
        <f>'RESUMEN TOTAL'!AR500</f>
        <v>0</v>
      </c>
      <c r="AF383" s="70">
        <f>'RESUMEN TOTAL'!AS500</f>
        <v>0</v>
      </c>
      <c r="AG383" s="70">
        <f>'RESUMEN TOTAL'!AT500</f>
        <v>0</v>
      </c>
      <c r="AH383" s="70">
        <f>'RESUMEN TOTAL'!AU500</f>
        <v>0</v>
      </c>
      <c r="AI383" s="70">
        <f>'RESUMEN TOTAL'!AV500</f>
        <v>0</v>
      </c>
      <c r="AJ383" s="70" t="e">
        <f>'RESUMEN TOTAL'!#REF!</f>
        <v>#REF!</v>
      </c>
    </row>
    <row r="384" spans="1:36" x14ac:dyDescent="0.25">
      <c r="A384" t="str">
        <f>'RESUMEN TOTAL'!F501</f>
        <v>VILLA ARGENTINA</v>
      </c>
      <c r="B384" t="str">
        <f>'RESUMEN TOTAL'!G501</f>
        <v>VAR06 (fija 2)</v>
      </c>
      <c r="C384" t="str">
        <f>'RESUMEN TOTAL'!I501</f>
        <v>511 E/ 544 Y 546</v>
      </c>
      <c r="D384" s="30" t="str">
        <f>'RESUMEN TOTAL'!J501</f>
        <v>Fija</v>
      </c>
      <c r="E384" s="30" t="str">
        <f>'RESUMEN TOTAL'!K501</f>
        <v>Radio</v>
      </c>
      <c r="F384" s="70">
        <f>'RESUMEN TOTAL'!S501</f>
        <v>0</v>
      </c>
      <c r="G384" s="70">
        <f>'RESUMEN TOTAL'!T501</f>
        <v>0</v>
      </c>
      <c r="H384" s="70">
        <f>'RESUMEN TOTAL'!U501</f>
        <v>0</v>
      </c>
      <c r="I384" s="70">
        <f>'RESUMEN TOTAL'!V501</f>
        <v>0</v>
      </c>
      <c r="J384" s="70">
        <f>'RESUMEN TOTAL'!W501</f>
        <v>0</v>
      </c>
      <c r="K384" s="70">
        <f>'RESUMEN TOTAL'!X501</f>
        <v>0</v>
      </c>
      <c r="L384" s="70">
        <f>'RESUMEN TOTAL'!Y501</f>
        <v>0</v>
      </c>
      <c r="M384" s="70">
        <f>'RESUMEN TOTAL'!Z501</f>
        <v>0</v>
      </c>
      <c r="N384" s="70">
        <f>'RESUMEN TOTAL'!AA501</f>
        <v>0</v>
      </c>
      <c r="O384" s="70">
        <f>'RESUMEN TOTAL'!AB501</f>
        <v>0</v>
      </c>
      <c r="P384" s="70">
        <f>'RESUMEN TOTAL'!AC501</f>
        <v>0</v>
      </c>
      <c r="Q384" s="70">
        <f>'RESUMEN TOTAL'!AD501</f>
        <v>0</v>
      </c>
      <c r="R384" s="70">
        <f>'RESUMEN TOTAL'!AE501</f>
        <v>0</v>
      </c>
      <c r="S384" s="70">
        <f>'RESUMEN TOTAL'!AF501</f>
        <v>0</v>
      </c>
      <c r="T384" s="70">
        <f>'RESUMEN TOTAL'!AG501</f>
        <v>0</v>
      </c>
      <c r="U384" s="70">
        <f>'RESUMEN TOTAL'!AH501</f>
        <v>0</v>
      </c>
      <c r="V384" s="70">
        <f>'RESUMEN TOTAL'!AI501</f>
        <v>0</v>
      </c>
      <c r="W384" s="70">
        <f>'RESUMEN TOTAL'!AJ501</f>
        <v>0</v>
      </c>
      <c r="X384" s="70">
        <f>'RESUMEN TOTAL'!AK501</f>
        <v>0</v>
      </c>
      <c r="Y384" s="70">
        <f>'RESUMEN TOTAL'!AL501</f>
        <v>0</v>
      </c>
      <c r="Z384" s="70">
        <f>'RESUMEN TOTAL'!AM501</f>
        <v>0</v>
      </c>
      <c r="AA384" s="70">
        <f>'RESUMEN TOTAL'!AN501</f>
        <v>0</v>
      </c>
      <c r="AB384" s="70">
        <f>'RESUMEN TOTAL'!AO501</f>
        <v>0</v>
      </c>
      <c r="AC384" s="70">
        <f>'RESUMEN TOTAL'!AP501</f>
        <v>0</v>
      </c>
      <c r="AD384" s="70">
        <f>'RESUMEN TOTAL'!AQ501</f>
        <v>0</v>
      </c>
      <c r="AE384" s="70">
        <f>'RESUMEN TOTAL'!AR501</f>
        <v>0</v>
      </c>
      <c r="AF384" s="70">
        <f>'RESUMEN TOTAL'!AS501</f>
        <v>0</v>
      </c>
      <c r="AG384" s="70">
        <f>'RESUMEN TOTAL'!AT501</f>
        <v>0</v>
      </c>
      <c r="AH384" s="70">
        <f>'RESUMEN TOTAL'!AU501</f>
        <v>0</v>
      </c>
      <c r="AI384" s="70">
        <f>'RESUMEN TOTAL'!AV501</f>
        <v>0</v>
      </c>
      <c r="AJ384" s="70" t="e">
        <f>'RESUMEN TOTAL'!#REF!</f>
        <v>#REF!</v>
      </c>
    </row>
    <row r="385" spans="1:36" x14ac:dyDescent="0.25">
      <c r="A385" t="str">
        <f>'RESUMEN TOTAL'!F502</f>
        <v>VILLA ARGENTINA</v>
      </c>
      <c r="B385" t="str">
        <f>'RESUMEN TOTAL'!G502</f>
        <v>VAR07</v>
      </c>
      <c r="C385" t="str">
        <f>'RESUMEN TOTAL'!I502</f>
        <v>DIAG. LOS TILOS Y 517</v>
      </c>
      <c r="D385" s="30" t="str">
        <f>'RESUMEN TOTAL'!J502</f>
        <v>DOMO</v>
      </c>
      <c r="E385" s="30" t="str">
        <f>'RESUMEN TOTAL'!K502</f>
        <v>Fibra Optica</v>
      </c>
      <c r="F385" s="70">
        <f>'RESUMEN TOTAL'!S502</f>
        <v>0</v>
      </c>
      <c r="G385" s="70">
        <f>'RESUMEN TOTAL'!T502</f>
        <v>0</v>
      </c>
      <c r="H385" s="70">
        <f>'RESUMEN TOTAL'!U502</f>
        <v>0</v>
      </c>
      <c r="I385" s="70">
        <f>'RESUMEN TOTAL'!V502</f>
        <v>0</v>
      </c>
      <c r="J385" s="70">
        <f>'RESUMEN TOTAL'!W502</f>
        <v>0</v>
      </c>
      <c r="K385" s="70">
        <f>'RESUMEN TOTAL'!X502</f>
        <v>0</v>
      </c>
      <c r="L385" s="70">
        <f>'RESUMEN TOTAL'!Y502</f>
        <v>0</v>
      </c>
      <c r="M385" s="70">
        <f>'RESUMEN TOTAL'!Z502</f>
        <v>0</v>
      </c>
      <c r="N385" s="70">
        <f>'RESUMEN TOTAL'!AA502</f>
        <v>0</v>
      </c>
      <c r="O385" s="70">
        <f>'RESUMEN TOTAL'!AB502</f>
        <v>0</v>
      </c>
      <c r="P385" s="70">
        <f>'RESUMEN TOTAL'!AC502</f>
        <v>0</v>
      </c>
      <c r="Q385" s="70">
        <f>'RESUMEN TOTAL'!AD502</f>
        <v>0</v>
      </c>
      <c r="R385" s="70">
        <f>'RESUMEN TOTAL'!AE502</f>
        <v>0</v>
      </c>
      <c r="S385" s="70">
        <f>'RESUMEN TOTAL'!AF502</f>
        <v>0</v>
      </c>
      <c r="T385" s="70">
        <f>'RESUMEN TOTAL'!AG502</f>
        <v>0</v>
      </c>
      <c r="U385" s="70">
        <f>'RESUMEN TOTAL'!AH502</f>
        <v>0</v>
      </c>
      <c r="V385" s="70">
        <f>'RESUMEN TOTAL'!AI502</f>
        <v>0</v>
      </c>
      <c r="W385" s="70">
        <f>'RESUMEN TOTAL'!AJ502</f>
        <v>0</v>
      </c>
      <c r="X385" s="70">
        <f>'RESUMEN TOTAL'!AK502</f>
        <v>0</v>
      </c>
      <c r="Y385" s="70">
        <f>'RESUMEN TOTAL'!AL502</f>
        <v>0</v>
      </c>
      <c r="Z385" s="70">
        <f>'RESUMEN TOTAL'!AM502</f>
        <v>0</v>
      </c>
      <c r="AA385" s="70">
        <f>'RESUMEN TOTAL'!AN502</f>
        <v>0</v>
      </c>
      <c r="AB385" s="70">
        <f>'RESUMEN TOTAL'!AO502</f>
        <v>0</v>
      </c>
      <c r="AC385" s="70">
        <f>'RESUMEN TOTAL'!AP502</f>
        <v>0</v>
      </c>
      <c r="AD385" s="70">
        <f>'RESUMEN TOTAL'!AQ502</f>
        <v>0</v>
      </c>
      <c r="AE385" s="70">
        <f>'RESUMEN TOTAL'!AR502</f>
        <v>0</v>
      </c>
      <c r="AF385" s="70">
        <f>'RESUMEN TOTAL'!AS502</f>
        <v>0</v>
      </c>
      <c r="AG385" s="70">
        <f>'RESUMEN TOTAL'!AT502</f>
        <v>0</v>
      </c>
      <c r="AH385" s="70">
        <f>'RESUMEN TOTAL'!AU502</f>
        <v>0</v>
      </c>
      <c r="AI385" s="70">
        <f>'RESUMEN TOTAL'!AV502</f>
        <v>0</v>
      </c>
      <c r="AJ385" s="70" t="e">
        <f>'RESUMEN TOTAL'!#REF!</f>
        <v>#REF!</v>
      </c>
    </row>
    <row r="386" spans="1:36" x14ac:dyDescent="0.25">
      <c r="A386" t="str">
        <f>'RESUMEN TOTAL'!F503</f>
        <v>VILLA ARGENTINA</v>
      </c>
      <c r="B386" t="str">
        <f>'RESUMEN TOTAL'!G503</f>
        <v>VAR10 (fija 1)</v>
      </c>
      <c r="C386" t="str">
        <f>'RESUMEN TOTAL'!I503</f>
        <v>532 A Y 523</v>
      </c>
      <c r="D386" s="30" t="str">
        <f>'RESUMEN TOTAL'!J503</f>
        <v>Fija</v>
      </c>
      <c r="E386" s="30" t="str">
        <f>'RESUMEN TOTAL'!K503</f>
        <v>Fibra Optica</v>
      </c>
      <c r="F386" s="70">
        <f>'RESUMEN TOTAL'!S503</f>
        <v>0</v>
      </c>
      <c r="G386" s="70">
        <f>'RESUMEN TOTAL'!T503</f>
        <v>0</v>
      </c>
      <c r="H386" s="70">
        <f>'RESUMEN TOTAL'!U503</f>
        <v>0</v>
      </c>
      <c r="I386" s="70">
        <f>'RESUMEN TOTAL'!V503</f>
        <v>0</v>
      </c>
      <c r="J386" s="70">
        <f>'RESUMEN TOTAL'!W503</f>
        <v>0</v>
      </c>
      <c r="K386" s="70">
        <f>'RESUMEN TOTAL'!X503</f>
        <v>0</v>
      </c>
      <c r="L386" s="70">
        <f>'RESUMEN TOTAL'!Y503</f>
        <v>0</v>
      </c>
      <c r="M386" s="70">
        <f>'RESUMEN TOTAL'!Z503</f>
        <v>0</v>
      </c>
      <c r="N386" s="70">
        <f>'RESUMEN TOTAL'!AA503</f>
        <v>0</v>
      </c>
      <c r="O386" s="70">
        <f>'RESUMEN TOTAL'!AB503</f>
        <v>0</v>
      </c>
      <c r="P386" s="70">
        <f>'RESUMEN TOTAL'!AC503</f>
        <v>0</v>
      </c>
      <c r="Q386" s="70">
        <f>'RESUMEN TOTAL'!AD503</f>
        <v>0</v>
      </c>
      <c r="R386" s="70">
        <f>'RESUMEN TOTAL'!AE503</f>
        <v>0</v>
      </c>
      <c r="S386" s="70">
        <f>'RESUMEN TOTAL'!AF503</f>
        <v>0</v>
      </c>
      <c r="T386" s="70">
        <f>'RESUMEN TOTAL'!AG503</f>
        <v>0</v>
      </c>
      <c r="U386" s="70">
        <f>'RESUMEN TOTAL'!AH503</f>
        <v>0</v>
      </c>
      <c r="V386" s="70">
        <f>'RESUMEN TOTAL'!AI503</f>
        <v>0</v>
      </c>
      <c r="W386" s="70">
        <f>'RESUMEN TOTAL'!AJ503</f>
        <v>0</v>
      </c>
      <c r="X386" s="70">
        <f>'RESUMEN TOTAL'!AK503</f>
        <v>0</v>
      </c>
      <c r="Y386" s="70">
        <f>'RESUMEN TOTAL'!AL503</f>
        <v>0</v>
      </c>
      <c r="Z386" s="70">
        <f>'RESUMEN TOTAL'!AM503</f>
        <v>0</v>
      </c>
      <c r="AA386" s="70">
        <f>'RESUMEN TOTAL'!AN503</f>
        <v>0</v>
      </c>
      <c r="AB386" s="70">
        <f>'RESUMEN TOTAL'!AO503</f>
        <v>0</v>
      </c>
      <c r="AC386" s="70">
        <f>'RESUMEN TOTAL'!AP503</f>
        <v>0</v>
      </c>
      <c r="AD386" s="70">
        <f>'RESUMEN TOTAL'!AQ503</f>
        <v>0</v>
      </c>
      <c r="AE386" s="70">
        <f>'RESUMEN TOTAL'!AR503</f>
        <v>0</v>
      </c>
      <c r="AF386" s="70">
        <f>'RESUMEN TOTAL'!AS503</f>
        <v>0</v>
      </c>
      <c r="AG386" s="70">
        <f>'RESUMEN TOTAL'!AT503</f>
        <v>0</v>
      </c>
      <c r="AH386" s="70">
        <f>'RESUMEN TOTAL'!AU503</f>
        <v>0</v>
      </c>
      <c r="AI386" s="70">
        <f>'RESUMEN TOTAL'!AV503</f>
        <v>0</v>
      </c>
      <c r="AJ386" s="70" t="e">
        <f>'RESUMEN TOTAL'!#REF!</f>
        <v>#REF!</v>
      </c>
    </row>
    <row r="387" spans="1:36" x14ac:dyDescent="0.25">
      <c r="A387" t="str">
        <f>'RESUMEN TOTAL'!F504</f>
        <v>VILLA ARGENTINA</v>
      </c>
      <c r="B387" t="str">
        <f>'RESUMEN TOTAL'!G504</f>
        <v>VAR11 (fija 2)</v>
      </c>
      <c r="C387" t="str">
        <f>'RESUMEN TOTAL'!I504</f>
        <v>532 A Y 523</v>
      </c>
      <c r="D387" s="30" t="str">
        <f>'RESUMEN TOTAL'!J504</f>
        <v>Fija</v>
      </c>
      <c r="E387" s="30" t="str">
        <f>'RESUMEN TOTAL'!K504</f>
        <v>Fibra Optica</v>
      </c>
      <c r="F387" s="70">
        <f>'RESUMEN TOTAL'!S504</f>
        <v>0</v>
      </c>
      <c r="G387" s="70">
        <f>'RESUMEN TOTAL'!T504</f>
        <v>0</v>
      </c>
      <c r="H387" s="70">
        <f>'RESUMEN TOTAL'!U504</f>
        <v>0</v>
      </c>
      <c r="I387" s="70">
        <f>'RESUMEN TOTAL'!V504</f>
        <v>0</v>
      </c>
      <c r="J387" s="70">
        <f>'RESUMEN TOTAL'!W504</f>
        <v>0</v>
      </c>
      <c r="K387" s="70">
        <f>'RESUMEN TOTAL'!X504</f>
        <v>0</v>
      </c>
      <c r="L387" s="70">
        <f>'RESUMEN TOTAL'!Y504</f>
        <v>0</v>
      </c>
      <c r="M387" s="70">
        <f>'RESUMEN TOTAL'!Z504</f>
        <v>0</v>
      </c>
      <c r="N387" s="70">
        <f>'RESUMEN TOTAL'!AA504</f>
        <v>0</v>
      </c>
      <c r="O387" s="70">
        <f>'RESUMEN TOTAL'!AB504</f>
        <v>0</v>
      </c>
      <c r="P387" s="70">
        <f>'RESUMEN TOTAL'!AC504</f>
        <v>0</v>
      </c>
      <c r="Q387" s="70">
        <f>'RESUMEN TOTAL'!AD504</f>
        <v>0</v>
      </c>
      <c r="R387" s="70">
        <f>'RESUMEN TOTAL'!AE504</f>
        <v>0</v>
      </c>
      <c r="S387" s="70">
        <f>'RESUMEN TOTAL'!AF504</f>
        <v>0</v>
      </c>
      <c r="T387" s="70">
        <f>'RESUMEN TOTAL'!AG504</f>
        <v>0</v>
      </c>
      <c r="U387" s="70">
        <f>'RESUMEN TOTAL'!AH504</f>
        <v>0</v>
      </c>
      <c r="V387" s="70">
        <f>'RESUMEN TOTAL'!AI504</f>
        <v>0</v>
      </c>
      <c r="W387" s="70">
        <f>'RESUMEN TOTAL'!AJ504</f>
        <v>0</v>
      </c>
      <c r="X387" s="70">
        <f>'RESUMEN TOTAL'!AK504</f>
        <v>0</v>
      </c>
      <c r="Y387" s="70">
        <f>'RESUMEN TOTAL'!AL504</f>
        <v>0</v>
      </c>
      <c r="Z387" s="70">
        <f>'RESUMEN TOTAL'!AM504</f>
        <v>0</v>
      </c>
      <c r="AA387" s="70">
        <f>'RESUMEN TOTAL'!AN504</f>
        <v>0</v>
      </c>
      <c r="AB387" s="70">
        <f>'RESUMEN TOTAL'!AO504</f>
        <v>0</v>
      </c>
      <c r="AC387" s="70">
        <f>'RESUMEN TOTAL'!AP504</f>
        <v>0</v>
      </c>
      <c r="AD387" s="70">
        <f>'RESUMEN TOTAL'!AQ504</f>
        <v>0</v>
      </c>
      <c r="AE387" s="70">
        <f>'RESUMEN TOTAL'!AR504</f>
        <v>0</v>
      </c>
      <c r="AF387" s="70">
        <f>'RESUMEN TOTAL'!AS504</f>
        <v>0</v>
      </c>
      <c r="AG387" s="70">
        <f>'RESUMEN TOTAL'!AT504</f>
        <v>0</v>
      </c>
      <c r="AH387" s="70">
        <f>'RESUMEN TOTAL'!AU504</f>
        <v>0</v>
      </c>
      <c r="AI387" s="70">
        <f>'RESUMEN TOTAL'!AV504</f>
        <v>0</v>
      </c>
      <c r="AJ387" s="70" t="e">
        <f>'RESUMEN TOTAL'!#REF!</f>
        <v>#REF!</v>
      </c>
    </row>
    <row r="388" spans="1:36" x14ac:dyDescent="0.25">
      <c r="A388" t="str">
        <f>'RESUMEN TOTAL'!F505</f>
        <v>VILLA ARGENTINA</v>
      </c>
      <c r="B388" t="str">
        <f>'RESUMEN TOTAL'!G505</f>
        <v>VAR12</v>
      </c>
      <c r="C388" t="str">
        <f>'RESUMEN TOTAL'!I505</f>
        <v>Calle 527 y Portela</v>
      </c>
      <c r="D388" s="30" t="str">
        <f>'RESUMEN TOTAL'!J505</f>
        <v>Domo</v>
      </c>
      <c r="E388" s="30" t="str">
        <f>'RESUMEN TOTAL'!K505</f>
        <v>Fibra Optica</v>
      </c>
      <c r="F388" s="70">
        <f>'RESUMEN TOTAL'!S505</f>
        <v>0</v>
      </c>
      <c r="G388" s="70">
        <f>'RESUMEN TOTAL'!T505</f>
        <v>0</v>
      </c>
      <c r="H388" s="70">
        <f>'RESUMEN TOTAL'!U505</f>
        <v>0</v>
      </c>
      <c r="I388" s="70">
        <f>'RESUMEN TOTAL'!V505</f>
        <v>0</v>
      </c>
      <c r="J388" s="70">
        <f>'RESUMEN TOTAL'!W505</f>
        <v>0</v>
      </c>
      <c r="K388" s="70">
        <f>'RESUMEN TOTAL'!X505</f>
        <v>0</v>
      </c>
      <c r="L388" s="70">
        <f>'RESUMEN TOTAL'!Y505</f>
        <v>0</v>
      </c>
      <c r="M388" s="70">
        <f>'RESUMEN TOTAL'!Z505</f>
        <v>0</v>
      </c>
      <c r="N388" s="70">
        <f>'RESUMEN TOTAL'!AA505</f>
        <v>0</v>
      </c>
      <c r="O388" s="70">
        <f>'RESUMEN TOTAL'!AB505</f>
        <v>0</v>
      </c>
      <c r="P388" s="70">
        <f>'RESUMEN TOTAL'!AC505</f>
        <v>0</v>
      </c>
      <c r="Q388" s="70">
        <f>'RESUMEN TOTAL'!AD505</f>
        <v>0</v>
      </c>
      <c r="R388" s="70">
        <f>'RESUMEN TOTAL'!AE505</f>
        <v>0</v>
      </c>
      <c r="S388" s="70">
        <f>'RESUMEN TOTAL'!AF505</f>
        <v>0</v>
      </c>
      <c r="T388" s="70">
        <f>'RESUMEN TOTAL'!AG505</f>
        <v>0</v>
      </c>
      <c r="U388" s="70">
        <f>'RESUMEN TOTAL'!AH505</f>
        <v>0</v>
      </c>
      <c r="V388" s="70">
        <f>'RESUMEN TOTAL'!AI505</f>
        <v>0</v>
      </c>
      <c r="W388" s="70">
        <f>'RESUMEN TOTAL'!AJ505</f>
        <v>0</v>
      </c>
      <c r="X388" s="70">
        <f>'RESUMEN TOTAL'!AK505</f>
        <v>0</v>
      </c>
      <c r="Y388" s="70">
        <f>'RESUMEN TOTAL'!AL505</f>
        <v>0</v>
      </c>
      <c r="Z388" s="70">
        <f>'RESUMEN TOTAL'!AM505</f>
        <v>0</v>
      </c>
      <c r="AA388" s="70">
        <f>'RESUMEN TOTAL'!AN505</f>
        <v>0</v>
      </c>
      <c r="AB388" s="70">
        <f>'RESUMEN TOTAL'!AO505</f>
        <v>0</v>
      </c>
      <c r="AC388" s="70">
        <f>'RESUMEN TOTAL'!AP505</f>
        <v>0</v>
      </c>
      <c r="AD388" s="70">
        <f>'RESUMEN TOTAL'!AQ505</f>
        <v>0</v>
      </c>
      <c r="AE388" s="70">
        <f>'RESUMEN TOTAL'!AR505</f>
        <v>0</v>
      </c>
      <c r="AF388" s="70">
        <f>'RESUMEN TOTAL'!AS505</f>
        <v>0</v>
      </c>
      <c r="AG388" s="70">
        <f>'RESUMEN TOTAL'!AT505</f>
        <v>0</v>
      </c>
      <c r="AH388" s="70">
        <f>'RESUMEN TOTAL'!AU505</f>
        <v>0</v>
      </c>
      <c r="AI388" s="70">
        <f>'RESUMEN TOTAL'!AV505</f>
        <v>0</v>
      </c>
      <c r="AJ388" s="70" t="e">
        <f>'RESUMEN TOTAL'!#REF!</f>
        <v>#REF!</v>
      </c>
    </row>
    <row r="389" spans="1:36" x14ac:dyDescent="0.25">
      <c r="A389" t="str">
        <f>'RESUMEN TOTAL'!F506</f>
        <v>VILLA ARGENTINA</v>
      </c>
      <c r="B389" t="str">
        <f>'RESUMEN TOTAL'!G506</f>
        <v>VAR13</v>
      </c>
      <c r="C389" t="str">
        <f>'RESUMEN TOTAL'!I506</f>
        <v>Calle 527 y 532</v>
      </c>
      <c r="D389" s="30" t="str">
        <f>'RESUMEN TOTAL'!J506</f>
        <v>Domo</v>
      </c>
      <c r="E389" s="30" t="str">
        <f>'RESUMEN TOTAL'!K506</f>
        <v>Fibra Optica</v>
      </c>
      <c r="F389" s="70">
        <f>'RESUMEN TOTAL'!S506</f>
        <v>0</v>
      </c>
      <c r="G389" s="70">
        <f>'RESUMEN TOTAL'!T506</f>
        <v>0</v>
      </c>
      <c r="H389" s="70">
        <f>'RESUMEN TOTAL'!U506</f>
        <v>0</v>
      </c>
      <c r="I389" s="70">
        <f>'RESUMEN TOTAL'!V506</f>
        <v>0</v>
      </c>
      <c r="J389" s="70">
        <f>'RESUMEN TOTAL'!W506</f>
        <v>0</v>
      </c>
      <c r="K389" s="70">
        <f>'RESUMEN TOTAL'!X506</f>
        <v>0</v>
      </c>
      <c r="L389" s="70">
        <f>'RESUMEN TOTAL'!Y506</f>
        <v>0</v>
      </c>
      <c r="M389" s="70">
        <f>'RESUMEN TOTAL'!Z506</f>
        <v>0</v>
      </c>
      <c r="N389" s="70">
        <f>'RESUMEN TOTAL'!AA506</f>
        <v>0</v>
      </c>
      <c r="O389" s="70">
        <f>'RESUMEN TOTAL'!AB506</f>
        <v>0</v>
      </c>
      <c r="P389" s="70">
        <f>'RESUMEN TOTAL'!AC506</f>
        <v>0</v>
      </c>
      <c r="Q389" s="70">
        <f>'RESUMEN TOTAL'!AD506</f>
        <v>0</v>
      </c>
      <c r="R389" s="70">
        <f>'RESUMEN TOTAL'!AE506</f>
        <v>0</v>
      </c>
      <c r="S389" s="70">
        <f>'RESUMEN TOTAL'!AF506</f>
        <v>0</v>
      </c>
      <c r="T389" s="70">
        <f>'RESUMEN TOTAL'!AG506</f>
        <v>0</v>
      </c>
      <c r="U389" s="70">
        <f>'RESUMEN TOTAL'!AH506</f>
        <v>0</v>
      </c>
      <c r="V389" s="70">
        <f>'RESUMEN TOTAL'!AI506</f>
        <v>0</v>
      </c>
      <c r="W389" s="70">
        <f>'RESUMEN TOTAL'!AJ506</f>
        <v>0</v>
      </c>
      <c r="X389" s="70">
        <f>'RESUMEN TOTAL'!AK506</f>
        <v>0</v>
      </c>
      <c r="Y389" s="70">
        <f>'RESUMEN TOTAL'!AL506</f>
        <v>0</v>
      </c>
      <c r="Z389" s="70">
        <f>'RESUMEN TOTAL'!AM506</f>
        <v>0</v>
      </c>
      <c r="AA389" s="70">
        <f>'RESUMEN TOTAL'!AN506</f>
        <v>0</v>
      </c>
      <c r="AB389" s="70">
        <f>'RESUMEN TOTAL'!AO506</f>
        <v>0</v>
      </c>
      <c r="AC389" s="70">
        <f>'RESUMEN TOTAL'!AP506</f>
        <v>0</v>
      </c>
      <c r="AD389" s="70">
        <f>'RESUMEN TOTAL'!AQ506</f>
        <v>0</v>
      </c>
      <c r="AE389" s="70">
        <f>'RESUMEN TOTAL'!AR506</f>
        <v>0</v>
      </c>
      <c r="AF389" s="70">
        <f>'RESUMEN TOTAL'!AS506</f>
        <v>0</v>
      </c>
      <c r="AG389" s="70">
        <f>'RESUMEN TOTAL'!AT506</f>
        <v>0</v>
      </c>
      <c r="AH389" s="70">
        <f>'RESUMEN TOTAL'!AU506</f>
        <v>0</v>
      </c>
      <c r="AI389" s="70">
        <f>'RESUMEN TOTAL'!AV506</f>
        <v>0</v>
      </c>
      <c r="AJ389" s="70" t="e">
        <f>'RESUMEN TOTAL'!#REF!</f>
        <v>#REF!</v>
      </c>
    </row>
    <row r="390" spans="1:36" x14ac:dyDescent="0.25">
      <c r="A390" t="str">
        <f>'RESUMEN TOTAL'!F507</f>
        <v>VILLA ARGENTINA</v>
      </c>
      <c r="B390" t="str">
        <f>'RESUMEN TOTAL'!G507</f>
        <v>VAR14</v>
      </c>
      <c r="C390" t="str">
        <f>'RESUMEN TOTAL'!I507</f>
        <v>Pportela y 517</v>
      </c>
      <c r="D390" s="30" t="str">
        <f>'RESUMEN TOTAL'!J507</f>
        <v>Domo</v>
      </c>
      <c r="E390" s="30" t="str">
        <f>'RESUMEN TOTAL'!K507</f>
        <v>Fibra Optica</v>
      </c>
      <c r="F390" s="70">
        <f>'RESUMEN TOTAL'!S507</f>
        <v>0</v>
      </c>
      <c r="G390" s="70">
        <f>'RESUMEN TOTAL'!T507</f>
        <v>0</v>
      </c>
      <c r="H390" s="70">
        <f>'RESUMEN TOTAL'!U507</f>
        <v>0</v>
      </c>
      <c r="I390" s="70">
        <f>'RESUMEN TOTAL'!V507</f>
        <v>0</v>
      </c>
      <c r="J390" s="70">
        <f>'RESUMEN TOTAL'!W507</f>
        <v>0</v>
      </c>
      <c r="K390" s="70">
        <f>'RESUMEN TOTAL'!X507</f>
        <v>0</v>
      </c>
      <c r="L390" s="70">
        <f>'RESUMEN TOTAL'!Y507</f>
        <v>0</v>
      </c>
      <c r="M390" s="70">
        <f>'RESUMEN TOTAL'!Z507</f>
        <v>0</v>
      </c>
      <c r="N390" s="70">
        <f>'RESUMEN TOTAL'!AA507</f>
        <v>0</v>
      </c>
      <c r="O390" s="70">
        <f>'RESUMEN TOTAL'!AB507</f>
        <v>0</v>
      </c>
      <c r="P390" s="70">
        <f>'RESUMEN TOTAL'!AC507</f>
        <v>0</v>
      </c>
      <c r="Q390" s="70">
        <f>'RESUMEN TOTAL'!AD507</f>
        <v>0</v>
      </c>
      <c r="R390" s="70">
        <f>'RESUMEN TOTAL'!AE507</f>
        <v>0</v>
      </c>
      <c r="S390" s="70">
        <f>'RESUMEN TOTAL'!AF507</f>
        <v>0</v>
      </c>
      <c r="T390" s="70">
        <f>'RESUMEN TOTAL'!AG507</f>
        <v>0</v>
      </c>
      <c r="U390" s="70">
        <f>'RESUMEN TOTAL'!AH507</f>
        <v>0</v>
      </c>
      <c r="V390" s="70">
        <f>'RESUMEN TOTAL'!AI507</f>
        <v>0</v>
      </c>
      <c r="W390" s="70">
        <f>'RESUMEN TOTAL'!AJ507</f>
        <v>0</v>
      </c>
      <c r="X390" s="70">
        <f>'RESUMEN TOTAL'!AK507</f>
        <v>0</v>
      </c>
      <c r="Y390" s="70">
        <f>'RESUMEN TOTAL'!AL507</f>
        <v>0</v>
      </c>
      <c r="Z390" s="70">
        <f>'RESUMEN TOTAL'!AM507</f>
        <v>0</v>
      </c>
      <c r="AA390" s="70">
        <f>'RESUMEN TOTAL'!AN507</f>
        <v>0</v>
      </c>
      <c r="AB390" s="70">
        <f>'RESUMEN TOTAL'!AO507</f>
        <v>0</v>
      </c>
      <c r="AC390" s="70">
        <f>'RESUMEN TOTAL'!AP507</f>
        <v>0</v>
      </c>
      <c r="AD390" s="70">
        <f>'RESUMEN TOTAL'!AQ507</f>
        <v>0</v>
      </c>
      <c r="AE390" s="70">
        <f>'RESUMEN TOTAL'!AR507</f>
        <v>0</v>
      </c>
      <c r="AF390" s="70">
        <f>'RESUMEN TOTAL'!AS507</f>
        <v>0</v>
      </c>
      <c r="AG390" s="70">
        <f>'RESUMEN TOTAL'!AT507</f>
        <v>0</v>
      </c>
      <c r="AH390" s="70">
        <f>'RESUMEN TOTAL'!AU507</f>
        <v>0</v>
      </c>
      <c r="AI390" s="70">
        <f>'RESUMEN TOTAL'!AV507</f>
        <v>0</v>
      </c>
      <c r="AJ390" s="70" t="e">
        <f>'RESUMEN TOTAL'!#REF!</f>
        <v>#REF!</v>
      </c>
    </row>
    <row r="391" spans="1:36" x14ac:dyDescent="0.25">
      <c r="A391" t="str">
        <f>'RESUMEN TOTAL'!F508</f>
        <v>VILLA VATTEONE CENTRO</v>
      </c>
      <c r="B391" t="str">
        <f>'RESUMEN TOTAL'!G508</f>
        <v>VAT 10</v>
      </c>
      <c r="C391" t="str">
        <f>'RESUMEN TOTAL'!I508</f>
        <v>Belgrano y Quintana</v>
      </c>
      <c r="D391" s="30" t="str">
        <f>'RESUMEN TOTAL'!J508</f>
        <v>Domo</v>
      </c>
      <c r="E391" s="30" t="str">
        <f>'RESUMEN TOTAL'!K508</f>
        <v>Fibra Optica</v>
      </c>
      <c r="F391" s="70">
        <f>'RESUMEN TOTAL'!S508</f>
        <v>0</v>
      </c>
      <c r="G391" s="70">
        <f>'RESUMEN TOTAL'!T508</f>
        <v>0</v>
      </c>
      <c r="H391" s="70">
        <f>'RESUMEN TOTAL'!U508</f>
        <v>0</v>
      </c>
      <c r="I391" s="70">
        <f>'RESUMEN TOTAL'!V508</f>
        <v>0</v>
      </c>
      <c r="J391" s="70">
        <f>'RESUMEN TOTAL'!W508</f>
        <v>0</v>
      </c>
      <c r="K391" s="70">
        <f>'RESUMEN TOTAL'!X508</f>
        <v>0</v>
      </c>
      <c r="L391" s="70">
        <f>'RESUMEN TOTAL'!Y508</f>
        <v>0</v>
      </c>
      <c r="M391" s="70">
        <f>'RESUMEN TOTAL'!Z508</f>
        <v>0</v>
      </c>
      <c r="N391" s="70">
        <f>'RESUMEN TOTAL'!AA508</f>
        <v>0</v>
      </c>
      <c r="O391" s="70">
        <f>'RESUMEN TOTAL'!AB508</f>
        <v>0</v>
      </c>
      <c r="P391" s="70">
        <f>'RESUMEN TOTAL'!AC508</f>
        <v>0</v>
      </c>
      <c r="Q391" s="70">
        <f>'RESUMEN TOTAL'!AD508</f>
        <v>0</v>
      </c>
      <c r="R391" s="70">
        <f>'RESUMEN TOTAL'!AE508</f>
        <v>0</v>
      </c>
      <c r="S391" s="70">
        <f>'RESUMEN TOTAL'!AF508</f>
        <v>0</v>
      </c>
      <c r="T391" s="70">
        <f>'RESUMEN TOTAL'!AG508</f>
        <v>0</v>
      </c>
      <c r="U391" s="70">
        <f>'RESUMEN TOTAL'!AH508</f>
        <v>0</v>
      </c>
      <c r="V391" s="70">
        <f>'RESUMEN TOTAL'!AI508</f>
        <v>0</v>
      </c>
      <c r="W391" s="70">
        <f>'RESUMEN TOTAL'!AJ508</f>
        <v>0</v>
      </c>
      <c r="X391" s="70">
        <f>'RESUMEN TOTAL'!AK508</f>
        <v>0</v>
      </c>
      <c r="Y391" s="70">
        <f>'RESUMEN TOTAL'!AL508</f>
        <v>0</v>
      </c>
      <c r="Z391" s="70">
        <f>'RESUMEN TOTAL'!AM508</f>
        <v>0</v>
      </c>
      <c r="AA391" s="70">
        <f>'RESUMEN TOTAL'!AN508</f>
        <v>0</v>
      </c>
      <c r="AB391" s="70">
        <f>'RESUMEN TOTAL'!AO508</f>
        <v>0</v>
      </c>
      <c r="AC391" s="70">
        <f>'RESUMEN TOTAL'!AP508</f>
        <v>0</v>
      </c>
      <c r="AD391" s="70">
        <f>'RESUMEN TOTAL'!AQ508</f>
        <v>0</v>
      </c>
      <c r="AE391" s="70">
        <f>'RESUMEN TOTAL'!AR508</f>
        <v>0</v>
      </c>
      <c r="AF391" s="70">
        <f>'RESUMEN TOTAL'!AS508</f>
        <v>0</v>
      </c>
      <c r="AG391" s="70">
        <f>'RESUMEN TOTAL'!AT508</f>
        <v>0</v>
      </c>
      <c r="AH391" s="70">
        <f>'RESUMEN TOTAL'!AU508</f>
        <v>0</v>
      </c>
      <c r="AI391" s="70">
        <f>'RESUMEN TOTAL'!AV508</f>
        <v>0</v>
      </c>
      <c r="AJ391" s="70" t="e">
        <f>'RESUMEN TOTAL'!#REF!</f>
        <v>#REF!</v>
      </c>
    </row>
    <row r="392" spans="1:36" x14ac:dyDescent="0.25">
      <c r="A392" t="str">
        <f>'RESUMEN TOTAL'!F509</f>
        <v>VILLA VATTEONE</v>
      </c>
      <c r="B392" t="str">
        <f>'RESUMEN TOTAL'!G509</f>
        <v>VAT 14</v>
      </c>
      <c r="C392" t="str">
        <f>'RESUMEN TOTAL'!I509</f>
        <v>FLORIDA Y MONTEVIDEO</v>
      </c>
      <c r="D392" s="30" t="str">
        <f>'RESUMEN TOTAL'!J509</f>
        <v>DOMO</v>
      </c>
      <c r="E392" s="30" t="str">
        <f>'RESUMEN TOTAL'!K509</f>
        <v>PTO A GPON</v>
      </c>
      <c r="F392" s="70">
        <f>'RESUMEN TOTAL'!S509</f>
        <v>0</v>
      </c>
      <c r="G392" s="70">
        <f>'RESUMEN TOTAL'!T509</f>
        <v>0</v>
      </c>
      <c r="H392" s="70">
        <f>'RESUMEN TOTAL'!U509</f>
        <v>0</v>
      </c>
      <c r="I392" s="70" t="str">
        <f>'RESUMEN TOTAL'!V509</f>
        <v>APAGADO</v>
      </c>
      <c r="J392" s="70" t="str">
        <f>'RESUMEN TOTAL'!W509</f>
        <v>APAGADO</v>
      </c>
      <c r="K392" s="70" t="str">
        <f>'RESUMEN TOTAL'!X509</f>
        <v>APAGADO</v>
      </c>
      <c r="L392" s="70" t="str">
        <f>'RESUMEN TOTAL'!Y509</f>
        <v>APAGADO</v>
      </c>
      <c r="M392" s="70">
        <f>'RESUMEN TOTAL'!Z509</f>
        <v>0</v>
      </c>
      <c r="N392" s="70">
        <f>'RESUMEN TOTAL'!AA509</f>
        <v>0</v>
      </c>
      <c r="O392" s="70">
        <f>'RESUMEN TOTAL'!AB509</f>
        <v>0</v>
      </c>
      <c r="P392" s="70">
        <f>'RESUMEN TOTAL'!AC509</f>
        <v>0</v>
      </c>
      <c r="Q392" s="70" t="str">
        <f>'RESUMEN TOTAL'!AD509</f>
        <v>APAGADO</v>
      </c>
      <c r="R392" s="70" t="str">
        <f>'RESUMEN TOTAL'!AE509</f>
        <v>APAGADO</v>
      </c>
      <c r="S392" s="70" t="str">
        <f>'RESUMEN TOTAL'!AF509</f>
        <v>APAGADO</v>
      </c>
      <c r="T392" s="70" t="str">
        <f>'RESUMEN TOTAL'!AG509</f>
        <v>APAGADO</v>
      </c>
      <c r="U392" s="70">
        <f>'RESUMEN TOTAL'!AH509</f>
        <v>0</v>
      </c>
      <c r="V392" s="70">
        <f>'RESUMEN TOTAL'!AI509</f>
        <v>0</v>
      </c>
      <c r="W392" s="70" t="str">
        <f>'RESUMEN TOTAL'!AJ509</f>
        <v>APAGADO</v>
      </c>
      <c r="X392" s="70" t="str">
        <f>'RESUMEN TOTAL'!AK509</f>
        <v>APAGADO</v>
      </c>
      <c r="Y392" s="70" t="str">
        <f>'RESUMEN TOTAL'!AL509</f>
        <v>APAGADO</v>
      </c>
      <c r="Z392" s="70" t="str">
        <f>'RESUMEN TOTAL'!AM509</f>
        <v>APAGADO</v>
      </c>
      <c r="AA392" s="70" t="str">
        <f>'RESUMEN TOTAL'!AN509</f>
        <v>APAGADO</v>
      </c>
      <c r="AB392" s="70">
        <f>'RESUMEN TOTAL'!AO509</f>
        <v>0</v>
      </c>
      <c r="AC392" s="70">
        <f>'RESUMEN TOTAL'!AP509</f>
        <v>0</v>
      </c>
      <c r="AD392" s="70">
        <f>'RESUMEN TOTAL'!AQ509</f>
        <v>0</v>
      </c>
      <c r="AE392" s="70">
        <f>'RESUMEN TOTAL'!AR509</f>
        <v>0</v>
      </c>
      <c r="AF392" s="70">
        <f>'RESUMEN TOTAL'!AS509</f>
        <v>0</v>
      </c>
      <c r="AG392" s="70">
        <f>'RESUMEN TOTAL'!AT509</f>
        <v>0</v>
      </c>
      <c r="AH392" s="70">
        <f>'RESUMEN TOTAL'!AU509</f>
        <v>0</v>
      </c>
      <c r="AI392" s="70">
        <f>'RESUMEN TOTAL'!AV509</f>
        <v>0</v>
      </c>
      <c r="AJ392" s="70" t="e">
        <f>'RESUMEN TOTAL'!#REF!</f>
        <v>#REF!</v>
      </c>
    </row>
    <row r="393" spans="1:36" x14ac:dyDescent="0.25">
      <c r="A393" t="str">
        <f>'RESUMEN TOTAL'!F510</f>
        <v>VILLA VATTEONE</v>
      </c>
      <c r="B393" t="str">
        <f>'RESUMEN TOTAL'!G510</f>
        <v>VAT 15</v>
      </c>
      <c r="C393" t="str">
        <f>'RESUMEN TOTAL'!I510</f>
        <v>CORRIENTES Y VICENTE LOPEZ</v>
      </c>
      <c r="D393" s="30" t="str">
        <f>'RESUMEN TOTAL'!J510</f>
        <v>DOMO</v>
      </c>
      <c r="E393" s="30" t="str">
        <f>'RESUMEN TOTAL'!K510</f>
        <v>PTO A FO</v>
      </c>
      <c r="F393" s="70">
        <f>'RESUMEN TOTAL'!S510</f>
        <v>0</v>
      </c>
      <c r="G393" s="70">
        <f>'RESUMEN TOTAL'!T510</f>
        <v>0</v>
      </c>
      <c r="H393" s="70">
        <f>'RESUMEN TOTAL'!U510</f>
        <v>0</v>
      </c>
      <c r="I393" s="70">
        <f>'RESUMEN TOTAL'!V510</f>
        <v>0</v>
      </c>
      <c r="J393" s="70">
        <f>'RESUMEN TOTAL'!W510</f>
        <v>0</v>
      </c>
      <c r="K393" s="70">
        <f>'RESUMEN TOTAL'!X510</f>
        <v>0</v>
      </c>
      <c r="L393" s="70">
        <f>'RESUMEN TOTAL'!Y510</f>
        <v>0</v>
      </c>
      <c r="M393" s="70">
        <f>'RESUMEN TOTAL'!Z510</f>
        <v>0</v>
      </c>
      <c r="N393" s="70">
        <f>'RESUMEN TOTAL'!AA510</f>
        <v>0</v>
      </c>
      <c r="O393" s="70">
        <f>'RESUMEN TOTAL'!AB510</f>
        <v>0</v>
      </c>
      <c r="P393" s="70">
        <f>'RESUMEN TOTAL'!AC510</f>
        <v>0</v>
      </c>
      <c r="Q393" s="70">
        <f>'RESUMEN TOTAL'!AD510</f>
        <v>0</v>
      </c>
      <c r="R393" s="70">
        <f>'RESUMEN TOTAL'!AE510</f>
        <v>0</v>
      </c>
      <c r="S393" s="70">
        <f>'RESUMEN TOTAL'!AF510</f>
        <v>0</v>
      </c>
      <c r="T393" s="70">
        <f>'RESUMEN TOTAL'!AG510</f>
        <v>0</v>
      </c>
      <c r="U393" s="70">
        <f>'RESUMEN TOTAL'!AH510</f>
        <v>0</v>
      </c>
      <c r="V393" s="70">
        <f>'RESUMEN TOTAL'!AI510</f>
        <v>0</v>
      </c>
      <c r="W393" s="70">
        <f>'RESUMEN TOTAL'!AJ510</f>
        <v>0</v>
      </c>
      <c r="X393" s="70">
        <f>'RESUMEN TOTAL'!AK510</f>
        <v>0</v>
      </c>
      <c r="Y393" s="70">
        <f>'RESUMEN TOTAL'!AL510</f>
        <v>0</v>
      </c>
      <c r="Z393" s="70">
        <f>'RESUMEN TOTAL'!AM510</f>
        <v>0</v>
      </c>
      <c r="AA393" s="70">
        <f>'RESUMEN TOTAL'!AN510</f>
        <v>0</v>
      </c>
      <c r="AB393" s="70">
        <f>'RESUMEN TOTAL'!AO510</f>
        <v>0</v>
      </c>
      <c r="AC393" s="70">
        <f>'RESUMEN TOTAL'!AP510</f>
        <v>0</v>
      </c>
      <c r="AD393" s="70">
        <f>'RESUMEN TOTAL'!AQ510</f>
        <v>0</v>
      </c>
      <c r="AE393" s="70">
        <f>'RESUMEN TOTAL'!AR510</f>
        <v>0</v>
      </c>
      <c r="AF393" s="70">
        <f>'RESUMEN TOTAL'!AS510</f>
        <v>0</v>
      </c>
      <c r="AG393" s="70">
        <f>'RESUMEN TOTAL'!AT510</f>
        <v>0</v>
      </c>
      <c r="AH393" s="70">
        <f>'RESUMEN TOTAL'!AU510</f>
        <v>0</v>
      </c>
      <c r="AI393" s="70">
        <f>'RESUMEN TOTAL'!AV510</f>
        <v>0</v>
      </c>
      <c r="AJ393" s="70" t="e">
        <f>'RESUMEN TOTAL'!#REF!</f>
        <v>#REF!</v>
      </c>
    </row>
    <row r="394" spans="1:36" x14ac:dyDescent="0.25">
      <c r="A394" t="str">
        <f>'RESUMEN TOTAL'!F511</f>
        <v>VILLA VATTEONE</v>
      </c>
      <c r="B394" t="str">
        <f>'RESUMEN TOTAL'!G511</f>
        <v>VAT 16</v>
      </c>
      <c r="C394" t="str">
        <f>'RESUMEN TOTAL'!I511</f>
        <v>MONTEVIDEO Y CHACO</v>
      </c>
      <c r="D394" s="30" t="str">
        <f>'RESUMEN TOTAL'!J511</f>
        <v>DOMO</v>
      </c>
      <c r="E394" s="30" t="str">
        <f>'RESUMEN TOTAL'!K511</f>
        <v>PTO A FO</v>
      </c>
      <c r="F394" s="70">
        <f>'RESUMEN TOTAL'!S511</f>
        <v>0</v>
      </c>
      <c r="G394" s="70">
        <f>'RESUMEN TOTAL'!T511</f>
        <v>0</v>
      </c>
      <c r="H394" s="70">
        <f>'RESUMEN TOTAL'!U511</f>
        <v>0</v>
      </c>
      <c r="I394" s="70">
        <f>'RESUMEN TOTAL'!V511</f>
        <v>0</v>
      </c>
      <c r="J394" s="70">
        <f>'RESUMEN TOTAL'!W511</f>
        <v>0</v>
      </c>
      <c r="K394" s="70">
        <f>'RESUMEN TOTAL'!X511</f>
        <v>0</v>
      </c>
      <c r="L394" s="70">
        <f>'RESUMEN TOTAL'!Y511</f>
        <v>0</v>
      </c>
      <c r="M394" s="70">
        <f>'RESUMEN TOTAL'!Z511</f>
        <v>0</v>
      </c>
      <c r="N394" s="70">
        <f>'RESUMEN TOTAL'!AA511</f>
        <v>0</v>
      </c>
      <c r="O394" s="70">
        <f>'RESUMEN TOTAL'!AB511</f>
        <v>0</v>
      </c>
      <c r="P394" s="70">
        <f>'RESUMEN TOTAL'!AC511</f>
        <v>0</v>
      </c>
      <c r="Q394" s="70">
        <f>'RESUMEN TOTAL'!AD511</f>
        <v>0</v>
      </c>
      <c r="R394" s="70">
        <f>'RESUMEN TOTAL'!AE511</f>
        <v>0</v>
      </c>
      <c r="S394" s="70">
        <f>'RESUMEN TOTAL'!AF511</f>
        <v>0</v>
      </c>
      <c r="T394" s="70">
        <f>'RESUMEN TOTAL'!AG511</f>
        <v>0</v>
      </c>
      <c r="U394" s="70">
        <f>'RESUMEN TOTAL'!AH511</f>
        <v>0</v>
      </c>
      <c r="V394" s="70">
        <f>'RESUMEN TOTAL'!AI511</f>
        <v>0</v>
      </c>
      <c r="W394" s="70">
        <f>'RESUMEN TOTAL'!AJ511</f>
        <v>0</v>
      </c>
      <c r="X394" s="70">
        <f>'RESUMEN TOTAL'!AK511</f>
        <v>0</v>
      </c>
      <c r="Y394" s="70">
        <f>'RESUMEN TOTAL'!AL511</f>
        <v>0</v>
      </c>
      <c r="Z394" s="70">
        <f>'RESUMEN TOTAL'!AM511</f>
        <v>0</v>
      </c>
      <c r="AA394" s="70">
        <f>'RESUMEN TOTAL'!AN511</f>
        <v>0</v>
      </c>
      <c r="AB394" s="70">
        <f>'RESUMEN TOTAL'!AO511</f>
        <v>0</v>
      </c>
      <c r="AC394" s="70">
        <f>'RESUMEN TOTAL'!AP511</f>
        <v>0</v>
      </c>
      <c r="AD394" s="70">
        <f>'RESUMEN TOTAL'!AQ511</f>
        <v>0</v>
      </c>
      <c r="AE394" s="70">
        <f>'RESUMEN TOTAL'!AR511</f>
        <v>0</v>
      </c>
      <c r="AF394" s="70">
        <f>'RESUMEN TOTAL'!AS511</f>
        <v>0</v>
      </c>
      <c r="AG394" s="70">
        <f>'RESUMEN TOTAL'!AT511</f>
        <v>0</v>
      </c>
      <c r="AH394" s="70">
        <f>'RESUMEN TOTAL'!AU511</f>
        <v>0</v>
      </c>
      <c r="AI394" s="70">
        <f>'RESUMEN TOTAL'!AV511</f>
        <v>0</v>
      </c>
      <c r="AJ394" s="70" t="e">
        <f>'RESUMEN TOTAL'!#REF!</f>
        <v>#REF!</v>
      </c>
    </row>
    <row r="395" spans="1:36" x14ac:dyDescent="0.25">
      <c r="A395" t="str">
        <f>'RESUMEN TOTAL'!F512</f>
        <v>VILLA VATTEONE</v>
      </c>
      <c r="B395" t="str">
        <f>'RESUMEN TOTAL'!G512</f>
        <v>VAT 17</v>
      </c>
      <c r="C395" t="str">
        <f>'RESUMEN TOTAL'!I512</f>
        <v>CHAÑAR Y URUGUAY</v>
      </c>
      <c r="D395" s="30" t="str">
        <f>'RESUMEN TOTAL'!J512</f>
        <v>DOMO</v>
      </c>
      <c r="E395" s="30" t="str">
        <f>'RESUMEN TOTAL'!K512</f>
        <v>PTO A FO</v>
      </c>
      <c r="F395" s="70">
        <f>'RESUMEN TOTAL'!S512</f>
        <v>0</v>
      </c>
      <c r="G395" s="70">
        <f>'RESUMEN TOTAL'!T512</f>
        <v>0</v>
      </c>
      <c r="H395" s="70">
        <f>'RESUMEN TOTAL'!U512</f>
        <v>0</v>
      </c>
      <c r="I395" s="70" t="str">
        <f>'RESUMEN TOTAL'!V512</f>
        <v>APAGADO</v>
      </c>
      <c r="J395" s="70" t="str">
        <f>'RESUMEN TOTAL'!W512</f>
        <v>APAGADO</v>
      </c>
      <c r="K395" s="70" t="str">
        <f>'RESUMEN TOTAL'!X512</f>
        <v>APAGADO</v>
      </c>
      <c r="L395" s="70" t="str">
        <f>'RESUMEN TOTAL'!Y512</f>
        <v>APAGADO</v>
      </c>
      <c r="M395" s="70">
        <f>'RESUMEN TOTAL'!Z512</f>
        <v>0</v>
      </c>
      <c r="N395" s="70">
        <f>'RESUMEN TOTAL'!AA512</f>
        <v>0</v>
      </c>
      <c r="O395" s="70">
        <f>'RESUMEN TOTAL'!AB512</f>
        <v>0</v>
      </c>
      <c r="P395" s="70">
        <f>'RESUMEN TOTAL'!AC512</f>
        <v>0</v>
      </c>
      <c r="Q395" s="70" t="str">
        <f>'RESUMEN TOTAL'!AD512</f>
        <v>APAGADO</v>
      </c>
      <c r="R395" s="70" t="str">
        <f>'RESUMEN TOTAL'!AE512</f>
        <v>APAGADO</v>
      </c>
      <c r="S395" s="70" t="str">
        <f>'RESUMEN TOTAL'!AF512</f>
        <v>APAGADO</v>
      </c>
      <c r="T395" s="70" t="str">
        <f>'RESUMEN TOTAL'!AG512</f>
        <v>APAGADO</v>
      </c>
      <c r="U395" s="70">
        <f>'RESUMEN TOTAL'!AH512</f>
        <v>0</v>
      </c>
      <c r="V395" s="70">
        <f>'RESUMEN TOTAL'!AI512</f>
        <v>0</v>
      </c>
      <c r="W395" s="70" t="str">
        <f>'RESUMEN TOTAL'!AJ512</f>
        <v>APAGADO</v>
      </c>
      <c r="X395" s="70" t="str">
        <f>'RESUMEN TOTAL'!AK512</f>
        <v>APAGADO</v>
      </c>
      <c r="Y395" s="70" t="str">
        <f>'RESUMEN TOTAL'!AL512</f>
        <v>APAGADO</v>
      </c>
      <c r="Z395" s="70" t="str">
        <f>'RESUMEN TOTAL'!AM512</f>
        <v>APAGADO</v>
      </c>
      <c r="AA395" s="70">
        <f>'RESUMEN TOTAL'!AN512</f>
        <v>0</v>
      </c>
      <c r="AB395" s="70">
        <f>'RESUMEN TOTAL'!AO512</f>
        <v>0</v>
      </c>
      <c r="AC395" s="70">
        <f>'RESUMEN TOTAL'!AP512</f>
        <v>0</v>
      </c>
      <c r="AD395" s="70">
        <f>'RESUMEN TOTAL'!AQ512</f>
        <v>0</v>
      </c>
      <c r="AE395" s="70">
        <f>'RESUMEN TOTAL'!AR512</f>
        <v>0</v>
      </c>
      <c r="AF395" s="70">
        <f>'RESUMEN TOTAL'!AS512</f>
        <v>0</v>
      </c>
      <c r="AG395" s="70">
        <f>'RESUMEN TOTAL'!AT512</f>
        <v>0</v>
      </c>
      <c r="AH395" s="70">
        <f>'RESUMEN TOTAL'!AU512</f>
        <v>0</v>
      </c>
      <c r="AI395" s="70">
        <f>'RESUMEN TOTAL'!AV512</f>
        <v>0</v>
      </c>
      <c r="AJ395" s="70" t="e">
        <f>'RESUMEN TOTAL'!#REF!</f>
        <v>#REF!</v>
      </c>
    </row>
    <row r="396" spans="1:36" x14ac:dyDescent="0.25">
      <c r="A396" t="str">
        <f>'RESUMEN TOTAL'!F513</f>
        <v>VILLA VATTEONE</v>
      </c>
      <c r="B396" t="str">
        <f>'RESUMEN TOTAL'!G513</f>
        <v>VAT 20</v>
      </c>
      <c r="C396" t="str">
        <f>'RESUMEN TOTAL'!I513</f>
        <v>URUGUAY Y PILCOMAYO</v>
      </c>
      <c r="D396" s="30" t="str">
        <f>'RESUMEN TOTAL'!J513</f>
        <v>FIJA</v>
      </c>
      <c r="E396" s="30" t="str">
        <f>'RESUMEN TOTAL'!K513</f>
        <v>GPON</v>
      </c>
      <c r="F396" s="70">
        <f>'RESUMEN TOTAL'!S513</f>
        <v>0</v>
      </c>
      <c r="G396" s="70">
        <f>'RESUMEN TOTAL'!T513</f>
        <v>0</v>
      </c>
      <c r="H396" s="70">
        <f>'RESUMEN TOTAL'!U513</f>
        <v>0</v>
      </c>
      <c r="I396" s="70">
        <f>'RESUMEN TOTAL'!V513</f>
        <v>0</v>
      </c>
      <c r="J396" s="70">
        <f>'RESUMEN TOTAL'!W513</f>
        <v>0</v>
      </c>
      <c r="K396" s="70">
        <f>'RESUMEN TOTAL'!X513</f>
        <v>0</v>
      </c>
      <c r="L396" s="70">
        <f>'RESUMEN TOTAL'!Y513</f>
        <v>0</v>
      </c>
      <c r="M396" s="70">
        <f>'RESUMEN TOTAL'!Z513</f>
        <v>0</v>
      </c>
      <c r="N396" s="70">
        <f>'RESUMEN TOTAL'!AA513</f>
        <v>0</v>
      </c>
      <c r="O396" s="70">
        <f>'RESUMEN TOTAL'!AB513</f>
        <v>0</v>
      </c>
      <c r="P396" s="70">
        <f>'RESUMEN TOTAL'!AC513</f>
        <v>0</v>
      </c>
      <c r="Q396" s="70">
        <f>'RESUMEN TOTAL'!AD513</f>
        <v>0</v>
      </c>
      <c r="R396" s="70">
        <f>'RESUMEN TOTAL'!AE513</f>
        <v>0</v>
      </c>
      <c r="S396" s="70">
        <f>'RESUMEN TOTAL'!AF513</f>
        <v>0</v>
      </c>
      <c r="T396" s="70">
        <f>'RESUMEN TOTAL'!AG513</f>
        <v>0</v>
      </c>
      <c r="U396" s="70">
        <f>'RESUMEN TOTAL'!AH513</f>
        <v>0</v>
      </c>
      <c r="V396" s="70">
        <f>'RESUMEN TOTAL'!AI513</f>
        <v>0</v>
      </c>
      <c r="W396" s="70">
        <f>'RESUMEN TOTAL'!AJ513</f>
        <v>0</v>
      </c>
      <c r="X396" s="70">
        <f>'RESUMEN TOTAL'!AK513</f>
        <v>0</v>
      </c>
      <c r="Y396" s="70">
        <f>'RESUMEN TOTAL'!AL513</f>
        <v>0</v>
      </c>
      <c r="Z396" s="70">
        <f>'RESUMEN TOTAL'!AM513</f>
        <v>0</v>
      </c>
      <c r="AA396" s="70">
        <f>'RESUMEN TOTAL'!AN513</f>
        <v>0</v>
      </c>
      <c r="AB396" s="70">
        <f>'RESUMEN TOTAL'!AO513</f>
        <v>0</v>
      </c>
      <c r="AC396" s="70">
        <f>'RESUMEN TOTAL'!AP513</f>
        <v>0</v>
      </c>
      <c r="AD396" s="70">
        <f>'RESUMEN TOTAL'!AQ513</f>
        <v>0</v>
      </c>
      <c r="AE396" s="70">
        <f>'RESUMEN TOTAL'!AR513</f>
        <v>0</v>
      </c>
      <c r="AF396" s="70">
        <f>'RESUMEN TOTAL'!AS513</f>
        <v>0</v>
      </c>
      <c r="AG396" s="70">
        <f>'RESUMEN TOTAL'!AT513</f>
        <v>0</v>
      </c>
      <c r="AH396" s="70">
        <f>'RESUMEN TOTAL'!AU513</f>
        <v>0</v>
      </c>
      <c r="AI396" s="70">
        <f>'RESUMEN TOTAL'!AV513</f>
        <v>0</v>
      </c>
      <c r="AJ396" s="70" t="e">
        <f>'RESUMEN TOTAL'!#REF!</f>
        <v>#REF!</v>
      </c>
    </row>
    <row r="397" spans="1:36" x14ac:dyDescent="0.25">
      <c r="A397" t="str">
        <f>'RESUMEN TOTAL'!F514</f>
        <v>VILLA VATTEONE CENTRO</v>
      </c>
      <c r="B397" t="str">
        <f>'RESUMEN TOTAL'!G514</f>
        <v>VAT 21 (fija 1)</v>
      </c>
      <c r="C397" t="str">
        <f>'RESUMEN TOTAL'!I514</f>
        <v>QUINTANA E/ BELGRANO Y FONROUGE</v>
      </c>
      <c r="D397" s="30" t="str">
        <f>'RESUMEN TOTAL'!J514</f>
        <v>Fija</v>
      </c>
      <c r="E397" s="30" t="str">
        <f>'RESUMEN TOTAL'!K514</f>
        <v>Fibra Optica</v>
      </c>
      <c r="F397" s="70">
        <f>'RESUMEN TOTAL'!S514</f>
        <v>0</v>
      </c>
      <c r="G397" s="70">
        <f>'RESUMEN TOTAL'!T514</f>
        <v>0</v>
      </c>
      <c r="H397" s="70">
        <f>'RESUMEN TOTAL'!U514</f>
        <v>0</v>
      </c>
      <c r="I397" s="70">
        <f>'RESUMEN TOTAL'!V514</f>
        <v>0</v>
      </c>
      <c r="J397" s="70">
        <f>'RESUMEN TOTAL'!W514</f>
        <v>0</v>
      </c>
      <c r="K397" s="70">
        <f>'RESUMEN TOTAL'!X514</f>
        <v>0</v>
      </c>
      <c r="L397" s="70">
        <f>'RESUMEN TOTAL'!Y514</f>
        <v>0</v>
      </c>
      <c r="M397" s="70">
        <f>'RESUMEN TOTAL'!Z514</f>
        <v>0</v>
      </c>
      <c r="N397" s="70">
        <f>'RESUMEN TOTAL'!AA514</f>
        <v>0</v>
      </c>
      <c r="O397" s="70">
        <f>'RESUMEN TOTAL'!AB514</f>
        <v>0</v>
      </c>
      <c r="P397" s="70">
        <f>'RESUMEN TOTAL'!AC514</f>
        <v>0</v>
      </c>
      <c r="Q397" s="70">
        <f>'RESUMEN TOTAL'!AD514</f>
        <v>0</v>
      </c>
      <c r="R397" s="70">
        <f>'RESUMEN TOTAL'!AE514</f>
        <v>0</v>
      </c>
      <c r="S397" s="70">
        <f>'RESUMEN TOTAL'!AF514</f>
        <v>0</v>
      </c>
      <c r="T397" s="70">
        <f>'RESUMEN TOTAL'!AG514</f>
        <v>0</v>
      </c>
      <c r="U397" s="70">
        <f>'RESUMEN TOTAL'!AH514</f>
        <v>0</v>
      </c>
      <c r="V397" s="70">
        <f>'RESUMEN TOTAL'!AI514</f>
        <v>0</v>
      </c>
      <c r="W397" s="70">
        <f>'RESUMEN TOTAL'!AJ514</f>
        <v>0</v>
      </c>
      <c r="X397" s="70">
        <f>'RESUMEN TOTAL'!AK514</f>
        <v>0</v>
      </c>
      <c r="Y397" s="70">
        <f>'RESUMEN TOTAL'!AL514</f>
        <v>0</v>
      </c>
      <c r="Z397" s="70">
        <f>'RESUMEN TOTAL'!AM514</f>
        <v>0</v>
      </c>
      <c r="AA397" s="70">
        <f>'RESUMEN TOTAL'!AN514</f>
        <v>0</v>
      </c>
      <c r="AB397" s="70">
        <f>'RESUMEN TOTAL'!AO514</f>
        <v>0</v>
      </c>
      <c r="AC397" s="70">
        <f>'RESUMEN TOTAL'!AP514</f>
        <v>0</v>
      </c>
      <c r="AD397" s="70">
        <f>'RESUMEN TOTAL'!AQ514</f>
        <v>0</v>
      </c>
      <c r="AE397" s="70">
        <f>'RESUMEN TOTAL'!AR514</f>
        <v>0</v>
      </c>
      <c r="AF397" s="70">
        <f>'RESUMEN TOTAL'!AS514</f>
        <v>0</v>
      </c>
      <c r="AG397" s="70">
        <f>'RESUMEN TOTAL'!AT514</f>
        <v>0</v>
      </c>
      <c r="AH397" s="70">
        <f>'RESUMEN TOTAL'!AU514</f>
        <v>0</v>
      </c>
      <c r="AI397" s="70">
        <f>'RESUMEN TOTAL'!AV514</f>
        <v>0</v>
      </c>
      <c r="AJ397" s="70" t="e">
        <f>'RESUMEN TOTAL'!#REF!</f>
        <v>#REF!</v>
      </c>
    </row>
    <row r="398" spans="1:36" x14ac:dyDescent="0.25">
      <c r="A398" t="str">
        <f>'RESUMEN TOTAL'!F515</f>
        <v>VILLA VATTEONE CENTRO</v>
      </c>
      <c r="B398" t="str">
        <f>'RESUMEN TOTAL'!G515</f>
        <v>VAT 22 (fija 2)</v>
      </c>
      <c r="C398" t="str">
        <f>'RESUMEN TOTAL'!I515</f>
        <v>QUINTANA E/ BELGRANO Y FONROUGE</v>
      </c>
      <c r="D398" s="30" t="str">
        <f>'RESUMEN TOTAL'!J515</f>
        <v>Fija</v>
      </c>
      <c r="E398" s="30" t="str">
        <f>'RESUMEN TOTAL'!K515</f>
        <v>Fibra Optica</v>
      </c>
      <c r="F398" s="70">
        <f>'RESUMEN TOTAL'!S515</f>
        <v>0</v>
      </c>
      <c r="G398" s="70">
        <f>'RESUMEN TOTAL'!T515</f>
        <v>0</v>
      </c>
      <c r="H398" s="70">
        <f>'RESUMEN TOTAL'!U515</f>
        <v>0</v>
      </c>
      <c r="I398" s="70">
        <f>'RESUMEN TOTAL'!V515</f>
        <v>0</v>
      </c>
      <c r="J398" s="70">
        <f>'RESUMEN TOTAL'!W515</f>
        <v>0</v>
      </c>
      <c r="K398" s="70">
        <f>'RESUMEN TOTAL'!X515</f>
        <v>0</v>
      </c>
      <c r="L398" s="70">
        <f>'RESUMEN TOTAL'!Y515</f>
        <v>0</v>
      </c>
      <c r="M398" s="70">
        <f>'RESUMEN TOTAL'!Z515</f>
        <v>0</v>
      </c>
      <c r="N398" s="70">
        <f>'RESUMEN TOTAL'!AA515</f>
        <v>0</v>
      </c>
      <c r="O398" s="70">
        <f>'RESUMEN TOTAL'!AB515</f>
        <v>0</v>
      </c>
      <c r="P398" s="70">
        <f>'RESUMEN TOTAL'!AC515</f>
        <v>0</v>
      </c>
      <c r="Q398" s="70">
        <f>'RESUMEN TOTAL'!AD515</f>
        <v>0</v>
      </c>
      <c r="R398" s="70">
        <f>'RESUMEN TOTAL'!AE515</f>
        <v>0</v>
      </c>
      <c r="S398" s="70">
        <f>'RESUMEN TOTAL'!AF515</f>
        <v>0</v>
      </c>
      <c r="T398" s="70">
        <f>'RESUMEN TOTAL'!AG515</f>
        <v>0</v>
      </c>
      <c r="U398" s="70">
        <f>'RESUMEN TOTAL'!AH515</f>
        <v>0</v>
      </c>
      <c r="V398" s="70">
        <f>'RESUMEN TOTAL'!AI515</f>
        <v>0</v>
      </c>
      <c r="W398" s="70">
        <f>'RESUMEN TOTAL'!AJ515</f>
        <v>0</v>
      </c>
      <c r="X398" s="70">
        <f>'RESUMEN TOTAL'!AK515</f>
        <v>0</v>
      </c>
      <c r="Y398" s="70">
        <f>'RESUMEN TOTAL'!AL515</f>
        <v>0</v>
      </c>
      <c r="Z398" s="70">
        <f>'RESUMEN TOTAL'!AM515</f>
        <v>0</v>
      </c>
      <c r="AA398" s="70">
        <f>'RESUMEN TOTAL'!AN515</f>
        <v>0</v>
      </c>
      <c r="AB398" s="70">
        <f>'RESUMEN TOTAL'!AO515</f>
        <v>0</v>
      </c>
      <c r="AC398" s="70">
        <f>'RESUMEN TOTAL'!AP515</f>
        <v>0</v>
      </c>
      <c r="AD398" s="70">
        <f>'RESUMEN TOTAL'!AQ515</f>
        <v>0</v>
      </c>
      <c r="AE398" s="70">
        <f>'RESUMEN TOTAL'!AR515</f>
        <v>0</v>
      </c>
      <c r="AF398" s="70">
        <f>'RESUMEN TOTAL'!AS515</f>
        <v>0</v>
      </c>
      <c r="AG398" s="70">
        <f>'RESUMEN TOTAL'!AT515</f>
        <v>0</v>
      </c>
      <c r="AH398" s="70">
        <f>'RESUMEN TOTAL'!AU515</f>
        <v>0</v>
      </c>
      <c r="AI398" s="70">
        <f>'RESUMEN TOTAL'!AV515</f>
        <v>0</v>
      </c>
      <c r="AJ398" s="70" t="e">
        <f>'RESUMEN TOTAL'!#REF!</f>
        <v>#REF!</v>
      </c>
    </row>
    <row r="399" spans="1:36" x14ac:dyDescent="0.25">
      <c r="A399" t="str">
        <f>'RESUMEN TOTAL'!F516</f>
        <v>VILLA VATTEONE CENTRO</v>
      </c>
      <c r="B399" t="str">
        <f>'RESUMEN TOTAL'!G516</f>
        <v>VAT 25</v>
      </c>
      <c r="C399" t="str">
        <f>'RESUMEN TOTAL'!I516</f>
        <v>Mainini y Uruguay</v>
      </c>
      <c r="D399" s="30" t="str">
        <f>'RESUMEN TOTAL'!J516</f>
        <v>Fija</v>
      </c>
      <c r="E399" s="30" t="str">
        <f>'RESUMEN TOTAL'!K516</f>
        <v>FO A GPON</v>
      </c>
      <c r="F399" s="70">
        <f>'RESUMEN TOTAL'!S516</f>
        <v>0</v>
      </c>
      <c r="G399" s="70">
        <f>'RESUMEN TOTAL'!T516</f>
        <v>0</v>
      </c>
      <c r="H399" s="70">
        <f>'RESUMEN TOTAL'!U516</f>
        <v>0</v>
      </c>
      <c r="I399" s="70" t="str">
        <f>'RESUMEN TOTAL'!V516</f>
        <v>APAGADO</v>
      </c>
      <c r="J399" s="70" t="str">
        <f>'RESUMEN TOTAL'!W516</f>
        <v>APAGADO</v>
      </c>
      <c r="K399" s="70" t="str">
        <f>'RESUMEN TOTAL'!X516</f>
        <v>APAGADO</v>
      </c>
      <c r="L399" s="70" t="str">
        <f>'RESUMEN TOTAL'!Y516</f>
        <v>APAGADO</v>
      </c>
      <c r="M399" s="70">
        <f>'RESUMEN TOTAL'!Z516</f>
        <v>0</v>
      </c>
      <c r="N399" s="70">
        <f>'RESUMEN TOTAL'!AA516</f>
        <v>0</v>
      </c>
      <c r="O399" s="70">
        <f>'RESUMEN TOTAL'!AB516</f>
        <v>0</v>
      </c>
      <c r="P399" s="70">
        <f>'RESUMEN TOTAL'!AC516</f>
        <v>0</v>
      </c>
      <c r="Q399" s="70" t="str">
        <f>'RESUMEN TOTAL'!AD516</f>
        <v>APAGADO</v>
      </c>
      <c r="R399" s="70" t="str">
        <f>'RESUMEN TOTAL'!AE516</f>
        <v>APAGADO</v>
      </c>
      <c r="S399" s="70" t="str">
        <f>'RESUMEN TOTAL'!AF516</f>
        <v>APAGADO</v>
      </c>
      <c r="T399" s="70" t="str">
        <f>'RESUMEN TOTAL'!AG516</f>
        <v>APAGADO</v>
      </c>
      <c r="U399" s="70">
        <f>'RESUMEN TOTAL'!AH516</f>
        <v>0</v>
      </c>
      <c r="V399" s="70">
        <f>'RESUMEN TOTAL'!AI516</f>
        <v>0</v>
      </c>
      <c r="W399" s="70" t="str">
        <f>'RESUMEN TOTAL'!AJ516</f>
        <v>APAGADO</v>
      </c>
      <c r="X399" s="70" t="str">
        <f>'RESUMEN TOTAL'!AK516</f>
        <v>APAGADO</v>
      </c>
      <c r="Y399" s="70" t="str">
        <f>'RESUMEN TOTAL'!AL516</f>
        <v>APAGADO</v>
      </c>
      <c r="Z399" s="70" t="str">
        <f>'RESUMEN TOTAL'!AM516</f>
        <v>APAGADO</v>
      </c>
      <c r="AA399" s="70" t="str">
        <f>'RESUMEN TOTAL'!AN516</f>
        <v>APAGADO</v>
      </c>
      <c r="AB399" s="70">
        <f>'RESUMEN TOTAL'!AO516</f>
        <v>0</v>
      </c>
      <c r="AC399" s="70">
        <f>'RESUMEN TOTAL'!AP516</f>
        <v>0</v>
      </c>
      <c r="AD399" s="70">
        <f>'RESUMEN TOTAL'!AQ516</f>
        <v>0</v>
      </c>
      <c r="AE399" s="70">
        <f>'RESUMEN TOTAL'!AR516</f>
        <v>0</v>
      </c>
      <c r="AF399" s="70">
        <f>'RESUMEN TOTAL'!AS516</f>
        <v>0</v>
      </c>
      <c r="AG399" s="70">
        <f>'RESUMEN TOTAL'!AT516</f>
        <v>0</v>
      </c>
      <c r="AH399" s="70">
        <f>'RESUMEN TOTAL'!AU516</f>
        <v>0</v>
      </c>
      <c r="AI399" s="70">
        <f>'RESUMEN TOTAL'!AV516</f>
        <v>0</v>
      </c>
      <c r="AJ399" s="70" t="e">
        <f>'RESUMEN TOTAL'!#REF!</f>
        <v>#REF!</v>
      </c>
    </row>
    <row r="400" spans="1:36" x14ac:dyDescent="0.25">
      <c r="A400" t="str">
        <f>'RESUMEN TOTAL'!F517</f>
        <v>VILLA VATTEONE CENTRO</v>
      </c>
      <c r="B400" t="str">
        <f>'RESUMEN TOTAL'!G517</f>
        <v>VAT 26</v>
      </c>
      <c r="C400" t="str">
        <f>'RESUMEN TOTAL'!I517</f>
        <v>Mainini y Uruguay</v>
      </c>
      <c r="D400" s="30" t="str">
        <f>'RESUMEN TOTAL'!J517</f>
        <v>fija</v>
      </c>
      <c r="E400" s="30" t="str">
        <f>'RESUMEN TOTAL'!K517</f>
        <v>FO A GPON</v>
      </c>
      <c r="F400" s="70">
        <f>'RESUMEN TOTAL'!S517</f>
        <v>0</v>
      </c>
      <c r="G400" s="70">
        <f>'RESUMEN TOTAL'!T517</f>
        <v>0</v>
      </c>
      <c r="H400" s="70">
        <f>'RESUMEN TOTAL'!U517</f>
        <v>0</v>
      </c>
      <c r="I400" s="70" t="str">
        <f>'RESUMEN TOTAL'!V517</f>
        <v>APAGADO</v>
      </c>
      <c r="J400" s="70" t="str">
        <f>'RESUMEN TOTAL'!W517</f>
        <v>APAGADO</v>
      </c>
      <c r="K400" s="70" t="str">
        <f>'RESUMEN TOTAL'!X517</f>
        <v>APAGADO</v>
      </c>
      <c r="L400" s="70" t="str">
        <f>'RESUMEN TOTAL'!Y517</f>
        <v>APAGADO</v>
      </c>
      <c r="M400" s="70">
        <f>'RESUMEN TOTAL'!Z517</f>
        <v>0</v>
      </c>
      <c r="N400" s="70">
        <f>'RESUMEN TOTAL'!AA517</f>
        <v>0</v>
      </c>
      <c r="O400" s="70">
        <f>'RESUMEN TOTAL'!AB517</f>
        <v>0</v>
      </c>
      <c r="P400" s="70">
        <f>'RESUMEN TOTAL'!AC517</f>
        <v>0</v>
      </c>
      <c r="Q400" s="70" t="str">
        <f>'RESUMEN TOTAL'!AD517</f>
        <v>APAGADO</v>
      </c>
      <c r="R400" s="70" t="str">
        <f>'RESUMEN TOTAL'!AE517</f>
        <v>APAGADO</v>
      </c>
      <c r="S400" s="70" t="str">
        <f>'RESUMEN TOTAL'!AF517</f>
        <v>APAGADO</v>
      </c>
      <c r="T400" s="70" t="str">
        <f>'RESUMEN TOTAL'!AG517</f>
        <v>APAGADO</v>
      </c>
      <c r="U400" s="70">
        <f>'RESUMEN TOTAL'!AH517</f>
        <v>0</v>
      </c>
      <c r="V400" s="70">
        <f>'RESUMEN TOTAL'!AI517</f>
        <v>0</v>
      </c>
      <c r="W400" s="70" t="str">
        <f>'RESUMEN TOTAL'!AJ517</f>
        <v>APAGADO</v>
      </c>
      <c r="X400" s="70" t="str">
        <f>'RESUMEN TOTAL'!AK517</f>
        <v>APAGADO</v>
      </c>
      <c r="Y400" s="70" t="str">
        <f>'RESUMEN TOTAL'!AL517</f>
        <v>APAGADO</v>
      </c>
      <c r="Z400" s="70" t="str">
        <f>'RESUMEN TOTAL'!AM517</f>
        <v>APAGADO</v>
      </c>
      <c r="AA400" s="70" t="str">
        <f>'RESUMEN TOTAL'!AN517</f>
        <v>APAGADO</v>
      </c>
      <c r="AB400" s="70">
        <f>'RESUMEN TOTAL'!AO517</f>
        <v>0</v>
      </c>
      <c r="AC400" s="70">
        <f>'RESUMEN TOTAL'!AP517</f>
        <v>0</v>
      </c>
      <c r="AD400" s="70">
        <f>'RESUMEN TOTAL'!AQ517</f>
        <v>0</v>
      </c>
      <c r="AE400" s="70">
        <f>'RESUMEN TOTAL'!AR517</f>
        <v>0</v>
      </c>
      <c r="AF400" s="70">
        <f>'RESUMEN TOTAL'!AS517</f>
        <v>0</v>
      </c>
      <c r="AG400" s="70">
        <f>'RESUMEN TOTAL'!AT517</f>
        <v>0</v>
      </c>
      <c r="AH400" s="70">
        <f>'RESUMEN TOTAL'!AU517</f>
        <v>0</v>
      </c>
      <c r="AI400" s="70">
        <f>'RESUMEN TOTAL'!AV517</f>
        <v>0</v>
      </c>
      <c r="AJ400" s="70" t="e">
        <f>'RESUMEN TOTAL'!#REF!</f>
        <v>#REF!</v>
      </c>
    </row>
    <row r="401" spans="1:36" x14ac:dyDescent="0.25">
      <c r="A401" t="str">
        <f>'RESUMEN TOTAL'!F518</f>
        <v>VILLA VATTEONE</v>
      </c>
      <c r="B401" t="str">
        <f>'RESUMEN TOTAL'!G518</f>
        <v>VAT 27</v>
      </c>
      <c r="C401" t="str">
        <f>'RESUMEN TOTAL'!I518</f>
        <v>12 DE OCTUBRE Y ROSARIO</v>
      </c>
      <c r="D401" s="30" t="str">
        <f>'RESUMEN TOTAL'!J518</f>
        <v>DOMO</v>
      </c>
      <c r="E401" s="30" t="str">
        <f>'RESUMEN TOTAL'!K518</f>
        <v>GPON</v>
      </c>
      <c r="F401" s="70">
        <f>'RESUMEN TOTAL'!S518</f>
        <v>0</v>
      </c>
      <c r="G401" s="70">
        <f>'RESUMEN TOTAL'!T518</f>
        <v>0</v>
      </c>
      <c r="H401" s="70">
        <f>'RESUMEN TOTAL'!U518</f>
        <v>0</v>
      </c>
      <c r="I401" s="70">
        <f>'RESUMEN TOTAL'!V518</f>
        <v>0</v>
      </c>
      <c r="J401" s="70">
        <f>'RESUMEN TOTAL'!W518</f>
        <v>0</v>
      </c>
      <c r="K401" s="70">
        <f>'RESUMEN TOTAL'!X518</f>
        <v>0</v>
      </c>
      <c r="L401" s="70">
        <f>'RESUMEN TOTAL'!Y518</f>
        <v>0</v>
      </c>
      <c r="M401" s="70">
        <f>'RESUMEN TOTAL'!Z518</f>
        <v>0</v>
      </c>
      <c r="N401" s="70">
        <f>'RESUMEN TOTAL'!AA518</f>
        <v>0</v>
      </c>
      <c r="O401" s="70">
        <f>'RESUMEN TOTAL'!AB518</f>
        <v>0</v>
      </c>
      <c r="P401" s="70">
        <f>'RESUMEN TOTAL'!AC518</f>
        <v>0</v>
      </c>
      <c r="Q401" s="70">
        <f>'RESUMEN TOTAL'!AD518</f>
        <v>0</v>
      </c>
      <c r="R401" s="70">
        <f>'RESUMEN TOTAL'!AE518</f>
        <v>0</v>
      </c>
      <c r="S401" s="70">
        <f>'RESUMEN TOTAL'!AF518</f>
        <v>0</v>
      </c>
      <c r="T401" s="70">
        <f>'RESUMEN TOTAL'!AG518</f>
        <v>0</v>
      </c>
      <c r="U401" s="70">
        <f>'RESUMEN TOTAL'!AH518</f>
        <v>0</v>
      </c>
      <c r="V401" s="70">
        <f>'RESUMEN TOTAL'!AI518</f>
        <v>0</v>
      </c>
      <c r="W401" s="70">
        <f>'RESUMEN TOTAL'!AJ518</f>
        <v>0</v>
      </c>
      <c r="X401" s="70">
        <f>'RESUMEN TOTAL'!AK518</f>
        <v>0</v>
      </c>
      <c r="Y401" s="70">
        <f>'RESUMEN TOTAL'!AL518</f>
        <v>0</v>
      </c>
      <c r="Z401" s="70">
        <f>'RESUMEN TOTAL'!AM518</f>
        <v>0</v>
      </c>
      <c r="AA401" s="70">
        <f>'RESUMEN TOTAL'!AN518</f>
        <v>0</v>
      </c>
      <c r="AB401" s="70">
        <f>'RESUMEN TOTAL'!AO518</f>
        <v>0</v>
      </c>
      <c r="AC401" s="70">
        <f>'RESUMEN TOTAL'!AP518</f>
        <v>0</v>
      </c>
      <c r="AD401" s="70">
        <f>'RESUMEN TOTAL'!AQ518</f>
        <v>0</v>
      </c>
      <c r="AE401" s="70">
        <f>'RESUMEN TOTAL'!AR518</f>
        <v>0</v>
      </c>
      <c r="AF401" s="70">
        <f>'RESUMEN TOTAL'!AS518</f>
        <v>0</v>
      </c>
      <c r="AG401" s="70">
        <f>'RESUMEN TOTAL'!AT518</f>
        <v>0</v>
      </c>
      <c r="AH401" s="70">
        <f>'RESUMEN TOTAL'!AU518</f>
        <v>0</v>
      </c>
      <c r="AI401" s="70">
        <f>'RESUMEN TOTAL'!AV518</f>
        <v>0</v>
      </c>
      <c r="AJ401" s="70" t="e">
        <f>'RESUMEN TOTAL'!#REF!</f>
        <v>#REF!</v>
      </c>
    </row>
    <row r="402" spans="1:36" x14ac:dyDescent="0.25">
      <c r="A402" t="str">
        <f>'RESUMEN TOTAL'!F519</f>
        <v>VILLA VATTEONE</v>
      </c>
      <c r="B402" t="str">
        <f>'RESUMEN TOTAL'!G519</f>
        <v>VAT 28</v>
      </c>
      <c r="C402" t="str">
        <f>'RESUMEN TOTAL'!I519</f>
        <v>Mainini e/Montevideo y Uruuay</v>
      </c>
      <c r="D402" s="30" t="str">
        <f>'RESUMEN TOTAL'!J519</f>
        <v>fija</v>
      </c>
      <c r="E402" s="30" t="str">
        <f>'RESUMEN TOTAL'!K519</f>
        <v>FO A GPON</v>
      </c>
      <c r="F402" s="70">
        <f>'RESUMEN TOTAL'!S519</f>
        <v>0</v>
      </c>
      <c r="G402" s="70">
        <f>'RESUMEN TOTAL'!T519</f>
        <v>0</v>
      </c>
      <c r="H402" s="70">
        <f>'RESUMEN TOTAL'!U519</f>
        <v>0</v>
      </c>
      <c r="I402" s="70" t="str">
        <f>'RESUMEN TOTAL'!V519</f>
        <v>APAGADO</v>
      </c>
      <c r="J402" s="70" t="str">
        <f>'RESUMEN TOTAL'!W519</f>
        <v>APAGADO</v>
      </c>
      <c r="K402" s="70" t="str">
        <f>'RESUMEN TOTAL'!X519</f>
        <v>APAGADO</v>
      </c>
      <c r="L402" s="70" t="str">
        <f>'RESUMEN TOTAL'!Y519</f>
        <v>APAGADO</v>
      </c>
      <c r="M402" s="70">
        <f>'RESUMEN TOTAL'!Z519</f>
        <v>0</v>
      </c>
      <c r="N402" s="70">
        <f>'RESUMEN TOTAL'!AA519</f>
        <v>0</v>
      </c>
      <c r="O402" s="70">
        <f>'RESUMEN TOTAL'!AB519</f>
        <v>0</v>
      </c>
      <c r="P402" s="70">
        <f>'RESUMEN TOTAL'!AC519</f>
        <v>0</v>
      </c>
      <c r="Q402" s="70" t="str">
        <f>'RESUMEN TOTAL'!AD519</f>
        <v>APAGADO</v>
      </c>
      <c r="R402" s="70" t="str">
        <f>'RESUMEN TOTAL'!AE519</f>
        <v>APAGADO</v>
      </c>
      <c r="S402" s="70" t="str">
        <f>'RESUMEN TOTAL'!AF519</f>
        <v>APAGADO</v>
      </c>
      <c r="T402" s="70" t="str">
        <f>'RESUMEN TOTAL'!AG519</f>
        <v>APAGADO</v>
      </c>
      <c r="U402" s="70">
        <f>'RESUMEN TOTAL'!AH519</f>
        <v>0</v>
      </c>
      <c r="V402" s="70">
        <f>'RESUMEN TOTAL'!AI519</f>
        <v>0</v>
      </c>
      <c r="W402" s="70" t="str">
        <f>'RESUMEN TOTAL'!AJ519</f>
        <v>APAGADO</v>
      </c>
      <c r="X402" s="70" t="str">
        <f>'RESUMEN TOTAL'!AK519</f>
        <v>APAGADO</v>
      </c>
      <c r="Y402" s="70" t="str">
        <f>'RESUMEN TOTAL'!AL519</f>
        <v>APAGADO</v>
      </c>
      <c r="Z402" s="70" t="str">
        <f>'RESUMEN TOTAL'!AM519</f>
        <v>APAGADO</v>
      </c>
      <c r="AA402" s="70" t="str">
        <f>'RESUMEN TOTAL'!AN519</f>
        <v>APAGADO</v>
      </c>
      <c r="AB402" s="70">
        <f>'RESUMEN TOTAL'!AO519</f>
        <v>0</v>
      </c>
      <c r="AC402" s="70">
        <f>'RESUMEN TOTAL'!AP519</f>
        <v>0</v>
      </c>
      <c r="AD402" s="70">
        <f>'RESUMEN TOTAL'!AQ519</f>
        <v>0</v>
      </c>
      <c r="AE402" s="70">
        <f>'RESUMEN TOTAL'!AR519</f>
        <v>0</v>
      </c>
      <c r="AF402" s="70">
        <f>'RESUMEN TOTAL'!AS519</f>
        <v>0</v>
      </c>
      <c r="AG402" s="70">
        <f>'RESUMEN TOTAL'!AT519</f>
        <v>0</v>
      </c>
      <c r="AH402" s="70">
        <f>'RESUMEN TOTAL'!AU519</f>
        <v>0</v>
      </c>
      <c r="AI402" s="70">
        <f>'RESUMEN TOTAL'!AV519</f>
        <v>0</v>
      </c>
      <c r="AJ402" s="70" t="e">
        <f>'RESUMEN TOTAL'!#REF!</f>
        <v>#REF!</v>
      </c>
    </row>
    <row r="403" spans="1:36" x14ac:dyDescent="0.25">
      <c r="A403" t="str">
        <f>'RESUMEN TOTAL'!F520</f>
        <v>VILLA VATTEONE</v>
      </c>
      <c r="B403" t="str">
        <f>'RESUMEN TOTAL'!G520</f>
        <v>VAT 29</v>
      </c>
      <c r="C403" t="str">
        <f>'RESUMEN TOTAL'!I520</f>
        <v xml:space="preserve">Vicente Lopez y Tucuman </v>
      </c>
      <c r="D403" s="30" t="str">
        <f>'RESUMEN TOTAL'!J520</f>
        <v>DOMO</v>
      </c>
      <c r="E403" s="30" t="str">
        <f>'RESUMEN TOTAL'!K520</f>
        <v>GPON</v>
      </c>
      <c r="F403" s="70">
        <f>'RESUMEN TOTAL'!S520</f>
        <v>0</v>
      </c>
      <c r="G403" s="70">
        <f>'RESUMEN TOTAL'!T520</f>
        <v>0</v>
      </c>
      <c r="H403" s="70">
        <f>'RESUMEN TOTAL'!U520</f>
        <v>0</v>
      </c>
      <c r="I403" s="70">
        <f>'RESUMEN TOTAL'!V520</f>
        <v>0</v>
      </c>
      <c r="J403" s="70">
        <f>'RESUMEN TOTAL'!W520</f>
        <v>0</v>
      </c>
      <c r="K403" s="70">
        <f>'RESUMEN TOTAL'!X520</f>
        <v>0</v>
      </c>
      <c r="L403" s="70">
        <f>'RESUMEN TOTAL'!Y520</f>
        <v>0</v>
      </c>
      <c r="M403" s="70">
        <f>'RESUMEN TOTAL'!Z520</f>
        <v>0</v>
      </c>
      <c r="N403" s="70">
        <f>'RESUMEN TOTAL'!AA520</f>
        <v>0</v>
      </c>
      <c r="O403" s="70">
        <f>'RESUMEN TOTAL'!AB520</f>
        <v>0</v>
      </c>
      <c r="P403" s="70">
        <f>'RESUMEN TOTAL'!AC520</f>
        <v>0</v>
      </c>
      <c r="Q403" s="70">
        <f>'RESUMEN TOTAL'!AD520</f>
        <v>0</v>
      </c>
      <c r="R403" s="70">
        <f>'RESUMEN TOTAL'!AE520</f>
        <v>0</v>
      </c>
      <c r="S403" s="70">
        <f>'RESUMEN TOTAL'!AF520</f>
        <v>0</v>
      </c>
      <c r="T403" s="70" t="str">
        <f>'RESUMEN TOTAL'!AG520</f>
        <v>APAGADO</v>
      </c>
      <c r="U403" s="70">
        <f>'RESUMEN TOTAL'!AH520</f>
        <v>0</v>
      </c>
      <c r="V403" s="70">
        <f>'RESUMEN TOTAL'!AI520</f>
        <v>0</v>
      </c>
      <c r="W403" s="70">
        <f>'RESUMEN TOTAL'!AJ520</f>
        <v>0</v>
      </c>
      <c r="X403" s="70">
        <f>'RESUMEN TOTAL'!AK520</f>
        <v>0</v>
      </c>
      <c r="Y403" s="70">
        <f>'RESUMEN TOTAL'!AL520</f>
        <v>0</v>
      </c>
      <c r="Z403" s="70">
        <f>'RESUMEN TOTAL'!AM520</f>
        <v>0</v>
      </c>
      <c r="AA403" s="70">
        <f>'RESUMEN TOTAL'!AN520</f>
        <v>0</v>
      </c>
      <c r="AB403" s="70">
        <f>'RESUMEN TOTAL'!AO520</f>
        <v>0</v>
      </c>
      <c r="AC403" s="70">
        <f>'RESUMEN TOTAL'!AP520</f>
        <v>0</v>
      </c>
      <c r="AD403" s="70">
        <f>'RESUMEN TOTAL'!AQ520</f>
        <v>0</v>
      </c>
      <c r="AE403" s="70">
        <f>'RESUMEN TOTAL'!AR520</f>
        <v>0</v>
      </c>
      <c r="AF403" s="70">
        <f>'RESUMEN TOTAL'!AS520</f>
        <v>0</v>
      </c>
      <c r="AG403" s="70">
        <f>'RESUMEN TOTAL'!AT520</f>
        <v>0</v>
      </c>
      <c r="AH403" s="70">
        <f>'RESUMEN TOTAL'!AU520</f>
        <v>0</v>
      </c>
      <c r="AI403" s="70">
        <f>'RESUMEN TOTAL'!AV520</f>
        <v>0</v>
      </c>
      <c r="AJ403" s="70" t="e">
        <f>'RESUMEN TOTAL'!#REF!</f>
        <v>#REF!</v>
      </c>
    </row>
    <row r="404" spans="1:36" x14ac:dyDescent="0.25">
      <c r="A404" t="str">
        <f>'RESUMEN TOTAL'!F521</f>
        <v>VILLA VATTEONE</v>
      </c>
      <c r="B404" t="str">
        <f>'RESUMEN TOTAL'!G521</f>
        <v>VAT01</v>
      </c>
      <c r="C404" t="str">
        <f>'RESUMEN TOTAL'!I521</f>
        <v>Montevideo y El Chañar</v>
      </c>
      <c r="D404" s="30" t="str">
        <f>'RESUMEN TOTAL'!J521</f>
        <v>Domo</v>
      </c>
      <c r="E404" s="30" t="str">
        <f>'RESUMEN TOTAL'!K521</f>
        <v>FO A GPON</v>
      </c>
      <c r="F404" s="70">
        <f>'RESUMEN TOTAL'!S521</f>
        <v>0</v>
      </c>
      <c r="G404" s="70">
        <f>'RESUMEN TOTAL'!T521</f>
        <v>0</v>
      </c>
      <c r="H404" s="70">
        <f>'RESUMEN TOTAL'!U521</f>
        <v>0</v>
      </c>
      <c r="I404" s="70" t="str">
        <f>'RESUMEN TOTAL'!V521</f>
        <v>APAGADO</v>
      </c>
      <c r="J404" s="70" t="str">
        <f>'RESUMEN TOTAL'!W521</f>
        <v>APAGADO</v>
      </c>
      <c r="K404" s="70" t="str">
        <f>'RESUMEN TOTAL'!X521</f>
        <v>APAGADO</v>
      </c>
      <c r="L404" s="70" t="str">
        <f>'RESUMEN TOTAL'!Y521</f>
        <v>APAGADO</v>
      </c>
      <c r="M404" s="70">
        <f>'RESUMEN TOTAL'!Z521</f>
        <v>0</v>
      </c>
      <c r="N404" s="70">
        <f>'RESUMEN TOTAL'!AA521</f>
        <v>0</v>
      </c>
      <c r="O404" s="70">
        <f>'RESUMEN TOTAL'!AB521</f>
        <v>0</v>
      </c>
      <c r="P404" s="70">
        <f>'RESUMEN TOTAL'!AC521</f>
        <v>0</v>
      </c>
      <c r="Q404" s="70" t="str">
        <f>'RESUMEN TOTAL'!AD521</f>
        <v>APAGADO</v>
      </c>
      <c r="R404" s="70" t="str">
        <f>'RESUMEN TOTAL'!AE521</f>
        <v>APAGADO</v>
      </c>
      <c r="S404" s="70" t="str">
        <f>'RESUMEN TOTAL'!AF521</f>
        <v>APAGADO</v>
      </c>
      <c r="T404" s="70" t="str">
        <f>'RESUMEN TOTAL'!AG521</f>
        <v>APAGADO</v>
      </c>
      <c r="U404" s="70">
        <f>'RESUMEN TOTAL'!AH521</f>
        <v>0</v>
      </c>
      <c r="V404" s="70">
        <f>'RESUMEN TOTAL'!AI521</f>
        <v>0</v>
      </c>
      <c r="W404" s="70" t="str">
        <f>'RESUMEN TOTAL'!AJ521</f>
        <v>APAGADO</v>
      </c>
      <c r="X404" s="70" t="str">
        <f>'RESUMEN TOTAL'!AK521</f>
        <v>APAGADO</v>
      </c>
      <c r="Y404" s="70" t="str">
        <f>'RESUMEN TOTAL'!AL521</f>
        <v>APAGADO</v>
      </c>
      <c r="Z404" s="70" t="str">
        <f>'RESUMEN TOTAL'!AM521</f>
        <v>APAGADO</v>
      </c>
      <c r="AA404" s="70">
        <f>'RESUMEN TOTAL'!AN521</f>
        <v>0</v>
      </c>
      <c r="AB404" s="70">
        <f>'RESUMEN TOTAL'!AO521</f>
        <v>0</v>
      </c>
      <c r="AC404" s="70">
        <f>'RESUMEN TOTAL'!AP521</f>
        <v>0</v>
      </c>
      <c r="AD404" s="70">
        <f>'RESUMEN TOTAL'!AQ521</f>
        <v>0</v>
      </c>
      <c r="AE404" s="70">
        <f>'RESUMEN TOTAL'!AR521</f>
        <v>0</v>
      </c>
      <c r="AF404" s="70">
        <f>'RESUMEN TOTAL'!AS521</f>
        <v>0</v>
      </c>
      <c r="AG404" s="70">
        <f>'RESUMEN TOTAL'!AT521</f>
        <v>0</v>
      </c>
      <c r="AH404" s="70">
        <f>'RESUMEN TOTAL'!AU521</f>
        <v>0</v>
      </c>
      <c r="AI404" s="70">
        <f>'RESUMEN TOTAL'!AV521</f>
        <v>0</v>
      </c>
      <c r="AJ404" s="70" t="e">
        <f>'RESUMEN TOTAL'!#REF!</f>
        <v>#REF!</v>
      </c>
    </row>
    <row r="405" spans="1:36" x14ac:dyDescent="0.25">
      <c r="A405" t="str">
        <f>'RESUMEN TOTAL'!F522</f>
        <v>VILLA VATTEONE CENTRO</v>
      </c>
      <c r="B405" t="str">
        <f>'RESUMEN TOTAL'!G522</f>
        <v>VAT02</v>
      </c>
      <c r="C405" t="str">
        <f>'RESUMEN TOTAL'!I522</f>
        <v>Eva Peron y 12 de Octubre</v>
      </c>
      <c r="D405" s="30" t="str">
        <f>'RESUMEN TOTAL'!J522</f>
        <v>Domo</v>
      </c>
      <c r="E405" s="30" t="str">
        <f>'RESUMEN TOTAL'!K522</f>
        <v>Fibra Optica</v>
      </c>
      <c r="F405" s="70">
        <f>'RESUMEN TOTAL'!S522</f>
        <v>0</v>
      </c>
      <c r="G405" s="70">
        <f>'RESUMEN TOTAL'!T522</f>
        <v>0</v>
      </c>
      <c r="H405" s="70">
        <f>'RESUMEN TOTAL'!U522</f>
        <v>0</v>
      </c>
      <c r="I405" s="70" t="str">
        <f>'RESUMEN TOTAL'!V522</f>
        <v>APAGADO</v>
      </c>
      <c r="J405" s="70" t="str">
        <f>'RESUMEN TOTAL'!W522</f>
        <v>APAGADO</v>
      </c>
      <c r="K405" s="70" t="str">
        <f>'RESUMEN TOTAL'!X522</f>
        <v>APAGADO</v>
      </c>
      <c r="L405" s="70" t="str">
        <f>'RESUMEN TOTAL'!Y522</f>
        <v>APAGADO</v>
      </c>
      <c r="M405" s="70">
        <f>'RESUMEN TOTAL'!Z522</f>
        <v>0</v>
      </c>
      <c r="N405" s="70">
        <f>'RESUMEN TOTAL'!AA522</f>
        <v>0</v>
      </c>
      <c r="O405" s="70">
        <f>'RESUMEN TOTAL'!AB522</f>
        <v>0</v>
      </c>
      <c r="P405" s="70">
        <f>'RESUMEN TOTAL'!AC522</f>
        <v>0</v>
      </c>
      <c r="Q405" s="70" t="str">
        <f>'RESUMEN TOTAL'!AD522</f>
        <v>APAGADO</v>
      </c>
      <c r="R405" s="70" t="str">
        <f>'RESUMEN TOTAL'!AE522</f>
        <v>APAGADO</v>
      </c>
      <c r="S405" s="70" t="str">
        <f>'RESUMEN TOTAL'!AF522</f>
        <v>APAGADO</v>
      </c>
      <c r="T405" s="70" t="str">
        <f>'RESUMEN TOTAL'!AG522</f>
        <v>APAGADO</v>
      </c>
      <c r="U405" s="70">
        <f>'RESUMEN TOTAL'!AH522</f>
        <v>0</v>
      </c>
      <c r="V405" s="70">
        <f>'RESUMEN TOTAL'!AI522</f>
        <v>0</v>
      </c>
      <c r="W405" s="70" t="str">
        <f>'RESUMEN TOTAL'!AJ522</f>
        <v>APAGADO</v>
      </c>
      <c r="X405" s="70" t="str">
        <f>'RESUMEN TOTAL'!AK522</f>
        <v>APAGADO</v>
      </c>
      <c r="Y405" s="70" t="str">
        <f>'RESUMEN TOTAL'!AL522</f>
        <v>APAGADO</v>
      </c>
      <c r="Z405" s="70" t="str">
        <f>'RESUMEN TOTAL'!AM522</f>
        <v>APAGADO</v>
      </c>
      <c r="AA405" s="70">
        <f>'RESUMEN TOTAL'!AN522</f>
        <v>0</v>
      </c>
      <c r="AB405" s="70">
        <f>'RESUMEN TOTAL'!AO522</f>
        <v>0</v>
      </c>
      <c r="AC405" s="70">
        <f>'RESUMEN TOTAL'!AP522</f>
        <v>0</v>
      </c>
      <c r="AD405" s="70">
        <f>'RESUMEN TOTAL'!AQ522</f>
        <v>0</v>
      </c>
      <c r="AE405" s="70">
        <f>'RESUMEN TOTAL'!AR522</f>
        <v>0</v>
      </c>
      <c r="AF405" s="70">
        <f>'RESUMEN TOTAL'!AS522</f>
        <v>0</v>
      </c>
      <c r="AG405" s="70">
        <f>'RESUMEN TOTAL'!AT522</f>
        <v>0</v>
      </c>
      <c r="AH405" s="70">
        <f>'RESUMEN TOTAL'!AU522</f>
        <v>0</v>
      </c>
      <c r="AI405" s="70">
        <f>'RESUMEN TOTAL'!AV522</f>
        <v>0</v>
      </c>
      <c r="AJ405" s="70" t="e">
        <f>'RESUMEN TOTAL'!#REF!</f>
        <v>#REF!</v>
      </c>
    </row>
    <row r="406" spans="1:36" x14ac:dyDescent="0.25">
      <c r="A406" t="str">
        <f>'RESUMEN TOTAL'!F523</f>
        <v>VILLA VATTEONE CENTRO</v>
      </c>
      <c r="B406" t="str">
        <f>'RESUMEN TOTAL'!G523</f>
        <v>VAT03</v>
      </c>
      <c r="C406" t="str">
        <f>'RESUMEN TOTAL'!I523</f>
        <v>Lavalle y Belgrano</v>
      </c>
      <c r="D406" s="30" t="str">
        <f>'RESUMEN TOTAL'!J523</f>
        <v>Domo</v>
      </c>
      <c r="E406" s="30" t="str">
        <f>'RESUMEN TOTAL'!K523</f>
        <v>Fibra Optica</v>
      </c>
      <c r="F406" s="70">
        <f>'RESUMEN TOTAL'!S523</f>
        <v>0</v>
      </c>
      <c r="G406" s="70">
        <f>'RESUMEN TOTAL'!T523</f>
        <v>0</v>
      </c>
      <c r="H406" s="70">
        <f>'RESUMEN TOTAL'!U523</f>
        <v>0</v>
      </c>
      <c r="I406" s="70">
        <f>'RESUMEN TOTAL'!V523</f>
        <v>0</v>
      </c>
      <c r="J406" s="70">
        <f>'RESUMEN TOTAL'!W523</f>
        <v>0</v>
      </c>
      <c r="K406" s="70">
        <f>'RESUMEN TOTAL'!X523</f>
        <v>0</v>
      </c>
      <c r="L406" s="70">
        <f>'RESUMEN TOTAL'!Y523</f>
        <v>0</v>
      </c>
      <c r="M406" s="70">
        <f>'RESUMEN TOTAL'!Z523</f>
        <v>0</v>
      </c>
      <c r="N406" s="70">
        <f>'RESUMEN TOTAL'!AA523</f>
        <v>0</v>
      </c>
      <c r="O406" s="70">
        <f>'RESUMEN TOTAL'!AB523</f>
        <v>0</v>
      </c>
      <c r="P406" s="70">
        <f>'RESUMEN TOTAL'!AC523</f>
        <v>0</v>
      </c>
      <c r="Q406" s="70">
        <f>'RESUMEN TOTAL'!AD523</f>
        <v>0</v>
      </c>
      <c r="R406" s="70">
        <f>'RESUMEN TOTAL'!AE523</f>
        <v>0</v>
      </c>
      <c r="S406" s="70">
        <f>'RESUMEN TOTAL'!AF523</f>
        <v>0</v>
      </c>
      <c r="T406" s="70">
        <f>'RESUMEN TOTAL'!AG523</f>
        <v>0</v>
      </c>
      <c r="U406" s="70">
        <f>'RESUMEN TOTAL'!AH523</f>
        <v>0</v>
      </c>
      <c r="V406" s="70">
        <f>'RESUMEN TOTAL'!AI523</f>
        <v>0</v>
      </c>
      <c r="W406" s="70">
        <f>'RESUMEN TOTAL'!AJ523</f>
        <v>0</v>
      </c>
      <c r="X406" s="70">
        <f>'RESUMEN TOTAL'!AK523</f>
        <v>0</v>
      </c>
      <c r="Y406" s="70">
        <f>'RESUMEN TOTAL'!AL523</f>
        <v>0</v>
      </c>
      <c r="Z406" s="70">
        <f>'RESUMEN TOTAL'!AM523</f>
        <v>0</v>
      </c>
      <c r="AA406" s="70">
        <f>'RESUMEN TOTAL'!AN523</f>
        <v>0</v>
      </c>
      <c r="AB406" s="70">
        <f>'RESUMEN TOTAL'!AO523</f>
        <v>0</v>
      </c>
      <c r="AC406" s="70">
        <f>'RESUMEN TOTAL'!AP523</f>
        <v>0</v>
      </c>
      <c r="AD406" s="70">
        <f>'RESUMEN TOTAL'!AQ523</f>
        <v>0</v>
      </c>
      <c r="AE406" s="70">
        <f>'RESUMEN TOTAL'!AR523</f>
        <v>0</v>
      </c>
      <c r="AF406" s="70">
        <f>'RESUMEN TOTAL'!AS523</f>
        <v>0</v>
      </c>
      <c r="AG406" s="70">
        <f>'RESUMEN TOTAL'!AT523</f>
        <v>0</v>
      </c>
      <c r="AH406" s="70">
        <f>'RESUMEN TOTAL'!AU523</f>
        <v>0</v>
      </c>
      <c r="AI406" s="70">
        <f>'RESUMEN TOTAL'!AV523</f>
        <v>0</v>
      </c>
      <c r="AJ406" s="70" t="e">
        <f>'RESUMEN TOTAL'!#REF!</f>
        <v>#REF!</v>
      </c>
    </row>
    <row r="407" spans="1:36" x14ac:dyDescent="0.25">
      <c r="A407" t="str">
        <f>'RESUMEN TOTAL'!F524</f>
        <v>VILLA VATTEONE CENTRO</v>
      </c>
      <c r="B407" t="str">
        <f>'RESUMEN TOTAL'!G524</f>
        <v>VAT04</v>
      </c>
      <c r="C407" t="str">
        <f>'RESUMEN TOTAL'!I524</f>
        <v>Lavalle y Entre Rios</v>
      </c>
      <c r="D407" s="30" t="str">
        <f>'RESUMEN TOTAL'!J524</f>
        <v>Domo</v>
      </c>
      <c r="E407" s="30" t="str">
        <f>'RESUMEN TOTAL'!K524</f>
        <v>Fibra Optica</v>
      </c>
      <c r="F407" s="70">
        <f>'RESUMEN TOTAL'!S524</f>
        <v>0</v>
      </c>
      <c r="G407" s="70">
        <f>'RESUMEN TOTAL'!T524</f>
        <v>0</v>
      </c>
      <c r="H407" s="70">
        <f>'RESUMEN TOTAL'!U524</f>
        <v>0</v>
      </c>
      <c r="I407" s="70">
        <f>'RESUMEN TOTAL'!V524</f>
        <v>0</v>
      </c>
      <c r="J407" s="70">
        <f>'RESUMEN TOTAL'!W524</f>
        <v>0</v>
      </c>
      <c r="K407" s="70">
        <f>'RESUMEN TOTAL'!X524</f>
        <v>0</v>
      </c>
      <c r="L407" s="70">
        <f>'RESUMEN TOTAL'!Y524</f>
        <v>0</v>
      </c>
      <c r="M407" s="70">
        <f>'RESUMEN TOTAL'!Z524</f>
        <v>0</v>
      </c>
      <c r="N407" s="70">
        <f>'RESUMEN TOTAL'!AA524</f>
        <v>0</v>
      </c>
      <c r="O407" s="70">
        <f>'RESUMEN TOTAL'!AB524</f>
        <v>0</v>
      </c>
      <c r="P407" s="70">
        <f>'RESUMEN TOTAL'!AC524</f>
        <v>0</v>
      </c>
      <c r="Q407" s="70">
        <f>'RESUMEN TOTAL'!AD524</f>
        <v>0</v>
      </c>
      <c r="R407" s="70">
        <f>'RESUMEN TOTAL'!AE524</f>
        <v>0</v>
      </c>
      <c r="S407" s="70">
        <f>'RESUMEN TOTAL'!AF524</f>
        <v>0</v>
      </c>
      <c r="T407" s="70">
        <f>'RESUMEN TOTAL'!AG524</f>
        <v>0</v>
      </c>
      <c r="U407" s="70">
        <f>'RESUMEN TOTAL'!AH524</f>
        <v>0</v>
      </c>
      <c r="V407" s="70">
        <f>'RESUMEN TOTAL'!AI524</f>
        <v>0</v>
      </c>
      <c r="W407" s="70">
        <f>'RESUMEN TOTAL'!AJ524</f>
        <v>0</v>
      </c>
      <c r="X407" s="70">
        <f>'RESUMEN TOTAL'!AK524</f>
        <v>0</v>
      </c>
      <c r="Y407" s="70">
        <f>'RESUMEN TOTAL'!AL524</f>
        <v>0</v>
      </c>
      <c r="Z407" s="70">
        <f>'RESUMEN TOTAL'!AM524</f>
        <v>0</v>
      </c>
      <c r="AA407" s="70">
        <f>'RESUMEN TOTAL'!AN524</f>
        <v>0</v>
      </c>
      <c r="AB407" s="70">
        <f>'RESUMEN TOTAL'!AO524</f>
        <v>0</v>
      </c>
      <c r="AC407" s="70">
        <f>'RESUMEN TOTAL'!AP524</f>
        <v>0</v>
      </c>
      <c r="AD407" s="70">
        <f>'RESUMEN TOTAL'!AQ524</f>
        <v>0</v>
      </c>
      <c r="AE407" s="70">
        <f>'RESUMEN TOTAL'!AR524</f>
        <v>0</v>
      </c>
      <c r="AF407" s="70">
        <f>'RESUMEN TOTAL'!AS524</f>
        <v>0</v>
      </c>
      <c r="AG407" s="70">
        <f>'RESUMEN TOTAL'!AT524</f>
        <v>0</v>
      </c>
      <c r="AH407" s="70">
        <f>'RESUMEN TOTAL'!AU524</f>
        <v>0</v>
      </c>
      <c r="AI407" s="70">
        <f>'RESUMEN TOTAL'!AV524</f>
        <v>0</v>
      </c>
      <c r="AJ407" s="70" t="e">
        <f>'RESUMEN TOTAL'!#REF!</f>
        <v>#REF!</v>
      </c>
    </row>
    <row r="408" spans="1:36" x14ac:dyDescent="0.25">
      <c r="A408" t="str">
        <f>'RESUMEN TOTAL'!F525</f>
        <v>VILLA VATTEONE CENTRO</v>
      </c>
      <c r="B408" t="str">
        <f>'RESUMEN TOTAL'!G525</f>
        <v>VAT05</v>
      </c>
      <c r="C408" t="str">
        <f>'RESUMEN TOTAL'!I525</f>
        <v>Lavalle y Colombia</v>
      </c>
      <c r="D408" s="30" t="str">
        <f>'RESUMEN TOTAL'!J525</f>
        <v>Domo</v>
      </c>
      <c r="E408" s="30" t="str">
        <f>'RESUMEN TOTAL'!K525</f>
        <v>GPON</v>
      </c>
      <c r="F408" s="70">
        <f>'RESUMEN TOTAL'!S525</f>
        <v>0</v>
      </c>
      <c r="G408" s="70">
        <f>'RESUMEN TOTAL'!T525</f>
        <v>0</v>
      </c>
      <c r="H408" s="70">
        <f>'RESUMEN TOTAL'!U525</f>
        <v>0</v>
      </c>
      <c r="I408" s="70">
        <f>'RESUMEN TOTAL'!V525</f>
        <v>0</v>
      </c>
      <c r="J408" s="70">
        <f>'RESUMEN TOTAL'!W525</f>
        <v>0</v>
      </c>
      <c r="K408" s="70">
        <f>'RESUMEN TOTAL'!X525</f>
        <v>0</v>
      </c>
      <c r="L408" s="70">
        <f>'RESUMEN TOTAL'!Y525</f>
        <v>0</v>
      </c>
      <c r="M408" s="70">
        <f>'RESUMEN TOTAL'!Z525</f>
        <v>0</v>
      </c>
      <c r="N408" s="70">
        <f>'RESUMEN TOTAL'!AA525</f>
        <v>0</v>
      </c>
      <c r="O408" s="70">
        <f>'RESUMEN TOTAL'!AB525</f>
        <v>0</v>
      </c>
      <c r="P408" s="70">
        <f>'RESUMEN TOTAL'!AC525</f>
        <v>0</v>
      </c>
      <c r="Q408" s="70">
        <f>'RESUMEN TOTAL'!AD525</f>
        <v>0</v>
      </c>
      <c r="R408" s="70">
        <f>'RESUMEN TOTAL'!AE525</f>
        <v>0</v>
      </c>
      <c r="S408" s="70">
        <f>'RESUMEN TOTAL'!AF525</f>
        <v>0</v>
      </c>
      <c r="T408" s="70">
        <f>'RESUMEN TOTAL'!AG525</f>
        <v>0</v>
      </c>
      <c r="U408" s="70">
        <f>'RESUMEN TOTAL'!AH525</f>
        <v>0</v>
      </c>
      <c r="V408" s="70">
        <f>'RESUMEN TOTAL'!AI525</f>
        <v>0</v>
      </c>
      <c r="W408" s="70">
        <f>'RESUMEN TOTAL'!AJ525</f>
        <v>0</v>
      </c>
      <c r="X408" s="70">
        <f>'RESUMEN TOTAL'!AK525</f>
        <v>0</v>
      </c>
      <c r="Y408" s="70">
        <f>'RESUMEN TOTAL'!AL525</f>
        <v>0</v>
      </c>
      <c r="Z408" s="70">
        <f>'RESUMEN TOTAL'!AM525</f>
        <v>0</v>
      </c>
      <c r="AA408" s="70">
        <f>'RESUMEN TOTAL'!AN525</f>
        <v>0</v>
      </c>
      <c r="AB408" s="70">
        <f>'RESUMEN TOTAL'!AO525</f>
        <v>0</v>
      </c>
      <c r="AC408" s="70">
        <f>'RESUMEN TOTAL'!AP525</f>
        <v>0</v>
      </c>
      <c r="AD408" s="70">
        <f>'RESUMEN TOTAL'!AQ525</f>
        <v>0</v>
      </c>
      <c r="AE408" s="70">
        <f>'RESUMEN TOTAL'!AR525</f>
        <v>0</v>
      </c>
      <c r="AF408" s="70">
        <f>'RESUMEN TOTAL'!AS525</f>
        <v>0</v>
      </c>
      <c r="AG408" s="70">
        <f>'RESUMEN TOTAL'!AT525</f>
        <v>0</v>
      </c>
      <c r="AH408" s="70">
        <f>'RESUMEN TOTAL'!AU525</f>
        <v>0</v>
      </c>
      <c r="AI408" s="70">
        <f>'RESUMEN TOTAL'!AV525</f>
        <v>0</v>
      </c>
      <c r="AJ408" s="70" t="e">
        <f>'RESUMEN TOTAL'!#REF!</f>
        <v>#REF!</v>
      </c>
    </row>
    <row r="409" spans="1:36" x14ac:dyDescent="0.25">
      <c r="A409" t="str">
        <f>'RESUMEN TOTAL'!F526</f>
        <v>VILLA VATTEONE CENTRO</v>
      </c>
      <c r="B409" t="str">
        <f>'RESUMEN TOTAL'!G526</f>
        <v>VAT06</v>
      </c>
      <c r="C409" t="str">
        <f>'RESUMEN TOTAL'!I526</f>
        <v>Eva Peron y Pueyrredon</v>
      </c>
      <c r="D409" s="30" t="str">
        <f>'RESUMEN TOTAL'!J526</f>
        <v>Domo</v>
      </c>
      <c r="E409" s="30" t="str">
        <f>'RESUMEN TOTAL'!K526</f>
        <v>Fibra Optica</v>
      </c>
      <c r="F409" s="70">
        <f>'RESUMEN TOTAL'!S526</f>
        <v>0</v>
      </c>
      <c r="G409" s="70">
        <f>'RESUMEN TOTAL'!T526</f>
        <v>0</v>
      </c>
      <c r="H409" s="70">
        <f>'RESUMEN TOTAL'!U526</f>
        <v>0</v>
      </c>
      <c r="I409" s="70" t="str">
        <f>'RESUMEN TOTAL'!V526</f>
        <v>APAGADO</v>
      </c>
      <c r="J409" s="70" t="str">
        <f>'RESUMEN TOTAL'!W526</f>
        <v>APAGADO</v>
      </c>
      <c r="K409" s="70" t="str">
        <f>'RESUMEN TOTAL'!X526</f>
        <v>APAGADO</v>
      </c>
      <c r="L409" s="70" t="str">
        <f>'RESUMEN TOTAL'!Y526</f>
        <v>APAGADO</v>
      </c>
      <c r="M409" s="70" t="str">
        <f>'RESUMEN TOTAL'!Z526</f>
        <v>APAGADO</v>
      </c>
      <c r="N409" s="70">
        <f>'RESUMEN TOTAL'!AA526</f>
        <v>0</v>
      </c>
      <c r="O409" s="70">
        <f>'RESUMEN TOTAL'!AB526</f>
        <v>0</v>
      </c>
      <c r="P409" s="70" t="str">
        <f>'RESUMEN TOTAL'!AC526</f>
        <v>APAGADO</v>
      </c>
      <c r="Q409" s="70" t="str">
        <f>'RESUMEN TOTAL'!AD526</f>
        <v>APAGADO</v>
      </c>
      <c r="R409" s="70" t="str">
        <f>'RESUMEN TOTAL'!AE526</f>
        <v>APAGADO</v>
      </c>
      <c r="S409" s="70" t="str">
        <f>'RESUMEN TOTAL'!AF526</f>
        <v>APAGADO</v>
      </c>
      <c r="T409" s="70" t="str">
        <f>'RESUMEN TOTAL'!AG526</f>
        <v>APAGADO</v>
      </c>
      <c r="U409" s="70">
        <f>'RESUMEN TOTAL'!AH526</f>
        <v>0</v>
      </c>
      <c r="V409" s="70">
        <f>'RESUMEN TOTAL'!AI526</f>
        <v>0</v>
      </c>
      <c r="W409" s="70" t="str">
        <f>'RESUMEN TOTAL'!AJ526</f>
        <v>APAGADO</v>
      </c>
      <c r="X409" s="70" t="str">
        <f>'RESUMEN TOTAL'!AK526</f>
        <v>APAGADO</v>
      </c>
      <c r="Y409" s="70" t="str">
        <f>'RESUMEN TOTAL'!AL526</f>
        <v>APAGADO</v>
      </c>
      <c r="Z409" s="70">
        <f>'RESUMEN TOTAL'!AM526</f>
        <v>0</v>
      </c>
      <c r="AA409" s="70">
        <f>'RESUMEN TOTAL'!AN526</f>
        <v>0</v>
      </c>
      <c r="AB409" s="70">
        <f>'RESUMEN TOTAL'!AO526</f>
        <v>0</v>
      </c>
      <c r="AC409" s="70">
        <f>'RESUMEN TOTAL'!AP526</f>
        <v>0</v>
      </c>
      <c r="AD409" s="70">
        <f>'RESUMEN TOTAL'!AQ526</f>
        <v>0</v>
      </c>
      <c r="AE409" s="70">
        <f>'RESUMEN TOTAL'!AR526</f>
        <v>0</v>
      </c>
      <c r="AF409" s="70">
        <f>'RESUMEN TOTAL'!AS526</f>
        <v>0</v>
      </c>
      <c r="AG409" s="70">
        <f>'RESUMEN TOTAL'!AT526</f>
        <v>0</v>
      </c>
      <c r="AH409" s="70">
        <f>'RESUMEN TOTAL'!AU526</f>
        <v>0</v>
      </c>
      <c r="AI409" s="70">
        <f>'RESUMEN TOTAL'!AV526</f>
        <v>0</v>
      </c>
      <c r="AJ409" s="70" t="e">
        <f>'RESUMEN TOTAL'!#REF!</f>
        <v>#REF!</v>
      </c>
    </row>
    <row r="410" spans="1:36" x14ac:dyDescent="0.25">
      <c r="A410" t="str">
        <f>'RESUMEN TOTAL'!F527</f>
        <v>VILLA VATTEONE CENTRO</v>
      </c>
      <c r="B410" t="str">
        <f>'RESUMEN TOTAL'!G527</f>
        <v>VAT07</v>
      </c>
      <c r="C410" t="str">
        <f>'RESUMEN TOTAL'!I527</f>
        <v>Eva Peron y Lavalle</v>
      </c>
      <c r="D410" s="30" t="str">
        <f>'RESUMEN TOTAL'!J527</f>
        <v>Domo</v>
      </c>
      <c r="E410" s="30" t="str">
        <f>'RESUMEN TOTAL'!K527</f>
        <v>FO A GPON</v>
      </c>
      <c r="F410" s="70">
        <f>'RESUMEN TOTAL'!S527</f>
        <v>0</v>
      </c>
      <c r="G410" s="70">
        <f>'RESUMEN TOTAL'!T527</f>
        <v>0</v>
      </c>
      <c r="H410" s="70">
        <f>'RESUMEN TOTAL'!U527</f>
        <v>0</v>
      </c>
      <c r="I410" s="70">
        <f>'RESUMEN TOTAL'!V527</f>
        <v>0</v>
      </c>
      <c r="J410" s="70">
        <f>'RESUMEN TOTAL'!W527</f>
        <v>0</v>
      </c>
      <c r="K410" s="70">
        <f>'RESUMEN TOTAL'!X527</f>
        <v>0</v>
      </c>
      <c r="L410" s="70">
        <f>'RESUMEN TOTAL'!Y527</f>
        <v>0</v>
      </c>
      <c r="M410" s="70">
        <f>'RESUMEN TOTAL'!Z527</f>
        <v>0</v>
      </c>
      <c r="N410" s="70">
        <f>'RESUMEN TOTAL'!AA527</f>
        <v>0</v>
      </c>
      <c r="O410" s="70">
        <f>'RESUMEN TOTAL'!AB527</f>
        <v>0</v>
      </c>
      <c r="P410" s="70">
        <f>'RESUMEN TOTAL'!AC527</f>
        <v>0</v>
      </c>
      <c r="Q410" s="70">
        <f>'RESUMEN TOTAL'!AD527</f>
        <v>0</v>
      </c>
      <c r="R410" s="70">
        <f>'RESUMEN TOTAL'!AE527</f>
        <v>0</v>
      </c>
      <c r="S410" s="70">
        <f>'RESUMEN TOTAL'!AF527</f>
        <v>0</v>
      </c>
      <c r="T410" s="70">
        <f>'RESUMEN TOTAL'!AG527</f>
        <v>0</v>
      </c>
      <c r="U410" s="70">
        <f>'RESUMEN TOTAL'!AH527</f>
        <v>0</v>
      </c>
      <c r="V410" s="70">
        <f>'RESUMEN TOTAL'!AI527</f>
        <v>0</v>
      </c>
      <c r="W410" s="70">
        <f>'RESUMEN TOTAL'!AJ527</f>
        <v>0</v>
      </c>
      <c r="X410" s="70">
        <f>'RESUMEN TOTAL'!AK527</f>
        <v>0</v>
      </c>
      <c r="Y410" s="70">
        <f>'RESUMEN TOTAL'!AL527</f>
        <v>0</v>
      </c>
      <c r="Z410" s="70">
        <f>'RESUMEN TOTAL'!AM527</f>
        <v>0</v>
      </c>
      <c r="AA410" s="70">
        <f>'RESUMEN TOTAL'!AN527</f>
        <v>0</v>
      </c>
      <c r="AB410" s="70">
        <f>'RESUMEN TOTAL'!AO527</f>
        <v>0</v>
      </c>
      <c r="AC410" s="70">
        <f>'RESUMEN TOTAL'!AP527</f>
        <v>0</v>
      </c>
      <c r="AD410" s="70">
        <f>'RESUMEN TOTAL'!AQ527</f>
        <v>0</v>
      </c>
      <c r="AE410" s="70">
        <f>'RESUMEN TOTAL'!AR527</f>
        <v>0</v>
      </c>
      <c r="AF410" s="70">
        <f>'RESUMEN TOTAL'!AS527</f>
        <v>0</v>
      </c>
      <c r="AG410" s="70">
        <f>'RESUMEN TOTAL'!AT527</f>
        <v>0</v>
      </c>
      <c r="AH410" s="70">
        <f>'RESUMEN TOTAL'!AU527</f>
        <v>0</v>
      </c>
      <c r="AI410" s="70">
        <f>'RESUMEN TOTAL'!AV527</f>
        <v>0</v>
      </c>
      <c r="AJ410" s="70" t="e">
        <f>'RESUMEN TOTAL'!#REF!</f>
        <v>#REF!</v>
      </c>
    </row>
    <row r="411" spans="1:36" x14ac:dyDescent="0.25">
      <c r="A411" t="str">
        <f>'RESUMEN TOTAL'!F528</f>
        <v>VILLA VATTEONE</v>
      </c>
      <c r="B411" t="str">
        <f>'RESUMEN TOTAL'!G528</f>
        <v>VAT08</v>
      </c>
      <c r="C411" t="str">
        <f>'RESUMEN TOTAL'!I528</f>
        <v>12 de Octubre y Florida</v>
      </c>
      <c r="D411" s="30" t="str">
        <f>'RESUMEN TOTAL'!J528</f>
        <v>Domo</v>
      </c>
      <c r="E411" s="30" t="str">
        <f>'RESUMEN TOTAL'!K528</f>
        <v>GPON</v>
      </c>
      <c r="F411" s="70">
        <f>'RESUMEN TOTAL'!S528</f>
        <v>0</v>
      </c>
      <c r="G411" s="70">
        <f>'RESUMEN TOTAL'!T528</f>
        <v>0</v>
      </c>
      <c r="H411" s="70">
        <f>'RESUMEN TOTAL'!U528</f>
        <v>0</v>
      </c>
      <c r="I411" s="70">
        <f>'RESUMEN TOTAL'!V528</f>
        <v>0</v>
      </c>
      <c r="J411" s="70">
        <f>'RESUMEN TOTAL'!W528</f>
        <v>0</v>
      </c>
      <c r="K411" s="70">
        <f>'RESUMEN TOTAL'!X528</f>
        <v>0</v>
      </c>
      <c r="L411" s="70">
        <f>'RESUMEN TOTAL'!Y528</f>
        <v>0</v>
      </c>
      <c r="M411" s="70">
        <f>'RESUMEN TOTAL'!Z528</f>
        <v>0</v>
      </c>
      <c r="N411" s="70">
        <f>'RESUMEN TOTAL'!AA528</f>
        <v>0</v>
      </c>
      <c r="O411" s="70">
        <f>'RESUMEN TOTAL'!AB528</f>
        <v>0</v>
      </c>
      <c r="P411" s="70">
        <f>'RESUMEN TOTAL'!AC528</f>
        <v>0</v>
      </c>
      <c r="Q411" s="70">
        <f>'RESUMEN TOTAL'!AD528</f>
        <v>0</v>
      </c>
      <c r="R411" s="70">
        <f>'RESUMEN TOTAL'!AE528</f>
        <v>0</v>
      </c>
      <c r="S411" s="70">
        <f>'RESUMEN TOTAL'!AF528</f>
        <v>0</v>
      </c>
      <c r="T411" s="70">
        <f>'RESUMEN TOTAL'!AG528</f>
        <v>0</v>
      </c>
      <c r="U411" s="70">
        <f>'RESUMEN TOTAL'!AH528</f>
        <v>0</v>
      </c>
      <c r="V411" s="70">
        <f>'RESUMEN TOTAL'!AI528</f>
        <v>0</v>
      </c>
      <c r="W411" s="70">
        <f>'RESUMEN TOTAL'!AJ528</f>
        <v>0</v>
      </c>
      <c r="X411" s="70">
        <f>'RESUMEN TOTAL'!AK528</f>
        <v>0</v>
      </c>
      <c r="Y411" s="70">
        <f>'RESUMEN TOTAL'!AL528</f>
        <v>0</v>
      </c>
      <c r="Z411" s="70">
        <f>'RESUMEN TOTAL'!AM528</f>
        <v>0</v>
      </c>
      <c r="AA411" s="70">
        <f>'RESUMEN TOTAL'!AN528</f>
        <v>0</v>
      </c>
      <c r="AB411" s="70">
        <f>'RESUMEN TOTAL'!AO528</f>
        <v>0</v>
      </c>
      <c r="AC411" s="70">
        <f>'RESUMEN TOTAL'!AP528</f>
        <v>0</v>
      </c>
      <c r="AD411" s="70">
        <f>'RESUMEN TOTAL'!AQ528</f>
        <v>0</v>
      </c>
      <c r="AE411" s="70">
        <f>'RESUMEN TOTAL'!AR528</f>
        <v>0</v>
      </c>
      <c r="AF411" s="70">
        <f>'RESUMEN TOTAL'!AS528</f>
        <v>0</v>
      </c>
      <c r="AG411" s="70">
        <f>'RESUMEN TOTAL'!AT528</f>
        <v>0</v>
      </c>
      <c r="AH411" s="70">
        <f>'RESUMEN TOTAL'!AU528</f>
        <v>0</v>
      </c>
      <c r="AI411" s="70">
        <f>'RESUMEN TOTAL'!AV528</f>
        <v>0</v>
      </c>
      <c r="AJ411" s="70" t="e">
        <f>'RESUMEN TOTAL'!#REF!</f>
        <v>#REF!</v>
      </c>
    </row>
    <row r="412" spans="1:36" x14ac:dyDescent="0.25">
      <c r="A412" t="str">
        <f>'RESUMEN TOTAL'!F529</f>
        <v>VILLA VATTEONE</v>
      </c>
      <c r="B412" t="str">
        <f>'RESUMEN TOTAL'!G529</f>
        <v>VAT09</v>
      </c>
      <c r="C412" t="str">
        <f>'RESUMEN TOTAL'!I529</f>
        <v>Montevideo y Alsina</v>
      </c>
      <c r="D412" s="30" t="str">
        <f>'RESUMEN TOTAL'!J529</f>
        <v>Domo</v>
      </c>
      <c r="E412" s="30" t="str">
        <f>'RESUMEN TOTAL'!K529</f>
        <v>Fibra Optica</v>
      </c>
      <c r="F412" s="70">
        <f>'RESUMEN TOTAL'!S529</f>
        <v>0</v>
      </c>
      <c r="G412" s="70">
        <f>'RESUMEN TOTAL'!T529</f>
        <v>0</v>
      </c>
      <c r="H412" s="70">
        <f>'RESUMEN TOTAL'!U529</f>
        <v>0</v>
      </c>
      <c r="I412" s="70">
        <f>'RESUMEN TOTAL'!V529</f>
        <v>0</v>
      </c>
      <c r="J412" s="70">
        <f>'RESUMEN TOTAL'!W529</f>
        <v>0</v>
      </c>
      <c r="K412" s="70">
        <f>'RESUMEN TOTAL'!X529</f>
        <v>0</v>
      </c>
      <c r="L412" s="70">
        <f>'RESUMEN TOTAL'!Y529</f>
        <v>0</v>
      </c>
      <c r="M412" s="70">
        <f>'RESUMEN TOTAL'!Z529</f>
        <v>0</v>
      </c>
      <c r="N412" s="70">
        <f>'RESUMEN TOTAL'!AA529</f>
        <v>0</v>
      </c>
      <c r="O412" s="70">
        <f>'RESUMEN TOTAL'!AB529</f>
        <v>0</v>
      </c>
      <c r="P412" s="70">
        <f>'RESUMEN TOTAL'!AC529</f>
        <v>0</v>
      </c>
      <c r="Q412" s="70">
        <f>'RESUMEN TOTAL'!AD529</f>
        <v>0</v>
      </c>
      <c r="R412" s="70">
        <f>'RESUMEN TOTAL'!AE529</f>
        <v>0</v>
      </c>
      <c r="S412" s="70">
        <f>'RESUMEN TOTAL'!AF529</f>
        <v>0</v>
      </c>
      <c r="T412" s="70">
        <f>'RESUMEN TOTAL'!AG529</f>
        <v>0</v>
      </c>
      <c r="U412" s="70">
        <f>'RESUMEN TOTAL'!AH529</f>
        <v>0</v>
      </c>
      <c r="V412" s="70">
        <f>'RESUMEN TOTAL'!AI529</f>
        <v>0</v>
      </c>
      <c r="W412" s="70">
        <f>'RESUMEN TOTAL'!AJ529</f>
        <v>0</v>
      </c>
      <c r="X412" s="70">
        <f>'RESUMEN TOTAL'!AK529</f>
        <v>0</v>
      </c>
      <c r="Y412" s="70">
        <f>'RESUMEN TOTAL'!AL529</f>
        <v>0</v>
      </c>
      <c r="Z412" s="70">
        <f>'RESUMEN TOTAL'!AM529</f>
        <v>0</v>
      </c>
      <c r="AA412" s="70">
        <f>'RESUMEN TOTAL'!AN529</f>
        <v>0</v>
      </c>
      <c r="AB412" s="70">
        <f>'RESUMEN TOTAL'!AO529</f>
        <v>0</v>
      </c>
      <c r="AC412" s="70">
        <f>'RESUMEN TOTAL'!AP529</f>
        <v>0</v>
      </c>
      <c r="AD412" s="70">
        <f>'RESUMEN TOTAL'!AQ529</f>
        <v>0</v>
      </c>
      <c r="AE412" s="70">
        <f>'RESUMEN TOTAL'!AR529</f>
        <v>0</v>
      </c>
      <c r="AF412" s="70">
        <f>'RESUMEN TOTAL'!AS529</f>
        <v>0</v>
      </c>
      <c r="AG412" s="70">
        <f>'RESUMEN TOTAL'!AT529</f>
        <v>0</v>
      </c>
      <c r="AH412" s="70">
        <f>'RESUMEN TOTAL'!AU529</f>
        <v>0</v>
      </c>
      <c r="AI412" s="70">
        <f>'RESUMEN TOTAL'!AV529</f>
        <v>0</v>
      </c>
      <c r="AJ412" s="70" t="e">
        <f>'RESUMEN TOTAL'!#REF!</f>
        <v>#REF!</v>
      </c>
    </row>
    <row r="413" spans="1:36" x14ac:dyDescent="0.25">
      <c r="A413" t="str">
        <f>'RESUMEN TOTAL'!F530</f>
        <v>VILLA VATTEONE</v>
      </c>
      <c r="B413" t="str">
        <f>'RESUMEN TOTAL'!G530</f>
        <v>VAT11</v>
      </c>
      <c r="C413" t="str">
        <f>'RESUMEN TOTAL'!I530</f>
        <v>Mainini y Montevideo</v>
      </c>
      <c r="D413" s="30" t="str">
        <f>'RESUMEN TOTAL'!J530</f>
        <v>Domo</v>
      </c>
      <c r="E413" s="30" t="str">
        <f>'RESUMEN TOTAL'!K530</f>
        <v>GPON</v>
      </c>
      <c r="F413" s="70">
        <f>'RESUMEN TOTAL'!S530</f>
        <v>0</v>
      </c>
      <c r="G413" s="70">
        <f>'RESUMEN TOTAL'!T530</f>
        <v>0</v>
      </c>
      <c r="H413" s="70">
        <f>'RESUMEN TOTAL'!U530</f>
        <v>0</v>
      </c>
      <c r="I413" s="70" t="str">
        <f>'RESUMEN TOTAL'!V530</f>
        <v>APAGADO</v>
      </c>
      <c r="J413" s="70" t="str">
        <f>'RESUMEN TOTAL'!W530</f>
        <v>APAGADO</v>
      </c>
      <c r="K413" s="70" t="str">
        <f>'RESUMEN TOTAL'!X530</f>
        <v>APAGADO</v>
      </c>
      <c r="L413" s="70" t="str">
        <f>'RESUMEN TOTAL'!Y530</f>
        <v>APAGADO</v>
      </c>
      <c r="M413" s="70">
        <f>'RESUMEN TOTAL'!Z530</f>
        <v>0</v>
      </c>
      <c r="N413" s="70">
        <f>'RESUMEN TOTAL'!AA530</f>
        <v>0</v>
      </c>
      <c r="O413" s="70">
        <f>'RESUMEN TOTAL'!AB530</f>
        <v>0</v>
      </c>
      <c r="P413" s="70">
        <f>'RESUMEN TOTAL'!AC530</f>
        <v>0</v>
      </c>
      <c r="Q413" s="70" t="str">
        <f>'RESUMEN TOTAL'!AD530</f>
        <v>APAGADO</v>
      </c>
      <c r="R413" s="70" t="str">
        <f>'RESUMEN TOTAL'!AE530</f>
        <v>APAGADO</v>
      </c>
      <c r="S413" s="70" t="str">
        <f>'RESUMEN TOTAL'!AF530</f>
        <v>APAGADO</v>
      </c>
      <c r="T413" s="70" t="str">
        <f>'RESUMEN TOTAL'!AG530</f>
        <v>APAGADO</v>
      </c>
      <c r="U413" s="70">
        <f>'RESUMEN TOTAL'!AH530</f>
        <v>0</v>
      </c>
      <c r="V413" s="70">
        <f>'RESUMEN TOTAL'!AI530</f>
        <v>0</v>
      </c>
      <c r="W413" s="70" t="str">
        <f>'RESUMEN TOTAL'!AJ530</f>
        <v>APAGADO</v>
      </c>
      <c r="X413" s="70" t="str">
        <f>'RESUMEN TOTAL'!AK530</f>
        <v>APAGADO</v>
      </c>
      <c r="Y413" s="70" t="str">
        <f>'RESUMEN TOTAL'!AL530</f>
        <v>APAGADO</v>
      </c>
      <c r="Z413" s="70" t="str">
        <f>'RESUMEN TOTAL'!AM530</f>
        <v>APAGADO</v>
      </c>
      <c r="AA413" s="70" t="str">
        <f>'RESUMEN TOTAL'!AN530</f>
        <v>APAGADO</v>
      </c>
      <c r="AB413" s="70">
        <f>'RESUMEN TOTAL'!AO530</f>
        <v>0</v>
      </c>
      <c r="AC413" s="70">
        <f>'RESUMEN TOTAL'!AP530</f>
        <v>0</v>
      </c>
      <c r="AD413" s="70">
        <f>'RESUMEN TOTAL'!AQ530</f>
        <v>0</v>
      </c>
      <c r="AE413" s="70">
        <f>'RESUMEN TOTAL'!AR530</f>
        <v>0</v>
      </c>
      <c r="AF413" s="70">
        <f>'RESUMEN TOTAL'!AS530</f>
        <v>0</v>
      </c>
      <c r="AG413" s="70">
        <f>'RESUMEN TOTAL'!AT530</f>
        <v>0</v>
      </c>
      <c r="AH413" s="70">
        <f>'RESUMEN TOTAL'!AU530</f>
        <v>0</v>
      </c>
      <c r="AI413" s="70">
        <f>'RESUMEN TOTAL'!AV530</f>
        <v>0</v>
      </c>
      <c r="AJ413" s="70" t="e">
        <f>'RESUMEN TOTAL'!#REF!</f>
        <v>#REF!</v>
      </c>
    </row>
    <row r="414" spans="1:36" x14ac:dyDescent="0.25">
      <c r="A414" t="str">
        <f>'RESUMEN TOTAL'!F531</f>
        <v>VILLA VATTEONE</v>
      </c>
      <c r="B414" t="str">
        <f>'RESUMEN TOTAL'!G531</f>
        <v>VAT12</v>
      </c>
      <c r="C414" t="str">
        <f>'RESUMEN TOTAL'!I531</f>
        <v>12 DE OCTUBRE Y CHACO</v>
      </c>
      <c r="D414" s="30" t="str">
        <f>'RESUMEN TOTAL'!J531</f>
        <v>DOMO</v>
      </c>
      <c r="E414" s="30" t="str">
        <f>'RESUMEN TOTAL'!K531</f>
        <v>PTO A FO</v>
      </c>
      <c r="F414" s="70">
        <f>'RESUMEN TOTAL'!S531</f>
        <v>0</v>
      </c>
      <c r="G414" s="70">
        <f>'RESUMEN TOTAL'!T531</f>
        <v>0</v>
      </c>
      <c r="H414" s="70">
        <f>'RESUMEN TOTAL'!U531</f>
        <v>0</v>
      </c>
      <c r="I414" s="70">
        <f>'RESUMEN TOTAL'!V531</f>
        <v>0</v>
      </c>
      <c r="J414" s="70">
        <f>'RESUMEN TOTAL'!W531</f>
        <v>0</v>
      </c>
      <c r="K414" s="70">
        <f>'RESUMEN TOTAL'!X531</f>
        <v>0</v>
      </c>
      <c r="L414" s="70">
        <f>'RESUMEN TOTAL'!Y531</f>
        <v>0</v>
      </c>
      <c r="M414" s="70">
        <f>'RESUMEN TOTAL'!Z531</f>
        <v>0</v>
      </c>
      <c r="N414" s="70">
        <f>'RESUMEN TOTAL'!AA531</f>
        <v>0</v>
      </c>
      <c r="O414" s="70">
        <f>'RESUMEN TOTAL'!AB531</f>
        <v>0</v>
      </c>
      <c r="P414" s="70">
        <f>'RESUMEN TOTAL'!AC531</f>
        <v>0</v>
      </c>
      <c r="Q414" s="70">
        <f>'RESUMEN TOTAL'!AD531</f>
        <v>0</v>
      </c>
      <c r="R414" s="70">
        <f>'RESUMEN TOTAL'!AE531</f>
        <v>0</v>
      </c>
      <c r="S414" s="70">
        <f>'RESUMEN TOTAL'!AF531</f>
        <v>0</v>
      </c>
      <c r="T414" s="70">
        <f>'RESUMEN TOTAL'!AG531</f>
        <v>0</v>
      </c>
      <c r="U414" s="70">
        <f>'RESUMEN TOTAL'!AH531</f>
        <v>0</v>
      </c>
      <c r="V414" s="70">
        <f>'RESUMEN TOTAL'!AI531</f>
        <v>0</v>
      </c>
      <c r="W414" s="70">
        <f>'RESUMEN TOTAL'!AJ531</f>
        <v>0</v>
      </c>
      <c r="X414" s="70">
        <f>'RESUMEN TOTAL'!AK531</f>
        <v>0</v>
      </c>
      <c r="Y414" s="70">
        <f>'RESUMEN TOTAL'!AL531</f>
        <v>0</v>
      </c>
      <c r="Z414" s="70">
        <f>'RESUMEN TOTAL'!AM531</f>
        <v>0</v>
      </c>
      <c r="AA414" s="70" t="str">
        <f>'RESUMEN TOTAL'!AN531</f>
        <v>APAGADO</v>
      </c>
      <c r="AB414" s="70">
        <f>'RESUMEN TOTAL'!AO531</f>
        <v>0</v>
      </c>
      <c r="AC414" s="70">
        <f>'RESUMEN TOTAL'!AP531</f>
        <v>0</v>
      </c>
      <c r="AD414" s="70">
        <f>'RESUMEN TOTAL'!AQ531</f>
        <v>0</v>
      </c>
      <c r="AE414" s="70">
        <f>'RESUMEN TOTAL'!AR531</f>
        <v>0</v>
      </c>
      <c r="AF414" s="70" t="str">
        <f>'RESUMEN TOTAL'!AS531</f>
        <v>APAGADO</v>
      </c>
      <c r="AG414" s="70">
        <f>'RESUMEN TOTAL'!AT531</f>
        <v>0</v>
      </c>
      <c r="AH414" s="70">
        <f>'RESUMEN TOTAL'!AU531</f>
        <v>0</v>
      </c>
      <c r="AI414" s="70">
        <f>'RESUMEN TOTAL'!AV531</f>
        <v>0</v>
      </c>
      <c r="AJ414" s="70" t="e">
        <f>'RESUMEN TOTAL'!#REF!</f>
        <v>#REF!</v>
      </c>
    </row>
    <row r="415" spans="1:36" x14ac:dyDescent="0.25">
      <c r="A415" t="str">
        <f>'RESUMEN TOTAL'!F532</f>
        <v>VILLA VATTEONE CENTRO</v>
      </c>
      <c r="B415" t="str">
        <f>'RESUMEN TOTAL'!G532</f>
        <v>VAT13</v>
      </c>
      <c r="C415" t="str">
        <f>'RESUMEN TOTAL'!I532</f>
        <v>Av.12 de Octubre y Belgrano</v>
      </c>
      <c r="D415" s="30" t="str">
        <f>'RESUMEN TOTAL'!J532</f>
        <v>Domo</v>
      </c>
      <c r="E415" s="30" t="str">
        <f>'RESUMEN TOTAL'!K532</f>
        <v>PTO A GPON</v>
      </c>
      <c r="F415" s="70">
        <f>'RESUMEN TOTAL'!S532</f>
        <v>0</v>
      </c>
      <c r="G415" s="70">
        <f>'RESUMEN TOTAL'!T532</f>
        <v>0</v>
      </c>
      <c r="H415" s="70">
        <f>'RESUMEN TOTAL'!U532</f>
        <v>0</v>
      </c>
      <c r="I415" s="70">
        <f>'RESUMEN TOTAL'!V532</f>
        <v>0</v>
      </c>
      <c r="J415" s="70">
        <f>'RESUMEN TOTAL'!W532</f>
        <v>0</v>
      </c>
      <c r="K415" s="70">
        <f>'RESUMEN TOTAL'!X532</f>
        <v>0</v>
      </c>
      <c r="L415" s="70">
        <f>'RESUMEN TOTAL'!Y532</f>
        <v>0</v>
      </c>
      <c r="M415" s="70">
        <f>'RESUMEN TOTAL'!Z532</f>
        <v>0</v>
      </c>
      <c r="N415" s="70">
        <f>'RESUMEN TOTAL'!AA532</f>
        <v>0</v>
      </c>
      <c r="O415" s="70">
        <f>'RESUMEN TOTAL'!AB532</f>
        <v>0</v>
      </c>
      <c r="P415" s="70">
        <f>'RESUMEN TOTAL'!AC532</f>
        <v>0</v>
      </c>
      <c r="Q415" s="70">
        <f>'RESUMEN TOTAL'!AD532</f>
        <v>0</v>
      </c>
      <c r="R415" s="70" t="str">
        <f>'RESUMEN TOTAL'!AE532</f>
        <v>APAGADO</v>
      </c>
      <c r="S415" s="70">
        <f>'RESUMEN TOTAL'!AF532</f>
        <v>0</v>
      </c>
      <c r="T415" s="70">
        <f>'RESUMEN TOTAL'!AG532</f>
        <v>0</v>
      </c>
      <c r="U415" s="70">
        <f>'RESUMEN TOTAL'!AH532</f>
        <v>0</v>
      </c>
      <c r="V415" s="70">
        <f>'RESUMEN TOTAL'!AI532</f>
        <v>0</v>
      </c>
      <c r="W415" s="70">
        <f>'RESUMEN TOTAL'!AJ532</f>
        <v>0</v>
      </c>
      <c r="X415" s="70">
        <f>'RESUMEN TOTAL'!AK532</f>
        <v>0</v>
      </c>
      <c r="Y415" s="70">
        <f>'RESUMEN TOTAL'!AL532</f>
        <v>0</v>
      </c>
      <c r="Z415" s="70">
        <f>'RESUMEN TOTAL'!AM532</f>
        <v>0</v>
      </c>
      <c r="AA415" s="70">
        <f>'RESUMEN TOTAL'!AN532</f>
        <v>0</v>
      </c>
      <c r="AB415" s="70">
        <f>'RESUMEN TOTAL'!AO532</f>
        <v>0</v>
      </c>
      <c r="AC415" s="70">
        <f>'RESUMEN TOTAL'!AP532</f>
        <v>0</v>
      </c>
      <c r="AD415" s="70">
        <f>'RESUMEN TOTAL'!AQ532</f>
        <v>0</v>
      </c>
      <c r="AE415" s="70">
        <f>'RESUMEN TOTAL'!AR532</f>
        <v>0</v>
      </c>
      <c r="AF415" s="70">
        <f>'RESUMEN TOTAL'!AS532</f>
        <v>0</v>
      </c>
      <c r="AG415" s="70">
        <f>'RESUMEN TOTAL'!AT532</f>
        <v>0</v>
      </c>
      <c r="AH415" s="70">
        <f>'RESUMEN TOTAL'!AU532</f>
        <v>0</v>
      </c>
      <c r="AI415" s="70">
        <f>'RESUMEN TOTAL'!AV532</f>
        <v>0</v>
      </c>
      <c r="AJ415" s="70" t="e">
        <f>'RESUMEN TOTAL'!#REF!</f>
        <v>#REF!</v>
      </c>
    </row>
    <row r="416" spans="1:36" x14ac:dyDescent="0.25">
      <c r="A416" t="str">
        <f>'RESUMEN TOTAL'!F533</f>
        <v>VILLA VATTEONE CENTRO</v>
      </c>
      <c r="B416" t="str">
        <f>'RESUMEN TOTAL'!G533</f>
        <v>VAT18</v>
      </c>
      <c r="C416" t="str">
        <f>'RESUMEN TOTAL'!I533</f>
        <v>LAVALLE Y FONROUGE</v>
      </c>
      <c r="D416" s="30" t="str">
        <f>'RESUMEN TOTAL'!J533</f>
        <v>DOMO</v>
      </c>
      <c r="E416" s="30" t="str">
        <f>'RESUMEN TOTAL'!K533</f>
        <v>PTO A FO</v>
      </c>
      <c r="F416" s="70">
        <f>'RESUMEN TOTAL'!S533</f>
        <v>0</v>
      </c>
      <c r="G416" s="70">
        <f>'RESUMEN TOTAL'!T533</f>
        <v>0</v>
      </c>
      <c r="H416" s="70">
        <f>'RESUMEN TOTAL'!U533</f>
        <v>0</v>
      </c>
      <c r="I416" s="70">
        <f>'RESUMEN TOTAL'!V533</f>
        <v>0</v>
      </c>
      <c r="J416" s="70">
        <f>'RESUMEN TOTAL'!W533</f>
        <v>0</v>
      </c>
      <c r="K416" s="70">
        <f>'RESUMEN TOTAL'!X533</f>
        <v>0</v>
      </c>
      <c r="L416" s="70">
        <f>'RESUMEN TOTAL'!Y533</f>
        <v>0</v>
      </c>
      <c r="M416" s="70">
        <f>'RESUMEN TOTAL'!Z533</f>
        <v>0</v>
      </c>
      <c r="N416" s="70">
        <f>'RESUMEN TOTAL'!AA533</f>
        <v>0</v>
      </c>
      <c r="O416" s="70">
        <f>'RESUMEN TOTAL'!AB533</f>
        <v>0</v>
      </c>
      <c r="P416" s="70">
        <f>'RESUMEN TOTAL'!AC533</f>
        <v>0</v>
      </c>
      <c r="Q416" s="70">
        <f>'RESUMEN TOTAL'!AD533</f>
        <v>0</v>
      </c>
      <c r="R416" s="70">
        <f>'RESUMEN TOTAL'!AE533</f>
        <v>0</v>
      </c>
      <c r="S416" s="70">
        <f>'RESUMEN TOTAL'!AF533</f>
        <v>0</v>
      </c>
      <c r="T416" s="70">
        <f>'RESUMEN TOTAL'!AG533</f>
        <v>0</v>
      </c>
      <c r="U416" s="70">
        <f>'RESUMEN TOTAL'!AH533</f>
        <v>0</v>
      </c>
      <c r="V416" s="70">
        <f>'RESUMEN TOTAL'!AI533</f>
        <v>0</v>
      </c>
      <c r="W416" s="70">
        <f>'RESUMEN TOTAL'!AJ533</f>
        <v>0</v>
      </c>
      <c r="X416" s="70">
        <f>'RESUMEN TOTAL'!AK533</f>
        <v>0</v>
      </c>
      <c r="Y416" s="70">
        <f>'RESUMEN TOTAL'!AL533</f>
        <v>0</v>
      </c>
      <c r="Z416" s="70">
        <f>'RESUMEN TOTAL'!AM533</f>
        <v>0</v>
      </c>
      <c r="AA416" s="70">
        <f>'RESUMEN TOTAL'!AN533</f>
        <v>0</v>
      </c>
      <c r="AB416" s="70">
        <f>'RESUMEN TOTAL'!AO533</f>
        <v>0</v>
      </c>
      <c r="AC416" s="70">
        <f>'RESUMEN TOTAL'!AP533</f>
        <v>0</v>
      </c>
      <c r="AD416" s="70">
        <f>'RESUMEN TOTAL'!AQ533</f>
        <v>0</v>
      </c>
      <c r="AE416" s="70">
        <f>'RESUMEN TOTAL'!AR533</f>
        <v>0</v>
      </c>
      <c r="AF416" s="70">
        <f>'RESUMEN TOTAL'!AS533</f>
        <v>0</v>
      </c>
      <c r="AG416" s="70">
        <f>'RESUMEN TOTAL'!AT533</f>
        <v>0</v>
      </c>
      <c r="AH416" s="70">
        <f>'RESUMEN TOTAL'!AU533</f>
        <v>0</v>
      </c>
      <c r="AI416" s="70">
        <f>'RESUMEN TOTAL'!AV533</f>
        <v>0</v>
      </c>
      <c r="AJ416" s="70" t="e">
        <f>'RESUMEN TOTAL'!#REF!</f>
        <v>#REF!</v>
      </c>
    </row>
    <row r="417" spans="1:36" x14ac:dyDescent="0.25">
      <c r="A417" t="str">
        <f>'RESUMEN TOTAL'!F534</f>
        <v>VILLA VATTEONE CENTRO</v>
      </c>
      <c r="B417" t="str">
        <f>'RESUMEN TOTAL'!G534</f>
        <v>VAT19</v>
      </c>
      <c r="C417" t="str">
        <f>'RESUMEN TOTAL'!I534</f>
        <v>QUINTANA Y FONROUGE ( TUCUMAN )</v>
      </c>
      <c r="D417" s="30" t="str">
        <f>'RESUMEN TOTAL'!J534</f>
        <v>DOMO</v>
      </c>
      <c r="E417" s="30" t="str">
        <f>'RESUMEN TOTAL'!K534</f>
        <v>Radio</v>
      </c>
      <c r="F417" s="70">
        <f>'RESUMEN TOTAL'!S534</f>
        <v>0</v>
      </c>
      <c r="G417" s="70">
        <f>'RESUMEN TOTAL'!T534</f>
        <v>0</v>
      </c>
      <c r="H417" s="70">
        <f>'RESUMEN TOTAL'!U534</f>
        <v>0</v>
      </c>
      <c r="I417" s="70">
        <f>'RESUMEN TOTAL'!V534</f>
        <v>0</v>
      </c>
      <c r="J417" s="70">
        <f>'RESUMEN TOTAL'!W534</f>
        <v>0</v>
      </c>
      <c r="K417" s="70">
        <f>'RESUMEN TOTAL'!X534</f>
        <v>0</v>
      </c>
      <c r="L417" s="70">
        <f>'RESUMEN TOTAL'!Y534</f>
        <v>0</v>
      </c>
      <c r="M417" s="70">
        <f>'RESUMEN TOTAL'!Z534</f>
        <v>0</v>
      </c>
      <c r="N417" s="70">
        <f>'RESUMEN TOTAL'!AA534</f>
        <v>0</v>
      </c>
      <c r="O417" s="70">
        <f>'RESUMEN TOTAL'!AB534</f>
        <v>0</v>
      </c>
      <c r="P417" s="70">
        <f>'RESUMEN TOTAL'!AC534</f>
        <v>0</v>
      </c>
      <c r="Q417" s="70">
        <f>'RESUMEN TOTAL'!AD534</f>
        <v>0</v>
      </c>
      <c r="R417" s="70">
        <f>'RESUMEN TOTAL'!AE534</f>
        <v>0</v>
      </c>
      <c r="S417" s="70">
        <f>'RESUMEN TOTAL'!AF534</f>
        <v>0</v>
      </c>
      <c r="T417" s="70">
        <f>'RESUMEN TOTAL'!AG534</f>
        <v>0</v>
      </c>
      <c r="U417" s="70">
        <f>'RESUMEN TOTAL'!AH534</f>
        <v>0</v>
      </c>
      <c r="V417" s="70">
        <f>'RESUMEN TOTAL'!AI534</f>
        <v>0</v>
      </c>
      <c r="W417" s="70">
        <f>'RESUMEN TOTAL'!AJ534</f>
        <v>0</v>
      </c>
      <c r="X417" s="70">
        <f>'RESUMEN TOTAL'!AK534</f>
        <v>0</v>
      </c>
      <c r="Y417" s="70">
        <f>'RESUMEN TOTAL'!AL534</f>
        <v>0</v>
      </c>
      <c r="Z417" s="70">
        <f>'RESUMEN TOTAL'!AM534</f>
        <v>0</v>
      </c>
      <c r="AA417" s="70">
        <f>'RESUMEN TOTAL'!AN534</f>
        <v>0</v>
      </c>
      <c r="AB417" s="70">
        <f>'RESUMEN TOTAL'!AO534</f>
        <v>0</v>
      </c>
      <c r="AC417" s="70">
        <f>'RESUMEN TOTAL'!AP534</f>
        <v>0</v>
      </c>
      <c r="AD417" s="70">
        <f>'RESUMEN TOTAL'!AQ534</f>
        <v>0</v>
      </c>
      <c r="AE417" s="70">
        <f>'RESUMEN TOTAL'!AR534</f>
        <v>0</v>
      </c>
      <c r="AF417" s="70">
        <f>'RESUMEN TOTAL'!AS534</f>
        <v>0</v>
      </c>
      <c r="AG417" s="70">
        <f>'RESUMEN TOTAL'!AT534</f>
        <v>0</v>
      </c>
      <c r="AH417" s="70">
        <f>'RESUMEN TOTAL'!AU534</f>
        <v>0</v>
      </c>
      <c r="AI417" s="70">
        <f>'RESUMEN TOTAL'!AV534</f>
        <v>0</v>
      </c>
      <c r="AJ417" s="70" t="e">
        <f>'RESUMEN TOTAL'!#REF!</f>
        <v>#REF!</v>
      </c>
    </row>
    <row r="418" spans="1:36" x14ac:dyDescent="0.25">
      <c r="A418" t="str">
        <f>'RESUMEN TOTAL'!F540</f>
        <v>VILLA AURORA</v>
      </c>
      <c r="B418" t="str">
        <f>'RESUMEN TOTAL'!G540</f>
        <v>VAU 01</v>
      </c>
      <c r="C418" t="str">
        <f>'RESUMEN TOTAL'!I540</f>
        <v>San Martin y Monteverde</v>
      </c>
      <c r="D418" s="30" t="str">
        <f>'RESUMEN TOTAL'!J540</f>
        <v>Domo</v>
      </c>
      <c r="E418" s="30" t="str">
        <f>'RESUMEN TOTAL'!K540</f>
        <v>Fibra Optica</v>
      </c>
      <c r="F418" s="70">
        <f>'RESUMEN TOTAL'!S540</f>
        <v>0</v>
      </c>
      <c r="G418" s="70">
        <f>'RESUMEN TOTAL'!T540</f>
        <v>0</v>
      </c>
      <c r="H418" s="70">
        <f>'RESUMEN TOTAL'!U540</f>
        <v>0</v>
      </c>
      <c r="I418" s="70">
        <f>'RESUMEN TOTAL'!V540</f>
        <v>0</v>
      </c>
      <c r="J418" s="70">
        <f>'RESUMEN TOTAL'!W540</f>
        <v>0</v>
      </c>
      <c r="K418" s="70">
        <f>'RESUMEN TOTAL'!X540</f>
        <v>0</v>
      </c>
      <c r="L418" s="70">
        <f>'RESUMEN TOTAL'!Y540</f>
        <v>0</v>
      </c>
      <c r="M418" s="70">
        <f>'RESUMEN TOTAL'!Z540</f>
        <v>0</v>
      </c>
      <c r="N418" s="70">
        <f>'RESUMEN TOTAL'!AA540</f>
        <v>0</v>
      </c>
      <c r="O418" s="70">
        <f>'RESUMEN TOTAL'!AB540</f>
        <v>0</v>
      </c>
      <c r="P418" s="70">
        <f>'RESUMEN TOTAL'!AC540</f>
        <v>0</v>
      </c>
      <c r="Q418" s="70">
        <f>'RESUMEN TOTAL'!AD540</f>
        <v>0</v>
      </c>
      <c r="R418" s="70">
        <f>'RESUMEN TOTAL'!AE540</f>
        <v>0</v>
      </c>
      <c r="S418" s="70">
        <f>'RESUMEN TOTAL'!AF540</f>
        <v>0</v>
      </c>
      <c r="T418" s="70">
        <f>'RESUMEN TOTAL'!AG540</f>
        <v>0</v>
      </c>
      <c r="U418" s="70">
        <f>'RESUMEN TOTAL'!AH540</f>
        <v>0</v>
      </c>
      <c r="V418" s="70">
        <f>'RESUMEN TOTAL'!AI540</f>
        <v>0</v>
      </c>
      <c r="W418" s="70">
        <f>'RESUMEN TOTAL'!AJ540</f>
        <v>0</v>
      </c>
      <c r="X418" s="70">
        <f>'RESUMEN TOTAL'!AK540</f>
        <v>0</v>
      </c>
      <c r="Y418" s="70">
        <f>'RESUMEN TOTAL'!AL540</f>
        <v>0</v>
      </c>
      <c r="Z418" s="70">
        <f>'RESUMEN TOTAL'!AM540</f>
        <v>0</v>
      </c>
      <c r="AA418" s="70">
        <f>'RESUMEN TOTAL'!AN540</f>
        <v>0</v>
      </c>
      <c r="AB418" s="70">
        <f>'RESUMEN TOTAL'!AO540</f>
        <v>0</v>
      </c>
      <c r="AC418" s="70">
        <f>'RESUMEN TOTAL'!AP540</f>
        <v>0</v>
      </c>
      <c r="AD418" s="70">
        <f>'RESUMEN TOTAL'!AQ540</f>
        <v>0</v>
      </c>
      <c r="AE418" s="70">
        <f>'RESUMEN TOTAL'!AR540</f>
        <v>0</v>
      </c>
      <c r="AF418" s="70">
        <f>'RESUMEN TOTAL'!AS540</f>
        <v>0</v>
      </c>
      <c r="AG418" s="70">
        <f>'RESUMEN TOTAL'!AT540</f>
        <v>0</v>
      </c>
      <c r="AH418" s="70">
        <f>'RESUMEN TOTAL'!AU540</f>
        <v>0</v>
      </c>
      <c r="AI418" s="70">
        <f>'RESUMEN TOTAL'!AV540</f>
        <v>0</v>
      </c>
      <c r="AJ418" s="70" t="e">
        <f>'RESUMEN TOTAL'!#REF!</f>
        <v>#REF!</v>
      </c>
    </row>
    <row r="419" spans="1:36" x14ac:dyDescent="0.25">
      <c r="A419" t="str">
        <f>'RESUMEN TOTAL'!F541</f>
        <v>SAN EMILIO</v>
      </c>
      <c r="B419" t="str">
        <f>'RESUMEN TOTAL'!G541</f>
        <v>VAU 02</v>
      </c>
      <c r="C419" t="str">
        <f>'RESUMEN TOTAL'!I541</f>
        <v>San Martin y Lope de Vega</v>
      </c>
      <c r="D419" s="30" t="str">
        <f>'RESUMEN TOTAL'!J541</f>
        <v>Domo</v>
      </c>
      <c r="E419" s="30" t="str">
        <f>'RESUMEN TOTAL'!K541</f>
        <v>Fibra Optica</v>
      </c>
      <c r="F419" s="70">
        <f>'RESUMEN TOTAL'!S541</f>
        <v>0</v>
      </c>
      <c r="G419" s="70">
        <f>'RESUMEN TOTAL'!T541</f>
        <v>0</v>
      </c>
      <c r="H419" s="70">
        <f>'RESUMEN TOTAL'!U541</f>
        <v>0</v>
      </c>
      <c r="I419" s="70">
        <f>'RESUMEN TOTAL'!V541</f>
        <v>0</v>
      </c>
      <c r="J419" s="70">
        <f>'RESUMEN TOTAL'!W541</f>
        <v>0</v>
      </c>
      <c r="K419" s="70">
        <f>'RESUMEN TOTAL'!X541</f>
        <v>0</v>
      </c>
      <c r="L419" s="70">
        <f>'RESUMEN TOTAL'!Y541</f>
        <v>0</v>
      </c>
      <c r="M419" s="70">
        <f>'RESUMEN TOTAL'!Z541</f>
        <v>0</v>
      </c>
      <c r="N419" s="70">
        <f>'RESUMEN TOTAL'!AA541</f>
        <v>0</v>
      </c>
      <c r="O419" s="70">
        <f>'RESUMEN TOTAL'!AB541</f>
        <v>0</v>
      </c>
      <c r="P419" s="70">
        <f>'RESUMEN TOTAL'!AC541</f>
        <v>0</v>
      </c>
      <c r="Q419" s="70">
        <f>'RESUMEN TOTAL'!AD541</f>
        <v>0</v>
      </c>
      <c r="R419" s="70">
        <f>'RESUMEN TOTAL'!AE541</f>
        <v>0</v>
      </c>
      <c r="S419" s="70">
        <f>'RESUMEN TOTAL'!AF541</f>
        <v>0</v>
      </c>
      <c r="T419" s="70">
        <f>'RESUMEN TOTAL'!AG541</f>
        <v>0</v>
      </c>
      <c r="U419" s="70">
        <f>'RESUMEN TOTAL'!AH541</f>
        <v>0</v>
      </c>
      <c r="V419" s="70">
        <f>'RESUMEN TOTAL'!AI541</f>
        <v>0</v>
      </c>
      <c r="W419" s="70">
        <f>'RESUMEN TOTAL'!AJ541</f>
        <v>0</v>
      </c>
      <c r="X419" s="70">
        <f>'RESUMEN TOTAL'!AK541</f>
        <v>0</v>
      </c>
      <c r="Y419" s="70">
        <f>'RESUMEN TOTAL'!AL541</f>
        <v>0</v>
      </c>
      <c r="Z419" s="70">
        <f>'RESUMEN TOTAL'!AM541</f>
        <v>0</v>
      </c>
      <c r="AA419" s="70">
        <f>'RESUMEN TOTAL'!AN541</f>
        <v>0</v>
      </c>
      <c r="AB419" s="70">
        <f>'RESUMEN TOTAL'!AO541</f>
        <v>0</v>
      </c>
      <c r="AC419" s="70">
        <f>'RESUMEN TOTAL'!AP541</f>
        <v>0</v>
      </c>
      <c r="AD419" s="70">
        <f>'RESUMEN TOTAL'!AQ541</f>
        <v>0</v>
      </c>
      <c r="AE419" s="70">
        <f>'RESUMEN TOTAL'!AR541</f>
        <v>0</v>
      </c>
      <c r="AF419" s="70">
        <f>'RESUMEN TOTAL'!AS541</f>
        <v>0</v>
      </c>
      <c r="AG419" s="70">
        <f>'RESUMEN TOTAL'!AT541</f>
        <v>0</v>
      </c>
      <c r="AH419" s="70">
        <f>'RESUMEN TOTAL'!AU541</f>
        <v>0</v>
      </c>
      <c r="AI419" s="70">
        <f>'RESUMEN TOTAL'!AV541</f>
        <v>0</v>
      </c>
      <c r="AJ419" s="70" t="e">
        <f>'RESUMEN TOTAL'!#REF!</f>
        <v>#REF!</v>
      </c>
    </row>
    <row r="420" spans="1:36" x14ac:dyDescent="0.25">
      <c r="A420" t="str">
        <f>'RESUMEN TOTAL'!F542</f>
        <v>VILLA AURORA</v>
      </c>
      <c r="B420" t="str">
        <f>'RESUMEN TOTAL'!G542</f>
        <v>VAU 07</v>
      </c>
      <c r="C420" t="str">
        <f>'RESUMEN TOTAL'!I542</f>
        <v>VICTORINO DE LA PLAZA Y MONTEVERDE</v>
      </c>
      <c r="D420" s="30" t="str">
        <f>'RESUMEN TOTAL'!J542</f>
        <v>Domo</v>
      </c>
      <c r="E420" s="30" t="str">
        <f>'RESUMEN TOTAL'!K542</f>
        <v>Fibra Optica</v>
      </c>
      <c r="F420" s="70">
        <f>'RESUMEN TOTAL'!S542</f>
        <v>0</v>
      </c>
      <c r="G420" s="70">
        <f>'RESUMEN TOTAL'!T542</f>
        <v>0</v>
      </c>
      <c r="H420" s="70">
        <f>'RESUMEN TOTAL'!U542</f>
        <v>0</v>
      </c>
      <c r="I420" s="70" t="str">
        <f>'RESUMEN TOTAL'!V542</f>
        <v>APAGADO</v>
      </c>
      <c r="J420" s="70" t="str">
        <f>'RESUMEN TOTAL'!W542</f>
        <v>APAGADO</v>
      </c>
      <c r="K420" s="70" t="str">
        <f>'RESUMEN TOTAL'!X542</f>
        <v>APAGADO</v>
      </c>
      <c r="L420" s="70" t="str">
        <f>'RESUMEN TOTAL'!Y542</f>
        <v>APAGADO</v>
      </c>
      <c r="M420" s="70" t="str">
        <f>'RESUMEN TOTAL'!Z542</f>
        <v>APAGADO</v>
      </c>
      <c r="N420" s="70">
        <f>'RESUMEN TOTAL'!AA542</f>
        <v>0</v>
      </c>
      <c r="O420" s="70">
        <f>'RESUMEN TOTAL'!AB542</f>
        <v>0</v>
      </c>
      <c r="P420" s="70" t="str">
        <f>'RESUMEN TOTAL'!AC542</f>
        <v>APAGADO</v>
      </c>
      <c r="Q420" s="70" t="str">
        <f>'RESUMEN TOTAL'!AD542</f>
        <v>APAGADO</v>
      </c>
      <c r="R420" s="70" t="str">
        <f>'RESUMEN TOTAL'!AE542</f>
        <v>APAGADO</v>
      </c>
      <c r="S420" s="70" t="str">
        <f>'RESUMEN TOTAL'!AF542</f>
        <v>APAGADO</v>
      </c>
      <c r="T420" s="70" t="str">
        <f>'RESUMEN TOTAL'!AG542</f>
        <v>APAGADO</v>
      </c>
      <c r="U420" s="70">
        <f>'RESUMEN TOTAL'!AH542</f>
        <v>0</v>
      </c>
      <c r="V420" s="70">
        <f>'RESUMEN TOTAL'!AI542</f>
        <v>0</v>
      </c>
      <c r="W420" s="70" t="str">
        <f>'RESUMEN TOTAL'!AJ542</f>
        <v>APAGADO</v>
      </c>
      <c r="X420" s="70" t="str">
        <f>'RESUMEN TOTAL'!AK542</f>
        <v>APAGADO</v>
      </c>
      <c r="Y420" s="70" t="str">
        <f>'RESUMEN TOTAL'!AL542</f>
        <v>APAGADO</v>
      </c>
      <c r="Z420" s="70" t="str">
        <f>'RESUMEN TOTAL'!AM542</f>
        <v>APAGADO</v>
      </c>
      <c r="AA420" s="70" t="str">
        <f>'RESUMEN TOTAL'!AN542</f>
        <v>APAGADO</v>
      </c>
      <c r="AB420" s="70">
        <f>'RESUMEN TOTAL'!AO542</f>
        <v>0</v>
      </c>
      <c r="AC420" s="70">
        <f>'RESUMEN TOTAL'!AP542</f>
        <v>0</v>
      </c>
      <c r="AD420" s="70">
        <f>'RESUMEN TOTAL'!AQ542</f>
        <v>0</v>
      </c>
      <c r="AE420" s="70" t="str">
        <f>'RESUMEN TOTAL'!AR542</f>
        <v>APAGADO</v>
      </c>
      <c r="AF420" s="70" t="str">
        <f>'RESUMEN TOTAL'!AS542</f>
        <v>APAGADO</v>
      </c>
      <c r="AG420" s="70">
        <f>'RESUMEN TOTAL'!AT542</f>
        <v>0</v>
      </c>
      <c r="AH420" s="70">
        <f>'RESUMEN TOTAL'!AU542</f>
        <v>0</v>
      </c>
      <c r="AI420" s="70">
        <f>'RESUMEN TOTAL'!AV542</f>
        <v>0</v>
      </c>
      <c r="AJ420" s="70" t="e">
        <f>'RESUMEN TOTAL'!#REF!</f>
        <v>#REF!</v>
      </c>
    </row>
    <row r="421" spans="1:36" x14ac:dyDescent="0.25">
      <c r="A421" t="str">
        <f>'RESUMEN TOTAL'!F543</f>
        <v>VILLA AURORA</v>
      </c>
      <c r="B421" t="str">
        <f>'RESUMEN TOTAL'!G543</f>
        <v>VAU03 (fija 1)</v>
      </c>
      <c r="C421" t="str">
        <f>'RESUMEN TOTAL'!I543</f>
        <v>PIZZURNO Y NUESTRAS MALVINAS</v>
      </c>
      <c r="D421" s="30" t="str">
        <f>'RESUMEN TOTAL'!J543</f>
        <v>Fija</v>
      </c>
      <c r="E421" s="30" t="str">
        <f>'RESUMEN TOTAL'!K543</f>
        <v>Fibra Optica</v>
      </c>
      <c r="F421" s="70">
        <f>'RESUMEN TOTAL'!S543</f>
        <v>0</v>
      </c>
      <c r="G421" s="70">
        <f>'RESUMEN TOTAL'!T543</f>
        <v>0</v>
      </c>
      <c r="H421" s="70">
        <f>'RESUMEN TOTAL'!U543</f>
        <v>0</v>
      </c>
      <c r="I421" s="70">
        <f>'RESUMEN TOTAL'!V543</f>
        <v>0</v>
      </c>
      <c r="J421" s="70">
        <f>'RESUMEN TOTAL'!W543</f>
        <v>0</v>
      </c>
      <c r="K421" s="70">
        <f>'RESUMEN TOTAL'!X543</f>
        <v>0</v>
      </c>
      <c r="L421" s="70">
        <f>'RESUMEN TOTAL'!Y543</f>
        <v>0</v>
      </c>
      <c r="M421" s="70">
        <f>'RESUMEN TOTAL'!Z543</f>
        <v>0</v>
      </c>
      <c r="N421" s="70">
        <f>'RESUMEN TOTAL'!AA543</f>
        <v>0</v>
      </c>
      <c r="O421" s="70">
        <f>'RESUMEN TOTAL'!AB543</f>
        <v>0</v>
      </c>
      <c r="P421" s="70" t="str">
        <f>'RESUMEN TOTAL'!AC543</f>
        <v>APAGADO</v>
      </c>
      <c r="Q421" s="70" t="str">
        <f>'RESUMEN TOTAL'!AD543</f>
        <v>APAGADO</v>
      </c>
      <c r="R421" s="70" t="str">
        <f>'RESUMEN TOTAL'!AE543</f>
        <v>APAGADO</v>
      </c>
      <c r="S421" s="70" t="str">
        <f>'RESUMEN TOTAL'!AF543</f>
        <v>APAGADO</v>
      </c>
      <c r="T421" s="70" t="str">
        <f>'RESUMEN TOTAL'!AG543</f>
        <v>APAGADO</v>
      </c>
      <c r="U421" s="70">
        <f>'RESUMEN TOTAL'!AH543</f>
        <v>0</v>
      </c>
      <c r="V421" s="70">
        <f>'RESUMEN TOTAL'!AI543</f>
        <v>0</v>
      </c>
      <c r="W421" s="70" t="str">
        <f>'RESUMEN TOTAL'!AJ543</f>
        <v>APAGADO</v>
      </c>
      <c r="X421" s="70" t="str">
        <f>'RESUMEN TOTAL'!AK543</f>
        <v>APAGADO</v>
      </c>
      <c r="Y421" s="70">
        <f>'RESUMEN TOTAL'!AL543</f>
        <v>0</v>
      </c>
      <c r="Z421" s="70">
        <f>'RESUMEN TOTAL'!AM543</f>
        <v>0</v>
      </c>
      <c r="AA421" s="70">
        <f>'RESUMEN TOTAL'!AN543</f>
        <v>0</v>
      </c>
      <c r="AB421" s="70">
        <f>'RESUMEN TOTAL'!AO543</f>
        <v>0</v>
      </c>
      <c r="AC421" s="70">
        <f>'RESUMEN TOTAL'!AP543</f>
        <v>0</v>
      </c>
      <c r="AD421" s="70">
        <f>'RESUMEN TOTAL'!AQ543</f>
        <v>0</v>
      </c>
      <c r="AE421" s="70">
        <f>'RESUMEN TOTAL'!AR543</f>
        <v>0</v>
      </c>
      <c r="AF421" s="70">
        <f>'RESUMEN TOTAL'!AS543</f>
        <v>0</v>
      </c>
      <c r="AG421" s="70">
        <f>'RESUMEN TOTAL'!AT543</f>
        <v>0</v>
      </c>
      <c r="AH421" s="70">
        <f>'RESUMEN TOTAL'!AU543</f>
        <v>0</v>
      </c>
      <c r="AI421" s="70">
        <f>'RESUMEN TOTAL'!AV543</f>
        <v>0</v>
      </c>
      <c r="AJ421" s="70" t="e">
        <f>'RESUMEN TOTAL'!#REF!</f>
        <v>#REF!</v>
      </c>
    </row>
    <row r="422" spans="1:36" x14ac:dyDescent="0.25">
      <c r="A422" t="str">
        <f>'RESUMEN TOTAL'!F544</f>
        <v>VILLA AURORA</v>
      </c>
      <c r="B422" t="str">
        <f>'RESUMEN TOTAL'!G544</f>
        <v>VAU04 (fija 2)</v>
      </c>
      <c r="C422" t="str">
        <f>'RESUMEN TOTAL'!I544</f>
        <v>PIZZURNO Y NUESTRAS MALVINAS</v>
      </c>
      <c r="D422" s="30" t="str">
        <f>'RESUMEN TOTAL'!J544</f>
        <v>Fija</v>
      </c>
      <c r="E422" s="30" t="str">
        <f>'RESUMEN TOTAL'!K544</f>
        <v>Fibra Optica</v>
      </c>
      <c r="F422" s="70">
        <f>'RESUMEN TOTAL'!S544</f>
        <v>0</v>
      </c>
      <c r="G422" s="70">
        <f>'RESUMEN TOTAL'!T544</f>
        <v>0</v>
      </c>
      <c r="H422" s="70">
        <f>'RESUMEN TOTAL'!U544</f>
        <v>0</v>
      </c>
      <c r="I422" s="70">
        <f>'RESUMEN TOTAL'!V544</f>
        <v>0</v>
      </c>
      <c r="J422" s="70">
        <f>'RESUMEN TOTAL'!W544</f>
        <v>0</v>
      </c>
      <c r="K422" s="70">
        <f>'RESUMEN TOTAL'!X544</f>
        <v>0</v>
      </c>
      <c r="L422" s="70">
        <f>'RESUMEN TOTAL'!Y544</f>
        <v>0</v>
      </c>
      <c r="M422" s="70">
        <f>'RESUMEN TOTAL'!Z544</f>
        <v>0</v>
      </c>
      <c r="N422" s="70">
        <f>'RESUMEN TOTAL'!AA544</f>
        <v>0</v>
      </c>
      <c r="O422" s="70">
        <f>'RESUMEN TOTAL'!AB544</f>
        <v>0</v>
      </c>
      <c r="P422" s="70" t="str">
        <f>'RESUMEN TOTAL'!AC544</f>
        <v>APAGADO</v>
      </c>
      <c r="Q422" s="70" t="str">
        <f>'RESUMEN TOTAL'!AD544</f>
        <v>APAGADO</v>
      </c>
      <c r="R422" s="70" t="str">
        <f>'RESUMEN TOTAL'!AE544</f>
        <v>APAGADO</v>
      </c>
      <c r="S422" s="70" t="str">
        <f>'RESUMEN TOTAL'!AF544</f>
        <v>APAGADO</v>
      </c>
      <c r="T422" s="70" t="str">
        <f>'RESUMEN TOTAL'!AG544</f>
        <v>APAGADO</v>
      </c>
      <c r="U422" s="70">
        <f>'RESUMEN TOTAL'!AH544</f>
        <v>0</v>
      </c>
      <c r="V422" s="70">
        <f>'RESUMEN TOTAL'!AI544</f>
        <v>0</v>
      </c>
      <c r="W422" s="70" t="str">
        <f>'RESUMEN TOTAL'!AJ544</f>
        <v>APAGADO</v>
      </c>
      <c r="X422" s="70" t="str">
        <f>'RESUMEN TOTAL'!AK544</f>
        <v>APAGADO</v>
      </c>
      <c r="Y422" s="70">
        <f>'RESUMEN TOTAL'!AL544</f>
        <v>0</v>
      </c>
      <c r="Z422" s="70">
        <f>'RESUMEN TOTAL'!AM544</f>
        <v>0</v>
      </c>
      <c r="AA422" s="70">
        <f>'RESUMEN TOTAL'!AN544</f>
        <v>0</v>
      </c>
      <c r="AB422" s="70">
        <f>'RESUMEN TOTAL'!AO544</f>
        <v>0</v>
      </c>
      <c r="AC422" s="70">
        <f>'RESUMEN TOTAL'!AP544</f>
        <v>0</v>
      </c>
      <c r="AD422" s="70">
        <f>'RESUMEN TOTAL'!AQ544</f>
        <v>0</v>
      </c>
      <c r="AE422" s="70">
        <f>'RESUMEN TOTAL'!AR544</f>
        <v>0</v>
      </c>
      <c r="AF422" s="70">
        <f>'RESUMEN TOTAL'!AS544</f>
        <v>0</v>
      </c>
      <c r="AG422" s="70">
        <f>'RESUMEN TOTAL'!AT544</f>
        <v>0</v>
      </c>
      <c r="AH422" s="70">
        <f>'RESUMEN TOTAL'!AU544</f>
        <v>0</v>
      </c>
      <c r="AI422" s="70">
        <f>'RESUMEN TOTAL'!AV544</f>
        <v>0</v>
      </c>
      <c r="AJ422" s="70" t="e">
        <f>'RESUMEN TOTAL'!#REF!</f>
        <v>#REF!</v>
      </c>
    </row>
    <row r="423" spans="1:36" x14ac:dyDescent="0.25">
      <c r="A423" t="str">
        <f>'RESUMEN TOTAL'!F545</f>
        <v>VILLA AURORA</v>
      </c>
      <c r="B423" t="str">
        <f>'RESUMEN TOTAL'!G545</f>
        <v>VAU05 (fija 1)</v>
      </c>
      <c r="C423" t="str">
        <f>'RESUMEN TOTAL'!I545</f>
        <v>GUIDO SPANO Y VICTORINO DE LA PLAZA</v>
      </c>
      <c r="D423" s="30" t="str">
        <f>'RESUMEN TOTAL'!J545</f>
        <v>Fija</v>
      </c>
      <c r="E423" s="30" t="str">
        <f>'RESUMEN TOTAL'!K545</f>
        <v>Fibra Optica</v>
      </c>
      <c r="F423" s="70">
        <f>'RESUMEN TOTAL'!S545</f>
        <v>0</v>
      </c>
      <c r="G423" s="70">
        <f>'RESUMEN TOTAL'!T545</f>
        <v>0</v>
      </c>
      <c r="H423" s="70">
        <f>'RESUMEN TOTAL'!U545</f>
        <v>0</v>
      </c>
      <c r="I423" s="70">
        <f>'RESUMEN TOTAL'!V545</f>
        <v>0</v>
      </c>
      <c r="J423" s="70">
        <f>'RESUMEN TOTAL'!W545</f>
        <v>0</v>
      </c>
      <c r="K423" s="70">
        <f>'RESUMEN TOTAL'!X545</f>
        <v>0</v>
      </c>
      <c r="L423" s="70">
        <f>'RESUMEN TOTAL'!Y545</f>
        <v>0</v>
      </c>
      <c r="M423" s="70">
        <f>'RESUMEN TOTAL'!Z545</f>
        <v>0</v>
      </c>
      <c r="N423" s="70">
        <f>'RESUMEN TOTAL'!AA545</f>
        <v>0</v>
      </c>
      <c r="O423" s="70">
        <f>'RESUMEN TOTAL'!AB545</f>
        <v>0</v>
      </c>
      <c r="P423" s="70">
        <f>'RESUMEN TOTAL'!AC545</f>
        <v>0</v>
      </c>
      <c r="Q423" s="70">
        <f>'RESUMEN TOTAL'!AD545</f>
        <v>0</v>
      </c>
      <c r="R423" s="70">
        <f>'RESUMEN TOTAL'!AE545</f>
        <v>0</v>
      </c>
      <c r="S423" s="70">
        <f>'RESUMEN TOTAL'!AF545</f>
        <v>0</v>
      </c>
      <c r="T423" s="70">
        <f>'RESUMEN TOTAL'!AG545</f>
        <v>0</v>
      </c>
      <c r="U423" s="70">
        <f>'RESUMEN TOTAL'!AH545</f>
        <v>0</v>
      </c>
      <c r="V423" s="70">
        <f>'RESUMEN TOTAL'!AI545</f>
        <v>0</v>
      </c>
      <c r="W423" s="70">
        <f>'RESUMEN TOTAL'!AJ545</f>
        <v>0</v>
      </c>
      <c r="X423" s="70">
        <f>'RESUMEN TOTAL'!AK545</f>
        <v>0</v>
      </c>
      <c r="Y423" s="70">
        <f>'RESUMEN TOTAL'!AL545</f>
        <v>0</v>
      </c>
      <c r="Z423" s="70">
        <f>'RESUMEN TOTAL'!AM545</f>
        <v>0</v>
      </c>
      <c r="AA423" s="70">
        <f>'RESUMEN TOTAL'!AN545</f>
        <v>0</v>
      </c>
      <c r="AB423" s="70">
        <f>'RESUMEN TOTAL'!AO545</f>
        <v>0</v>
      </c>
      <c r="AC423" s="70">
        <f>'RESUMEN TOTAL'!AP545</f>
        <v>0</v>
      </c>
      <c r="AD423" s="70">
        <f>'RESUMEN TOTAL'!AQ545</f>
        <v>0</v>
      </c>
      <c r="AE423" s="70">
        <f>'RESUMEN TOTAL'!AR545</f>
        <v>0</v>
      </c>
      <c r="AF423" s="70">
        <f>'RESUMEN TOTAL'!AS545</f>
        <v>0</v>
      </c>
      <c r="AG423" s="70">
        <f>'RESUMEN TOTAL'!AT545</f>
        <v>0</v>
      </c>
      <c r="AH423" s="70">
        <f>'RESUMEN TOTAL'!AU545</f>
        <v>0</v>
      </c>
      <c r="AI423" s="70">
        <f>'RESUMEN TOTAL'!AV545</f>
        <v>0</v>
      </c>
      <c r="AJ423" s="70" t="e">
        <f>'RESUMEN TOTAL'!#REF!</f>
        <v>#REF!</v>
      </c>
    </row>
    <row r="424" spans="1:36" x14ac:dyDescent="0.25">
      <c r="A424" t="str">
        <f>'RESUMEN TOTAL'!F546</f>
        <v>VILLA AURORA</v>
      </c>
      <c r="B424" t="str">
        <f>'RESUMEN TOTAL'!G546</f>
        <v>VAU06 (fija 2)</v>
      </c>
      <c r="C424" t="str">
        <f>'RESUMEN TOTAL'!I546</f>
        <v>GUIDO SPANO Y VICTORINO DE LA PLAZA</v>
      </c>
      <c r="D424" s="30" t="str">
        <f>'RESUMEN TOTAL'!J546</f>
        <v>Fija</v>
      </c>
      <c r="E424" s="30" t="str">
        <f>'RESUMEN TOTAL'!K546</f>
        <v>Fibra Optica</v>
      </c>
      <c r="F424" s="70">
        <f>'RESUMEN TOTAL'!S546</f>
        <v>0</v>
      </c>
      <c r="G424" s="70">
        <f>'RESUMEN TOTAL'!T546</f>
        <v>0</v>
      </c>
      <c r="H424" s="70">
        <f>'RESUMEN TOTAL'!U546</f>
        <v>0</v>
      </c>
      <c r="I424" s="70">
        <f>'RESUMEN TOTAL'!V546</f>
        <v>0</v>
      </c>
      <c r="J424" s="70">
        <f>'RESUMEN TOTAL'!W546</f>
        <v>0</v>
      </c>
      <c r="K424" s="70">
        <f>'RESUMEN TOTAL'!X546</f>
        <v>0</v>
      </c>
      <c r="L424" s="70">
        <f>'RESUMEN TOTAL'!Y546</f>
        <v>0</v>
      </c>
      <c r="M424" s="70">
        <f>'RESUMEN TOTAL'!Z546</f>
        <v>0</v>
      </c>
      <c r="N424" s="70">
        <f>'RESUMEN TOTAL'!AA546</f>
        <v>0</v>
      </c>
      <c r="O424" s="70">
        <f>'RESUMEN TOTAL'!AB546</f>
        <v>0</v>
      </c>
      <c r="P424" s="70">
        <f>'RESUMEN TOTAL'!AC546</f>
        <v>0</v>
      </c>
      <c r="Q424" s="70">
        <f>'RESUMEN TOTAL'!AD546</f>
        <v>0</v>
      </c>
      <c r="R424" s="70">
        <f>'RESUMEN TOTAL'!AE546</f>
        <v>0</v>
      </c>
      <c r="S424" s="70">
        <f>'RESUMEN TOTAL'!AF546</f>
        <v>0</v>
      </c>
      <c r="T424" s="70">
        <f>'RESUMEN TOTAL'!AG546</f>
        <v>0</v>
      </c>
      <c r="U424" s="70">
        <f>'RESUMEN TOTAL'!AH546</f>
        <v>0</v>
      </c>
      <c r="V424" s="70">
        <f>'RESUMEN TOTAL'!AI546</f>
        <v>0</v>
      </c>
      <c r="W424" s="70">
        <f>'RESUMEN TOTAL'!AJ546</f>
        <v>0</v>
      </c>
      <c r="X424" s="70">
        <f>'RESUMEN TOTAL'!AK546</f>
        <v>0</v>
      </c>
      <c r="Y424" s="70">
        <f>'RESUMEN TOTAL'!AL546</f>
        <v>0</v>
      </c>
      <c r="Z424" s="70">
        <f>'RESUMEN TOTAL'!AM546</f>
        <v>0</v>
      </c>
      <c r="AA424" s="70">
        <f>'RESUMEN TOTAL'!AN546</f>
        <v>0</v>
      </c>
      <c r="AB424" s="70">
        <f>'RESUMEN TOTAL'!AO546</f>
        <v>0</v>
      </c>
      <c r="AC424" s="70">
        <f>'RESUMEN TOTAL'!AP546</f>
        <v>0</v>
      </c>
      <c r="AD424" s="70">
        <f>'RESUMEN TOTAL'!AQ546</f>
        <v>0</v>
      </c>
      <c r="AE424" s="70">
        <f>'RESUMEN TOTAL'!AR546</f>
        <v>0</v>
      </c>
      <c r="AF424" s="70">
        <f>'RESUMEN TOTAL'!AS546</f>
        <v>0</v>
      </c>
      <c r="AG424" s="70">
        <f>'RESUMEN TOTAL'!AT546</f>
        <v>0</v>
      </c>
      <c r="AH424" s="70">
        <f>'RESUMEN TOTAL'!AU546</f>
        <v>0</v>
      </c>
      <c r="AI424" s="70">
        <f>'RESUMEN TOTAL'!AV546</f>
        <v>0</v>
      </c>
      <c r="AJ424" s="70" t="e">
        <f>'RESUMEN TOTAL'!#REF!</f>
        <v>#REF!</v>
      </c>
    </row>
    <row r="425" spans="1:36" x14ac:dyDescent="0.25">
      <c r="A425" t="str">
        <f>'RESUMEN TOTAL'!F547</f>
        <v>VILLA AURORA</v>
      </c>
      <c r="B425" t="str">
        <f>'RESUMEN TOTAL'!G547</f>
        <v>VAU08</v>
      </c>
      <c r="C425" t="str">
        <f>'RESUMEN TOTAL'!I547</f>
        <v>MONTEVERDE Y WASHINGTON</v>
      </c>
      <c r="D425" s="30" t="str">
        <f>'RESUMEN TOTAL'!J547</f>
        <v>DOMO</v>
      </c>
      <c r="E425" s="30" t="str">
        <f>'RESUMEN TOTAL'!K547</f>
        <v>Fibra Optica</v>
      </c>
      <c r="F425" s="70">
        <f>'RESUMEN TOTAL'!S547</f>
        <v>0</v>
      </c>
      <c r="G425" s="70">
        <f>'RESUMEN TOTAL'!T547</f>
        <v>0</v>
      </c>
      <c r="H425" s="70">
        <f>'RESUMEN TOTAL'!U547</f>
        <v>0</v>
      </c>
      <c r="I425" s="70">
        <f>'RESUMEN TOTAL'!V547</f>
        <v>0</v>
      </c>
      <c r="J425" s="70">
        <f>'RESUMEN TOTAL'!W547</f>
        <v>0</v>
      </c>
      <c r="K425" s="70">
        <f>'RESUMEN TOTAL'!X547</f>
        <v>0</v>
      </c>
      <c r="L425" s="70">
        <f>'RESUMEN TOTAL'!Y547</f>
        <v>0</v>
      </c>
      <c r="M425" s="70">
        <f>'RESUMEN TOTAL'!Z547</f>
        <v>0</v>
      </c>
      <c r="N425" s="70">
        <f>'RESUMEN TOTAL'!AA547</f>
        <v>0</v>
      </c>
      <c r="O425" s="70">
        <f>'RESUMEN TOTAL'!AB547</f>
        <v>0</v>
      </c>
      <c r="P425" s="70">
        <f>'RESUMEN TOTAL'!AC547</f>
        <v>0</v>
      </c>
      <c r="Q425" s="70">
        <f>'RESUMEN TOTAL'!AD547</f>
        <v>0</v>
      </c>
      <c r="R425" s="70">
        <f>'RESUMEN TOTAL'!AE547</f>
        <v>0</v>
      </c>
      <c r="S425" s="70">
        <f>'RESUMEN TOTAL'!AF547</f>
        <v>0</v>
      </c>
      <c r="T425" s="70">
        <f>'RESUMEN TOTAL'!AG547</f>
        <v>0</v>
      </c>
      <c r="U425" s="70">
        <f>'RESUMEN TOTAL'!AH547</f>
        <v>0</v>
      </c>
      <c r="V425" s="70">
        <f>'RESUMEN TOTAL'!AI547</f>
        <v>0</v>
      </c>
      <c r="W425" s="70">
        <f>'RESUMEN TOTAL'!AJ547</f>
        <v>0</v>
      </c>
      <c r="X425" s="70">
        <f>'RESUMEN TOTAL'!AK547</f>
        <v>0</v>
      </c>
      <c r="Y425" s="70">
        <f>'RESUMEN TOTAL'!AL547</f>
        <v>0</v>
      </c>
      <c r="Z425" s="70">
        <f>'RESUMEN TOTAL'!AM547</f>
        <v>0</v>
      </c>
      <c r="AA425" s="70">
        <f>'RESUMEN TOTAL'!AN547</f>
        <v>0</v>
      </c>
      <c r="AB425" s="70">
        <f>'RESUMEN TOTAL'!AO547</f>
        <v>0</v>
      </c>
      <c r="AC425" s="70">
        <f>'RESUMEN TOTAL'!AP547</f>
        <v>0</v>
      </c>
      <c r="AD425" s="70">
        <f>'RESUMEN TOTAL'!AQ547</f>
        <v>0</v>
      </c>
      <c r="AE425" s="70">
        <f>'RESUMEN TOTAL'!AR547</f>
        <v>0</v>
      </c>
      <c r="AF425" s="70">
        <f>'RESUMEN TOTAL'!AS547</f>
        <v>0</v>
      </c>
      <c r="AG425" s="70">
        <f>'RESUMEN TOTAL'!AT547</f>
        <v>0</v>
      </c>
      <c r="AH425" s="70">
        <f>'RESUMEN TOTAL'!AU547</f>
        <v>0</v>
      </c>
      <c r="AI425" s="70">
        <f>'RESUMEN TOTAL'!AV547</f>
        <v>0</v>
      </c>
      <c r="AJ425" s="70" t="e">
        <f>'RESUMEN TOTAL'!#REF!</f>
        <v>#REF!</v>
      </c>
    </row>
    <row r="426" spans="1:36" x14ac:dyDescent="0.25">
      <c r="A426" t="str">
        <f>'RESUMEN TOTAL'!F549</f>
        <v>VILLA DEL PLATA</v>
      </c>
      <c r="B426" t="str">
        <f>'RESUMEN TOTAL'!G549</f>
        <v>VDPL01</v>
      </c>
      <c r="C426" t="str">
        <f>'RESUMEN TOTAL'!I549</f>
        <v>Abrahan y Delgado</v>
      </c>
      <c r="D426" s="30" t="str">
        <f>'RESUMEN TOTAL'!J549</f>
        <v>DOMO</v>
      </c>
      <c r="E426" s="30" t="str">
        <f>'RESUMEN TOTAL'!K549</f>
        <v>GPON</v>
      </c>
      <c r="F426" s="70">
        <f>'RESUMEN TOTAL'!S549</f>
        <v>0</v>
      </c>
      <c r="G426" s="70">
        <f>'RESUMEN TOTAL'!T549</f>
        <v>0</v>
      </c>
      <c r="H426" s="70">
        <f>'RESUMEN TOTAL'!U549</f>
        <v>0</v>
      </c>
      <c r="I426" s="70">
        <f>'RESUMEN TOTAL'!V549</f>
        <v>0</v>
      </c>
      <c r="J426" s="70">
        <f>'RESUMEN TOTAL'!W549</f>
        <v>0</v>
      </c>
      <c r="K426" s="70">
        <f>'RESUMEN TOTAL'!X549</f>
        <v>0</v>
      </c>
      <c r="L426" s="70">
        <f>'RESUMEN TOTAL'!Y549</f>
        <v>0</v>
      </c>
      <c r="M426" s="70">
        <f>'RESUMEN TOTAL'!Z549</f>
        <v>0</v>
      </c>
      <c r="N426" s="70">
        <f>'RESUMEN TOTAL'!AA549</f>
        <v>0</v>
      </c>
      <c r="O426" s="70">
        <f>'RESUMEN TOTAL'!AB549</f>
        <v>0</v>
      </c>
      <c r="P426" s="70">
        <f>'RESUMEN TOTAL'!AC549</f>
        <v>0</v>
      </c>
      <c r="Q426" s="70">
        <f>'RESUMEN TOTAL'!AD549</f>
        <v>0</v>
      </c>
      <c r="R426" s="70">
        <f>'RESUMEN TOTAL'!AE549</f>
        <v>0</v>
      </c>
      <c r="S426" s="70">
        <f>'RESUMEN TOTAL'!AF549</f>
        <v>0</v>
      </c>
      <c r="T426" s="70">
        <f>'RESUMEN TOTAL'!AG549</f>
        <v>0</v>
      </c>
      <c r="U426" s="70">
        <f>'RESUMEN TOTAL'!AH549</f>
        <v>0</v>
      </c>
      <c r="V426" s="70">
        <f>'RESUMEN TOTAL'!AI549</f>
        <v>0</v>
      </c>
      <c r="W426" s="70">
        <f>'RESUMEN TOTAL'!AJ549</f>
        <v>0</v>
      </c>
      <c r="X426" s="70">
        <f>'RESUMEN TOTAL'!AK549</f>
        <v>0</v>
      </c>
      <c r="Y426" s="70">
        <f>'RESUMEN TOTAL'!AL549</f>
        <v>0</v>
      </c>
      <c r="Z426" s="70">
        <f>'RESUMEN TOTAL'!AM549</f>
        <v>0</v>
      </c>
      <c r="AA426" s="70">
        <f>'RESUMEN TOTAL'!AN549</f>
        <v>0</v>
      </c>
      <c r="AB426" s="70">
        <f>'RESUMEN TOTAL'!AO549</f>
        <v>0</v>
      </c>
      <c r="AC426" s="70">
        <f>'RESUMEN TOTAL'!AP549</f>
        <v>0</v>
      </c>
      <c r="AD426" s="70">
        <f>'RESUMEN TOTAL'!AQ549</f>
        <v>0</v>
      </c>
      <c r="AE426" s="70">
        <f>'RESUMEN TOTAL'!AR549</f>
        <v>0</v>
      </c>
      <c r="AF426" s="70">
        <f>'RESUMEN TOTAL'!AS549</f>
        <v>0</v>
      </c>
      <c r="AG426" s="70">
        <f>'RESUMEN TOTAL'!AT549</f>
        <v>0</v>
      </c>
      <c r="AH426" s="70">
        <f>'RESUMEN TOTAL'!AU549</f>
        <v>0</v>
      </c>
      <c r="AI426" s="70">
        <f>'RESUMEN TOTAL'!AV549</f>
        <v>0</v>
      </c>
      <c r="AJ426" s="70" t="e">
        <f>'RESUMEN TOTAL'!#REF!</f>
        <v>#REF!</v>
      </c>
    </row>
    <row r="427" spans="1:36" x14ac:dyDescent="0.25">
      <c r="A427" t="str">
        <f>'RESUMEN TOTAL'!F550</f>
        <v>VILLA DEL PLATA</v>
      </c>
      <c r="B427" t="str">
        <f>'RESUMEN TOTAL'!G550</f>
        <v>VDPL02</v>
      </c>
      <c r="C427" t="str">
        <f>'RESUMEN TOTAL'!I550</f>
        <v>Thevenet y Berutti</v>
      </c>
      <c r="D427" s="30" t="str">
        <f>'RESUMEN TOTAL'!J550</f>
        <v>Domo</v>
      </c>
      <c r="E427" s="30" t="str">
        <f>'RESUMEN TOTAL'!K550</f>
        <v>Fibra Optica</v>
      </c>
      <c r="F427" s="70">
        <f>'RESUMEN TOTAL'!S550</f>
        <v>0</v>
      </c>
      <c r="G427" s="70">
        <f>'RESUMEN TOTAL'!T550</f>
        <v>0</v>
      </c>
      <c r="H427" s="70">
        <f>'RESUMEN TOTAL'!U550</f>
        <v>0</v>
      </c>
      <c r="I427" s="70">
        <f>'RESUMEN TOTAL'!V550</f>
        <v>0</v>
      </c>
      <c r="J427" s="70">
        <f>'RESUMEN TOTAL'!W550</f>
        <v>0</v>
      </c>
      <c r="K427" s="70">
        <f>'RESUMEN TOTAL'!X550</f>
        <v>0</v>
      </c>
      <c r="L427" s="70">
        <f>'RESUMEN TOTAL'!Y550</f>
        <v>0</v>
      </c>
      <c r="M427" s="70">
        <f>'RESUMEN TOTAL'!Z550</f>
        <v>0</v>
      </c>
      <c r="N427" s="70">
        <f>'RESUMEN TOTAL'!AA550</f>
        <v>0</v>
      </c>
      <c r="O427" s="70">
        <f>'RESUMEN TOTAL'!AB550</f>
        <v>0</v>
      </c>
      <c r="P427" s="70">
        <f>'RESUMEN TOTAL'!AC550</f>
        <v>0</v>
      </c>
      <c r="Q427" s="70">
        <f>'RESUMEN TOTAL'!AD550</f>
        <v>0</v>
      </c>
      <c r="R427" s="70">
        <f>'RESUMEN TOTAL'!AE550</f>
        <v>0</v>
      </c>
      <c r="S427" s="70">
        <f>'RESUMEN TOTAL'!AF550</f>
        <v>0</v>
      </c>
      <c r="T427" s="70">
        <f>'RESUMEN TOTAL'!AG550</f>
        <v>0</v>
      </c>
      <c r="U427" s="70">
        <f>'RESUMEN TOTAL'!AH550</f>
        <v>0</v>
      </c>
      <c r="V427" s="70">
        <f>'RESUMEN TOTAL'!AI550</f>
        <v>0</v>
      </c>
      <c r="W427" s="70">
        <f>'RESUMEN TOTAL'!AJ550</f>
        <v>0</v>
      </c>
      <c r="X427" s="70">
        <f>'RESUMEN TOTAL'!AK550</f>
        <v>0</v>
      </c>
      <c r="Y427" s="70">
        <f>'RESUMEN TOTAL'!AL550</f>
        <v>0</v>
      </c>
      <c r="Z427" s="70">
        <f>'RESUMEN TOTAL'!AM550</f>
        <v>0</v>
      </c>
      <c r="AA427" s="70">
        <f>'RESUMEN TOTAL'!AN550</f>
        <v>0</v>
      </c>
      <c r="AB427" s="70">
        <f>'RESUMEN TOTAL'!AO550</f>
        <v>0</v>
      </c>
      <c r="AC427" s="70">
        <f>'RESUMEN TOTAL'!AP550</f>
        <v>0</v>
      </c>
      <c r="AD427" s="70">
        <f>'RESUMEN TOTAL'!AQ550</f>
        <v>0</v>
      </c>
      <c r="AE427" s="70">
        <f>'RESUMEN TOTAL'!AR550</f>
        <v>0</v>
      </c>
      <c r="AF427" s="70">
        <f>'RESUMEN TOTAL'!AS550</f>
        <v>0</v>
      </c>
      <c r="AG427" s="70">
        <f>'RESUMEN TOTAL'!AT550</f>
        <v>0</v>
      </c>
      <c r="AH427" s="70">
        <f>'RESUMEN TOTAL'!AU550</f>
        <v>0</v>
      </c>
      <c r="AI427" s="70">
        <f>'RESUMEN TOTAL'!AV550</f>
        <v>0</v>
      </c>
      <c r="AJ427" s="70" t="e">
        <f>'RESUMEN TOTAL'!#REF!</f>
        <v>#REF!</v>
      </c>
    </row>
    <row r="428" spans="1:36" x14ac:dyDescent="0.25">
      <c r="A428" t="str">
        <f>'RESUMEN TOTAL'!F551</f>
        <v>VILLA DEL PLATA</v>
      </c>
      <c r="B428" t="str">
        <f>'RESUMEN TOTAL'!G551</f>
        <v>VDPL03</v>
      </c>
      <c r="C428" t="str">
        <f>'RESUMEN TOTAL'!I551</f>
        <v>Neuquen y Alvarado</v>
      </c>
      <c r="D428" s="30" t="str">
        <f>'RESUMEN TOTAL'!J551</f>
        <v>Domo</v>
      </c>
      <c r="E428" s="30" t="str">
        <f>'RESUMEN TOTAL'!K551</f>
        <v>GPON</v>
      </c>
      <c r="F428" s="70">
        <f>'RESUMEN TOTAL'!S551</f>
        <v>0</v>
      </c>
      <c r="G428" s="70">
        <f>'RESUMEN TOTAL'!T551</f>
        <v>0</v>
      </c>
      <c r="H428" s="70">
        <f>'RESUMEN TOTAL'!U551</f>
        <v>0</v>
      </c>
      <c r="I428" s="70" t="str">
        <f>'RESUMEN TOTAL'!V551</f>
        <v>APAGADO</v>
      </c>
      <c r="J428" s="70" t="str">
        <f>'RESUMEN TOTAL'!W551</f>
        <v>APAGADO</v>
      </c>
      <c r="K428" s="70" t="str">
        <f>'RESUMEN TOTAL'!X551</f>
        <v>APAGADO</v>
      </c>
      <c r="L428" s="70" t="str">
        <f>'RESUMEN TOTAL'!Y551</f>
        <v>APAGADO</v>
      </c>
      <c r="M428" s="70" t="str">
        <f>'RESUMEN TOTAL'!Z551</f>
        <v>APAGADO</v>
      </c>
      <c r="N428" s="70">
        <f>'RESUMEN TOTAL'!AA551</f>
        <v>0</v>
      </c>
      <c r="O428" s="70">
        <f>'RESUMEN TOTAL'!AB551</f>
        <v>0</v>
      </c>
      <c r="P428" s="70" t="str">
        <f>'RESUMEN TOTAL'!AC551</f>
        <v>APAGADO</v>
      </c>
      <c r="Q428" s="70" t="str">
        <f>'RESUMEN TOTAL'!AD551</f>
        <v>APAGADO</v>
      </c>
      <c r="R428" s="70" t="str">
        <f>'RESUMEN TOTAL'!AE551</f>
        <v>APAGADO</v>
      </c>
      <c r="S428" s="70" t="str">
        <f>'RESUMEN TOTAL'!AF551</f>
        <v>APAGADO</v>
      </c>
      <c r="T428" s="70" t="str">
        <f>'RESUMEN TOTAL'!AG551</f>
        <v>APAGADO</v>
      </c>
      <c r="U428" s="70">
        <f>'RESUMEN TOTAL'!AH551</f>
        <v>0</v>
      </c>
      <c r="V428" s="70">
        <f>'RESUMEN TOTAL'!AI551</f>
        <v>0</v>
      </c>
      <c r="W428" s="70" t="str">
        <f>'RESUMEN TOTAL'!AJ551</f>
        <v>APAGADO</v>
      </c>
      <c r="X428" s="70" t="str">
        <f>'RESUMEN TOTAL'!AK551</f>
        <v>APAGADO</v>
      </c>
      <c r="Y428" s="70" t="str">
        <f>'RESUMEN TOTAL'!AL551</f>
        <v>APAGADO</v>
      </c>
      <c r="Z428" s="70" t="str">
        <f>'RESUMEN TOTAL'!AM551</f>
        <v>APAGADO</v>
      </c>
      <c r="AA428" s="70" t="str">
        <f>'RESUMEN TOTAL'!AN551</f>
        <v>APAGADO</v>
      </c>
      <c r="AB428" s="70">
        <f>'RESUMEN TOTAL'!AO551</f>
        <v>0</v>
      </c>
      <c r="AC428" s="70">
        <f>'RESUMEN TOTAL'!AP551</f>
        <v>0</v>
      </c>
      <c r="AD428" s="70">
        <f>'RESUMEN TOTAL'!AQ551</f>
        <v>0</v>
      </c>
      <c r="AE428" s="70" t="str">
        <f>'RESUMEN TOTAL'!AR551</f>
        <v>APAGADO</v>
      </c>
      <c r="AF428" s="70" t="str">
        <f>'RESUMEN TOTAL'!AS551</f>
        <v>APAGADO</v>
      </c>
      <c r="AG428" s="70" t="str">
        <f>'RESUMEN TOTAL'!AT551</f>
        <v>APAGADO</v>
      </c>
      <c r="AH428" s="70">
        <f>'RESUMEN TOTAL'!AU551</f>
        <v>0</v>
      </c>
      <c r="AI428" s="70">
        <f>'RESUMEN TOTAL'!AV551</f>
        <v>0</v>
      </c>
      <c r="AJ428" s="70" t="e">
        <f>'RESUMEN TOTAL'!#REF!</f>
        <v>#REF!</v>
      </c>
    </row>
    <row r="429" spans="1:36" x14ac:dyDescent="0.25">
      <c r="A429" t="str">
        <f>'RESUMEN TOTAL'!F552</f>
        <v>VILLA DEL PLATA</v>
      </c>
      <c r="B429" t="str">
        <f>'RESUMEN TOTAL'!G552</f>
        <v>VDPL04</v>
      </c>
      <c r="C429" t="str">
        <f>'RESUMEN TOTAL'!I552</f>
        <v>Neuquen y Diagonal Guemes</v>
      </c>
      <c r="D429" s="30" t="str">
        <f>'RESUMEN TOTAL'!J552</f>
        <v>Domo</v>
      </c>
      <c r="E429" s="30" t="str">
        <f>'RESUMEN TOTAL'!K552</f>
        <v>GPON</v>
      </c>
      <c r="F429" s="70">
        <f>'RESUMEN TOTAL'!S552</f>
        <v>0</v>
      </c>
      <c r="G429" s="70">
        <f>'RESUMEN TOTAL'!T552</f>
        <v>0</v>
      </c>
      <c r="H429" s="70">
        <f>'RESUMEN TOTAL'!U552</f>
        <v>0</v>
      </c>
      <c r="I429" s="70">
        <f>'RESUMEN TOTAL'!V552</f>
        <v>0</v>
      </c>
      <c r="J429" s="70">
        <f>'RESUMEN TOTAL'!W552</f>
        <v>0</v>
      </c>
      <c r="K429" s="70">
        <f>'RESUMEN TOTAL'!X552</f>
        <v>0</v>
      </c>
      <c r="L429" s="70">
        <f>'RESUMEN TOTAL'!Y552</f>
        <v>0</v>
      </c>
      <c r="M429" s="70">
        <f>'RESUMEN TOTAL'!Z552</f>
        <v>0</v>
      </c>
      <c r="N429" s="70">
        <f>'RESUMEN TOTAL'!AA552</f>
        <v>0</v>
      </c>
      <c r="O429" s="70">
        <f>'RESUMEN TOTAL'!AB552</f>
        <v>0</v>
      </c>
      <c r="P429" s="70">
        <f>'RESUMEN TOTAL'!AC552</f>
        <v>0</v>
      </c>
      <c r="Q429" s="70">
        <f>'RESUMEN TOTAL'!AD552</f>
        <v>0</v>
      </c>
      <c r="R429" s="70">
        <f>'RESUMEN TOTAL'!AE552</f>
        <v>0</v>
      </c>
      <c r="S429" s="70">
        <f>'RESUMEN TOTAL'!AF552</f>
        <v>0</v>
      </c>
      <c r="T429" s="70">
        <f>'RESUMEN TOTAL'!AG552</f>
        <v>0</v>
      </c>
      <c r="U429" s="70">
        <f>'RESUMEN TOTAL'!AH552</f>
        <v>0</v>
      </c>
      <c r="V429" s="70">
        <f>'RESUMEN TOTAL'!AI552</f>
        <v>0</v>
      </c>
      <c r="W429" s="70">
        <f>'RESUMEN TOTAL'!AJ552</f>
        <v>0</v>
      </c>
      <c r="X429" s="70">
        <f>'RESUMEN TOTAL'!AK552</f>
        <v>0</v>
      </c>
      <c r="Y429" s="70">
        <f>'RESUMEN TOTAL'!AL552</f>
        <v>0</v>
      </c>
      <c r="Z429" s="70">
        <f>'RESUMEN TOTAL'!AM552</f>
        <v>0</v>
      </c>
      <c r="AA429" s="70">
        <f>'RESUMEN TOTAL'!AN552</f>
        <v>0</v>
      </c>
      <c r="AB429" s="70">
        <f>'RESUMEN TOTAL'!AO552</f>
        <v>0</v>
      </c>
      <c r="AC429" s="70">
        <f>'RESUMEN TOTAL'!AP552</f>
        <v>0</v>
      </c>
      <c r="AD429" s="70">
        <f>'RESUMEN TOTAL'!AQ552</f>
        <v>0</v>
      </c>
      <c r="AE429" s="70">
        <f>'RESUMEN TOTAL'!AR552</f>
        <v>0</v>
      </c>
      <c r="AF429" s="70">
        <f>'RESUMEN TOTAL'!AS552</f>
        <v>0</v>
      </c>
      <c r="AG429" s="70">
        <f>'RESUMEN TOTAL'!AT552</f>
        <v>0</v>
      </c>
      <c r="AH429" s="70">
        <f>'RESUMEN TOTAL'!AU552</f>
        <v>0</v>
      </c>
      <c r="AI429" s="70">
        <f>'RESUMEN TOTAL'!AV552</f>
        <v>0</v>
      </c>
      <c r="AJ429" s="70" t="e">
        <f>'RESUMEN TOTAL'!#REF!</f>
        <v>#REF!</v>
      </c>
    </row>
    <row r="430" spans="1:36" x14ac:dyDescent="0.25">
      <c r="A430" t="str">
        <f>'RESUMEN TOTAL'!F553</f>
        <v>VILLA DEL PLATA</v>
      </c>
      <c r="B430" t="str">
        <f>'RESUMEN TOTAL'!G553</f>
        <v>VDPL05</v>
      </c>
      <c r="C430" t="str">
        <f>'RESUMEN TOTAL'!I553</f>
        <v>Ruta 36 y Abraham</v>
      </c>
      <c r="D430" s="30" t="str">
        <f>'RESUMEN TOTAL'!J553</f>
        <v>Domo</v>
      </c>
      <c r="E430" s="30" t="str">
        <f>'RESUMEN TOTAL'!K553</f>
        <v>PTO A FO</v>
      </c>
      <c r="F430" s="70">
        <f>'RESUMEN TOTAL'!S553</f>
        <v>0</v>
      </c>
      <c r="G430" s="70">
        <f>'RESUMEN TOTAL'!T553</f>
        <v>0</v>
      </c>
      <c r="H430" s="70">
        <f>'RESUMEN TOTAL'!U553</f>
        <v>0</v>
      </c>
      <c r="I430" s="70" t="str">
        <f>'RESUMEN TOTAL'!V553</f>
        <v>APAGADO</v>
      </c>
      <c r="J430" s="70" t="str">
        <f>'RESUMEN TOTAL'!W553</f>
        <v>APAGADO</v>
      </c>
      <c r="K430" s="70" t="str">
        <f>'RESUMEN TOTAL'!X553</f>
        <v>APAGADO</v>
      </c>
      <c r="L430" s="70" t="str">
        <f>'RESUMEN TOTAL'!Y553</f>
        <v>APAGADO</v>
      </c>
      <c r="M430" s="70" t="str">
        <f>'RESUMEN TOTAL'!Z553</f>
        <v>APAGADO</v>
      </c>
      <c r="N430" s="70">
        <f>'RESUMEN TOTAL'!AA553</f>
        <v>0</v>
      </c>
      <c r="O430" s="70">
        <f>'RESUMEN TOTAL'!AB553</f>
        <v>0</v>
      </c>
      <c r="P430" s="70" t="str">
        <f>'RESUMEN TOTAL'!AC553</f>
        <v>APAGADO</v>
      </c>
      <c r="Q430" s="70" t="str">
        <f>'RESUMEN TOTAL'!AD553</f>
        <v>APAGADO</v>
      </c>
      <c r="R430" s="70" t="str">
        <f>'RESUMEN TOTAL'!AE553</f>
        <v>APAGADO</v>
      </c>
      <c r="S430" s="70" t="str">
        <f>'RESUMEN TOTAL'!AF553</f>
        <v>APAGADO</v>
      </c>
      <c r="T430" s="70" t="str">
        <f>'RESUMEN TOTAL'!AG553</f>
        <v>APAGADO</v>
      </c>
      <c r="U430" s="70">
        <f>'RESUMEN TOTAL'!AH553</f>
        <v>0</v>
      </c>
      <c r="V430" s="70">
        <f>'RESUMEN TOTAL'!AI553</f>
        <v>0</v>
      </c>
      <c r="W430" s="70" t="str">
        <f>'RESUMEN TOTAL'!AJ553</f>
        <v>APAGADO</v>
      </c>
      <c r="X430" s="70" t="str">
        <f>'RESUMEN TOTAL'!AK553</f>
        <v>APAGADO</v>
      </c>
      <c r="Y430" s="70" t="str">
        <f>'RESUMEN TOTAL'!AL553</f>
        <v>APAGADO</v>
      </c>
      <c r="Z430" s="70" t="str">
        <f>'RESUMEN TOTAL'!AM553</f>
        <v>APAGADO</v>
      </c>
      <c r="AA430" s="70" t="str">
        <f>'RESUMEN TOTAL'!AN553</f>
        <v>APAGADO</v>
      </c>
      <c r="AB430" s="70">
        <f>'RESUMEN TOTAL'!AO553</f>
        <v>0</v>
      </c>
      <c r="AC430" s="70">
        <f>'RESUMEN TOTAL'!AP553</f>
        <v>0</v>
      </c>
      <c r="AD430" s="70">
        <f>'RESUMEN TOTAL'!AQ553</f>
        <v>0</v>
      </c>
      <c r="AE430" s="70" t="str">
        <f>'RESUMEN TOTAL'!AR553</f>
        <v>APAGADO</v>
      </c>
      <c r="AF430" s="70" t="str">
        <f>'RESUMEN TOTAL'!AS553</f>
        <v>APAGADO</v>
      </c>
      <c r="AG430" s="70" t="str">
        <f>'RESUMEN TOTAL'!AT553</f>
        <v>APAGADO</v>
      </c>
      <c r="AH430" s="70">
        <f>'RESUMEN TOTAL'!AU553</f>
        <v>0</v>
      </c>
      <c r="AI430" s="70">
        <f>'RESUMEN TOTAL'!AV553</f>
        <v>0</v>
      </c>
      <c r="AJ430" s="70" t="e">
        <f>'RESUMEN TOTAL'!#REF!</f>
        <v>#REF!</v>
      </c>
    </row>
    <row r="431" spans="1:36" x14ac:dyDescent="0.25">
      <c r="A431" t="str">
        <f>'RESUMEN TOTAL'!F554</f>
        <v>VILLA ANGELICA</v>
      </c>
      <c r="B431" t="str">
        <f>'RESUMEN TOTAL'!G554</f>
        <v>VDPL06</v>
      </c>
      <c r="C431" t="str">
        <f>'RESUMEN TOTAL'!I554</f>
        <v>Thevenet e/ Islas Orcadas y Gardel</v>
      </c>
      <c r="D431" s="30" t="str">
        <f>'RESUMEN TOTAL'!J554</f>
        <v>Domo</v>
      </c>
      <c r="E431" s="30" t="str">
        <f>'RESUMEN TOTAL'!K554</f>
        <v>GPON</v>
      </c>
      <c r="F431" s="70">
        <f>'RESUMEN TOTAL'!S554</f>
        <v>0</v>
      </c>
      <c r="G431" s="70">
        <f>'RESUMEN TOTAL'!T554</f>
        <v>0</v>
      </c>
      <c r="H431" s="70">
        <f>'RESUMEN TOTAL'!U554</f>
        <v>0</v>
      </c>
      <c r="I431" s="70">
        <f>'RESUMEN TOTAL'!V554</f>
        <v>0</v>
      </c>
      <c r="J431" s="70">
        <f>'RESUMEN TOTAL'!W554</f>
        <v>0</v>
      </c>
      <c r="K431" s="70">
        <f>'RESUMEN TOTAL'!X554</f>
        <v>0</v>
      </c>
      <c r="L431" s="70">
        <f>'RESUMEN TOTAL'!Y554</f>
        <v>0</v>
      </c>
      <c r="M431" s="70">
        <f>'RESUMEN TOTAL'!Z554</f>
        <v>0</v>
      </c>
      <c r="N431" s="70">
        <f>'RESUMEN TOTAL'!AA554</f>
        <v>0</v>
      </c>
      <c r="O431" s="70">
        <f>'RESUMEN TOTAL'!AB554</f>
        <v>0</v>
      </c>
      <c r="P431" s="70">
        <f>'RESUMEN TOTAL'!AC554</f>
        <v>0</v>
      </c>
      <c r="Q431" s="70">
        <f>'RESUMEN TOTAL'!AD554</f>
        <v>0</v>
      </c>
      <c r="R431" s="70">
        <f>'RESUMEN TOTAL'!AE554</f>
        <v>0</v>
      </c>
      <c r="S431" s="70">
        <f>'RESUMEN TOTAL'!AF554</f>
        <v>0</v>
      </c>
      <c r="T431" s="70">
        <f>'RESUMEN TOTAL'!AG554</f>
        <v>0</v>
      </c>
      <c r="U431" s="70">
        <f>'RESUMEN TOTAL'!AH554</f>
        <v>0</v>
      </c>
      <c r="V431" s="70">
        <f>'RESUMEN TOTAL'!AI554</f>
        <v>0</v>
      </c>
      <c r="W431" s="70">
        <f>'RESUMEN TOTAL'!AJ554</f>
        <v>0</v>
      </c>
      <c r="X431" s="70">
        <f>'RESUMEN TOTAL'!AK554</f>
        <v>0</v>
      </c>
      <c r="Y431" s="70">
        <f>'RESUMEN TOTAL'!AL554</f>
        <v>0</v>
      </c>
      <c r="Z431" s="70">
        <f>'RESUMEN TOTAL'!AM554</f>
        <v>0</v>
      </c>
      <c r="AA431" s="70">
        <f>'RESUMEN TOTAL'!AN554</f>
        <v>0</v>
      </c>
      <c r="AB431" s="70">
        <f>'RESUMEN TOTAL'!AO554</f>
        <v>0</v>
      </c>
      <c r="AC431" s="70">
        <f>'RESUMEN TOTAL'!AP554</f>
        <v>0</v>
      </c>
      <c r="AD431" s="70">
        <f>'RESUMEN TOTAL'!AQ554</f>
        <v>0</v>
      </c>
      <c r="AE431" s="70">
        <f>'RESUMEN TOTAL'!AR554</f>
        <v>0</v>
      </c>
      <c r="AF431" s="70">
        <f>'RESUMEN TOTAL'!AS554</f>
        <v>0</v>
      </c>
      <c r="AG431" s="70">
        <f>'RESUMEN TOTAL'!AT554</f>
        <v>0</v>
      </c>
      <c r="AH431" s="70">
        <f>'RESUMEN TOTAL'!AU554</f>
        <v>0</v>
      </c>
      <c r="AI431" s="70">
        <f>'RESUMEN TOTAL'!AV554</f>
        <v>0</v>
      </c>
      <c r="AJ431" s="70" t="e">
        <f>'RESUMEN TOTAL'!#REF!</f>
        <v>#REF!</v>
      </c>
    </row>
    <row r="432" spans="1:36" x14ac:dyDescent="0.25">
      <c r="A432" t="str">
        <f>'RESUMEN TOTAL'!F556</f>
        <v>VILLA DEL PLATA</v>
      </c>
      <c r="B432" t="str">
        <f>'RESUMEN TOTAL'!G556</f>
        <v>VDPL08</v>
      </c>
      <c r="C432" t="str">
        <f>'RESUMEN TOTAL'!I556</f>
        <v>Tte. Gral Perón y Tunez</v>
      </c>
      <c r="D432" s="30" t="str">
        <f>'RESUMEN TOTAL'!J556</f>
        <v>DOMO</v>
      </c>
      <c r="E432" s="30" t="str">
        <f>'RESUMEN TOTAL'!K556</f>
        <v>GPON</v>
      </c>
      <c r="F432" s="70">
        <f>'RESUMEN TOTAL'!S556</f>
        <v>0</v>
      </c>
      <c r="G432" s="70">
        <f>'RESUMEN TOTAL'!T556</f>
        <v>0</v>
      </c>
      <c r="H432" s="70">
        <f>'RESUMEN TOTAL'!U556</f>
        <v>0</v>
      </c>
      <c r="I432" s="70">
        <f>'RESUMEN TOTAL'!V556</f>
        <v>0</v>
      </c>
      <c r="J432" s="70">
        <f>'RESUMEN TOTAL'!W556</f>
        <v>0</v>
      </c>
      <c r="K432" s="70">
        <f>'RESUMEN TOTAL'!X556</f>
        <v>0</v>
      </c>
      <c r="L432" s="70">
        <f>'RESUMEN TOTAL'!Y556</f>
        <v>0</v>
      </c>
      <c r="M432" s="70">
        <f>'RESUMEN TOTAL'!Z556</f>
        <v>0</v>
      </c>
      <c r="N432" s="70">
        <f>'RESUMEN TOTAL'!AA556</f>
        <v>0</v>
      </c>
      <c r="O432" s="70">
        <f>'RESUMEN TOTAL'!AB556</f>
        <v>0</v>
      </c>
      <c r="P432" s="70">
        <f>'RESUMEN TOTAL'!AC556</f>
        <v>0</v>
      </c>
      <c r="Q432" s="70">
        <f>'RESUMEN TOTAL'!AD556</f>
        <v>0</v>
      </c>
      <c r="R432" s="70" t="str">
        <f>'RESUMEN TOTAL'!AE556</f>
        <v>APAGADO</v>
      </c>
      <c r="S432" s="70" t="str">
        <f>'RESUMEN TOTAL'!AF556</f>
        <v>APAGADO</v>
      </c>
      <c r="T432" s="70">
        <f>'RESUMEN TOTAL'!AG556</f>
        <v>0</v>
      </c>
      <c r="U432" s="70">
        <f>'RESUMEN TOTAL'!AH556</f>
        <v>0</v>
      </c>
      <c r="V432" s="70">
        <f>'RESUMEN TOTAL'!AI556</f>
        <v>0</v>
      </c>
      <c r="W432" s="70">
        <f>'RESUMEN TOTAL'!AJ556</f>
        <v>0</v>
      </c>
      <c r="X432" s="70">
        <f>'RESUMEN TOTAL'!AK556</f>
        <v>0</v>
      </c>
      <c r="Y432" s="70">
        <f>'RESUMEN TOTAL'!AL556</f>
        <v>0</v>
      </c>
      <c r="Z432" s="70">
        <f>'RESUMEN TOTAL'!AM556</f>
        <v>0</v>
      </c>
      <c r="AA432" s="70">
        <f>'RESUMEN TOTAL'!AN556</f>
        <v>0</v>
      </c>
      <c r="AB432" s="70">
        <f>'RESUMEN TOTAL'!AO556</f>
        <v>0</v>
      </c>
      <c r="AC432" s="70">
        <f>'RESUMEN TOTAL'!AP556</f>
        <v>0</v>
      </c>
      <c r="AD432" s="70">
        <f>'RESUMEN TOTAL'!AQ556</f>
        <v>0</v>
      </c>
      <c r="AE432" s="70">
        <f>'RESUMEN TOTAL'!AR556</f>
        <v>0</v>
      </c>
      <c r="AF432" s="70">
        <f>'RESUMEN TOTAL'!AS556</f>
        <v>0</v>
      </c>
      <c r="AG432" s="70">
        <f>'RESUMEN TOTAL'!AT556</f>
        <v>0</v>
      </c>
      <c r="AH432" s="70">
        <f>'RESUMEN TOTAL'!AU556</f>
        <v>0</v>
      </c>
      <c r="AI432" s="70">
        <f>'RESUMEN TOTAL'!AV556</f>
        <v>0</v>
      </c>
      <c r="AJ432" s="70" t="e">
        <f>'RESUMEN TOTAL'!#REF!</f>
        <v>#REF!</v>
      </c>
    </row>
    <row r="433" spans="1:36" x14ac:dyDescent="0.25">
      <c r="A433" t="str">
        <f>'RESUMEN TOTAL'!F557</f>
        <v>VILLA ESTER</v>
      </c>
      <c r="B433" t="str">
        <f>'RESUMEN TOTAL'!G557</f>
        <v>VEST01</v>
      </c>
      <c r="C433" t="str">
        <f>'RESUMEN TOTAL'!I557</f>
        <v>Tte.Gral Perón y Garibaldi</v>
      </c>
      <c r="D433" s="30" t="str">
        <f>'RESUMEN TOTAL'!J557</f>
        <v>DOMO</v>
      </c>
      <c r="E433" s="30" t="str">
        <f>'RESUMEN TOTAL'!K557</f>
        <v>GPON</v>
      </c>
      <c r="F433" s="70">
        <f>'RESUMEN TOTAL'!S557</f>
        <v>0</v>
      </c>
      <c r="G433" s="70">
        <f>'RESUMEN TOTAL'!T557</f>
        <v>0</v>
      </c>
      <c r="H433" s="70">
        <f>'RESUMEN TOTAL'!U557</f>
        <v>0</v>
      </c>
      <c r="I433" s="70">
        <f>'RESUMEN TOTAL'!V557</f>
        <v>0</v>
      </c>
      <c r="J433" s="70">
        <f>'RESUMEN TOTAL'!W557</f>
        <v>0</v>
      </c>
      <c r="K433" s="70">
        <f>'RESUMEN TOTAL'!X557</f>
        <v>0</v>
      </c>
      <c r="L433" s="70">
        <f>'RESUMEN TOTAL'!Y557</f>
        <v>0</v>
      </c>
      <c r="M433" s="70">
        <f>'RESUMEN TOTAL'!Z557</f>
        <v>0</v>
      </c>
      <c r="N433" s="70">
        <f>'RESUMEN TOTAL'!AA557</f>
        <v>0</v>
      </c>
      <c r="O433" s="70">
        <f>'RESUMEN TOTAL'!AB557</f>
        <v>0</v>
      </c>
      <c r="P433" s="70">
        <f>'RESUMEN TOTAL'!AC557</f>
        <v>0</v>
      </c>
      <c r="Q433" s="70">
        <f>'RESUMEN TOTAL'!AD557</f>
        <v>0</v>
      </c>
      <c r="R433" s="70">
        <f>'RESUMEN TOTAL'!AE557</f>
        <v>0</v>
      </c>
      <c r="S433" s="70">
        <f>'RESUMEN TOTAL'!AF557</f>
        <v>0</v>
      </c>
      <c r="T433" s="70">
        <f>'RESUMEN TOTAL'!AG557</f>
        <v>0</v>
      </c>
      <c r="U433" s="70">
        <f>'RESUMEN TOTAL'!AH557</f>
        <v>0</v>
      </c>
      <c r="V433" s="70">
        <f>'RESUMEN TOTAL'!AI557</f>
        <v>0</v>
      </c>
      <c r="W433" s="70">
        <f>'RESUMEN TOTAL'!AJ557</f>
        <v>0</v>
      </c>
      <c r="X433" s="70" t="str">
        <f>'RESUMEN TOTAL'!AK557</f>
        <v>APAGADO</v>
      </c>
      <c r="Y433" s="70" t="str">
        <f>'RESUMEN TOTAL'!AL557</f>
        <v>APAGADO</v>
      </c>
      <c r="Z433" s="70" t="str">
        <f>'RESUMEN TOTAL'!AM557</f>
        <v>APAGADO</v>
      </c>
      <c r="AA433" s="70">
        <f>'RESUMEN TOTAL'!AN557</f>
        <v>0</v>
      </c>
      <c r="AB433" s="70">
        <f>'RESUMEN TOTAL'!AO557</f>
        <v>0</v>
      </c>
      <c r="AC433" s="70">
        <f>'RESUMEN TOTAL'!AP557</f>
        <v>0</v>
      </c>
      <c r="AD433" s="70">
        <f>'RESUMEN TOTAL'!AQ557</f>
        <v>0</v>
      </c>
      <c r="AE433" s="70">
        <f>'RESUMEN TOTAL'!AR557</f>
        <v>0</v>
      </c>
      <c r="AF433" s="70">
        <f>'RESUMEN TOTAL'!AS557</f>
        <v>0</v>
      </c>
      <c r="AG433" s="70">
        <f>'RESUMEN TOTAL'!AT557</f>
        <v>0</v>
      </c>
      <c r="AH433" s="70">
        <f>'RESUMEN TOTAL'!AU557</f>
        <v>0</v>
      </c>
      <c r="AI433" s="70">
        <f>'RESUMEN TOTAL'!AV557</f>
        <v>0</v>
      </c>
      <c r="AJ433" s="70" t="e">
        <f>'RESUMEN TOTAL'!#REF!</f>
        <v>#REF!</v>
      </c>
    </row>
    <row r="434" spans="1:36" x14ac:dyDescent="0.25">
      <c r="A434" t="str">
        <f>'RESUMEN TOTAL'!F558</f>
        <v>VILLA HUDSON</v>
      </c>
      <c r="B434" t="str">
        <f>'RESUMEN TOTAL'!G558</f>
        <v>VHS 01</v>
      </c>
      <c r="C434" t="str">
        <f>'RESUMEN TOTAL'!I558</f>
        <v>AV. HUDSON Y AV. LUJAN</v>
      </c>
      <c r="D434" s="30" t="str">
        <f>'RESUMEN TOTAL'!J558</f>
        <v>DOMO</v>
      </c>
      <c r="E434" s="30" t="str">
        <f>'RESUMEN TOTAL'!K558</f>
        <v>GPON</v>
      </c>
      <c r="F434" s="70">
        <f>'RESUMEN TOTAL'!S558</f>
        <v>0</v>
      </c>
      <c r="G434" s="70">
        <f>'RESUMEN TOTAL'!T558</f>
        <v>0</v>
      </c>
      <c r="H434" s="70">
        <f>'RESUMEN TOTAL'!U558</f>
        <v>0</v>
      </c>
      <c r="I434" s="70">
        <f>'RESUMEN TOTAL'!V558</f>
        <v>0</v>
      </c>
      <c r="J434" s="70">
        <f>'RESUMEN TOTAL'!W558</f>
        <v>0</v>
      </c>
      <c r="K434" s="70">
        <f>'RESUMEN TOTAL'!X558</f>
        <v>0</v>
      </c>
      <c r="L434" s="70">
        <f>'RESUMEN TOTAL'!Y558</f>
        <v>0</v>
      </c>
      <c r="M434" s="70">
        <f>'RESUMEN TOTAL'!Z558</f>
        <v>0</v>
      </c>
      <c r="N434" s="70">
        <f>'RESUMEN TOTAL'!AA558</f>
        <v>0</v>
      </c>
      <c r="O434" s="70">
        <f>'RESUMEN TOTAL'!AB558</f>
        <v>0</v>
      </c>
      <c r="P434" s="70">
        <f>'RESUMEN TOTAL'!AC558</f>
        <v>0</v>
      </c>
      <c r="Q434" s="70">
        <f>'RESUMEN TOTAL'!AD558</f>
        <v>0</v>
      </c>
      <c r="R434" s="70">
        <f>'RESUMEN TOTAL'!AE558</f>
        <v>0</v>
      </c>
      <c r="S434" s="70">
        <f>'RESUMEN TOTAL'!AF558</f>
        <v>0</v>
      </c>
      <c r="T434" s="70">
        <f>'RESUMEN TOTAL'!AG558</f>
        <v>0</v>
      </c>
      <c r="U434" s="70">
        <f>'RESUMEN TOTAL'!AH558</f>
        <v>0</v>
      </c>
      <c r="V434" s="70">
        <f>'RESUMEN TOTAL'!AI558</f>
        <v>0</v>
      </c>
      <c r="W434" s="70">
        <f>'RESUMEN TOTAL'!AJ558</f>
        <v>0</v>
      </c>
      <c r="X434" s="70">
        <f>'RESUMEN TOTAL'!AK558</f>
        <v>0</v>
      </c>
      <c r="Y434" s="70">
        <f>'RESUMEN TOTAL'!AL558</f>
        <v>0</v>
      </c>
      <c r="Z434" s="70">
        <f>'RESUMEN TOTAL'!AM558</f>
        <v>0</v>
      </c>
      <c r="AA434" s="70">
        <f>'RESUMEN TOTAL'!AN558</f>
        <v>0</v>
      </c>
      <c r="AB434" s="70">
        <f>'RESUMEN TOTAL'!AO558</f>
        <v>0</v>
      </c>
      <c r="AC434" s="70">
        <f>'RESUMEN TOTAL'!AP558</f>
        <v>0</v>
      </c>
      <c r="AD434" s="70">
        <f>'RESUMEN TOTAL'!AQ558</f>
        <v>0</v>
      </c>
      <c r="AE434" s="70">
        <f>'RESUMEN TOTAL'!AR558</f>
        <v>0</v>
      </c>
      <c r="AF434" s="70" t="str">
        <f>'RESUMEN TOTAL'!AS558</f>
        <v>APAGADO</v>
      </c>
      <c r="AG434" s="70">
        <f>'RESUMEN TOTAL'!AT558</f>
        <v>0</v>
      </c>
      <c r="AH434" s="70">
        <f>'RESUMEN TOTAL'!AU558</f>
        <v>0</v>
      </c>
      <c r="AI434" s="70">
        <f>'RESUMEN TOTAL'!AV558</f>
        <v>0</v>
      </c>
      <c r="AJ434" s="70" t="e">
        <f>'RESUMEN TOTAL'!#REF!</f>
        <v>#REF!</v>
      </c>
    </row>
    <row r="435" spans="1:36" x14ac:dyDescent="0.25">
      <c r="A435" t="str">
        <f>'RESUMEN TOTAL'!F559</f>
        <v>VILLA HUDSON</v>
      </c>
      <c r="B435" t="str">
        <f>'RESUMEN TOTAL'!G559</f>
        <v>VHS 02</v>
      </c>
      <c r="C435" t="str">
        <f>'RESUMEN TOTAL'!I559</f>
        <v>AV. LUJAN Y CALLE 909 A</v>
      </c>
      <c r="D435" s="30" t="str">
        <f>'RESUMEN TOTAL'!J559</f>
        <v>DOMO</v>
      </c>
      <c r="E435" s="30" t="str">
        <f>'RESUMEN TOTAL'!K559</f>
        <v>GPON</v>
      </c>
      <c r="F435" s="70">
        <f>'RESUMEN TOTAL'!S559</f>
        <v>0</v>
      </c>
      <c r="G435" s="70">
        <f>'RESUMEN TOTAL'!T559</f>
        <v>0</v>
      </c>
      <c r="H435" s="70">
        <f>'RESUMEN TOTAL'!U559</f>
        <v>0</v>
      </c>
      <c r="I435" s="70">
        <f>'RESUMEN TOTAL'!V559</f>
        <v>0</v>
      </c>
      <c r="J435" s="70">
        <f>'RESUMEN TOTAL'!W559</f>
        <v>0</v>
      </c>
      <c r="K435" s="70">
        <f>'RESUMEN TOTAL'!X559</f>
        <v>0</v>
      </c>
      <c r="L435" s="70">
        <f>'RESUMEN TOTAL'!Y559</f>
        <v>0</v>
      </c>
      <c r="M435" s="70">
        <f>'RESUMEN TOTAL'!Z559</f>
        <v>0</v>
      </c>
      <c r="N435" s="70">
        <f>'RESUMEN TOTAL'!AA559</f>
        <v>0</v>
      </c>
      <c r="O435" s="70">
        <f>'RESUMEN TOTAL'!AB559</f>
        <v>0</v>
      </c>
      <c r="P435" s="70">
        <f>'RESUMEN TOTAL'!AC559</f>
        <v>0</v>
      </c>
      <c r="Q435" s="70">
        <f>'RESUMEN TOTAL'!AD559</f>
        <v>0</v>
      </c>
      <c r="R435" s="70">
        <f>'RESUMEN TOTAL'!AE559</f>
        <v>0</v>
      </c>
      <c r="S435" s="70">
        <f>'RESUMEN TOTAL'!AF559</f>
        <v>0</v>
      </c>
      <c r="T435" s="70">
        <f>'RESUMEN TOTAL'!AG559</f>
        <v>0</v>
      </c>
      <c r="U435" s="70">
        <f>'RESUMEN TOTAL'!AH559</f>
        <v>0</v>
      </c>
      <c r="V435" s="70">
        <f>'RESUMEN TOTAL'!AI559</f>
        <v>0</v>
      </c>
      <c r="W435" s="70">
        <f>'RESUMEN TOTAL'!AJ559</f>
        <v>0</v>
      </c>
      <c r="X435" s="70">
        <f>'RESUMEN TOTAL'!AK559</f>
        <v>0</v>
      </c>
      <c r="Y435" s="70">
        <f>'RESUMEN TOTAL'!AL559</f>
        <v>0</v>
      </c>
      <c r="Z435" s="70">
        <f>'RESUMEN TOTAL'!AM559</f>
        <v>0</v>
      </c>
      <c r="AA435" s="70">
        <f>'RESUMEN TOTAL'!AN559</f>
        <v>0</v>
      </c>
      <c r="AB435" s="70">
        <f>'RESUMEN TOTAL'!AO559</f>
        <v>0</v>
      </c>
      <c r="AC435" s="70">
        <f>'RESUMEN TOTAL'!AP559</f>
        <v>0</v>
      </c>
      <c r="AD435" s="70">
        <f>'RESUMEN TOTAL'!AQ559</f>
        <v>0</v>
      </c>
      <c r="AE435" s="70">
        <f>'RESUMEN TOTAL'!AR559</f>
        <v>0</v>
      </c>
      <c r="AF435" s="70">
        <f>'RESUMEN TOTAL'!AS559</f>
        <v>0</v>
      </c>
      <c r="AG435" s="70">
        <f>'RESUMEN TOTAL'!AT559</f>
        <v>0</v>
      </c>
      <c r="AH435" s="70">
        <f>'RESUMEN TOTAL'!AU559</f>
        <v>0</v>
      </c>
      <c r="AI435" s="70">
        <f>'RESUMEN TOTAL'!AV559</f>
        <v>0</v>
      </c>
      <c r="AJ435" s="70" t="e">
        <f>'RESUMEN TOTAL'!#REF!</f>
        <v>#REF!</v>
      </c>
    </row>
    <row r="436" spans="1:36" x14ac:dyDescent="0.25">
      <c r="A436" t="str">
        <f>'RESUMEN TOTAL'!F563</f>
        <v>VILLA HUDSON</v>
      </c>
      <c r="B436" t="str">
        <f>'RESUMEN TOTAL'!G563</f>
        <v>VHS 06</v>
      </c>
      <c r="C436" t="str">
        <f>'RESUMEN TOTAL'!I563</f>
        <v>Av Hudson y Oliden</v>
      </c>
      <c r="D436" s="30" t="str">
        <f>'RESUMEN TOTAL'!J563</f>
        <v>DOMO</v>
      </c>
      <c r="E436" s="30" t="str">
        <f>'RESUMEN TOTAL'!K563</f>
        <v>GPON</v>
      </c>
      <c r="F436" s="70">
        <f>'RESUMEN TOTAL'!S563</f>
        <v>0</v>
      </c>
      <c r="G436" s="70">
        <f>'RESUMEN TOTAL'!T563</f>
        <v>0</v>
      </c>
      <c r="H436" s="70">
        <f>'RESUMEN TOTAL'!U563</f>
        <v>0</v>
      </c>
      <c r="I436" s="70" t="str">
        <f>'RESUMEN TOTAL'!V563</f>
        <v>APAGADO</v>
      </c>
      <c r="J436" s="70" t="str">
        <f>'RESUMEN TOTAL'!W563</f>
        <v>APAGADO</v>
      </c>
      <c r="K436" s="70" t="str">
        <f>'RESUMEN TOTAL'!X563</f>
        <v>APAGADO</v>
      </c>
      <c r="L436" s="70" t="str">
        <f>'RESUMEN TOTAL'!Y563</f>
        <v>APAGADO</v>
      </c>
      <c r="M436" s="70" t="str">
        <f>'RESUMEN TOTAL'!Z563</f>
        <v>APAGADO</v>
      </c>
      <c r="N436" s="70">
        <f>'RESUMEN TOTAL'!AA563</f>
        <v>0</v>
      </c>
      <c r="O436" s="70">
        <f>'RESUMEN TOTAL'!AB563</f>
        <v>0</v>
      </c>
      <c r="P436" s="70" t="str">
        <f>'RESUMEN TOTAL'!AC563</f>
        <v>APAGADO</v>
      </c>
      <c r="Q436" s="70" t="str">
        <f>'RESUMEN TOTAL'!AD563</f>
        <v>APAGADO</v>
      </c>
      <c r="R436" s="70" t="str">
        <f>'RESUMEN TOTAL'!AE563</f>
        <v>APAGADO</v>
      </c>
      <c r="S436" s="70" t="str">
        <f>'RESUMEN TOTAL'!AF563</f>
        <v>APAGADO</v>
      </c>
      <c r="T436" s="70" t="str">
        <f>'RESUMEN TOTAL'!AG563</f>
        <v>APAGADO</v>
      </c>
      <c r="U436" s="70">
        <f>'RESUMEN TOTAL'!AH563</f>
        <v>0</v>
      </c>
      <c r="V436" s="70">
        <f>'RESUMEN TOTAL'!AI563</f>
        <v>0</v>
      </c>
      <c r="W436" s="70" t="str">
        <f>'RESUMEN TOTAL'!AJ563</f>
        <v>APAGADO</v>
      </c>
      <c r="X436" s="70" t="str">
        <f>'RESUMEN TOTAL'!AK563</f>
        <v>APAGADO</v>
      </c>
      <c r="Y436" s="70" t="str">
        <f>'RESUMEN TOTAL'!AL563</f>
        <v>APAGADO</v>
      </c>
      <c r="Z436" s="70" t="str">
        <f>'RESUMEN TOTAL'!AM563</f>
        <v>APAGADO</v>
      </c>
      <c r="AA436" s="70" t="str">
        <f>'RESUMEN TOTAL'!AN563</f>
        <v>APAGADO</v>
      </c>
      <c r="AB436" s="70">
        <f>'RESUMEN TOTAL'!AO563</f>
        <v>0</v>
      </c>
      <c r="AC436" s="70">
        <f>'RESUMEN TOTAL'!AP563</f>
        <v>0</v>
      </c>
      <c r="AD436" s="70">
        <f>'RESUMEN TOTAL'!AQ563</f>
        <v>0</v>
      </c>
      <c r="AE436" s="70" t="str">
        <f>'RESUMEN TOTAL'!AR563</f>
        <v>APAGADO</v>
      </c>
      <c r="AF436" s="70" t="str">
        <f>'RESUMEN TOTAL'!AS563</f>
        <v>APAGADO</v>
      </c>
      <c r="AG436" s="70" t="str">
        <f>'RESUMEN TOTAL'!AT563</f>
        <v>APAGADO</v>
      </c>
      <c r="AH436" s="70">
        <f>'RESUMEN TOTAL'!AU563</f>
        <v>0</v>
      </c>
      <c r="AI436" s="70">
        <f>'RESUMEN TOTAL'!AV563</f>
        <v>0</v>
      </c>
      <c r="AJ436" s="70" t="e">
        <f>'RESUMEN TOTAL'!#REF!</f>
        <v>#REF!</v>
      </c>
    </row>
    <row r="437" spans="1:36" x14ac:dyDescent="0.25">
      <c r="A437" t="str">
        <f>'RESUMEN TOTAL'!F564</f>
        <v>VILLA HUDSON</v>
      </c>
      <c r="B437" t="str">
        <f>'RESUMEN TOTAL'!G564</f>
        <v>VHS07</v>
      </c>
      <c r="C437" t="str">
        <f>'RESUMEN TOTAL'!I564</f>
        <v>Hudson y Rincon</v>
      </c>
      <c r="D437" s="30" t="str">
        <f>'RESUMEN TOTAL'!J564</f>
        <v>DOMO</v>
      </c>
      <c r="E437" s="30" t="str">
        <f>'RESUMEN TOTAL'!K564</f>
        <v>GPON</v>
      </c>
      <c r="F437" s="70">
        <f>'RESUMEN TOTAL'!S564</f>
        <v>0</v>
      </c>
      <c r="G437" s="70">
        <f>'RESUMEN TOTAL'!T564</f>
        <v>0</v>
      </c>
      <c r="H437" s="70">
        <f>'RESUMEN TOTAL'!U564</f>
        <v>0</v>
      </c>
      <c r="I437" s="70">
        <f>'RESUMEN TOTAL'!V564</f>
        <v>0</v>
      </c>
      <c r="J437" s="70">
        <f>'RESUMEN TOTAL'!W564</f>
        <v>0</v>
      </c>
      <c r="K437" s="70">
        <f>'RESUMEN TOTAL'!X564</f>
        <v>0</v>
      </c>
      <c r="L437" s="70">
        <f>'RESUMEN TOTAL'!Y564</f>
        <v>0</v>
      </c>
      <c r="M437" s="70">
        <f>'RESUMEN TOTAL'!Z564</f>
        <v>0</v>
      </c>
      <c r="N437" s="70">
        <f>'RESUMEN TOTAL'!AA564</f>
        <v>0</v>
      </c>
      <c r="O437" s="70">
        <f>'RESUMEN TOTAL'!AB564</f>
        <v>0</v>
      </c>
      <c r="P437" s="70">
        <f>'RESUMEN TOTAL'!AC564</f>
        <v>0</v>
      </c>
      <c r="Q437" s="70">
        <f>'RESUMEN TOTAL'!AD564</f>
        <v>0</v>
      </c>
      <c r="R437" s="70">
        <f>'RESUMEN TOTAL'!AE564</f>
        <v>0</v>
      </c>
      <c r="S437" s="70">
        <f>'RESUMEN TOTAL'!AF564</f>
        <v>0</v>
      </c>
      <c r="T437" s="70">
        <f>'RESUMEN TOTAL'!AG564</f>
        <v>0</v>
      </c>
      <c r="U437" s="70">
        <f>'RESUMEN TOTAL'!AH564</f>
        <v>0</v>
      </c>
      <c r="V437" s="70">
        <f>'RESUMEN TOTAL'!AI564</f>
        <v>0</v>
      </c>
      <c r="W437" s="70">
        <f>'RESUMEN TOTAL'!AJ564</f>
        <v>0</v>
      </c>
      <c r="X437" s="70">
        <f>'RESUMEN TOTAL'!AK564</f>
        <v>0</v>
      </c>
      <c r="Y437" s="70">
        <f>'RESUMEN TOTAL'!AL564</f>
        <v>0</v>
      </c>
      <c r="Z437" s="70">
        <f>'RESUMEN TOTAL'!AM564</f>
        <v>0</v>
      </c>
      <c r="AA437" s="70">
        <f>'RESUMEN TOTAL'!AN564</f>
        <v>0</v>
      </c>
      <c r="AB437" s="70">
        <f>'RESUMEN TOTAL'!AO564</f>
        <v>0</v>
      </c>
      <c r="AC437" s="70">
        <f>'RESUMEN TOTAL'!AP564</f>
        <v>0</v>
      </c>
      <c r="AD437" s="70">
        <f>'RESUMEN TOTAL'!AQ564</f>
        <v>0</v>
      </c>
      <c r="AE437" s="70">
        <f>'RESUMEN TOTAL'!AR564</f>
        <v>0</v>
      </c>
      <c r="AF437" s="70">
        <f>'RESUMEN TOTAL'!AS564</f>
        <v>0</v>
      </c>
      <c r="AG437" s="70">
        <f>'RESUMEN TOTAL'!AT564</f>
        <v>0</v>
      </c>
      <c r="AH437" s="70">
        <f>'RESUMEN TOTAL'!AU564</f>
        <v>0</v>
      </c>
      <c r="AI437" s="70">
        <f>'RESUMEN TOTAL'!AV564</f>
        <v>0</v>
      </c>
      <c r="AJ437" s="70" t="e">
        <f>'RESUMEN TOTAL'!#REF!</f>
        <v>#REF!</v>
      </c>
    </row>
    <row r="438" spans="1:36" x14ac:dyDescent="0.25">
      <c r="A438" t="str">
        <f>'RESUMEN TOTAL'!F566</f>
        <v>VILLA ARIAS</v>
      </c>
      <c r="B438" t="str">
        <f>'RESUMEN TOTAL'!G566</f>
        <v>VLA 01 (fija 1)</v>
      </c>
      <c r="C438" t="str">
        <f>'RESUMEN TOTAL'!I566</f>
        <v>820 Y SOLER</v>
      </c>
      <c r="D438" s="30" t="str">
        <f>'RESUMEN TOTAL'!J566</f>
        <v>Fija</v>
      </c>
      <c r="E438" s="30" t="str">
        <f>'RESUMEN TOTAL'!K566</f>
        <v>GPON</v>
      </c>
      <c r="F438" s="70">
        <f>'RESUMEN TOTAL'!S566</f>
        <v>0</v>
      </c>
      <c r="G438" s="70">
        <f>'RESUMEN TOTAL'!T566</f>
        <v>0</v>
      </c>
      <c r="H438" s="70">
        <f>'RESUMEN TOTAL'!U566</f>
        <v>0</v>
      </c>
      <c r="I438" s="70" t="str">
        <f>'RESUMEN TOTAL'!V566</f>
        <v>APAGADO</v>
      </c>
      <c r="J438" s="70" t="str">
        <f>'RESUMEN TOTAL'!W566</f>
        <v>APAGADO</v>
      </c>
      <c r="K438" s="70" t="str">
        <f>'RESUMEN TOTAL'!X566</f>
        <v>APAGADO</v>
      </c>
      <c r="L438" s="70" t="str">
        <f>'RESUMEN TOTAL'!Y566</f>
        <v>APAGADO</v>
      </c>
      <c r="M438" s="70" t="str">
        <f>'RESUMEN TOTAL'!Z566</f>
        <v>APAGADO</v>
      </c>
      <c r="N438" s="70">
        <f>'RESUMEN TOTAL'!AA566</f>
        <v>0</v>
      </c>
      <c r="O438" s="70">
        <f>'RESUMEN TOTAL'!AB566</f>
        <v>0</v>
      </c>
      <c r="P438" s="70" t="str">
        <f>'RESUMEN TOTAL'!AC566</f>
        <v>APAGADO</v>
      </c>
      <c r="Q438" s="70" t="str">
        <f>'RESUMEN TOTAL'!AD566</f>
        <v>APAGADO</v>
      </c>
      <c r="R438" s="70" t="str">
        <f>'RESUMEN TOTAL'!AE566</f>
        <v>APAGADO</v>
      </c>
      <c r="S438" s="70" t="str">
        <f>'RESUMEN TOTAL'!AF566</f>
        <v>APAGADO</v>
      </c>
      <c r="T438" s="70" t="str">
        <f>'RESUMEN TOTAL'!AG566</f>
        <v>APAGADO</v>
      </c>
      <c r="U438" s="70">
        <f>'RESUMEN TOTAL'!AH566</f>
        <v>0</v>
      </c>
      <c r="V438" s="70">
        <f>'RESUMEN TOTAL'!AI566</f>
        <v>0</v>
      </c>
      <c r="W438" s="70" t="str">
        <f>'RESUMEN TOTAL'!AJ566</f>
        <v>APAGADO</v>
      </c>
      <c r="X438" s="70" t="str">
        <f>'RESUMEN TOTAL'!AK566</f>
        <v>APAGADO</v>
      </c>
      <c r="Y438" s="70" t="str">
        <f>'RESUMEN TOTAL'!AL566</f>
        <v>APAGADO</v>
      </c>
      <c r="Z438" s="70" t="str">
        <f>'RESUMEN TOTAL'!AM566</f>
        <v>APAGADO</v>
      </c>
      <c r="AA438" s="70" t="str">
        <f>'RESUMEN TOTAL'!AN566</f>
        <v>APAGADO</v>
      </c>
      <c r="AB438" s="70">
        <f>'RESUMEN TOTAL'!AO566</f>
        <v>0</v>
      </c>
      <c r="AC438" s="70">
        <f>'RESUMEN TOTAL'!AP566</f>
        <v>0</v>
      </c>
      <c r="AD438" s="70">
        <f>'RESUMEN TOTAL'!AQ566</f>
        <v>0</v>
      </c>
      <c r="AE438" s="70" t="str">
        <f>'RESUMEN TOTAL'!AR566</f>
        <v>APAGADO</v>
      </c>
      <c r="AF438" s="70" t="str">
        <f>'RESUMEN TOTAL'!AS566</f>
        <v>APAGADO</v>
      </c>
      <c r="AG438" s="70" t="str">
        <f>'RESUMEN TOTAL'!AT566</f>
        <v>APAGADO</v>
      </c>
      <c r="AH438" s="70">
        <f>'RESUMEN TOTAL'!AU566</f>
        <v>0</v>
      </c>
      <c r="AI438" s="70">
        <f>'RESUMEN TOTAL'!AV566</f>
        <v>0</v>
      </c>
      <c r="AJ438" s="70" t="e">
        <f>'RESUMEN TOTAL'!#REF!</f>
        <v>#REF!</v>
      </c>
    </row>
    <row r="439" spans="1:36" x14ac:dyDescent="0.25">
      <c r="A439" t="str">
        <f>'RESUMEN TOTAL'!F567</f>
        <v>VILLA ARIAS</v>
      </c>
      <c r="B439" t="str">
        <f>'RESUMEN TOTAL'!G567</f>
        <v>VLA 02</v>
      </c>
      <c r="C439" t="str">
        <f>'RESUMEN TOTAL'!I567</f>
        <v>ESPORA Y HUDSON</v>
      </c>
      <c r="D439" s="30" t="str">
        <f>'RESUMEN TOTAL'!J567</f>
        <v>DOMO</v>
      </c>
      <c r="E439" s="30" t="str">
        <f>'RESUMEN TOTAL'!K567</f>
        <v>FO A GPON</v>
      </c>
      <c r="F439" s="70">
        <f>'RESUMEN TOTAL'!S567</f>
        <v>0</v>
      </c>
      <c r="G439" s="70">
        <f>'RESUMEN TOTAL'!T567</f>
        <v>0</v>
      </c>
      <c r="H439" s="70">
        <f>'RESUMEN TOTAL'!U567</f>
        <v>0</v>
      </c>
      <c r="I439" s="70">
        <f>'RESUMEN TOTAL'!V567</f>
        <v>0</v>
      </c>
      <c r="J439" s="70">
        <f>'RESUMEN TOTAL'!W567</f>
        <v>0</v>
      </c>
      <c r="K439" s="70">
        <f>'RESUMEN TOTAL'!X567</f>
        <v>0</v>
      </c>
      <c r="L439" s="70">
        <f>'RESUMEN TOTAL'!Y567</f>
        <v>0</v>
      </c>
      <c r="M439" s="70">
        <f>'RESUMEN TOTAL'!Z567</f>
        <v>0</v>
      </c>
      <c r="N439" s="70">
        <f>'RESUMEN TOTAL'!AA567</f>
        <v>0</v>
      </c>
      <c r="O439" s="70">
        <f>'RESUMEN TOTAL'!AB567</f>
        <v>0</v>
      </c>
      <c r="P439" s="70">
        <f>'RESUMEN TOTAL'!AC567</f>
        <v>0</v>
      </c>
      <c r="Q439" s="70">
        <f>'RESUMEN TOTAL'!AD567</f>
        <v>0</v>
      </c>
      <c r="R439" s="70">
        <f>'RESUMEN TOTAL'!AE567</f>
        <v>0</v>
      </c>
      <c r="S439" s="70">
        <f>'RESUMEN TOTAL'!AF567</f>
        <v>0</v>
      </c>
      <c r="T439" s="70">
        <f>'RESUMEN TOTAL'!AG567</f>
        <v>0</v>
      </c>
      <c r="U439" s="70">
        <f>'RESUMEN TOTAL'!AH567</f>
        <v>0</v>
      </c>
      <c r="V439" s="70">
        <f>'RESUMEN TOTAL'!AI567</f>
        <v>0</v>
      </c>
      <c r="W439" s="70">
        <f>'RESUMEN TOTAL'!AJ567</f>
        <v>0</v>
      </c>
      <c r="X439" s="70">
        <f>'RESUMEN TOTAL'!AK567</f>
        <v>0</v>
      </c>
      <c r="Y439" s="70">
        <f>'RESUMEN TOTAL'!AL567</f>
        <v>0</v>
      </c>
      <c r="Z439" s="70">
        <f>'RESUMEN TOTAL'!AM567</f>
        <v>0</v>
      </c>
      <c r="AA439" s="70">
        <f>'RESUMEN TOTAL'!AN567</f>
        <v>0</v>
      </c>
      <c r="AB439" s="70">
        <f>'RESUMEN TOTAL'!AO567</f>
        <v>0</v>
      </c>
      <c r="AC439" s="70">
        <f>'RESUMEN TOTAL'!AP567</f>
        <v>0</v>
      </c>
      <c r="AD439" s="70">
        <f>'RESUMEN TOTAL'!AQ567</f>
        <v>0</v>
      </c>
      <c r="AE439" s="70">
        <f>'RESUMEN TOTAL'!AR567</f>
        <v>0</v>
      </c>
      <c r="AF439" s="70">
        <f>'RESUMEN TOTAL'!AS567</f>
        <v>0</v>
      </c>
      <c r="AG439" s="70">
        <f>'RESUMEN TOTAL'!AT567</f>
        <v>0</v>
      </c>
      <c r="AH439" s="70">
        <f>'RESUMEN TOTAL'!AU567</f>
        <v>0</v>
      </c>
      <c r="AI439" s="70">
        <f>'RESUMEN TOTAL'!AV567</f>
        <v>0</v>
      </c>
      <c r="AJ439" s="70" t="e">
        <f>'RESUMEN TOTAL'!#REF!</f>
        <v>#REF!</v>
      </c>
    </row>
    <row r="440" spans="1:36" x14ac:dyDescent="0.25">
      <c r="A440" t="str">
        <f>'RESUMEN TOTAL'!F568</f>
        <v>VILLA ARIAS</v>
      </c>
      <c r="B440" t="str">
        <f>'RESUMEN TOTAL'!G568</f>
        <v>VLA03 (fija 2)</v>
      </c>
      <c r="C440" t="str">
        <f>'RESUMEN TOTAL'!I568</f>
        <v>820 y SOLER</v>
      </c>
      <c r="D440" s="30" t="str">
        <f>'RESUMEN TOTAL'!J568</f>
        <v>Fija</v>
      </c>
      <c r="E440" s="30" t="str">
        <f>'RESUMEN TOTAL'!K568</f>
        <v>GPON</v>
      </c>
      <c r="F440" s="70">
        <f>'RESUMEN TOTAL'!S568</f>
        <v>0</v>
      </c>
      <c r="G440" s="70">
        <f>'RESUMEN TOTAL'!T568</f>
        <v>0</v>
      </c>
      <c r="H440" s="70">
        <f>'RESUMEN TOTAL'!U568</f>
        <v>0</v>
      </c>
      <c r="I440" s="70" t="str">
        <f>'RESUMEN TOTAL'!V568</f>
        <v>APAGADO</v>
      </c>
      <c r="J440" s="70" t="str">
        <f>'RESUMEN TOTAL'!W568</f>
        <v>APAGADO</v>
      </c>
      <c r="K440" s="70" t="str">
        <f>'RESUMEN TOTAL'!X568</f>
        <v>APAGADO</v>
      </c>
      <c r="L440" s="70" t="str">
        <f>'RESUMEN TOTAL'!Y568</f>
        <v>APAGADO</v>
      </c>
      <c r="M440" s="70" t="str">
        <f>'RESUMEN TOTAL'!Z568</f>
        <v>APAGADO</v>
      </c>
      <c r="N440" s="70">
        <f>'RESUMEN TOTAL'!AA568</f>
        <v>0</v>
      </c>
      <c r="O440" s="70">
        <f>'RESUMEN TOTAL'!AB568</f>
        <v>0</v>
      </c>
      <c r="P440" s="70" t="str">
        <f>'RESUMEN TOTAL'!AC568</f>
        <v>APAGADO</v>
      </c>
      <c r="Q440" s="70" t="str">
        <f>'RESUMEN TOTAL'!AD568</f>
        <v>APAGADO</v>
      </c>
      <c r="R440" s="70" t="str">
        <f>'RESUMEN TOTAL'!AE568</f>
        <v>APAGADO</v>
      </c>
      <c r="S440" s="70" t="str">
        <f>'RESUMEN TOTAL'!AF568</f>
        <v>APAGADO</v>
      </c>
      <c r="T440" s="70" t="str">
        <f>'RESUMEN TOTAL'!AG568</f>
        <v>APAGADO</v>
      </c>
      <c r="U440" s="70">
        <f>'RESUMEN TOTAL'!AH568</f>
        <v>0</v>
      </c>
      <c r="V440" s="70">
        <f>'RESUMEN TOTAL'!AI568</f>
        <v>0</v>
      </c>
      <c r="W440" s="70">
        <f>'RESUMEN TOTAL'!AJ568</f>
        <v>0</v>
      </c>
      <c r="X440" s="70" t="str">
        <f>'RESUMEN TOTAL'!AK568</f>
        <v>APAGADO</v>
      </c>
      <c r="Y440" s="70" t="str">
        <f>'RESUMEN TOTAL'!AL568</f>
        <v>APAGADO</v>
      </c>
      <c r="Z440" s="70" t="str">
        <f>'RESUMEN TOTAL'!AM568</f>
        <v>APAGADO</v>
      </c>
      <c r="AA440" s="70" t="str">
        <f>'RESUMEN TOTAL'!AN568</f>
        <v>APAGADO</v>
      </c>
      <c r="AB440" s="70">
        <f>'RESUMEN TOTAL'!AO568</f>
        <v>0</v>
      </c>
      <c r="AC440" s="70">
        <f>'RESUMEN TOTAL'!AP568</f>
        <v>0</v>
      </c>
      <c r="AD440" s="70">
        <f>'RESUMEN TOTAL'!AQ568</f>
        <v>0</v>
      </c>
      <c r="AE440" s="70" t="str">
        <f>'RESUMEN TOTAL'!AR568</f>
        <v>APAGADO</v>
      </c>
      <c r="AF440" s="70" t="str">
        <f>'RESUMEN TOTAL'!AS568</f>
        <v>APAGADO</v>
      </c>
      <c r="AG440" s="70" t="str">
        <f>'RESUMEN TOTAL'!AT568</f>
        <v>APAGADO</v>
      </c>
      <c r="AH440" s="70">
        <f>'RESUMEN TOTAL'!AU568</f>
        <v>0</v>
      </c>
      <c r="AI440" s="70">
        <f>'RESUMEN TOTAL'!AV568</f>
        <v>0</v>
      </c>
      <c r="AJ440" s="70" t="e">
        <f>'RESUMEN TOTAL'!#REF!</f>
        <v>#REF!</v>
      </c>
    </row>
    <row r="441" spans="1:36" x14ac:dyDescent="0.25">
      <c r="A441" t="str">
        <f>'RESUMEN TOTAL'!F570</f>
        <v>VILLA ARIAS</v>
      </c>
      <c r="B441" t="str">
        <f>'RESUMEN TOTAL'!G570</f>
        <v>VLA05</v>
      </c>
      <c r="C441" t="str">
        <f>'RESUMEN TOTAL'!I570</f>
        <v>ESPORA Y 802</v>
      </c>
      <c r="D441" s="30" t="str">
        <f>'RESUMEN TOTAL'!J570</f>
        <v>DOMO</v>
      </c>
      <c r="E441" s="30" t="str">
        <f>'RESUMEN TOTAL'!K570</f>
        <v>GPON</v>
      </c>
      <c r="F441" s="70">
        <f>'RESUMEN TOTAL'!S570</f>
        <v>0</v>
      </c>
      <c r="G441" s="70">
        <f>'RESUMEN TOTAL'!T570</f>
        <v>0</v>
      </c>
      <c r="H441" s="70">
        <f>'RESUMEN TOTAL'!U570</f>
        <v>0</v>
      </c>
      <c r="I441" s="70">
        <f>'RESUMEN TOTAL'!V570</f>
        <v>0</v>
      </c>
      <c r="J441" s="70">
        <f>'RESUMEN TOTAL'!W570</f>
        <v>0</v>
      </c>
      <c r="K441" s="70">
        <f>'RESUMEN TOTAL'!X570</f>
        <v>0</v>
      </c>
      <c r="L441" s="70">
        <f>'RESUMEN TOTAL'!Y570</f>
        <v>0</v>
      </c>
      <c r="M441" s="70">
        <f>'RESUMEN TOTAL'!Z570</f>
        <v>0</v>
      </c>
      <c r="N441" s="70">
        <f>'RESUMEN TOTAL'!AA570</f>
        <v>0</v>
      </c>
      <c r="O441" s="70">
        <f>'RESUMEN TOTAL'!AB570</f>
        <v>0</v>
      </c>
      <c r="P441" s="70">
        <f>'RESUMEN TOTAL'!AC570</f>
        <v>0</v>
      </c>
      <c r="Q441" s="70">
        <f>'RESUMEN TOTAL'!AD570</f>
        <v>0</v>
      </c>
      <c r="R441" s="70">
        <f>'RESUMEN TOTAL'!AE570</f>
        <v>0</v>
      </c>
      <c r="S441" s="70">
        <f>'RESUMEN TOTAL'!AF570</f>
        <v>0</v>
      </c>
      <c r="T441" s="70">
        <f>'RESUMEN TOTAL'!AG570</f>
        <v>0</v>
      </c>
      <c r="U441" s="70">
        <f>'RESUMEN TOTAL'!AH570</f>
        <v>0</v>
      </c>
      <c r="V441" s="70">
        <f>'RESUMEN TOTAL'!AI570</f>
        <v>0</v>
      </c>
      <c r="W441" s="70">
        <f>'RESUMEN TOTAL'!AJ570</f>
        <v>0</v>
      </c>
      <c r="X441" s="70">
        <f>'RESUMEN TOTAL'!AK570</f>
        <v>0</v>
      </c>
      <c r="Y441" s="70">
        <f>'RESUMEN TOTAL'!AL570</f>
        <v>0</v>
      </c>
      <c r="Z441" s="70">
        <f>'RESUMEN TOTAL'!AM570</f>
        <v>0</v>
      </c>
      <c r="AA441" s="70">
        <f>'RESUMEN TOTAL'!AN570</f>
        <v>0</v>
      </c>
      <c r="AB441" s="70">
        <f>'RESUMEN TOTAL'!AO570</f>
        <v>0</v>
      </c>
      <c r="AC441" s="70">
        <f>'RESUMEN TOTAL'!AP570</f>
        <v>0</v>
      </c>
      <c r="AD441" s="70">
        <f>'RESUMEN TOTAL'!AQ570</f>
        <v>0</v>
      </c>
      <c r="AE441" s="70">
        <f>'RESUMEN TOTAL'!AR570</f>
        <v>0</v>
      </c>
      <c r="AF441" s="70">
        <f>'RESUMEN TOTAL'!AS570</f>
        <v>0</v>
      </c>
      <c r="AG441" s="70">
        <f>'RESUMEN TOTAL'!AT570</f>
        <v>0</v>
      </c>
      <c r="AH441" s="70">
        <f>'RESUMEN TOTAL'!AU570</f>
        <v>0</v>
      </c>
      <c r="AI441" s="70">
        <f>'RESUMEN TOTAL'!AV570</f>
        <v>0</v>
      </c>
      <c r="AJ441" s="70" t="e">
        <f>'RESUMEN TOTAL'!#REF!</f>
        <v>#REF!</v>
      </c>
    </row>
    <row r="442" spans="1:36" x14ac:dyDescent="0.25">
      <c r="A442" t="str">
        <f>'RESUMEN TOTAL'!F571</f>
        <v>VILLA MONICA NUEVA</v>
      </c>
      <c r="B442" t="str">
        <f>'RESUMEN TOTAL'!G571</f>
        <v>VMO 02</v>
      </c>
      <c r="C442" t="str">
        <f>'RESUMEN TOTAL'!I571</f>
        <v>Rio Carapachay y Oroño</v>
      </c>
      <c r="D442" s="30" t="str">
        <f>'RESUMEN TOTAL'!J571</f>
        <v>Domo</v>
      </c>
      <c r="E442" s="30" t="str">
        <f>'RESUMEN TOTAL'!K571</f>
        <v>Radio</v>
      </c>
      <c r="F442" s="70">
        <f>'RESUMEN TOTAL'!S571</f>
        <v>0</v>
      </c>
      <c r="G442" s="70">
        <f>'RESUMEN TOTAL'!T571</f>
        <v>0</v>
      </c>
      <c r="H442" s="70">
        <f>'RESUMEN TOTAL'!U571</f>
        <v>0</v>
      </c>
      <c r="I442" s="70">
        <f>'RESUMEN TOTAL'!V571</f>
        <v>0</v>
      </c>
      <c r="J442" s="70">
        <f>'RESUMEN TOTAL'!W571</f>
        <v>0</v>
      </c>
      <c r="K442" s="70">
        <f>'RESUMEN TOTAL'!X571</f>
        <v>0</v>
      </c>
      <c r="L442" s="70">
        <f>'RESUMEN TOTAL'!Y571</f>
        <v>0</v>
      </c>
      <c r="M442" s="70">
        <f>'RESUMEN TOTAL'!Z571</f>
        <v>0</v>
      </c>
      <c r="N442" s="70">
        <f>'RESUMEN TOTAL'!AA571</f>
        <v>0</v>
      </c>
      <c r="O442" s="70">
        <f>'RESUMEN TOTAL'!AB571</f>
        <v>0</v>
      </c>
      <c r="P442" s="70">
        <f>'RESUMEN TOTAL'!AC571</f>
        <v>0</v>
      </c>
      <c r="Q442" s="70">
        <f>'RESUMEN TOTAL'!AD571</f>
        <v>0</v>
      </c>
      <c r="R442" s="70">
        <f>'RESUMEN TOTAL'!AE571</f>
        <v>0</v>
      </c>
      <c r="S442" s="70">
        <f>'RESUMEN TOTAL'!AF571</f>
        <v>0</v>
      </c>
      <c r="T442" s="70">
        <f>'RESUMEN TOTAL'!AG571</f>
        <v>0</v>
      </c>
      <c r="U442" s="70">
        <f>'RESUMEN TOTAL'!AH571</f>
        <v>0</v>
      </c>
      <c r="V442" s="70">
        <f>'RESUMEN TOTAL'!AI571</f>
        <v>0</v>
      </c>
      <c r="W442" s="70">
        <f>'RESUMEN TOTAL'!AJ571</f>
        <v>0</v>
      </c>
      <c r="X442" s="70">
        <f>'RESUMEN TOTAL'!AK571</f>
        <v>0</v>
      </c>
      <c r="Y442" s="70">
        <f>'RESUMEN TOTAL'!AL571</f>
        <v>0</v>
      </c>
      <c r="Z442" s="70">
        <f>'RESUMEN TOTAL'!AM571</f>
        <v>0</v>
      </c>
      <c r="AA442" s="70">
        <f>'RESUMEN TOTAL'!AN571</f>
        <v>0</v>
      </c>
      <c r="AB442" s="70">
        <f>'RESUMEN TOTAL'!AO571</f>
        <v>0</v>
      </c>
      <c r="AC442" s="70">
        <f>'RESUMEN TOTAL'!AP571</f>
        <v>0</v>
      </c>
      <c r="AD442" s="70">
        <f>'RESUMEN TOTAL'!AQ571</f>
        <v>0</v>
      </c>
      <c r="AE442" s="70">
        <f>'RESUMEN TOTAL'!AR571</f>
        <v>0</v>
      </c>
      <c r="AF442" s="70">
        <f>'RESUMEN TOTAL'!AS571</f>
        <v>0</v>
      </c>
      <c r="AG442" s="70">
        <f>'RESUMEN TOTAL'!AT571</f>
        <v>0</v>
      </c>
      <c r="AH442" s="70">
        <f>'RESUMEN TOTAL'!AU571</f>
        <v>0</v>
      </c>
      <c r="AI442" s="70">
        <f>'RESUMEN TOTAL'!AV571</f>
        <v>0</v>
      </c>
      <c r="AJ442" s="70" t="e">
        <f>'RESUMEN TOTAL'!#REF!</f>
        <v>#REF!</v>
      </c>
    </row>
    <row r="443" spans="1:36" x14ac:dyDescent="0.25">
      <c r="A443" t="str">
        <f>'RESUMEN TOTAL'!F572</f>
        <v>VILLA MONICA NUEVA</v>
      </c>
      <c r="B443" t="str">
        <f>'RESUMEN TOTAL'!G572</f>
        <v>VMO 03 (fija 1)</v>
      </c>
      <c r="C443" t="str">
        <f>'RESUMEN TOTAL'!I572</f>
        <v>EVA PERON E/ OROÑO Y 734 A</v>
      </c>
      <c r="D443" s="30" t="str">
        <f>'RESUMEN TOTAL'!J572</f>
        <v>Fija</v>
      </c>
      <c r="E443" s="30" t="str">
        <f>'RESUMEN TOTAL'!K572</f>
        <v>Fibra Optica</v>
      </c>
      <c r="F443" s="70">
        <f>'RESUMEN TOTAL'!S572</f>
        <v>0</v>
      </c>
      <c r="G443" s="70">
        <f>'RESUMEN TOTAL'!T572</f>
        <v>0</v>
      </c>
      <c r="H443" s="70">
        <f>'RESUMEN TOTAL'!U572</f>
        <v>0</v>
      </c>
      <c r="I443" s="70" t="str">
        <f>'RESUMEN TOTAL'!V572</f>
        <v>APAGADO</v>
      </c>
      <c r="J443" s="70" t="str">
        <f>'RESUMEN TOTAL'!W572</f>
        <v>APAGADO</v>
      </c>
      <c r="K443" s="70" t="str">
        <f>'RESUMEN TOTAL'!X572</f>
        <v>APAGADO</v>
      </c>
      <c r="L443" s="70" t="str">
        <f>'RESUMEN TOTAL'!Y572</f>
        <v>APAGADO</v>
      </c>
      <c r="M443" s="70" t="str">
        <f>'RESUMEN TOTAL'!Z572</f>
        <v>APAGADO</v>
      </c>
      <c r="N443" s="70">
        <f>'RESUMEN TOTAL'!AA572</f>
        <v>0</v>
      </c>
      <c r="O443" s="70">
        <f>'RESUMEN TOTAL'!AB572</f>
        <v>0</v>
      </c>
      <c r="P443" s="70" t="str">
        <f>'RESUMEN TOTAL'!AC572</f>
        <v>APAGADO</v>
      </c>
      <c r="Q443" s="70" t="str">
        <f>'RESUMEN TOTAL'!AD572</f>
        <v>APAGADO</v>
      </c>
      <c r="R443" s="70" t="str">
        <f>'RESUMEN TOTAL'!AE572</f>
        <v>APAGADO</v>
      </c>
      <c r="S443" s="70" t="str">
        <f>'RESUMEN TOTAL'!AF572</f>
        <v>APAGADO</v>
      </c>
      <c r="T443" s="70" t="str">
        <f>'RESUMEN TOTAL'!AG572</f>
        <v>APAGADO</v>
      </c>
      <c r="U443" s="70">
        <f>'RESUMEN TOTAL'!AH572</f>
        <v>0</v>
      </c>
      <c r="V443" s="70">
        <f>'RESUMEN TOTAL'!AI572</f>
        <v>0</v>
      </c>
      <c r="W443" s="70" t="str">
        <f>'RESUMEN TOTAL'!AJ572</f>
        <v>APAGADO</v>
      </c>
      <c r="X443" s="70">
        <f>'RESUMEN TOTAL'!AK572</f>
        <v>0</v>
      </c>
      <c r="Y443" s="70">
        <f>'RESUMEN TOTAL'!AL572</f>
        <v>0</v>
      </c>
      <c r="Z443" s="70">
        <f>'RESUMEN TOTAL'!AM572</f>
        <v>0</v>
      </c>
      <c r="AA443" s="70">
        <f>'RESUMEN TOTAL'!AN572</f>
        <v>0</v>
      </c>
      <c r="AB443" s="70">
        <f>'RESUMEN TOTAL'!AO572</f>
        <v>0</v>
      </c>
      <c r="AC443" s="70">
        <f>'RESUMEN TOTAL'!AP572</f>
        <v>0</v>
      </c>
      <c r="AD443" s="70">
        <f>'RESUMEN TOTAL'!AQ572</f>
        <v>0</v>
      </c>
      <c r="AE443" s="70">
        <f>'RESUMEN TOTAL'!AR572</f>
        <v>0</v>
      </c>
      <c r="AF443" s="70">
        <f>'RESUMEN TOTAL'!AS572</f>
        <v>0</v>
      </c>
      <c r="AG443" s="70">
        <f>'RESUMEN TOTAL'!AT572</f>
        <v>0</v>
      </c>
      <c r="AH443" s="70">
        <f>'RESUMEN TOTAL'!AU572</f>
        <v>0</v>
      </c>
      <c r="AI443" s="70">
        <f>'RESUMEN TOTAL'!AV572</f>
        <v>0</v>
      </c>
      <c r="AJ443" s="70" t="e">
        <f>'RESUMEN TOTAL'!#REF!</f>
        <v>#REF!</v>
      </c>
    </row>
    <row r="444" spans="1:36" x14ac:dyDescent="0.25">
      <c r="A444" t="str">
        <f>'RESUMEN TOTAL'!F573</f>
        <v>VILLA MONICA NUEVA</v>
      </c>
      <c r="B444" t="str">
        <f>'RESUMEN TOTAL'!G573</f>
        <v>VMO 04 (fija 2)</v>
      </c>
      <c r="C444" t="str">
        <f>'RESUMEN TOTAL'!I573</f>
        <v>EVA PERON E/ OROÑO Y 734 A</v>
      </c>
      <c r="D444" s="30" t="str">
        <f>'RESUMEN TOTAL'!J573</f>
        <v>Fija</v>
      </c>
      <c r="E444" s="30" t="str">
        <f>'RESUMEN TOTAL'!K573</f>
        <v>Fibra Optica</v>
      </c>
      <c r="F444" s="70">
        <f>'RESUMEN TOTAL'!S573</f>
        <v>0</v>
      </c>
      <c r="G444" s="70">
        <f>'RESUMEN TOTAL'!T573</f>
        <v>0</v>
      </c>
      <c r="H444" s="70">
        <f>'RESUMEN TOTAL'!U573</f>
        <v>0</v>
      </c>
      <c r="I444" s="70" t="str">
        <f>'RESUMEN TOTAL'!V573</f>
        <v>APAGADO</v>
      </c>
      <c r="J444" s="70" t="str">
        <f>'RESUMEN TOTAL'!W573</f>
        <v>APAGADO</v>
      </c>
      <c r="K444" s="70" t="str">
        <f>'RESUMEN TOTAL'!X573</f>
        <v>APAGADO</v>
      </c>
      <c r="L444" s="70" t="str">
        <f>'RESUMEN TOTAL'!Y573</f>
        <v>APAGADO</v>
      </c>
      <c r="M444" s="70" t="str">
        <f>'RESUMEN TOTAL'!Z573</f>
        <v>APAGADO</v>
      </c>
      <c r="N444" s="70">
        <f>'RESUMEN TOTAL'!AA573</f>
        <v>0</v>
      </c>
      <c r="O444" s="70">
        <f>'RESUMEN TOTAL'!AB573</f>
        <v>0</v>
      </c>
      <c r="P444" s="70" t="str">
        <f>'RESUMEN TOTAL'!AC573</f>
        <v>APAGADO</v>
      </c>
      <c r="Q444" s="70" t="str">
        <f>'RESUMEN TOTAL'!AD573</f>
        <v>APAGADO</v>
      </c>
      <c r="R444" s="70" t="str">
        <f>'RESUMEN TOTAL'!AE573</f>
        <v>APAGADO</v>
      </c>
      <c r="S444" s="70" t="str">
        <f>'RESUMEN TOTAL'!AF573</f>
        <v>APAGADO</v>
      </c>
      <c r="T444" s="70" t="str">
        <f>'RESUMEN TOTAL'!AG573</f>
        <v>APAGADO</v>
      </c>
      <c r="U444" s="70">
        <f>'RESUMEN TOTAL'!AH573</f>
        <v>0</v>
      </c>
      <c r="V444" s="70">
        <f>'RESUMEN TOTAL'!AI573</f>
        <v>0</v>
      </c>
      <c r="W444" s="70" t="str">
        <f>'RESUMEN TOTAL'!AJ573</f>
        <v>APAGADO</v>
      </c>
      <c r="X444" s="70">
        <f>'RESUMEN TOTAL'!AK573</f>
        <v>0</v>
      </c>
      <c r="Y444" s="70">
        <f>'RESUMEN TOTAL'!AL573</f>
        <v>0</v>
      </c>
      <c r="Z444" s="70">
        <f>'RESUMEN TOTAL'!AM573</f>
        <v>0</v>
      </c>
      <c r="AA444" s="70">
        <f>'RESUMEN TOTAL'!AN573</f>
        <v>0</v>
      </c>
      <c r="AB444" s="70">
        <f>'RESUMEN TOTAL'!AO573</f>
        <v>0</v>
      </c>
      <c r="AC444" s="70">
        <f>'RESUMEN TOTAL'!AP573</f>
        <v>0</v>
      </c>
      <c r="AD444" s="70">
        <f>'RESUMEN TOTAL'!AQ573</f>
        <v>0</v>
      </c>
      <c r="AE444" s="70">
        <f>'RESUMEN TOTAL'!AR573</f>
        <v>0</v>
      </c>
      <c r="AF444" s="70">
        <f>'RESUMEN TOTAL'!AS573</f>
        <v>0</v>
      </c>
      <c r="AG444" s="70">
        <f>'RESUMEN TOTAL'!AT573</f>
        <v>0</v>
      </c>
      <c r="AH444" s="70">
        <f>'RESUMEN TOTAL'!AU573</f>
        <v>0</v>
      </c>
      <c r="AI444" s="70">
        <f>'RESUMEN TOTAL'!AV573</f>
        <v>0</v>
      </c>
      <c r="AJ444" s="70" t="e">
        <f>'RESUMEN TOTAL'!#REF!</f>
        <v>#REF!</v>
      </c>
    </row>
    <row r="445" spans="1:36" x14ac:dyDescent="0.25">
      <c r="A445" t="str">
        <f>'RESUMEN TOTAL'!F574</f>
        <v>VILLA MONICA NUEVA</v>
      </c>
      <c r="B445" t="str">
        <f>'RESUMEN TOTAL'!G574</f>
        <v>VMO 05</v>
      </c>
      <c r="C445" t="str">
        <f>'RESUMEN TOTAL'!I574</f>
        <v>OROÑO Y EVA PERON</v>
      </c>
      <c r="D445" s="30" t="str">
        <f>'RESUMEN TOTAL'!J574</f>
        <v>DOMO</v>
      </c>
      <c r="E445" s="30" t="str">
        <f>'RESUMEN TOTAL'!K574</f>
        <v>Fibra Optica</v>
      </c>
      <c r="F445" s="70">
        <f>'RESUMEN TOTAL'!S574</f>
        <v>0</v>
      </c>
      <c r="G445" s="70">
        <f>'RESUMEN TOTAL'!T574</f>
        <v>0</v>
      </c>
      <c r="H445" s="70">
        <f>'RESUMEN TOTAL'!U574</f>
        <v>0</v>
      </c>
      <c r="I445" s="70" t="str">
        <f>'RESUMEN TOTAL'!V574</f>
        <v>APAGADO</v>
      </c>
      <c r="J445" s="70" t="str">
        <f>'RESUMEN TOTAL'!W574</f>
        <v>APAGADO</v>
      </c>
      <c r="K445" s="70" t="str">
        <f>'RESUMEN TOTAL'!X574</f>
        <v>APAGADO</v>
      </c>
      <c r="L445" s="70" t="str">
        <f>'RESUMEN TOTAL'!Y574</f>
        <v>APAGADO</v>
      </c>
      <c r="M445" s="70" t="str">
        <f>'RESUMEN TOTAL'!Z574</f>
        <v>APAGADO</v>
      </c>
      <c r="N445" s="70">
        <f>'RESUMEN TOTAL'!AA574</f>
        <v>0</v>
      </c>
      <c r="O445" s="70">
        <f>'RESUMEN TOTAL'!AB574</f>
        <v>0</v>
      </c>
      <c r="P445" s="70" t="str">
        <f>'RESUMEN TOTAL'!AC574</f>
        <v>APAGADO</v>
      </c>
      <c r="Q445" s="70" t="str">
        <f>'RESUMEN TOTAL'!AD574</f>
        <v>APAGADO</v>
      </c>
      <c r="R445" s="70" t="str">
        <f>'RESUMEN TOTAL'!AE574</f>
        <v>APAGADO</v>
      </c>
      <c r="S445" s="70" t="str">
        <f>'RESUMEN TOTAL'!AF574</f>
        <v>APAGADO</v>
      </c>
      <c r="T445" s="70" t="str">
        <f>'RESUMEN TOTAL'!AG574</f>
        <v>APAGADO</v>
      </c>
      <c r="U445" s="70">
        <f>'RESUMEN TOTAL'!AH574</f>
        <v>0</v>
      </c>
      <c r="V445" s="70">
        <f>'RESUMEN TOTAL'!AI574</f>
        <v>0</v>
      </c>
      <c r="W445" s="70" t="str">
        <f>'RESUMEN TOTAL'!AJ574</f>
        <v>APAGADO</v>
      </c>
      <c r="X445" s="70">
        <f>'RESUMEN TOTAL'!AK574</f>
        <v>0</v>
      </c>
      <c r="Y445" s="70">
        <f>'RESUMEN TOTAL'!AL574</f>
        <v>0</v>
      </c>
      <c r="Z445" s="70">
        <f>'RESUMEN TOTAL'!AM574</f>
        <v>0</v>
      </c>
      <c r="AA445" s="70">
        <f>'RESUMEN TOTAL'!AN574</f>
        <v>0</v>
      </c>
      <c r="AB445" s="70">
        <f>'RESUMEN TOTAL'!AO574</f>
        <v>0</v>
      </c>
      <c r="AC445" s="70">
        <f>'RESUMEN TOTAL'!AP574</f>
        <v>0</v>
      </c>
      <c r="AD445" s="70">
        <f>'RESUMEN TOTAL'!AQ574</f>
        <v>0</v>
      </c>
      <c r="AE445" s="70">
        <f>'RESUMEN TOTAL'!AR574</f>
        <v>0</v>
      </c>
      <c r="AF445" s="70">
        <f>'RESUMEN TOTAL'!AS574</f>
        <v>0</v>
      </c>
      <c r="AG445" s="70">
        <f>'RESUMEN TOTAL'!AT574</f>
        <v>0</v>
      </c>
      <c r="AH445" s="70">
        <f>'RESUMEN TOTAL'!AU574</f>
        <v>0</v>
      </c>
      <c r="AI445" s="70">
        <f>'RESUMEN TOTAL'!AV574</f>
        <v>0</v>
      </c>
      <c r="AJ445" s="70" t="e">
        <f>'RESUMEN TOTAL'!#REF!</f>
        <v>#REF!</v>
      </c>
    </row>
    <row r="446" spans="1:36" x14ac:dyDescent="0.25">
      <c r="A446" t="str">
        <f>'RESUMEN TOTAL'!F575</f>
        <v>VILLA MONICA NUEVA</v>
      </c>
      <c r="B446" t="str">
        <f>'RESUMEN TOTAL'!G575</f>
        <v>VMO01</v>
      </c>
      <c r="C446" t="str">
        <f>'RESUMEN TOTAL'!I575</f>
        <v>Eva Peron y Monseñor de las Casas</v>
      </c>
      <c r="D446" s="30" t="str">
        <f>'RESUMEN TOTAL'!J575</f>
        <v>DOMO</v>
      </c>
      <c r="E446" s="30" t="str">
        <f>'RESUMEN TOTAL'!K575</f>
        <v>PTO A FO</v>
      </c>
      <c r="F446" s="70">
        <f>'RESUMEN TOTAL'!S575</f>
        <v>0</v>
      </c>
      <c r="G446" s="70">
        <f>'RESUMEN TOTAL'!T575</f>
        <v>0</v>
      </c>
      <c r="H446" s="70">
        <f>'RESUMEN TOTAL'!U575</f>
        <v>0</v>
      </c>
      <c r="I446" s="70" t="str">
        <f>'RESUMEN TOTAL'!V575</f>
        <v>APAGADO</v>
      </c>
      <c r="J446" s="70" t="str">
        <f>'RESUMEN TOTAL'!W575</f>
        <v>APAGADO</v>
      </c>
      <c r="K446" s="70" t="str">
        <f>'RESUMEN TOTAL'!X575</f>
        <v>APAGADO</v>
      </c>
      <c r="L446" s="70" t="str">
        <f>'RESUMEN TOTAL'!Y575</f>
        <v>APAGADO</v>
      </c>
      <c r="M446" s="70" t="str">
        <f>'RESUMEN TOTAL'!Z575</f>
        <v>APAGADO</v>
      </c>
      <c r="N446" s="70">
        <f>'RESUMEN TOTAL'!AA575</f>
        <v>0</v>
      </c>
      <c r="O446" s="70">
        <f>'RESUMEN TOTAL'!AB575</f>
        <v>0</v>
      </c>
      <c r="P446" s="70" t="str">
        <f>'RESUMEN TOTAL'!AC575</f>
        <v>APAGADO</v>
      </c>
      <c r="Q446" s="70" t="str">
        <f>'RESUMEN TOTAL'!AD575</f>
        <v>APAGADO</v>
      </c>
      <c r="R446" s="70" t="str">
        <f>'RESUMEN TOTAL'!AE575</f>
        <v>APAGADO</v>
      </c>
      <c r="S446" s="70" t="str">
        <f>'RESUMEN TOTAL'!AF575</f>
        <v>APAGADO</v>
      </c>
      <c r="T446" s="70" t="str">
        <f>'RESUMEN TOTAL'!AG575</f>
        <v>APAGADO</v>
      </c>
      <c r="U446" s="70">
        <f>'RESUMEN TOTAL'!AH575</f>
        <v>0</v>
      </c>
      <c r="V446" s="70">
        <f>'RESUMEN TOTAL'!AI575</f>
        <v>0</v>
      </c>
      <c r="W446" s="70" t="str">
        <f>'RESUMEN TOTAL'!AJ575</f>
        <v>APAGADO</v>
      </c>
      <c r="X446" s="70" t="str">
        <f>'RESUMEN TOTAL'!AK575</f>
        <v>APAGADO</v>
      </c>
      <c r="Y446" s="70" t="str">
        <f>'RESUMEN TOTAL'!AL575</f>
        <v>APAGADO</v>
      </c>
      <c r="Z446" s="70" t="str">
        <f>'RESUMEN TOTAL'!AM575</f>
        <v>APAGADO</v>
      </c>
      <c r="AA446" s="70" t="str">
        <f>'RESUMEN TOTAL'!AN575</f>
        <v>APAGADO</v>
      </c>
      <c r="AB446" s="70">
        <f>'RESUMEN TOTAL'!AO575</f>
        <v>0</v>
      </c>
      <c r="AC446" s="70">
        <f>'RESUMEN TOTAL'!AP575</f>
        <v>0</v>
      </c>
      <c r="AD446" s="70">
        <f>'RESUMEN TOTAL'!AQ575</f>
        <v>0</v>
      </c>
      <c r="AE446" s="70" t="str">
        <f>'RESUMEN TOTAL'!AR575</f>
        <v>APAGADO</v>
      </c>
      <c r="AF446" s="70" t="str">
        <f>'RESUMEN TOTAL'!AS575</f>
        <v>APAGADO</v>
      </c>
      <c r="AG446" s="70" t="str">
        <f>'RESUMEN TOTAL'!AT575</f>
        <v>APAGADO</v>
      </c>
      <c r="AH446" s="70">
        <f>'RESUMEN TOTAL'!AU575</f>
        <v>0</v>
      </c>
      <c r="AI446" s="70">
        <f>'RESUMEN TOTAL'!AV575</f>
        <v>0</v>
      </c>
      <c r="AJ446" s="70" t="e">
        <f>'RESUMEN TOTAL'!#REF!</f>
        <v>#REF!</v>
      </c>
    </row>
    <row r="447" spans="1:36" x14ac:dyDescent="0.25">
      <c r="A447" t="str">
        <f>'RESUMEN TOTAL'!F576</f>
        <v>VILLA MONICA VIEJA</v>
      </c>
      <c r="B447" t="str">
        <f>'RESUMEN TOTAL'!G576</f>
        <v>VMOV 02 (fija 2)</v>
      </c>
      <c r="C447" t="str">
        <f>'RESUMEN TOTAL'!I576</f>
        <v>ATENAS E/ CAFFERATA Y ALEMANIA</v>
      </c>
      <c r="D447" s="30" t="str">
        <f>'RESUMEN TOTAL'!J576</f>
        <v>Fija</v>
      </c>
      <c r="E447" s="30" t="str">
        <f>'RESUMEN TOTAL'!K576</f>
        <v>GPON</v>
      </c>
      <c r="F447" s="70">
        <f>'RESUMEN TOTAL'!S576</f>
        <v>0</v>
      </c>
      <c r="G447" s="70">
        <f>'RESUMEN TOTAL'!T576</f>
        <v>0</v>
      </c>
      <c r="H447" s="70">
        <f>'RESUMEN TOTAL'!U576</f>
        <v>0</v>
      </c>
      <c r="I447" s="70" t="str">
        <f>'RESUMEN TOTAL'!V576</f>
        <v>APAGADO</v>
      </c>
      <c r="J447" s="70" t="str">
        <f>'RESUMEN TOTAL'!W576</f>
        <v>APAGADO</v>
      </c>
      <c r="K447" s="70" t="str">
        <f>'RESUMEN TOTAL'!X576</f>
        <v>APAGADO</v>
      </c>
      <c r="L447" s="70" t="str">
        <f>'RESUMEN TOTAL'!Y576</f>
        <v>APAGADO</v>
      </c>
      <c r="M447" s="70" t="str">
        <f>'RESUMEN TOTAL'!Z576</f>
        <v>APAGADO</v>
      </c>
      <c r="N447" s="70">
        <f>'RESUMEN TOTAL'!AA576</f>
        <v>0</v>
      </c>
      <c r="O447" s="70">
        <f>'RESUMEN TOTAL'!AB576</f>
        <v>0</v>
      </c>
      <c r="P447" s="70" t="str">
        <f>'RESUMEN TOTAL'!AC576</f>
        <v>APAGADO</v>
      </c>
      <c r="Q447" s="70" t="str">
        <f>'RESUMEN TOTAL'!AD576</f>
        <v>APAGADO</v>
      </c>
      <c r="R447" s="70" t="str">
        <f>'RESUMEN TOTAL'!AE576</f>
        <v>APAGADO</v>
      </c>
      <c r="S447" s="70" t="str">
        <f>'RESUMEN TOTAL'!AF576</f>
        <v>APAGADO</v>
      </c>
      <c r="T447" s="70" t="str">
        <f>'RESUMEN TOTAL'!AG576</f>
        <v>APAGADO</v>
      </c>
      <c r="U447" s="70">
        <f>'RESUMEN TOTAL'!AH576</f>
        <v>0</v>
      </c>
      <c r="V447" s="70">
        <f>'RESUMEN TOTAL'!AI576</f>
        <v>0</v>
      </c>
      <c r="W447" s="70" t="str">
        <f>'RESUMEN TOTAL'!AJ576</f>
        <v>APAGADO</v>
      </c>
      <c r="X447" s="70">
        <f>'RESUMEN TOTAL'!AK576</f>
        <v>0</v>
      </c>
      <c r="Y447" s="70">
        <f>'RESUMEN TOTAL'!AL576</f>
        <v>0</v>
      </c>
      <c r="Z447" s="70">
        <f>'RESUMEN TOTAL'!AM576</f>
        <v>0</v>
      </c>
      <c r="AA447" s="70">
        <f>'RESUMEN TOTAL'!AN576</f>
        <v>0</v>
      </c>
      <c r="AB447" s="70">
        <f>'RESUMEN TOTAL'!AO576</f>
        <v>0</v>
      </c>
      <c r="AC447" s="70">
        <f>'RESUMEN TOTAL'!AP576</f>
        <v>0</v>
      </c>
      <c r="AD447" s="70">
        <f>'RESUMEN TOTAL'!AQ576</f>
        <v>0</v>
      </c>
      <c r="AE447" s="70">
        <f>'RESUMEN TOTAL'!AR576</f>
        <v>0</v>
      </c>
      <c r="AF447" s="70">
        <f>'RESUMEN TOTAL'!AS576</f>
        <v>0</v>
      </c>
      <c r="AG447" s="70">
        <f>'RESUMEN TOTAL'!AT576</f>
        <v>0</v>
      </c>
      <c r="AH447" s="70">
        <f>'RESUMEN TOTAL'!AU576</f>
        <v>0</v>
      </c>
      <c r="AI447" s="70">
        <f>'RESUMEN TOTAL'!AV576</f>
        <v>0</v>
      </c>
      <c r="AJ447" s="70" t="e">
        <f>'RESUMEN TOTAL'!#REF!</f>
        <v>#REF!</v>
      </c>
    </row>
    <row r="448" spans="1:36" x14ac:dyDescent="0.25">
      <c r="A448" t="str">
        <f>'RESUMEN TOTAL'!F577</f>
        <v>VILLA MONICA VIEJA</v>
      </c>
      <c r="B448" t="str">
        <f>'RESUMEN TOTAL'!G577</f>
        <v>VMOV 03 (fija 1)</v>
      </c>
      <c r="C448" t="str">
        <f>'RESUMEN TOTAL'!I577</f>
        <v>ROMA E/ HOLANDA Y CAFFERATA</v>
      </c>
      <c r="D448" s="30" t="str">
        <f>'RESUMEN TOTAL'!J577</f>
        <v>Fija</v>
      </c>
      <c r="E448" s="30" t="str">
        <f>'RESUMEN TOTAL'!K577</f>
        <v>GPON</v>
      </c>
      <c r="F448" s="70">
        <f>'RESUMEN TOTAL'!S577</f>
        <v>0</v>
      </c>
      <c r="G448" s="70">
        <f>'RESUMEN TOTAL'!T577</f>
        <v>0</v>
      </c>
      <c r="H448" s="70">
        <f>'RESUMEN TOTAL'!U577</f>
        <v>0</v>
      </c>
      <c r="I448" s="70" t="str">
        <f>'RESUMEN TOTAL'!V577</f>
        <v>APAGADO</v>
      </c>
      <c r="J448" s="70" t="str">
        <f>'RESUMEN TOTAL'!W577</f>
        <v>APAGADO</v>
      </c>
      <c r="K448" s="70" t="str">
        <f>'RESUMEN TOTAL'!X577</f>
        <v>APAGADO</v>
      </c>
      <c r="L448" s="70" t="str">
        <f>'RESUMEN TOTAL'!Y577</f>
        <v>APAGADO</v>
      </c>
      <c r="M448" s="70" t="str">
        <f>'RESUMEN TOTAL'!Z577</f>
        <v>APAGADO</v>
      </c>
      <c r="N448" s="70">
        <f>'RESUMEN TOTAL'!AA577</f>
        <v>0</v>
      </c>
      <c r="O448" s="70">
        <f>'RESUMEN TOTAL'!AB577</f>
        <v>0</v>
      </c>
      <c r="P448" s="70" t="str">
        <f>'RESUMEN TOTAL'!AC577</f>
        <v>APAGADO</v>
      </c>
      <c r="Q448" s="70" t="str">
        <f>'RESUMEN TOTAL'!AD577</f>
        <v>APAGADO</v>
      </c>
      <c r="R448" s="70" t="str">
        <f>'RESUMEN TOTAL'!AE577</f>
        <v>APAGADO</v>
      </c>
      <c r="S448" s="70" t="str">
        <f>'RESUMEN TOTAL'!AF577</f>
        <v>APAGADO</v>
      </c>
      <c r="T448" s="70" t="str">
        <f>'RESUMEN TOTAL'!AG577</f>
        <v>APAGADO</v>
      </c>
      <c r="U448" s="70">
        <f>'RESUMEN TOTAL'!AH577</f>
        <v>0</v>
      </c>
      <c r="V448" s="70">
        <f>'RESUMEN TOTAL'!AI577</f>
        <v>0</v>
      </c>
      <c r="W448" s="70" t="str">
        <f>'RESUMEN TOTAL'!AJ577</f>
        <v>APAGADO</v>
      </c>
      <c r="X448" s="70">
        <f>'RESUMEN TOTAL'!AK577</f>
        <v>0</v>
      </c>
      <c r="Y448" s="70">
        <f>'RESUMEN TOTAL'!AL577</f>
        <v>0</v>
      </c>
      <c r="Z448" s="70">
        <f>'RESUMEN TOTAL'!AM577</f>
        <v>0</v>
      </c>
      <c r="AA448" s="70">
        <f>'RESUMEN TOTAL'!AN577</f>
        <v>0</v>
      </c>
      <c r="AB448" s="70">
        <f>'RESUMEN TOTAL'!AO577</f>
        <v>0</v>
      </c>
      <c r="AC448" s="70">
        <f>'RESUMEN TOTAL'!AP577</f>
        <v>0</v>
      </c>
      <c r="AD448" s="70">
        <f>'RESUMEN TOTAL'!AQ577</f>
        <v>0</v>
      </c>
      <c r="AE448" s="70" t="str">
        <f>'RESUMEN TOTAL'!AR577</f>
        <v>APAGADO</v>
      </c>
      <c r="AF448" s="70" t="str">
        <f>'RESUMEN TOTAL'!AS577</f>
        <v>APAGADO</v>
      </c>
      <c r="AG448" s="70">
        <f>'RESUMEN TOTAL'!AT577</f>
        <v>0</v>
      </c>
      <c r="AH448" s="70">
        <f>'RESUMEN TOTAL'!AU577</f>
        <v>0</v>
      </c>
      <c r="AI448" s="70">
        <f>'RESUMEN TOTAL'!AV577</f>
        <v>0</v>
      </c>
      <c r="AJ448" s="70" t="e">
        <f>'RESUMEN TOTAL'!#REF!</f>
        <v>#REF!</v>
      </c>
    </row>
    <row r="449" spans="1:36" x14ac:dyDescent="0.25">
      <c r="A449" t="str">
        <f>'RESUMEN TOTAL'!F578</f>
        <v>VILLA MONICA VIEJA</v>
      </c>
      <c r="B449" t="str">
        <f>'RESUMEN TOTAL'!G578</f>
        <v>VMOV01 (fija 1)</v>
      </c>
      <c r="C449" t="str">
        <f>'RESUMEN TOTAL'!I578</f>
        <v>ATENAS E/ CAFFERATA Y ALEMANIA</v>
      </c>
      <c r="D449" s="30" t="str">
        <f>'RESUMEN TOTAL'!J578</f>
        <v>Fija</v>
      </c>
      <c r="E449" s="30" t="str">
        <f>'RESUMEN TOTAL'!K578</f>
        <v>GPON</v>
      </c>
      <c r="F449" s="70">
        <f>'RESUMEN TOTAL'!S578</f>
        <v>0</v>
      </c>
      <c r="G449" s="70">
        <f>'RESUMEN TOTAL'!T578</f>
        <v>0</v>
      </c>
      <c r="H449" s="70">
        <f>'RESUMEN TOTAL'!U578</f>
        <v>0</v>
      </c>
      <c r="I449" s="70" t="str">
        <f>'RESUMEN TOTAL'!V578</f>
        <v>APAGADO</v>
      </c>
      <c r="J449" s="70" t="str">
        <f>'RESUMEN TOTAL'!W578</f>
        <v>APAGADO</v>
      </c>
      <c r="K449" s="70" t="str">
        <f>'RESUMEN TOTAL'!X578</f>
        <v>APAGADO</v>
      </c>
      <c r="L449" s="70" t="str">
        <f>'RESUMEN TOTAL'!Y578</f>
        <v>APAGADO</v>
      </c>
      <c r="M449" s="70" t="str">
        <f>'RESUMEN TOTAL'!Z578</f>
        <v>APAGADO</v>
      </c>
      <c r="N449" s="70">
        <f>'RESUMEN TOTAL'!AA578</f>
        <v>0</v>
      </c>
      <c r="O449" s="70">
        <f>'RESUMEN TOTAL'!AB578</f>
        <v>0</v>
      </c>
      <c r="P449" s="70" t="str">
        <f>'RESUMEN TOTAL'!AC578</f>
        <v>APAGADO</v>
      </c>
      <c r="Q449" s="70" t="str">
        <f>'RESUMEN TOTAL'!AD578</f>
        <v>APAGADO</v>
      </c>
      <c r="R449" s="70" t="str">
        <f>'RESUMEN TOTAL'!AE578</f>
        <v>APAGADO</v>
      </c>
      <c r="S449" s="70" t="str">
        <f>'RESUMEN TOTAL'!AF578</f>
        <v>APAGADO</v>
      </c>
      <c r="T449" s="70" t="str">
        <f>'RESUMEN TOTAL'!AG578</f>
        <v>APAGADO</v>
      </c>
      <c r="U449" s="70">
        <f>'RESUMEN TOTAL'!AH578</f>
        <v>0</v>
      </c>
      <c r="V449" s="70">
        <f>'RESUMEN TOTAL'!AI578</f>
        <v>0</v>
      </c>
      <c r="W449" s="70" t="str">
        <f>'RESUMEN TOTAL'!AJ578</f>
        <v>APAGADO</v>
      </c>
      <c r="X449" s="70">
        <f>'RESUMEN TOTAL'!AK578</f>
        <v>0</v>
      </c>
      <c r="Y449" s="70">
        <f>'RESUMEN TOTAL'!AL578</f>
        <v>0</v>
      </c>
      <c r="Z449" s="70">
        <f>'RESUMEN TOTAL'!AM578</f>
        <v>0</v>
      </c>
      <c r="AA449" s="70">
        <f>'RESUMEN TOTAL'!AN578</f>
        <v>0</v>
      </c>
      <c r="AB449" s="70">
        <f>'RESUMEN TOTAL'!AO578</f>
        <v>0</v>
      </c>
      <c r="AC449" s="70">
        <f>'RESUMEN TOTAL'!AP578</f>
        <v>0</v>
      </c>
      <c r="AD449" s="70">
        <f>'RESUMEN TOTAL'!AQ578</f>
        <v>0</v>
      </c>
      <c r="AE449" s="70">
        <f>'RESUMEN TOTAL'!AR578</f>
        <v>0</v>
      </c>
      <c r="AF449" s="70">
        <f>'RESUMEN TOTAL'!AS578</f>
        <v>0</v>
      </c>
      <c r="AG449" s="70">
        <f>'RESUMEN TOTAL'!AT578</f>
        <v>0</v>
      </c>
      <c r="AH449" s="70">
        <f>'RESUMEN TOTAL'!AU578</f>
        <v>0</v>
      </c>
      <c r="AI449" s="70">
        <f>'RESUMEN TOTAL'!AV578</f>
        <v>0</v>
      </c>
      <c r="AJ449" s="70" t="e">
        <f>'RESUMEN TOTAL'!#REF!</f>
        <v>#REF!</v>
      </c>
    </row>
    <row r="450" spans="1:36" x14ac:dyDescent="0.25">
      <c r="A450" t="str">
        <f>'RESUMEN TOTAL'!F579</f>
        <v>VILLA MONICA VIEJA</v>
      </c>
      <c r="B450" t="str">
        <f>'RESUMEN TOTAL'!G579</f>
        <v>VMOV04 (fija 2)</v>
      </c>
      <c r="C450" t="str">
        <f>'RESUMEN TOTAL'!I579</f>
        <v>ROMA E/ HOLANDA Y CAFFERATA</v>
      </c>
      <c r="D450" s="30" t="str">
        <f>'RESUMEN TOTAL'!J579</f>
        <v>Fija</v>
      </c>
      <c r="E450" s="30" t="str">
        <f>'RESUMEN TOTAL'!K579</f>
        <v>GPON</v>
      </c>
      <c r="F450" s="70">
        <f>'RESUMEN TOTAL'!S579</f>
        <v>0</v>
      </c>
      <c r="G450" s="70">
        <f>'RESUMEN TOTAL'!T579</f>
        <v>0</v>
      </c>
      <c r="H450" s="70">
        <f>'RESUMEN TOTAL'!U579</f>
        <v>0</v>
      </c>
      <c r="I450" s="70" t="str">
        <f>'RESUMEN TOTAL'!V579</f>
        <v>APAGADO</v>
      </c>
      <c r="J450" s="70" t="str">
        <f>'RESUMEN TOTAL'!W579</f>
        <v>APAGADO</v>
      </c>
      <c r="K450" s="70" t="str">
        <f>'RESUMEN TOTAL'!X579</f>
        <v>APAGADO</v>
      </c>
      <c r="L450" s="70" t="str">
        <f>'RESUMEN TOTAL'!Y579</f>
        <v>APAGADO</v>
      </c>
      <c r="M450" s="70" t="str">
        <f>'RESUMEN TOTAL'!Z579</f>
        <v>APAGADO</v>
      </c>
      <c r="N450" s="70">
        <f>'RESUMEN TOTAL'!AA579</f>
        <v>0</v>
      </c>
      <c r="O450" s="70">
        <f>'RESUMEN TOTAL'!AB579</f>
        <v>0</v>
      </c>
      <c r="P450" s="70" t="str">
        <f>'RESUMEN TOTAL'!AC579</f>
        <v>APAGADO</v>
      </c>
      <c r="Q450" s="70" t="str">
        <f>'RESUMEN TOTAL'!AD579</f>
        <v>APAGADO</v>
      </c>
      <c r="R450" s="70" t="str">
        <f>'RESUMEN TOTAL'!AE579</f>
        <v>APAGADO</v>
      </c>
      <c r="S450" s="70" t="str">
        <f>'RESUMEN TOTAL'!AF579</f>
        <v>APAGADO</v>
      </c>
      <c r="T450" s="70" t="str">
        <f>'RESUMEN TOTAL'!AG579</f>
        <v>APAGADO</v>
      </c>
      <c r="U450" s="70">
        <f>'RESUMEN TOTAL'!AH579</f>
        <v>0</v>
      </c>
      <c r="V450" s="70">
        <f>'RESUMEN TOTAL'!AI579</f>
        <v>0</v>
      </c>
      <c r="W450" s="70" t="str">
        <f>'RESUMEN TOTAL'!AJ579</f>
        <v>APAGADO</v>
      </c>
      <c r="X450" s="70">
        <f>'RESUMEN TOTAL'!AK579</f>
        <v>0</v>
      </c>
      <c r="Y450" s="70">
        <f>'RESUMEN TOTAL'!AL579</f>
        <v>0</v>
      </c>
      <c r="Z450" s="70">
        <f>'RESUMEN TOTAL'!AM579</f>
        <v>0</v>
      </c>
      <c r="AA450" s="70">
        <f>'RESUMEN TOTAL'!AN579</f>
        <v>0</v>
      </c>
      <c r="AB450" s="70">
        <f>'RESUMEN TOTAL'!AO579</f>
        <v>0</v>
      </c>
      <c r="AC450" s="70">
        <f>'RESUMEN TOTAL'!AP579</f>
        <v>0</v>
      </c>
      <c r="AD450" s="70">
        <f>'RESUMEN TOTAL'!AQ579</f>
        <v>0</v>
      </c>
      <c r="AE450" s="70" t="str">
        <f>'RESUMEN TOTAL'!AR579</f>
        <v>APAGADO</v>
      </c>
      <c r="AF450" s="70" t="str">
        <f>'RESUMEN TOTAL'!AS579</f>
        <v>APAGADO</v>
      </c>
      <c r="AG450" s="70">
        <f>'RESUMEN TOTAL'!AT579</f>
        <v>0</v>
      </c>
      <c r="AH450" s="70">
        <f>'RESUMEN TOTAL'!AU579</f>
        <v>0</v>
      </c>
      <c r="AI450" s="70">
        <f>'RESUMEN TOTAL'!AV579</f>
        <v>0</v>
      </c>
      <c r="AJ450" s="70" t="e">
        <f>'RESUMEN TOTAL'!#REF!</f>
        <v>#REF!</v>
      </c>
    </row>
    <row r="451" spans="1:36" x14ac:dyDescent="0.25">
      <c r="A451" t="str">
        <f>'RESUMEN TOTAL'!F583</f>
        <v>VILLA SAN LUIS</v>
      </c>
      <c r="B451" t="str">
        <f>'RESUMEN TOTAL'!G583</f>
        <v>VSL 03</v>
      </c>
      <c r="C451" t="str">
        <f>'RESUMEN TOTAL'!I583</f>
        <v>1314 y 1371</v>
      </c>
      <c r="D451" s="30" t="str">
        <f>'RESUMEN TOTAL'!J583</f>
        <v>DOMO</v>
      </c>
      <c r="E451" s="30" t="str">
        <f>'RESUMEN TOTAL'!K583</f>
        <v>GPON</v>
      </c>
      <c r="F451" s="70">
        <f>'RESUMEN TOTAL'!S583</f>
        <v>0</v>
      </c>
      <c r="G451" s="70">
        <f>'RESUMEN TOTAL'!T583</f>
        <v>0</v>
      </c>
      <c r="H451" s="70">
        <f>'RESUMEN TOTAL'!U583</f>
        <v>0</v>
      </c>
      <c r="I451" s="70">
        <f>'RESUMEN TOTAL'!V583</f>
        <v>0</v>
      </c>
      <c r="J451" s="70">
        <f>'RESUMEN TOTAL'!W583</f>
        <v>0</v>
      </c>
      <c r="K451" s="70">
        <f>'RESUMEN TOTAL'!X583</f>
        <v>0</v>
      </c>
      <c r="L451" s="70">
        <f>'RESUMEN TOTAL'!Y583</f>
        <v>0</v>
      </c>
      <c r="M451" s="70">
        <f>'RESUMEN TOTAL'!Z583</f>
        <v>0</v>
      </c>
      <c r="N451" s="70">
        <f>'RESUMEN TOTAL'!AA583</f>
        <v>0</v>
      </c>
      <c r="O451" s="70">
        <f>'RESUMEN TOTAL'!AB583</f>
        <v>0</v>
      </c>
      <c r="P451" s="70">
        <f>'RESUMEN TOTAL'!AC583</f>
        <v>0</v>
      </c>
      <c r="Q451" s="70">
        <f>'RESUMEN TOTAL'!AD583</f>
        <v>0</v>
      </c>
      <c r="R451" s="70">
        <f>'RESUMEN TOTAL'!AE583</f>
        <v>0</v>
      </c>
      <c r="S451" s="70">
        <f>'RESUMEN TOTAL'!AF583</f>
        <v>0</v>
      </c>
      <c r="T451" s="70">
        <f>'RESUMEN TOTAL'!AG583</f>
        <v>0</v>
      </c>
      <c r="U451" s="70">
        <f>'RESUMEN TOTAL'!AH583</f>
        <v>0</v>
      </c>
      <c r="V451" s="70">
        <f>'RESUMEN TOTAL'!AI583</f>
        <v>0</v>
      </c>
      <c r="W451" s="70">
        <f>'RESUMEN TOTAL'!AJ583</f>
        <v>0</v>
      </c>
      <c r="X451" s="70">
        <f>'RESUMEN TOTAL'!AK583</f>
        <v>0</v>
      </c>
      <c r="Y451" s="70">
        <f>'RESUMEN TOTAL'!AL583</f>
        <v>0</v>
      </c>
      <c r="Z451" s="70">
        <f>'RESUMEN TOTAL'!AM583</f>
        <v>0</v>
      </c>
      <c r="AA451" s="70">
        <f>'RESUMEN TOTAL'!AN583</f>
        <v>0</v>
      </c>
      <c r="AB451" s="70">
        <f>'RESUMEN TOTAL'!AO583</f>
        <v>0</v>
      </c>
      <c r="AC451" s="70">
        <f>'RESUMEN TOTAL'!AP583</f>
        <v>0</v>
      </c>
      <c r="AD451" s="70">
        <f>'RESUMEN TOTAL'!AQ583</f>
        <v>0</v>
      </c>
      <c r="AE451" s="70">
        <f>'RESUMEN TOTAL'!AR583</f>
        <v>0</v>
      </c>
      <c r="AF451" s="70">
        <f>'RESUMEN TOTAL'!AS583</f>
        <v>0</v>
      </c>
      <c r="AG451" s="70">
        <f>'RESUMEN TOTAL'!AT583</f>
        <v>0</v>
      </c>
      <c r="AH451" s="70">
        <f>'RESUMEN TOTAL'!AU583</f>
        <v>0</v>
      </c>
      <c r="AI451" s="70">
        <f>'RESUMEN TOTAL'!AV583</f>
        <v>0</v>
      </c>
      <c r="AJ451" s="70" t="e">
        <f>'RESUMEN TOTAL'!#REF!</f>
        <v>#REF!</v>
      </c>
    </row>
    <row r="452" spans="1:36" x14ac:dyDescent="0.25">
      <c r="A452" t="str">
        <f>'RESUMEN TOTAL'!F584</f>
        <v>VILLA SUSANA</v>
      </c>
      <c r="B452" t="str">
        <f>'RESUMEN TOTAL'!G584</f>
        <v>VSU 02</v>
      </c>
      <c r="C452" t="str">
        <f>'RESUMEN TOTAL'!I584</f>
        <v>CABELLO Y SANTA FE</v>
      </c>
      <c r="D452" s="30" t="str">
        <f>'RESUMEN TOTAL'!J584</f>
        <v>DOMO</v>
      </c>
      <c r="E452" s="30" t="str">
        <f>'RESUMEN TOTAL'!K584</f>
        <v>Radio</v>
      </c>
      <c r="F452" s="70">
        <f>'RESUMEN TOTAL'!S584</f>
        <v>0</v>
      </c>
      <c r="G452" s="70">
        <f>'RESUMEN TOTAL'!T584</f>
        <v>0</v>
      </c>
      <c r="H452" s="70">
        <f>'RESUMEN TOTAL'!U584</f>
        <v>0</v>
      </c>
      <c r="I452" s="70">
        <f>'RESUMEN TOTAL'!V584</f>
        <v>0</v>
      </c>
      <c r="J452" s="70">
        <f>'RESUMEN TOTAL'!W584</f>
        <v>0</v>
      </c>
      <c r="K452" s="70">
        <f>'RESUMEN TOTAL'!X584</f>
        <v>0</v>
      </c>
      <c r="L452" s="70">
        <f>'RESUMEN TOTAL'!Y584</f>
        <v>0</v>
      </c>
      <c r="M452" s="70">
        <f>'RESUMEN TOTAL'!Z584</f>
        <v>0</v>
      </c>
      <c r="N452" s="70">
        <f>'RESUMEN TOTAL'!AA584</f>
        <v>0</v>
      </c>
      <c r="O452" s="70">
        <f>'RESUMEN TOTAL'!AB584</f>
        <v>0</v>
      </c>
      <c r="P452" s="70">
        <f>'RESUMEN TOTAL'!AC584</f>
        <v>0</v>
      </c>
      <c r="Q452" s="70">
        <f>'RESUMEN TOTAL'!AD584</f>
        <v>0</v>
      </c>
      <c r="R452" s="70">
        <f>'RESUMEN TOTAL'!AE584</f>
        <v>0</v>
      </c>
      <c r="S452" s="70">
        <f>'RESUMEN TOTAL'!AF584</f>
        <v>0</v>
      </c>
      <c r="T452" s="70">
        <f>'RESUMEN TOTAL'!AG584</f>
        <v>0</v>
      </c>
      <c r="U452" s="70">
        <f>'RESUMEN TOTAL'!AH584</f>
        <v>0</v>
      </c>
      <c r="V452" s="70">
        <f>'RESUMEN TOTAL'!AI584</f>
        <v>0</v>
      </c>
      <c r="W452" s="70">
        <f>'RESUMEN TOTAL'!AJ584</f>
        <v>0</v>
      </c>
      <c r="X452" s="70">
        <f>'RESUMEN TOTAL'!AK584</f>
        <v>0</v>
      </c>
      <c r="Y452" s="70">
        <f>'RESUMEN TOTAL'!AL584</f>
        <v>0</v>
      </c>
      <c r="Z452" s="70">
        <f>'RESUMEN TOTAL'!AM584</f>
        <v>0</v>
      </c>
      <c r="AA452" s="70">
        <f>'RESUMEN TOTAL'!AN584</f>
        <v>0</v>
      </c>
      <c r="AB452" s="70">
        <f>'RESUMEN TOTAL'!AO584</f>
        <v>0</v>
      </c>
      <c r="AC452" s="70">
        <f>'RESUMEN TOTAL'!AP584</f>
        <v>0</v>
      </c>
      <c r="AD452" s="70">
        <f>'RESUMEN TOTAL'!AQ584</f>
        <v>0</v>
      </c>
      <c r="AE452" s="70">
        <f>'RESUMEN TOTAL'!AR584</f>
        <v>0</v>
      </c>
      <c r="AF452" s="70">
        <f>'RESUMEN TOTAL'!AS584</f>
        <v>0</v>
      </c>
      <c r="AG452" s="70">
        <f>'RESUMEN TOTAL'!AT584</f>
        <v>0</v>
      </c>
      <c r="AH452" s="70">
        <f>'RESUMEN TOTAL'!AU584</f>
        <v>0</v>
      </c>
      <c r="AI452" s="70">
        <f>'RESUMEN TOTAL'!AV584</f>
        <v>0</v>
      </c>
      <c r="AJ452" s="70" t="e">
        <f>'RESUMEN TOTAL'!#REF!</f>
        <v>#REF!</v>
      </c>
    </row>
    <row r="453" spans="1:36" x14ac:dyDescent="0.25">
      <c r="A453" t="str">
        <f>'RESUMEN TOTAL'!F585</f>
        <v>VILLA SUSANA</v>
      </c>
      <c r="B453" t="str">
        <f>'RESUMEN TOTAL'!G585</f>
        <v>VSU 03</v>
      </c>
      <c r="C453" t="str">
        <f>'RESUMEN TOTAL'!I585</f>
        <v>EE.UU Y SERRANO</v>
      </c>
      <c r="D453" s="30" t="str">
        <f>'RESUMEN TOTAL'!J585</f>
        <v>DOMO</v>
      </c>
      <c r="E453" s="30" t="str">
        <f>'RESUMEN TOTAL'!K585</f>
        <v>Radio</v>
      </c>
      <c r="F453" s="70">
        <f>'RESUMEN TOTAL'!S585</f>
        <v>0</v>
      </c>
      <c r="G453" s="70">
        <f>'RESUMEN TOTAL'!T585</f>
        <v>0</v>
      </c>
      <c r="H453" s="70">
        <f>'RESUMEN TOTAL'!U585</f>
        <v>0</v>
      </c>
      <c r="I453" s="70">
        <f>'RESUMEN TOTAL'!V585</f>
        <v>0</v>
      </c>
      <c r="J453" s="70">
        <f>'RESUMEN TOTAL'!W585</f>
        <v>0</v>
      </c>
      <c r="K453" s="70">
        <f>'RESUMEN TOTAL'!X585</f>
        <v>0</v>
      </c>
      <c r="L453" s="70">
        <f>'RESUMEN TOTAL'!Y585</f>
        <v>0</v>
      </c>
      <c r="M453" s="70">
        <f>'RESUMEN TOTAL'!Z585</f>
        <v>0</v>
      </c>
      <c r="N453" s="70">
        <f>'RESUMEN TOTAL'!AA585</f>
        <v>0</v>
      </c>
      <c r="O453" s="70">
        <f>'RESUMEN TOTAL'!AB585</f>
        <v>0</v>
      </c>
      <c r="P453" s="70">
        <f>'RESUMEN TOTAL'!AC585</f>
        <v>0</v>
      </c>
      <c r="Q453" s="70">
        <f>'RESUMEN TOTAL'!AD585</f>
        <v>0</v>
      </c>
      <c r="R453" s="70">
        <f>'RESUMEN TOTAL'!AE585</f>
        <v>0</v>
      </c>
      <c r="S453" s="70">
        <f>'RESUMEN TOTAL'!AF585</f>
        <v>0</v>
      </c>
      <c r="T453" s="70">
        <f>'RESUMEN TOTAL'!AG585</f>
        <v>0</v>
      </c>
      <c r="U453" s="70">
        <f>'RESUMEN TOTAL'!AH585</f>
        <v>0</v>
      </c>
      <c r="V453" s="70">
        <f>'RESUMEN TOTAL'!AI585</f>
        <v>0</v>
      </c>
      <c r="W453" s="70">
        <f>'RESUMEN TOTAL'!AJ585</f>
        <v>0</v>
      </c>
      <c r="X453" s="70">
        <f>'RESUMEN TOTAL'!AK585</f>
        <v>0</v>
      </c>
      <c r="Y453" s="70">
        <f>'RESUMEN TOTAL'!AL585</f>
        <v>0</v>
      </c>
      <c r="Z453" s="70">
        <f>'RESUMEN TOTAL'!AM585</f>
        <v>0</v>
      </c>
      <c r="AA453" s="70">
        <f>'RESUMEN TOTAL'!AN585</f>
        <v>0</v>
      </c>
      <c r="AB453" s="70">
        <f>'RESUMEN TOTAL'!AO585</f>
        <v>0</v>
      </c>
      <c r="AC453" s="70">
        <f>'RESUMEN TOTAL'!AP585</f>
        <v>0</v>
      </c>
      <c r="AD453" s="70">
        <f>'RESUMEN TOTAL'!AQ585</f>
        <v>0</v>
      </c>
      <c r="AE453" s="70">
        <f>'RESUMEN TOTAL'!AR585</f>
        <v>0</v>
      </c>
      <c r="AF453" s="70">
        <f>'RESUMEN TOTAL'!AS585</f>
        <v>0</v>
      </c>
      <c r="AG453" s="70">
        <f>'RESUMEN TOTAL'!AT585</f>
        <v>0</v>
      </c>
      <c r="AH453" s="70">
        <f>'RESUMEN TOTAL'!AU585</f>
        <v>0</v>
      </c>
      <c r="AI453" s="70">
        <f>'RESUMEN TOTAL'!AV585</f>
        <v>0</v>
      </c>
      <c r="AJ453" s="70" t="e">
        <f>'RESUMEN TOTAL'!#REF!</f>
        <v>#REF!</v>
      </c>
    </row>
    <row r="454" spans="1:36" x14ac:dyDescent="0.25">
      <c r="A454" t="str">
        <f>'RESUMEN TOTAL'!F586</f>
        <v>VILLA SUSANA</v>
      </c>
      <c r="B454" t="str">
        <f>'RESUMEN TOTAL'!G586</f>
        <v>VSU 04</v>
      </c>
      <c r="C454" t="str">
        <f>'RESUMEN TOTAL'!I586</f>
        <v>Aniceto Diaz y Cordoba</v>
      </c>
      <c r="D454" s="30" t="str">
        <f>'RESUMEN TOTAL'!J586</f>
        <v>fija</v>
      </c>
      <c r="E454" s="30" t="str">
        <f>'RESUMEN TOTAL'!K586</f>
        <v>Fibra Optica</v>
      </c>
      <c r="F454" s="70">
        <f>'RESUMEN TOTAL'!S586</f>
        <v>0</v>
      </c>
      <c r="G454" s="70">
        <f>'RESUMEN TOTAL'!T586</f>
        <v>0</v>
      </c>
      <c r="H454" s="70">
        <f>'RESUMEN TOTAL'!U586</f>
        <v>0</v>
      </c>
      <c r="I454" s="70">
        <f>'RESUMEN TOTAL'!V586</f>
        <v>0</v>
      </c>
      <c r="J454" s="70">
        <f>'RESUMEN TOTAL'!W586</f>
        <v>0</v>
      </c>
      <c r="K454" s="70">
        <f>'RESUMEN TOTAL'!X586</f>
        <v>0</v>
      </c>
      <c r="L454" s="70">
        <f>'RESUMEN TOTAL'!Y586</f>
        <v>0</v>
      </c>
      <c r="M454" s="70">
        <f>'RESUMEN TOTAL'!Z586</f>
        <v>0</v>
      </c>
      <c r="N454" s="70">
        <f>'RESUMEN TOTAL'!AA586</f>
        <v>0</v>
      </c>
      <c r="O454" s="70">
        <f>'RESUMEN TOTAL'!AB586</f>
        <v>0</v>
      </c>
      <c r="P454" s="70">
        <f>'RESUMEN TOTAL'!AC586</f>
        <v>0</v>
      </c>
      <c r="Q454" s="70">
        <f>'RESUMEN TOTAL'!AD586</f>
        <v>0</v>
      </c>
      <c r="R454" s="70">
        <f>'RESUMEN TOTAL'!AE586</f>
        <v>0</v>
      </c>
      <c r="S454" s="70">
        <f>'RESUMEN TOTAL'!AF586</f>
        <v>0</v>
      </c>
      <c r="T454" s="70">
        <f>'RESUMEN TOTAL'!AG586</f>
        <v>0</v>
      </c>
      <c r="U454" s="70">
        <f>'RESUMEN TOTAL'!AH586</f>
        <v>0</v>
      </c>
      <c r="V454" s="70">
        <f>'RESUMEN TOTAL'!AI586</f>
        <v>0</v>
      </c>
      <c r="W454" s="70">
        <f>'RESUMEN TOTAL'!AJ586</f>
        <v>0</v>
      </c>
      <c r="X454" s="70">
        <f>'RESUMEN TOTAL'!AK586</f>
        <v>0</v>
      </c>
      <c r="Y454" s="70">
        <f>'RESUMEN TOTAL'!AL586</f>
        <v>0</v>
      </c>
      <c r="Z454" s="70">
        <f>'RESUMEN TOTAL'!AM586</f>
        <v>0</v>
      </c>
      <c r="AA454" s="70">
        <f>'RESUMEN TOTAL'!AN586</f>
        <v>0</v>
      </c>
      <c r="AB454" s="70">
        <f>'RESUMEN TOTAL'!AO586</f>
        <v>0</v>
      </c>
      <c r="AC454" s="70">
        <f>'RESUMEN TOTAL'!AP586</f>
        <v>0</v>
      </c>
      <c r="AD454" s="70">
        <f>'RESUMEN TOTAL'!AQ586</f>
        <v>0</v>
      </c>
      <c r="AE454" s="70">
        <f>'RESUMEN TOTAL'!AR586</f>
        <v>0</v>
      </c>
      <c r="AF454" s="70">
        <f>'RESUMEN TOTAL'!AS586</f>
        <v>0</v>
      </c>
      <c r="AG454" s="70">
        <f>'RESUMEN TOTAL'!AT586</f>
        <v>0</v>
      </c>
      <c r="AH454" s="70">
        <f>'RESUMEN TOTAL'!AU586</f>
        <v>0</v>
      </c>
      <c r="AI454" s="70">
        <f>'RESUMEN TOTAL'!AV586</f>
        <v>0</v>
      </c>
      <c r="AJ454" s="70" t="e">
        <f>'RESUMEN TOTAL'!#REF!</f>
        <v>#REF!</v>
      </c>
    </row>
    <row r="455" spans="1:36" x14ac:dyDescent="0.25">
      <c r="A455" t="str">
        <f>'RESUMEN TOTAL'!F587</f>
        <v>VILLA SUSANA</v>
      </c>
      <c r="B455" t="str">
        <f>'RESUMEN TOTAL'!G587</f>
        <v>VSU 05</v>
      </c>
      <c r="C455" t="str">
        <f>'RESUMEN TOTAL'!I587</f>
        <v>Aniceto Diaz y Cordoba</v>
      </c>
      <c r="D455" s="30" t="str">
        <f>'RESUMEN TOTAL'!J587</f>
        <v>fija</v>
      </c>
      <c r="E455" s="30" t="str">
        <f>'RESUMEN TOTAL'!K587</f>
        <v>Fibra Optica</v>
      </c>
      <c r="F455" s="70">
        <f>'RESUMEN TOTAL'!S587</f>
        <v>0</v>
      </c>
      <c r="G455" s="70">
        <f>'RESUMEN TOTAL'!T587</f>
        <v>0</v>
      </c>
      <c r="H455" s="70">
        <f>'RESUMEN TOTAL'!U587</f>
        <v>0</v>
      </c>
      <c r="I455" s="70">
        <f>'RESUMEN TOTAL'!V587</f>
        <v>0</v>
      </c>
      <c r="J455" s="70">
        <f>'RESUMEN TOTAL'!W587</f>
        <v>0</v>
      </c>
      <c r="K455" s="70">
        <f>'RESUMEN TOTAL'!X587</f>
        <v>0</v>
      </c>
      <c r="L455" s="70">
        <f>'RESUMEN TOTAL'!Y587</f>
        <v>0</v>
      </c>
      <c r="M455" s="70">
        <f>'RESUMEN TOTAL'!Z587</f>
        <v>0</v>
      </c>
      <c r="N455" s="70">
        <f>'RESUMEN TOTAL'!AA587</f>
        <v>0</v>
      </c>
      <c r="O455" s="70">
        <f>'RESUMEN TOTAL'!AB587</f>
        <v>0</v>
      </c>
      <c r="P455" s="70">
        <f>'RESUMEN TOTAL'!AC587</f>
        <v>0</v>
      </c>
      <c r="Q455" s="70">
        <f>'RESUMEN TOTAL'!AD587</f>
        <v>0</v>
      </c>
      <c r="R455" s="70">
        <f>'RESUMEN TOTAL'!AE587</f>
        <v>0</v>
      </c>
      <c r="S455" s="70">
        <f>'RESUMEN TOTAL'!AF587</f>
        <v>0</v>
      </c>
      <c r="T455" s="70">
        <f>'RESUMEN TOTAL'!AG587</f>
        <v>0</v>
      </c>
      <c r="U455" s="70">
        <f>'RESUMEN TOTAL'!AH587</f>
        <v>0</v>
      </c>
      <c r="V455" s="70">
        <f>'RESUMEN TOTAL'!AI587</f>
        <v>0</v>
      </c>
      <c r="W455" s="70">
        <f>'RESUMEN TOTAL'!AJ587</f>
        <v>0</v>
      </c>
      <c r="X455" s="70">
        <f>'RESUMEN TOTAL'!AK587</f>
        <v>0</v>
      </c>
      <c r="Y455" s="70">
        <f>'RESUMEN TOTAL'!AL587</f>
        <v>0</v>
      </c>
      <c r="Z455" s="70">
        <f>'RESUMEN TOTAL'!AM587</f>
        <v>0</v>
      </c>
      <c r="AA455" s="70">
        <f>'RESUMEN TOTAL'!AN587</f>
        <v>0</v>
      </c>
      <c r="AB455" s="70">
        <f>'RESUMEN TOTAL'!AO587</f>
        <v>0</v>
      </c>
      <c r="AC455" s="70">
        <f>'RESUMEN TOTAL'!AP587</f>
        <v>0</v>
      </c>
      <c r="AD455" s="70">
        <f>'RESUMEN TOTAL'!AQ587</f>
        <v>0</v>
      </c>
      <c r="AE455" s="70">
        <f>'RESUMEN TOTAL'!AR587</f>
        <v>0</v>
      </c>
      <c r="AF455" s="70">
        <f>'RESUMEN TOTAL'!AS587</f>
        <v>0</v>
      </c>
      <c r="AG455" s="70">
        <f>'RESUMEN TOTAL'!AT587</f>
        <v>0</v>
      </c>
      <c r="AH455" s="70">
        <f>'RESUMEN TOTAL'!AU587</f>
        <v>0</v>
      </c>
      <c r="AI455" s="70">
        <f>'RESUMEN TOTAL'!AV587</f>
        <v>0</v>
      </c>
      <c r="AJ455" s="70" t="e">
        <f>'RESUMEN TOTAL'!#REF!</f>
        <v>#REF!</v>
      </c>
    </row>
    <row r="456" spans="1:36" x14ac:dyDescent="0.25">
      <c r="A456" t="str">
        <f>'RESUMEN TOTAL'!F588</f>
        <v>VILLA SUSANA</v>
      </c>
      <c r="B456" t="str">
        <f>'RESUMEN TOTAL'!G588</f>
        <v>VSU 06</v>
      </c>
      <c r="C456" t="str">
        <f>'RESUMEN TOTAL'!I588</f>
        <v>EE.UU Y BROWN</v>
      </c>
      <c r="D456" s="30" t="str">
        <f>'RESUMEN TOTAL'!J588</f>
        <v>DOMO</v>
      </c>
      <c r="E456" s="30" t="str">
        <f>'RESUMEN TOTAL'!K588</f>
        <v>Fibra Optica</v>
      </c>
      <c r="F456" s="70">
        <f>'RESUMEN TOTAL'!S588</f>
        <v>0</v>
      </c>
      <c r="G456" s="70">
        <f>'RESUMEN TOTAL'!T588</f>
        <v>0</v>
      </c>
      <c r="H456" s="70">
        <f>'RESUMEN TOTAL'!U588</f>
        <v>0</v>
      </c>
      <c r="I456" s="70">
        <f>'RESUMEN TOTAL'!V588</f>
        <v>0</v>
      </c>
      <c r="J456" s="70">
        <f>'RESUMEN TOTAL'!W588</f>
        <v>0</v>
      </c>
      <c r="K456" s="70">
        <f>'RESUMEN TOTAL'!X588</f>
        <v>0</v>
      </c>
      <c r="L456" s="70" t="str">
        <f>'RESUMEN TOTAL'!Y588</f>
        <v>APAGADO</v>
      </c>
      <c r="M456" s="70" t="str">
        <f>'RESUMEN TOTAL'!Z588</f>
        <v>APAGADO</v>
      </c>
      <c r="N456" s="70">
        <f>'RESUMEN TOTAL'!AA588</f>
        <v>0</v>
      </c>
      <c r="O456" s="70">
        <f>'RESUMEN TOTAL'!AB588</f>
        <v>0</v>
      </c>
      <c r="P456" s="70" t="str">
        <f>'RESUMEN TOTAL'!AC588</f>
        <v>APAGADO</v>
      </c>
      <c r="Q456" s="70" t="str">
        <f>'RESUMEN TOTAL'!AD588</f>
        <v>APAGADO</v>
      </c>
      <c r="R456" s="70" t="str">
        <f>'RESUMEN TOTAL'!AE588</f>
        <v>APAGADO</v>
      </c>
      <c r="S456" s="70" t="str">
        <f>'RESUMEN TOTAL'!AF588</f>
        <v>APAGADO</v>
      </c>
      <c r="T456" s="70" t="str">
        <f>'RESUMEN TOTAL'!AG588</f>
        <v>APAGADO</v>
      </c>
      <c r="U456" s="70">
        <f>'RESUMEN TOTAL'!AH588</f>
        <v>0</v>
      </c>
      <c r="V456" s="70">
        <f>'RESUMEN TOTAL'!AI588</f>
        <v>0</v>
      </c>
      <c r="W456" s="70" t="str">
        <f>'RESUMEN TOTAL'!AJ588</f>
        <v>APAGADO</v>
      </c>
      <c r="X456" s="70" t="str">
        <f>'RESUMEN TOTAL'!AK588</f>
        <v>APAGADO</v>
      </c>
      <c r="Y456" s="70" t="str">
        <f>'RESUMEN TOTAL'!AL588</f>
        <v>APAGADO</v>
      </c>
      <c r="Z456" s="70" t="str">
        <f>'RESUMEN TOTAL'!AM588</f>
        <v>APAGADO</v>
      </c>
      <c r="AA456" s="70" t="str">
        <f>'RESUMEN TOTAL'!AN588</f>
        <v>APAGADO</v>
      </c>
      <c r="AB456" s="70">
        <f>'RESUMEN TOTAL'!AO588</f>
        <v>0</v>
      </c>
      <c r="AC456" s="70">
        <f>'RESUMEN TOTAL'!AP588</f>
        <v>0</v>
      </c>
      <c r="AD456" s="70">
        <f>'RESUMEN TOTAL'!AQ588</f>
        <v>0</v>
      </c>
      <c r="AE456" s="70" t="str">
        <f>'RESUMEN TOTAL'!AR588</f>
        <v>APAGADO</v>
      </c>
      <c r="AF456" s="70" t="str">
        <f>'RESUMEN TOTAL'!AS588</f>
        <v>APAGADO</v>
      </c>
      <c r="AG456" s="70" t="str">
        <f>'RESUMEN TOTAL'!AT588</f>
        <v>APAGADO</v>
      </c>
      <c r="AH456" s="70">
        <f>'RESUMEN TOTAL'!AU588</f>
        <v>0</v>
      </c>
      <c r="AI456" s="70">
        <f>'RESUMEN TOTAL'!AV588</f>
        <v>0</v>
      </c>
      <c r="AJ456" s="70" t="e">
        <f>'RESUMEN TOTAL'!#REF!</f>
        <v>#REF!</v>
      </c>
    </row>
    <row r="457" spans="1:36" x14ac:dyDescent="0.25">
      <c r="A457" t="str">
        <f>'RESUMEN TOTAL'!F590</f>
        <v>ZEBALLOS</v>
      </c>
      <c r="B457" t="str">
        <f>'RESUMEN TOTAL'!G590</f>
        <v>ZEB 05</v>
      </c>
      <c r="C457" t="str">
        <f>'RESUMEN TOTAL'!I590</f>
        <v>DIAG. GRANADEROS Y 214 BIS</v>
      </c>
      <c r="D457" s="30" t="str">
        <f>'RESUMEN TOTAL'!J590</f>
        <v>Domo</v>
      </c>
      <c r="E457" s="30" t="str">
        <f>'RESUMEN TOTAL'!K590</f>
        <v>GPON</v>
      </c>
      <c r="F457" s="70">
        <f>'RESUMEN TOTAL'!S590</f>
        <v>0</v>
      </c>
      <c r="G457" s="70">
        <f>'RESUMEN TOTAL'!T590</f>
        <v>0</v>
      </c>
      <c r="H457" s="70">
        <f>'RESUMEN TOTAL'!U590</f>
        <v>0</v>
      </c>
      <c r="I457" s="70">
        <f>'RESUMEN TOTAL'!V590</f>
        <v>0</v>
      </c>
      <c r="J457" s="70">
        <f>'RESUMEN TOTAL'!W590</f>
        <v>0</v>
      </c>
      <c r="K457" s="70">
        <f>'RESUMEN TOTAL'!X590</f>
        <v>0</v>
      </c>
      <c r="L457" s="70">
        <f>'RESUMEN TOTAL'!Y590</f>
        <v>0</v>
      </c>
      <c r="M457" s="70">
        <f>'RESUMEN TOTAL'!Z590</f>
        <v>0</v>
      </c>
      <c r="N457" s="70">
        <f>'RESUMEN TOTAL'!AA590</f>
        <v>0</v>
      </c>
      <c r="O457" s="70">
        <f>'RESUMEN TOTAL'!AB590</f>
        <v>0</v>
      </c>
      <c r="P457" s="70">
        <f>'RESUMEN TOTAL'!AC590</f>
        <v>0</v>
      </c>
      <c r="Q457" s="70">
        <f>'RESUMEN TOTAL'!AD590</f>
        <v>0</v>
      </c>
      <c r="R457" s="70">
        <f>'RESUMEN TOTAL'!AE590</f>
        <v>0</v>
      </c>
      <c r="S457" s="70">
        <f>'RESUMEN TOTAL'!AF590</f>
        <v>0</v>
      </c>
      <c r="T457" s="70">
        <f>'RESUMEN TOTAL'!AG590</f>
        <v>0</v>
      </c>
      <c r="U457" s="70">
        <f>'RESUMEN TOTAL'!AH590</f>
        <v>0</v>
      </c>
      <c r="V457" s="70">
        <f>'RESUMEN TOTAL'!AI590</f>
        <v>0</v>
      </c>
      <c r="W457" s="70">
        <f>'RESUMEN TOTAL'!AJ590</f>
        <v>0</v>
      </c>
      <c r="X457" s="70">
        <f>'RESUMEN TOTAL'!AK590</f>
        <v>0</v>
      </c>
      <c r="Y457" s="70">
        <f>'RESUMEN TOTAL'!AL590</f>
        <v>0</v>
      </c>
      <c r="Z457" s="70">
        <f>'RESUMEN TOTAL'!AM590</f>
        <v>0</v>
      </c>
      <c r="AA457" s="70">
        <f>'RESUMEN TOTAL'!AN590</f>
        <v>0</v>
      </c>
      <c r="AB457" s="70">
        <f>'RESUMEN TOTAL'!AO590</f>
        <v>0</v>
      </c>
      <c r="AC457" s="70">
        <f>'RESUMEN TOTAL'!AP590</f>
        <v>0</v>
      </c>
      <c r="AD457" s="70">
        <f>'RESUMEN TOTAL'!AQ590</f>
        <v>0</v>
      </c>
      <c r="AE457" s="70">
        <f>'RESUMEN TOTAL'!AR590</f>
        <v>0</v>
      </c>
      <c r="AF457" s="70">
        <f>'RESUMEN TOTAL'!AS590</f>
        <v>0</v>
      </c>
      <c r="AG457" s="70">
        <f>'RESUMEN TOTAL'!AT590</f>
        <v>0</v>
      </c>
      <c r="AH457" s="70">
        <f>'RESUMEN TOTAL'!AU590</f>
        <v>0</v>
      </c>
      <c r="AI457" s="70">
        <f>'RESUMEN TOTAL'!AV590</f>
        <v>0</v>
      </c>
      <c r="AJ457" s="70" t="e">
        <f>'RESUMEN TOTAL'!#REF!</f>
        <v>#REF!</v>
      </c>
    </row>
    <row r="458" spans="1:36" x14ac:dyDescent="0.25">
      <c r="A458" t="str">
        <f>'RESUMEN TOTAL'!F591</f>
        <v>ZEBALLOS</v>
      </c>
      <c r="B458" t="str">
        <f>'RESUMEN TOTAL'!G591</f>
        <v>ZEB 06</v>
      </c>
      <c r="C458" t="str">
        <f>'RESUMEN TOTAL'!I591</f>
        <v>Peron e/Ituzaingo y Buenos Aires</v>
      </c>
      <c r="D458" s="30" t="str">
        <f>'RESUMEN TOTAL'!J591</f>
        <v>FIJA</v>
      </c>
      <c r="E458" s="30" t="str">
        <f>'RESUMEN TOTAL'!K591</f>
        <v>GPON</v>
      </c>
      <c r="F458" s="70">
        <f>'RESUMEN TOTAL'!S591</f>
        <v>0</v>
      </c>
      <c r="G458" s="70">
        <f>'RESUMEN TOTAL'!T591</f>
        <v>0</v>
      </c>
      <c r="H458" s="70">
        <f>'RESUMEN TOTAL'!U591</f>
        <v>0</v>
      </c>
      <c r="I458" s="70">
        <f>'RESUMEN TOTAL'!V591</f>
        <v>0</v>
      </c>
      <c r="J458" s="70">
        <f>'RESUMEN TOTAL'!W591</f>
        <v>0</v>
      </c>
      <c r="K458" s="70">
        <f>'RESUMEN TOTAL'!X591</f>
        <v>0</v>
      </c>
      <c r="L458" s="70">
        <f>'RESUMEN TOTAL'!Y591</f>
        <v>0</v>
      </c>
      <c r="M458" s="70">
        <f>'RESUMEN TOTAL'!Z591</f>
        <v>0</v>
      </c>
      <c r="N458" s="70">
        <f>'RESUMEN TOTAL'!AA591</f>
        <v>0</v>
      </c>
      <c r="O458" s="70">
        <f>'RESUMEN TOTAL'!AB591</f>
        <v>0</v>
      </c>
      <c r="P458" s="70">
        <f>'RESUMEN TOTAL'!AC591</f>
        <v>0</v>
      </c>
      <c r="Q458" s="70">
        <f>'RESUMEN TOTAL'!AD591</f>
        <v>0</v>
      </c>
      <c r="R458" s="70">
        <f>'RESUMEN TOTAL'!AE591</f>
        <v>0</v>
      </c>
      <c r="S458" s="70">
        <f>'RESUMEN TOTAL'!AF591</f>
        <v>0</v>
      </c>
      <c r="T458" s="70">
        <f>'RESUMEN TOTAL'!AG591</f>
        <v>0</v>
      </c>
      <c r="U458" s="70">
        <f>'RESUMEN TOTAL'!AH591</f>
        <v>0</v>
      </c>
      <c r="V458" s="70">
        <f>'RESUMEN TOTAL'!AI591</f>
        <v>0</v>
      </c>
      <c r="W458" s="70">
        <f>'RESUMEN TOTAL'!AJ591</f>
        <v>0</v>
      </c>
      <c r="X458" s="70">
        <f>'RESUMEN TOTAL'!AK591</f>
        <v>0</v>
      </c>
      <c r="Y458" s="70">
        <f>'RESUMEN TOTAL'!AL591</f>
        <v>0</v>
      </c>
      <c r="Z458" s="70">
        <f>'RESUMEN TOTAL'!AM591</f>
        <v>0</v>
      </c>
      <c r="AA458" s="70">
        <f>'RESUMEN TOTAL'!AN591</f>
        <v>0</v>
      </c>
      <c r="AB458" s="70">
        <f>'RESUMEN TOTAL'!AO591</f>
        <v>0</v>
      </c>
      <c r="AC458" s="70">
        <f>'RESUMEN TOTAL'!AP591</f>
        <v>0</v>
      </c>
      <c r="AD458" s="70">
        <f>'RESUMEN TOTAL'!AQ591</f>
        <v>0</v>
      </c>
      <c r="AE458" s="70">
        <f>'RESUMEN TOTAL'!AR591</f>
        <v>0</v>
      </c>
      <c r="AF458" s="70">
        <f>'RESUMEN TOTAL'!AS591</f>
        <v>0</v>
      </c>
      <c r="AG458" s="70">
        <f>'RESUMEN TOTAL'!AT591</f>
        <v>0</v>
      </c>
      <c r="AH458" s="70">
        <f>'RESUMEN TOTAL'!AU591</f>
        <v>0</v>
      </c>
      <c r="AI458" s="70">
        <f>'RESUMEN TOTAL'!AV591</f>
        <v>0</v>
      </c>
      <c r="AJ458" s="70" t="e">
        <f>'RESUMEN TOTAL'!#REF!</f>
        <v>#REF!</v>
      </c>
    </row>
    <row r="459" spans="1:36" x14ac:dyDescent="0.25">
      <c r="A459" t="str">
        <f>'RESUMEN TOTAL'!F592</f>
        <v>ZEBALLOS</v>
      </c>
      <c r="B459" t="str">
        <f>'RESUMEN TOTAL'!G592</f>
        <v>ZEB 07 (Fija 1)</v>
      </c>
      <c r="C459" t="str">
        <f>'RESUMEN TOTAL'!I592</f>
        <v xml:space="preserve">Quinquela Martn y 861 </v>
      </c>
      <c r="D459" s="30" t="str">
        <f>'RESUMEN TOTAL'!J592</f>
        <v>Fija</v>
      </c>
      <c r="E459" s="30" t="str">
        <f>'RESUMEN TOTAL'!K592</f>
        <v>GPON</v>
      </c>
      <c r="F459" s="70">
        <f>'RESUMEN TOTAL'!S592</f>
        <v>0</v>
      </c>
      <c r="G459" s="70">
        <f>'RESUMEN TOTAL'!T592</f>
        <v>0</v>
      </c>
      <c r="H459" s="70">
        <f>'RESUMEN TOTAL'!U592</f>
        <v>0</v>
      </c>
      <c r="I459" s="70">
        <f>'RESUMEN TOTAL'!V592</f>
        <v>0</v>
      </c>
      <c r="J459" s="70">
        <f>'RESUMEN TOTAL'!W592</f>
        <v>0</v>
      </c>
      <c r="K459" s="70">
        <f>'RESUMEN TOTAL'!X592</f>
        <v>0</v>
      </c>
      <c r="L459" s="70">
        <f>'RESUMEN TOTAL'!Y592</f>
        <v>0</v>
      </c>
      <c r="M459" s="70">
        <f>'RESUMEN TOTAL'!Z592</f>
        <v>0</v>
      </c>
      <c r="N459" s="70">
        <f>'RESUMEN TOTAL'!AA592</f>
        <v>0</v>
      </c>
      <c r="O459" s="70">
        <f>'RESUMEN TOTAL'!AB592</f>
        <v>0</v>
      </c>
      <c r="P459" s="70">
        <f>'RESUMEN TOTAL'!AC592</f>
        <v>0</v>
      </c>
      <c r="Q459" s="70">
        <f>'RESUMEN TOTAL'!AD592</f>
        <v>0</v>
      </c>
      <c r="R459" s="70">
        <f>'RESUMEN TOTAL'!AE592</f>
        <v>0</v>
      </c>
      <c r="S459" s="70">
        <f>'RESUMEN TOTAL'!AF592</f>
        <v>0</v>
      </c>
      <c r="T459" s="70">
        <f>'RESUMEN TOTAL'!AG592</f>
        <v>0</v>
      </c>
      <c r="U459" s="70">
        <f>'RESUMEN TOTAL'!AH592</f>
        <v>0</v>
      </c>
      <c r="V459" s="70">
        <f>'RESUMEN TOTAL'!AI592</f>
        <v>0</v>
      </c>
      <c r="W459" s="70">
        <f>'RESUMEN TOTAL'!AJ592</f>
        <v>0</v>
      </c>
      <c r="X459" s="70">
        <f>'RESUMEN TOTAL'!AK592</f>
        <v>0</v>
      </c>
      <c r="Y459" s="70">
        <f>'RESUMEN TOTAL'!AL592</f>
        <v>0</v>
      </c>
      <c r="Z459" s="70">
        <f>'RESUMEN TOTAL'!AM592</f>
        <v>0</v>
      </c>
      <c r="AA459" s="70">
        <f>'RESUMEN TOTAL'!AN592</f>
        <v>0</v>
      </c>
      <c r="AB459" s="70">
        <f>'RESUMEN TOTAL'!AO592</f>
        <v>0</v>
      </c>
      <c r="AC459" s="70">
        <f>'RESUMEN TOTAL'!AP592</f>
        <v>0</v>
      </c>
      <c r="AD459" s="70">
        <f>'RESUMEN TOTAL'!AQ592</f>
        <v>0</v>
      </c>
      <c r="AE459" s="70">
        <f>'RESUMEN TOTAL'!AR592</f>
        <v>0</v>
      </c>
      <c r="AF459" s="70">
        <f>'RESUMEN TOTAL'!AS592</f>
        <v>0</v>
      </c>
      <c r="AG459" s="70">
        <f>'RESUMEN TOTAL'!AT592</f>
        <v>0</v>
      </c>
      <c r="AH459" s="70">
        <f>'RESUMEN TOTAL'!AU592</f>
        <v>0</v>
      </c>
      <c r="AI459" s="70">
        <f>'RESUMEN TOTAL'!AV592</f>
        <v>0</v>
      </c>
      <c r="AJ459" s="70" t="e">
        <f>'RESUMEN TOTAL'!#REF!</f>
        <v>#REF!</v>
      </c>
    </row>
    <row r="460" spans="1:36" x14ac:dyDescent="0.25">
      <c r="A460" t="str">
        <f>'RESUMEN TOTAL'!F593</f>
        <v>ZEBALLOS</v>
      </c>
      <c r="B460" t="str">
        <f>'RESUMEN TOTAL'!G593</f>
        <v>ZEB 08 (Fija 2)</v>
      </c>
      <c r="C460" t="str">
        <f>'RESUMEN TOTAL'!I593</f>
        <v>Quinquela Martin y 861</v>
      </c>
      <c r="D460" s="30" t="str">
        <f>'RESUMEN TOTAL'!J593</f>
        <v>Fija</v>
      </c>
      <c r="E460" s="30" t="str">
        <f>'RESUMEN TOTAL'!K593</f>
        <v>GPON</v>
      </c>
      <c r="F460" s="70">
        <f>'RESUMEN TOTAL'!S593</f>
        <v>0</v>
      </c>
      <c r="G460" s="70">
        <f>'RESUMEN TOTAL'!T593</f>
        <v>0</v>
      </c>
      <c r="H460" s="70">
        <f>'RESUMEN TOTAL'!U593</f>
        <v>0</v>
      </c>
      <c r="I460" s="70">
        <f>'RESUMEN TOTAL'!V593</f>
        <v>0</v>
      </c>
      <c r="J460" s="70">
        <f>'RESUMEN TOTAL'!W593</f>
        <v>0</v>
      </c>
      <c r="K460" s="70">
        <f>'RESUMEN TOTAL'!X593</f>
        <v>0</v>
      </c>
      <c r="L460" s="70">
        <f>'RESUMEN TOTAL'!Y593</f>
        <v>0</v>
      </c>
      <c r="M460" s="70">
        <f>'RESUMEN TOTAL'!Z593</f>
        <v>0</v>
      </c>
      <c r="N460" s="70">
        <f>'RESUMEN TOTAL'!AA593</f>
        <v>0</v>
      </c>
      <c r="O460" s="70">
        <f>'RESUMEN TOTAL'!AB593</f>
        <v>0</v>
      </c>
      <c r="P460" s="70">
        <f>'RESUMEN TOTAL'!AC593</f>
        <v>0</v>
      </c>
      <c r="Q460" s="70">
        <f>'RESUMEN TOTAL'!AD593</f>
        <v>0</v>
      </c>
      <c r="R460" s="70">
        <f>'RESUMEN TOTAL'!AE593</f>
        <v>0</v>
      </c>
      <c r="S460" s="70">
        <f>'RESUMEN TOTAL'!AF593</f>
        <v>0</v>
      </c>
      <c r="T460" s="70">
        <f>'RESUMEN TOTAL'!AG593</f>
        <v>0</v>
      </c>
      <c r="U460" s="70">
        <f>'RESUMEN TOTAL'!AH593</f>
        <v>0</v>
      </c>
      <c r="V460" s="70">
        <f>'RESUMEN TOTAL'!AI593</f>
        <v>0</v>
      </c>
      <c r="W460" s="70">
        <f>'RESUMEN TOTAL'!AJ593</f>
        <v>0</v>
      </c>
      <c r="X460" s="70">
        <f>'RESUMEN TOTAL'!AK593</f>
        <v>0</v>
      </c>
      <c r="Y460" s="70">
        <f>'RESUMEN TOTAL'!AL593</f>
        <v>0</v>
      </c>
      <c r="Z460" s="70">
        <f>'RESUMEN TOTAL'!AM593</f>
        <v>0</v>
      </c>
      <c r="AA460" s="70">
        <f>'RESUMEN TOTAL'!AN593</f>
        <v>0</v>
      </c>
      <c r="AB460" s="70">
        <f>'RESUMEN TOTAL'!AO593</f>
        <v>0</v>
      </c>
      <c r="AC460" s="70">
        <f>'RESUMEN TOTAL'!AP593</f>
        <v>0</v>
      </c>
      <c r="AD460" s="70">
        <f>'RESUMEN TOTAL'!AQ593</f>
        <v>0</v>
      </c>
      <c r="AE460" s="70">
        <f>'RESUMEN TOTAL'!AR593</f>
        <v>0</v>
      </c>
      <c r="AF460" s="70">
        <f>'RESUMEN TOTAL'!AS593</f>
        <v>0</v>
      </c>
      <c r="AG460" s="70">
        <f>'RESUMEN TOTAL'!AT593</f>
        <v>0</v>
      </c>
      <c r="AH460" s="70">
        <f>'RESUMEN TOTAL'!AU593</f>
        <v>0</v>
      </c>
      <c r="AI460" s="70">
        <f>'RESUMEN TOTAL'!AV593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TOTAL'!F681</f>
        <v>0</v>
      </c>
      <c r="B549">
        <f>'RESUMEN TOTAL'!G681</f>
        <v>0</v>
      </c>
      <c r="C549">
        <f>'RESUMEN TOTAL'!I681</f>
        <v>0</v>
      </c>
      <c r="D549" s="30">
        <f>'RESUMEN TOTAL'!J681</f>
        <v>0</v>
      </c>
      <c r="E549" s="30">
        <f>'RESUMEN TOTAL'!K681</f>
        <v>0</v>
      </c>
      <c r="F549" s="70">
        <f>'RESUMEN TOTAL'!S681</f>
        <v>0</v>
      </c>
      <c r="G549" s="70">
        <f>'RESUMEN TOTAL'!T681</f>
        <v>0</v>
      </c>
      <c r="H549" s="70">
        <f>'RESUMEN TOTAL'!U681</f>
        <v>0</v>
      </c>
      <c r="I549" s="70">
        <f>'RESUMEN TOTAL'!V681</f>
        <v>0</v>
      </c>
      <c r="J549" s="70">
        <f>'RESUMEN TOTAL'!W681</f>
        <v>0</v>
      </c>
      <c r="K549" s="70">
        <f>'RESUMEN TOTAL'!X681</f>
        <v>0</v>
      </c>
      <c r="L549" s="70">
        <f>'RESUMEN TOTAL'!Y681</f>
        <v>0</v>
      </c>
      <c r="M549" s="70">
        <f>'RESUMEN TOTAL'!Z681</f>
        <v>0</v>
      </c>
      <c r="N549" s="70">
        <f>'RESUMEN TOTAL'!AA681</f>
        <v>0</v>
      </c>
      <c r="O549" s="70">
        <f>'RESUMEN TOTAL'!AB681</f>
        <v>0</v>
      </c>
      <c r="P549" s="70">
        <f>'RESUMEN TOTAL'!AC681</f>
        <v>0</v>
      </c>
      <c r="Q549" s="70">
        <f>'RESUMEN TOTAL'!AD681</f>
        <v>0</v>
      </c>
      <c r="R549" s="70">
        <f>'RESUMEN TOTAL'!AE681</f>
        <v>0</v>
      </c>
      <c r="S549" s="70">
        <f>'RESUMEN TOTAL'!AF681</f>
        <v>0</v>
      </c>
      <c r="T549" s="70">
        <f>'RESUMEN TOTAL'!AG681</f>
        <v>0</v>
      </c>
      <c r="U549" s="70">
        <f>'RESUMEN TOTAL'!AH681</f>
        <v>0</v>
      </c>
      <c r="V549" s="70">
        <f>'RESUMEN TOTAL'!AI681</f>
        <v>0</v>
      </c>
      <c r="W549" s="70">
        <f>'RESUMEN TOTAL'!AJ681</f>
        <v>0</v>
      </c>
      <c r="X549" s="70">
        <f>'RESUMEN TOTAL'!AK681</f>
        <v>0</v>
      </c>
      <c r="Y549" s="70">
        <f>'RESUMEN TOTAL'!AL681</f>
        <v>0</v>
      </c>
      <c r="Z549" s="70">
        <f>'RESUMEN TOTAL'!AM681</f>
        <v>0</v>
      </c>
      <c r="AA549" s="70">
        <f>'RESUMEN TOTAL'!AN681</f>
        <v>0</v>
      </c>
      <c r="AB549" s="70">
        <f>'RESUMEN TOTAL'!AO681</f>
        <v>0</v>
      </c>
      <c r="AC549" s="70">
        <f>'RESUMEN TOTAL'!AP681</f>
        <v>0</v>
      </c>
      <c r="AD549" s="70">
        <f>'RESUMEN TOTAL'!AQ681</f>
        <v>0</v>
      </c>
      <c r="AE549" s="70">
        <f>'RESUMEN TOTAL'!AR681</f>
        <v>0</v>
      </c>
      <c r="AF549" s="70">
        <f>'RESUMEN TOTAL'!AS681</f>
        <v>0</v>
      </c>
      <c r="AG549" s="70">
        <f>'RESUMEN TOTAL'!AT681</f>
        <v>0</v>
      </c>
      <c r="AH549" s="70">
        <f>'RESUMEN TOTAL'!AU681</f>
        <v>0</v>
      </c>
      <c r="AI549" s="70">
        <f>'RESUMEN TOTAL'!AV681</f>
        <v>0</v>
      </c>
      <c r="AJ549" s="70" t="e">
        <f>'RESUMEN TOTAL'!#REF!</f>
        <v>#REF!</v>
      </c>
    </row>
    <row r="550" spans="1:36" x14ac:dyDescent="0.25">
      <c r="A550">
        <f>'RESUMEN TOTAL'!F682</f>
        <v>0</v>
      </c>
      <c r="B550">
        <f>'RESUMEN TOTAL'!G682</f>
        <v>0</v>
      </c>
      <c r="C550">
        <f>'RESUMEN TOTAL'!I682</f>
        <v>0</v>
      </c>
      <c r="D550" s="30">
        <f>'RESUMEN TOTAL'!J682</f>
        <v>0</v>
      </c>
      <c r="E550" s="30">
        <f>'RESUMEN TOTAL'!K682</f>
        <v>0</v>
      </c>
      <c r="F550" s="70">
        <f>'RESUMEN TOTAL'!S682</f>
        <v>0</v>
      </c>
      <c r="G550" s="70">
        <f>'RESUMEN TOTAL'!T682</f>
        <v>0</v>
      </c>
      <c r="H550" s="70">
        <f>'RESUMEN TOTAL'!U682</f>
        <v>0</v>
      </c>
      <c r="I550" s="70">
        <f>'RESUMEN TOTAL'!V682</f>
        <v>0</v>
      </c>
      <c r="J550" s="70">
        <f>'RESUMEN TOTAL'!W682</f>
        <v>0</v>
      </c>
      <c r="K550" s="70">
        <f>'RESUMEN TOTAL'!X682</f>
        <v>0</v>
      </c>
      <c r="L550" s="70">
        <f>'RESUMEN TOTAL'!Y682</f>
        <v>0</v>
      </c>
      <c r="M550" s="70">
        <f>'RESUMEN TOTAL'!Z682</f>
        <v>0</v>
      </c>
      <c r="N550" s="70">
        <f>'RESUMEN TOTAL'!AA682</f>
        <v>0</v>
      </c>
      <c r="O550" s="70">
        <f>'RESUMEN TOTAL'!AB682</f>
        <v>0</v>
      </c>
      <c r="P550" s="70">
        <f>'RESUMEN TOTAL'!AC682</f>
        <v>0</v>
      </c>
      <c r="Q550" s="70">
        <f>'RESUMEN TOTAL'!AD682</f>
        <v>0</v>
      </c>
      <c r="R550" s="70">
        <f>'RESUMEN TOTAL'!AE682</f>
        <v>0</v>
      </c>
      <c r="S550" s="70">
        <f>'RESUMEN TOTAL'!AF682</f>
        <v>0</v>
      </c>
      <c r="T550" s="70">
        <f>'RESUMEN TOTAL'!AG682</f>
        <v>0</v>
      </c>
      <c r="U550" s="70">
        <f>'RESUMEN TOTAL'!AH682</f>
        <v>0</v>
      </c>
      <c r="V550" s="70">
        <f>'RESUMEN TOTAL'!AI682</f>
        <v>0</v>
      </c>
      <c r="W550" s="70">
        <f>'RESUMEN TOTAL'!AJ682</f>
        <v>0</v>
      </c>
      <c r="X550" s="70">
        <f>'RESUMEN TOTAL'!AK682</f>
        <v>0</v>
      </c>
      <c r="Y550" s="70">
        <f>'RESUMEN TOTAL'!AL682</f>
        <v>0</v>
      </c>
      <c r="Z550" s="70">
        <f>'RESUMEN TOTAL'!AM682</f>
        <v>0</v>
      </c>
      <c r="AA550" s="70">
        <f>'RESUMEN TOTAL'!AN682</f>
        <v>0</v>
      </c>
      <c r="AB550" s="70">
        <f>'RESUMEN TOTAL'!AO682</f>
        <v>0</v>
      </c>
      <c r="AC550" s="70">
        <f>'RESUMEN TOTAL'!AP682</f>
        <v>0</v>
      </c>
      <c r="AD550" s="70">
        <f>'RESUMEN TOTAL'!AQ682</f>
        <v>0</v>
      </c>
      <c r="AE550" s="70">
        <f>'RESUMEN TOTAL'!AR682</f>
        <v>0</v>
      </c>
      <c r="AF550" s="70">
        <f>'RESUMEN TOTAL'!AS682</f>
        <v>0</v>
      </c>
      <c r="AG550" s="70">
        <f>'RESUMEN TOTAL'!AT682</f>
        <v>0</v>
      </c>
      <c r="AH550" s="70">
        <f>'RESUMEN TOTAL'!AU682</f>
        <v>0</v>
      </c>
      <c r="AI550" s="70">
        <f>'RESUMEN TOTAL'!AV682</f>
        <v>0</v>
      </c>
      <c r="AJ550" s="70" t="e">
        <f>'RESUMEN TOTAL'!#REF!</f>
        <v>#REF!</v>
      </c>
    </row>
    <row r="551" spans="1:36" x14ac:dyDescent="0.25">
      <c r="A551">
        <f>'RESUMEN TOTAL'!F683</f>
        <v>0</v>
      </c>
      <c r="B551">
        <f>'RESUMEN TOTAL'!G683</f>
        <v>0</v>
      </c>
      <c r="C551">
        <f>'RESUMEN TOTAL'!I683</f>
        <v>0</v>
      </c>
      <c r="D551" s="30">
        <f>'RESUMEN TOTAL'!J683</f>
        <v>0</v>
      </c>
      <c r="E551" s="30">
        <f>'RESUMEN TOTAL'!K683</f>
        <v>0</v>
      </c>
      <c r="F551" s="70">
        <f>'RESUMEN TOTAL'!S683</f>
        <v>0</v>
      </c>
      <c r="G551" s="70">
        <f>'RESUMEN TOTAL'!T683</f>
        <v>0</v>
      </c>
      <c r="H551" s="70">
        <f>'RESUMEN TOTAL'!U683</f>
        <v>0</v>
      </c>
      <c r="I551" s="70">
        <f>'RESUMEN TOTAL'!V683</f>
        <v>0</v>
      </c>
      <c r="J551" s="70">
        <f>'RESUMEN TOTAL'!W683</f>
        <v>0</v>
      </c>
      <c r="K551" s="70">
        <f>'RESUMEN TOTAL'!X683</f>
        <v>0</v>
      </c>
      <c r="L551" s="70">
        <f>'RESUMEN TOTAL'!Y683</f>
        <v>0</v>
      </c>
      <c r="M551" s="70">
        <f>'RESUMEN TOTAL'!Z683</f>
        <v>0</v>
      </c>
      <c r="N551" s="70">
        <f>'RESUMEN TOTAL'!AA683</f>
        <v>0</v>
      </c>
      <c r="O551" s="70">
        <f>'RESUMEN TOTAL'!AB683</f>
        <v>0</v>
      </c>
      <c r="P551" s="70">
        <f>'RESUMEN TOTAL'!AC683</f>
        <v>0</v>
      </c>
      <c r="Q551" s="70">
        <f>'RESUMEN TOTAL'!AD683</f>
        <v>0</v>
      </c>
      <c r="R551" s="70">
        <f>'RESUMEN TOTAL'!AE683</f>
        <v>0</v>
      </c>
      <c r="S551" s="70">
        <f>'RESUMEN TOTAL'!AF683</f>
        <v>0</v>
      </c>
      <c r="T551" s="70">
        <f>'RESUMEN TOTAL'!AG683</f>
        <v>0</v>
      </c>
      <c r="U551" s="70">
        <f>'RESUMEN TOTAL'!AH683</f>
        <v>0</v>
      </c>
      <c r="V551" s="70">
        <f>'RESUMEN TOTAL'!AI683</f>
        <v>0</v>
      </c>
      <c r="W551" s="70">
        <f>'RESUMEN TOTAL'!AJ683</f>
        <v>0</v>
      </c>
      <c r="X551" s="70">
        <f>'RESUMEN TOTAL'!AK683</f>
        <v>0</v>
      </c>
      <c r="Y551" s="70">
        <f>'RESUMEN TOTAL'!AL683</f>
        <v>0</v>
      </c>
      <c r="Z551" s="70">
        <f>'RESUMEN TOTAL'!AM683</f>
        <v>0</v>
      </c>
      <c r="AA551" s="70">
        <f>'RESUMEN TOTAL'!AN683</f>
        <v>0</v>
      </c>
      <c r="AB551" s="70">
        <f>'RESUMEN TOTAL'!AO683</f>
        <v>0</v>
      </c>
      <c r="AC551" s="70">
        <f>'RESUMEN TOTAL'!AP683</f>
        <v>0</v>
      </c>
      <c r="AD551" s="70">
        <f>'RESUMEN TOTAL'!AQ683</f>
        <v>0</v>
      </c>
      <c r="AE551" s="70">
        <f>'RESUMEN TOTAL'!AR683</f>
        <v>0</v>
      </c>
      <c r="AF551" s="70">
        <f>'RESUMEN TOTAL'!AS683</f>
        <v>0</v>
      </c>
      <c r="AG551" s="70">
        <f>'RESUMEN TOTAL'!AT683</f>
        <v>0</v>
      </c>
      <c r="AH551" s="70">
        <f>'RESUMEN TOTAL'!AU683</f>
        <v>0</v>
      </c>
      <c r="AI551" s="70">
        <f>'RESUMEN TOTAL'!AV683</f>
        <v>0</v>
      </c>
      <c r="AJ551" s="70" t="e">
        <f>'RESUMEN TOTAL'!#REF!</f>
        <v>#REF!</v>
      </c>
    </row>
    <row r="552" spans="1:36" x14ac:dyDescent="0.25">
      <c r="A552">
        <f>'RESUMEN TOTAL'!F684</f>
        <v>0</v>
      </c>
      <c r="B552">
        <f>'RESUMEN TOTAL'!G684</f>
        <v>0</v>
      </c>
      <c r="C552">
        <f>'RESUMEN TOTAL'!I684</f>
        <v>0</v>
      </c>
      <c r="D552" s="30">
        <f>'RESUMEN TOTAL'!J684</f>
        <v>0</v>
      </c>
      <c r="E552" s="30">
        <f>'RESUMEN TOTAL'!K684</f>
        <v>0</v>
      </c>
      <c r="F552" s="70">
        <f>'RESUMEN TOTAL'!S684</f>
        <v>0</v>
      </c>
      <c r="G552" s="70">
        <f>'RESUMEN TOTAL'!T684</f>
        <v>0</v>
      </c>
      <c r="H552" s="70">
        <f>'RESUMEN TOTAL'!U684</f>
        <v>0</v>
      </c>
      <c r="I552" s="70">
        <f>'RESUMEN TOTAL'!V684</f>
        <v>0</v>
      </c>
      <c r="J552" s="70">
        <f>'RESUMEN TOTAL'!W684</f>
        <v>0</v>
      </c>
      <c r="K552" s="70">
        <f>'RESUMEN TOTAL'!X684</f>
        <v>0</v>
      </c>
      <c r="L552" s="70">
        <f>'RESUMEN TOTAL'!Y684</f>
        <v>0</v>
      </c>
      <c r="M552" s="70">
        <f>'RESUMEN TOTAL'!Z684</f>
        <v>0</v>
      </c>
      <c r="N552" s="70">
        <f>'RESUMEN TOTAL'!AA684</f>
        <v>0</v>
      </c>
      <c r="O552" s="70">
        <f>'RESUMEN TOTAL'!AB684</f>
        <v>0</v>
      </c>
      <c r="P552" s="70">
        <f>'RESUMEN TOTAL'!AC684</f>
        <v>0</v>
      </c>
      <c r="Q552" s="70">
        <f>'RESUMEN TOTAL'!AD684</f>
        <v>0</v>
      </c>
      <c r="R552" s="70">
        <f>'RESUMEN TOTAL'!AE684</f>
        <v>0</v>
      </c>
      <c r="S552" s="70">
        <f>'RESUMEN TOTAL'!AF684</f>
        <v>0</v>
      </c>
      <c r="T552" s="70">
        <f>'RESUMEN TOTAL'!AG684</f>
        <v>0</v>
      </c>
      <c r="U552" s="70">
        <f>'RESUMEN TOTAL'!AH684</f>
        <v>0</v>
      </c>
      <c r="V552" s="70">
        <f>'RESUMEN TOTAL'!AI684</f>
        <v>0</v>
      </c>
      <c r="W552" s="70">
        <f>'RESUMEN TOTAL'!AJ684</f>
        <v>0</v>
      </c>
      <c r="X552" s="70">
        <f>'RESUMEN TOTAL'!AK684</f>
        <v>0</v>
      </c>
      <c r="Y552" s="70">
        <f>'RESUMEN TOTAL'!AL684</f>
        <v>0</v>
      </c>
      <c r="Z552" s="70">
        <f>'RESUMEN TOTAL'!AM684</f>
        <v>0</v>
      </c>
      <c r="AA552" s="70">
        <f>'RESUMEN TOTAL'!AN684</f>
        <v>0</v>
      </c>
      <c r="AB552" s="70">
        <f>'RESUMEN TOTAL'!AO684</f>
        <v>0</v>
      </c>
      <c r="AC552" s="70">
        <f>'RESUMEN TOTAL'!AP684</f>
        <v>0</v>
      </c>
      <c r="AD552" s="70">
        <f>'RESUMEN TOTAL'!AQ684</f>
        <v>0</v>
      </c>
      <c r="AE552" s="70">
        <f>'RESUMEN TOTAL'!AR684</f>
        <v>0</v>
      </c>
      <c r="AF552" s="70">
        <f>'RESUMEN TOTAL'!AS684</f>
        <v>0</v>
      </c>
      <c r="AG552" s="70">
        <f>'RESUMEN TOTAL'!AT684</f>
        <v>0</v>
      </c>
      <c r="AH552" s="70">
        <f>'RESUMEN TOTAL'!AU684</f>
        <v>0</v>
      </c>
      <c r="AI552" s="70">
        <f>'RESUMEN TOTAL'!AV684</f>
        <v>0</v>
      </c>
      <c r="AJ552" s="70" t="e">
        <f>'RESUMEN TOTAL'!#REF!</f>
        <v>#REF!</v>
      </c>
    </row>
    <row r="553" spans="1:36" x14ac:dyDescent="0.25">
      <c r="A553">
        <f>'RESUMEN TOTAL'!F685</f>
        <v>0</v>
      </c>
      <c r="B553">
        <f>'RESUMEN TOTAL'!G685</f>
        <v>0</v>
      </c>
      <c r="C553">
        <f>'RESUMEN TOTAL'!I685</f>
        <v>0</v>
      </c>
      <c r="D553" s="30">
        <f>'RESUMEN TOTAL'!J685</f>
        <v>0</v>
      </c>
      <c r="E553" s="30">
        <f>'RESUMEN TOTAL'!K685</f>
        <v>0</v>
      </c>
      <c r="F553" s="70">
        <f>'RESUMEN TOTAL'!S685</f>
        <v>0</v>
      </c>
      <c r="G553" s="70">
        <f>'RESUMEN TOTAL'!T685</f>
        <v>0</v>
      </c>
      <c r="H553" s="70">
        <f>'RESUMEN TOTAL'!U685</f>
        <v>0</v>
      </c>
      <c r="I553" s="70">
        <f>'RESUMEN TOTAL'!V685</f>
        <v>0</v>
      </c>
      <c r="J553" s="70">
        <f>'RESUMEN TOTAL'!W685</f>
        <v>0</v>
      </c>
      <c r="K553" s="70">
        <f>'RESUMEN TOTAL'!X685</f>
        <v>0</v>
      </c>
      <c r="L553" s="70">
        <f>'RESUMEN TOTAL'!Y685</f>
        <v>0</v>
      </c>
      <c r="M553" s="70">
        <f>'RESUMEN TOTAL'!Z685</f>
        <v>0</v>
      </c>
      <c r="N553" s="70">
        <f>'RESUMEN TOTAL'!AA685</f>
        <v>0</v>
      </c>
      <c r="O553" s="70">
        <f>'RESUMEN TOTAL'!AB685</f>
        <v>0</v>
      </c>
      <c r="P553" s="70">
        <f>'RESUMEN TOTAL'!AC685</f>
        <v>0</v>
      </c>
      <c r="Q553" s="70">
        <f>'RESUMEN TOTAL'!AD685</f>
        <v>0</v>
      </c>
      <c r="R553" s="70">
        <f>'RESUMEN TOTAL'!AE685</f>
        <v>0</v>
      </c>
      <c r="S553" s="70">
        <f>'RESUMEN TOTAL'!AF685</f>
        <v>0</v>
      </c>
      <c r="T553" s="70">
        <f>'RESUMEN TOTAL'!AG685</f>
        <v>0</v>
      </c>
      <c r="U553" s="70">
        <f>'RESUMEN TOTAL'!AH685</f>
        <v>0</v>
      </c>
      <c r="V553" s="70">
        <f>'RESUMEN TOTAL'!AI685</f>
        <v>0</v>
      </c>
      <c r="W553" s="70">
        <f>'RESUMEN TOTAL'!AJ685</f>
        <v>0</v>
      </c>
      <c r="X553" s="70">
        <f>'RESUMEN TOTAL'!AK685</f>
        <v>0</v>
      </c>
      <c r="Y553" s="70">
        <f>'RESUMEN TOTAL'!AL685</f>
        <v>0</v>
      </c>
      <c r="Z553" s="70">
        <f>'RESUMEN TOTAL'!AM685</f>
        <v>0</v>
      </c>
      <c r="AA553" s="70">
        <f>'RESUMEN TOTAL'!AN685</f>
        <v>0</v>
      </c>
      <c r="AB553" s="70">
        <f>'RESUMEN TOTAL'!AO685</f>
        <v>0</v>
      </c>
      <c r="AC553" s="70">
        <f>'RESUMEN TOTAL'!AP685</f>
        <v>0</v>
      </c>
      <c r="AD553" s="70">
        <f>'RESUMEN TOTAL'!AQ685</f>
        <v>0</v>
      </c>
      <c r="AE553" s="70">
        <f>'RESUMEN TOTAL'!AR685</f>
        <v>0</v>
      </c>
      <c r="AF553" s="70">
        <f>'RESUMEN TOTAL'!AS685</f>
        <v>0</v>
      </c>
      <c r="AG553" s="70">
        <f>'RESUMEN TOTAL'!AT685</f>
        <v>0</v>
      </c>
      <c r="AH553" s="70">
        <f>'RESUMEN TOTAL'!AU685</f>
        <v>0</v>
      </c>
      <c r="AI553" s="70">
        <f>'RESUMEN TOTAL'!AV685</f>
        <v>0</v>
      </c>
      <c r="AJ553" s="70" t="e">
        <f>'RESUMEN TOTAL'!#REF!</f>
        <v>#REF!</v>
      </c>
    </row>
    <row r="554" spans="1:36" x14ac:dyDescent="0.25">
      <c r="A554">
        <f>'RESUMEN TOTAL'!F686</f>
        <v>0</v>
      </c>
      <c r="B554">
        <f>'RESUMEN TOTAL'!G686</f>
        <v>0</v>
      </c>
      <c r="C554">
        <f>'RESUMEN TOTAL'!I686</f>
        <v>0</v>
      </c>
      <c r="D554" s="30">
        <f>'RESUMEN TOTAL'!J686</f>
        <v>0</v>
      </c>
      <c r="E554" s="30">
        <f>'RESUMEN TOTAL'!K686</f>
        <v>0</v>
      </c>
      <c r="F554" s="70">
        <f>'RESUMEN TOTAL'!S686</f>
        <v>0</v>
      </c>
      <c r="G554" s="70">
        <f>'RESUMEN TOTAL'!T686</f>
        <v>0</v>
      </c>
      <c r="H554" s="70">
        <f>'RESUMEN TOTAL'!U686</f>
        <v>0</v>
      </c>
      <c r="I554" s="70">
        <f>'RESUMEN TOTAL'!V686</f>
        <v>0</v>
      </c>
      <c r="J554" s="70">
        <f>'RESUMEN TOTAL'!W686</f>
        <v>0</v>
      </c>
      <c r="K554" s="70">
        <f>'RESUMEN TOTAL'!X686</f>
        <v>0</v>
      </c>
      <c r="L554" s="70">
        <f>'RESUMEN TOTAL'!Y686</f>
        <v>0</v>
      </c>
      <c r="M554" s="70">
        <f>'RESUMEN TOTAL'!Z686</f>
        <v>0</v>
      </c>
      <c r="N554" s="70">
        <f>'RESUMEN TOTAL'!AA686</f>
        <v>0</v>
      </c>
      <c r="O554" s="70">
        <f>'RESUMEN TOTAL'!AB686</f>
        <v>0</v>
      </c>
      <c r="P554" s="70">
        <f>'RESUMEN TOTAL'!AC686</f>
        <v>0</v>
      </c>
      <c r="Q554" s="70">
        <f>'RESUMEN TOTAL'!AD686</f>
        <v>0</v>
      </c>
      <c r="R554" s="70">
        <f>'RESUMEN TOTAL'!AE686</f>
        <v>0</v>
      </c>
      <c r="S554" s="70">
        <f>'RESUMEN TOTAL'!AF686</f>
        <v>0</v>
      </c>
      <c r="T554" s="70">
        <f>'RESUMEN TOTAL'!AG686</f>
        <v>0</v>
      </c>
      <c r="U554" s="70">
        <f>'RESUMEN TOTAL'!AH686</f>
        <v>0</v>
      </c>
      <c r="V554" s="70">
        <f>'RESUMEN TOTAL'!AI686</f>
        <v>0</v>
      </c>
      <c r="W554" s="70">
        <f>'RESUMEN TOTAL'!AJ686</f>
        <v>0</v>
      </c>
      <c r="X554" s="70">
        <f>'RESUMEN TOTAL'!AK686</f>
        <v>0</v>
      </c>
      <c r="Y554" s="70">
        <f>'RESUMEN TOTAL'!AL686</f>
        <v>0</v>
      </c>
      <c r="Z554" s="70">
        <f>'RESUMEN TOTAL'!AM686</f>
        <v>0</v>
      </c>
      <c r="AA554" s="70">
        <f>'RESUMEN TOTAL'!AN686</f>
        <v>0</v>
      </c>
      <c r="AB554" s="70">
        <f>'RESUMEN TOTAL'!AO686</f>
        <v>0</v>
      </c>
      <c r="AC554" s="70">
        <f>'RESUMEN TOTAL'!AP686</f>
        <v>0</v>
      </c>
      <c r="AD554" s="70">
        <f>'RESUMEN TOTAL'!AQ686</f>
        <v>0</v>
      </c>
      <c r="AE554" s="70">
        <f>'RESUMEN TOTAL'!AR686</f>
        <v>0</v>
      </c>
      <c r="AF554" s="70">
        <f>'RESUMEN TOTAL'!AS686</f>
        <v>0</v>
      </c>
      <c r="AG554" s="70">
        <f>'RESUMEN TOTAL'!AT686</f>
        <v>0</v>
      </c>
      <c r="AH554" s="70">
        <f>'RESUMEN TOTAL'!AU686</f>
        <v>0</v>
      </c>
      <c r="AI554" s="70">
        <f>'RESUMEN TOTAL'!AV686</f>
        <v>0</v>
      </c>
      <c r="AJ554" s="70" t="e">
        <f>'RESUMEN TOTAL'!#REF!</f>
        <v>#REF!</v>
      </c>
    </row>
    <row r="555" spans="1:36" x14ac:dyDescent="0.25">
      <c r="A555">
        <f>'RESUMEN TOTAL'!F687</f>
        <v>0</v>
      </c>
      <c r="B555">
        <f>'RESUMEN TOTAL'!G687</f>
        <v>0</v>
      </c>
      <c r="C555">
        <f>'RESUMEN TOTAL'!I687</f>
        <v>0</v>
      </c>
      <c r="D555" s="30">
        <f>'RESUMEN TOTAL'!J687</f>
        <v>0</v>
      </c>
      <c r="E555" s="30">
        <f>'RESUMEN TOTAL'!K687</f>
        <v>0</v>
      </c>
      <c r="F555" s="70">
        <f>'RESUMEN TOTAL'!S687</f>
        <v>0</v>
      </c>
      <c r="G555" s="70">
        <f>'RESUMEN TOTAL'!T687</f>
        <v>0</v>
      </c>
      <c r="H555" s="70">
        <f>'RESUMEN TOTAL'!U687</f>
        <v>0</v>
      </c>
      <c r="I555" s="70">
        <f>'RESUMEN TOTAL'!V687</f>
        <v>0</v>
      </c>
      <c r="J555" s="70">
        <f>'RESUMEN TOTAL'!W687</f>
        <v>0</v>
      </c>
      <c r="K555" s="70">
        <f>'RESUMEN TOTAL'!X687</f>
        <v>0</v>
      </c>
      <c r="L555" s="70">
        <f>'RESUMEN TOTAL'!Y687</f>
        <v>0</v>
      </c>
      <c r="M555" s="70">
        <f>'RESUMEN TOTAL'!Z687</f>
        <v>0</v>
      </c>
      <c r="N555" s="70">
        <f>'RESUMEN TOTAL'!AA687</f>
        <v>0</v>
      </c>
      <c r="O555" s="70">
        <f>'RESUMEN TOTAL'!AB687</f>
        <v>0</v>
      </c>
      <c r="P555" s="70">
        <f>'RESUMEN TOTAL'!AC687</f>
        <v>0</v>
      </c>
      <c r="Q555" s="70">
        <f>'RESUMEN TOTAL'!AD687</f>
        <v>0</v>
      </c>
      <c r="R555" s="70">
        <f>'RESUMEN TOTAL'!AE687</f>
        <v>0</v>
      </c>
      <c r="S555" s="70">
        <f>'RESUMEN TOTAL'!AF687</f>
        <v>0</v>
      </c>
      <c r="T555" s="70">
        <f>'RESUMEN TOTAL'!AG687</f>
        <v>0</v>
      </c>
      <c r="U555" s="70">
        <f>'RESUMEN TOTAL'!AH687</f>
        <v>0</v>
      </c>
      <c r="V555" s="70">
        <f>'RESUMEN TOTAL'!AI687</f>
        <v>0</v>
      </c>
      <c r="W555" s="70">
        <f>'RESUMEN TOTAL'!AJ687</f>
        <v>0</v>
      </c>
      <c r="X555" s="70">
        <f>'RESUMEN TOTAL'!AK687</f>
        <v>0</v>
      </c>
      <c r="Y555" s="70">
        <f>'RESUMEN TOTAL'!AL687</f>
        <v>0</v>
      </c>
      <c r="Z555" s="70">
        <f>'RESUMEN TOTAL'!AM687</f>
        <v>0</v>
      </c>
      <c r="AA555" s="70">
        <f>'RESUMEN TOTAL'!AN687</f>
        <v>0</v>
      </c>
      <c r="AB555" s="70">
        <f>'RESUMEN TOTAL'!AO687</f>
        <v>0</v>
      </c>
      <c r="AC555" s="70">
        <f>'RESUMEN TOTAL'!AP687</f>
        <v>0</v>
      </c>
      <c r="AD555" s="70">
        <f>'RESUMEN TOTAL'!AQ687</f>
        <v>0</v>
      </c>
      <c r="AE555" s="70">
        <f>'RESUMEN TOTAL'!AR687</f>
        <v>0</v>
      </c>
      <c r="AF555" s="70">
        <f>'RESUMEN TOTAL'!AS687</f>
        <v>0</v>
      </c>
      <c r="AG555" s="70">
        <f>'RESUMEN TOTAL'!AT687</f>
        <v>0</v>
      </c>
      <c r="AH555" s="70">
        <f>'RESUMEN TOTAL'!AU687</f>
        <v>0</v>
      </c>
      <c r="AI555" s="70">
        <f>'RESUMEN TOTAL'!AV687</f>
        <v>0</v>
      </c>
      <c r="AJ555" s="70" t="e">
        <f>'RESUMEN TOTAL'!#REF!</f>
        <v>#REF!</v>
      </c>
    </row>
    <row r="556" spans="1:36" x14ac:dyDescent="0.25">
      <c r="A556">
        <f>'RESUMEN TOTAL'!F688</f>
        <v>0</v>
      </c>
      <c r="B556">
        <f>'RESUMEN TOTAL'!G688</f>
        <v>0</v>
      </c>
      <c r="C556">
        <f>'RESUMEN TOTAL'!I688</f>
        <v>0</v>
      </c>
      <c r="D556" s="30">
        <f>'RESUMEN TOTAL'!J688</f>
        <v>0</v>
      </c>
      <c r="E556" s="30">
        <f>'RESUMEN TOTAL'!K688</f>
        <v>0</v>
      </c>
      <c r="F556" s="70">
        <f>'RESUMEN TOTAL'!S688</f>
        <v>0</v>
      </c>
      <c r="G556" s="70">
        <f>'RESUMEN TOTAL'!T688</f>
        <v>0</v>
      </c>
      <c r="H556" s="70">
        <f>'RESUMEN TOTAL'!U688</f>
        <v>0</v>
      </c>
      <c r="I556" s="70">
        <f>'RESUMEN TOTAL'!V688</f>
        <v>0</v>
      </c>
      <c r="J556" s="70">
        <f>'RESUMEN TOTAL'!W688</f>
        <v>0</v>
      </c>
      <c r="K556" s="70">
        <f>'RESUMEN TOTAL'!X688</f>
        <v>0</v>
      </c>
      <c r="L556" s="70">
        <f>'RESUMEN TOTAL'!Y688</f>
        <v>0</v>
      </c>
      <c r="M556" s="70">
        <f>'RESUMEN TOTAL'!Z688</f>
        <v>0</v>
      </c>
      <c r="N556" s="70">
        <f>'RESUMEN TOTAL'!AA688</f>
        <v>0</v>
      </c>
      <c r="O556" s="70">
        <f>'RESUMEN TOTAL'!AB688</f>
        <v>0</v>
      </c>
      <c r="P556" s="70">
        <f>'RESUMEN TOTAL'!AC688</f>
        <v>0</v>
      </c>
      <c r="Q556" s="70">
        <f>'RESUMEN TOTAL'!AD688</f>
        <v>0</v>
      </c>
      <c r="R556" s="70">
        <f>'RESUMEN TOTAL'!AE688</f>
        <v>0</v>
      </c>
      <c r="S556" s="70">
        <f>'RESUMEN TOTAL'!AF688</f>
        <v>0</v>
      </c>
      <c r="T556" s="70">
        <f>'RESUMEN TOTAL'!AG688</f>
        <v>0</v>
      </c>
      <c r="U556" s="70">
        <f>'RESUMEN TOTAL'!AH688</f>
        <v>0</v>
      </c>
      <c r="V556" s="70">
        <f>'RESUMEN TOTAL'!AI688</f>
        <v>0</v>
      </c>
      <c r="W556" s="70">
        <f>'RESUMEN TOTAL'!AJ688</f>
        <v>0</v>
      </c>
      <c r="X556" s="70">
        <f>'RESUMEN TOTAL'!AK688</f>
        <v>0</v>
      </c>
      <c r="Y556" s="70">
        <f>'RESUMEN TOTAL'!AL688</f>
        <v>0</v>
      </c>
      <c r="Z556" s="70">
        <f>'RESUMEN TOTAL'!AM688</f>
        <v>0</v>
      </c>
      <c r="AA556" s="70">
        <f>'RESUMEN TOTAL'!AN688</f>
        <v>0</v>
      </c>
      <c r="AB556" s="70">
        <f>'RESUMEN TOTAL'!AO688</f>
        <v>0</v>
      </c>
      <c r="AC556" s="70">
        <f>'RESUMEN TOTAL'!AP688</f>
        <v>0</v>
      </c>
      <c r="AD556" s="70">
        <f>'RESUMEN TOTAL'!AQ688</f>
        <v>0</v>
      </c>
      <c r="AE556" s="70">
        <f>'RESUMEN TOTAL'!AR688</f>
        <v>0</v>
      </c>
      <c r="AF556" s="70">
        <f>'RESUMEN TOTAL'!AS688</f>
        <v>0</v>
      </c>
      <c r="AG556" s="70">
        <f>'RESUMEN TOTAL'!AT688</f>
        <v>0</v>
      </c>
      <c r="AH556" s="70">
        <f>'RESUMEN TOTAL'!AU688</f>
        <v>0</v>
      </c>
      <c r="AI556" s="70">
        <f>'RESUMEN TOTAL'!AV688</f>
        <v>0</v>
      </c>
      <c r="AJ556" s="70" t="e">
        <f>'RESUMEN TOTAL'!#REF!</f>
        <v>#REF!</v>
      </c>
    </row>
    <row r="557" spans="1:36" x14ac:dyDescent="0.25">
      <c r="A557">
        <f>'RESUMEN TOTAL'!F689</f>
        <v>0</v>
      </c>
      <c r="B557">
        <f>'RESUMEN TOTAL'!G689</f>
        <v>0</v>
      </c>
      <c r="C557">
        <f>'RESUMEN TOTAL'!I689</f>
        <v>0</v>
      </c>
      <c r="D557" s="30">
        <f>'RESUMEN TOTAL'!J689</f>
        <v>0</v>
      </c>
      <c r="E557" s="30">
        <f>'RESUMEN TOTAL'!K689</f>
        <v>0</v>
      </c>
      <c r="F557" s="70">
        <f>'RESUMEN TOTAL'!S689</f>
        <v>0</v>
      </c>
      <c r="G557" s="70">
        <f>'RESUMEN TOTAL'!T689</f>
        <v>0</v>
      </c>
      <c r="H557" s="70">
        <f>'RESUMEN TOTAL'!U689</f>
        <v>0</v>
      </c>
      <c r="I557" s="70">
        <f>'RESUMEN TOTAL'!V689</f>
        <v>0</v>
      </c>
      <c r="J557" s="70">
        <f>'RESUMEN TOTAL'!W689</f>
        <v>0</v>
      </c>
      <c r="K557" s="70">
        <f>'RESUMEN TOTAL'!X689</f>
        <v>0</v>
      </c>
      <c r="L557" s="70">
        <f>'RESUMEN TOTAL'!Y689</f>
        <v>0</v>
      </c>
      <c r="M557" s="70">
        <f>'RESUMEN TOTAL'!Z689</f>
        <v>0</v>
      </c>
      <c r="N557" s="70">
        <f>'RESUMEN TOTAL'!AA689</f>
        <v>0</v>
      </c>
      <c r="O557" s="70">
        <f>'RESUMEN TOTAL'!AB689</f>
        <v>0</v>
      </c>
      <c r="P557" s="70">
        <f>'RESUMEN TOTAL'!AC689</f>
        <v>0</v>
      </c>
      <c r="Q557" s="70">
        <f>'RESUMEN TOTAL'!AD689</f>
        <v>0</v>
      </c>
      <c r="R557" s="70">
        <f>'RESUMEN TOTAL'!AE689</f>
        <v>0</v>
      </c>
      <c r="S557" s="70">
        <f>'RESUMEN TOTAL'!AF689</f>
        <v>0</v>
      </c>
      <c r="T557" s="70">
        <f>'RESUMEN TOTAL'!AG689</f>
        <v>0</v>
      </c>
      <c r="U557" s="70">
        <f>'RESUMEN TOTAL'!AH689</f>
        <v>0</v>
      </c>
      <c r="V557" s="70">
        <f>'RESUMEN TOTAL'!AI689</f>
        <v>0</v>
      </c>
      <c r="W557" s="70">
        <f>'RESUMEN TOTAL'!AJ689</f>
        <v>0</v>
      </c>
      <c r="X557" s="70">
        <f>'RESUMEN TOTAL'!AK689</f>
        <v>0</v>
      </c>
      <c r="Y557" s="70">
        <f>'RESUMEN TOTAL'!AL689</f>
        <v>0</v>
      </c>
      <c r="Z557" s="70">
        <f>'RESUMEN TOTAL'!AM689</f>
        <v>0</v>
      </c>
      <c r="AA557" s="70">
        <f>'RESUMEN TOTAL'!AN689</f>
        <v>0</v>
      </c>
      <c r="AB557" s="70">
        <f>'RESUMEN TOTAL'!AO689</f>
        <v>0</v>
      </c>
      <c r="AC557" s="70">
        <f>'RESUMEN TOTAL'!AP689</f>
        <v>0</v>
      </c>
      <c r="AD557" s="70">
        <f>'RESUMEN TOTAL'!AQ689</f>
        <v>0</v>
      </c>
      <c r="AE557" s="70">
        <f>'RESUMEN TOTAL'!AR689</f>
        <v>0</v>
      </c>
      <c r="AF557" s="70">
        <f>'RESUMEN TOTAL'!AS689</f>
        <v>0</v>
      </c>
      <c r="AG557" s="70">
        <f>'RESUMEN TOTAL'!AT689</f>
        <v>0</v>
      </c>
      <c r="AH557" s="70">
        <f>'RESUMEN TOTAL'!AU689</f>
        <v>0</v>
      </c>
      <c r="AI557" s="70">
        <f>'RESUMEN TOTAL'!AV689</f>
        <v>0</v>
      </c>
      <c r="AJ557" s="70" t="e">
        <f>'RESUMEN TOTAL'!#REF!</f>
        <v>#REF!</v>
      </c>
    </row>
    <row r="558" spans="1:36" x14ac:dyDescent="0.25">
      <c r="A558">
        <f>'RESUMEN TOTAL'!F690</f>
        <v>0</v>
      </c>
      <c r="B558">
        <f>'RESUMEN TOTAL'!G690</f>
        <v>0</v>
      </c>
      <c r="C558">
        <f>'RESUMEN TOTAL'!I690</f>
        <v>0</v>
      </c>
      <c r="D558" s="30">
        <f>'RESUMEN TOTAL'!J690</f>
        <v>0</v>
      </c>
      <c r="E558" s="30">
        <f>'RESUMEN TOTAL'!K690</f>
        <v>0</v>
      </c>
      <c r="F558" s="70">
        <f>'RESUMEN TOTAL'!S690</f>
        <v>0</v>
      </c>
      <c r="G558" s="70">
        <f>'RESUMEN TOTAL'!T690</f>
        <v>0</v>
      </c>
      <c r="H558" s="70">
        <f>'RESUMEN TOTAL'!U690</f>
        <v>0</v>
      </c>
      <c r="I558" s="70">
        <f>'RESUMEN TOTAL'!V690</f>
        <v>0</v>
      </c>
      <c r="J558" s="70">
        <f>'RESUMEN TOTAL'!W690</f>
        <v>0</v>
      </c>
      <c r="K558" s="70">
        <f>'RESUMEN TOTAL'!X690</f>
        <v>0</v>
      </c>
      <c r="L558" s="70">
        <f>'RESUMEN TOTAL'!Y690</f>
        <v>0</v>
      </c>
      <c r="M558" s="70">
        <f>'RESUMEN TOTAL'!Z690</f>
        <v>0</v>
      </c>
      <c r="N558" s="70">
        <f>'RESUMEN TOTAL'!AA690</f>
        <v>0</v>
      </c>
      <c r="O558" s="70">
        <f>'RESUMEN TOTAL'!AB690</f>
        <v>0</v>
      </c>
      <c r="P558" s="70">
        <f>'RESUMEN TOTAL'!AC690</f>
        <v>0</v>
      </c>
      <c r="Q558" s="70">
        <f>'RESUMEN TOTAL'!AD690</f>
        <v>0</v>
      </c>
      <c r="R558" s="70">
        <f>'RESUMEN TOTAL'!AE690</f>
        <v>0</v>
      </c>
      <c r="S558" s="70">
        <f>'RESUMEN TOTAL'!AF690</f>
        <v>0</v>
      </c>
      <c r="T558" s="70">
        <f>'RESUMEN TOTAL'!AG690</f>
        <v>0</v>
      </c>
      <c r="U558" s="70">
        <f>'RESUMEN TOTAL'!AH690</f>
        <v>0</v>
      </c>
      <c r="V558" s="70">
        <f>'RESUMEN TOTAL'!AI690</f>
        <v>0</v>
      </c>
      <c r="W558" s="70">
        <f>'RESUMEN TOTAL'!AJ690</f>
        <v>0</v>
      </c>
      <c r="X558" s="70">
        <f>'RESUMEN TOTAL'!AK690</f>
        <v>0</v>
      </c>
      <c r="Y558" s="70">
        <f>'RESUMEN TOTAL'!AL690</f>
        <v>0</v>
      </c>
      <c r="Z558" s="70">
        <f>'RESUMEN TOTAL'!AM690</f>
        <v>0</v>
      </c>
      <c r="AA558" s="70">
        <f>'RESUMEN TOTAL'!AN690</f>
        <v>0</v>
      </c>
      <c r="AB558" s="70">
        <f>'RESUMEN TOTAL'!AO690</f>
        <v>0</v>
      </c>
      <c r="AC558" s="70">
        <f>'RESUMEN TOTAL'!AP690</f>
        <v>0</v>
      </c>
      <c r="AD558" s="70">
        <f>'RESUMEN TOTAL'!AQ690</f>
        <v>0</v>
      </c>
      <c r="AE558" s="70">
        <f>'RESUMEN TOTAL'!AR690</f>
        <v>0</v>
      </c>
      <c r="AF558" s="70">
        <f>'RESUMEN TOTAL'!AS690</f>
        <v>0</v>
      </c>
      <c r="AG558" s="70">
        <f>'RESUMEN TOTAL'!AT690</f>
        <v>0</v>
      </c>
      <c r="AH558" s="70">
        <f>'RESUMEN TOTAL'!AU690</f>
        <v>0</v>
      </c>
      <c r="AI558" s="70">
        <f>'RESUMEN TOTAL'!AV690</f>
        <v>0</v>
      </c>
      <c r="AJ558" s="70" t="e">
        <f>'RESUMEN TOTAL'!#REF!</f>
        <v>#REF!</v>
      </c>
    </row>
    <row r="559" spans="1:36" x14ac:dyDescent="0.25">
      <c r="A559">
        <f>'RESUMEN TOTAL'!F691</f>
        <v>0</v>
      </c>
      <c r="B559">
        <f>'RESUMEN TOTAL'!G691</f>
        <v>0</v>
      </c>
      <c r="C559">
        <f>'RESUMEN TOTAL'!I691</f>
        <v>0</v>
      </c>
      <c r="D559" s="30">
        <f>'RESUMEN TOTAL'!J691</f>
        <v>0</v>
      </c>
      <c r="E559" s="30">
        <f>'RESUMEN TOTAL'!K691</f>
        <v>0</v>
      </c>
      <c r="F559" s="70">
        <f>'RESUMEN TOTAL'!S691</f>
        <v>0</v>
      </c>
      <c r="G559" s="70">
        <f>'RESUMEN TOTAL'!T691</f>
        <v>0</v>
      </c>
      <c r="H559" s="70">
        <f>'RESUMEN TOTAL'!U691</f>
        <v>0</v>
      </c>
      <c r="I559" s="70">
        <f>'RESUMEN TOTAL'!V691</f>
        <v>0</v>
      </c>
      <c r="J559" s="70">
        <f>'RESUMEN TOTAL'!W691</f>
        <v>0</v>
      </c>
      <c r="K559" s="70">
        <f>'RESUMEN TOTAL'!X691</f>
        <v>0</v>
      </c>
      <c r="L559" s="70">
        <f>'RESUMEN TOTAL'!Y691</f>
        <v>0</v>
      </c>
      <c r="M559" s="70">
        <f>'RESUMEN TOTAL'!Z691</f>
        <v>0</v>
      </c>
      <c r="N559" s="70">
        <f>'RESUMEN TOTAL'!AA691</f>
        <v>0</v>
      </c>
      <c r="O559" s="70">
        <f>'RESUMEN TOTAL'!AB691</f>
        <v>0</v>
      </c>
      <c r="P559" s="70">
        <f>'RESUMEN TOTAL'!AC691</f>
        <v>0</v>
      </c>
      <c r="Q559" s="70">
        <f>'RESUMEN TOTAL'!AD691</f>
        <v>0</v>
      </c>
      <c r="R559" s="70">
        <f>'RESUMEN TOTAL'!AE691</f>
        <v>0</v>
      </c>
      <c r="S559" s="70">
        <f>'RESUMEN TOTAL'!AF691</f>
        <v>0</v>
      </c>
      <c r="T559" s="70">
        <f>'RESUMEN TOTAL'!AG691</f>
        <v>0</v>
      </c>
      <c r="U559" s="70">
        <f>'RESUMEN TOTAL'!AH691</f>
        <v>0</v>
      </c>
      <c r="V559" s="70">
        <f>'RESUMEN TOTAL'!AI691</f>
        <v>0</v>
      </c>
      <c r="W559" s="70">
        <f>'RESUMEN TOTAL'!AJ691</f>
        <v>0</v>
      </c>
      <c r="X559" s="70">
        <f>'RESUMEN TOTAL'!AK691</f>
        <v>0</v>
      </c>
      <c r="Y559" s="70">
        <f>'RESUMEN TOTAL'!AL691</f>
        <v>0</v>
      </c>
      <c r="Z559" s="70">
        <f>'RESUMEN TOTAL'!AM691</f>
        <v>0</v>
      </c>
      <c r="AA559" s="70">
        <f>'RESUMEN TOTAL'!AN691</f>
        <v>0</v>
      </c>
      <c r="AB559" s="70">
        <f>'RESUMEN TOTAL'!AO691</f>
        <v>0</v>
      </c>
      <c r="AC559" s="70">
        <f>'RESUMEN TOTAL'!AP691</f>
        <v>0</v>
      </c>
      <c r="AD559" s="70">
        <f>'RESUMEN TOTAL'!AQ691</f>
        <v>0</v>
      </c>
      <c r="AE559" s="70">
        <f>'RESUMEN TOTAL'!AR691</f>
        <v>0</v>
      </c>
      <c r="AF559" s="70">
        <f>'RESUMEN TOTAL'!AS691</f>
        <v>0</v>
      </c>
      <c r="AG559" s="70">
        <f>'RESUMEN TOTAL'!AT691</f>
        <v>0</v>
      </c>
      <c r="AH559" s="70">
        <f>'RESUMEN TOTAL'!AU691</f>
        <v>0</v>
      </c>
      <c r="AI559" s="70">
        <f>'RESUMEN TOTAL'!AV691</f>
        <v>0</v>
      </c>
      <c r="AJ559" s="70" t="e">
        <f>'RESUMEN TOTAL'!#REF!</f>
        <v>#REF!</v>
      </c>
    </row>
    <row r="560" spans="1:36" x14ac:dyDescent="0.25">
      <c r="A560">
        <f>'RESUMEN TOTAL'!F692</f>
        <v>0</v>
      </c>
      <c r="B560">
        <f>'RESUMEN TOTAL'!G692</f>
        <v>0</v>
      </c>
      <c r="C560">
        <f>'RESUMEN TOTAL'!I692</f>
        <v>0</v>
      </c>
      <c r="D560" s="30">
        <f>'RESUMEN TOTAL'!J692</f>
        <v>0</v>
      </c>
      <c r="E560" s="30">
        <f>'RESUMEN TOTAL'!K692</f>
        <v>0</v>
      </c>
      <c r="F560" s="70">
        <f>'RESUMEN TOTAL'!S692</f>
        <v>0</v>
      </c>
      <c r="G560" s="70">
        <f>'RESUMEN TOTAL'!T692</f>
        <v>0</v>
      </c>
      <c r="H560" s="70">
        <f>'RESUMEN TOTAL'!U692</f>
        <v>0</v>
      </c>
      <c r="I560" s="70">
        <f>'RESUMEN TOTAL'!V692</f>
        <v>0</v>
      </c>
      <c r="J560" s="70">
        <f>'RESUMEN TOTAL'!W692</f>
        <v>0</v>
      </c>
      <c r="K560" s="70">
        <f>'RESUMEN TOTAL'!X692</f>
        <v>0</v>
      </c>
      <c r="L560" s="70">
        <f>'RESUMEN TOTAL'!Y692</f>
        <v>0</v>
      </c>
      <c r="M560" s="70">
        <f>'RESUMEN TOTAL'!Z692</f>
        <v>0</v>
      </c>
      <c r="N560" s="70">
        <f>'RESUMEN TOTAL'!AA692</f>
        <v>0</v>
      </c>
      <c r="O560" s="70">
        <f>'RESUMEN TOTAL'!AB692</f>
        <v>0</v>
      </c>
      <c r="P560" s="70">
        <f>'RESUMEN TOTAL'!AC692</f>
        <v>0</v>
      </c>
      <c r="Q560" s="70">
        <f>'RESUMEN TOTAL'!AD692</f>
        <v>0</v>
      </c>
      <c r="R560" s="70">
        <f>'RESUMEN TOTAL'!AE692</f>
        <v>0</v>
      </c>
      <c r="S560" s="70">
        <f>'RESUMEN TOTAL'!AF692</f>
        <v>0</v>
      </c>
      <c r="T560" s="70">
        <f>'RESUMEN TOTAL'!AG692</f>
        <v>0</v>
      </c>
      <c r="U560" s="70">
        <f>'RESUMEN TOTAL'!AH692</f>
        <v>0</v>
      </c>
      <c r="V560" s="70">
        <f>'RESUMEN TOTAL'!AI692</f>
        <v>0</v>
      </c>
      <c r="W560" s="70">
        <f>'RESUMEN TOTAL'!AJ692</f>
        <v>0</v>
      </c>
      <c r="X560" s="70">
        <f>'RESUMEN TOTAL'!AK692</f>
        <v>0</v>
      </c>
      <c r="Y560" s="70">
        <f>'RESUMEN TOTAL'!AL692</f>
        <v>0</v>
      </c>
      <c r="Z560" s="70">
        <f>'RESUMEN TOTAL'!AM692</f>
        <v>0</v>
      </c>
      <c r="AA560" s="70">
        <f>'RESUMEN TOTAL'!AN692</f>
        <v>0</v>
      </c>
      <c r="AB560" s="70">
        <f>'RESUMEN TOTAL'!AO692</f>
        <v>0</v>
      </c>
      <c r="AC560" s="70">
        <f>'RESUMEN TOTAL'!AP692</f>
        <v>0</v>
      </c>
      <c r="AD560" s="70">
        <f>'RESUMEN TOTAL'!AQ692</f>
        <v>0</v>
      </c>
      <c r="AE560" s="70">
        <f>'RESUMEN TOTAL'!AR692</f>
        <v>0</v>
      </c>
      <c r="AF560" s="70">
        <f>'RESUMEN TOTAL'!AS692</f>
        <v>0</v>
      </c>
      <c r="AG560" s="70">
        <f>'RESUMEN TOTAL'!AT692</f>
        <v>0</v>
      </c>
      <c r="AH560" s="70">
        <f>'RESUMEN TOTAL'!AU692</f>
        <v>0</v>
      </c>
      <c r="AI560" s="70">
        <f>'RESUMEN TOTAL'!AV692</f>
        <v>0</v>
      </c>
      <c r="AJ560" s="70" t="e">
        <f>'RESUMEN TOTAL'!#REF!</f>
        <v>#REF!</v>
      </c>
    </row>
    <row r="561" spans="1:36" x14ac:dyDescent="0.25">
      <c r="A561">
        <f>'RESUMEN TOTAL'!F693</f>
        <v>0</v>
      </c>
      <c r="B561">
        <f>'RESUMEN TOTAL'!G693</f>
        <v>0</v>
      </c>
      <c r="C561">
        <f>'RESUMEN TOTAL'!I693</f>
        <v>0</v>
      </c>
      <c r="D561" s="30">
        <f>'RESUMEN TOTAL'!J693</f>
        <v>0</v>
      </c>
      <c r="E561" s="30">
        <f>'RESUMEN TOTAL'!K693</f>
        <v>0</v>
      </c>
      <c r="F561" s="70">
        <f>'RESUMEN TOTAL'!S693</f>
        <v>0</v>
      </c>
      <c r="G561" s="70">
        <f>'RESUMEN TOTAL'!T693</f>
        <v>0</v>
      </c>
      <c r="H561" s="70">
        <f>'RESUMEN TOTAL'!U693</f>
        <v>0</v>
      </c>
      <c r="I561" s="70">
        <f>'RESUMEN TOTAL'!V693</f>
        <v>0</v>
      </c>
      <c r="J561" s="70">
        <f>'RESUMEN TOTAL'!W693</f>
        <v>0</v>
      </c>
      <c r="K561" s="70">
        <f>'RESUMEN TOTAL'!X693</f>
        <v>0</v>
      </c>
      <c r="L561" s="70">
        <f>'RESUMEN TOTAL'!Y693</f>
        <v>0</v>
      </c>
      <c r="M561" s="70">
        <f>'RESUMEN TOTAL'!Z693</f>
        <v>0</v>
      </c>
      <c r="N561" s="70">
        <f>'RESUMEN TOTAL'!AA693</f>
        <v>0</v>
      </c>
      <c r="O561" s="70">
        <f>'RESUMEN TOTAL'!AB693</f>
        <v>0</v>
      </c>
      <c r="P561" s="70">
        <f>'RESUMEN TOTAL'!AC693</f>
        <v>0</v>
      </c>
      <c r="Q561" s="70">
        <f>'RESUMEN TOTAL'!AD693</f>
        <v>0</v>
      </c>
      <c r="R561" s="70">
        <f>'RESUMEN TOTAL'!AE693</f>
        <v>0</v>
      </c>
      <c r="S561" s="70">
        <f>'RESUMEN TOTAL'!AF693</f>
        <v>0</v>
      </c>
      <c r="T561" s="70">
        <f>'RESUMEN TOTAL'!AG693</f>
        <v>0</v>
      </c>
      <c r="U561" s="70">
        <f>'RESUMEN TOTAL'!AH693</f>
        <v>0</v>
      </c>
      <c r="V561" s="70">
        <f>'RESUMEN TOTAL'!AI693</f>
        <v>0</v>
      </c>
      <c r="W561" s="70">
        <f>'RESUMEN TOTAL'!AJ693</f>
        <v>0</v>
      </c>
      <c r="X561" s="70">
        <f>'RESUMEN TOTAL'!AK693</f>
        <v>0</v>
      </c>
      <c r="Y561" s="70">
        <f>'RESUMEN TOTAL'!AL693</f>
        <v>0</v>
      </c>
      <c r="Z561" s="70">
        <f>'RESUMEN TOTAL'!AM693</f>
        <v>0</v>
      </c>
      <c r="AA561" s="70">
        <f>'RESUMEN TOTAL'!AN693</f>
        <v>0</v>
      </c>
      <c r="AB561" s="70">
        <f>'RESUMEN TOTAL'!AO693</f>
        <v>0</v>
      </c>
      <c r="AC561" s="70">
        <f>'RESUMEN TOTAL'!AP693</f>
        <v>0</v>
      </c>
      <c r="AD561" s="70">
        <f>'RESUMEN TOTAL'!AQ693</f>
        <v>0</v>
      </c>
      <c r="AE561" s="70">
        <f>'RESUMEN TOTAL'!AR693</f>
        <v>0</v>
      </c>
      <c r="AF561" s="70">
        <f>'RESUMEN TOTAL'!AS693</f>
        <v>0</v>
      </c>
      <c r="AG561" s="70">
        <f>'RESUMEN TOTAL'!AT693</f>
        <v>0</v>
      </c>
      <c r="AH561" s="70">
        <f>'RESUMEN TOTAL'!AU693</f>
        <v>0</v>
      </c>
      <c r="AI561" s="70">
        <f>'RESUMEN TOTAL'!AV693</f>
        <v>0</v>
      </c>
      <c r="AJ561" s="70" t="e">
        <f>'RESUMEN TOTAL'!#REF!</f>
        <v>#REF!</v>
      </c>
    </row>
    <row r="562" spans="1:36" x14ac:dyDescent="0.25">
      <c r="A562">
        <f>'RESUMEN TOTAL'!F694</f>
        <v>0</v>
      </c>
      <c r="B562">
        <f>'RESUMEN TOTAL'!G694</f>
        <v>0</v>
      </c>
      <c r="C562">
        <f>'RESUMEN TOTAL'!I694</f>
        <v>0</v>
      </c>
      <c r="D562" s="30">
        <f>'RESUMEN TOTAL'!J694</f>
        <v>0</v>
      </c>
      <c r="E562" s="30">
        <f>'RESUMEN TOTAL'!K694</f>
        <v>0</v>
      </c>
      <c r="F562" s="70">
        <f>'RESUMEN TOTAL'!S694</f>
        <v>0</v>
      </c>
      <c r="G562" s="70">
        <f>'RESUMEN TOTAL'!T694</f>
        <v>0</v>
      </c>
      <c r="H562" s="70">
        <f>'RESUMEN TOTAL'!U694</f>
        <v>0</v>
      </c>
      <c r="I562" s="70">
        <f>'RESUMEN TOTAL'!V694</f>
        <v>0</v>
      </c>
      <c r="J562" s="70">
        <f>'RESUMEN TOTAL'!W694</f>
        <v>0</v>
      </c>
      <c r="K562" s="70">
        <f>'RESUMEN TOTAL'!X694</f>
        <v>0</v>
      </c>
      <c r="L562" s="70">
        <f>'RESUMEN TOTAL'!Y694</f>
        <v>0</v>
      </c>
      <c r="M562" s="70">
        <f>'RESUMEN TOTAL'!Z694</f>
        <v>0</v>
      </c>
      <c r="N562" s="70">
        <f>'RESUMEN TOTAL'!AA694</f>
        <v>0</v>
      </c>
      <c r="O562" s="70">
        <f>'RESUMEN TOTAL'!AB694</f>
        <v>0</v>
      </c>
      <c r="P562" s="70">
        <f>'RESUMEN TOTAL'!AC694</f>
        <v>0</v>
      </c>
      <c r="Q562" s="70">
        <f>'RESUMEN TOTAL'!AD694</f>
        <v>0</v>
      </c>
      <c r="R562" s="70">
        <f>'RESUMEN TOTAL'!AE694</f>
        <v>0</v>
      </c>
      <c r="S562" s="70">
        <f>'RESUMEN TOTAL'!AF694</f>
        <v>0</v>
      </c>
      <c r="T562" s="70">
        <f>'RESUMEN TOTAL'!AG694</f>
        <v>0</v>
      </c>
      <c r="U562" s="70">
        <f>'RESUMEN TOTAL'!AH694</f>
        <v>0</v>
      </c>
      <c r="V562" s="70">
        <f>'RESUMEN TOTAL'!AI694</f>
        <v>0</v>
      </c>
      <c r="W562" s="70">
        <f>'RESUMEN TOTAL'!AJ694</f>
        <v>0</v>
      </c>
      <c r="X562" s="70">
        <f>'RESUMEN TOTAL'!AK694</f>
        <v>0</v>
      </c>
      <c r="Y562" s="70">
        <f>'RESUMEN TOTAL'!AL694</f>
        <v>0</v>
      </c>
      <c r="Z562" s="70">
        <f>'RESUMEN TOTAL'!AM694</f>
        <v>0</v>
      </c>
      <c r="AA562" s="70">
        <f>'RESUMEN TOTAL'!AN694</f>
        <v>0</v>
      </c>
      <c r="AB562" s="70">
        <f>'RESUMEN TOTAL'!AO694</f>
        <v>0</v>
      </c>
      <c r="AC562" s="70">
        <f>'RESUMEN TOTAL'!AP694</f>
        <v>0</v>
      </c>
      <c r="AD562" s="70">
        <f>'RESUMEN TOTAL'!AQ694</f>
        <v>0</v>
      </c>
      <c r="AE562" s="70">
        <f>'RESUMEN TOTAL'!AR694</f>
        <v>0</v>
      </c>
      <c r="AF562" s="70">
        <f>'RESUMEN TOTAL'!AS694</f>
        <v>0</v>
      </c>
      <c r="AG562" s="70">
        <f>'RESUMEN TOTAL'!AT694</f>
        <v>0</v>
      </c>
      <c r="AH562" s="70">
        <f>'RESUMEN TOTAL'!AU694</f>
        <v>0</v>
      </c>
      <c r="AI562" s="70">
        <f>'RESUMEN TOTAL'!AV694</f>
        <v>0</v>
      </c>
      <c r="AJ562" s="70" t="e">
        <f>'RESUMEN TOTAL'!#REF!</f>
        <v>#REF!</v>
      </c>
    </row>
    <row r="563" spans="1:36" x14ac:dyDescent="0.25">
      <c r="A563">
        <f>'RESUMEN TOTAL'!F695</f>
        <v>0</v>
      </c>
      <c r="B563">
        <f>'RESUMEN TOTAL'!G695</f>
        <v>0</v>
      </c>
      <c r="C563">
        <f>'RESUMEN TOTAL'!I695</f>
        <v>0</v>
      </c>
      <c r="D563" s="30">
        <f>'RESUMEN TOTAL'!J695</f>
        <v>0</v>
      </c>
      <c r="E563" s="30">
        <f>'RESUMEN TOTAL'!K695</f>
        <v>0</v>
      </c>
      <c r="F563" s="70">
        <f>'RESUMEN TOTAL'!S695</f>
        <v>0</v>
      </c>
      <c r="G563" s="70">
        <f>'RESUMEN TOTAL'!T695</f>
        <v>0</v>
      </c>
      <c r="H563" s="70">
        <f>'RESUMEN TOTAL'!U695</f>
        <v>0</v>
      </c>
      <c r="I563" s="70">
        <f>'RESUMEN TOTAL'!V695</f>
        <v>0</v>
      </c>
      <c r="J563" s="70">
        <f>'RESUMEN TOTAL'!W695</f>
        <v>0</v>
      </c>
      <c r="K563" s="70">
        <f>'RESUMEN TOTAL'!X695</f>
        <v>0</v>
      </c>
      <c r="L563" s="70">
        <f>'RESUMEN TOTAL'!Y695</f>
        <v>0</v>
      </c>
      <c r="M563" s="70">
        <f>'RESUMEN TOTAL'!Z695</f>
        <v>0</v>
      </c>
      <c r="N563" s="70">
        <f>'RESUMEN TOTAL'!AA695</f>
        <v>0</v>
      </c>
      <c r="O563" s="70">
        <f>'RESUMEN TOTAL'!AB695</f>
        <v>0</v>
      </c>
      <c r="P563" s="70">
        <f>'RESUMEN TOTAL'!AC695</f>
        <v>0</v>
      </c>
      <c r="Q563" s="70">
        <f>'RESUMEN TOTAL'!AD695</f>
        <v>0</v>
      </c>
      <c r="R563" s="70">
        <f>'RESUMEN TOTAL'!AE695</f>
        <v>0</v>
      </c>
      <c r="S563" s="70">
        <f>'RESUMEN TOTAL'!AF695</f>
        <v>0</v>
      </c>
      <c r="T563" s="70">
        <f>'RESUMEN TOTAL'!AG695</f>
        <v>0</v>
      </c>
      <c r="U563" s="70">
        <f>'RESUMEN TOTAL'!AH695</f>
        <v>0</v>
      </c>
      <c r="V563" s="70">
        <f>'RESUMEN TOTAL'!AI695</f>
        <v>0</v>
      </c>
      <c r="W563" s="70">
        <f>'RESUMEN TOTAL'!AJ695</f>
        <v>0</v>
      </c>
      <c r="X563" s="70">
        <f>'RESUMEN TOTAL'!AK695</f>
        <v>0</v>
      </c>
      <c r="Y563" s="70">
        <f>'RESUMEN TOTAL'!AL695</f>
        <v>0</v>
      </c>
      <c r="Z563" s="70">
        <f>'RESUMEN TOTAL'!AM695</f>
        <v>0</v>
      </c>
      <c r="AA563" s="70">
        <f>'RESUMEN TOTAL'!AN695</f>
        <v>0</v>
      </c>
      <c r="AB563" s="70">
        <f>'RESUMEN TOTAL'!AO695</f>
        <v>0</v>
      </c>
      <c r="AC563" s="70">
        <f>'RESUMEN TOTAL'!AP695</f>
        <v>0</v>
      </c>
      <c r="AD563" s="70">
        <f>'RESUMEN TOTAL'!AQ695</f>
        <v>0</v>
      </c>
      <c r="AE563" s="70">
        <f>'RESUMEN TOTAL'!AR695</f>
        <v>0</v>
      </c>
      <c r="AF563" s="70">
        <f>'RESUMEN TOTAL'!AS695</f>
        <v>0</v>
      </c>
      <c r="AG563" s="70">
        <f>'RESUMEN TOTAL'!AT695</f>
        <v>0</v>
      </c>
      <c r="AH563" s="70">
        <f>'RESUMEN TOTAL'!AU695</f>
        <v>0</v>
      </c>
      <c r="AI563" s="70">
        <f>'RESUMEN TOTAL'!AV695</f>
        <v>0</v>
      </c>
      <c r="AJ563" s="70" t="e">
        <f>'RESUMEN TOTAL'!#REF!</f>
        <v>#REF!</v>
      </c>
    </row>
    <row r="564" spans="1:36" x14ac:dyDescent="0.25">
      <c r="A564">
        <f>'RESUMEN TOTAL'!F696</f>
        <v>0</v>
      </c>
      <c r="B564">
        <f>'RESUMEN TOTAL'!G696</f>
        <v>0</v>
      </c>
      <c r="C564">
        <f>'RESUMEN TOTAL'!I696</f>
        <v>0</v>
      </c>
      <c r="D564" s="30">
        <f>'RESUMEN TOTAL'!J696</f>
        <v>0</v>
      </c>
      <c r="E564" s="30">
        <f>'RESUMEN TOTAL'!K696</f>
        <v>0</v>
      </c>
      <c r="F564" s="70">
        <f>'RESUMEN TOTAL'!S696</f>
        <v>0</v>
      </c>
      <c r="G564" s="70">
        <f>'RESUMEN TOTAL'!T696</f>
        <v>0</v>
      </c>
      <c r="H564" s="70">
        <f>'RESUMEN TOTAL'!U696</f>
        <v>0</v>
      </c>
      <c r="I564" s="70">
        <f>'RESUMEN TOTAL'!V696</f>
        <v>0</v>
      </c>
      <c r="J564" s="70">
        <f>'RESUMEN TOTAL'!W696</f>
        <v>0</v>
      </c>
      <c r="K564" s="70">
        <f>'RESUMEN TOTAL'!X696</f>
        <v>0</v>
      </c>
      <c r="L564" s="70">
        <f>'RESUMEN TOTAL'!Y696</f>
        <v>0</v>
      </c>
      <c r="M564" s="70">
        <f>'RESUMEN TOTAL'!Z696</f>
        <v>0</v>
      </c>
      <c r="N564" s="70">
        <f>'RESUMEN TOTAL'!AA696</f>
        <v>0</v>
      </c>
      <c r="O564" s="70">
        <f>'RESUMEN TOTAL'!AB696</f>
        <v>0</v>
      </c>
      <c r="P564" s="70">
        <f>'RESUMEN TOTAL'!AC696</f>
        <v>0</v>
      </c>
      <c r="Q564" s="70">
        <f>'RESUMEN TOTAL'!AD696</f>
        <v>0</v>
      </c>
      <c r="R564" s="70">
        <f>'RESUMEN TOTAL'!AE696</f>
        <v>0</v>
      </c>
      <c r="S564" s="70">
        <f>'RESUMEN TOTAL'!AF696</f>
        <v>0</v>
      </c>
      <c r="T564" s="70">
        <f>'RESUMEN TOTAL'!AG696</f>
        <v>0</v>
      </c>
      <c r="U564" s="70">
        <f>'RESUMEN TOTAL'!AH696</f>
        <v>0</v>
      </c>
      <c r="V564" s="70">
        <f>'RESUMEN TOTAL'!AI696</f>
        <v>0</v>
      </c>
      <c r="W564" s="70">
        <f>'RESUMEN TOTAL'!AJ696</f>
        <v>0</v>
      </c>
      <c r="X564" s="70">
        <f>'RESUMEN TOTAL'!AK696</f>
        <v>0</v>
      </c>
      <c r="Y564" s="70">
        <f>'RESUMEN TOTAL'!AL696</f>
        <v>0</v>
      </c>
      <c r="Z564" s="70">
        <f>'RESUMEN TOTAL'!AM696</f>
        <v>0</v>
      </c>
      <c r="AA564" s="70">
        <f>'RESUMEN TOTAL'!AN696</f>
        <v>0</v>
      </c>
      <c r="AB564" s="70">
        <f>'RESUMEN TOTAL'!AO696</f>
        <v>0</v>
      </c>
      <c r="AC564" s="70">
        <f>'RESUMEN TOTAL'!AP696</f>
        <v>0</v>
      </c>
      <c r="AD564" s="70">
        <f>'RESUMEN TOTAL'!AQ696</f>
        <v>0</v>
      </c>
      <c r="AE564" s="70">
        <f>'RESUMEN TOTAL'!AR696</f>
        <v>0</v>
      </c>
      <c r="AF564" s="70">
        <f>'RESUMEN TOTAL'!AS696</f>
        <v>0</v>
      </c>
      <c r="AG564" s="70">
        <f>'RESUMEN TOTAL'!AT696</f>
        <v>0</v>
      </c>
      <c r="AH564" s="70">
        <f>'RESUMEN TOTAL'!AU696</f>
        <v>0</v>
      </c>
      <c r="AI564" s="70">
        <f>'RESUMEN TOTAL'!AV696</f>
        <v>0</v>
      </c>
      <c r="AJ564" s="70" t="e">
        <f>'RESUMEN TOTAL'!#REF!</f>
        <v>#REF!</v>
      </c>
    </row>
    <row r="565" spans="1:36" x14ac:dyDescent="0.25">
      <c r="A565">
        <f>'RESUMEN TOTAL'!F697</f>
        <v>0</v>
      </c>
      <c r="B565">
        <f>'RESUMEN TOTAL'!G697</f>
        <v>0</v>
      </c>
      <c r="C565">
        <f>'RESUMEN TOTAL'!I697</f>
        <v>0</v>
      </c>
      <c r="D565" s="30">
        <f>'RESUMEN TOTAL'!J697</f>
        <v>0</v>
      </c>
      <c r="E565" s="30">
        <f>'RESUMEN TOTAL'!K697</f>
        <v>0</v>
      </c>
      <c r="F565" s="70">
        <f>'RESUMEN TOTAL'!S697</f>
        <v>0</v>
      </c>
      <c r="G565" s="70">
        <f>'RESUMEN TOTAL'!T697</f>
        <v>0</v>
      </c>
      <c r="H565" s="70">
        <f>'RESUMEN TOTAL'!U697</f>
        <v>0</v>
      </c>
      <c r="I565" s="70">
        <f>'RESUMEN TOTAL'!V697</f>
        <v>0</v>
      </c>
      <c r="J565" s="70">
        <f>'RESUMEN TOTAL'!W697</f>
        <v>0</v>
      </c>
      <c r="K565" s="70">
        <f>'RESUMEN TOTAL'!X697</f>
        <v>0</v>
      </c>
      <c r="L565" s="70">
        <f>'RESUMEN TOTAL'!Y697</f>
        <v>0</v>
      </c>
      <c r="M565" s="70">
        <f>'RESUMEN TOTAL'!Z697</f>
        <v>0</v>
      </c>
      <c r="N565" s="70">
        <f>'RESUMEN TOTAL'!AA697</f>
        <v>0</v>
      </c>
      <c r="O565" s="70">
        <f>'RESUMEN TOTAL'!AB697</f>
        <v>0</v>
      </c>
      <c r="P565" s="70">
        <f>'RESUMEN TOTAL'!AC697</f>
        <v>0</v>
      </c>
      <c r="Q565" s="70">
        <f>'RESUMEN TOTAL'!AD697</f>
        <v>0</v>
      </c>
      <c r="R565" s="70">
        <f>'RESUMEN TOTAL'!AE697</f>
        <v>0</v>
      </c>
      <c r="S565" s="70">
        <f>'RESUMEN TOTAL'!AF697</f>
        <v>0</v>
      </c>
      <c r="T565" s="70">
        <f>'RESUMEN TOTAL'!AG697</f>
        <v>0</v>
      </c>
      <c r="U565" s="70">
        <f>'RESUMEN TOTAL'!AH697</f>
        <v>0</v>
      </c>
      <c r="V565" s="70">
        <f>'RESUMEN TOTAL'!AI697</f>
        <v>0</v>
      </c>
      <c r="W565" s="70">
        <f>'RESUMEN TOTAL'!AJ697</f>
        <v>0</v>
      </c>
      <c r="X565" s="70">
        <f>'RESUMEN TOTAL'!AK697</f>
        <v>0</v>
      </c>
      <c r="Y565" s="70">
        <f>'RESUMEN TOTAL'!AL697</f>
        <v>0</v>
      </c>
      <c r="Z565" s="70">
        <f>'RESUMEN TOTAL'!AM697</f>
        <v>0</v>
      </c>
      <c r="AA565" s="70">
        <f>'RESUMEN TOTAL'!AN697</f>
        <v>0</v>
      </c>
      <c r="AB565" s="70">
        <f>'RESUMEN TOTAL'!AO697</f>
        <v>0</v>
      </c>
      <c r="AC565" s="70">
        <f>'RESUMEN TOTAL'!AP697</f>
        <v>0</v>
      </c>
      <c r="AD565" s="70">
        <f>'RESUMEN TOTAL'!AQ697</f>
        <v>0</v>
      </c>
      <c r="AE565" s="70">
        <f>'RESUMEN TOTAL'!AR697</f>
        <v>0</v>
      </c>
      <c r="AF565" s="70">
        <f>'RESUMEN TOTAL'!AS697</f>
        <v>0</v>
      </c>
      <c r="AG565" s="70">
        <f>'RESUMEN TOTAL'!AT697</f>
        <v>0</v>
      </c>
      <c r="AH565" s="70">
        <f>'RESUMEN TOTAL'!AU697</f>
        <v>0</v>
      </c>
      <c r="AI565" s="70">
        <f>'RESUMEN TOTAL'!AV697</f>
        <v>0</v>
      </c>
      <c r="AJ565" s="70" t="e">
        <f>'RESUMEN TOTAL'!#REF!</f>
        <v>#REF!</v>
      </c>
    </row>
    <row r="566" spans="1:36" x14ac:dyDescent="0.25">
      <c r="A566">
        <f>'RESUMEN TOTAL'!F698</f>
        <v>0</v>
      </c>
      <c r="B566">
        <f>'RESUMEN TOTAL'!G698</f>
        <v>0</v>
      </c>
      <c r="C566">
        <f>'RESUMEN TOTAL'!I698</f>
        <v>0</v>
      </c>
      <c r="D566" s="30">
        <f>'RESUMEN TOTAL'!J698</f>
        <v>0</v>
      </c>
      <c r="E566" s="30">
        <f>'RESUMEN TOTAL'!K698</f>
        <v>0</v>
      </c>
      <c r="F566" s="70">
        <f>'RESUMEN TOTAL'!S698</f>
        <v>0</v>
      </c>
      <c r="G566" s="70">
        <f>'RESUMEN TOTAL'!T698</f>
        <v>0</v>
      </c>
      <c r="H566" s="70">
        <f>'RESUMEN TOTAL'!U698</f>
        <v>0</v>
      </c>
      <c r="I566" s="70">
        <f>'RESUMEN TOTAL'!V698</f>
        <v>0</v>
      </c>
      <c r="J566" s="70">
        <f>'RESUMEN TOTAL'!W698</f>
        <v>0</v>
      </c>
      <c r="K566" s="70">
        <f>'RESUMEN TOTAL'!X698</f>
        <v>0</v>
      </c>
      <c r="L566" s="70">
        <f>'RESUMEN TOTAL'!Y698</f>
        <v>0</v>
      </c>
      <c r="M566" s="70">
        <f>'RESUMEN TOTAL'!Z698</f>
        <v>0</v>
      </c>
      <c r="N566" s="70">
        <f>'RESUMEN TOTAL'!AA698</f>
        <v>0</v>
      </c>
      <c r="O566" s="70">
        <f>'RESUMEN TOTAL'!AB698</f>
        <v>0</v>
      </c>
      <c r="P566" s="70">
        <f>'RESUMEN TOTAL'!AC698</f>
        <v>0</v>
      </c>
      <c r="Q566" s="70">
        <f>'RESUMEN TOTAL'!AD698</f>
        <v>0</v>
      </c>
      <c r="R566" s="70">
        <f>'RESUMEN TOTAL'!AE698</f>
        <v>0</v>
      </c>
      <c r="S566" s="70">
        <f>'RESUMEN TOTAL'!AF698</f>
        <v>0</v>
      </c>
      <c r="T566" s="70">
        <f>'RESUMEN TOTAL'!AG698</f>
        <v>0</v>
      </c>
      <c r="U566" s="70">
        <f>'RESUMEN TOTAL'!AH698</f>
        <v>0</v>
      </c>
      <c r="V566" s="70">
        <f>'RESUMEN TOTAL'!AI698</f>
        <v>0</v>
      </c>
      <c r="W566" s="70">
        <f>'RESUMEN TOTAL'!AJ698</f>
        <v>0</v>
      </c>
      <c r="X566" s="70">
        <f>'RESUMEN TOTAL'!AK698</f>
        <v>0</v>
      </c>
      <c r="Y566" s="70">
        <f>'RESUMEN TOTAL'!AL698</f>
        <v>0</v>
      </c>
      <c r="Z566" s="70">
        <f>'RESUMEN TOTAL'!AM698</f>
        <v>0</v>
      </c>
      <c r="AA566" s="70">
        <f>'RESUMEN TOTAL'!AN698</f>
        <v>0</v>
      </c>
      <c r="AB566" s="70">
        <f>'RESUMEN TOTAL'!AO698</f>
        <v>0</v>
      </c>
      <c r="AC566" s="70">
        <f>'RESUMEN TOTAL'!AP698</f>
        <v>0</v>
      </c>
      <c r="AD566" s="70">
        <f>'RESUMEN TOTAL'!AQ698</f>
        <v>0</v>
      </c>
      <c r="AE566" s="70">
        <f>'RESUMEN TOTAL'!AR698</f>
        <v>0</v>
      </c>
      <c r="AF566" s="70">
        <f>'RESUMEN TOTAL'!AS698</f>
        <v>0</v>
      </c>
      <c r="AG566" s="70">
        <f>'RESUMEN TOTAL'!AT698</f>
        <v>0</v>
      </c>
      <c r="AH566" s="70">
        <f>'RESUMEN TOTAL'!AU698</f>
        <v>0</v>
      </c>
      <c r="AI566" s="70">
        <f>'RESUMEN TOTAL'!AV698</f>
        <v>0</v>
      </c>
      <c r="AJ566" s="70" t="e">
        <f>'RESUMEN TOTAL'!#REF!</f>
        <v>#REF!</v>
      </c>
    </row>
    <row r="567" spans="1:36" x14ac:dyDescent="0.25">
      <c r="A567">
        <f>'RESUMEN TOTAL'!F699</f>
        <v>0</v>
      </c>
      <c r="B567">
        <f>'RESUMEN TOTAL'!G699</f>
        <v>0</v>
      </c>
      <c r="C567">
        <f>'RESUMEN TOTAL'!I699</f>
        <v>0</v>
      </c>
      <c r="D567" s="30">
        <f>'RESUMEN TOTAL'!J699</f>
        <v>0</v>
      </c>
      <c r="E567" s="30">
        <f>'RESUMEN TOTAL'!K699</f>
        <v>0</v>
      </c>
      <c r="F567" s="70">
        <f>'RESUMEN TOTAL'!S699</f>
        <v>0</v>
      </c>
      <c r="G567" s="70">
        <f>'RESUMEN TOTAL'!T699</f>
        <v>0</v>
      </c>
      <c r="H567" s="70">
        <f>'RESUMEN TOTAL'!U699</f>
        <v>0</v>
      </c>
      <c r="I567" s="70">
        <f>'RESUMEN TOTAL'!V699</f>
        <v>0</v>
      </c>
      <c r="J567" s="70">
        <f>'RESUMEN TOTAL'!W699</f>
        <v>0</v>
      </c>
      <c r="K567" s="70">
        <f>'RESUMEN TOTAL'!X699</f>
        <v>0</v>
      </c>
      <c r="L567" s="70">
        <f>'RESUMEN TOTAL'!Y699</f>
        <v>0</v>
      </c>
      <c r="M567" s="70">
        <f>'RESUMEN TOTAL'!Z699</f>
        <v>0</v>
      </c>
      <c r="N567" s="70">
        <f>'RESUMEN TOTAL'!AA699</f>
        <v>0</v>
      </c>
      <c r="O567" s="70">
        <f>'RESUMEN TOTAL'!AB699</f>
        <v>0</v>
      </c>
      <c r="P567" s="70">
        <f>'RESUMEN TOTAL'!AC699</f>
        <v>0</v>
      </c>
      <c r="Q567" s="70">
        <f>'RESUMEN TOTAL'!AD699</f>
        <v>0</v>
      </c>
      <c r="R567" s="70">
        <f>'RESUMEN TOTAL'!AE699</f>
        <v>0</v>
      </c>
      <c r="S567" s="70">
        <f>'RESUMEN TOTAL'!AF699</f>
        <v>0</v>
      </c>
      <c r="T567" s="70">
        <f>'RESUMEN TOTAL'!AG699</f>
        <v>0</v>
      </c>
      <c r="U567" s="70">
        <f>'RESUMEN TOTAL'!AH699</f>
        <v>0</v>
      </c>
      <c r="V567" s="70">
        <f>'RESUMEN TOTAL'!AI699</f>
        <v>0</v>
      </c>
      <c r="W567" s="70">
        <f>'RESUMEN TOTAL'!AJ699</f>
        <v>0</v>
      </c>
      <c r="X567" s="70">
        <f>'RESUMEN TOTAL'!AK699</f>
        <v>0</v>
      </c>
      <c r="Y567" s="70">
        <f>'RESUMEN TOTAL'!AL699</f>
        <v>0</v>
      </c>
      <c r="Z567" s="70">
        <f>'RESUMEN TOTAL'!AM699</f>
        <v>0</v>
      </c>
      <c r="AA567" s="70">
        <f>'RESUMEN TOTAL'!AN699</f>
        <v>0</v>
      </c>
      <c r="AB567" s="70">
        <f>'RESUMEN TOTAL'!AO699</f>
        <v>0</v>
      </c>
      <c r="AC567" s="70">
        <f>'RESUMEN TOTAL'!AP699</f>
        <v>0</v>
      </c>
      <c r="AD567" s="70">
        <f>'RESUMEN TOTAL'!AQ699</f>
        <v>0</v>
      </c>
      <c r="AE567" s="70">
        <f>'RESUMEN TOTAL'!AR699</f>
        <v>0</v>
      </c>
      <c r="AF567" s="70">
        <f>'RESUMEN TOTAL'!AS699</f>
        <v>0</v>
      </c>
      <c r="AG567" s="70">
        <f>'RESUMEN TOTAL'!AT699</f>
        <v>0</v>
      </c>
      <c r="AH567" s="70">
        <f>'RESUMEN TOTAL'!AU699</f>
        <v>0</v>
      </c>
      <c r="AI567" s="70">
        <f>'RESUMEN TOTAL'!AV699</f>
        <v>0</v>
      </c>
      <c r="AJ567" s="70" t="e">
        <f>'RESUMEN TOTAL'!#REF!</f>
        <v>#REF!</v>
      </c>
    </row>
    <row r="568" spans="1:36" x14ac:dyDescent="0.25">
      <c r="A568">
        <f>'RESUMEN TOTAL'!F700</f>
        <v>0</v>
      </c>
      <c r="B568">
        <f>'RESUMEN TOTAL'!G700</f>
        <v>0</v>
      </c>
      <c r="C568">
        <f>'RESUMEN TOTAL'!I700</f>
        <v>0</v>
      </c>
      <c r="D568" s="30">
        <f>'RESUMEN TOTAL'!J700</f>
        <v>0</v>
      </c>
      <c r="E568" s="30">
        <f>'RESUMEN TOTAL'!K700</f>
        <v>0</v>
      </c>
      <c r="F568" s="70">
        <f>'RESUMEN TOTAL'!S700</f>
        <v>0</v>
      </c>
      <c r="G568" s="70">
        <f>'RESUMEN TOTAL'!T700</f>
        <v>0</v>
      </c>
      <c r="H568" s="70">
        <f>'RESUMEN TOTAL'!U700</f>
        <v>0</v>
      </c>
      <c r="I568" s="70">
        <f>'RESUMEN TOTAL'!V700</f>
        <v>0</v>
      </c>
      <c r="J568" s="70">
        <f>'RESUMEN TOTAL'!W700</f>
        <v>0</v>
      </c>
      <c r="K568" s="70">
        <f>'RESUMEN TOTAL'!X700</f>
        <v>0</v>
      </c>
      <c r="L568" s="70">
        <f>'RESUMEN TOTAL'!Y700</f>
        <v>0</v>
      </c>
      <c r="M568" s="70">
        <f>'RESUMEN TOTAL'!Z700</f>
        <v>0</v>
      </c>
      <c r="N568" s="70">
        <f>'RESUMEN TOTAL'!AA700</f>
        <v>0</v>
      </c>
      <c r="O568" s="70">
        <f>'RESUMEN TOTAL'!AB700</f>
        <v>0</v>
      </c>
      <c r="P568" s="70">
        <f>'RESUMEN TOTAL'!AC700</f>
        <v>0</v>
      </c>
      <c r="Q568" s="70">
        <f>'RESUMEN TOTAL'!AD700</f>
        <v>0</v>
      </c>
      <c r="R568" s="70">
        <f>'RESUMEN TOTAL'!AE700</f>
        <v>0</v>
      </c>
      <c r="S568" s="70">
        <f>'RESUMEN TOTAL'!AF700</f>
        <v>0</v>
      </c>
      <c r="T568" s="70">
        <f>'RESUMEN TOTAL'!AG700</f>
        <v>0</v>
      </c>
      <c r="U568" s="70">
        <f>'RESUMEN TOTAL'!AH700</f>
        <v>0</v>
      </c>
      <c r="V568" s="70">
        <f>'RESUMEN TOTAL'!AI700</f>
        <v>0</v>
      </c>
      <c r="W568" s="70">
        <f>'RESUMEN TOTAL'!AJ700</f>
        <v>0</v>
      </c>
      <c r="X568" s="70">
        <f>'RESUMEN TOTAL'!AK700</f>
        <v>0</v>
      </c>
      <c r="Y568" s="70">
        <f>'RESUMEN TOTAL'!AL700</f>
        <v>0</v>
      </c>
      <c r="Z568" s="70">
        <f>'RESUMEN TOTAL'!AM700</f>
        <v>0</v>
      </c>
      <c r="AA568" s="70">
        <f>'RESUMEN TOTAL'!AN700</f>
        <v>0</v>
      </c>
      <c r="AB568" s="70">
        <f>'RESUMEN TOTAL'!AO700</f>
        <v>0</v>
      </c>
      <c r="AC568" s="70">
        <f>'RESUMEN TOTAL'!AP700</f>
        <v>0</v>
      </c>
      <c r="AD568" s="70">
        <f>'RESUMEN TOTAL'!AQ700</f>
        <v>0</v>
      </c>
      <c r="AE568" s="70">
        <f>'RESUMEN TOTAL'!AR700</f>
        <v>0</v>
      </c>
      <c r="AF568" s="70">
        <f>'RESUMEN TOTAL'!AS700</f>
        <v>0</v>
      </c>
      <c r="AG568" s="70">
        <f>'RESUMEN TOTAL'!AT700</f>
        <v>0</v>
      </c>
      <c r="AH568" s="70">
        <f>'RESUMEN TOTAL'!AU700</f>
        <v>0</v>
      </c>
      <c r="AI568" s="70">
        <f>'RESUMEN TOTAL'!AV700</f>
        <v>0</v>
      </c>
      <c r="AJ568" s="70" t="e">
        <f>'RESUMEN TOTAL'!#REF!</f>
        <v>#REF!</v>
      </c>
    </row>
    <row r="569" spans="1:36" x14ac:dyDescent="0.25">
      <c r="A569">
        <f>'RESUMEN TOTAL'!F701</f>
        <v>0</v>
      </c>
      <c r="B569">
        <f>'RESUMEN TOTAL'!G701</f>
        <v>0</v>
      </c>
      <c r="C569">
        <f>'RESUMEN TOTAL'!I701</f>
        <v>0</v>
      </c>
      <c r="D569" s="30">
        <f>'RESUMEN TOTAL'!J701</f>
        <v>0</v>
      </c>
      <c r="E569" s="30">
        <f>'RESUMEN TOTAL'!K701</f>
        <v>0</v>
      </c>
      <c r="F569" s="70">
        <f>'RESUMEN TOTAL'!S701</f>
        <v>0</v>
      </c>
      <c r="G569" s="70">
        <f>'RESUMEN TOTAL'!T701</f>
        <v>0</v>
      </c>
      <c r="H569" s="70">
        <f>'RESUMEN TOTAL'!U701</f>
        <v>0</v>
      </c>
      <c r="I569" s="70">
        <f>'RESUMEN TOTAL'!V701</f>
        <v>0</v>
      </c>
      <c r="J569" s="70">
        <f>'RESUMEN TOTAL'!W701</f>
        <v>0</v>
      </c>
      <c r="K569" s="70">
        <f>'RESUMEN TOTAL'!X701</f>
        <v>0</v>
      </c>
      <c r="L569" s="70">
        <f>'RESUMEN TOTAL'!Y701</f>
        <v>0</v>
      </c>
      <c r="M569" s="70">
        <f>'RESUMEN TOTAL'!Z701</f>
        <v>0</v>
      </c>
      <c r="N569" s="70">
        <f>'RESUMEN TOTAL'!AA701</f>
        <v>0</v>
      </c>
      <c r="O569" s="70">
        <f>'RESUMEN TOTAL'!AB701</f>
        <v>0</v>
      </c>
      <c r="P569" s="70">
        <f>'RESUMEN TOTAL'!AC701</f>
        <v>0</v>
      </c>
      <c r="Q569" s="70">
        <f>'RESUMEN TOTAL'!AD701</f>
        <v>0</v>
      </c>
      <c r="R569" s="70">
        <f>'RESUMEN TOTAL'!AE701</f>
        <v>0</v>
      </c>
      <c r="S569" s="70">
        <f>'RESUMEN TOTAL'!AF701</f>
        <v>0</v>
      </c>
      <c r="T569" s="70">
        <f>'RESUMEN TOTAL'!AG701</f>
        <v>0</v>
      </c>
      <c r="U569" s="70">
        <f>'RESUMEN TOTAL'!AH701</f>
        <v>0</v>
      </c>
      <c r="V569" s="70">
        <f>'RESUMEN TOTAL'!AI701</f>
        <v>0</v>
      </c>
      <c r="W569" s="70">
        <f>'RESUMEN TOTAL'!AJ701</f>
        <v>0</v>
      </c>
      <c r="X569" s="70">
        <f>'RESUMEN TOTAL'!AK701</f>
        <v>0</v>
      </c>
      <c r="Y569" s="70">
        <f>'RESUMEN TOTAL'!AL701</f>
        <v>0</v>
      </c>
      <c r="Z569" s="70">
        <f>'RESUMEN TOTAL'!AM701</f>
        <v>0</v>
      </c>
      <c r="AA569" s="70">
        <f>'RESUMEN TOTAL'!AN701</f>
        <v>0</v>
      </c>
      <c r="AB569" s="70">
        <f>'RESUMEN TOTAL'!AO701</f>
        <v>0</v>
      </c>
      <c r="AC569" s="70">
        <f>'RESUMEN TOTAL'!AP701</f>
        <v>0</v>
      </c>
      <c r="AD569" s="70">
        <f>'RESUMEN TOTAL'!AQ701</f>
        <v>0</v>
      </c>
      <c r="AE569" s="70">
        <f>'RESUMEN TOTAL'!AR701</f>
        <v>0</v>
      </c>
      <c r="AF569" s="70">
        <f>'RESUMEN TOTAL'!AS701</f>
        <v>0</v>
      </c>
      <c r="AG569" s="70">
        <f>'RESUMEN TOTAL'!AT701</f>
        <v>0</v>
      </c>
      <c r="AH569" s="70">
        <f>'RESUMEN TOTAL'!AU701</f>
        <v>0</v>
      </c>
      <c r="AI569" s="70">
        <f>'RESUMEN TOTAL'!AV701</f>
        <v>0</v>
      </c>
      <c r="AJ569" s="70" t="e">
        <f>'RESUMEN TOTAL'!#REF!</f>
        <v>#REF!</v>
      </c>
    </row>
    <row r="570" spans="1:36" x14ac:dyDescent="0.25">
      <c r="A570">
        <f>'RESUMEN TOTAL'!F702</f>
        <v>0</v>
      </c>
      <c r="B570">
        <f>'RESUMEN TOTAL'!G702</f>
        <v>0</v>
      </c>
      <c r="C570">
        <f>'RESUMEN TOTAL'!I702</f>
        <v>0</v>
      </c>
      <c r="D570" s="30">
        <f>'RESUMEN TOTAL'!J702</f>
        <v>0</v>
      </c>
      <c r="E570" s="30">
        <f>'RESUMEN TOTAL'!K702</f>
        <v>0</v>
      </c>
      <c r="F570" s="70">
        <f>'RESUMEN TOTAL'!S702</f>
        <v>0</v>
      </c>
      <c r="G570" s="70">
        <f>'RESUMEN TOTAL'!T702</f>
        <v>0</v>
      </c>
      <c r="H570" s="70">
        <f>'RESUMEN TOTAL'!U702</f>
        <v>0</v>
      </c>
      <c r="I570" s="70">
        <f>'RESUMEN TOTAL'!V702</f>
        <v>0</v>
      </c>
      <c r="J570" s="70">
        <f>'RESUMEN TOTAL'!W702</f>
        <v>0</v>
      </c>
      <c r="K570" s="70">
        <f>'RESUMEN TOTAL'!X702</f>
        <v>0</v>
      </c>
      <c r="L570" s="70">
        <f>'RESUMEN TOTAL'!Y702</f>
        <v>0</v>
      </c>
      <c r="M570" s="70">
        <f>'RESUMEN TOTAL'!Z702</f>
        <v>0</v>
      </c>
      <c r="N570" s="70">
        <f>'RESUMEN TOTAL'!AA702</f>
        <v>0</v>
      </c>
      <c r="O570" s="70">
        <f>'RESUMEN TOTAL'!AB702</f>
        <v>0</v>
      </c>
      <c r="P570" s="70">
        <f>'RESUMEN TOTAL'!AC702</f>
        <v>0</v>
      </c>
      <c r="Q570" s="70">
        <f>'RESUMEN TOTAL'!AD702</f>
        <v>0</v>
      </c>
      <c r="R570" s="70">
        <f>'RESUMEN TOTAL'!AE702</f>
        <v>0</v>
      </c>
      <c r="S570" s="70">
        <f>'RESUMEN TOTAL'!AF702</f>
        <v>0</v>
      </c>
      <c r="T570" s="70">
        <f>'RESUMEN TOTAL'!AG702</f>
        <v>0</v>
      </c>
      <c r="U570" s="70">
        <f>'RESUMEN TOTAL'!AH702</f>
        <v>0</v>
      </c>
      <c r="V570" s="70">
        <f>'RESUMEN TOTAL'!AI702</f>
        <v>0</v>
      </c>
      <c r="W570" s="70">
        <f>'RESUMEN TOTAL'!AJ702</f>
        <v>0</v>
      </c>
      <c r="X570" s="70">
        <f>'RESUMEN TOTAL'!AK702</f>
        <v>0</v>
      </c>
      <c r="Y570" s="70">
        <f>'RESUMEN TOTAL'!AL702</f>
        <v>0</v>
      </c>
      <c r="Z570" s="70">
        <f>'RESUMEN TOTAL'!AM702</f>
        <v>0</v>
      </c>
      <c r="AA570" s="70">
        <f>'RESUMEN TOTAL'!AN702</f>
        <v>0</v>
      </c>
      <c r="AB570" s="70">
        <f>'RESUMEN TOTAL'!AO702</f>
        <v>0</v>
      </c>
      <c r="AC570" s="70">
        <f>'RESUMEN TOTAL'!AP702</f>
        <v>0</v>
      </c>
      <c r="AD570" s="70">
        <f>'RESUMEN TOTAL'!AQ702</f>
        <v>0</v>
      </c>
      <c r="AE570" s="70">
        <f>'RESUMEN TOTAL'!AR702</f>
        <v>0</v>
      </c>
      <c r="AF570" s="70">
        <f>'RESUMEN TOTAL'!AS702</f>
        <v>0</v>
      </c>
      <c r="AG570" s="70">
        <f>'RESUMEN TOTAL'!AT702</f>
        <v>0</v>
      </c>
      <c r="AH570" s="70">
        <f>'RESUMEN TOTAL'!AU702</f>
        <v>0</v>
      </c>
      <c r="AI570" s="70">
        <f>'RESUMEN TOTAL'!AV702</f>
        <v>0</v>
      </c>
      <c r="AJ570" s="70" t="e">
        <f>'RESUMEN TOTAL'!#REF!</f>
        <v>#REF!</v>
      </c>
    </row>
    <row r="571" spans="1:36" x14ac:dyDescent="0.25">
      <c r="A571">
        <f>'RESUMEN TOTAL'!F703</f>
        <v>0</v>
      </c>
      <c r="B571">
        <f>'RESUMEN TOTAL'!G703</f>
        <v>0</v>
      </c>
      <c r="C571">
        <f>'RESUMEN TOTAL'!I703</f>
        <v>0</v>
      </c>
      <c r="D571" s="30">
        <f>'RESUMEN TOTAL'!J703</f>
        <v>0</v>
      </c>
      <c r="E571" s="30">
        <f>'RESUMEN TOTAL'!K703</f>
        <v>0</v>
      </c>
      <c r="F571" s="70">
        <f>'RESUMEN TOTAL'!S703</f>
        <v>0</v>
      </c>
      <c r="G571" s="70">
        <f>'RESUMEN TOTAL'!T703</f>
        <v>0</v>
      </c>
      <c r="H571" s="70">
        <f>'RESUMEN TOTAL'!U703</f>
        <v>0</v>
      </c>
      <c r="I571" s="70">
        <f>'RESUMEN TOTAL'!V703</f>
        <v>0</v>
      </c>
      <c r="J571" s="70">
        <f>'RESUMEN TOTAL'!W703</f>
        <v>0</v>
      </c>
      <c r="K571" s="70">
        <f>'RESUMEN TOTAL'!X703</f>
        <v>0</v>
      </c>
      <c r="L571" s="70">
        <f>'RESUMEN TOTAL'!Y703</f>
        <v>0</v>
      </c>
      <c r="M571" s="70">
        <f>'RESUMEN TOTAL'!Z703</f>
        <v>0</v>
      </c>
      <c r="N571" s="70">
        <f>'RESUMEN TOTAL'!AA703</f>
        <v>0</v>
      </c>
      <c r="O571" s="70">
        <f>'RESUMEN TOTAL'!AB703</f>
        <v>0</v>
      </c>
      <c r="P571" s="70">
        <f>'RESUMEN TOTAL'!AC703</f>
        <v>0</v>
      </c>
      <c r="Q571" s="70">
        <f>'RESUMEN TOTAL'!AD703</f>
        <v>0</v>
      </c>
      <c r="R571" s="70">
        <f>'RESUMEN TOTAL'!AE703</f>
        <v>0</v>
      </c>
      <c r="S571" s="70">
        <f>'RESUMEN TOTAL'!AF703</f>
        <v>0</v>
      </c>
      <c r="T571" s="70">
        <f>'RESUMEN TOTAL'!AG703</f>
        <v>0</v>
      </c>
      <c r="U571" s="70">
        <f>'RESUMEN TOTAL'!AH703</f>
        <v>0</v>
      </c>
      <c r="V571" s="70">
        <f>'RESUMEN TOTAL'!AI703</f>
        <v>0</v>
      </c>
      <c r="W571" s="70">
        <f>'RESUMEN TOTAL'!AJ703</f>
        <v>0</v>
      </c>
      <c r="X571" s="70">
        <f>'RESUMEN TOTAL'!AK703</f>
        <v>0</v>
      </c>
      <c r="Y571" s="70">
        <f>'RESUMEN TOTAL'!AL703</f>
        <v>0</v>
      </c>
      <c r="Z571" s="70">
        <f>'RESUMEN TOTAL'!AM703</f>
        <v>0</v>
      </c>
      <c r="AA571" s="70">
        <f>'RESUMEN TOTAL'!AN703</f>
        <v>0</v>
      </c>
      <c r="AB571" s="70">
        <f>'RESUMEN TOTAL'!AO703</f>
        <v>0</v>
      </c>
      <c r="AC571" s="70">
        <f>'RESUMEN TOTAL'!AP703</f>
        <v>0</v>
      </c>
      <c r="AD571" s="70">
        <f>'RESUMEN TOTAL'!AQ703</f>
        <v>0</v>
      </c>
      <c r="AE571" s="70">
        <f>'RESUMEN TOTAL'!AR703</f>
        <v>0</v>
      </c>
      <c r="AF571" s="70">
        <f>'RESUMEN TOTAL'!AS703</f>
        <v>0</v>
      </c>
      <c r="AG571" s="70">
        <f>'RESUMEN TOTAL'!AT703</f>
        <v>0</v>
      </c>
      <c r="AH571" s="70">
        <f>'RESUMEN TOTAL'!AU703</f>
        <v>0</v>
      </c>
      <c r="AI571" s="70">
        <f>'RESUMEN TOTAL'!AV703</f>
        <v>0</v>
      </c>
      <c r="AJ571" s="70" t="e">
        <f>'RESUMEN TOTAL'!#REF!</f>
        <v>#REF!</v>
      </c>
    </row>
    <row r="572" spans="1:36" x14ac:dyDescent="0.25">
      <c r="A572">
        <f>'RESUMEN TOTAL'!F704</f>
        <v>0</v>
      </c>
      <c r="B572">
        <f>'RESUMEN TOTAL'!G704</f>
        <v>0</v>
      </c>
      <c r="C572">
        <f>'RESUMEN TOTAL'!I704</f>
        <v>0</v>
      </c>
      <c r="D572" s="30">
        <f>'RESUMEN TOTAL'!J704</f>
        <v>0</v>
      </c>
      <c r="E572" s="30">
        <f>'RESUMEN TOTAL'!K704</f>
        <v>0</v>
      </c>
      <c r="F572" s="70">
        <f>'RESUMEN TOTAL'!S704</f>
        <v>0</v>
      </c>
      <c r="G572" s="70">
        <f>'RESUMEN TOTAL'!T704</f>
        <v>0</v>
      </c>
      <c r="H572" s="70">
        <f>'RESUMEN TOTAL'!U704</f>
        <v>0</v>
      </c>
      <c r="I572" s="70">
        <f>'RESUMEN TOTAL'!V704</f>
        <v>0</v>
      </c>
      <c r="J572" s="70">
        <f>'RESUMEN TOTAL'!W704</f>
        <v>0</v>
      </c>
      <c r="K572" s="70">
        <f>'RESUMEN TOTAL'!X704</f>
        <v>0</v>
      </c>
      <c r="L572" s="70">
        <f>'RESUMEN TOTAL'!Y704</f>
        <v>0</v>
      </c>
      <c r="M572" s="70">
        <f>'RESUMEN TOTAL'!Z704</f>
        <v>0</v>
      </c>
      <c r="N572" s="70">
        <f>'RESUMEN TOTAL'!AA704</f>
        <v>0</v>
      </c>
      <c r="O572" s="70">
        <f>'RESUMEN TOTAL'!AB704</f>
        <v>0</v>
      </c>
      <c r="P572" s="70">
        <f>'RESUMEN TOTAL'!AC704</f>
        <v>0</v>
      </c>
      <c r="Q572" s="70">
        <f>'RESUMEN TOTAL'!AD704</f>
        <v>0</v>
      </c>
      <c r="R572" s="70">
        <f>'RESUMEN TOTAL'!AE704</f>
        <v>0</v>
      </c>
      <c r="S572" s="70">
        <f>'RESUMEN TOTAL'!AF704</f>
        <v>0</v>
      </c>
      <c r="T572" s="70">
        <f>'RESUMEN TOTAL'!AG704</f>
        <v>0</v>
      </c>
      <c r="U572" s="70">
        <f>'RESUMEN TOTAL'!AH704</f>
        <v>0</v>
      </c>
      <c r="V572" s="70">
        <f>'RESUMEN TOTAL'!AI704</f>
        <v>0</v>
      </c>
      <c r="W572" s="70">
        <f>'RESUMEN TOTAL'!AJ704</f>
        <v>0</v>
      </c>
      <c r="X572" s="70">
        <f>'RESUMEN TOTAL'!AK704</f>
        <v>0</v>
      </c>
      <c r="Y572" s="70">
        <f>'RESUMEN TOTAL'!AL704</f>
        <v>0</v>
      </c>
      <c r="Z572" s="70">
        <f>'RESUMEN TOTAL'!AM704</f>
        <v>0</v>
      </c>
      <c r="AA572" s="70">
        <f>'RESUMEN TOTAL'!AN704</f>
        <v>0</v>
      </c>
      <c r="AB572" s="70">
        <f>'RESUMEN TOTAL'!AO704</f>
        <v>0</v>
      </c>
      <c r="AC572" s="70">
        <f>'RESUMEN TOTAL'!AP704</f>
        <v>0</v>
      </c>
      <c r="AD572" s="70">
        <f>'RESUMEN TOTAL'!AQ704</f>
        <v>0</v>
      </c>
      <c r="AE572" s="70">
        <f>'RESUMEN TOTAL'!AR704</f>
        <v>0</v>
      </c>
      <c r="AF572" s="70">
        <f>'RESUMEN TOTAL'!AS704</f>
        <v>0</v>
      </c>
      <c r="AG572" s="70">
        <f>'RESUMEN TOTAL'!AT704</f>
        <v>0</v>
      </c>
      <c r="AH572" s="70">
        <f>'RESUMEN TOTAL'!AU704</f>
        <v>0</v>
      </c>
      <c r="AI572" s="70">
        <f>'RESUMEN TOTAL'!AV704</f>
        <v>0</v>
      </c>
      <c r="AJ572" s="70" t="e">
        <f>'RESUMEN TOTAL'!#REF!</f>
        <v>#REF!</v>
      </c>
    </row>
    <row r="573" spans="1:36" x14ac:dyDescent="0.25">
      <c r="A573">
        <f>'RESUMEN TOTAL'!F705</f>
        <v>0</v>
      </c>
      <c r="B573">
        <f>'RESUMEN TOTAL'!G705</f>
        <v>0</v>
      </c>
      <c r="C573">
        <f>'RESUMEN TOTAL'!I705</f>
        <v>0</v>
      </c>
      <c r="D573" s="30">
        <f>'RESUMEN TOTAL'!J705</f>
        <v>0</v>
      </c>
      <c r="E573" s="30">
        <f>'RESUMEN TOTAL'!K705</f>
        <v>0</v>
      </c>
      <c r="F573" s="70">
        <f>'RESUMEN TOTAL'!S705</f>
        <v>0</v>
      </c>
      <c r="G573" s="70">
        <f>'RESUMEN TOTAL'!T705</f>
        <v>0</v>
      </c>
      <c r="H573" s="70">
        <f>'RESUMEN TOTAL'!U705</f>
        <v>0</v>
      </c>
      <c r="I573" s="70">
        <f>'RESUMEN TOTAL'!V705</f>
        <v>0</v>
      </c>
      <c r="J573" s="70">
        <f>'RESUMEN TOTAL'!W705</f>
        <v>0</v>
      </c>
      <c r="K573" s="70">
        <f>'RESUMEN TOTAL'!X705</f>
        <v>0</v>
      </c>
      <c r="L573" s="70">
        <f>'RESUMEN TOTAL'!Y705</f>
        <v>0</v>
      </c>
      <c r="M573" s="70">
        <f>'RESUMEN TOTAL'!Z705</f>
        <v>0</v>
      </c>
      <c r="N573" s="70">
        <f>'RESUMEN TOTAL'!AA705</f>
        <v>0</v>
      </c>
      <c r="O573" s="70">
        <f>'RESUMEN TOTAL'!AB705</f>
        <v>0</v>
      </c>
      <c r="P573" s="70">
        <f>'RESUMEN TOTAL'!AC705</f>
        <v>0</v>
      </c>
      <c r="Q573" s="70">
        <f>'RESUMEN TOTAL'!AD705</f>
        <v>0</v>
      </c>
      <c r="R573" s="70">
        <f>'RESUMEN TOTAL'!AE705</f>
        <v>0</v>
      </c>
      <c r="S573" s="70">
        <f>'RESUMEN TOTAL'!AF705</f>
        <v>0</v>
      </c>
      <c r="T573" s="70">
        <f>'RESUMEN TOTAL'!AG705</f>
        <v>0</v>
      </c>
      <c r="U573" s="70">
        <f>'RESUMEN TOTAL'!AH705</f>
        <v>0</v>
      </c>
      <c r="V573" s="70">
        <f>'RESUMEN TOTAL'!AI705</f>
        <v>0</v>
      </c>
      <c r="W573" s="70">
        <f>'RESUMEN TOTAL'!AJ705</f>
        <v>0</v>
      </c>
      <c r="X573" s="70">
        <f>'RESUMEN TOTAL'!AK705</f>
        <v>0</v>
      </c>
      <c r="Y573" s="70">
        <f>'RESUMEN TOTAL'!AL705</f>
        <v>0</v>
      </c>
      <c r="Z573" s="70">
        <f>'RESUMEN TOTAL'!AM705</f>
        <v>0</v>
      </c>
      <c r="AA573" s="70">
        <f>'RESUMEN TOTAL'!AN705</f>
        <v>0</v>
      </c>
      <c r="AB573" s="70">
        <f>'RESUMEN TOTAL'!AO705</f>
        <v>0</v>
      </c>
      <c r="AC573" s="70">
        <f>'RESUMEN TOTAL'!AP705</f>
        <v>0</v>
      </c>
      <c r="AD573" s="70">
        <f>'RESUMEN TOTAL'!AQ705</f>
        <v>0</v>
      </c>
      <c r="AE573" s="70">
        <f>'RESUMEN TOTAL'!AR705</f>
        <v>0</v>
      </c>
      <c r="AF573" s="70">
        <f>'RESUMEN TOTAL'!AS705</f>
        <v>0</v>
      </c>
      <c r="AG573" s="70">
        <f>'RESUMEN TOTAL'!AT705</f>
        <v>0</v>
      </c>
      <c r="AH573" s="70">
        <f>'RESUMEN TOTAL'!AU705</f>
        <v>0</v>
      </c>
      <c r="AI573" s="70">
        <f>'RESUMEN TOTAL'!AV705</f>
        <v>0</v>
      </c>
      <c r="AJ573" s="70" t="e">
        <f>'RESUMEN TOTAL'!#REF!</f>
        <v>#REF!</v>
      </c>
    </row>
    <row r="574" spans="1:36" x14ac:dyDescent="0.25">
      <c r="A574">
        <f>'RESUMEN TOTAL'!F706</f>
        <v>0</v>
      </c>
      <c r="B574">
        <f>'RESUMEN TOTAL'!G706</f>
        <v>0</v>
      </c>
      <c r="C574">
        <f>'RESUMEN TOTAL'!I706</f>
        <v>0</v>
      </c>
      <c r="D574" s="30">
        <f>'RESUMEN TOTAL'!J706</f>
        <v>0</v>
      </c>
      <c r="E574" s="30">
        <f>'RESUMEN TOTAL'!K706</f>
        <v>0</v>
      </c>
      <c r="F574" s="70">
        <f>'RESUMEN TOTAL'!S706</f>
        <v>0</v>
      </c>
      <c r="G574" s="70">
        <f>'RESUMEN TOTAL'!T706</f>
        <v>0</v>
      </c>
      <c r="H574" s="70">
        <f>'RESUMEN TOTAL'!U706</f>
        <v>0</v>
      </c>
      <c r="I574" s="70">
        <f>'RESUMEN TOTAL'!V706</f>
        <v>0</v>
      </c>
      <c r="J574" s="70">
        <f>'RESUMEN TOTAL'!W706</f>
        <v>0</v>
      </c>
      <c r="K574" s="70">
        <f>'RESUMEN TOTAL'!X706</f>
        <v>0</v>
      </c>
      <c r="L574" s="70">
        <f>'RESUMEN TOTAL'!Y706</f>
        <v>0</v>
      </c>
      <c r="M574" s="70">
        <f>'RESUMEN TOTAL'!Z706</f>
        <v>0</v>
      </c>
      <c r="N574" s="70">
        <f>'RESUMEN TOTAL'!AA706</f>
        <v>0</v>
      </c>
      <c r="O574" s="70">
        <f>'RESUMEN TOTAL'!AB706</f>
        <v>0</v>
      </c>
      <c r="P574" s="70">
        <f>'RESUMEN TOTAL'!AC706</f>
        <v>0</v>
      </c>
      <c r="Q574" s="70">
        <f>'RESUMEN TOTAL'!AD706</f>
        <v>0</v>
      </c>
      <c r="R574" s="70">
        <f>'RESUMEN TOTAL'!AE706</f>
        <v>0</v>
      </c>
      <c r="S574" s="70">
        <f>'RESUMEN TOTAL'!AF706</f>
        <v>0</v>
      </c>
      <c r="T574" s="70">
        <f>'RESUMEN TOTAL'!AG706</f>
        <v>0</v>
      </c>
      <c r="U574" s="70">
        <f>'RESUMEN TOTAL'!AH706</f>
        <v>0</v>
      </c>
      <c r="V574" s="70">
        <f>'RESUMEN TOTAL'!AI706</f>
        <v>0</v>
      </c>
      <c r="W574" s="70">
        <f>'RESUMEN TOTAL'!AJ706</f>
        <v>0</v>
      </c>
      <c r="X574" s="70">
        <f>'RESUMEN TOTAL'!AK706</f>
        <v>0</v>
      </c>
      <c r="Y574" s="70">
        <f>'RESUMEN TOTAL'!AL706</f>
        <v>0</v>
      </c>
      <c r="Z574" s="70">
        <f>'RESUMEN TOTAL'!AM706</f>
        <v>0</v>
      </c>
      <c r="AA574" s="70">
        <f>'RESUMEN TOTAL'!AN706</f>
        <v>0</v>
      </c>
      <c r="AB574" s="70">
        <f>'RESUMEN TOTAL'!AO706</f>
        <v>0</v>
      </c>
      <c r="AC574" s="70">
        <f>'RESUMEN TOTAL'!AP706</f>
        <v>0</v>
      </c>
      <c r="AD574" s="70">
        <f>'RESUMEN TOTAL'!AQ706</f>
        <v>0</v>
      </c>
      <c r="AE574" s="70">
        <f>'RESUMEN TOTAL'!AR706</f>
        <v>0</v>
      </c>
      <c r="AF574" s="70">
        <f>'RESUMEN TOTAL'!AS706</f>
        <v>0</v>
      </c>
      <c r="AG574" s="70">
        <f>'RESUMEN TOTAL'!AT706</f>
        <v>0</v>
      </c>
      <c r="AH574" s="70">
        <f>'RESUMEN TOTAL'!AU706</f>
        <v>0</v>
      </c>
      <c r="AI574" s="70">
        <f>'RESUMEN TOTAL'!AV706</f>
        <v>0</v>
      </c>
      <c r="AJ574" s="70" t="e">
        <f>'RESUMEN TOTAL'!#REF!</f>
        <v>#REF!</v>
      </c>
    </row>
    <row r="575" spans="1:36" x14ac:dyDescent="0.25">
      <c r="A575">
        <f>'RESUMEN TOTAL'!F707</f>
        <v>0</v>
      </c>
      <c r="B575">
        <f>'RESUMEN TOTAL'!G707</f>
        <v>0</v>
      </c>
      <c r="C575">
        <f>'RESUMEN TOTAL'!I707</f>
        <v>0</v>
      </c>
      <c r="D575" s="30">
        <f>'RESUMEN TOTAL'!J707</f>
        <v>0</v>
      </c>
      <c r="E575" s="30">
        <f>'RESUMEN TOTAL'!K707</f>
        <v>0</v>
      </c>
      <c r="F575" s="70">
        <f>'RESUMEN TOTAL'!S707</f>
        <v>0</v>
      </c>
      <c r="G575" s="70">
        <f>'RESUMEN TOTAL'!T707</f>
        <v>0</v>
      </c>
      <c r="H575" s="70">
        <f>'RESUMEN TOTAL'!U707</f>
        <v>0</v>
      </c>
      <c r="I575" s="70">
        <f>'RESUMEN TOTAL'!V707</f>
        <v>0</v>
      </c>
      <c r="J575" s="70">
        <f>'RESUMEN TOTAL'!W707</f>
        <v>0</v>
      </c>
      <c r="K575" s="70">
        <f>'RESUMEN TOTAL'!X707</f>
        <v>0</v>
      </c>
      <c r="L575" s="70">
        <f>'RESUMEN TOTAL'!Y707</f>
        <v>0</v>
      </c>
      <c r="M575" s="70">
        <f>'RESUMEN TOTAL'!Z707</f>
        <v>0</v>
      </c>
      <c r="N575" s="70">
        <f>'RESUMEN TOTAL'!AA707</f>
        <v>0</v>
      </c>
      <c r="O575" s="70">
        <f>'RESUMEN TOTAL'!AB707</f>
        <v>0</v>
      </c>
      <c r="P575" s="70">
        <f>'RESUMEN TOTAL'!AC707</f>
        <v>0</v>
      </c>
      <c r="Q575" s="70">
        <f>'RESUMEN TOTAL'!AD707</f>
        <v>0</v>
      </c>
      <c r="R575" s="70">
        <f>'RESUMEN TOTAL'!AE707</f>
        <v>0</v>
      </c>
      <c r="S575" s="70">
        <f>'RESUMEN TOTAL'!AF707</f>
        <v>0</v>
      </c>
      <c r="T575" s="70">
        <f>'RESUMEN TOTAL'!AG707</f>
        <v>0</v>
      </c>
      <c r="U575" s="70">
        <f>'RESUMEN TOTAL'!AH707</f>
        <v>0</v>
      </c>
      <c r="V575" s="70">
        <f>'RESUMEN TOTAL'!AI707</f>
        <v>0</v>
      </c>
      <c r="W575" s="70">
        <f>'RESUMEN TOTAL'!AJ707</f>
        <v>0</v>
      </c>
      <c r="X575" s="70">
        <f>'RESUMEN TOTAL'!AK707</f>
        <v>0</v>
      </c>
      <c r="Y575" s="70">
        <f>'RESUMEN TOTAL'!AL707</f>
        <v>0</v>
      </c>
      <c r="Z575" s="70">
        <f>'RESUMEN TOTAL'!AM707</f>
        <v>0</v>
      </c>
      <c r="AA575" s="70">
        <f>'RESUMEN TOTAL'!AN707</f>
        <v>0</v>
      </c>
      <c r="AB575" s="70">
        <f>'RESUMEN TOTAL'!AO707</f>
        <v>0</v>
      </c>
      <c r="AC575" s="70">
        <f>'RESUMEN TOTAL'!AP707</f>
        <v>0</v>
      </c>
      <c r="AD575" s="70">
        <f>'RESUMEN TOTAL'!AQ707</f>
        <v>0</v>
      </c>
      <c r="AE575" s="70">
        <f>'RESUMEN TOTAL'!AR707</f>
        <v>0</v>
      </c>
      <c r="AF575" s="70">
        <f>'RESUMEN TOTAL'!AS707</f>
        <v>0</v>
      </c>
      <c r="AG575" s="70">
        <f>'RESUMEN TOTAL'!AT707</f>
        <v>0</v>
      </c>
      <c r="AH575" s="70">
        <f>'RESUMEN TOTAL'!AU707</f>
        <v>0</v>
      </c>
      <c r="AI575" s="70">
        <f>'RESUMEN TOTAL'!AV707</f>
        <v>0</v>
      </c>
      <c r="AJ575" s="70" t="e">
        <f>'RESUMEN TOTAL'!#REF!</f>
        <v>#REF!</v>
      </c>
    </row>
    <row r="576" spans="1:36" x14ac:dyDescent="0.25">
      <c r="A576">
        <f>'RESUMEN TOTAL'!F708</f>
        <v>0</v>
      </c>
      <c r="B576">
        <f>'RESUMEN TOTAL'!G708</f>
        <v>0</v>
      </c>
      <c r="C576">
        <f>'RESUMEN TOTAL'!I708</f>
        <v>0</v>
      </c>
      <c r="D576" s="30">
        <f>'RESUMEN TOTAL'!J708</f>
        <v>0</v>
      </c>
      <c r="E576" s="30">
        <f>'RESUMEN TOTAL'!K708</f>
        <v>0</v>
      </c>
      <c r="F576" s="70">
        <f>'RESUMEN TOTAL'!S708</f>
        <v>0</v>
      </c>
      <c r="G576" s="70">
        <f>'RESUMEN TOTAL'!T708</f>
        <v>0</v>
      </c>
      <c r="H576" s="70">
        <f>'RESUMEN TOTAL'!U708</f>
        <v>0</v>
      </c>
      <c r="I576" s="70">
        <f>'RESUMEN TOTAL'!V708</f>
        <v>0</v>
      </c>
      <c r="J576" s="70">
        <f>'RESUMEN TOTAL'!W708</f>
        <v>0</v>
      </c>
      <c r="K576" s="70">
        <f>'RESUMEN TOTAL'!X708</f>
        <v>0</v>
      </c>
      <c r="L576" s="70">
        <f>'RESUMEN TOTAL'!Y708</f>
        <v>0</v>
      </c>
      <c r="M576" s="70">
        <f>'RESUMEN TOTAL'!Z708</f>
        <v>0</v>
      </c>
      <c r="N576" s="70">
        <f>'RESUMEN TOTAL'!AA708</f>
        <v>0</v>
      </c>
      <c r="O576" s="70">
        <f>'RESUMEN TOTAL'!AB708</f>
        <v>0</v>
      </c>
      <c r="P576" s="70">
        <f>'RESUMEN TOTAL'!AC708</f>
        <v>0</v>
      </c>
      <c r="Q576" s="70">
        <f>'RESUMEN TOTAL'!AD708</f>
        <v>0</v>
      </c>
      <c r="R576" s="70">
        <f>'RESUMEN TOTAL'!AE708</f>
        <v>0</v>
      </c>
      <c r="S576" s="70">
        <f>'RESUMEN TOTAL'!AF708</f>
        <v>0</v>
      </c>
      <c r="T576" s="70">
        <f>'RESUMEN TOTAL'!AG708</f>
        <v>0</v>
      </c>
      <c r="U576" s="70">
        <f>'RESUMEN TOTAL'!AH708</f>
        <v>0</v>
      </c>
      <c r="V576" s="70">
        <f>'RESUMEN TOTAL'!AI708</f>
        <v>0</v>
      </c>
      <c r="W576" s="70">
        <f>'RESUMEN TOTAL'!AJ708</f>
        <v>0</v>
      </c>
      <c r="X576" s="70">
        <f>'RESUMEN TOTAL'!AK708</f>
        <v>0</v>
      </c>
      <c r="Y576" s="70">
        <f>'RESUMEN TOTAL'!AL708</f>
        <v>0</v>
      </c>
      <c r="Z576" s="70">
        <f>'RESUMEN TOTAL'!AM708</f>
        <v>0</v>
      </c>
      <c r="AA576" s="70">
        <f>'RESUMEN TOTAL'!AN708</f>
        <v>0</v>
      </c>
      <c r="AB576" s="70">
        <f>'RESUMEN TOTAL'!AO708</f>
        <v>0</v>
      </c>
      <c r="AC576" s="70">
        <f>'RESUMEN TOTAL'!AP708</f>
        <v>0</v>
      </c>
      <c r="AD576" s="70">
        <f>'RESUMEN TOTAL'!AQ708</f>
        <v>0</v>
      </c>
      <c r="AE576" s="70">
        <f>'RESUMEN TOTAL'!AR708</f>
        <v>0</v>
      </c>
      <c r="AF576" s="70">
        <f>'RESUMEN TOTAL'!AS708</f>
        <v>0</v>
      </c>
      <c r="AG576" s="70">
        <f>'RESUMEN TOTAL'!AT708</f>
        <v>0</v>
      </c>
      <c r="AH576" s="70">
        <f>'RESUMEN TOTAL'!AU708</f>
        <v>0</v>
      </c>
      <c r="AI576" s="70">
        <f>'RESUMEN TOTAL'!AV708</f>
        <v>0</v>
      </c>
      <c r="AJ576" s="70" t="e">
        <f>'RESUMEN TOTAL'!#REF!</f>
        <v>#REF!</v>
      </c>
    </row>
    <row r="577" spans="1:36" x14ac:dyDescent="0.25">
      <c r="A577">
        <f>'RESUMEN TOTAL'!F709</f>
        <v>0</v>
      </c>
      <c r="B577">
        <f>'RESUMEN TOTAL'!G709</f>
        <v>0</v>
      </c>
      <c r="C577">
        <f>'RESUMEN TOTAL'!I709</f>
        <v>0</v>
      </c>
      <c r="D577" s="30">
        <f>'RESUMEN TOTAL'!J709</f>
        <v>0</v>
      </c>
      <c r="E577" s="30">
        <f>'RESUMEN TOTAL'!K709</f>
        <v>0</v>
      </c>
      <c r="F577" s="70">
        <f>'RESUMEN TOTAL'!S709</f>
        <v>0</v>
      </c>
      <c r="G577" s="70">
        <f>'RESUMEN TOTAL'!T709</f>
        <v>0</v>
      </c>
      <c r="H577" s="70">
        <f>'RESUMEN TOTAL'!U709</f>
        <v>0</v>
      </c>
      <c r="I577" s="70">
        <f>'RESUMEN TOTAL'!V709</f>
        <v>0</v>
      </c>
      <c r="J577" s="70">
        <f>'RESUMEN TOTAL'!W709</f>
        <v>0</v>
      </c>
      <c r="K577" s="70">
        <f>'RESUMEN TOTAL'!X709</f>
        <v>0</v>
      </c>
      <c r="L577" s="70">
        <f>'RESUMEN TOTAL'!Y709</f>
        <v>0</v>
      </c>
      <c r="M577" s="70">
        <f>'RESUMEN TOTAL'!Z709</f>
        <v>0</v>
      </c>
      <c r="N577" s="70">
        <f>'RESUMEN TOTAL'!AA709</f>
        <v>0</v>
      </c>
      <c r="O577" s="70">
        <f>'RESUMEN TOTAL'!AB709</f>
        <v>0</v>
      </c>
      <c r="P577" s="70">
        <f>'RESUMEN TOTAL'!AC709</f>
        <v>0</v>
      </c>
      <c r="Q577" s="70">
        <f>'RESUMEN TOTAL'!AD709</f>
        <v>0</v>
      </c>
      <c r="R577" s="70">
        <f>'RESUMEN TOTAL'!AE709</f>
        <v>0</v>
      </c>
      <c r="S577" s="70">
        <f>'RESUMEN TOTAL'!AF709</f>
        <v>0</v>
      </c>
      <c r="T577" s="70">
        <f>'RESUMEN TOTAL'!AG709</f>
        <v>0</v>
      </c>
      <c r="U577" s="70">
        <f>'RESUMEN TOTAL'!AH709</f>
        <v>0</v>
      </c>
      <c r="V577" s="70">
        <f>'RESUMEN TOTAL'!AI709</f>
        <v>0</v>
      </c>
      <c r="W577" s="70">
        <f>'RESUMEN TOTAL'!AJ709</f>
        <v>0</v>
      </c>
      <c r="X577" s="70">
        <f>'RESUMEN TOTAL'!AK709</f>
        <v>0</v>
      </c>
      <c r="Y577" s="70">
        <f>'RESUMEN TOTAL'!AL709</f>
        <v>0</v>
      </c>
      <c r="Z577" s="70">
        <f>'RESUMEN TOTAL'!AM709</f>
        <v>0</v>
      </c>
      <c r="AA577" s="70">
        <f>'RESUMEN TOTAL'!AN709</f>
        <v>0</v>
      </c>
      <c r="AB577" s="70">
        <f>'RESUMEN TOTAL'!AO709</f>
        <v>0</v>
      </c>
      <c r="AC577" s="70">
        <f>'RESUMEN TOTAL'!AP709</f>
        <v>0</v>
      </c>
      <c r="AD577" s="70">
        <f>'RESUMEN TOTAL'!AQ709</f>
        <v>0</v>
      </c>
      <c r="AE577" s="70">
        <f>'RESUMEN TOTAL'!AR709</f>
        <v>0</v>
      </c>
      <c r="AF577" s="70">
        <f>'RESUMEN TOTAL'!AS709</f>
        <v>0</v>
      </c>
      <c r="AG577" s="70">
        <f>'RESUMEN TOTAL'!AT709</f>
        <v>0</v>
      </c>
      <c r="AH577" s="70">
        <f>'RESUMEN TOTAL'!AU709</f>
        <v>0</v>
      </c>
      <c r="AI577" s="70">
        <f>'RESUMEN TOTAL'!AV709</f>
        <v>0</v>
      </c>
      <c r="AJ577" s="70" t="e">
        <f>'RESUMEN TOTAL'!#REF!</f>
        <v>#REF!</v>
      </c>
    </row>
    <row r="578" spans="1:36" x14ac:dyDescent="0.25">
      <c r="A578">
        <f>'RESUMEN TOTAL'!F710</f>
        <v>0</v>
      </c>
      <c r="B578">
        <f>'RESUMEN TOTAL'!G710</f>
        <v>0</v>
      </c>
      <c r="C578">
        <f>'RESUMEN TOTAL'!I710</f>
        <v>0</v>
      </c>
      <c r="D578" s="30">
        <f>'RESUMEN TOTAL'!J710</f>
        <v>0</v>
      </c>
      <c r="E578" s="30">
        <f>'RESUMEN TOTAL'!K710</f>
        <v>0</v>
      </c>
      <c r="F578" s="70">
        <f>'RESUMEN TOTAL'!S710</f>
        <v>0</v>
      </c>
      <c r="G578" s="70">
        <f>'RESUMEN TOTAL'!T710</f>
        <v>0</v>
      </c>
      <c r="H578" s="70">
        <f>'RESUMEN TOTAL'!U710</f>
        <v>0</v>
      </c>
      <c r="I578" s="70">
        <f>'RESUMEN TOTAL'!V710</f>
        <v>0</v>
      </c>
      <c r="J578" s="70">
        <f>'RESUMEN TOTAL'!W710</f>
        <v>0</v>
      </c>
      <c r="K578" s="70">
        <f>'RESUMEN TOTAL'!X710</f>
        <v>0</v>
      </c>
      <c r="L578" s="70">
        <f>'RESUMEN TOTAL'!Y710</f>
        <v>0</v>
      </c>
      <c r="M578" s="70">
        <f>'RESUMEN TOTAL'!Z710</f>
        <v>0</v>
      </c>
      <c r="N578" s="70">
        <f>'RESUMEN TOTAL'!AA710</f>
        <v>0</v>
      </c>
      <c r="O578" s="70">
        <f>'RESUMEN TOTAL'!AB710</f>
        <v>0</v>
      </c>
      <c r="P578" s="70">
        <f>'RESUMEN TOTAL'!AC710</f>
        <v>0</v>
      </c>
      <c r="Q578" s="70">
        <f>'RESUMEN TOTAL'!AD710</f>
        <v>0</v>
      </c>
      <c r="R578" s="70">
        <f>'RESUMEN TOTAL'!AE710</f>
        <v>0</v>
      </c>
      <c r="S578" s="70">
        <f>'RESUMEN TOTAL'!AF710</f>
        <v>0</v>
      </c>
      <c r="T578" s="70">
        <f>'RESUMEN TOTAL'!AG710</f>
        <v>0</v>
      </c>
      <c r="U578" s="70">
        <f>'RESUMEN TOTAL'!AH710</f>
        <v>0</v>
      </c>
      <c r="V578" s="70">
        <f>'RESUMEN TOTAL'!AI710</f>
        <v>0</v>
      </c>
      <c r="W578" s="70">
        <f>'RESUMEN TOTAL'!AJ710</f>
        <v>0</v>
      </c>
      <c r="X578" s="70">
        <f>'RESUMEN TOTAL'!AK710</f>
        <v>0</v>
      </c>
      <c r="Y578" s="70">
        <f>'RESUMEN TOTAL'!AL710</f>
        <v>0</v>
      </c>
      <c r="Z578" s="70">
        <f>'RESUMEN TOTAL'!AM710</f>
        <v>0</v>
      </c>
      <c r="AA578" s="70">
        <f>'RESUMEN TOTAL'!AN710</f>
        <v>0</v>
      </c>
      <c r="AB578" s="70">
        <f>'RESUMEN TOTAL'!AO710</f>
        <v>0</v>
      </c>
      <c r="AC578" s="70">
        <f>'RESUMEN TOTAL'!AP710</f>
        <v>0</v>
      </c>
      <c r="AD578" s="70">
        <f>'RESUMEN TOTAL'!AQ710</f>
        <v>0</v>
      </c>
      <c r="AE578" s="70">
        <f>'RESUMEN TOTAL'!AR710</f>
        <v>0</v>
      </c>
      <c r="AF578" s="70">
        <f>'RESUMEN TOTAL'!AS710</f>
        <v>0</v>
      </c>
      <c r="AG578" s="70">
        <f>'RESUMEN TOTAL'!AT710</f>
        <v>0</v>
      </c>
      <c r="AH578" s="70">
        <f>'RESUMEN TOTAL'!AU710</f>
        <v>0</v>
      </c>
      <c r="AI578" s="70">
        <f>'RESUMEN TOTAL'!AV710</f>
        <v>0</v>
      </c>
      <c r="AJ578" s="70" t="e">
        <f>'RESUMEN TOTAL'!#REF!</f>
        <v>#REF!</v>
      </c>
    </row>
    <row r="579" spans="1:36" x14ac:dyDescent="0.25">
      <c r="A579">
        <f>'RESUMEN TOTAL'!F711</f>
        <v>0</v>
      </c>
      <c r="B579">
        <f>'RESUMEN TOTAL'!G711</f>
        <v>0</v>
      </c>
      <c r="C579">
        <f>'RESUMEN TOTAL'!I711</f>
        <v>0</v>
      </c>
      <c r="D579" s="30">
        <f>'RESUMEN TOTAL'!J711</f>
        <v>0</v>
      </c>
      <c r="E579" s="30">
        <f>'RESUMEN TOTAL'!K711</f>
        <v>0</v>
      </c>
      <c r="F579" s="70">
        <f>'RESUMEN TOTAL'!S711</f>
        <v>0</v>
      </c>
      <c r="G579" s="70">
        <f>'RESUMEN TOTAL'!T711</f>
        <v>0</v>
      </c>
      <c r="H579" s="70">
        <f>'RESUMEN TOTAL'!U711</f>
        <v>0</v>
      </c>
      <c r="I579" s="70">
        <f>'RESUMEN TOTAL'!V711</f>
        <v>0</v>
      </c>
      <c r="J579" s="70">
        <f>'RESUMEN TOTAL'!W711</f>
        <v>0</v>
      </c>
      <c r="K579" s="70">
        <f>'RESUMEN TOTAL'!X711</f>
        <v>0</v>
      </c>
      <c r="L579" s="70">
        <f>'RESUMEN TOTAL'!Y711</f>
        <v>0</v>
      </c>
      <c r="M579" s="70">
        <f>'RESUMEN TOTAL'!Z711</f>
        <v>0</v>
      </c>
      <c r="N579" s="70">
        <f>'RESUMEN TOTAL'!AA711</f>
        <v>0</v>
      </c>
      <c r="O579" s="70">
        <f>'RESUMEN TOTAL'!AB711</f>
        <v>0</v>
      </c>
      <c r="P579" s="70">
        <f>'RESUMEN TOTAL'!AC711</f>
        <v>0</v>
      </c>
      <c r="Q579" s="70">
        <f>'RESUMEN TOTAL'!AD711</f>
        <v>0</v>
      </c>
      <c r="R579" s="70">
        <f>'RESUMEN TOTAL'!AE711</f>
        <v>0</v>
      </c>
      <c r="S579" s="70">
        <f>'RESUMEN TOTAL'!AF711</f>
        <v>0</v>
      </c>
      <c r="T579" s="70">
        <f>'RESUMEN TOTAL'!AG711</f>
        <v>0</v>
      </c>
      <c r="U579" s="70">
        <f>'RESUMEN TOTAL'!AH711</f>
        <v>0</v>
      </c>
      <c r="V579" s="70">
        <f>'RESUMEN TOTAL'!AI711</f>
        <v>0</v>
      </c>
      <c r="W579" s="70">
        <f>'RESUMEN TOTAL'!AJ711</f>
        <v>0</v>
      </c>
      <c r="X579" s="70">
        <f>'RESUMEN TOTAL'!AK711</f>
        <v>0</v>
      </c>
      <c r="Y579" s="70">
        <f>'RESUMEN TOTAL'!AL711</f>
        <v>0</v>
      </c>
      <c r="Z579" s="70">
        <f>'RESUMEN TOTAL'!AM711</f>
        <v>0</v>
      </c>
      <c r="AA579" s="70">
        <f>'RESUMEN TOTAL'!AN711</f>
        <v>0</v>
      </c>
      <c r="AB579" s="70">
        <f>'RESUMEN TOTAL'!AO711</f>
        <v>0</v>
      </c>
      <c r="AC579" s="70">
        <f>'RESUMEN TOTAL'!AP711</f>
        <v>0</v>
      </c>
      <c r="AD579" s="70">
        <f>'RESUMEN TOTAL'!AQ711</f>
        <v>0</v>
      </c>
      <c r="AE579" s="70">
        <f>'RESUMEN TOTAL'!AR711</f>
        <v>0</v>
      </c>
      <c r="AF579" s="70">
        <f>'RESUMEN TOTAL'!AS711</f>
        <v>0</v>
      </c>
      <c r="AG579" s="70">
        <f>'RESUMEN TOTAL'!AT711</f>
        <v>0</v>
      </c>
      <c r="AH579" s="70">
        <f>'RESUMEN TOTAL'!AU711</f>
        <v>0</v>
      </c>
      <c r="AI579" s="70">
        <f>'RESUMEN TOTAL'!AV711</f>
        <v>0</v>
      </c>
      <c r="AJ579" s="70" t="e">
        <f>'RESUMEN TOTAL'!#REF!</f>
        <v>#REF!</v>
      </c>
    </row>
    <row r="580" spans="1:36" x14ac:dyDescent="0.25">
      <c r="A580">
        <f>'RESUMEN TOTAL'!F712</f>
        <v>0</v>
      </c>
      <c r="B580">
        <f>'RESUMEN TOTAL'!G712</f>
        <v>0</v>
      </c>
      <c r="C580">
        <f>'RESUMEN TOTAL'!I712</f>
        <v>0</v>
      </c>
      <c r="D580" s="30">
        <f>'RESUMEN TOTAL'!J712</f>
        <v>0</v>
      </c>
      <c r="E580" s="30">
        <f>'RESUMEN TOTAL'!K712</f>
        <v>0</v>
      </c>
      <c r="F580" s="70">
        <f>'RESUMEN TOTAL'!S712</f>
        <v>0</v>
      </c>
      <c r="G580" s="70">
        <f>'RESUMEN TOTAL'!T712</f>
        <v>0</v>
      </c>
      <c r="H580" s="70">
        <f>'RESUMEN TOTAL'!U712</f>
        <v>0</v>
      </c>
      <c r="I580" s="70">
        <f>'RESUMEN TOTAL'!V712</f>
        <v>0</v>
      </c>
      <c r="J580" s="70">
        <f>'RESUMEN TOTAL'!W712</f>
        <v>0</v>
      </c>
      <c r="K580" s="70">
        <f>'RESUMEN TOTAL'!X712</f>
        <v>0</v>
      </c>
      <c r="L580" s="70">
        <f>'RESUMEN TOTAL'!Y712</f>
        <v>0</v>
      </c>
      <c r="M580" s="70">
        <f>'RESUMEN TOTAL'!Z712</f>
        <v>0</v>
      </c>
      <c r="N580" s="70">
        <f>'RESUMEN TOTAL'!AA712</f>
        <v>0</v>
      </c>
      <c r="O580" s="70">
        <f>'RESUMEN TOTAL'!AB712</f>
        <v>0</v>
      </c>
      <c r="P580" s="70">
        <f>'RESUMEN TOTAL'!AC712</f>
        <v>0</v>
      </c>
      <c r="Q580" s="70">
        <f>'RESUMEN TOTAL'!AD712</f>
        <v>0</v>
      </c>
      <c r="R580" s="70">
        <f>'RESUMEN TOTAL'!AE712</f>
        <v>0</v>
      </c>
      <c r="S580" s="70">
        <f>'RESUMEN TOTAL'!AF712</f>
        <v>0</v>
      </c>
      <c r="T580" s="70">
        <f>'RESUMEN TOTAL'!AG712</f>
        <v>0</v>
      </c>
      <c r="U580" s="70">
        <f>'RESUMEN TOTAL'!AH712</f>
        <v>0</v>
      </c>
      <c r="V580" s="70">
        <f>'RESUMEN TOTAL'!AI712</f>
        <v>0</v>
      </c>
      <c r="W580" s="70">
        <f>'RESUMEN TOTAL'!AJ712</f>
        <v>0</v>
      </c>
      <c r="X580" s="70">
        <f>'RESUMEN TOTAL'!AK712</f>
        <v>0</v>
      </c>
      <c r="Y580" s="70">
        <f>'RESUMEN TOTAL'!AL712</f>
        <v>0</v>
      </c>
      <c r="Z580" s="70">
        <f>'RESUMEN TOTAL'!AM712</f>
        <v>0</v>
      </c>
      <c r="AA580" s="70">
        <f>'RESUMEN TOTAL'!AN712</f>
        <v>0</v>
      </c>
      <c r="AB580" s="70">
        <f>'RESUMEN TOTAL'!AO712</f>
        <v>0</v>
      </c>
      <c r="AC580" s="70">
        <f>'RESUMEN TOTAL'!AP712</f>
        <v>0</v>
      </c>
      <c r="AD580" s="70">
        <f>'RESUMEN TOTAL'!AQ712</f>
        <v>0</v>
      </c>
      <c r="AE580" s="70">
        <f>'RESUMEN TOTAL'!AR712</f>
        <v>0</v>
      </c>
      <c r="AF580" s="70">
        <f>'RESUMEN TOTAL'!AS712</f>
        <v>0</v>
      </c>
      <c r="AG580" s="70">
        <f>'RESUMEN TOTAL'!AT712</f>
        <v>0</v>
      </c>
      <c r="AH580" s="70">
        <f>'RESUMEN TOTAL'!AU712</f>
        <v>0</v>
      </c>
      <c r="AI580" s="70">
        <f>'RESUMEN TOTAL'!AV712</f>
        <v>0</v>
      </c>
      <c r="AJ580" s="70" t="e">
        <f>'RESUMEN TOTAL'!#REF!</f>
        <v>#REF!</v>
      </c>
    </row>
    <row r="581" spans="1:36" x14ac:dyDescent="0.25">
      <c r="A581">
        <f>'RESUMEN TOTAL'!F713</f>
        <v>0</v>
      </c>
      <c r="B581">
        <f>'RESUMEN TOTAL'!G713</f>
        <v>0</v>
      </c>
      <c r="C581">
        <f>'RESUMEN TOTAL'!I713</f>
        <v>0</v>
      </c>
      <c r="D581" s="30">
        <f>'RESUMEN TOTAL'!J713</f>
        <v>0</v>
      </c>
      <c r="E581" s="30">
        <f>'RESUMEN TOTAL'!K713</f>
        <v>0</v>
      </c>
      <c r="F581" s="70">
        <f>'RESUMEN TOTAL'!S713</f>
        <v>0</v>
      </c>
      <c r="G581" s="70">
        <f>'RESUMEN TOTAL'!T713</f>
        <v>0</v>
      </c>
      <c r="H581" s="70">
        <f>'RESUMEN TOTAL'!U713</f>
        <v>0</v>
      </c>
      <c r="I581" s="70">
        <f>'RESUMEN TOTAL'!V713</f>
        <v>0</v>
      </c>
      <c r="J581" s="70">
        <f>'RESUMEN TOTAL'!W713</f>
        <v>0</v>
      </c>
      <c r="K581" s="70">
        <f>'RESUMEN TOTAL'!X713</f>
        <v>0</v>
      </c>
      <c r="L581" s="70">
        <f>'RESUMEN TOTAL'!Y713</f>
        <v>0</v>
      </c>
      <c r="M581" s="70">
        <f>'RESUMEN TOTAL'!Z713</f>
        <v>0</v>
      </c>
      <c r="N581" s="70">
        <f>'RESUMEN TOTAL'!AA713</f>
        <v>0</v>
      </c>
      <c r="O581" s="70">
        <f>'RESUMEN TOTAL'!AB713</f>
        <v>0</v>
      </c>
      <c r="P581" s="70">
        <f>'RESUMEN TOTAL'!AC713</f>
        <v>0</v>
      </c>
      <c r="Q581" s="70">
        <f>'RESUMEN TOTAL'!AD713</f>
        <v>0</v>
      </c>
      <c r="R581" s="70">
        <f>'RESUMEN TOTAL'!AE713</f>
        <v>0</v>
      </c>
      <c r="S581" s="70">
        <f>'RESUMEN TOTAL'!AF713</f>
        <v>0</v>
      </c>
      <c r="T581" s="70">
        <f>'RESUMEN TOTAL'!AG713</f>
        <v>0</v>
      </c>
      <c r="U581" s="70">
        <f>'RESUMEN TOTAL'!AH713</f>
        <v>0</v>
      </c>
      <c r="V581" s="70">
        <f>'RESUMEN TOTAL'!AI713</f>
        <v>0</v>
      </c>
      <c r="W581" s="70">
        <f>'RESUMEN TOTAL'!AJ713</f>
        <v>0</v>
      </c>
      <c r="X581" s="70">
        <f>'RESUMEN TOTAL'!AK713</f>
        <v>0</v>
      </c>
      <c r="Y581" s="70">
        <f>'RESUMEN TOTAL'!AL713</f>
        <v>0</v>
      </c>
      <c r="Z581" s="70">
        <f>'RESUMEN TOTAL'!AM713</f>
        <v>0</v>
      </c>
      <c r="AA581" s="70">
        <f>'RESUMEN TOTAL'!AN713</f>
        <v>0</v>
      </c>
      <c r="AB581" s="70">
        <f>'RESUMEN TOTAL'!AO713</f>
        <v>0</v>
      </c>
      <c r="AC581" s="70">
        <f>'RESUMEN TOTAL'!AP713</f>
        <v>0</v>
      </c>
      <c r="AD581" s="70">
        <f>'RESUMEN TOTAL'!AQ713</f>
        <v>0</v>
      </c>
      <c r="AE581" s="70">
        <f>'RESUMEN TOTAL'!AR713</f>
        <v>0</v>
      </c>
      <c r="AF581" s="70">
        <f>'RESUMEN TOTAL'!AS713</f>
        <v>0</v>
      </c>
      <c r="AG581" s="70">
        <f>'RESUMEN TOTAL'!AT713</f>
        <v>0</v>
      </c>
      <c r="AH581" s="70">
        <f>'RESUMEN TOTAL'!AU713</f>
        <v>0</v>
      </c>
      <c r="AI581" s="70">
        <f>'RESUMEN TOTAL'!AV713</f>
        <v>0</v>
      </c>
      <c r="AJ581" s="70" t="e">
        <f>'RESUMEN TOTAL'!#REF!</f>
        <v>#REF!</v>
      </c>
    </row>
    <row r="582" spans="1:36" x14ac:dyDescent="0.25">
      <c r="A582">
        <f>'RESUMEN TOTAL'!F714</f>
        <v>0</v>
      </c>
      <c r="B582">
        <f>'RESUMEN TOTAL'!G714</f>
        <v>0</v>
      </c>
      <c r="C582">
        <f>'RESUMEN TOTAL'!I714</f>
        <v>0</v>
      </c>
      <c r="D582" s="30">
        <f>'RESUMEN TOTAL'!J714</f>
        <v>0</v>
      </c>
      <c r="E582" s="30">
        <f>'RESUMEN TOTAL'!K714</f>
        <v>0</v>
      </c>
      <c r="F582" s="70">
        <f>'RESUMEN TOTAL'!S714</f>
        <v>0</v>
      </c>
      <c r="G582" s="70">
        <f>'RESUMEN TOTAL'!T714</f>
        <v>0</v>
      </c>
      <c r="H582" s="70">
        <f>'RESUMEN TOTAL'!U714</f>
        <v>0</v>
      </c>
      <c r="I582" s="70">
        <f>'RESUMEN TOTAL'!V714</f>
        <v>0</v>
      </c>
      <c r="J582" s="70">
        <f>'RESUMEN TOTAL'!W714</f>
        <v>0</v>
      </c>
      <c r="K582" s="70">
        <f>'RESUMEN TOTAL'!X714</f>
        <v>0</v>
      </c>
      <c r="L582" s="70">
        <f>'RESUMEN TOTAL'!Y714</f>
        <v>0</v>
      </c>
      <c r="M582" s="70">
        <f>'RESUMEN TOTAL'!Z714</f>
        <v>0</v>
      </c>
      <c r="N582" s="70">
        <f>'RESUMEN TOTAL'!AA714</f>
        <v>0</v>
      </c>
      <c r="O582" s="70">
        <f>'RESUMEN TOTAL'!AB714</f>
        <v>0</v>
      </c>
      <c r="P582" s="70">
        <f>'RESUMEN TOTAL'!AC714</f>
        <v>0</v>
      </c>
      <c r="Q582" s="70">
        <f>'RESUMEN TOTAL'!AD714</f>
        <v>0</v>
      </c>
      <c r="R582" s="70">
        <f>'RESUMEN TOTAL'!AE714</f>
        <v>0</v>
      </c>
      <c r="S582" s="70">
        <f>'RESUMEN TOTAL'!AF714</f>
        <v>0</v>
      </c>
      <c r="T582" s="70">
        <f>'RESUMEN TOTAL'!AG714</f>
        <v>0</v>
      </c>
      <c r="U582" s="70">
        <f>'RESUMEN TOTAL'!AH714</f>
        <v>0</v>
      </c>
      <c r="V582" s="70">
        <f>'RESUMEN TOTAL'!AI714</f>
        <v>0</v>
      </c>
      <c r="W582" s="70">
        <f>'RESUMEN TOTAL'!AJ714</f>
        <v>0</v>
      </c>
      <c r="X582" s="70">
        <f>'RESUMEN TOTAL'!AK714</f>
        <v>0</v>
      </c>
      <c r="Y582" s="70">
        <f>'RESUMEN TOTAL'!AL714</f>
        <v>0</v>
      </c>
      <c r="Z582" s="70">
        <f>'RESUMEN TOTAL'!AM714</f>
        <v>0</v>
      </c>
      <c r="AA582" s="70">
        <f>'RESUMEN TOTAL'!AN714</f>
        <v>0</v>
      </c>
      <c r="AB582" s="70">
        <f>'RESUMEN TOTAL'!AO714</f>
        <v>0</v>
      </c>
      <c r="AC582" s="70">
        <f>'RESUMEN TOTAL'!AP714</f>
        <v>0</v>
      </c>
      <c r="AD582" s="70">
        <f>'RESUMEN TOTAL'!AQ714</f>
        <v>0</v>
      </c>
      <c r="AE582" s="70">
        <f>'RESUMEN TOTAL'!AR714</f>
        <v>0</v>
      </c>
      <c r="AF582" s="70">
        <f>'RESUMEN TOTAL'!AS714</f>
        <v>0</v>
      </c>
      <c r="AG582" s="70">
        <f>'RESUMEN TOTAL'!AT714</f>
        <v>0</v>
      </c>
      <c r="AH582" s="70">
        <f>'RESUMEN TOTAL'!AU714</f>
        <v>0</v>
      </c>
      <c r="AI582" s="70">
        <f>'RESUMEN TOTAL'!AV714</f>
        <v>0</v>
      </c>
      <c r="AJ582" s="70" t="e">
        <f>'RESUMEN TOTAL'!#REF!</f>
        <v>#REF!</v>
      </c>
    </row>
    <row r="583" spans="1:36" x14ac:dyDescent="0.25">
      <c r="A583">
        <f>'RESUMEN TOTAL'!F715</f>
        <v>0</v>
      </c>
      <c r="B583">
        <f>'RESUMEN TOTAL'!G715</f>
        <v>0</v>
      </c>
      <c r="C583">
        <f>'RESUMEN TOTAL'!I715</f>
        <v>0</v>
      </c>
      <c r="D583" s="30">
        <f>'RESUMEN TOTAL'!J715</f>
        <v>0</v>
      </c>
      <c r="E583" s="30">
        <f>'RESUMEN TOTAL'!K715</f>
        <v>0</v>
      </c>
      <c r="F583" s="70">
        <f>'RESUMEN TOTAL'!S715</f>
        <v>0</v>
      </c>
      <c r="G583" s="70">
        <f>'RESUMEN TOTAL'!T715</f>
        <v>0</v>
      </c>
      <c r="H583" s="70">
        <f>'RESUMEN TOTAL'!U715</f>
        <v>0</v>
      </c>
      <c r="I583" s="70">
        <f>'RESUMEN TOTAL'!V715</f>
        <v>0</v>
      </c>
      <c r="J583" s="70">
        <f>'RESUMEN TOTAL'!W715</f>
        <v>0</v>
      </c>
      <c r="K583" s="70">
        <f>'RESUMEN TOTAL'!X715</f>
        <v>0</v>
      </c>
      <c r="L583" s="70">
        <f>'RESUMEN TOTAL'!Y715</f>
        <v>0</v>
      </c>
      <c r="M583" s="70">
        <f>'RESUMEN TOTAL'!Z715</f>
        <v>0</v>
      </c>
      <c r="N583" s="70">
        <f>'RESUMEN TOTAL'!AA715</f>
        <v>0</v>
      </c>
      <c r="O583" s="70">
        <f>'RESUMEN TOTAL'!AB715</f>
        <v>0</v>
      </c>
      <c r="P583" s="70">
        <f>'RESUMEN TOTAL'!AC715</f>
        <v>0</v>
      </c>
      <c r="Q583" s="70">
        <f>'RESUMEN TOTAL'!AD715</f>
        <v>0</v>
      </c>
      <c r="R583" s="70">
        <f>'RESUMEN TOTAL'!AE715</f>
        <v>0</v>
      </c>
      <c r="S583" s="70">
        <f>'RESUMEN TOTAL'!AF715</f>
        <v>0</v>
      </c>
      <c r="T583" s="70">
        <f>'RESUMEN TOTAL'!AG715</f>
        <v>0</v>
      </c>
      <c r="U583" s="70">
        <f>'RESUMEN TOTAL'!AH715</f>
        <v>0</v>
      </c>
      <c r="V583" s="70">
        <f>'RESUMEN TOTAL'!AI715</f>
        <v>0</v>
      </c>
      <c r="W583" s="70">
        <f>'RESUMEN TOTAL'!AJ715</f>
        <v>0</v>
      </c>
      <c r="X583" s="70">
        <f>'RESUMEN TOTAL'!AK715</f>
        <v>0</v>
      </c>
      <c r="Y583" s="70">
        <f>'RESUMEN TOTAL'!AL715</f>
        <v>0</v>
      </c>
      <c r="Z583" s="70">
        <f>'RESUMEN TOTAL'!AM715</f>
        <v>0</v>
      </c>
      <c r="AA583" s="70">
        <f>'RESUMEN TOTAL'!AN715</f>
        <v>0</v>
      </c>
      <c r="AB583" s="70">
        <f>'RESUMEN TOTAL'!AO715</f>
        <v>0</v>
      </c>
      <c r="AC583" s="70">
        <f>'RESUMEN TOTAL'!AP715</f>
        <v>0</v>
      </c>
      <c r="AD583" s="70">
        <f>'RESUMEN TOTAL'!AQ715</f>
        <v>0</v>
      </c>
      <c r="AE583" s="70">
        <f>'RESUMEN TOTAL'!AR715</f>
        <v>0</v>
      </c>
      <c r="AF583" s="70">
        <f>'RESUMEN TOTAL'!AS715</f>
        <v>0</v>
      </c>
      <c r="AG583" s="70">
        <f>'RESUMEN TOTAL'!AT715</f>
        <v>0</v>
      </c>
      <c r="AH583" s="70">
        <f>'RESUMEN TOTAL'!AU715</f>
        <v>0</v>
      </c>
      <c r="AI583" s="70">
        <f>'RESUMEN TOTAL'!AV715</f>
        <v>0</v>
      </c>
      <c r="AJ583" s="70" t="e">
        <f>'RESUMEN TOTAL'!#REF!</f>
        <v>#REF!</v>
      </c>
    </row>
    <row r="584" spans="1:36" x14ac:dyDescent="0.25">
      <c r="A584">
        <f>'RESUMEN TOTAL'!F716</f>
        <v>0</v>
      </c>
      <c r="B584">
        <f>'RESUMEN TOTAL'!G716</f>
        <v>0</v>
      </c>
      <c r="C584">
        <f>'RESUMEN TOTAL'!I716</f>
        <v>0</v>
      </c>
      <c r="D584" s="30">
        <f>'RESUMEN TOTAL'!J716</f>
        <v>0</v>
      </c>
      <c r="E584" s="30">
        <f>'RESUMEN TOTAL'!K716</f>
        <v>0</v>
      </c>
      <c r="F584" s="70">
        <f>'RESUMEN TOTAL'!S716</f>
        <v>0</v>
      </c>
      <c r="G584" s="70">
        <f>'RESUMEN TOTAL'!T716</f>
        <v>0</v>
      </c>
      <c r="H584" s="70">
        <f>'RESUMEN TOTAL'!U716</f>
        <v>0</v>
      </c>
      <c r="I584" s="70">
        <f>'RESUMEN TOTAL'!V716</f>
        <v>0</v>
      </c>
      <c r="J584" s="70">
        <f>'RESUMEN TOTAL'!W716</f>
        <v>0</v>
      </c>
      <c r="K584" s="70">
        <f>'RESUMEN TOTAL'!X716</f>
        <v>0</v>
      </c>
      <c r="L584" s="70">
        <f>'RESUMEN TOTAL'!Y716</f>
        <v>0</v>
      </c>
      <c r="M584" s="70">
        <f>'RESUMEN TOTAL'!Z716</f>
        <v>0</v>
      </c>
      <c r="N584" s="70">
        <f>'RESUMEN TOTAL'!AA716</f>
        <v>0</v>
      </c>
      <c r="O584" s="70">
        <f>'RESUMEN TOTAL'!AB716</f>
        <v>0</v>
      </c>
      <c r="P584" s="70">
        <f>'RESUMEN TOTAL'!AC716</f>
        <v>0</v>
      </c>
      <c r="Q584" s="70">
        <f>'RESUMEN TOTAL'!AD716</f>
        <v>0</v>
      </c>
      <c r="R584" s="70">
        <f>'RESUMEN TOTAL'!AE716</f>
        <v>0</v>
      </c>
      <c r="S584" s="70">
        <f>'RESUMEN TOTAL'!AF716</f>
        <v>0</v>
      </c>
      <c r="T584" s="70">
        <f>'RESUMEN TOTAL'!AG716</f>
        <v>0</v>
      </c>
      <c r="U584" s="70">
        <f>'RESUMEN TOTAL'!AH716</f>
        <v>0</v>
      </c>
      <c r="V584" s="70">
        <f>'RESUMEN TOTAL'!AI716</f>
        <v>0</v>
      </c>
      <c r="W584" s="70">
        <f>'RESUMEN TOTAL'!AJ716</f>
        <v>0</v>
      </c>
      <c r="X584" s="70">
        <f>'RESUMEN TOTAL'!AK716</f>
        <v>0</v>
      </c>
      <c r="Y584" s="70">
        <f>'RESUMEN TOTAL'!AL716</f>
        <v>0</v>
      </c>
      <c r="Z584" s="70">
        <f>'RESUMEN TOTAL'!AM716</f>
        <v>0</v>
      </c>
      <c r="AA584" s="70">
        <f>'RESUMEN TOTAL'!AN716</f>
        <v>0</v>
      </c>
      <c r="AB584" s="70">
        <f>'RESUMEN TOTAL'!AO716</f>
        <v>0</v>
      </c>
      <c r="AC584" s="70">
        <f>'RESUMEN TOTAL'!AP716</f>
        <v>0</v>
      </c>
      <c r="AD584" s="70">
        <f>'RESUMEN TOTAL'!AQ716</f>
        <v>0</v>
      </c>
      <c r="AE584" s="70">
        <f>'RESUMEN TOTAL'!AR716</f>
        <v>0</v>
      </c>
      <c r="AF584" s="70">
        <f>'RESUMEN TOTAL'!AS716</f>
        <v>0</v>
      </c>
      <c r="AG584" s="70">
        <f>'RESUMEN TOTAL'!AT716</f>
        <v>0</v>
      </c>
      <c r="AH584" s="70">
        <f>'RESUMEN TOTAL'!AU716</f>
        <v>0</v>
      </c>
      <c r="AI584" s="70">
        <f>'RESUMEN TOTAL'!AV716</f>
        <v>0</v>
      </c>
      <c r="AJ584" s="70" t="e">
        <f>'RESUMEN TOTAL'!#REF!</f>
        <v>#REF!</v>
      </c>
    </row>
    <row r="585" spans="1:36" x14ac:dyDescent="0.25">
      <c r="A585">
        <f>'RESUMEN TOTAL'!F717</f>
        <v>0</v>
      </c>
      <c r="B585">
        <f>'RESUMEN TOTAL'!G717</f>
        <v>0</v>
      </c>
      <c r="C585">
        <f>'RESUMEN TOTAL'!I717</f>
        <v>0</v>
      </c>
      <c r="D585" s="30">
        <f>'RESUMEN TOTAL'!J717</f>
        <v>0</v>
      </c>
      <c r="E585" s="30">
        <f>'RESUMEN TOTAL'!K717</f>
        <v>0</v>
      </c>
      <c r="F585" s="70">
        <f>'RESUMEN TOTAL'!S717</f>
        <v>0</v>
      </c>
      <c r="G585" s="70">
        <f>'RESUMEN TOTAL'!T717</f>
        <v>0</v>
      </c>
      <c r="H585" s="70">
        <f>'RESUMEN TOTAL'!U717</f>
        <v>0</v>
      </c>
      <c r="I585" s="70">
        <f>'RESUMEN TOTAL'!V717</f>
        <v>0</v>
      </c>
      <c r="J585" s="70">
        <f>'RESUMEN TOTAL'!W717</f>
        <v>0</v>
      </c>
      <c r="K585" s="70">
        <f>'RESUMEN TOTAL'!X717</f>
        <v>0</v>
      </c>
      <c r="L585" s="70">
        <f>'RESUMEN TOTAL'!Y717</f>
        <v>0</v>
      </c>
      <c r="M585" s="70">
        <f>'RESUMEN TOTAL'!Z717</f>
        <v>0</v>
      </c>
      <c r="N585" s="70">
        <f>'RESUMEN TOTAL'!AA717</f>
        <v>0</v>
      </c>
      <c r="O585" s="70">
        <f>'RESUMEN TOTAL'!AB717</f>
        <v>0</v>
      </c>
      <c r="P585" s="70">
        <f>'RESUMEN TOTAL'!AC717</f>
        <v>0</v>
      </c>
      <c r="Q585" s="70">
        <f>'RESUMEN TOTAL'!AD717</f>
        <v>0</v>
      </c>
      <c r="R585" s="70">
        <f>'RESUMEN TOTAL'!AE717</f>
        <v>0</v>
      </c>
      <c r="S585" s="70">
        <f>'RESUMEN TOTAL'!AF717</f>
        <v>0</v>
      </c>
      <c r="T585" s="70">
        <f>'RESUMEN TOTAL'!AG717</f>
        <v>0</v>
      </c>
      <c r="U585" s="70">
        <f>'RESUMEN TOTAL'!AH717</f>
        <v>0</v>
      </c>
      <c r="V585" s="70">
        <f>'RESUMEN TOTAL'!AI717</f>
        <v>0</v>
      </c>
      <c r="W585" s="70">
        <f>'RESUMEN TOTAL'!AJ717</f>
        <v>0</v>
      </c>
      <c r="X585" s="70">
        <f>'RESUMEN TOTAL'!AK717</f>
        <v>0</v>
      </c>
      <c r="Y585" s="70">
        <f>'RESUMEN TOTAL'!AL717</f>
        <v>0</v>
      </c>
      <c r="Z585" s="70">
        <f>'RESUMEN TOTAL'!AM717</f>
        <v>0</v>
      </c>
      <c r="AA585" s="70">
        <f>'RESUMEN TOTAL'!AN717</f>
        <v>0</v>
      </c>
      <c r="AB585" s="70">
        <f>'RESUMEN TOTAL'!AO717</f>
        <v>0</v>
      </c>
      <c r="AC585" s="70">
        <f>'RESUMEN TOTAL'!AP717</f>
        <v>0</v>
      </c>
      <c r="AD585" s="70">
        <f>'RESUMEN TOTAL'!AQ717</f>
        <v>0</v>
      </c>
      <c r="AE585" s="70">
        <f>'RESUMEN TOTAL'!AR717</f>
        <v>0</v>
      </c>
      <c r="AF585" s="70">
        <f>'RESUMEN TOTAL'!AS717</f>
        <v>0</v>
      </c>
      <c r="AG585" s="70">
        <f>'RESUMEN TOTAL'!AT717</f>
        <v>0</v>
      </c>
      <c r="AH585" s="70">
        <f>'RESUMEN TOTAL'!AU717</f>
        <v>0</v>
      </c>
      <c r="AI585" s="70">
        <f>'RESUMEN TOTAL'!AV717</f>
        <v>0</v>
      </c>
      <c r="AJ585" s="70" t="e">
        <f>'RESUMEN TOTAL'!#REF!</f>
        <v>#REF!</v>
      </c>
    </row>
    <row r="586" spans="1:36" x14ac:dyDescent="0.25">
      <c r="A586">
        <f>'RESUMEN TOTAL'!F718</f>
        <v>0</v>
      </c>
      <c r="B586">
        <f>'RESUMEN TOTAL'!G718</f>
        <v>0</v>
      </c>
      <c r="C586">
        <f>'RESUMEN TOTAL'!I718</f>
        <v>0</v>
      </c>
      <c r="D586" s="30">
        <f>'RESUMEN TOTAL'!J718</f>
        <v>0</v>
      </c>
      <c r="E586" s="30">
        <f>'RESUMEN TOTAL'!K718</f>
        <v>0</v>
      </c>
      <c r="F586" s="70">
        <f>'RESUMEN TOTAL'!S718</f>
        <v>0</v>
      </c>
      <c r="G586" s="70">
        <f>'RESUMEN TOTAL'!T718</f>
        <v>0</v>
      </c>
      <c r="H586" s="70">
        <f>'RESUMEN TOTAL'!U718</f>
        <v>0</v>
      </c>
      <c r="I586" s="70">
        <f>'RESUMEN TOTAL'!V718</f>
        <v>0</v>
      </c>
      <c r="J586" s="70">
        <f>'RESUMEN TOTAL'!W718</f>
        <v>0</v>
      </c>
      <c r="K586" s="70">
        <f>'RESUMEN TOTAL'!X718</f>
        <v>0</v>
      </c>
      <c r="L586" s="70">
        <f>'RESUMEN TOTAL'!Y718</f>
        <v>0</v>
      </c>
      <c r="M586" s="70">
        <f>'RESUMEN TOTAL'!Z718</f>
        <v>0</v>
      </c>
      <c r="N586" s="70">
        <f>'RESUMEN TOTAL'!AA718</f>
        <v>0</v>
      </c>
      <c r="O586" s="70">
        <f>'RESUMEN TOTAL'!AB718</f>
        <v>0</v>
      </c>
      <c r="P586" s="70">
        <f>'RESUMEN TOTAL'!AC718</f>
        <v>0</v>
      </c>
      <c r="Q586" s="70">
        <f>'RESUMEN TOTAL'!AD718</f>
        <v>0</v>
      </c>
      <c r="R586" s="70">
        <f>'RESUMEN TOTAL'!AE718</f>
        <v>0</v>
      </c>
      <c r="S586" s="70">
        <f>'RESUMEN TOTAL'!AF718</f>
        <v>0</v>
      </c>
      <c r="T586" s="70">
        <f>'RESUMEN TOTAL'!AG718</f>
        <v>0</v>
      </c>
      <c r="U586" s="70">
        <f>'RESUMEN TOTAL'!AH718</f>
        <v>0</v>
      </c>
      <c r="V586" s="70">
        <f>'RESUMEN TOTAL'!AI718</f>
        <v>0</v>
      </c>
      <c r="W586" s="70">
        <f>'RESUMEN TOTAL'!AJ718</f>
        <v>0</v>
      </c>
      <c r="X586" s="70">
        <f>'RESUMEN TOTAL'!AK718</f>
        <v>0</v>
      </c>
      <c r="Y586" s="70">
        <f>'RESUMEN TOTAL'!AL718</f>
        <v>0</v>
      </c>
      <c r="Z586" s="70">
        <f>'RESUMEN TOTAL'!AM718</f>
        <v>0</v>
      </c>
      <c r="AA586" s="70">
        <f>'RESUMEN TOTAL'!AN718</f>
        <v>0</v>
      </c>
      <c r="AB586" s="70">
        <f>'RESUMEN TOTAL'!AO718</f>
        <v>0</v>
      </c>
      <c r="AC586" s="70">
        <f>'RESUMEN TOTAL'!AP718</f>
        <v>0</v>
      </c>
      <c r="AD586" s="70">
        <f>'RESUMEN TOTAL'!AQ718</f>
        <v>0</v>
      </c>
      <c r="AE586" s="70">
        <f>'RESUMEN TOTAL'!AR718</f>
        <v>0</v>
      </c>
      <c r="AF586" s="70">
        <f>'RESUMEN TOTAL'!AS718</f>
        <v>0</v>
      </c>
      <c r="AG586" s="70">
        <f>'RESUMEN TOTAL'!AT718</f>
        <v>0</v>
      </c>
      <c r="AH586" s="70">
        <f>'RESUMEN TOTAL'!AU718</f>
        <v>0</v>
      </c>
      <c r="AI586" s="70">
        <f>'RESUMEN TOTAL'!AV718</f>
        <v>0</v>
      </c>
      <c r="AJ586" s="70" t="e">
        <f>'RESUMEN TOTAL'!#REF!</f>
        <v>#REF!</v>
      </c>
    </row>
    <row r="587" spans="1:36" x14ac:dyDescent="0.25">
      <c r="A587">
        <f>'RESUMEN TOTAL'!F719</f>
        <v>0</v>
      </c>
      <c r="B587">
        <f>'RESUMEN TOTAL'!G719</f>
        <v>0</v>
      </c>
      <c r="C587">
        <f>'RESUMEN TOTAL'!I719</f>
        <v>0</v>
      </c>
      <c r="D587" s="30">
        <f>'RESUMEN TOTAL'!J719</f>
        <v>0</v>
      </c>
      <c r="E587" s="30">
        <f>'RESUMEN TOTAL'!K719</f>
        <v>0</v>
      </c>
      <c r="F587" s="70">
        <f>'RESUMEN TOTAL'!S719</f>
        <v>0</v>
      </c>
      <c r="G587" s="70">
        <f>'RESUMEN TOTAL'!T719</f>
        <v>0</v>
      </c>
      <c r="H587" s="70">
        <f>'RESUMEN TOTAL'!U719</f>
        <v>0</v>
      </c>
      <c r="I587" s="70">
        <f>'RESUMEN TOTAL'!V719</f>
        <v>0</v>
      </c>
      <c r="J587" s="70">
        <f>'RESUMEN TOTAL'!W719</f>
        <v>0</v>
      </c>
      <c r="K587" s="70">
        <f>'RESUMEN TOTAL'!X719</f>
        <v>0</v>
      </c>
      <c r="L587" s="70">
        <f>'RESUMEN TOTAL'!Y719</f>
        <v>0</v>
      </c>
      <c r="M587" s="70">
        <f>'RESUMEN TOTAL'!Z719</f>
        <v>0</v>
      </c>
      <c r="N587" s="70">
        <f>'RESUMEN TOTAL'!AA719</f>
        <v>0</v>
      </c>
      <c r="O587" s="70">
        <f>'RESUMEN TOTAL'!AB719</f>
        <v>0</v>
      </c>
      <c r="P587" s="70">
        <f>'RESUMEN TOTAL'!AC719</f>
        <v>0</v>
      </c>
      <c r="Q587" s="70">
        <f>'RESUMEN TOTAL'!AD719</f>
        <v>0</v>
      </c>
      <c r="R587" s="70">
        <f>'RESUMEN TOTAL'!AE719</f>
        <v>0</v>
      </c>
      <c r="S587" s="70">
        <f>'RESUMEN TOTAL'!AF719</f>
        <v>0</v>
      </c>
      <c r="T587" s="70">
        <f>'RESUMEN TOTAL'!AG719</f>
        <v>0</v>
      </c>
      <c r="U587" s="70">
        <f>'RESUMEN TOTAL'!AH719</f>
        <v>0</v>
      </c>
      <c r="V587" s="70">
        <f>'RESUMEN TOTAL'!AI719</f>
        <v>0</v>
      </c>
      <c r="W587" s="70">
        <f>'RESUMEN TOTAL'!AJ719</f>
        <v>0</v>
      </c>
      <c r="X587" s="70">
        <f>'RESUMEN TOTAL'!AK719</f>
        <v>0</v>
      </c>
      <c r="Y587" s="70">
        <f>'RESUMEN TOTAL'!AL719</f>
        <v>0</v>
      </c>
      <c r="Z587" s="70">
        <f>'RESUMEN TOTAL'!AM719</f>
        <v>0</v>
      </c>
      <c r="AA587" s="70">
        <f>'RESUMEN TOTAL'!AN719</f>
        <v>0</v>
      </c>
      <c r="AB587" s="70">
        <f>'RESUMEN TOTAL'!AO719</f>
        <v>0</v>
      </c>
      <c r="AC587" s="70">
        <f>'RESUMEN TOTAL'!AP719</f>
        <v>0</v>
      </c>
      <c r="AD587" s="70">
        <f>'RESUMEN TOTAL'!AQ719</f>
        <v>0</v>
      </c>
      <c r="AE587" s="70">
        <f>'RESUMEN TOTAL'!AR719</f>
        <v>0</v>
      </c>
      <c r="AF587" s="70">
        <f>'RESUMEN TOTAL'!AS719</f>
        <v>0</v>
      </c>
      <c r="AG587" s="70">
        <f>'RESUMEN TOTAL'!AT719</f>
        <v>0</v>
      </c>
      <c r="AH587" s="70">
        <f>'RESUMEN TOTAL'!AU719</f>
        <v>0</v>
      </c>
      <c r="AI587" s="70">
        <f>'RESUMEN TOTAL'!AV719</f>
        <v>0</v>
      </c>
      <c r="AJ587" s="70" t="e">
        <f>'RESUMEN TOTAL'!#REF!</f>
        <v>#REF!</v>
      </c>
    </row>
    <row r="588" spans="1:36" x14ac:dyDescent="0.25">
      <c r="A588">
        <f>'RESUMEN TOTAL'!F720</f>
        <v>0</v>
      </c>
      <c r="B588">
        <f>'RESUMEN TOTAL'!G720</f>
        <v>0</v>
      </c>
      <c r="C588">
        <f>'RESUMEN TOTAL'!I720</f>
        <v>0</v>
      </c>
      <c r="D588" s="30">
        <f>'RESUMEN TOTAL'!J720</f>
        <v>0</v>
      </c>
      <c r="E588" s="30">
        <f>'RESUMEN TOTAL'!K720</f>
        <v>0</v>
      </c>
      <c r="F588" s="70">
        <f>'RESUMEN TOTAL'!S720</f>
        <v>0</v>
      </c>
      <c r="G588" s="70">
        <f>'RESUMEN TOTAL'!T720</f>
        <v>0</v>
      </c>
      <c r="H588" s="70">
        <f>'RESUMEN TOTAL'!U720</f>
        <v>0</v>
      </c>
      <c r="I588" s="70">
        <f>'RESUMEN TOTAL'!V720</f>
        <v>0</v>
      </c>
      <c r="J588" s="70">
        <f>'RESUMEN TOTAL'!W720</f>
        <v>0</v>
      </c>
      <c r="K588" s="70">
        <f>'RESUMEN TOTAL'!X720</f>
        <v>0</v>
      </c>
      <c r="L588" s="70">
        <f>'RESUMEN TOTAL'!Y720</f>
        <v>0</v>
      </c>
      <c r="M588" s="70">
        <f>'RESUMEN TOTAL'!Z720</f>
        <v>0</v>
      </c>
      <c r="N588" s="70">
        <f>'RESUMEN TOTAL'!AA720</f>
        <v>0</v>
      </c>
      <c r="O588" s="70">
        <f>'RESUMEN TOTAL'!AB720</f>
        <v>0</v>
      </c>
      <c r="P588" s="70">
        <f>'RESUMEN TOTAL'!AC720</f>
        <v>0</v>
      </c>
      <c r="Q588" s="70">
        <f>'RESUMEN TOTAL'!AD720</f>
        <v>0</v>
      </c>
      <c r="R588" s="70">
        <f>'RESUMEN TOTAL'!AE720</f>
        <v>0</v>
      </c>
      <c r="S588" s="70">
        <f>'RESUMEN TOTAL'!AF720</f>
        <v>0</v>
      </c>
      <c r="T588" s="70">
        <f>'RESUMEN TOTAL'!AG720</f>
        <v>0</v>
      </c>
      <c r="U588" s="70">
        <f>'RESUMEN TOTAL'!AH720</f>
        <v>0</v>
      </c>
      <c r="V588" s="70">
        <f>'RESUMEN TOTAL'!AI720</f>
        <v>0</v>
      </c>
      <c r="W588" s="70">
        <f>'RESUMEN TOTAL'!AJ720</f>
        <v>0</v>
      </c>
      <c r="X588" s="70">
        <f>'RESUMEN TOTAL'!AK720</f>
        <v>0</v>
      </c>
      <c r="Y588" s="70">
        <f>'RESUMEN TOTAL'!AL720</f>
        <v>0</v>
      </c>
      <c r="Z588" s="70">
        <f>'RESUMEN TOTAL'!AM720</f>
        <v>0</v>
      </c>
      <c r="AA588" s="70">
        <f>'RESUMEN TOTAL'!AN720</f>
        <v>0</v>
      </c>
      <c r="AB588" s="70">
        <f>'RESUMEN TOTAL'!AO720</f>
        <v>0</v>
      </c>
      <c r="AC588" s="70">
        <f>'RESUMEN TOTAL'!AP720</f>
        <v>0</v>
      </c>
      <c r="AD588" s="70">
        <f>'RESUMEN TOTAL'!AQ720</f>
        <v>0</v>
      </c>
      <c r="AE588" s="70">
        <f>'RESUMEN TOTAL'!AR720</f>
        <v>0</v>
      </c>
      <c r="AF588" s="70">
        <f>'RESUMEN TOTAL'!AS720</f>
        <v>0</v>
      </c>
      <c r="AG588" s="70">
        <f>'RESUMEN TOTAL'!AT720</f>
        <v>0</v>
      </c>
      <c r="AH588" s="70">
        <f>'RESUMEN TOTAL'!AU720</f>
        <v>0</v>
      </c>
      <c r="AI588" s="70">
        <f>'RESUMEN TOTAL'!AV720</f>
        <v>0</v>
      </c>
      <c r="AJ588" s="70" t="e">
        <f>'RESUMEN TOTAL'!#REF!</f>
        <v>#REF!</v>
      </c>
    </row>
    <row r="589" spans="1:36" x14ac:dyDescent="0.25">
      <c r="A589">
        <f>'RESUMEN TOTAL'!F721</f>
        <v>0</v>
      </c>
      <c r="B589">
        <f>'RESUMEN TOTAL'!G721</f>
        <v>0</v>
      </c>
      <c r="C589">
        <f>'RESUMEN TOTAL'!I721</f>
        <v>0</v>
      </c>
      <c r="D589" s="30">
        <f>'RESUMEN TOTAL'!J721</f>
        <v>0</v>
      </c>
      <c r="E589" s="30">
        <f>'RESUMEN TOTAL'!K721</f>
        <v>0</v>
      </c>
      <c r="F589" s="70">
        <f>'RESUMEN TOTAL'!S721</f>
        <v>0</v>
      </c>
      <c r="G589" s="70">
        <f>'RESUMEN TOTAL'!T721</f>
        <v>0</v>
      </c>
      <c r="H589" s="70">
        <f>'RESUMEN TOTAL'!U721</f>
        <v>0</v>
      </c>
      <c r="I589" s="70">
        <f>'RESUMEN TOTAL'!V721</f>
        <v>0</v>
      </c>
      <c r="J589" s="70">
        <f>'RESUMEN TOTAL'!W721</f>
        <v>0</v>
      </c>
      <c r="K589" s="70">
        <f>'RESUMEN TOTAL'!X721</f>
        <v>0</v>
      </c>
      <c r="L589" s="70">
        <f>'RESUMEN TOTAL'!Y721</f>
        <v>0</v>
      </c>
      <c r="M589" s="70">
        <f>'RESUMEN TOTAL'!Z721</f>
        <v>0</v>
      </c>
      <c r="N589" s="70">
        <f>'RESUMEN TOTAL'!AA721</f>
        <v>0</v>
      </c>
      <c r="O589" s="70">
        <f>'RESUMEN TOTAL'!AB721</f>
        <v>0</v>
      </c>
      <c r="P589" s="70">
        <f>'RESUMEN TOTAL'!AC721</f>
        <v>0</v>
      </c>
      <c r="Q589" s="70">
        <f>'RESUMEN TOTAL'!AD721</f>
        <v>0</v>
      </c>
      <c r="R589" s="70">
        <f>'RESUMEN TOTAL'!AE721</f>
        <v>0</v>
      </c>
      <c r="S589" s="70">
        <f>'RESUMEN TOTAL'!AF721</f>
        <v>0</v>
      </c>
      <c r="T589" s="70">
        <f>'RESUMEN TOTAL'!AG721</f>
        <v>0</v>
      </c>
      <c r="U589" s="70">
        <f>'RESUMEN TOTAL'!AH721</f>
        <v>0</v>
      </c>
      <c r="V589" s="70">
        <f>'RESUMEN TOTAL'!AI721</f>
        <v>0</v>
      </c>
      <c r="W589" s="70">
        <f>'RESUMEN TOTAL'!AJ721</f>
        <v>0</v>
      </c>
      <c r="X589" s="70">
        <f>'RESUMEN TOTAL'!AK721</f>
        <v>0</v>
      </c>
      <c r="Y589" s="70">
        <f>'RESUMEN TOTAL'!AL721</f>
        <v>0</v>
      </c>
      <c r="Z589" s="70">
        <f>'RESUMEN TOTAL'!AM721</f>
        <v>0</v>
      </c>
      <c r="AA589" s="70">
        <f>'RESUMEN TOTAL'!AN721</f>
        <v>0</v>
      </c>
      <c r="AB589" s="70">
        <f>'RESUMEN TOTAL'!AO721</f>
        <v>0</v>
      </c>
      <c r="AC589" s="70">
        <f>'RESUMEN TOTAL'!AP721</f>
        <v>0</v>
      </c>
      <c r="AD589" s="70">
        <f>'RESUMEN TOTAL'!AQ721</f>
        <v>0</v>
      </c>
      <c r="AE589" s="70">
        <f>'RESUMEN TOTAL'!AR721</f>
        <v>0</v>
      </c>
      <c r="AF589" s="70">
        <f>'RESUMEN TOTAL'!AS721</f>
        <v>0</v>
      </c>
      <c r="AG589" s="70">
        <f>'RESUMEN TOTAL'!AT721</f>
        <v>0</v>
      </c>
      <c r="AH589" s="70">
        <f>'RESUMEN TOTAL'!AU721</f>
        <v>0</v>
      </c>
      <c r="AI589" s="70">
        <f>'RESUMEN TOTAL'!AV721</f>
        <v>0</v>
      </c>
      <c r="AJ589" s="70" t="e">
        <f>'RESUMEN TOTAL'!#REF!</f>
        <v>#REF!</v>
      </c>
    </row>
    <row r="590" spans="1:36" x14ac:dyDescent="0.25">
      <c r="A590">
        <f>'RESUMEN TOTAL'!F722</f>
        <v>0</v>
      </c>
      <c r="B590">
        <f>'RESUMEN TOTAL'!G722</f>
        <v>0</v>
      </c>
      <c r="C590">
        <f>'RESUMEN TOTAL'!I722</f>
        <v>0</v>
      </c>
      <c r="D590" s="30">
        <f>'RESUMEN TOTAL'!J722</f>
        <v>0</v>
      </c>
      <c r="E590" s="30">
        <f>'RESUMEN TOTAL'!K722</f>
        <v>0</v>
      </c>
      <c r="F590" s="70">
        <f>'RESUMEN TOTAL'!S722</f>
        <v>0</v>
      </c>
      <c r="G590" s="70">
        <f>'RESUMEN TOTAL'!T722</f>
        <v>0</v>
      </c>
      <c r="H590" s="70">
        <f>'RESUMEN TOTAL'!U722</f>
        <v>0</v>
      </c>
      <c r="I590" s="70">
        <f>'RESUMEN TOTAL'!V722</f>
        <v>0</v>
      </c>
      <c r="J590" s="70">
        <f>'RESUMEN TOTAL'!W722</f>
        <v>0</v>
      </c>
      <c r="K590" s="70">
        <f>'RESUMEN TOTAL'!X722</f>
        <v>0</v>
      </c>
      <c r="L590" s="70">
        <f>'RESUMEN TOTAL'!Y722</f>
        <v>0</v>
      </c>
      <c r="M590" s="70">
        <f>'RESUMEN TOTAL'!Z722</f>
        <v>0</v>
      </c>
      <c r="N590" s="70">
        <f>'RESUMEN TOTAL'!AA722</f>
        <v>0</v>
      </c>
      <c r="O590" s="70">
        <f>'RESUMEN TOTAL'!AB722</f>
        <v>0</v>
      </c>
      <c r="P590" s="70">
        <f>'RESUMEN TOTAL'!AC722</f>
        <v>0</v>
      </c>
      <c r="Q590" s="70">
        <f>'RESUMEN TOTAL'!AD722</f>
        <v>0</v>
      </c>
      <c r="R590" s="70">
        <f>'RESUMEN TOTAL'!AE722</f>
        <v>0</v>
      </c>
      <c r="S590" s="70">
        <f>'RESUMEN TOTAL'!AF722</f>
        <v>0</v>
      </c>
      <c r="T590" s="70">
        <f>'RESUMEN TOTAL'!AG722</f>
        <v>0</v>
      </c>
      <c r="U590" s="70">
        <f>'RESUMEN TOTAL'!AH722</f>
        <v>0</v>
      </c>
      <c r="V590" s="70">
        <f>'RESUMEN TOTAL'!AI722</f>
        <v>0</v>
      </c>
      <c r="W590" s="70">
        <f>'RESUMEN TOTAL'!AJ722</f>
        <v>0</v>
      </c>
      <c r="X590" s="70">
        <f>'RESUMEN TOTAL'!AK722</f>
        <v>0</v>
      </c>
      <c r="Y590" s="70">
        <f>'RESUMEN TOTAL'!AL722</f>
        <v>0</v>
      </c>
      <c r="Z590" s="70">
        <f>'RESUMEN TOTAL'!AM722</f>
        <v>0</v>
      </c>
      <c r="AA590" s="70">
        <f>'RESUMEN TOTAL'!AN722</f>
        <v>0</v>
      </c>
      <c r="AB590" s="70">
        <f>'RESUMEN TOTAL'!AO722</f>
        <v>0</v>
      </c>
      <c r="AC590" s="70">
        <f>'RESUMEN TOTAL'!AP722</f>
        <v>0</v>
      </c>
      <c r="AD590" s="70">
        <f>'RESUMEN TOTAL'!AQ722</f>
        <v>0</v>
      </c>
      <c r="AE590" s="70">
        <f>'RESUMEN TOTAL'!AR722</f>
        <v>0</v>
      </c>
      <c r="AF590" s="70">
        <f>'RESUMEN TOTAL'!AS722</f>
        <v>0</v>
      </c>
      <c r="AG590" s="70">
        <f>'RESUMEN TOTAL'!AT722</f>
        <v>0</v>
      </c>
      <c r="AH590" s="70">
        <f>'RESUMEN TOTAL'!AU722</f>
        <v>0</v>
      </c>
      <c r="AI590" s="70">
        <f>'RESUMEN TOTAL'!AV722</f>
        <v>0</v>
      </c>
      <c r="AJ590" s="70" t="e">
        <f>'RESUMEN TOTAL'!#REF!</f>
        <v>#REF!</v>
      </c>
    </row>
    <row r="591" spans="1:36" x14ac:dyDescent="0.25">
      <c r="A591">
        <f>'RESUMEN TOTAL'!F723</f>
        <v>0</v>
      </c>
      <c r="B591">
        <f>'RESUMEN TOTAL'!G723</f>
        <v>0</v>
      </c>
      <c r="C591">
        <f>'RESUMEN TOTAL'!I723</f>
        <v>0</v>
      </c>
      <c r="D591" s="30">
        <f>'RESUMEN TOTAL'!J723</f>
        <v>0</v>
      </c>
      <c r="E591" s="30">
        <f>'RESUMEN TOTAL'!K723</f>
        <v>0</v>
      </c>
      <c r="F591" s="70">
        <f>'RESUMEN TOTAL'!S723</f>
        <v>0</v>
      </c>
      <c r="G591" s="70">
        <f>'RESUMEN TOTAL'!T723</f>
        <v>0</v>
      </c>
      <c r="H591" s="70">
        <f>'RESUMEN TOTAL'!U723</f>
        <v>0</v>
      </c>
      <c r="I591" s="70">
        <f>'RESUMEN TOTAL'!V723</f>
        <v>0</v>
      </c>
      <c r="J591" s="70">
        <f>'RESUMEN TOTAL'!W723</f>
        <v>0</v>
      </c>
      <c r="K591" s="70">
        <f>'RESUMEN TOTAL'!X723</f>
        <v>0</v>
      </c>
      <c r="L591" s="70">
        <f>'RESUMEN TOTAL'!Y723</f>
        <v>0</v>
      </c>
      <c r="M591" s="70">
        <f>'RESUMEN TOTAL'!Z723</f>
        <v>0</v>
      </c>
      <c r="N591" s="70">
        <f>'RESUMEN TOTAL'!AA723</f>
        <v>0</v>
      </c>
      <c r="O591" s="70">
        <f>'RESUMEN TOTAL'!AB723</f>
        <v>0</v>
      </c>
      <c r="P591" s="70">
        <f>'RESUMEN TOTAL'!AC723</f>
        <v>0</v>
      </c>
      <c r="Q591" s="70">
        <f>'RESUMEN TOTAL'!AD723</f>
        <v>0</v>
      </c>
      <c r="R591" s="70">
        <f>'RESUMEN TOTAL'!AE723</f>
        <v>0</v>
      </c>
      <c r="S591" s="70">
        <f>'RESUMEN TOTAL'!AF723</f>
        <v>0</v>
      </c>
      <c r="T591" s="70">
        <f>'RESUMEN TOTAL'!AG723</f>
        <v>0</v>
      </c>
      <c r="U591" s="70">
        <f>'RESUMEN TOTAL'!AH723</f>
        <v>0</v>
      </c>
      <c r="V591" s="70">
        <f>'RESUMEN TOTAL'!AI723</f>
        <v>0</v>
      </c>
      <c r="W591" s="70">
        <f>'RESUMEN TOTAL'!AJ723</f>
        <v>0</v>
      </c>
      <c r="X591" s="70">
        <f>'RESUMEN TOTAL'!AK723</f>
        <v>0</v>
      </c>
      <c r="Y591" s="70">
        <f>'RESUMEN TOTAL'!AL723</f>
        <v>0</v>
      </c>
      <c r="Z591" s="70">
        <f>'RESUMEN TOTAL'!AM723</f>
        <v>0</v>
      </c>
      <c r="AA591" s="70">
        <f>'RESUMEN TOTAL'!AN723</f>
        <v>0</v>
      </c>
      <c r="AB591" s="70">
        <f>'RESUMEN TOTAL'!AO723</f>
        <v>0</v>
      </c>
      <c r="AC591" s="70">
        <f>'RESUMEN TOTAL'!AP723</f>
        <v>0</v>
      </c>
      <c r="AD591" s="70">
        <f>'RESUMEN TOTAL'!AQ723</f>
        <v>0</v>
      </c>
      <c r="AE591" s="70">
        <f>'RESUMEN TOTAL'!AR723</f>
        <v>0</v>
      </c>
      <c r="AF591" s="70">
        <f>'RESUMEN TOTAL'!AS723</f>
        <v>0</v>
      </c>
      <c r="AG591" s="70">
        <f>'RESUMEN TOTAL'!AT723</f>
        <v>0</v>
      </c>
      <c r="AH591" s="70">
        <f>'RESUMEN TOTAL'!AU723</f>
        <v>0</v>
      </c>
      <c r="AI591" s="70">
        <f>'RESUMEN TOTAL'!AV723</f>
        <v>0</v>
      </c>
      <c r="AJ591" s="70" t="e">
        <f>'RESUMEN TOTAL'!#REF!</f>
        <v>#REF!</v>
      </c>
    </row>
    <row r="592" spans="1:36" x14ac:dyDescent="0.25">
      <c r="A592">
        <f>'RESUMEN TOTAL'!F724</f>
        <v>0</v>
      </c>
      <c r="B592">
        <f>'RESUMEN TOTAL'!G724</f>
        <v>0</v>
      </c>
      <c r="C592">
        <f>'RESUMEN TOTAL'!I724</f>
        <v>0</v>
      </c>
      <c r="D592" s="30">
        <f>'RESUMEN TOTAL'!J724</f>
        <v>0</v>
      </c>
      <c r="E592" s="30">
        <f>'RESUMEN TOTAL'!K724</f>
        <v>0</v>
      </c>
      <c r="F592" s="70">
        <f>'RESUMEN TOTAL'!S724</f>
        <v>0</v>
      </c>
      <c r="G592" s="70">
        <f>'RESUMEN TOTAL'!T724</f>
        <v>0</v>
      </c>
      <c r="H592" s="70">
        <f>'RESUMEN TOTAL'!U724</f>
        <v>0</v>
      </c>
      <c r="I592" s="70">
        <f>'RESUMEN TOTAL'!V724</f>
        <v>0</v>
      </c>
      <c r="J592" s="70">
        <f>'RESUMEN TOTAL'!W724</f>
        <v>0</v>
      </c>
      <c r="K592" s="70">
        <f>'RESUMEN TOTAL'!X724</f>
        <v>0</v>
      </c>
      <c r="L592" s="70">
        <f>'RESUMEN TOTAL'!Y724</f>
        <v>0</v>
      </c>
      <c r="M592" s="70">
        <f>'RESUMEN TOTAL'!Z724</f>
        <v>0</v>
      </c>
      <c r="N592" s="70">
        <f>'RESUMEN TOTAL'!AA724</f>
        <v>0</v>
      </c>
      <c r="O592" s="70">
        <f>'RESUMEN TOTAL'!AB724</f>
        <v>0</v>
      </c>
      <c r="P592" s="70">
        <f>'RESUMEN TOTAL'!AC724</f>
        <v>0</v>
      </c>
      <c r="Q592" s="70">
        <f>'RESUMEN TOTAL'!AD724</f>
        <v>0</v>
      </c>
      <c r="R592" s="70">
        <f>'RESUMEN TOTAL'!AE724</f>
        <v>0</v>
      </c>
      <c r="S592" s="70">
        <f>'RESUMEN TOTAL'!AF724</f>
        <v>0</v>
      </c>
      <c r="T592" s="70">
        <f>'RESUMEN TOTAL'!AG724</f>
        <v>0</v>
      </c>
      <c r="U592" s="70">
        <f>'RESUMEN TOTAL'!AH724</f>
        <v>0</v>
      </c>
      <c r="V592" s="70">
        <f>'RESUMEN TOTAL'!AI724</f>
        <v>0</v>
      </c>
      <c r="W592" s="70">
        <f>'RESUMEN TOTAL'!AJ724</f>
        <v>0</v>
      </c>
      <c r="X592" s="70">
        <f>'RESUMEN TOTAL'!AK724</f>
        <v>0</v>
      </c>
      <c r="Y592" s="70">
        <f>'RESUMEN TOTAL'!AL724</f>
        <v>0</v>
      </c>
      <c r="Z592" s="70">
        <f>'RESUMEN TOTAL'!AM724</f>
        <v>0</v>
      </c>
      <c r="AA592" s="70">
        <f>'RESUMEN TOTAL'!AN724</f>
        <v>0</v>
      </c>
      <c r="AB592" s="70">
        <f>'RESUMEN TOTAL'!AO724</f>
        <v>0</v>
      </c>
      <c r="AC592" s="70">
        <f>'RESUMEN TOTAL'!AP724</f>
        <v>0</v>
      </c>
      <c r="AD592" s="70">
        <f>'RESUMEN TOTAL'!AQ724</f>
        <v>0</v>
      </c>
      <c r="AE592" s="70">
        <f>'RESUMEN TOTAL'!AR724</f>
        <v>0</v>
      </c>
      <c r="AF592" s="70">
        <f>'RESUMEN TOTAL'!AS724</f>
        <v>0</v>
      </c>
      <c r="AG592" s="70">
        <f>'RESUMEN TOTAL'!AT724</f>
        <v>0</v>
      </c>
      <c r="AH592" s="70">
        <f>'RESUMEN TOTAL'!AU724</f>
        <v>0</v>
      </c>
      <c r="AI592" s="70">
        <f>'RESUMEN TOTAL'!AV724</f>
        <v>0</v>
      </c>
      <c r="AJ592" s="70" t="e">
        <f>'RESUMEN TOTAL'!#REF!</f>
        <v>#REF!</v>
      </c>
    </row>
    <row r="593" spans="1:36" x14ac:dyDescent="0.25">
      <c r="A593">
        <f>'RESUMEN TOTAL'!F725</f>
        <v>0</v>
      </c>
      <c r="B593">
        <f>'RESUMEN TOTAL'!G725</f>
        <v>0</v>
      </c>
      <c r="C593">
        <f>'RESUMEN TOTAL'!I725</f>
        <v>0</v>
      </c>
      <c r="D593" s="30">
        <f>'RESUMEN TOTAL'!J725</f>
        <v>0</v>
      </c>
      <c r="E593" s="30">
        <f>'RESUMEN TOTAL'!K725</f>
        <v>0</v>
      </c>
      <c r="F593" s="70">
        <f>'RESUMEN TOTAL'!S725</f>
        <v>0</v>
      </c>
      <c r="G593" s="70">
        <f>'RESUMEN TOTAL'!T725</f>
        <v>0</v>
      </c>
      <c r="H593" s="70">
        <f>'RESUMEN TOTAL'!U725</f>
        <v>0</v>
      </c>
      <c r="I593" s="70">
        <f>'RESUMEN TOTAL'!V725</f>
        <v>0</v>
      </c>
      <c r="J593" s="70">
        <f>'RESUMEN TOTAL'!W725</f>
        <v>0</v>
      </c>
      <c r="K593" s="70">
        <f>'RESUMEN TOTAL'!X725</f>
        <v>0</v>
      </c>
      <c r="L593" s="70">
        <f>'RESUMEN TOTAL'!Y725</f>
        <v>0</v>
      </c>
      <c r="M593" s="70">
        <f>'RESUMEN TOTAL'!Z725</f>
        <v>0</v>
      </c>
      <c r="N593" s="70">
        <f>'RESUMEN TOTAL'!AA725</f>
        <v>0</v>
      </c>
      <c r="O593" s="70">
        <f>'RESUMEN TOTAL'!AB725</f>
        <v>0</v>
      </c>
      <c r="P593" s="70">
        <f>'RESUMEN TOTAL'!AC725</f>
        <v>0</v>
      </c>
      <c r="Q593" s="70">
        <f>'RESUMEN TOTAL'!AD725</f>
        <v>0</v>
      </c>
      <c r="R593" s="70">
        <f>'RESUMEN TOTAL'!AE725</f>
        <v>0</v>
      </c>
      <c r="S593" s="70">
        <f>'RESUMEN TOTAL'!AF725</f>
        <v>0</v>
      </c>
      <c r="T593" s="70">
        <f>'RESUMEN TOTAL'!AG725</f>
        <v>0</v>
      </c>
      <c r="U593" s="70">
        <f>'RESUMEN TOTAL'!AH725</f>
        <v>0</v>
      </c>
      <c r="V593" s="70">
        <f>'RESUMEN TOTAL'!AI725</f>
        <v>0</v>
      </c>
      <c r="W593" s="70">
        <f>'RESUMEN TOTAL'!AJ725</f>
        <v>0</v>
      </c>
      <c r="X593" s="70">
        <f>'RESUMEN TOTAL'!AK725</f>
        <v>0</v>
      </c>
      <c r="Y593" s="70">
        <f>'RESUMEN TOTAL'!AL725</f>
        <v>0</v>
      </c>
      <c r="Z593" s="70">
        <f>'RESUMEN TOTAL'!AM725</f>
        <v>0</v>
      </c>
      <c r="AA593" s="70">
        <f>'RESUMEN TOTAL'!AN725</f>
        <v>0</v>
      </c>
      <c r="AB593" s="70">
        <f>'RESUMEN TOTAL'!AO725</f>
        <v>0</v>
      </c>
      <c r="AC593" s="70">
        <f>'RESUMEN TOTAL'!AP725</f>
        <v>0</v>
      </c>
      <c r="AD593" s="70">
        <f>'RESUMEN TOTAL'!AQ725</f>
        <v>0</v>
      </c>
      <c r="AE593" s="70">
        <f>'RESUMEN TOTAL'!AR725</f>
        <v>0</v>
      </c>
      <c r="AF593" s="70">
        <f>'RESUMEN TOTAL'!AS725</f>
        <v>0</v>
      </c>
      <c r="AG593" s="70">
        <f>'RESUMEN TOTAL'!AT725</f>
        <v>0</v>
      </c>
      <c r="AH593" s="70">
        <f>'RESUMEN TOTAL'!AU725</f>
        <v>0</v>
      </c>
      <c r="AI593" s="70">
        <f>'RESUMEN TOTAL'!AV725</f>
        <v>0</v>
      </c>
      <c r="AJ593" s="70" t="e">
        <f>'RESUMEN TOTAL'!#REF!</f>
        <v>#REF!</v>
      </c>
    </row>
    <row r="594" spans="1:36" x14ac:dyDescent="0.25">
      <c r="A594">
        <f>'RESUMEN TOTAL'!F726</f>
        <v>0</v>
      </c>
      <c r="B594">
        <f>'RESUMEN TOTAL'!G726</f>
        <v>0</v>
      </c>
      <c r="C594">
        <f>'RESUMEN TOTAL'!I726</f>
        <v>0</v>
      </c>
      <c r="D594" s="30">
        <f>'RESUMEN TOTAL'!J726</f>
        <v>0</v>
      </c>
      <c r="E594" s="30">
        <f>'RESUMEN TOTAL'!K726</f>
        <v>0</v>
      </c>
      <c r="F594" s="70">
        <f>'RESUMEN TOTAL'!S726</f>
        <v>0</v>
      </c>
      <c r="G594" s="70">
        <f>'RESUMEN TOTAL'!T726</f>
        <v>0</v>
      </c>
      <c r="H594" s="70">
        <f>'RESUMEN TOTAL'!U726</f>
        <v>0</v>
      </c>
      <c r="I594" s="70">
        <f>'RESUMEN TOTAL'!V726</f>
        <v>0</v>
      </c>
      <c r="J594" s="70">
        <f>'RESUMEN TOTAL'!W726</f>
        <v>0</v>
      </c>
      <c r="K594" s="70">
        <f>'RESUMEN TOTAL'!X726</f>
        <v>0</v>
      </c>
      <c r="L594" s="70">
        <f>'RESUMEN TOTAL'!Y726</f>
        <v>0</v>
      </c>
      <c r="M594" s="70">
        <f>'RESUMEN TOTAL'!Z726</f>
        <v>0</v>
      </c>
      <c r="N594" s="70">
        <f>'RESUMEN TOTAL'!AA726</f>
        <v>0</v>
      </c>
      <c r="O594" s="70">
        <f>'RESUMEN TOTAL'!AB726</f>
        <v>0</v>
      </c>
      <c r="P594" s="70">
        <f>'RESUMEN TOTAL'!AC726</f>
        <v>0</v>
      </c>
      <c r="Q594" s="70">
        <f>'RESUMEN TOTAL'!AD726</f>
        <v>0</v>
      </c>
      <c r="R594" s="70">
        <f>'RESUMEN TOTAL'!AE726</f>
        <v>0</v>
      </c>
      <c r="S594" s="70">
        <f>'RESUMEN TOTAL'!AF726</f>
        <v>0</v>
      </c>
      <c r="T594" s="70">
        <f>'RESUMEN TOTAL'!AG726</f>
        <v>0</v>
      </c>
      <c r="U594" s="70">
        <f>'RESUMEN TOTAL'!AH726</f>
        <v>0</v>
      </c>
      <c r="V594" s="70">
        <f>'RESUMEN TOTAL'!AI726</f>
        <v>0</v>
      </c>
      <c r="W594" s="70">
        <f>'RESUMEN TOTAL'!AJ726</f>
        <v>0</v>
      </c>
      <c r="X594" s="70">
        <f>'RESUMEN TOTAL'!AK726</f>
        <v>0</v>
      </c>
      <c r="Y594" s="70">
        <f>'RESUMEN TOTAL'!AL726</f>
        <v>0</v>
      </c>
      <c r="Z594" s="70">
        <f>'RESUMEN TOTAL'!AM726</f>
        <v>0</v>
      </c>
      <c r="AA594" s="70">
        <f>'RESUMEN TOTAL'!AN726</f>
        <v>0</v>
      </c>
      <c r="AB594" s="70">
        <f>'RESUMEN TOTAL'!AO726</f>
        <v>0</v>
      </c>
      <c r="AC594" s="70">
        <f>'RESUMEN TOTAL'!AP726</f>
        <v>0</v>
      </c>
      <c r="AD594" s="70">
        <f>'RESUMEN TOTAL'!AQ726</f>
        <v>0</v>
      </c>
      <c r="AE594" s="70">
        <f>'RESUMEN TOTAL'!AR726</f>
        <v>0</v>
      </c>
      <c r="AF594" s="70">
        <f>'RESUMEN TOTAL'!AS726</f>
        <v>0</v>
      </c>
      <c r="AG594" s="70">
        <f>'RESUMEN TOTAL'!AT726</f>
        <v>0</v>
      </c>
      <c r="AH594" s="70">
        <f>'RESUMEN TOTAL'!AU726</f>
        <v>0</v>
      </c>
      <c r="AI594" s="70">
        <f>'RESUMEN TOTAL'!AV726</f>
        <v>0</v>
      </c>
      <c r="AJ594" s="70" t="e">
        <f>'RESUMEN TOTAL'!#REF!</f>
        <v>#REF!</v>
      </c>
    </row>
    <row r="595" spans="1:36" x14ac:dyDescent="0.25">
      <c r="A595">
        <f>'RESUMEN TOTAL'!F727</f>
        <v>0</v>
      </c>
      <c r="B595">
        <f>'RESUMEN TOTAL'!G727</f>
        <v>0</v>
      </c>
      <c r="C595">
        <f>'RESUMEN TOTAL'!I727</f>
        <v>0</v>
      </c>
      <c r="D595" s="30">
        <f>'RESUMEN TOTAL'!J727</f>
        <v>0</v>
      </c>
      <c r="E595" s="30">
        <f>'RESUMEN TOTAL'!K727</f>
        <v>0</v>
      </c>
      <c r="F595" s="70">
        <f>'RESUMEN TOTAL'!S727</f>
        <v>0</v>
      </c>
      <c r="G595" s="70">
        <f>'RESUMEN TOTAL'!T727</f>
        <v>0</v>
      </c>
      <c r="H595" s="70">
        <f>'RESUMEN TOTAL'!U727</f>
        <v>0</v>
      </c>
      <c r="I595" s="70">
        <f>'RESUMEN TOTAL'!V727</f>
        <v>0</v>
      </c>
      <c r="J595" s="70">
        <f>'RESUMEN TOTAL'!W727</f>
        <v>0</v>
      </c>
      <c r="K595" s="70">
        <f>'RESUMEN TOTAL'!X727</f>
        <v>0</v>
      </c>
      <c r="L595" s="70">
        <f>'RESUMEN TOTAL'!Y727</f>
        <v>0</v>
      </c>
      <c r="M595" s="70">
        <f>'RESUMEN TOTAL'!Z727</f>
        <v>0</v>
      </c>
      <c r="N595" s="70">
        <f>'RESUMEN TOTAL'!AA727</f>
        <v>0</v>
      </c>
      <c r="O595" s="70">
        <f>'RESUMEN TOTAL'!AB727</f>
        <v>0</v>
      </c>
      <c r="P595" s="70">
        <f>'RESUMEN TOTAL'!AC727</f>
        <v>0</v>
      </c>
      <c r="Q595" s="70">
        <f>'RESUMEN TOTAL'!AD727</f>
        <v>0</v>
      </c>
      <c r="R595" s="70">
        <f>'RESUMEN TOTAL'!AE727</f>
        <v>0</v>
      </c>
      <c r="S595" s="70">
        <f>'RESUMEN TOTAL'!AF727</f>
        <v>0</v>
      </c>
      <c r="T595" s="70">
        <f>'RESUMEN TOTAL'!AG727</f>
        <v>0</v>
      </c>
      <c r="U595" s="70">
        <f>'RESUMEN TOTAL'!AH727</f>
        <v>0</v>
      </c>
      <c r="V595" s="70">
        <f>'RESUMEN TOTAL'!AI727</f>
        <v>0</v>
      </c>
      <c r="W595" s="70">
        <f>'RESUMEN TOTAL'!AJ727</f>
        <v>0</v>
      </c>
      <c r="X595" s="70">
        <f>'RESUMEN TOTAL'!AK727</f>
        <v>0</v>
      </c>
      <c r="Y595" s="70">
        <f>'RESUMEN TOTAL'!AL727</f>
        <v>0</v>
      </c>
      <c r="Z595" s="70">
        <f>'RESUMEN TOTAL'!AM727</f>
        <v>0</v>
      </c>
      <c r="AA595" s="70">
        <f>'RESUMEN TOTAL'!AN727</f>
        <v>0</v>
      </c>
      <c r="AB595" s="70">
        <f>'RESUMEN TOTAL'!AO727</f>
        <v>0</v>
      </c>
      <c r="AC595" s="70">
        <f>'RESUMEN TOTAL'!AP727</f>
        <v>0</v>
      </c>
      <c r="AD595" s="70">
        <f>'RESUMEN TOTAL'!AQ727</f>
        <v>0</v>
      </c>
      <c r="AE595" s="70">
        <f>'RESUMEN TOTAL'!AR727</f>
        <v>0</v>
      </c>
      <c r="AF595" s="70">
        <f>'RESUMEN TOTAL'!AS727</f>
        <v>0</v>
      </c>
      <c r="AG595" s="70">
        <f>'RESUMEN TOTAL'!AT727</f>
        <v>0</v>
      </c>
      <c r="AH595" s="70">
        <f>'RESUMEN TOTAL'!AU727</f>
        <v>0</v>
      </c>
      <c r="AI595" s="70">
        <f>'RESUMEN TOTAL'!AV727</f>
        <v>0</v>
      </c>
      <c r="AJ595" s="70" t="e">
        <f>'RESUMEN TOTAL'!#REF!</f>
        <v>#REF!</v>
      </c>
    </row>
    <row r="596" spans="1:36" x14ac:dyDescent="0.25">
      <c r="A596">
        <f>'RESUMEN TOTAL'!F728</f>
        <v>0</v>
      </c>
      <c r="B596">
        <f>'RESUMEN TOTAL'!G728</f>
        <v>0</v>
      </c>
      <c r="C596">
        <f>'RESUMEN TOTAL'!I728</f>
        <v>0</v>
      </c>
      <c r="D596" s="30">
        <f>'RESUMEN TOTAL'!J728</f>
        <v>0</v>
      </c>
      <c r="E596" s="30">
        <f>'RESUMEN TOTAL'!K728</f>
        <v>0</v>
      </c>
      <c r="F596" s="70">
        <f>'RESUMEN TOTAL'!S728</f>
        <v>0</v>
      </c>
      <c r="G596" s="70">
        <f>'RESUMEN TOTAL'!T728</f>
        <v>0</v>
      </c>
      <c r="H596" s="70">
        <f>'RESUMEN TOTAL'!U728</f>
        <v>0</v>
      </c>
      <c r="I596" s="70">
        <f>'RESUMEN TOTAL'!V728</f>
        <v>0</v>
      </c>
      <c r="J596" s="70">
        <f>'RESUMEN TOTAL'!W728</f>
        <v>0</v>
      </c>
      <c r="K596" s="70">
        <f>'RESUMEN TOTAL'!X728</f>
        <v>0</v>
      </c>
      <c r="L596" s="70">
        <f>'RESUMEN TOTAL'!Y728</f>
        <v>0</v>
      </c>
      <c r="M596" s="70">
        <f>'RESUMEN TOTAL'!Z728</f>
        <v>0</v>
      </c>
      <c r="N596" s="70">
        <f>'RESUMEN TOTAL'!AA728</f>
        <v>0</v>
      </c>
      <c r="O596" s="70">
        <f>'RESUMEN TOTAL'!AB728</f>
        <v>0</v>
      </c>
      <c r="P596" s="70">
        <f>'RESUMEN TOTAL'!AC728</f>
        <v>0</v>
      </c>
      <c r="Q596" s="70">
        <f>'RESUMEN TOTAL'!AD728</f>
        <v>0</v>
      </c>
      <c r="R596" s="70">
        <f>'RESUMEN TOTAL'!AE728</f>
        <v>0</v>
      </c>
      <c r="S596" s="70">
        <f>'RESUMEN TOTAL'!AF728</f>
        <v>0</v>
      </c>
      <c r="T596" s="70">
        <f>'RESUMEN TOTAL'!AG728</f>
        <v>0</v>
      </c>
      <c r="U596" s="70">
        <f>'RESUMEN TOTAL'!AH728</f>
        <v>0</v>
      </c>
      <c r="V596" s="70">
        <f>'RESUMEN TOTAL'!AI728</f>
        <v>0</v>
      </c>
      <c r="W596" s="70">
        <f>'RESUMEN TOTAL'!AJ728</f>
        <v>0</v>
      </c>
      <c r="X596" s="70">
        <f>'RESUMEN TOTAL'!AK728</f>
        <v>0</v>
      </c>
      <c r="Y596" s="70">
        <f>'RESUMEN TOTAL'!AL728</f>
        <v>0</v>
      </c>
      <c r="Z596" s="70">
        <f>'RESUMEN TOTAL'!AM728</f>
        <v>0</v>
      </c>
      <c r="AA596" s="70">
        <f>'RESUMEN TOTAL'!AN728</f>
        <v>0</v>
      </c>
      <c r="AB596" s="70">
        <f>'RESUMEN TOTAL'!AO728</f>
        <v>0</v>
      </c>
      <c r="AC596" s="70">
        <f>'RESUMEN TOTAL'!AP728</f>
        <v>0</v>
      </c>
      <c r="AD596" s="70">
        <f>'RESUMEN TOTAL'!AQ728</f>
        <v>0</v>
      </c>
      <c r="AE596" s="70">
        <f>'RESUMEN TOTAL'!AR728</f>
        <v>0</v>
      </c>
      <c r="AF596" s="70">
        <f>'RESUMEN TOTAL'!AS728</f>
        <v>0</v>
      </c>
      <c r="AG596" s="70">
        <f>'RESUMEN TOTAL'!AT728</f>
        <v>0</v>
      </c>
      <c r="AH596" s="70">
        <f>'RESUMEN TOTAL'!AU728</f>
        <v>0</v>
      </c>
      <c r="AI596" s="70">
        <f>'RESUMEN TOTAL'!AV728</f>
        <v>0</v>
      </c>
      <c r="AJ596" s="70" t="e">
        <f>'RESUMEN TOTAL'!#REF!</f>
        <v>#REF!</v>
      </c>
    </row>
    <row r="597" spans="1:36" x14ac:dyDescent="0.25">
      <c r="A597">
        <f>'RESUMEN TOTAL'!F729</f>
        <v>0</v>
      </c>
      <c r="B597">
        <f>'RESUMEN TOTAL'!G729</f>
        <v>0</v>
      </c>
      <c r="C597">
        <f>'RESUMEN TOTAL'!I729</f>
        <v>0</v>
      </c>
      <c r="D597" s="30">
        <f>'RESUMEN TOTAL'!J729</f>
        <v>0</v>
      </c>
      <c r="E597" s="30">
        <f>'RESUMEN TOTAL'!K729</f>
        <v>0</v>
      </c>
      <c r="F597" s="70">
        <f>'RESUMEN TOTAL'!S729</f>
        <v>0</v>
      </c>
      <c r="G597" s="70">
        <f>'RESUMEN TOTAL'!T729</f>
        <v>0</v>
      </c>
      <c r="H597" s="70">
        <f>'RESUMEN TOTAL'!U729</f>
        <v>0</v>
      </c>
      <c r="I597" s="70">
        <f>'RESUMEN TOTAL'!V729</f>
        <v>0</v>
      </c>
      <c r="J597" s="70">
        <f>'RESUMEN TOTAL'!W729</f>
        <v>0</v>
      </c>
      <c r="K597" s="70">
        <f>'RESUMEN TOTAL'!X729</f>
        <v>0</v>
      </c>
      <c r="L597" s="70">
        <f>'RESUMEN TOTAL'!Y729</f>
        <v>0</v>
      </c>
      <c r="M597" s="70">
        <f>'RESUMEN TOTAL'!Z729</f>
        <v>0</v>
      </c>
      <c r="N597" s="70">
        <f>'RESUMEN TOTAL'!AA729</f>
        <v>0</v>
      </c>
      <c r="O597" s="70">
        <f>'RESUMEN TOTAL'!AB729</f>
        <v>0</v>
      </c>
      <c r="P597" s="70">
        <f>'RESUMEN TOTAL'!AC729</f>
        <v>0</v>
      </c>
      <c r="Q597" s="70">
        <f>'RESUMEN TOTAL'!AD729</f>
        <v>0</v>
      </c>
      <c r="R597" s="70">
        <f>'RESUMEN TOTAL'!AE729</f>
        <v>0</v>
      </c>
      <c r="S597" s="70">
        <f>'RESUMEN TOTAL'!AF729</f>
        <v>0</v>
      </c>
      <c r="T597" s="70">
        <f>'RESUMEN TOTAL'!AG729</f>
        <v>0</v>
      </c>
      <c r="U597" s="70">
        <f>'RESUMEN TOTAL'!AH729</f>
        <v>0</v>
      </c>
      <c r="V597" s="70">
        <f>'RESUMEN TOTAL'!AI729</f>
        <v>0</v>
      </c>
      <c r="W597" s="70">
        <f>'RESUMEN TOTAL'!AJ729</f>
        <v>0</v>
      </c>
      <c r="X597" s="70">
        <f>'RESUMEN TOTAL'!AK729</f>
        <v>0</v>
      </c>
      <c r="Y597" s="70">
        <f>'RESUMEN TOTAL'!AL729</f>
        <v>0</v>
      </c>
      <c r="Z597" s="70">
        <f>'RESUMEN TOTAL'!AM729</f>
        <v>0</v>
      </c>
      <c r="AA597" s="70">
        <f>'RESUMEN TOTAL'!AN729</f>
        <v>0</v>
      </c>
      <c r="AB597" s="70">
        <f>'RESUMEN TOTAL'!AO729</f>
        <v>0</v>
      </c>
      <c r="AC597" s="70">
        <f>'RESUMEN TOTAL'!AP729</f>
        <v>0</v>
      </c>
      <c r="AD597" s="70">
        <f>'RESUMEN TOTAL'!AQ729</f>
        <v>0</v>
      </c>
      <c r="AE597" s="70">
        <f>'RESUMEN TOTAL'!AR729</f>
        <v>0</v>
      </c>
      <c r="AF597" s="70">
        <f>'RESUMEN TOTAL'!AS729</f>
        <v>0</v>
      </c>
      <c r="AG597" s="70">
        <f>'RESUMEN TOTAL'!AT729</f>
        <v>0</v>
      </c>
      <c r="AH597" s="70">
        <f>'RESUMEN TOTAL'!AU729</f>
        <v>0</v>
      </c>
      <c r="AI597" s="70">
        <f>'RESUMEN TOTAL'!AV729</f>
        <v>0</v>
      </c>
      <c r="AJ597" s="70" t="e">
        <f>'RESUMEN TOTAL'!#REF!</f>
        <v>#REF!</v>
      </c>
    </row>
    <row r="598" spans="1:36" x14ac:dyDescent="0.25">
      <c r="A598">
        <f>'RESUMEN TOTAL'!F730</f>
        <v>0</v>
      </c>
      <c r="B598">
        <f>'RESUMEN TOTAL'!G730</f>
        <v>0</v>
      </c>
      <c r="C598">
        <f>'RESUMEN TOTAL'!I730</f>
        <v>0</v>
      </c>
      <c r="D598" s="30">
        <f>'RESUMEN TOTAL'!J730</f>
        <v>0</v>
      </c>
      <c r="E598" s="30">
        <f>'RESUMEN TOTAL'!K730</f>
        <v>0</v>
      </c>
      <c r="F598" s="70">
        <f>'RESUMEN TOTAL'!S730</f>
        <v>0</v>
      </c>
      <c r="G598" s="70">
        <f>'RESUMEN TOTAL'!T730</f>
        <v>0</v>
      </c>
      <c r="H598" s="70">
        <f>'RESUMEN TOTAL'!U730</f>
        <v>0</v>
      </c>
      <c r="I598" s="70">
        <f>'RESUMEN TOTAL'!V730</f>
        <v>0</v>
      </c>
      <c r="J598" s="70">
        <f>'RESUMEN TOTAL'!W730</f>
        <v>0</v>
      </c>
      <c r="K598" s="70">
        <f>'RESUMEN TOTAL'!X730</f>
        <v>0</v>
      </c>
      <c r="L598" s="70">
        <f>'RESUMEN TOTAL'!Y730</f>
        <v>0</v>
      </c>
      <c r="M598" s="70">
        <f>'RESUMEN TOTAL'!Z730</f>
        <v>0</v>
      </c>
      <c r="N598" s="70">
        <f>'RESUMEN TOTAL'!AA730</f>
        <v>0</v>
      </c>
      <c r="O598" s="70">
        <f>'RESUMEN TOTAL'!AB730</f>
        <v>0</v>
      </c>
      <c r="P598" s="70">
        <f>'RESUMEN TOTAL'!AC730</f>
        <v>0</v>
      </c>
      <c r="Q598" s="70">
        <f>'RESUMEN TOTAL'!AD730</f>
        <v>0</v>
      </c>
      <c r="R598" s="70">
        <f>'RESUMEN TOTAL'!AE730</f>
        <v>0</v>
      </c>
      <c r="S598" s="70">
        <f>'RESUMEN TOTAL'!AF730</f>
        <v>0</v>
      </c>
      <c r="T598" s="70">
        <f>'RESUMEN TOTAL'!AG730</f>
        <v>0</v>
      </c>
      <c r="U598" s="70">
        <f>'RESUMEN TOTAL'!AH730</f>
        <v>0</v>
      </c>
      <c r="V598" s="70">
        <f>'RESUMEN TOTAL'!AI730</f>
        <v>0</v>
      </c>
      <c r="W598" s="70">
        <f>'RESUMEN TOTAL'!AJ730</f>
        <v>0</v>
      </c>
      <c r="X598" s="70">
        <f>'RESUMEN TOTAL'!AK730</f>
        <v>0</v>
      </c>
      <c r="Y598" s="70">
        <f>'RESUMEN TOTAL'!AL730</f>
        <v>0</v>
      </c>
      <c r="Z598" s="70">
        <f>'RESUMEN TOTAL'!AM730</f>
        <v>0</v>
      </c>
      <c r="AA598" s="70">
        <f>'RESUMEN TOTAL'!AN730</f>
        <v>0</v>
      </c>
      <c r="AB598" s="70">
        <f>'RESUMEN TOTAL'!AO730</f>
        <v>0</v>
      </c>
      <c r="AC598" s="70">
        <f>'RESUMEN TOTAL'!AP730</f>
        <v>0</v>
      </c>
      <c r="AD598" s="70">
        <f>'RESUMEN TOTAL'!AQ730</f>
        <v>0</v>
      </c>
      <c r="AE598" s="70">
        <f>'RESUMEN TOTAL'!AR730</f>
        <v>0</v>
      </c>
      <c r="AF598" s="70">
        <f>'RESUMEN TOTAL'!AS730</f>
        <v>0</v>
      </c>
      <c r="AG598" s="70">
        <f>'RESUMEN TOTAL'!AT730</f>
        <v>0</v>
      </c>
      <c r="AH598" s="70">
        <f>'RESUMEN TOTAL'!AU730</f>
        <v>0</v>
      </c>
      <c r="AI598" s="70">
        <f>'RESUMEN TOTAL'!AV730</f>
        <v>0</v>
      </c>
      <c r="AJ598" s="70" t="e">
        <f>'RESUMEN TOTAL'!#REF!</f>
        <v>#REF!</v>
      </c>
    </row>
    <row r="599" spans="1:36" x14ac:dyDescent="0.25">
      <c r="A599">
        <f>'RESUMEN TOTAL'!F731</f>
        <v>0</v>
      </c>
      <c r="B599">
        <f>'RESUMEN TOTAL'!G731</f>
        <v>0</v>
      </c>
      <c r="C599">
        <f>'RESUMEN TOTAL'!I731</f>
        <v>0</v>
      </c>
      <c r="D599" s="30">
        <f>'RESUMEN TOTAL'!J731</f>
        <v>0</v>
      </c>
      <c r="E599" s="30">
        <f>'RESUMEN TOTAL'!K731</f>
        <v>0</v>
      </c>
      <c r="F599" s="70">
        <f>'RESUMEN TOTAL'!S731</f>
        <v>0</v>
      </c>
      <c r="G599" s="70">
        <f>'RESUMEN TOTAL'!T731</f>
        <v>0</v>
      </c>
      <c r="H599" s="70">
        <f>'RESUMEN TOTAL'!U731</f>
        <v>0</v>
      </c>
      <c r="I599" s="70">
        <f>'RESUMEN TOTAL'!V731</f>
        <v>0</v>
      </c>
      <c r="J599" s="70">
        <f>'RESUMEN TOTAL'!W731</f>
        <v>0</v>
      </c>
      <c r="K599" s="70">
        <f>'RESUMEN TOTAL'!X731</f>
        <v>0</v>
      </c>
      <c r="L599" s="70">
        <f>'RESUMEN TOTAL'!Y731</f>
        <v>0</v>
      </c>
      <c r="M599" s="70">
        <f>'RESUMEN TOTAL'!Z731</f>
        <v>0</v>
      </c>
      <c r="N599" s="70">
        <f>'RESUMEN TOTAL'!AA731</f>
        <v>0</v>
      </c>
      <c r="O599" s="70">
        <f>'RESUMEN TOTAL'!AB731</f>
        <v>0</v>
      </c>
      <c r="P599" s="70">
        <f>'RESUMEN TOTAL'!AC731</f>
        <v>0</v>
      </c>
      <c r="Q599" s="70">
        <f>'RESUMEN TOTAL'!AD731</f>
        <v>0</v>
      </c>
      <c r="R599" s="70">
        <f>'RESUMEN TOTAL'!AE731</f>
        <v>0</v>
      </c>
      <c r="S599" s="70">
        <f>'RESUMEN TOTAL'!AF731</f>
        <v>0</v>
      </c>
      <c r="T599" s="70">
        <f>'RESUMEN TOTAL'!AG731</f>
        <v>0</v>
      </c>
      <c r="U599" s="70">
        <f>'RESUMEN TOTAL'!AH731</f>
        <v>0</v>
      </c>
      <c r="V599" s="70">
        <f>'RESUMEN TOTAL'!AI731</f>
        <v>0</v>
      </c>
      <c r="W599" s="70">
        <f>'RESUMEN TOTAL'!AJ731</f>
        <v>0</v>
      </c>
      <c r="X599" s="70">
        <f>'RESUMEN TOTAL'!AK731</f>
        <v>0</v>
      </c>
      <c r="Y599" s="70">
        <f>'RESUMEN TOTAL'!AL731</f>
        <v>0</v>
      </c>
      <c r="Z599" s="70">
        <f>'RESUMEN TOTAL'!AM731</f>
        <v>0</v>
      </c>
      <c r="AA599" s="70">
        <f>'RESUMEN TOTAL'!AN731</f>
        <v>0</v>
      </c>
      <c r="AB599" s="70">
        <f>'RESUMEN TOTAL'!AO731</f>
        <v>0</v>
      </c>
      <c r="AC599" s="70">
        <f>'RESUMEN TOTAL'!AP731</f>
        <v>0</v>
      </c>
      <c r="AD599" s="70">
        <f>'RESUMEN TOTAL'!AQ731</f>
        <v>0</v>
      </c>
      <c r="AE599" s="70">
        <f>'RESUMEN TOTAL'!AR731</f>
        <v>0</v>
      </c>
      <c r="AF599" s="70">
        <f>'RESUMEN TOTAL'!AS731</f>
        <v>0</v>
      </c>
      <c r="AG599" s="70">
        <f>'RESUMEN TOTAL'!AT731</f>
        <v>0</v>
      </c>
      <c r="AH599" s="70">
        <f>'RESUMEN TOTAL'!AU731</f>
        <v>0</v>
      </c>
      <c r="AI599" s="70">
        <f>'RESUMEN TOTAL'!AV731</f>
        <v>0</v>
      </c>
      <c r="AJ599" s="70" t="e">
        <f>'RESUMEN TOTAL'!#REF!</f>
        <v>#REF!</v>
      </c>
    </row>
    <row r="600" spans="1:36" x14ac:dyDescent="0.25">
      <c r="A600">
        <f>'RESUMEN TOTAL'!F732</f>
        <v>0</v>
      </c>
      <c r="B600">
        <f>'RESUMEN TOTAL'!G732</f>
        <v>0</v>
      </c>
      <c r="C600">
        <f>'RESUMEN TOTAL'!I732</f>
        <v>0</v>
      </c>
      <c r="D600" s="30">
        <f>'RESUMEN TOTAL'!J732</f>
        <v>0</v>
      </c>
      <c r="E600" s="30">
        <f>'RESUMEN TOTAL'!K732</f>
        <v>0</v>
      </c>
      <c r="F600" s="70">
        <f>'RESUMEN TOTAL'!S732</f>
        <v>0</v>
      </c>
      <c r="G600" s="70">
        <f>'RESUMEN TOTAL'!T732</f>
        <v>0</v>
      </c>
      <c r="H600" s="70">
        <f>'RESUMEN TOTAL'!U732</f>
        <v>0</v>
      </c>
      <c r="I600" s="70">
        <f>'RESUMEN TOTAL'!V732</f>
        <v>0</v>
      </c>
      <c r="J600" s="70">
        <f>'RESUMEN TOTAL'!W732</f>
        <v>0</v>
      </c>
      <c r="K600" s="70">
        <f>'RESUMEN TOTAL'!X732</f>
        <v>0</v>
      </c>
      <c r="L600" s="70">
        <f>'RESUMEN TOTAL'!Y732</f>
        <v>0</v>
      </c>
      <c r="M600" s="70">
        <f>'RESUMEN TOTAL'!Z732</f>
        <v>0</v>
      </c>
      <c r="N600" s="70">
        <f>'RESUMEN TOTAL'!AA732</f>
        <v>0</v>
      </c>
      <c r="O600" s="70">
        <f>'RESUMEN TOTAL'!AB732</f>
        <v>0</v>
      </c>
      <c r="P600" s="70">
        <f>'RESUMEN TOTAL'!AC732</f>
        <v>0</v>
      </c>
      <c r="Q600" s="70">
        <f>'RESUMEN TOTAL'!AD732</f>
        <v>0</v>
      </c>
      <c r="R600" s="70">
        <f>'RESUMEN TOTAL'!AE732</f>
        <v>0</v>
      </c>
      <c r="S600" s="70">
        <f>'RESUMEN TOTAL'!AF732</f>
        <v>0</v>
      </c>
      <c r="T600" s="70">
        <f>'RESUMEN TOTAL'!AG732</f>
        <v>0</v>
      </c>
      <c r="U600" s="70">
        <f>'RESUMEN TOTAL'!AH732</f>
        <v>0</v>
      </c>
      <c r="V600" s="70">
        <f>'RESUMEN TOTAL'!AI732</f>
        <v>0</v>
      </c>
      <c r="W600" s="70">
        <f>'RESUMEN TOTAL'!AJ732</f>
        <v>0</v>
      </c>
      <c r="X600" s="70">
        <f>'RESUMEN TOTAL'!AK732</f>
        <v>0</v>
      </c>
      <c r="Y600" s="70">
        <f>'RESUMEN TOTAL'!AL732</f>
        <v>0</v>
      </c>
      <c r="Z600" s="70">
        <f>'RESUMEN TOTAL'!AM732</f>
        <v>0</v>
      </c>
      <c r="AA600" s="70">
        <f>'RESUMEN TOTAL'!AN732</f>
        <v>0</v>
      </c>
      <c r="AB600" s="70">
        <f>'RESUMEN TOTAL'!AO732</f>
        <v>0</v>
      </c>
      <c r="AC600" s="70">
        <f>'RESUMEN TOTAL'!AP732</f>
        <v>0</v>
      </c>
      <c r="AD600" s="70">
        <f>'RESUMEN TOTAL'!AQ732</f>
        <v>0</v>
      </c>
      <c r="AE600" s="70">
        <f>'RESUMEN TOTAL'!AR732</f>
        <v>0</v>
      </c>
      <c r="AF600" s="70">
        <f>'RESUMEN TOTAL'!AS732</f>
        <v>0</v>
      </c>
      <c r="AG600" s="70">
        <f>'RESUMEN TOTAL'!AT732</f>
        <v>0</v>
      </c>
      <c r="AH600" s="70">
        <f>'RESUMEN TOTAL'!AU732</f>
        <v>0</v>
      </c>
      <c r="AI600" s="70">
        <f>'RESUMEN TOTAL'!AV732</f>
        <v>0</v>
      </c>
      <c r="AJ600" s="70" t="e">
        <f>'RESUMEN TOTAL'!#REF!</f>
        <v>#REF!</v>
      </c>
    </row>
    <row r="601" spans="1:36" x14ac:dyDescent="0.25">
      <c r="A601">
        <f>'RESUMEN TOTAL'!F733</f>
        <v>0</v>
      </c>
      <c r="B601">
        <f>'RESUMEN TOTAL'!G733</f>
        <v>0</v>
      </c>
      <c r="C601">
        <f>'RESUMEN TOTAL'!I733</f>
        <v>0</v>
      </c>
      <c r="D601" s="30">
        <f>'RESUMEN TOTAL'!J733</f>
        <v>0</v>
      </c>
      <c r="E601" s="30">
        <f>'RESUMEN TOTAL'!K733</f>
        <v>0</v>
      </c>
      <c r="F601" s="70">
        <f>'RESUMEN TOTAL'!S733</f>
        <v>0</v>
      </c>
      <c r="G601" s="70">
        <f>'RESUMEN TOTAL'!T733</f>
        <v>0</v>
      </c>
      <c r="H601" s="70">
        <f>'RESUMEN TOTAL'!U733</f>
        <v>0</v>
      </c>
      <c r="I601" s="70">
        <f>'RESUMEN TOTAL'!V733</f>
        <v>0</v>
      </c>
      <c r="J601" s="70">
        <f>'RESUMEN TOTAL'!W733</f>
        <v>0</v>
      </c>
      <c r="K601" s="70">
        <f>'RESUMEN TOTAL'!X733</f>
        <v>0</v>
      </c>
      <c r="L601" s="70">
        <f>'RESUMEN TOTAL'!Y733</f>
        <v>0</v>
      </c>
      <c r="M601" s="70">
        <f>'RESUMEN TOTAL'!Z733</f>
        <v>0</v>
      </c>
      <c r="N601" s="70">
        <f>'RESUMEN TOTAL'!AA733</f>
        <v>0</v>
      </c>
      <c r="O601" s="70">
        <f>'RESUMEN TOTAL'!AB733</f>
        <v>0</v>
      </c>
      <c r="P601" s="70">
        <f>'RESUMEN TOTAL'!AC733</f>
        <v>0</v>
      </c>
      <c r="Q601" s="70">
        <f>'RESUMEN TOTAL'!AD733</f>
        <v>0</v>
      </c>
      <c r="R601" s="70">
        <f>'RESUMEN TOTAL'!AE733</f>
        <v>0</v>
      </c>
      <c r="S601" s="70">
        <f>'RESUMEN TOTAL'!AF733</f>
        <v>0</v>
      </c>
      <c r="T601" s="70">
        <f>'RESUMEN TOTAL'!AG733</f>
        <v>0</v>
      </c>
      <c r="U601" s="70">
        <f>'RESUMEN TOTAL'!AH733</f>
        <v>0</v>
      </c>
      <c r="V601" s="70">
        <f>'RESUMEN TOTAL'!AI733</f>
        <v>0</v>
      </c>
      <c r="W601" s="70">
        <f>'RESUMEN TOTAL'!AJ733</f>
        <v>0</v>
      </c>
      <c r="X601" s="70">
        <f>'RESUMEN TOTAL'!AK733</f>
        <v>0</v>
      </c>
      <c r="Y601" s="70">
        <f>'RESUMEN TOTAL'!AL733</f>
        <v>0</v>
      </c>
      <c r="Z601" s="70">
        <f>'RESUMEN TOTAL'!AM733</f>
        <v>0</v>
      </c>
      <c r="AA601" s="70">
        <f>'RESUMEN TOTAL'!AN733</f>
        <v>0</v>
      </c>
      <c r="AB601" s="70">
        <f>'RESUMEN TOTAL'!AO733</f>
        <v>0</v>
      </c>
      <c r="AC601" s="70">
        <f>'RESUMEN TOTAL'!AP733</f>
        <v>0</v>
      </c>
      <c r="AD601" s="70">
        <f>'RESUMEN TOTAL'!AQ733</f>
        <v>0</v>
      </c>
      <c r="AE601" s="70">
        <f>'RESUMEN TOTAL'!AR733</f>
        <v>0</v>
      </c>
      <c r="AF601" s="70">
        <f>'RESUMEN TOTAL'!AS733</f>
        <v>0</v>
      </c>
      <c r="AG601" s="70">
        <f>'RESUMEN TOTAL'!AT733</f>
        <v>0</v>
      </c>
      <c r="AH601" s="70">
        <f>'RESUMEN TOTAL'!AU733</f>
        <v>0</v>
      </c>
      <c r="AI601" s="70">
        <f>'RESUMEN TOTAL'!AV733</f>
        <v>0</v>
      </c>
      <c r="AJ601" s="70" t="e">
        <f>'RESUMEN TOTAL'!#REF!</f>
        <v>#REF!</v>
      </c>
    </row>
    <row r="602" spans="1:36" x14ac:dyDescent="0.25">
      <c r="A602">
        <f>'RESUMEN TOTAL'!F734</f>
        <v>0</v>
      </c>
      <c r="B602">
        <f>'RESUMEN TOTAL'!G734</f>
        <v>0</v>
      </c>
      <c r="C602">
        <f>'RESUMEN TOTAL'!I734</f>
        <v>0</v>
      </c>
      <c r="D602" s="30">
        <f>'RESUMEN TOTAL'!J734</f>
        <v>0</v>
      </c>
      <c r="E602" s="30">
        <f>'RESUMEN TOTAL'!K734</f>
        <v>0</v>
      </c>
      <c r="F602" s="70">
        <f>'RESUMEN TOTAL'!S734</f>
        <v>0</v>
      </c>
      <c r="G602" s="70">
        <f>'RESUMEN TOTAL'!T734</f>
        <v>0</v>
      </c>
      <c r="H602" s="70">
        <f>'RESUMEN TOTAL'!U734</f>
        <v>0</v>
      </c>
      <c r="I602" s="70">
        <f>'RESUMEN TOTAL'!V734</f>
        <v>0</v>
      </c>
      <c r="J602" s="70">
        <f>'RESUMEN TOTAL'!W734</f>
        <v>0</v>
      </c>
      <c r="K602" s="70">
        <f>'RESUMEN TOTAL'!X734</f>
        <v>0</v>
      </c>
      <c r="L602" s="70">
        <f>'RESUMEN TOTAL'!Y734</f>
        <v>0</v>
      </c>
      <c r="M602" s="70">
        <f>'RESUMEN TOTAL'!Z734</f>
        <v>0</v>
      </c>
      <c r="N602" s="70">
        <f>'RESUMEN TOTAL'!AA734</f>
        <v>0</v>
      </c>
      <c r="O602" s="70">
        <f>'RESUMEN TOTAL'!AB734</f>
        <v>0</v>
      </c>
      <c r="P602" s="70">
        <f>'RESUMEN TOTAL'!AC734</f>
        <v>0</v>
      </c>
      <c r="Q602" s="70">
        <f>'RESUMEN TOTAL'!AD734</f>
        <v>0</v>
      </c>
      <c r="R602" s="70">
        <f>'RESUMEN TOTAL'!AE734</f>
        <v>0</v>
      </c>
      <c r="S602" s="70">
        <f>'RESUMEN TOTAL'!AF734</f>
        <v>0</v>
      </c>
      <c r="T602" s="70">
        <f>'RESUMEN TOTAL'!AG734</f>
        <v>0</v>
      </c>
      <c r="U602" s="70">
        <f>'RESUMEN TOTAL'!AH734</f>
        <v>0</v>
      </c>
      <c r="V602" s="70">
        <f>'RESUMEN TOTAL'!AI734</f>
        <v>0</v>
      </c>
      <c r="W602" s="70">
        <f>'RESUMEN TOTAL'!AJ734</f>
        <v>0</v>
      </c>
      <c r="X602" s="70">
        <f>'RESUMEN TOTAL'!AK734</f>
        <v>0</v>
      </c>
      <c r="Y602" s="70">
        <f>'RESUMEN TOTAL'!AL734</f>
        <v>0</v>
      </c>
      <c r="Z602" s="70">
        <f>'RESUMEN TOTAL'!AM734</f>
        <v>0</v>
      </c>
      <c r="AA602" s="70">
        <f>'RESUMEN TOTAL'!AN734</f>
        <v>0</v>
      </c>
      <c r="AB602" s="70">
        <f>'RESUMEN TOTAL'!AO734</f>
        <v>0</v>
      </c>
      <c r="AC602" s="70">
        <f>'RESUMEN TOTAL'!AP734</f>
        <v>0</v>
      </c>
      <c r="AD602" s="70">
        <f>'RESUMEN TOTAL'!AQ734</f>
        <v>0</v>
      </c>
      <c r="AE602" s="70">
        <f>'RESUMEN TOTAL'!AR734</f>
        <v>0</v>
      </c>
      <c r="AF602" s="70">
        <f>'RESUMEN TOTAL'!AS734</f>
        <v>0</v>
      </c>
      <c r="AG602" s="70">
        <f>'RESUMEN TOTAL'!AT734</f>
        <v>0</v>
      </c>
      <c r="AH602" s="70">
        <f>'RESUMEN TOTAL'!AU734</f>
        <v>0</v>
      </c>
      <c r="AI602" s="70">
        <f>'RESUMEN TOTAL'!AV734</f>
        <v>0</v>
      </c>
      <c r="AJ602" s="70" t="e">
        <f>'RESUMEN TOTAL'!#REF!</f>
        <v>#REF!</v>
      </c>
    </row>
    <row r="603" spans="1:36" x14ac:dyDescent="0.25">
      <c r="A603">
        <f>'RESUMEN TOTAL'!F735</f>
        <v>0</v>
      </c>
      <c r="B603">
        <f>'RESUMEN TOTAL'!G735</f>
        <v>0</v>
      </c>
      <c r="C603">
        <f>'RESUMEN TOTAL'!I735</f>
        <v>0</v>
      </c>
      <c r="D603" s="30">
        <f>'RESUMEN TOTAL'!J735</f>
        <v>0</v>
      </c>
      <c r="E603" s="30">
        <f>'RESUMEN TOTAL'!K735</f>
        <v>0</v>
      </c>
      <c r="F603" s="70">
        <f>'RESUMEN TOTAL'!S735</f>
        <v>0</v>
      </c>
      <c r="G603" s="70">
        <f>'RESUMEN TOTAL'!T735</f>
        <v>0</v>
      </c>
      <c r="H603" s="70">
        <f>'RESUMEN TOTAL'!U735</f>
        <v>0</v>
      </c>
      <c r="I603" s="70">
        <f>'RESUMEN TOTAL'!V735</f>
        <v>0</v>
      </c>
      <c r="J603" s="70">
        <f>'RESUMEN TOTAL'!W735</f>
        <v>0</v>
      </c>
      <c r="K603" s="70">
        <f>'RESUMEN TOTAL'!X735</f>
        <v>0</v>
      </c>
      <c r="L603" s="70">
        <f>'RESUMEN TOTAL'!Y735</f>
        <v>0</v>
      </c>
      <c r="M603" s="70">
        <f>'RESUMEN TOTAL'!Z735</f>
        <v>0</v>
      </c>
      <c r="N603" s="70">
        <f>'RESUMEN TOTAL'!AA735</f>
        <v>0</v>
      </c>
      <c r="O603" s="70">
        <f>'RESUMEN TOTAL'!AB735</f>
        <v>0</v>
      </c>
      <c r="P603" s="70">
        <f>'RESUMEN TOTAL'!AC735</f>
        <v>0</v>
      </c>
      <c r="Q603" s="70">
        <f>'RESUMEN TOTAL'!AD735</f>
        <v>0</v>
      </c>
      <c r="R603" s="70">
        <f>'RESUMEN TOTAL'!AE735</f>
        <v>0</v>
      </c>
      <c r="S603" s="70">
        <f>'RESUMEN TOTAL'!AF735</f>
        <v>0</v>
      </c>
      <c r="T603" s="70">
        <f>'RESUMEN TOTAL'!AG735</f>
        <v>0</v>
      </c>
      <c r="U603" s="70">
        <f>'RESUMEN TOTAL'!AH735</f>
        <v>0</v>
      </c>
      <c r="V603" s="70">
        <f>'RESUMEN TOTAL'!AI735</f>
        <v>0</v>
      </c>
      <c r="W603" s="70">
        <f>'RESUMEN TOTAL'!AJ735</f>
        <v>0</v>
      </c>
      <c r="X603" s="70">
        <f>'RESUMEN TOTAL'!AK735</f>
        <v>0</v>
      </c>
      <c r="Y603" s="70">
        <f>'RESUMEN TOTAL'!AL735</f>
        <v>0</v>
      </c>
      <c r="Z603" s="70">
        <f>'RESUMEN TOTAL'!AM735</f>
        <v>0</v>
      </c>
      <c r="AA603" s="70">
        <f>'RESUMEN TOTAL'!AN735</f>
        <v>0</v>
      </c>
      <c r="AB603" s="70">
        <f>'RESUMEN TOTAL'!AO735</f>
        <v>0</v>
      </c>
      <c r="AC603" s="70">
        <f>'RESUMEN TOTAL'!AP735</f>
        <v>0</v>
      </c>
      <c r="AD603" s="70">
        <f>'RESUMEN TOTAL'!AQ735</f>
        <v>0</v>
      </c>
      <c r="AE603" s="70">
        <f>'RESUMEN TOTAL'!AR735</f>
        <v>0</v>
      </c>
      <c r="AF603" s="70">
        <f>'RESUMEN TOTAL'!AS735</f>
        <v>0</v>
      </c>
      <c r="AG603" s="70">
        <f>'RESUMEN TOTAL'!AT735</f>
        <v>0</v>
      </c>
      <c r="AH603" s="70">
        <f>'RESUMEN TOTAL'!AU735</f>
        <v>0</v>
      </c>
      <c r="AI603" s="70">
        <f>'RESUMEN TOTAL'!AV735</f>
        <v>0</v>
      </c>
      <c r="AJ603" s="70" t="e">
        <f>'RESUMEN TOTAL'!#REF!</f>
        <v>#REF!</v>
      </c>
    </row>
    <row r="604" spans="1:36" x14ac:dyDescent="0.25">
      <c r="A604">
        <f>'RESUMEN TOTAL'!F736</f>
        <v>0</v>
      </c>
      <c r="B604">
        <f>'RESUMEN TOTAL'!G736</f>
        <v>0</v>
      </c>
      <c r="C604">
        <f>'RESUMEN TOTAL'!I736</f>
        <v>0</v>
      </c>
      <c r="D604" s="30">
        <f>'RESUMEN TOTAL'!J736</f>
        <v>0</v>
      </c>
      <c r="E604" s="30">
        <f>'RESUMEN TOTAL'!K736</f>
        <v>0</v>
      </c>
      <c r="F604" s="70">
        <f>'RESUMEN TOTAL'!S736</f>
        <v>0</v>
      </c>
      <c r="G604" s="70">
        <f>'RESUMEN TOTAL'!T736</f>
        <v>0</v>
      </c>
      <c r="H604" s="70">
        <f>'RESUMEN TOTAL'!U736</f>
        <v>0</v>
      </c>
      <c r="I604" s="70">
        <f>'RESUMEN TOTAL'!V736</f>
        <v>0</v>
      </c>
      <c r="J604" s="70">
        <f>'RESUMEN TOTAL'!W736</f>
        <v>0</v>
      </c>
      <c r="K604" s="70">
        <f>'RESUMEN TOTAL'!X736</f>
        <v>0</v>
      </c>
      <c r="L604" s="70">
        <f>'RESUMEN TOTAL'!Y736</f>
        <v>0</v>
      </c>
      <c r="M604" s="70">
        <f>'RESUMEN TOTAL'!Z736</f>
        <v>0</v>
      </c>
      <c r="N604" s="70">
        <f>'RESUMEN TOTAL'!AA736</f>
        <v>0</v>
      </c>
      <c r="O604" s="70">
        <f>'RESUMEN TOTAL'!AB736</f>
        <v>0</v>
      </c>
      <c r="P604" s="70">
        <f>'RESUMEN TOTAL'!AC736</f>
        <v>0</v>
      </c>
      <c r="Q604" s="70">
        <f>'RESUMEN TOTAL'!AD736</f>
        <v>0</v>
      </c>
      <c r="R604" s="70">
        <f>'RESUMEN TOTAL'!AE736</f>
        <v>0</v>
      </c>
      <c r="S604" s="70">
        <f>'RESUMEN TOTAL'!AF736</f>
        <v>0</v>
      </c>
      <c r="T604" s="70">
        <f>'RESUMEN TOTAL'!AG736</f>
        <v>0</v>
      </c>
      <c r="U604" s="70">
        <f>'RESUMEN TOTAL'!AH736</f>
        <v>0</v>
      </c>
      <c r="V604" s="70">
        <f>'RESUMEN TOTAL'!AI736</f>
        <v>0</v>
      </c>
      <c r="W604" s="70">
        <f>'RESUMEN TOTAL'!AJ736</f>
        <v>0</v>
      </c>
      <c r="X604" s="70">
        <f>'RESUMEN TOTAL'!AK736</f>
        <v>0</v>
      </c>
      <c r="Y604" s="70">
        <f>'RESUMEN TOTAL'!AL736</f>
        <v>0</v>
      </c>
      <c r="Z604" s="70">
        <f>'RESUMEN TOTAL'!AM736</f>
        <v>0</v>
      </c>
      <c r="AA604" s="70">
        <f>'RESUMEN TOTAL'!AN736</f>
        <v>0</v>
      </c>
      <c r="AB604" s="70">
        <f>'RESUMEN TOTAL'!AO736</f>
        <v>0</v>
      </c>
      <c r="AC604" s="70">
        <f>'RESUMEN TOTAL'!AP736</f>
        <v>0</v>
      </c>
      <c r="AD604" s="70">
        <f>'RESUMEN TOTAL'!AQ736</f>
        <v>0</v>
      </c>
      <c r="AE604" s="70">
        <f>'RESUMEN TOTAL'!AR736</f>
        <v>0</v>
      </c>
      <c r="AF604" s="70">
        <f>'RESUMEN TOTAL'!AS736</f>
        <v>0</v>
      </c>
      <c r="AG604" s="70">
        <f>'RESUMEN TOTAL'!AT736</f>
        <v>0</v>
      </c>
      <c r="AH604" s="70">
        <f>'RESUMEN TOTAL'!AU736</f>
        <v>0</v>
      </c>
      <c r="AI604" s="70">
        <f>'RESUMEN TOTAL'!AV736</f>
        <v>0</v>
      </c>
      <c r="AJ604" s="70" t="e">
        <f>'RESUMEN TOTAL'!#REF!</f>
        <v>#REF!</v>
      </c>
    </row>
    <row r="605" spans="1:36" x14ac:dyDescent="0.25">
      <c r="A605">
        <f>'RESUMEN TOTAL'!F737</f>
        <v>0</v>
      </c>
      <c r="B605">
        <f>'RESUMEN TOTAL'!G737</f>
        <v>0</v>
      </c>
      <c r="C605">
        <f>'RESUMEN TOTAL'!I737</f>
        <v>0</v>
      </c>
      <c r="D605" s="30">
        <f>'RESUMEN TOTAL'!J737</f>
        <v>0</v>
      </c>
      <c r="E605" s="30">
        <f>'RESUMEN TOTAL'!K737</f>
        <v>0</v>
      </c>
      <c r="F605" s="70">
        <f>'RESUMEN TOTAL'!S737</f>
        <v>0</v>
      </c>
      <c r="G605" s="70">
        <f>'RESUMEN TOTAL'!T737</f>
        <v>0</v>
      </c>
      <c r="H605" s="70">
        <f>'RESUMEN TOTAL'!U737</f>
        <v>0</v>
      </c>
      <c r="I605" s="70">
        <f>'RESUMEN TOTAL'!V737</f>
        <v>0</v>
      </c>
      <c r="J605" s="70">
        <f>'RESUMEN TOTAL'!W737</f>
        <v>0</v>
      </c>
      <c r="K605" s="70">
        <f>'RESUMEN TOTAL'!X737</f>
        <v>0</v>
      </c>
      <c r="L605" s="70">
        <f>'RESUMEN TOTAL'!Y737</f>
        <v>0</v>
      </c>
      <c r="M605" s="70">
        <f>'RESUMEN TOTAL'!Z737</f>
        <v>0</v>
      </c>
      <c r="N605" s="70">
        <f>'RESUMEN TOTAL'!AA737</f>
        <v>0</v>
      </c>
      <c r="O605" s="70">
        <f>'RESUMEN TOTAL'!AB737</f>
        <v>0</v>
      </c>
      <c r="P605" s="70">
        <f>'RESUMEN TOTAL'!AC737</f>
        <v>0</v>
      </c>
      <c r="Q605" s="70">
        <f>'RESUMEN TOTAL'!AD737</f>
        <v>0</v>
      </c>
      <c r="R605" s="70">
        <f>'RESUMEN TOTAL'!AE737</f>
        <v>0</v>
      </c>
      <c r="S605" s="70">
        <f>'RESUMEN TOTAL'!AF737</f>
        <v>0</v>
      </c>
      <c r="T605" s="70">
        <f>'RESUMEN TOTAL'!AG737</f>
        <v>0</v>
      </c>
      <c r="U605" s="70">
        <f>'RESUMEN TOTAL'!AH737</f>
        <v>0</v>
      </c>
      <c r="V605" s="70">
        <f>'RESUMEN TOTAL'!AI737</f>
        <v>0</v>
      </c>
      <c r="W605" s="70">
        <f>'RESUMEN TOTAL'!AJ737</f>
        <v>0</v>
      </c>
      <c r="X605" s="70">
        <f>'RESUMEN TOTAL'!AK737</f>
        <v>0</v>
      </c>
      <c r="Y605" s="70">
        <f>'RESUMEN TOTAL'!AL737</f>
        <v>0</v>
      </c>
      <c r="Z605" s="70">
        <f>'RESUMEN TOTAL'!AM737</f>
        <v>0</v>
      </c>
      <c r="AA605" s="70">
        <f>'RESUMEN TOTAL'!AN737</f>
        <v>0</v>
      </c>
      <c r="AB605" s="70">
        <f>'RESUMEN TOTAL'!AO737</f>
        <v>0</v>
      </c>
      <c r="AC605" s="70">
        <f>'RESUMEN TOTAL'!AP737</f>
        <v>0</v>
      </c>
      <c r="AD605" s="70">
        <f>'RESUMEN TOTAL'!AQ737</f>
        <v>0</v>
      </c>
      <c r="AE605" s="70">
        <f>'RESUMEN TOTAL'!AR737</f>
        <v>0</v>
      </c>
      <c r="AF605" s="70">
        <f>'RESUMEN TOTAL'!AS737</f>
        <v>0</v>
      </c>
      <c r="AG605" s="70">
        <f>'RESUMEN TOTAL'!AT737</f>
        <v>0</v>
      </c>
      <c r="AH605" s="70">
        <f>'RESUMEN TOTAL'!AU737</f>
        <v>0</v>
      </c>
      <c r="AI605" s="70">
        <f>'RESUMEN TOTAL'!AV737</f>
        <v>0</v>
      </c>
      <c r="AJ605" s="70" t="e">
        <f>'RESUMEN TOTAL'!#REF!</f>
        <v>#REF!</v>
      </c>
    </row>
    <row r="606" spans="1:36" x14ac:dyDescent="0.25">
      <c r="A606">
        <f>'RESUMEN TOTAL'!F738</f>
        <v>0</v>
      </c>
      <c r="B606">
        <f>'RESUMEN TOTAL'!G738</f>
        <v>0</v>
      </c>
      <c r="C606">
        <f>'RESUMEN TOTAL'!I738</f>
        <v>0</v>
      </c>
      <c r="D606" s="30">
        <f>'RESUMEN TOTAL'!J738</f>
        <v>0</v>
      </c>
      <c r="E606" s="30">
        <f>'RESUMEN TOTAL'!K738</f>
        <v>0</v>
      </c>
      <c r="F606" s="70">
        <f>'RESUMEN TOTAL'!S738</f>
        <v>0</v>
      </c>
      <c r="G606" s="70">
        <f>'RESUMEN TOTAL'!T738</f>
        <v>0</v>
      </c>
      <c r="H606" s="70">
        <f>'RESUMEN TOTAL'!U738</f>
        <v>0</v>
      </c>
      <c r="I606" s="70">
        <f>'RESUMEN TOTAL'!V738</f>
        <v>0</v>
      </c>
      <c r="J606" s="70">
        <f>'RESUMEN TOTAL'!W738</f>
        <v>0</v>
      </c>
      <c r="K606" s="70">
        <f>'RESUMEN TOTAL'!X738</f>
        <v>0</v>
      </c>
      <c r="L606" s="70">
        <f>'RESUMEN TOTAL'!Y738</f>
        <v>0</v>
      </c>
      <c r="M606" s="70">
        <f>'RESUMEN TOTAL'!Z738</f>
        <v>0</v>
      </c>
      <c r="N606" s="70">
        <f>'RESUMEN TOTAL'!AA738</f>
        <v>0</v>
      </c>
      <c r="O606" s="70">
        <f>'RESUMEN TOTAL'!AB738</f>
        <v>0</v>
      </c>
      <c r="P606" s="70">
        <f>'RESUMEN TOTAL'!AC738</f>
        <v>0</v>
      </c>
      <c r="Q606" s="70">
        <f>'RESUMEN TOTAL'!AD738</f>
        <v>0</v>
      </c>
      <c r="R606" s="70">
        <f>'RESUMEN TOTAL'!AE738</f>
        <v>0</v>
      </c>
      <c r="S606" s="70">
        <f>'RESUMEN TOTAL'!AF738</f>
        <v>0</v>
      </c>
      <c r="T606" s="70">
        <f>'RESUMEN TOTAL'!AG738</f>
        <v>0</v>
      </c>
      <c r="U606" s="70">
        <f>'RESUMEN TOTAL'!AH738</f>
        <v>0</v>
      </c>
      <c r="V606" s="70">
        <f>'RESUMEN TOTAL'!AI738</f>
        <v>0</v>
      </c>
      <c r="W606" s="70">
        <f>'RESUMEN TOTAL'!AJ738</f>
        <v>0</v>
      </c>
      <c r="X606" s="70">
        <f>'RESUMEN TOTAL'!AK738</f>
        <v>0</v>
      </c>
      <c r="Y606" s="70">
        <f>'RESUMEN TOTAL'!AL738</f>
        <v>0</v>
      </c>
      <c r="Z606" s="70">
        <f>'RESUMEN TOTAL'!AM738</f>
        <v>0</v>
      </c>
      <c r="AA606" s="70">
        <f>'RESUMEN TOTAL'!AN738</f>
        <v>0</v>
      </c>
      <c r="AB606" s="70">
        <f>'RESUMEN TOTAL'!AO738</f>
        <v>0</v>
      </c>
      <c r="AC606" s="70">
        <f>'RESUMEN TOTAL'!AP738</f>
        <v>0</v>
      </c>
      <c r="AD606" s="70">
        <f>'RESUMEN TOTAL'!AQ738</f>
        <v>0</v>
      </c>
      <c r="AE606" s="70">
        <f>'RESUMEN TOTAL'!AR738</f>
        <v>0</v>
      </c>
      <c r="AF606" s="70">
        <f>'RESUMEN TOTAL'!AS738</f>
        <v>0</v>
      </c>
      <c r="AG606" s="70">
        <f>'RESUMEN TOTAL'!AT738</f>
        <v>0</v>
      </c>
      <c r="AH606" s="70">
        <f>'RESUMEN TOTAL'!AU738</f>
        <v>0</v>
      </c>
      <c r="AI606" s="70">
        <f>'RESUMEN TOTAL'!AV738</f>
        <v>0</v>
      </c>
      <c r="AJ606" s="70" t="e">
        <f>'RESUMEN TOTAL'!#REF!</f>
        <v>#REF!</v>
      </c>
    </row>
    <row r="607" spans="1:36" x14ac:dyDescent="0.25">
      <c r="A607">
        <f>'RESUMEN TOTAL'!F739</f>
        <v>0</v>
      </c>
      <c r="B607">
        <f>'RESUMEN TOTAL'!G739</f>
        <v>0</v>
      </c>
      <c r="C607">
        <f>'RESUMEN TOTAL'!I739</f>
        <v>0</v>
      </c>
      <c r="D607" s="30">
        <f>'RESUMEN TOTAL'!J739</f>
        <v>0</v>
      </c>
      <c r="E607" s="30">
        <f>'RESUMEN TOTAL'!K739</f>
        <v>0</v>
      </c>
      <c r="F607" s="70">
        <f>'RESUMEN TOTAL'!S739</f>
        <v>0</v>
      </c>
      <c r="G607" s="70">
        <f>'RESUMEN TOTAL'!T739</f>
        <v>0</v>
      </c>
      <c r="H607" s="70">
        <f>'RESUMEN TOTAL'!U739</f>
        <v>0</v>
      </c>
      <c r="I607" s="70">
        <f>'RESUMEN TOTAL'!V739</f>
        <v>0</v>
      </c>
      <c r="J607" s="70">
        <f>'RESUMEN TOTAL'!W739</f>
        <v>0</v>
      </c>
      <c r="K607" s="70">
        <f>'RESUMEN TOTAL'!X739</f>
        <v>0</v>
      </c>
      <c r="L607" s="70">
        <f>'RESUMEN TOTAL'!Y739</f>
        <v>0</v>
      </c>
      <c r="M607" s="70">
        <f>'RESUMEN TOTAL'!Z739</f>
        <v>0</v>
      </c>
      <c r="N607" s="70">
        <f>'RESUMEN TOTAL'!AA739</f>
        <v>0</v>
      </c>
      <c r="O607" s="70">
        <f>'RESUMEN TOTAL'!AB739</f>
        <v>0</v>
      </c>
      <c r="P607" s="70">
        <f>'RESUMEN TOTAL'!AC739</f>
        <v>0</v>
      </c>
      <c r="Q607" s="70">
        <f>'RESUMEN TOTAL'!AD739</f>
        <v>0</v>
      </c>
      <c r="R607" s="70">
        <f>'RESUMEN TOTAL'!AE739</f>
        <v>0</v>
      </c>
      <c r="S607" s="70">
        <f>'RESUMEN TOTAL'!AF739</f>
        <v>0</v>
      </c>
      <c r="T607" s="70">
        <f>'RESUMEN TOTAL'!AG739</f>
        <v>0</v>
      </c>
      <c r="U607" s="70">
        <f>'RESUMEN TOTAL'!AH739</f>
        <v>0</v>
      </c>
      <c r="V607" s="70">
        <f>'RESUMEN TOTAL'!AI739</f>
        <v>0</v>
      </c>
      <c r="W607" s="70">
        <f>'RESUMEN TOTAL'!AJ739</f>
        <v>0</v>
      </c>
      <c r="X607" s="70">
        <f>'RESUMEN TOTAL'!AK739</f>
        <v>0</v>
      </c>
      <c r="Y607" s="70">
        <f>'RESUMEN TOTAL'!AL739</f>
        <v>0</v>
      </c>
      <c r="Z607" s="70">
        <f>'RESUMEN TOTAL'!AM739</f>
        <v>0</v>
      </c>
      <c r="AA607" s="70">
        <f>'RESUMEN TOTAL'!AN739</f>
        <v>0</v>
      </c>
      <c r="AB607" s="70">
        <f>'RESUMEN TOTAL'!AO739</f>
        <v>0</v>
      </c>
      <c r="AC607" s="70">
        <f>'RESUMEN TOTAL'!AP739</f>
        <v>0</v>
      </c>
      <c r="AD607" s="70">
        <f>'RESUMEN TOTAL'!AQ739</f>
        <v>0</v>
      </c>
      <c r="AE607" s="70">
        <f>'RESUMEN TOTAL'!AR739</f>
        <v>0</v>
      </c>
      <c r="AF607" s="70">
        <f>'RESUMEN TOTAL'!AS739</f>
        <v>0</v>
      </c>
      <c r="AG607" s="70">
        <f>'RESUMEN TOTAL'!AT739</f>
        <v>0</v>
      </c>
      <c r="AH607" s="70">
        <f>'RESUMEN TOTAL'!AU739</f>
        <v>0</v>
      </c>
      <c r="AI607" s="70">
        <f>'RESUMEN TOTAL'!AV739</f>
        <v>0</v>
      </c>
      <c r="AJ607" s="70" t="e">
        <f>'RESUMEN TOTAL'!#REF!</f>
        <v>#REF!</v>
      </c>
    </row>
    <row r="608" spans="1:36" x14ac:dyDescent="0.25">
      <c r="A608">
        <f>'RESUMEN TOTAL'!F740</f>
        <v>0</v>
      </c>
      <c r="B608">
        <f>'RESUMEN TOTAL'!G740</f>
        <v>0</v>
      </c>
      <c r="C608">
        <f>'RESUMEN TOTAL'!I740</f>
        <v>0</v>
      </c>
      <c r="D608" s="30">
        <f>'RESUMEN TOTAL'!J740</f>
        <v>0</v>
      </c>
      <c r="E608" s="30">
        <f>'RESUMEN TOTAL'!K740</f>
        <v>0</v>
      </c>
      <c r="F608" s="70">
        <f>'RESUMEN TOTAL'!S740</f>
        <v>0</v>
      </c>
      <c r="G608" s="70">
        <f>'RESUMEN TOTAL'!T740</f>
        <v>0</v>
      </c>
      <c r="H608" s="70">
        <f>'RESUMEN TOTAL'!U740</f>
        <v>0</v>
      </c>
      <c r="I608" s="70">
        <f>'RESUMEN TOTAL'!V740</f>
        <v>0</v>
      </c>
      <c r="J608" s="70">
        <f>'RESUMEN TOTAL'!W740</f>
        <v>0</v>
      </c>
      <c r="K608" s="70">
        <f>'RESUMEN TOTAL'!X740</f>
        <v>0</v>
      </c>
      <c r="L608" s="70">
        <f>'RESUMEN TOTAL'!Y740</f>
        <v>0</v>
      </c>
      <c r="M608" s="70">
        <f>'RESUMEN TOTAL'!Z740</f>
        <v>0</v>
      </c>
      <c r="N608" s="70">
        <f>'RESUMEN TOTAL'!AA740</f>
        <v>0</v>
      </c>
      <c r="O608" s="70">
        <f>'RESUMEN TOTAL'!AB740</f>
        <v>0</v>
      </c>
      <c r="P608" s="70">
        <f>'RESUMEN TOTAL'!AC740</f>
        <v>0</v>
      </c>
      <c r="Q608" s="70">
        <f>'RESUMEN TOTAL'!AD740</f>
        <v>0</v>
      </c>
      <c r="R608" s="70">
        <f>'RESUMEN TOTAL'!AE740</f>
        <v>0</v>
      </c>
      <c r="S608" s="70">
        <f>'RESUMEN TOTAL'!AF740</f>
        <v>0</v>
      </c>
      <c r="T608" s="70">
        <f>'RESUMEN TOTAL'!AG740</f>
        <v>0</v>
      </c>
      <c r="U608" s="70">
        <f>'RESUMEN TOTAL'!AH740</f>
        <v>0</v>
      </c>
      <c r="V608" s="70">
        <f>'RESUMEN TOTAL'!AI740</f>
        <v>0</v>
      </c>
      <c r="W608" s="70">
        <f>'RESUMEN TOTAL'!AJ740</f>
        <v>0</v>
      </c>
      <c r="X608" s="70">
        <f>'RESUMEN TOTAL'!AK740</f>
        <v>0</v>
      </c>
      <c r="Y608" s="70">
        <f>'RESUMEN TOTAL'!AL740</f>
        <v>0</v>
      </c>
      <c r="Z608" s="70">
        <f>'RESUMEN TOTAL'!AM740</f>
        <v>0</v>
      </c>
      <c r="AA608" s="70">
        <f>'RESUMEN TOTAL'!AN740</f>
        <v>0</v>
      </c>
      <c r="AB608" s="70">
        <f>'RESUMEN TOTAL'!AO740</f>
        <v>0</v>
      </c>
      <c r="AC608" s="70">
        <f>'RESUMEN TOTAL'!AP740</f>
        <v>0</v>
      </c>
      <c r="AD608" s="70">
        <f>'RESUMEN TOTAL'!AQ740</f>
        <v>0</v>
      </c>
      <c r="AE608" s="70">
        <f>'RESUMEN TOTAL'!AR740</f>
        <v>0</v>
      </c>
      <c r="AF608" s="70">
        <f>'RESUMEN TOTAL'!AS740</f>
        <v>0</v>
      </c>
      <c r="AG608" s="70">
        <f>'RESUMEN TOTAL'!AT740</f>
        <v>0</v>
      </c>
      <c r="AH608" s="70">
        <f>'RESUMEN TOTAL'!AU740</f>
        <v>0</v>
      </c>
      <c r="AI608" s="70">
        <f>'RESUMEN TOTAL'!AV740</f>
        <v>0</v>
      </c>
      <c r="AJ608" s="70" t="e">
        <f>'RESUMEN TOTAL'!#REF!</f>
        <v>#REF!</v>
      </c>
    </row>
    <row r="609" spans="1:36" x14ac:dyDescent="0.25">
      <c r="A609">
        <f>'RESUMEN TOTAL'!F741</f>
        <v>0</v>
      </c>
      <c r="B609">
        <f>'RESUMEN TOTAL'!G741</f>
        <v>0</v>
      </c>
      <c r="C609">
        <f>'RESUMEN TOTAL'!I741</f>
        <v>0</v>
      </c>
      <c r="D609" s="30">
        <f>'RESUMEN TOTAL'!J741</f>
        <v>0</v>
      </c>
      <c r="E609" s="30">
        <f>'RESUMEN TOTAL'!K741</f>
        <v>0</v>
      </c>
      <c r="F609" s="70">
        <f>'RESUMEN TOTAL'!S741</f>
        <v>0</v>
      </c>
      <c r="G609" s="70">
        <f>'RESUMEN TOTAL'!T741</f>
        <v>0</v>
      </c>
      <c r="H609" s="70">
        <f>'RESUMEN TOTAL'!U741</f>
        <v>0</v>
      </c>
      <c r="I609" s="70">
        <f>'RESUMEN TOTAL'!V741</f>
        <v>0</v>
      </c>
      <c r="J609" s="70">
        <f>'RESUMEN TOTAL'!W741</f>
        <v>0</v>
      </c>
      <c r="K609" s="70">
        <f>'RESUMEN TOTAL'!X741</f>
        <v>0</v>
      </c>
      <c r="L609" s="70">
        <f>'RESUMEN TOTAL'!Y741</f>
        <v>0</v>
      </c>
      <c r="M609" s="70">
        <f>'RESUMEN TOTAL'!Z741</f>
        <v>0</v>
      </c>
      <c r="N609" s="70">
        <f>'RESUMEN TOTAL'!AA741</f>
        <v>0</v>
      </c>
      <c r="O609" s="70">
        <f>'RESUMEN TOTAL'!AB741</f>
        <v>0</v>
      </c>
      <c r="P609" s="70">
        <f>'RESUMEN TOTAL'!AC741</f>
        <v>0</v>
      </c>
      <c r="Q609" s="70">
        <f>'RESUMEN TOTAL'!AD741</f>
        <v>0</v>
      </c>
      <c r="R609" s="70">
        <f>'RESUMEN TOTAL'!AE741</f>
        <v>0</v>
      </c>
      <c r="S609" s="70">
        <f>'RESUMEN TOTAL'!AF741</f>
        <v>0</v>
      </c>
      <c r="T609" s="70">
        <f>'RESUMEN TOTAL'!AG741</f>
        <v>0</v>
      </c>
      <c r="U609" s="70">
        <f>'RESUMEN TOTAL'!AH741</f>
        <v>0</v>
      </c>
      <c r="V609" s="70">
        <f>'RESUMEN TOTAL'!AI741</f>
        <v>0</v>
      </c>
      <c r="W609" s="70">
        <f>'RESUMEN TOTAL'!AJ741</f>
        <v>0</v>
      </c>
      <c r="X609" s="70">
        <f>'RESUMEN TOTAL'!AK741</f>
        <v>0</v>
      </c>
      <c r="Y609" s="70">
        <f>'RESUMEN TOTAL'!AL741</f>
        <v>0</v>
      </c>
      <c r="Z609" s="70">
        <f>'RESUMEN TOTAL'!AM741</f>
        <v>0</v>
      </c>
      <c r="AA609" s="70">
        <f>'RESUMEN TOTAL'!AN741</f>
        <v>0</v>
      </c>
      <c r="AB609" s="70">
        <f>'RESUMEN TOTAL'!AO741</f>
        <v>0</v>
      </c>
      <c r="AC609" s="70">
        <f>'RESUMEN TOTAL'!AP741</f>
        <v>0</v>
      </c>
      <c r="AD609" s="70">
        <f>'RESUMEN TOTAL'!AQ741</f>
        <v>0</v>
      </c>
      <c r="AE609" s="70">
        <f>'RESUMEN TOTAL'!AR741</f>
        <v>0</v>
      </c>
      <c r="AF609" s="70">
        <f>'RESUMEN TOTAL'!AS741</f>
        <v>0</v>
      </c>
      <c r="AG609" s="70">
        <f>'RESUMEN TOTAL'!AT741</f>
        <v>0</v>
      </c>
      <c r="AH609" s="70">
        <f>'RESUMEN TOTAL'!AU741</f>
        <v>0</v>
      </c>
      <c r="AI609" s="70">
        <f>'RESUMEN TOTAL'!AV741</f>
        <v>0</v>
      </c>
      <c r="AJ609" s="70" t="e">
        <f>'RESUMEN TOTAL'!#REF!</f>
        <v>#REF!</v>
      </c>
    </row>
    <row r="610" spans="1:36" x14ac:dyDescent="0.25">
      <c r="A610">
        <f>'RESUMEN TOTAL'!F742</f>
        <v>0</v>
      </c>
      <c r="B610">
        <f>'RESUMEN TOTAL'!G742</f>
        <v>0</v>
      </c>
      <c r="C610">
        <f>'RESUMEN TOTAL'!I742</f>
        <v>0</v>
      </c>
      <c r="D610" s="30">
        <f>'RESUMEN TOTAL'!J742</f>
        <v>0</v>
      </c>
      <c r="E610" s="30">
        <f>'RESUMEN TOTAL'!K742</f>
        <v>0</v>
      </c>
      <c r="F610" s="70">
        <f>'RESUMEN TOTAL'!S742</f>
        <v>0</v>
      </c>
      <c r="G610" s="70">
        <f>'RESUMEN TOTAL'!T742</f>
        <v>0</v>
      </c>
      <c r="H610" s="70">
        <f>'RESUMEN TOTAL'!U742</f>
        <v>0</v>
      </c>
      <c r="I610" s="70">
        <f>'RESUMEN TOTAL'!V742</f>
        <v>0</v>
      </c>
      <c r="J610" s="70">
        <f>'RESUMEN TOTAL'!W742</f>
        <v>0</v>
      </c>
      <c r="K610" s="70">
        <f>'RESUMEN TOTAL'!X742</f>
        <v>0</v>
      </c>
      <c r="L610" s="70">
        <f>'RESUMEN TOTAL'!Y742</f>
        <v>0</v>
      </c>
      <c r="M610" s="70">
        <f>'RESUMEN TOTAL'!Z742</f>
        <v>0</v>
      </c>
      <c r="N610" s="70">
        <f>'RESUMEN TOTAL'!AA742</f>
        <v>0</v>
      </c>
      <c r="O610" s="70">
        <f>'RESUMEN TOTAL'!AB742</f>
        <v>0</v>
      </c>
      <c r="P610" s="70">
        <f>'RESUMEN TOTAL'!AC742</f>
        <v>0</v>
      </c>
      <c r="Q610" s="70">
        <f>'RESUMEN TOTAL'!AD742</f>
        <v>0</v>
      </c>
      <c r="R610" s="70">
        <f>'RESUMEN TOTAL'!AE742</f>
        <v>0</v>
      </c>
      <c r="S610" s="70">
        <f>'RESUMEN TOTAL'!AF742</f>
        <v>0</v>
      </c>
      <c r="T610" s="70">
        <f>'RESUMEN TOTAL'!AG742</f>
        <v>0</v>
      </c>
      <c r="U610" s="70">
        <f>'RESUMEN TOTAL'!AH742</f>
        <v>0</v>
      </c>
      <c r="V610" s="70">
        <f>'RESUMEN TOTAL'!AI742</f>
        <v>0</v>
      </c>
      <c r="W610" s="70">
        <f>'RESUMEN TOTAL'!AJ742</f>
        <v>0</v>
      </c>
      <c r="X610" s="70">
        <f>'RESUMEN TOTAL'!AK742</f>
        <v>0</v>
      </c>
      <c r="Y610" s="70">
        <f>'RESUMEN TOTAL'!AL742</f>
        <v>0</v>
      </c>
      <c r="Z610" s="70">
        <f>'RESUMEN TOTAL'!AM742</f>
        <v>0</v>
      </c>
      <c r="AA610" s="70">
        <f>'RESUMEN TOTAL'!AN742</f>
        <v>0</v>
      </c>
      <c r="AB610" s="70">
        <f>'RESUMEN TOTAL'!AO742</f>
        <v>0</v>
      </c>
      <c r="AC610" s="70">
        <f>'RESUMEN TOTAL'!AP742</f>
        <v>0</v>
      </c>
      <c r="AD610" s="70">
        <f>'RESUMEN TOTAL'!AQ742</f>
        <v>0</v>
      </c>
      <c r="AE610" s="70">
        <f>'RESUMEN TOTAL'!AR742</f>
        <v>0</v>
      </c>
      <c r="AF610" s="70">
        <f>'RESUMEN TOTAL'!AS742</f>
        <v>0</v>
      </c>
      <c r="AG610" s="70">
        <f>'RESUMEN TOTAL'!AT742</f>
        <v>0</v>
      </c>
      <c r="AH610" s="70">
        <f>'RESUMEN TOTAL'!AU742</f>
        <v>0</v>
      </c>
      <c r="AI610" s="70">
        <f>'RESUMEN TOTAL'!AV742</f>
        <v>0</v>
      </c>
      <c r="AJ610" s="70" t="e">
        <f>'RESUMEN TOTAL'!#REF!</f>
        <v>#REF!</v>
      </c>
    </row>
    <row r="611" spans="1:36" x14ac:dyDescent="0.25">
      <c r="A611">
        <f>'RESUMEN TOTAL'!F743</f>
        <v>0</v>
      </c>
      <c r="B611">
        <f>'RESUMEN TOTAL'!G743</f>
        <v>0</v>
      </c>
      <c r="C611">
        <f>'RESUMEN TOTAL'!I743</f>
        <v>0</v>
      </c>
      <c r="D611" s="30">
        <f>'RESUMEN TOTAL'!J743</f>
        <v>0</v>
      </c>
      <c r="E611" s="30">
        <f>'RESUMEN TOTAL'!K743</f>
        <v>0</v>
      </c>
      <c r="F611" s="70">
        <f>'RESUMEN TOTAL'!S743</f>
        <v>0</v>
      </c>
      <c r="G611" s="70">
        <f>'RESUMEN TOTAL'!T743</f>
        <v>0</v>
      </c>
      <c r="H611" s="70">
        <f>'RESUMEN TOTAL'!U743</f>
        <v>0</v>
      </c>
      <c r="I611" s="70">
        <f>'RESUMEN TOTAL'!V743</f>
        <v>0</v>
      </c>
      <c r="J611" s="70">
        <f>'RESUMEN TOTAL'!W743</f>
        <v>0</v>
      </c>
      <c r="K611" s="70">
        <f>'RESUMEN TOTAL'!X743</f>
        <v>0</v>
      </c>
      <c r="L611" s="70">
        <f>'RESUMEN TOTAL'!Y743</f>
        <v>0</v>
      </c>
      <c r="M611" s="70">
        <f>'RESUMEN TOTAL'!Z743</f>
        <v>0</v>
      </c>
      <c r="N611" s="70">
        <f>'RESUMEN TOTAL'!AA743</f>
        <v>0</v>
      </c>
      <c r="O611" s="70">
        <f>'RESUMEN TOTAL'!AB743</f>
        <v>0</v>
      </c>
      <c r="P611" s="70">
        <f>'RESUMEN TOTAL'!AC743</f>
        <v>0</v>
      </c>
      <c r="Q611" s="70">
        <f>'RESUMEN TOTAL'!AD743</f>
        <v>0</v>
      </c>
      <c r="R611" s="70">
        <f>'RESUMEN TOTAL'!AE743</f>
        <v>0</v>
      </c>
      <c r="S611" s="70">
        <f>'RESUMEN TOTAL'!AF743</f>
        <v>0</v>
      </c>
      <c r="T611" s="70">
        <f>'RESUMEN TOTAL'!AG743</f>
        <v>0</v>
      </c>
      <c r="U611" s="70">
        <f>'RESUMEN TOTAL'!AH743</f>
        <v>0</v>
      </c>
      <c r="V611" s="70">
        <f>'RESUMEN TOTAL'!AI743</f>
        <v>0</v>
      </c>
      <c r="W611" s="70">
        <f>'RESUMEN TOTAL'!AJ743</f>
        <v>0</v>
      </c>
      <c r="X611" s="70">
        <f>'RESUMEN TOTAL'!AK743</f>
        <v>0</v>
      </c>
      <c r="Y611" s="70">
        <f>'RESUMEN TOTAL'!AL743</f>
        <v>0</v>
      </c>
      <c r="Z611" s="70">
        <f>'RESUMEN TOTAL'!AM743</f>
        <v>0</v>
      </c>
      <c r="AA611" s="70">
        <f>'RESUMEN TOTAL'!AN743</f>
        <v>0</v>
      </c>
      <c r="AB611" s="70">
        <f>'RESUMEN TOTAL'!AO743</f>
        <v>0</v>
      </c>
      <c r="AC611" s="70">
        <f>'RESUMEN TOTAL'!AP743</f>
        <v>0</v>
      </c>
      <c r="AD611" s="70">
        <f>'RESUMEN TOTAL'!AQ743</f>
        <v>0</v>
      </c>
      <c r="AE611" s="70">
        <f>'RESUMEN TOTAL'!AR743</f>
        <v>0</v>
      </c>
      <c r="AF611" s="70">
        <f>'RESUMEN TOTAL'!AS743</f>
        <v>0</v>
      </c>
      <c r="AG611" s="70">
        <f>'RESUMEN TOTAL'!AT743</f>
        <v>0</v>
      </c>
      <c r="AH611" s="70">
        <f>'RESUMEN TOTAL'!AU743</f>
        <v>0</v>
      </c>
      <c r="AI611" s="70">
        <f>'RESUMEN TOTAL'!AV743</f>
        <v>0</v>
      </c>
      <c r="AJ611" s="70" t="e">
        <f>'RESUMEN TOTAL'!#REF!</f>
        <v>#REF!</v>
      </c>
    </row>
    <row r="612" spans="1:36" x14ac:dyDescent="0.25">
      <c r="A612">
        <f>'RESUMEN TOTAL'!F744</f>
        <v>0</v>
      </c>
      <c r="B612">
        <f>'RESUMEN TOTAL'!G744</f>
        <v>0</v>
      </c>
      <c r="C612">
        <f>'RESUMEN TOTAL'!I744</f>
        <v>0</v>
      </c>
      <c r="D612" s="30">
        <f>'RESUMEN TOTAL'!J744</f>
        <v>0</v>
      </c>
      <c r="E612" s="30">
        <f>'RESUMEN TOTAL'!K744</f>
        <v>0</v>
      </c>
      <c r="F612" s="70">
        <f>'RESUMEN TOTAL'!S744</f>
        <v>0</v>
      </c>
      <c r="G612" s="70">
        <f>'RESUMEN TOTAL'!T744</f>
        <v>0</v>
      </c>
      <c r="H612" s="70">
        <f>'RESUMEN TOTAL'!U744</f>
        <v>0</v>
      </c>
      <c r="I612" s="70">
        <f>'RESUMEN TOTAL'!V744</f>
        <v>0</v>
      </c>
      <c r="J612" s="70">
        <f>'RESUMEN TOTAL'!W744</f>
        <v>0</v>
      </c>
      <c r="K612" s="70">
        <f>'RESUMEN TOTAL'!X744</f>
        <v>0</v>
      </c>
      <c r="L612" s="70">
        <f>'RESUMEN TOTAL'!Y744</f>
        <v>0</v>
      </c>
      <c r="M612" s="70">
        <f>'RESUMEN TOTAL'!Z744</f>
        <v>0</v>
      </c>
      <c r="N612" s="70">
        <f>'RESUMEN TOTAL'!AA744</f>
        <v>0</v>
      </c>
      <c r="O612" s="70">
        <f>'RESUMEN TOTAL'!AB744</f>
        <v>0</v>
      </c>
      <c r="P612" s="70">
        <f>'RESUMEN TOTAL'!AC744</f>
        <v>0</v>
      </c>
      <c r="Q612" s="70">
        <f>'RESUMEN TOTAL'!AD744</f>
        <v>0</v>
      </c>
      <c r="R612" s="70">
        <f>'RESUMEN TOTAL'!AE744</f>
        <v>0</v>
      </c>
      <c r="S612" s="70">
        <f>'RESUMEN TOTAL'!AF744</f>
        <v>0</v>
      </c>
      <c r="T612" s="70">
        <f>'RESUMEN TOTAL'!AG744</f>
        <v>0</v>
      </c>
      <c r="U612" s="70">
        <f>'RESUMEN TOTAL'!AH744</f>
        <v>0</v>
      </c>
      <c r="V612" s="70">
        <f>'RESUMEN TOTAL'!AI744</f>
        <v>0</v>
      </c>
      <c r="W612" s="70">
        <f>'RESUMEN TOTAL'!AJ744</f>
        <v>0</v>
      </c>
      <c r="X612" s="70">
        <f>'RESUMEN TOTAL'!AK744</f>
        <v>0</v>
      </c>
      <c r="Y612" s="70">
        <f>'RESUMEN TOTAL'!AL744</f>
        <v>0</v>
      </c>
      <c r="Z612" s="70">
        <f>'RESUMEN TOTAL'!AM744</f>
        <v>0</v>
      </c>
      <c r="AA612" s="70">
        <f>'RESUMEN TOTAL'!AN744</f>
        <v>0</v>
      </c>
      <c r="AB612" s="70">
        <f>'RESUMEN TOTAL'!AO744</f>
        <v>0</v>
      </c>
      <c r="AC612" s="70">
        <f>'RESUMEN TOTAL'!AP744</f>
        <v>0</v>
      </c>
      <c r="AD612" s="70">
        <f>'RESUMEN TOTAL'!AQ744</f>
        <v>0</v>
      </c>
      <c r="AE612" s="70">
        <f>'RESUMEN TOTAL'!AR744</f>
        <v>0</v>
      </c>
      <c r="AF612" s="70">
        <f>'RESUMEN TOTAL'!AS744</f>
        <v>0</v>
      </c>
      <c r="AG612" s="70">
        <f>'RESUMEN TOTAL'!AT744</f>
        <v>0</v>
      </c>
      <c r="AH612" s="70">
        <f>'RESUMEN TOTAL'!AU744</f>
        <v>0</v>
      </c>
      <c r="AI612" s="70">
        <f>'RESUMEN TOTAL'!AV744</f>
        <v>0</v>
      </c>
      <c r="AJ612" s="70" t="e">
        <f>'RESUMEN TOTAL'!#REF!</f>
        <v>#REF!</v>
      </c>
    </row>
    <row r="613" spans="1:36" x14ac:dyDescent="0.25">
      <c r="A613">
        <f>'RESUMEN TOTAL'!F745</f>
        <v>0</v>
      </c>
      <c r="B613">
        <f>'RESUMEN TOTAL'!G745</f>
        <v>0</v>
      </c>
      <c r="C613">
        <f>'RESUMEN TOTAL'!I745</f>
        <v>0</v>
      </c>
      <c r="D613" s="30">
        <f>'RESUMEN TOTAL'!J745</f>
        <v>0</v>
      </c>
      <c r="E613" s="30">
        <f>'RESUMEN TOTAL'!K745</f>
        <v>0</v>
      </c>
      <c r="F613" s="70">
        <f>'RESUMEN TOTAL'!S745</f>
        <v>0</v>
      </c>
      <c r="G613" s="70">
        <f>'RESUMEN TOTAL'!T745</f>
        <v>0</v>
      </c>
      <c r="H613" s="70">
        <f>'RESUMEN TOTAL'!U745</f>
        <v>0</v>
      </c>
      <c r="I613" s="70">
        <f>'RESUMEN TOTAL'!V745</f>
        <v>0</v>
      </c>
      <c r="J613" s="70">
        <f>'RESUMEN TOTAL'!W745</f>
        <v>0</v>
      </c>
      <c r="K613" s="70">
        <f>'RESUMEN TOTAL'!X745</f>
        <v>0</v>
      </c>
      <c r="L613" s="70">
        <f>'RESUMEN TOTAL'!Y745</f>
        <v>0</v>
      </c>
      <c r="M613" s="70">
        <f>'RESUMEN TOTAL'!Z745</f>
        <v>0</v>
      </c>
      <c r="N613" s="70">
        <f>'RESUMEN TOTAL'!AA745</f>
        <v>0</v>
      </c>
      <c r="O613" s="70">
        <f>'RESUMEN TOTAL'!AB745</f>
        <v>0</v>
      </c>
      <c r="P613" s="70">
        <f>'RESUMEN TOTAL'!AC745</f>
        <v>0</v>
      </c>
      <c r="Q613" s="70">
        <f>'RESUMEN TOTAL'!AD745</f>
        <v>0</v>
      </c>
      <c r="R613" s="70">
        <f>'RESUMEN TOTAL'!AE745</f>
        <v>0</v>
      </c>
      <c r="S613" s="70">
        <f>'RESUMEN TOTAL'!AF745</f>
        <v>0</v>
      </c>
      <c r="T613" s="70">
        <f>'RESUMEN TOTAL'!AG745</f>
        <v>0</v>
      </c>
      <c r="U613" s="70">
        <f>'RESUMEN TOTAL'!AH745</f>
        <v>0</v>
      </c>
      <c r="V613" s="70">
        <f>'RESUMEN TOTAL'!AI745</f>
        <v>0</v>
      </c>
      <c r="W613" s="70">
        <f>'RESUMEN TOTAL'!AJ745</f>
        <v>0</v>
      </c>
      <c r="X613" s="70">
        <f>'RESUMEN TOTAL'!AK745</f>
        <v>0</v>
      </c>
      <c r="Y613" s="70">
        <f>'RESUMEN TOTAL'!AL745</f>
        <v>0</v>
      </c>
      <c r="Z613" s="70">
        <f>'RESUMEN TOTAL'!AM745</f>
        <v>0</v>
      </c>
      <c r="AA613" s="70">
        <f>'RESUMEN TOTAL'!AN745</f>
        <v>0</v>
      </c>
      <c r="AB613" s="70">
        <f>'RESUMEN TOTAL'!AO745</f>
        <v>0</v>
      </c>
      <c r="AC613" s="70">
        <f>'RESUMEN TOTAL'!AP745</f>
        <v>0</v>
      </c>
      <c r="AD613" s="70">
        <f>'RESUMEN TOTAL'!AQ745</f>
        <v>0</v>
      </c>
      <c r="AE613" s="70">
        <f>'RESUMEN TOTAL'!AR745</f>
        <v>0</v>
      </c>
      <c r="AF613" s="70">
        <f>'RESUMEN TOTAL'!AS745</f>
        <v>0</v>
      </c>
      <c r="AG613" s="70">
        <f>'RESUMEN TOTAL'!AT745</f>
        <v>0</v>
      </c>
      <c r="AH613" s="70">
        <f>'RESUMEN TOTAL'!AU745</f>
        <v>0</v>
      </c>
      <c r="AI613" s="70">
        <f>'RESUMEN TOTAL'!AV745</f>
        <v>0</v>
      </c>
      <c r="AJ613" s="70" t="e">
        <f>'RESUMEN TOTAL'!#REF!</f>
        <v>#REF!</v>
      </c>
    </row>
    <row r="614" spans="1:36" x14ac:dyDescent="0.25">
      <c r="A614">
        <f>'RESUMEN TOTAL'!F746</f>
        <v>0</v>
      </c>
      <c r="B614">
        <f>'RESUMEN TOTAL'!G746</f>
        <v>0</v>
      </c>
      <c r="C614">
        <f>'RESUMEN TOTAL'!I746</f>
        <v>0</v>
      </c>
      <c r="D614" s="30">
        <f>'RESUMEN TOTAL'!J746</f>
        <v>0</v>
      </c>
      <c r="E614" s="30">
        <f>'RESUMEN TOTAL'!K746</f>
        <v>0</v>
      </c>
      <c r="F614" s="70">
        <f>'RESUMEN TOTAL'!S746</f>
        <v>0</v>
      </c>
      <c r="G614" s="70">
        <f>'RESUMEN TOTAL'!T746</f>
        <v>0</v>
      </c>
      <c r="H614" s="70">
        <f>'RESUMEN TOTAL'!U746</f>
        <v>0</v>
      </c>
      <c r="I614" s="70">
        <f>'RESUMEN TOTAL'!V746</f>
        <v>0</v>
      </c>
      <c r="J614" s="70">
        <f>'RESUMEN TOTAL'!W746</f>
        <v>0</v>
      </c>
      <c r="K614" s="70">
        <f>'RESUMEN TOTAL'!X746</f>
        <v>0</v>
      </c>
      <c r="L614" s="70">
        <f>'RESUMEN TOTAL'!Y746</f>
        <v>0</v>
      </c>
      <c r="M614" s="70">
        <f>'RESUMEN TOTAL'!Z746</f>
        <v>0</v>
      </c>
      <c r="N614" s="70">
        <f>'RESUMEN TOTAL'!AA746</f>
        <v>0</v>
      </c>
      <c r="O614" s="70">
        <f>'RESUMEN TOTAL'!AB746</f>
        <v>0</v>
      </c>
      <c r="P614" s="70">
        <f>'RESUMEN TOTAL'!AC746</f>
        <v>0</v>
      </c>
      <c r="Q614" s="70">
        <f>'RESUMEN TOTAL'!AD746</f>
        <v>0</v>
      </c>
      <c r="R614" s="70">
        <f>'RESUMEN TOTAL'!AE746</f>
        <v>0</v>
      </c>
      <c r="S614" s="70">
        <f>'RESUMEN TOTAL'!AF746</f>
        <v>0</v>
      </c>
      <c r="T614" s="70">
        <f>'RESUMEN TOTAL'!AG746</f>
        <v>0</v>
      </c>
      <c r="U614" s="70">
        <f>'RESUMEN TOTAL'!AH746</f>
        <v>0</v>
      </c>
      <c r="V614" s="70">
        <f>'RESUMEN TOTAL'!AI746</f>
        <v>0</v>
      </c>
      <c r="W614" s="70">
        <f>'RESUMEN TOTAL'!AJ746</f>
        <v>0</v>
      </c>
      <c r="X614" s="70">
        <f>'RESUMEN TOTAL'!AK746</f>
        <v>0</v>
      </c>
      <c r="Y614" s="70">
        <f>'RESUMEN TOTAL'!AL746</f>
        <v>0</v>
      </c>
      <c r="Z614" s="70">
        <f>'RESUMEN TOTAL'!AM746</f>
        <v>0</v>
      </c>
      <c r="AA614" s="70">
        <f>'RESUMEN TOTAL'!AN746</f>
        <v>0</v>
      </c>
      <c r="AB614" s="70">
        <f>'RESUMEN TOTAL'!AO746</f>
        <v>0</v>
      </c>
      <c r="AC614" s="70">
        <f>'RESUMEN TOTAL'!AP746</f>
        <v>0</v>
      </c>
      <c r="AD614" s="70">
        <f>'RESUMEN TOTAL'!AQ746</f>
        <v>0</v>
      </c>
      <c r="AE614" s="70">
        <f>'RESUMEN TOTAL'!AR746</f>
        <v>0</v>
      </c>
      <c r="AF614" s="70">
        <f>'RESUMEN TOTAL'!AS746</f>
        <v>0</v>
      </c>
      <c r="AG614" s="70">
        <f>'RESUMEN TOTAL'!AT746</f>
        <v>0</v>
      </c>
      <c r="AH614" s="70">
        <f>'RESUMEN TOTAL'!AU746</f>
        <v>0</v>
      </c>
      <c r="AI614" s="70">
        <f>'RESUMEN TOTAL'!AV746</f>
        <v>0</v>
      </c>
      <c r="AJ614" s="70" t="e">
        <f>'RESUMEN TOTAL'!#REF!</f>
        <v>#REF!</v>
      </c>
    </row>
    <row r="615" spans="1:36" x14ac:dyDescent="0.25">
      <c r="A615">
        <f>'RESUMEN TOTAL'!F747</f>
        <v>0</v>
      </c>
      <c r="B615">
        <f>'RESUMEN TOTAL'!G747</f>
        <v>0</v>
      </c>
      <c r="C615">
        <f>'RESUMEN TOTAL'!I747</f>
        <v>0</v>
      </c>
      <c r="D615" s="30">
        <f>'RESUMEN TOTAL'!J747</f>
        <v>0</v>
      </c>
      <c r="E615" s="30">
        <f>'RESUMEN TOTAL'!K747</f>
        <v>0</v>
      </c>
      <c r="F615" s="70">
        <f>'RESUMEN TOTAL'!S747</f>
        <v>0</v>
      </c>
      <c r="G615" s="70">
        <f>'RESUMEN TOTAL'!T747</f>
        <v>0</v>
      </c>
      <c r="H615" s="70">
        <f>'RESUMEN TOTAL'!U747</f>
        <v>0</v>
      </c>
      <c r="I615" s="70">
        <f>'RESUMEN TOTAL'!V747</f>
        <v>0</v>
      </c>
      <c r="J615" s="70">
        <f>'RESUMEN TOTAL'!W747</f>
        <v>0</v>
      </c>
      <c r="K615" s="70">
        <f>'RESUMEN TOTAL'!X747</f>
        <v>0</v>
      </c>
      <c r="L615" s="70">
        <f>'RESUMEN TOTAL'!Y747</f>
        <v>0</v>
      </c>
      <c r="M615" s="70">
        <f>'RESUMEN TOTAL'!Z747</f>
        <v>0</v>
      </c>
      <c r="N615" s="70">
        <f>'RESUMEN TOTAL'!AA747</f>
        <v>0</v>
      </c>
      <c r="O615" s="70">
        <f>'RESUMEN TOTAL'!AB747</f>
        <v>0</v>
      </c>
      <c r="P615" s="70">
        <f>'RESUMEN TOTAL'!AC747</f>
        <v>0</v>
      </c>
      <c r="Q615" s="70">
        <f>'RESUMEN TOTAL'!AD747</f>
        <v>0</v>
      </c>
      <c r="R615" s="70">
        <f>'RESUMEN TOTAL'!AE747</f>
        <v>0</v>
      </c>
      <c r="S615" s="70">
        <f>'RESUMEN TOTAL'!AF747</f>
        <v>0</v>
      </c>
      <c r="T615" s="70">
        <f>'RESUMEN TOTAL'!AG747</f>
        <v>0</v>
      </c>
      <c r="U615" s="70">
        <f>'RESUMEN TOTAL'!AH747</f>
        <v>0</v>
      </c>
      <c r="V615" s="70">
        <f>'RESUMEN TOTAL'!AI747</f>
        <v>0</v>
      </c>
      <c r="W615" s="70">
        <f>'RESUMEN TOTAL'!AJ747</f>
        <v>0</v>
      </c>
      <c r="X615" s="70">
        <f>'RESUMEN TOTAL'!AK747</f>
        <v>0</v>
      </c>
      <c r="Y615" s="70">
        <f>'RESUMEN TOTAL'!AL747</f>
        <v>0</v>
      </c>
      <c r="Z615" s="70">
        <f>'RESUMEN TOTAL'!AM747</f>
        <v>0</v>
      </c>
      <c r="AA615" s="70">
        <f>'RESUMEN TOTAL'!AN747</f>
        <v>0</v>
      </c>
      <c r="AB615" s="70">
        <f>'RESUMEN TOTAL'!AO747</f>
        <v>0</v>
      </c>
      <c r="AC615" s="70">
        <f>'RESUMEN TOTAL'!AP747</f>
        <v>0</v>
      </c>
      <c r="AD615" s="70">
        <f>'RESUMEN TOTAL'!AQ747</f>
        <v>0</v>
      </c>
      <c r="AE615" s="70">
        <f>'RESUMEN TOTAL'!AR747</f>
        <v>0</v>
      </c>
      <c r="AF615" s="70">
        <f>'RESUMEN TOTAL'!AS747</f>
        <v>0</v>
      </c>
      <c r="AG615" s="70">
        <f>'RESUMEN TOTAL'!AT747</f>
        <v>0</v>
      </c>
      <c r="AH615" s="70">
        <f>'RESUMEN TOTAL'!AU747</f>
        <v>0</v>
      </c>
      <c r="AI615" s="70">
        <f>'RESUMEN TOTAL'!AV747</f>
        <v>0</v>
      </c>
      <c r="AJ615" s="70" t="e">
        <f>'RESUMEN TOTAL'!#REF!</f>
        <v>#REF!</v>
      </c>
    </row>
    <row r="616" spans="1:36" x14ac:dyDescent="0.25">
      <c r="A616">
        <f>'RESUMEN TOTAL'!F748</f>
        <v>0</v>
      </c>
      <c r="B616">
        <f>'RESUMEN TOTAL'!G748</f>
        <v>0</v>
      </c>
      <c r="C616">
        <f>'RESUMEN TOTAL'!I748</f>
        <v>0</v>
      </c>
      <c r="D616" s="30">
        <f>'RESUMEN TOTAL'!J748</f>
        <v>0</v>
      </c>
      <c r="E616" s="30">
        <f>'RESUMEN TOTAL'!K748</f>
        <v>0</v>
      </c>
      <c r="F616" s="70">
        <f>'RESUMEN TOTAL'!S748</f>
        <v>0</v>
      </c>
      <c r="G616" s="70">
        <f>'RESUMEN TOTAL'!T748</f>
        <v>0</v>
      </c>
      <c r="H616" s="70">
        <f>'RESUMEN TOTAL'!U748</f>
        <v>0</v>
      </c>
      <c r="I616" s="70">
        <f>'RESUMEN TOTAL'!V748</f>
        <v>0</v>
      </c>
      <c r="J616" s="70">
        <f>'RESUMEN TOTAL'!W748</f>
        <v>0</v>
      </c>
      <c r="K616" s="70">
        <f>'RESUMEN TOTAL'!X748</f>
        <v>0</v>
      </c>
      <c r="L616" s="70">
        <f>'RESUMEN TOTAL'!Y748</f>
        <v>0</v>
      </c>
      <c r="M616" s="70">
        <f>'RESUMEN TOTAL'!Z748</f>
        <v>0</v>
      </c>
      <c r="N616" s="70">
        <f>'RESUMEN TOTAL'!AA748</f>
        <v>0</v>
      </c>
      <c r="O616" s="70">
        <f>'RESUMEN TOTAL'!AB748</f>
        <v>0</v>
      </c>
      <c r="P616" s="70">
        <f>'RESUMEN TOTAL'!AC748</f>
        <v>0</v>
      </c>
      <c r="Q616" s="70">
        <f>'RESUMEN TOTAL'!AD748</f>
        <v>0</v>
      </c>
      <c r="R616" s="70">
        <f>'RESUMEN TOTAL'!AE748</f>
        <v>0</v>
      </c>
      <c r="S616" s="70">
        <f>'RESUMEN TOTAL'!AF748</f>
        <v>0</v>
      </c>
      <c r="T616" s="70">
        <f>'RESUMEN TOTAL'!AG748</f>
        <v>0</v>
      </c>
      <c r="U616" s="70">
        <f>'RESUMEN TOTAL'!AH748</f>
        <v>0</v>
      </c>
      <c r="V616" s="70">
        <f>'RESUMEN TOTAL'!AI748</f>
        <v>0</v>
      </c>
      <c r="W616" s="70">
        <f>'RESUMEN TOTAL'!AJ748</f>
        <v>0</v>
      </c>
      <c r="X616" s="70">
        <f>'RESUMEN TOTAL'!AK748</f>
        <v>0</v>
      </c>
      <c r="Y616" s="70">
        <f>'RESUMEN TOTAL'!AL748</f>
        <v>0</v>
      </c>
      <c r="Z616" s="70">
        <f>'RESUMEN TOTAL'!AM748</f>
        <v>0</v>
      </c>
      <c r="AA616" s="70">
        <f>'RESUMEN TOTAL'!AN748</f>
        <v>0</v>
      </c>
      <c r="AB616" s="70">
        <f>'RESUMEN TOTAL'!AO748</f>
        <v>0</v>
      </c>
      <c r="AC616" s="70">
        <f>'RESUMEN TOTAL'!AP748</f>
        <v>0</v>
      </c>
      <c r="AD616" s="70">
        <f>'RESUMEN TOTAL'!AQ748</f>
        <v>0</v>
      </c>
      <c r="AE616" s="70">
        <f>'RESUMEN TOTAL'!AR748</f>
        <v>0</v>
      </c>
      <c r="AF616" s="70">
        <f>'RESUMEN TOTAL'!AS748</f>
        <v>0</v>
      </c>
      <c r="AG616" s="70">
        <f>'RESUMEN TOTAL'!AT748</f>
        <v>0</v>
      </c>
      <c r="AH616" s="70">
        <f>'RESUMEN TOTAL'!AU748</f>
        <v>0</v>
      </c>
      <c r="AI616" s="70">
        <f>'RESUMEN TOTAL'!AV748</f>
        <v>0</v>
      </c>
      <c r="AJ616" s="70" t="e">
        <f>'RESUMEN TOTAL'!#REF!</f>
        <v>#REF!</v>
      </c>
    </row>
    <row r="617" spans="1:36" x14ac:dyDescent="0.25">
      <c r="A617">
        <f>'RESUMEN TOTAL'!F749</f>
        <v>0</v>
      </c>
      <c r="B617">
        <f>'RESUMEN TOTAL'!G749</f>
        <v>0</v>
      </c>
      <c r="C617">
        <f>'RESUMEN TOTAL'!I749</f>
        <v>0</v>
      </c>
      <c r="D617" s="30">
        <f>'RESUMEN TOTAL'!J749</f>
        <v>0</v>
      </c>
      <c r="E617" s="30">
        <f>'RESUMEN TOTAL'!K749</f>
        <v>0</v>
      </c>
      <c r="F617" s="70">
        <f>'RESUMEN TOTAL'!S749</f>
        <v>0</v>
      </c>
      <c r="G617" s="70">
        <f>'RESUMEN TOTAL'!T749</f>
        <v>0</v>
      </c>
      <c r="H617" s="70">
        <f>'RESUMEN TOTAL'!U749</f>
        <v>0</v>
      </c>
      <c r="I617" s="70">
        <f>'RESUMEN TOTAL'!V749</f>
        <v>0</v>
      </c>
      <c r="J617" s="70">
        <f>'RESUMEN TOTAL'!W749</f>
        <v>0</v>
      </c>
      <c r="K617" s="70">
        <f>'RESUMEN TOTAL'!X749</f>
        <v>0</v>
      </c>
      <c r="L617" s="70">
        <f>'RESUMEN TOTAL'!Y749</f>
        <v>0</v>
      </c>
      <c r="M617" s="70">
        <f>'RESUMEN TOTAL'!Z749</f>
        <v>0</v>
      </c>
      <c r="N617" s="70">
        <f>'RESUMEN TOTAL'!AA749</f>
        <v>0</v>
      </c>
      <c r="O617" s="70">
        <f>'RESUMEN TOTAL'!AB749</f>
        <v>0</v>
      </c>
      <c r="P617" s="70">
        <f>'RESUMEN TOTAL'!AC749</f>
        <v>0</v>
      </c>
      <c r="Q617" s="70">
        <f>'RESUMEN TOTAL'!AD749</f>
        <v>0</v>
      </c>
      <c r="R617" s="70">
        <f>'RESUMEN TOTAL'!AE749</f>
        <v>0</v>
      </c>
      <c r="S617" s="70">
        <f>'RESUMEN TOTAL'!AF749</f>
        <v>0</v>
      </c>
      <c r="T617" s="70">
        <f>'RESUMEN TOTAL'!AG749</f>
        <v>0</v>
      </c>
      <c r="U617" s="70">
        <f>'RESUMEN TOTAL'!AH749</f>
        <v>0</v>
      </c>
      <c r="V617" s="70">
        <f>'RESUMEN TOTAL'!AI749</f>
        <v>0</v>
      </c>
      <c r="W617" s="70">
        <f>'RESUMEN TOTAL'!AJ749</f>
        <v>0</v>
      </c>
      <c r="X617" s="70">
        <f>'RESUMEN TOTAL'!AK749</f>
        <v>0</v>
      </c>
      <c r="Y617" s="70">
        <f>'RESUMEN TOTAL'!AL749</f>
        <v>0</v>
      </c>
      <c r="Z617" s="70">
        <f>'RESUMEN TOTAL'!AM749</f>
        <v>0</v>
      </c>
      <c r="AA617" s="70">
        <f>'RESUMEN TOTAL'!AN749</f>
        <v>0</v>
      </c>
      <c r="AB617" s="70">
        <f>'RESUMEN TOTAL'!AO749</f>
        <v>0</v>
      </c>
      <c r="AC617" s="70">
        <f>'RESUMEN TOTAL'!AP749</f>
        <v>0</v>
      </c>
      <c r="AD617" s="70">
        <f>'RESUMEN TOTAL'!AQ749</f>
        <v>0</v>
      </c>
      <c r="AE617" s="70">
        <f>'RESUMEN TOTAL'!AR749</f>
        <v>0</v>
      </c>
      <c r="AF617" s="70">
        <f>'RESUMEN TOTAL'!AS749</f>
        <v>0</v>
      </c>
      <c r="AG617" s="70">
        <f>'RESUMEN TOTAL'!AT749</f>
        <v>0</v>
      </c>
      <c r="AH617" s="70">
        <f>'RESUMEN TOTAL'!AU749</f>
        <v>0</v>
      </c>
      <c r="AI617" s="70">
        <f>'RESUMEN TOTAL'!AV749</f>
        <v>0</v>
      </c>
      <c r="AJ617" s="70" t="e">
        <f>'RESUMEN TOTAL'!#REF!</f>
        <v>#REF!</v>
      </c>
    </row>
    <row r="618" spans="1:36" x14ac:dyDescent="0.25">
      <c r="A618">
        <f>'RESUMEN TOTAL'!F750</f>
        <v>0</v>
      </c>
      <c r="B618">
        <f>'RESUMEN TOTAL'!G750</f>
        <v>0</v>
      </c>
      <c r="C618">
        <f>'RESUMEN TOTAL'!I750</f>
        <v>0</v>
      </c>
      <c r="D618" s="30">
        <f>'RESUMEN TOTAL'!J750</f>
        <v>0</v>
      </c>
      <c r="E618" s="30">
        <f>'RESUMEN TOTAL'!K750</f>
        <v>0</v>
      </c>
      <c r="F618" s="70">
        <f>'RESUMEN TOTAL'!S750</f>
        <v>0</v>
      </c>
      <c r="G618" s="70">
        <f>'RESUMEN TOTAL'!T750</f>
        <v>0</v>
      </c>
      <c r="H618" s="70">
        <f>'RESUMEN TOTAL'!U750</f>
        <v>0</v>
      </c>
      <c r="I618" s="70">
        <f>'RESUMEN TOTAL'!V750</f>
        <v>0</v>
      </c>
      <c r="J618" s="70">
        <f>'RESUMEN TOTAL'!W750</f>
        <v>0</v>
      </c>
      <c r="K618" s="70">
        <f>'RESUMEN TOTAL'!X750</f>
        <v>0</v>
      </c>
      <c r="L618" s="70">
        <f>'RESUMEN TOTAL'!Y750</f>
        <v>0</v>
      </c>
      <c r="M618" s="70">
        <f>'RESUMEN TOTAL'!Z750</f>
        <v>0</v>
      </c>
      <c r="N618" s="70">
        <f>'RESUMEN TOTAL'!AA750</f>
        <v>0</v>
      </c>
      <c r="O618" s="70">
        <f>'RESUMEN TOTAL'!AB750</f>
        <v>0</v>
      </c>
      <c r="P618" s="70">
        <f>'RESUMEN TOTAL'!AC750</f>
        <v>0</v>
      </c>
      <c r="Q618" s="70">
        <f>'RESUMEN TOTAL'!AD750</f>
        <v>0</v>
      </c>
      <c r="R618" s="70">
        <f>'RESUMEN TOTAL'!AE750</f>
        <v>0</v>
      </c>
      <c r="S618" s="70">
        <f>'RESUMEN TOTAL'!AF750</f>
        <v>0</v>
      </c>
      <c r="T618" s="70">
        <f>'RESUMEN TOTAL'!AG750</f>
        <v>0</v>
      </c>
      <c r="U618" s="70">
        <f>'RESUMEN TOTAL'!AH750</f>
        <v>0</v>
      </c>
      <c r="V618" s="70">
        <f>'RESUMEN TOTAL'!AI750</f>
        <v>0</v>
      </c>
      <c r="W618" s="70">
        <f>'RESUMEN TOTAL'!AJ750</f>
        <v>0</v>
      </c>
      <c r="X618" s="70">
        <f>'RESUMEN TOTAL'!AK750</f>
        <v>0</v>
      </c>
      <c r="Y618" s="70">
        <f>'RESUMEN TOTAL'!AL750</f>
        <v>0</v>
      </c>
      <c r="Z618" s="70">
        <f>'RESUMEN TOTAL'!AM750</f>
        <v>0</v>
      </c>
      <c r="AA618" s="70">
        <f>'RESUMEN TOTAL'!AN750</f>
        <v>0</v>
      </c>
      <c r="AB618" s="70">
        <f>'RESUMEN TOTAL'!AO750</f>
        <v>0</v>
      </c>
      <c r="AC618" s="70">
        <f>'RESUMEN TOTAL'!AP750</f>
        <v>0</v>
      </c>
      <c r="AD618" s="70">
        <f>'RESUMEN TOTAL'!AQ750</f>
        <v>0</v>
      </c>
      <c r="AE618" s="70">
        <f>'RESUMEN TOTAL'!AR750</f>
        <v>0</v>
      </c>
      <c r="AF618" s="70">
        <f>'RESUMEN TOTAL'!AS750</f>
        <v>0</v>
      </c>
      <c r="AG618" s="70">
        <f>'RESUMEN TOTAL'!AT750</f>
        <v>0</v>
      </c>
      <c r="AH618" s="70">
        <f>'RESUMEN TOTAL'!AU750</f>
        <v>0</v>
      </c>
      <c r="AI618" s="70">
        <f>'RESUMEN TOTAL'!AV750</f>
        <v>0</v>
      </c>
      <c r="AJ618" s="70" t="e">
        <f>'RESUMEN TOTAL'!#REF!</f>
        <v>#REF!</v>
      </c>
    </row>
    <row r="619" spans="1:36" x14ac:dyDescent="0.25">
      <c r="A619">
        <f>'RESUMEN TOTAL'!F751</f>
        <v>0</v>
      </c>
      <c r="B619">
        <f>'RESUMEN TOTAL'!G751</f>
        <v>0</v>
      </c>
      <c r="C619">
        <f>'RESUMEN TOTAL'!I751</f>
        <v>0</v>
      </c>
      <c r="D619" s="30">
        <f>'RESUMEN TOTAL'!J751</f>
        <v>0</v>
      </c>
      <c r="E619" s="30">
        <f>'RESUMEN TOTAL'!K751</f>
        <v>0</v>
      </c>
      <c r="F619" s="70">
        <f>'RESUMEN TOTAL'!S751</f>
        <v>0</v>
      </c>
      <c r="G619" s="70">
        <f>'RESUMEN TOTAL'!T751</f>
        <v>0</v>
      </c>
      <c r="H619" s="70">
        <f>'RESUMEN TOTAL'!U751</f>
        <v>0</v>
      </c>
      <c r="I619" s="70">
        <f>'RESUMEN TOTAL'!V751</f>
        <v>0</v>
      </c>
      <c r="J619" s="70">
        <f>'RESUMEN TOTAL'!W751</f>
        <v>0</v>
      </c>
      <c r="K619" s="70">
        <f>'RESUMEN TOTAL'!X751</f>
        <v>0</v>
      </c>
      <c r="L619" s="70">
        <f>'RESUMEN TOTAL'!Y751</f>
        <v>0</v>
      </c>
      <c r="M619" s="70">
        <f>'RESUMEN TOTAL'!Z751</f>
        <v>0</v>
      </c>
      <c r="N619" s="70">
        <f>'RESUMEN TOTAL'!AA751</f>
        <v>0</v>
      </c>
      <c r="O619" s="70">
        <f>'RESUMEN TOTAL'!AB751</f>
        <v>0</v>
      </c>
      <c r="P619" s="70">
        <f>'RESUMEN TOTAL'!AC751</f>
        <v>0</v>
      </c>
      <c r="Q619" s="70">
        <f>'RESUMEN TOTAL'!AD751</f>
        <v>0</v>
      </c>
      <c r="R619" s="70">
        <f>'RESUMEN TOTAL'!AE751</f>
        <v>0</v>
      </c>
      <c r="S619" s="70">
        <f>'RESUMEN TOTAL'!AF751</f>
        <v>0</v>
      </c>
      <c r="T619" s="70">
        <f>'RESUMEN TOTAL'!AG751</f>
        <v>0</v>
      </c>
      <c r="U619" s="70">
        <f>'RESUMEN TOTAL'!AH751</f>
        <v>0</v>
      </c>
      <c r="V619" s="70">
        <f>'RESUMEN TOTAL'!AI751</f>
        <v>0</v>
      </c>
      <c r="W619" s="70">
        <f>'RESUMEN TOTAL'!AJ751</f>
        <v>0</v>
      </c>
      <c r="X619" s="70">
        <f>'RESUMEN TOTAL'!AK751</f>
        <v>0</v>
      </c>
      <c r="Y619" s="70">
        <f>'RESUMEN TOTAL'!AL751</f>
        <v>0</v>
      </c>
      <c r="Z619" s="70">
        <f>'RESUMEN TOTAL'!AM751</f>
        <v>0</v>
      </c>
      <c r="AA619" s="70">
        <f>'RESUMEN TOTAL'!AN751</f>
        <v>0</v>
      </c>
      <c r="AB619" s="70">
        <f>'RESUMEN TOTAL'!AO751</f>
        <v>0</v>
      </c>
      <c r="AC619" s="70">
        <f>'RESUMEN TOTAL'!AP751</f>
        <v>0</v>
      </c>
      <c r="AD619" s="70">
        <f>'RESUMEN TOTAL'!AQ751</f>
        <v>0</v>
      </c>
      <c r="AE619" s="70">
        <f>'RESUMEN TOTAL'!AR751</f>
        <v>0</v>
      </c>
      <c r="AF619" s="70">
        <f>'RESUMEN TOTAL'!AS751</f>
        <v>0</v>
      </c>
      <c r="AG619" s="70">
        <f>'RESUMEN TOTAL'!AT751</f>
        <v>0</v>
      </c>
      <c r="AH619" s="70">
        <f>'RESUMEN TOTAL'!AU751</f>
        <v>0</v>
      </c>
      <c r="AI619" s="70">
        <f>'RESUMEN TOTAL'!AV751</f>
        <v>0</v>
      </c>
      <c r="AJ619" s="70" t="e">
        <f>'RESUMEN TOTAL'!#REF!</f>
        <v>#REF!</v>
      </c>
    </row>
    <row r="620" spans="1:36" x14ac:dyDescent="0.25">
      <c r="A620">
        <f>'RESUMEN TOTAL'!F752</f>
        <v>0</v>
      </c>
      <c r="B620">
        <f>'RESUMEN TOTAL'!G752</f>
        <v>0</v>
      </c>
      <c r="C620">
        <f>'RESUMEN TOTAL'!I752</f>
        <v>0</v>
      </c>
      <c r="D620" s="30">
        <f>'RESUMEN TOTAL'!J752</f>
        <v>0</v>
      </c>
      <c r="E620" s="30">
        <f>'RESUMEN TOTAL'!K752</f>
        <v>0</v>
      </c>
      <c r="F620" s="70">
        <f>'RESUMEN TOTAL'!S752</f>
        <v>0</v>
      </c>
      <c r="G620" s="70">
        <f>'RESUMEN TOTAL'!T752</f>
        <v>0</v>
      </c>
      <c r="H620" s="70">
        <f>'RESUMEN TOTAL'!U752</f>
        <v>0</v>
      </c>
      <c r="I620" s="70">
        <f>'RESUMEN TOTAL'!V752</f>
        <v>0</v>
      </c>
      <c r="J620" s="70">
        <f>'RESUMEN TOTAL'!W752</f>
        <v>0</v>
      </c>
      <c r="K620" s="70">
        <f>'RESUMEN TOTAL'!X752</f>
        <v>0</v>
      </c>
      <c r="L620" s="70">
        <f>'RESUMEN TOTAL'!Y752</f>
        <v>0</v>
      </c>
      <c r="M620" s="70">
        <f>'RESUMEN TOTAL'!Z752</f>
        <v>0</v>
      </c>
      <c r="N620" s="70">
        <f>'RESUMEN TOTAL'!AA752</f>
        <v>0</v>
      </c>
      <c r="O620" s="70">
        <f>'RESUMEN TOTAL'!AB752</f>
        <v>0</v>
      </c>
      <c r="P620" s="70">
        <f>'RESUMEN TOTAL'!AC752</f>
        <v>0</v>
      </c>
      <c r="Q620" s="70">
        <f>'RESUMEN TOTAL'!AD752</f>
        <v>0</v>
      </c>
      <c r="R620" s="70">
        <f>'RESUMEN TOTAL'!AE752</f>
        <v>0</v>
      </c>
      <c r="S620" s="70">
        <f>'RESUMEN TOTAL'!AF752</f>
        <v>0</v>
      </c>
      <c r="T620" s="70">
        <f>'RESUMEN TOTAL'!AG752</f>
        <v>0</v>
      </c>
      <c r="U620" s="70">
        <f>'RESUMEN TOTAL'!AH752</f>
        <v>0</v>
      </c>
      <c r="V620" s="70">
        <f>'RESUMEN TOTAL'!AI752</f>
        <v>0</v>
      </c>
      <c r="W620" s="70">
        <f>'RESUMEN TOTAL'!AJ752</f>
        <v>0</v>
      </c>
      <c r="X620" s="70">
        <f>'RESUMEN TOTAL'!AK752</f>
        <v>0</v>
      </c>
      <c r="Y620" s="70">
        <f>'RESUMEN TOTAL'!AL752</f>
        <v>0</v>
      </c>
      <c r="Z620" s="70">
        <f>'RESUMEN TOTAL'!AM752</f>
        <v>0</v>
      </c>
      <c r="AA620" s="70">
        <f>'RESUMEN TOTAL'!AN752</f>
        <v>0</v>
      </c>
      <c r="AB620" s="70">
        <f>'RESUMEN TOTAL'!AO752</f>
        <v>0</v>
      </c>
      <c r="AC620" s="70">
        <f>'RESUMEN TOTAL'!AP752</f>
        <v>0</v>
      </c>
      <c r="AD620" s="70">
        <f>'RESUMEN TOTAL'!AQ752</f>
        <v>0</v>
      </c>
      <c r="AE620" s="70">
        <f>'RESUMEN TOTAL'!AR752</f>
        <v>0</v>
      </c>
      <c r="AF620" s="70">
        <f>'RESUMEN TOTAL'!AS752</f>
        <v>0</v>
      </c>
      <c r="AG620" s="70">
        <f>'RESUMEN TOTAL'!AT752</f>
        <v>0</v>
      </c>
      <c r="AH620" s="70">
        <f>'RESUMEN TOTAL'!AU752</f>
        <v>0</v>
      </c>
      <c r="AI620" s="70">
        <f>'RESUMEN TOTAL'!AV752</f>
        <v>0</v>
      </c>
      <c r="AJ620" s="70" t="e">
        <f>'RESUMEN TOTAL'!#REF!</f>
        <v>#REF!</v>
      </c>
    </row>
    <row r="621" spans="1:36" x14ac:dyDescent="0.25">
      <c r="A621">
        <f>'RESUMEN TOTAL'!F753</f>
        <v>0</v>
      </c>
      <c r="B621">
        <f>'RESUMEN TOTAL'!G753</f>
        <v>0</v>
      </c>
      <c r="C621">
        <f>'RESUMEN TOTAL'!I753</f>
        <v>0</v>
      </c>
      <c r="D621" s="30">
        <f>'RESUMEN TOTAL'!J753</f>
        <v>0</v>
      </c>
      <c r="E621" s="30">
        <f>'RESUMEN TOTAL'!K753</f>
        <v>0</v>
      </c>
      <c r="F621" s="70">
        <f>'RESUMEN TOTAL'!S753</f>
        <v>0</v>
      </c>
      <c r="G621" s="70">
        <f>'RESUMEN TOTAL'!T753</f>
        <v>0</v>
      </c>
      <c r="H621" s="70">
        <f>'RESUMEN TOTAL'!U753</f>
        <v>0</v>
      </c>
      <c r="I621" s="70">
        <f>'RESUMEN TOTAL'!V753</f>
        <v>0</v>
      </c>
      <c r="J621" s="70">
        <f>'RESUMEN TOTAL'!W753</f>
        <v>0</v>
      </c>
      <c r="K621" s="70">
        <f>'RESUMEN TOTAL'!X753</f>
        <v>0</v>
      </c>
      <c r="L621" s="70">
        <f>'RESUMEN TOTAL'!Y753</f>
        <v>0</v>
      </c>
      <c r="M621" s="70">
        <f>'RESUMEN TOTAL'!Z753</f>
        <v>0</v>
      </c>
      <c r="N621" s="70">
        <f>'RESUMEN TOTAL'!AA753</f>
        <v>0</v>
      </c>
      <c r="O621" s="70">
        <f>'RESUMEN TOTAL'!AB753</f>
        <v>0</v>
      </c>
      <c r="P621" s="70">
        <f>'RESUMEN TOTAL'!AC753</f>
        <v>0</v>
      </c>
      <c r="Q621" s="70">
        <f>'RESUMEN TOTAL'!AD753</f>
        <v>0</v>
      </c>
      <c r="R621" s="70">
        <f>'RESUMEN TOTAL'!AE753</f>
        <v>0</v>
      </c>
      <c r="S621" s="70">
        <f>'RESUMEN TOTAL'!AF753</f>
        <v>0</v>
      </c>
      <c r="T621" s="70">
        <f>'RESUMEN TOTAL'!AG753</f>
        <v>0</v>
      </c>
      <c r="U621" s="70">
        <f>'RESUMEN TOTAL'!AH753</f>
        <v>0</v>
      </c>
      <c r="V621" s="70">
        <f>'RESUMEN TOTAL'!AI753</f>
        <v>0</v>
      </c>
      <c r="W621" s="70">
        <f>'RESUMEN TOTAL'!AJ753</f>
        <v>0</v>
      </c>
      <c r="X621" s="70">
        <f>'RESUMEN TOTAL'!AK753</f>
        <v>0</v>
      </c>
      <c r="Y621" s="70">
        <f>'RESUMEN TOTAL'!AL753</f>
        <v>0</v>
      </c>
      <c r="Z621" s="70">
        <f>'RESUMEN TOTAL'!AM753</f>
        <v>0</v>
      </c>
      <c r="AA621" s="70">
        <f>'RESUMEN TOTAL'!AN753</f>
        <v>0</v>
      </c>
      <c r="AB621" s="70">
        <f>'RESUMEN TOTAL'!AO753</f>
        <v>0</v>
      </c>
      <c r="AC621" s="70">
        <f>'RESUMEN TOTAL'!AP753</f>
        <v>0</v>
      </c>
      <c r="AD621" s="70">
        <f>'RESUMEN TOTAL'!AQ753</f>
        <v>0</v>
      </c>
      <c r="AE621" s="70">
        <f>'RESUMEN TOTAL'!AR753</f>
        <v>0</v>
      </c>
      <c r="AF621" s="70">
        <f>'RESUMEN TOTAL'!AS753</f>
        <v>0</v>
      </c>
      <c r="AG621" s="70">
        <f>'RESUMEN TOTAL'!AT753</f>
        <v>0</v>
      </c>
      <c r="AH621" s="70">
        <f>'RESUMEN TOTAL'!AU753</f>
        <v>0</v>
      </c>
      <c r="AI621" s="70">
        <f>'RESUMEN TOTAL'!AV753</f>
        <v>0</v>
      </c>
      <c r="AJ621" s="70" t="e">
        <f>'RESUMEN TOTAL'!#REF!</f>
        <v>#REF!</v>
      </c>
    </row>
    <row r="622" spans="1:36" x14ac:dyDescent="0.25">
      <c r="A622">
        <f>'RESUMEN TOTAL'!F754</f>
        <v>0</v>
      </c>
      <c r="B622">
        <f>'RESUMEN TOTAL'!G754</f>
        <v>0</v>
      </c>
      <c r="C622">
        <f>'RESUMEN TOTAL'!I754</f>
        <v>0</v>
      </c>
      <c r="D622" s="30">
        <f>'RESUMEN TOTAL'!J754</f>
        <v>0</v>
      </c>
      <c r="E622" s="30">
        <f>'RESUMEN TOTAL'!K754</f>
        <v>0</v>
      </c>
      <c r="F622" s="70">
        <f>'RESUMEN TOTAL'!S754</f>
        <v>0</v>
      </c>
      <c r="G622" s="70">
        <f>'RESUMEN TOTAL'!T754</f>
        <v>0</v>
      </c>
      <c r="H622" s="70">
        <f>'RESUMEN TOTAL'!U754</f>
        <v>0</v>
      </c>
      <c r="I622" s="70">
        <f>'RESUMEN TOTAL'!V754</f>
        <v>0</v>
      </c>
      <c r="J622" s="70">
        <f>'RESUMEN TOTAL'!W754</f>
        <v>0</v>
      </c>
      <c r="K622" s="70">
        <f>'RESUMEN TOTAL'!X754</f>
        <v>0</v>
      </c>
      <c r="L622" s="70">
        <f>'RESUMEN TOTAL'!Y754</f>
        <v>0</v>
      </c>
      <c r="M622" s="70">
        <f>'RESUMEN TOTAL'!Z754</f>
        <v>0</v>
      </c>
      <c r="N622" s="70">
        <f>'RESUMEN TOTAL'!AA754</f>
        <v>0</v>
      </c>
      <c r="O622" s="70">
        <f>'RESUMEN TOTAL'!AB754</f>
        <v>0</v>
      </c>
      <c r="P622" s="70">
        <f>'RESUMEN TOTAL'!AC754</f>
        <v>0</v>
      </c>
      <c r="Q622" s="70">
        <f>'RESUMEN TOTAL'!AD754</f>
        <v>0</v>
      </c>
      <c r="R622" s="70">
        <f>'RESUMEN TOTAL'!AE754</f>
        <v>0</v>
      </c>
      <c r="S622" s="70">
        <f>'RESUMEN TOTAL'!AF754</f>
        <v>0</v>
      </c>
      <c r="T622" s="70">
        <f>'RESUMEN TOTAL'!AG754</f>
        <v>0</v>
      </c>
      <c r="U622" s="70">
        <f>'RESUMEN TOTAL'!AH754</f>
        <v>0</v>
      </c>
      <c r="V622" s="70">
        <f>'RESUMEN TOTAL'!AI754</f>
        <v>0</v>
      </c>
      <c r="W622" s="70">
        <f>'RESUMEN TOTAL'!AJ754</f>
        <v>0</v>
      </c>
      <c r="X622" s="70">
        <f>'RESUMEN TOTAL'!AK754</f>
        <v>0</v>
      </c>
      <c r="Y622" s="70">
        <f>'RESUMEN TOTAL'!AL754</f>
        <v>0</v>
      </c>
      <c r="Z622" s="70">
        <f>'RESUMEN TOTAL'!AM754</f>
        <v>0</v>
      </c>
      <c r="AA622" s="70">
        <f>'RESUMEN TOTAL'!AN754</f>
        <v>0</v>
      </c>
      <c r="AB622" s="70">
        <f>'RESUMEN TOTAL'!AO754</f>
        <v>0</v>
      </c>
      <c r="AC622" s="70">
        <f>'RESUMEN TOTAL'!AP754</f>
        <v>0</v>
      </c>
      <c r="AD622" s="70">
        <f>'RESUMEN TOTAL'!AQ754</f>
        <v>0</v>
      </c>
      <c r="AE622" s="70">
        <f>'RESUMEN TOTAL'!AR754</f>
        <v>0</v>
      </c>
      <c r="AF622" s="70">
        <f>'RESUMEN TOTAL'!AS754</f>
        <v>0</v>
      </c>
      <c r="AG622" s="70">
        <f>'RESUMEN TOTAL'!AT754</f>
        <v>0</v>
      </c>
      <c r="AH622" s="70">
        <f>'RESUMEN TOTAL'!AU754</f>
        <v>0</v>
      </c>
      <c r="AI622" s="70">
        <f>'RESUMEN TOTAL'!AV754</f>
        <v>0</v>
      </c>
      <c r="AJ622" s="70" t="e">
        <f>'RESUMEN TOTAL'!#REF!</f>
        <v>#REF!</v>
      </c>
    </row>
    <row r="623" spans="1:36" x14ac:dyDescent="0.25">
      <c r="A623">
        <f>'RESUMEN TOTAL'!F755</f>
        <v>0</v>
      </c>
      <c r="B623">
        <f>'RESUMEN TOTAL'!G755</f>
        <v>0</v>
      </c>
      <c r="C623">
        <f>'RESUMEN TOTAL'!I755</f>
        <v>0</v>
      </c>
      <c r="D623" s="30">
        <f>'RESUMEN TOTAL'!J755</f>
        <v>0</v>
      </c>
      <c r="E623" s="30">
        <f>'RESUMEN TOTAL'!K755</f>
        <v>0</v>
      </c>
      <c r="F623" s="70">
        <f>'RESUMEN TOTAL'!S755</f>
        <v>0</v>
      </c>
      <c r="G623" s="70">
        <f>'RESUMEN TOTAL'!T755</f>
        <v>0</v>
      </c>
      <c r="H623" s="70">
        <f>'RESUMEN TOTAL'!U755</f>
        <v>0</v>
      </c>
      <c r="I623" s="70">
        <f>'RESUMEN TOTAL'!V755</f>
        <v>0</v>
      </c>
      <c r="J623" s="70">
        <f>'RESUMEN TOTAL'!W755</f>
        <v>0</v>
      </c>
      <c r="K623" s="70">
        <f>'RESUMEN TOTAL'!X755</f>
        <v>0</v>
      </c>
      <c r="L623" s="70">
        <f>'RESUMEN TOTAL'!Y755</f>
        <v>0</v>
      </c>
      <c r="M623" s="70">
        <f>'RESUMEN TOTAL'!Z755</f>
        <v>0</v>
      </c>
      <c r="N623" s="70">
        <f>'RESUMEN TOTAL'!AA755</f>
        <v>0</v>
      </c>
      <c r="O623" s="70">
        <f>'RESUMEN TOTAL'!AB755</f>
        <v>0</v>
      </c>
      <c r="P623" s="70">
        <f>'RESUMEN TOTAL'!AC755</f>
        <v>0</v>
      </c>
      <c r="Q623" s="70">
        <f>'RESUMEN TOTAL'!AD755</f>
        <v>0</v>
      </c>
      <c r="R623" s="70">
        <f>'RESUMEN TOTAL'!AE755</f>
        <v>0</v>
      </c>
      <c r="S623" s="70">
        <f>'RESUMEN TOTAL'!AF755</f>
        <v>0</v>
      </c>
      <c r="T623" s="70">
        <f>'RESUMEN TOTAL'!AG755</f>
        <v>0</v>
      </c>
      <c r="U623" s="70">
        <f>'RESUMEN TOTAL'!AH755</f>
        <v>0</v>
      </c>
      <c r="V623" s="70">
        <f>'RESUMEN TOTAL'!AI755</f>
        <v>0</v>
      </c>
      <c r="W623" s="70">
        <f>'RESUMEN TOTAL'!AJ755</f>
        <v>0</v>
      </c>
      <c r="X623" s="70">
        <f>'RESUMEN TOTAL'!AK755</f>
        <v>0</v>
      </c>
      <c r="Y623" s="70">
        <f>'RESUMEN TOTAL'!AL755</f>
        <v>0</v>
      </c>
      <c r="Z623" s="70">
        <f>'RESUMEN TOTAL'!AM755</f>
        <v>0</v>
      </c>
      <c r="AA623" s="70">
        <f>'RESUMEN TOTAL'!AN755</f>
        <v>0</v>
      </c>
      <c r="AB623" s="70">
        <f>'RESUMEN TOTAL'!AO755</f>
        <v>0</v>
      </c>
      <c r="AC623" s="70">
        <f>'RESUMEN TOTAL'!AP755</f>
        <v>0</v>
      </c>
      <c r="AD623" s="70">
        <f>'RESUMEN TOTAL'!AQ755</f>
        <v>0</v>
      </c>
      <c r="AE623" s="70">
        <f>'RESUMEN TOTAL'!AR755</f>
        <v>0</v>
      </c>
      <c r="AF623" s="70">
        <f>'RESUMEN TOTAL'!AS755</f>
        <v>0</v>
      </c>
      <c r="AG623" s="70">
        <f>'RESUMEN TOTAL'!AT755</f>
        <v>0</v>
      </c>
      <c r="AH623" s="70">
        <f>'RESUMEN TOTAL'!AU755</f>
        <v>0</v>
      </c>
      <c r="AI623" s="70">
        <f>'RESUMEN TOTAL'!AV755</f>
        <v>0</v>
      </c>
      <c r="AJ623" s="70" t="e">
        <f>'RESUMEN TOTAL'!#REF!</f>
        <v>#REF!</v>
      </c>
    </row>
    <row r="624" spans="1:36" x14ac:dyDescent="0.25">
      <c r="A624">
        <f>'RESUMEN TOTAL'!F756</f>
        <v>0</v>
      </c>
      <c r="B624">
        <f>'RESUMEN TOTAL'!G756</f>
        <v>0</v>
      </c>
      <c r="C624">
        <f>'RESUMEN TOTAL'!I756</f>
        <v>0</v>
      </c>
      <c r="D624" s="30">
        <f>'RESUMEN TOTAL'!J756</f>
        <v>0</v>
      </c>
      <c r="E624" s="30">
        <f>'RESUMEN TOTAL'!K756</f>
        <v>0</v>
      </c>
      <c r="F624" s="70">
        <f>'RESUMEN TOTAL'!S756</f>
        <v>0</v>
      </c>
      <c r="G624" s="70">
        <f>'RESUMEN TOTAL'!T756</f>
        <v>0</v>
      </c>
      <c r="H624" s="70">
        <f>'RESUMEN TOTAL'!U756</f>
        <v>0</v>
      </c>
      <c r="I624" s="70">
        <f>'RESUMEN TOTAL'!V756</f>
        <v>0</v>
      </c>
      <c r="J624" s="70">
        <f>'RESUMEN TOTAL'!W756</f>
        <v>0</v>
      </c>
      <c r="K624" s="70">
        <f>'RESUMEN TOTAL'!X756</f>
        <v>0</v>
      </c>
      <c r="L624" s="70">
        <f>'RESUMEN TOTAL'!Y756</f>
        <v>0</v>
      </c>
      <c r="M624" s="70">
        <f>'RESUMEN TOTAL'!Z756</f>
        <v>0</v>
      </c>
      <c r="N624" s="70">
        <f>'RESUMEN TOTAL'!AA756</f>
        <v>0</v>
      </c>
      <c r="O624" s="70">
        <f>'RESUMEN TOTAL'!AB756</f>
        <v>0</v>
      </c>
      <c r="P624" s="70">
        <f>'RESUMEN TOTAL'!AC756</f>
        <v>0</v>
      </c>
      <c r="Q624" s="70">
        <f>'RESUMEN TOTAL'!AD756</f>
        <v>0</v>
      </c>
      <c r="R624" s="70">
        <f>'RESUMEN TOTAL'!AE756</f>
        <v>0</v>
      </c>
      <c r="S624" s="70">
        <f>'RESUMEN TOTAL'!AF756</f>
        <v>0</v>
      </c>
      <c r="T624" s="70">
        <f>'RESUMEN TOTAL'!AG756</f>
        <v>0</v>
      </c>
      <c r="U624" s="70">
        <f>'RESUMEN TOTAL'!AH756</f>
        <v>0</v>
      </c>
      <c r="V624" s="70">
        <f>'RESUMEN TOTAL'!AI756</f>
        <v>0</v>
      </c>
      <c r="W624" s="70">
        <f>'RESUMEN TOTAL'!AJ756</f>
        <v>0</v>
      </c>
      <c r="X624" s="70">
        <f>'RESUMEN TOTAL'!AK756</f>
        <v>0</v>
      </c>
      <c r="Y624" s="70">
        <f>'RESUMEN TOTAL'!AL756</f>
        <v>0</v>
      </c>
      <c r="Z624" s="70">
        <f>'RESUMEN TOTAL'!AM756</f>
        <v>0</v>
      </c>
      <c r="AA624" s="70">
        <f>'RESUMEN TOTAL'!AN756</f>
        <v>0</v>
      </c>
      <c r="AB624" s="70">
        <f>'RESUMEN TOTAL'!AO756</f>
        <v>0</v>
      </c>
      <c r="AC624" s="70">
        <f>'RESUMEN TOTAL'!AP756</f>
        <v>0</v>
      </c>
      <c r="AD624" s="70">
        <f>'RESUMEN TOTAL'!AQ756</f>
        <v>0</v>
      </c>
      <c r="AE624" s="70">
        <f>'RESUMEN TOTAL'!AR756</f>
        <v>0</v>
      </c>
      <c r="AF624" s="70">
        <f>'RESUMEN TOTAL'!AS756</f>
        <v>0</v>
      </c>
      <c r="AG624" s="70">
        <f>'RESUMEN TOTAL'!AT756</f>
        <v>0</v>
      </c>
      <c r="AH624" s="70">
        <f>'RESUMEN TOTAL'!AU756</f>
        <v>0</v>
      </c>
      <c r="AI624" s="70">
        <f>'RESUMEN TOTAL'!AV756</f>
        <v>0</v>
      </c>
      <c r="AJ624" s="70" t="e">
        <f>'RESUMEN TOTAL'!#REF!</f>
        <v>#REF!</v>
      </c>
    </row>
    <row r="625" spans="1:36" x14ac:dyDescent="0.25">
      <c r="A625">
        <f>'RESUMEN TOTAL'!F757</f>
        <v>0</v>
      </c>
      <c r="B625">
        <f>'RESUMEN TOTAL'!G757</f>
        <v>0</v>
      </c>
      <c r="C625">
        <f>'RESUMEN TOTAL'!I757</f>
        <v>0</v>
      </c>
      <c r="D625" s="30">
        <f>'RESUMEN TOTAL'!J757</f>
        <v>0</v>
      </c>
      <c r="E625" s="30">
        <f>'RESUMEN TOTAL'!K757</f>
        <v>0</v>
      </c>
      <c r="F625" s="70">
        <f>'RESUMEN TOTAL'!S757</f>
        <v>0</v>
      </c>
      <c r="G625" s="70">
        <f>'RESUMEN TOTAL'!T757</f>
        <v>0</v>
      </c>
      <c r="H625" s="70">
        <f>'RESUMEN TOTAL'!U757</f>
        <v>0</v>
      </c>
      <c r="I625" s="70">
        <f>'RESUMEN TOTAL'!V757</f>
        <v>0</v>
      </c>
      <c r="J625" s="70">
        <f>'RESUMEN TOTAL'!W757</f>
        <v>0</v>
      </c>
      <c r="K625" s="70">
        <f>'RESUMEN TOTAL'!X757</f>
        <v>0</v>
      </c>
      <c r="L625" s="70">
        <f>'RESUMEN TOTAL'!Y757</f>
        <v>0</v>
      </c>
      <c r="M625" s="70">
        <f>'RESUMEN TOTAL'!Z757</f>
        <v>0</v>
      </c>
      <c r="N625" s="70">
        <f>'RESUMEN TOTAL'!AA757</f>
        <v>0</v>
      </c>
      <c r="O625" s="70">
        <f>'RESUMEN TOTAL'!AB757</f>
        <v>0</v>
      </c>
      <c r="P625" s="70">
        <f>'RESUMEN TOTAL'!AC757</f>
        <v>0</v>
      </c>
      <c r="Q625" s="70">
        <f>'RESUMEN TOTAL'!AD757</f>
        <v>0</v>
      </c>
      <c r="R625" s="70">
        <f>'RESUMEN TOTAL'!AE757</f>
        <v>0</v>
      </c>
      <c r="S625" s="70">
        <f>'RESUMEN TOTAL'!AF757</f>
        <v>0</v>
      </c>
      <c r="T625" s="70">
        <f>'RESUMEN TOTAL'!AG757</f>
        <v>0</v>
      </c>
      <c r="U625" s="70">
        <f>'RESUMEN TOTAL'!AH757</f>
        <v>0</v>
      </c>
      <c r="V625" s="70">
        <f>'RESUMEN TOTAL'!AI757</f>
        <v>0</v>
      </c>
      <c r="W625" s="70">
        <f>'RESUMEN TOTAL'!AJ757</f>
        <v>0</v>
      </c>
      <c r="X625" s="70">
        <f>'RESUMEN TOTAL'!AK757</f>
        <v>0</v>
      </c>
      <c r="Y625" s="70">
        <f>'RESUMEN TOTAL'!AL757</f>
        <v>0</v>
      </c>
      <c r="Z625" s="70">
        <f>'RESUMEN TOTAL'!AM757</f>
        <v>0</v>
      </c>
      <c r="AA625" s="70">
        <f>'RESUMEN TOTAL'!AN757</f>
        <v>0</v>
      </c>
      <c r="AB625" s="70">
        <f>'RESUMEN TOTAL'!AO757</f>
        <v>0</v>
      </c>
      <c r="AC625" s="70">
        <f>'RESUMEN TOTAL'!AP757</f>
        <v>0</v>
      </c>
      <c r="AD625" s="70">
        <f>'RESUMEN TOTAL'!AQ757</f>
        <v>0</v>
      </c>
      <c r="AE625" s="70">
        <f>'RESUMEN TOTAL'!AR757</f>
        <v>0</v>
      </c>
      <c r="AF625" s="70">
        <f>'RESUMEN TOTAL'!AS757</f>
        <v>0</v>
      </c>
      <c r="AG625" s="70">
        <f>'RESUMEN TOTAL'!AT757</f>
        <v>0</v>
      </c>
      <c r="AH625" s="70">
        <f>'RESUMEN TOTAL'!AU757</f>
        <v>0</v>
      </c>
      <c r="AI625" s="70">
        <f>'RESUMEN TOTAL'!AV757</f>
        <v>0</v>
      </c>
      <c r="AJ625" s="70" t="e">
        <f>'RESUMEN TOTAL'!#REF!</f>
        <v>#REF!</v>
      </c>
    </row>
    <row r="626" spans="1:36" x14ac:dyDescent="0.25">
      <c r="A626">
        <f>'RESUMEN TOTAL'!F758</f>
        <v>0</v>
      </c>
      <c r="B626">
        <f>'RESUMEN TOTAL'!G758</f>
        <v>0</v>
      </c>
      <c r="C626">
        <f>'RESUMEN TOTAL'!I758</f>
        <v>0</v>
      </c>
      <c r="D626" s="30">
        <f>'RESUMEN TOTAL'!J758</f>
        <v>0</v>
      </c>
      <c r="E626" s="30">
        <f>'RESUMEN TOTAL'!K758</f>
        <v>0</v>
      </c>
      <c r="F626" s="70">
        <f>'RESUMEN TOTAL'!S758</f>
        <v>0</v>
      </c>
      <c r="G626" s="70">
        <f>'RESUMEN TOTAL'!T758</f>
        <v>0</v>
      </c>
      <c r="H626" s="70">
        <f>'RESUMEN TOTAL'!U758</f>
        <v>0</v>
      </c>
      <c r="I626" s="70">
        <f>'RESUMEN TOTAL'!V758</f>
        <v>0</v>
      </c>
      <c r="J626" s="70">
        <f>'RESUMEN TOTAL'!W758</f>
        <v>0</v>
      </c>
      <c r="K626" s="70">
        <f>'RESUMEN TOTAL'!X758</f>
        <v>0</v>
      </c>
      <c r="L626" s="70">
        <f>'RESUMEN TOTAL'!Y758</f>
        <v>0</v>
      </c>
      <c r="M626" s="70">
        <f>'RESUMEN TOTAL'!Z758</f>
        <v>0</v>
      </c>
      <c r="N626" s="70">
        <f>'RESUMEN TOTAL'!AA758</f>
        <v>0</v>
      </c>
      <c r="O626" s="70">
        <f>'RESUMEN TOTAL'!AB758</f>
        <v>0</v>
      </c>
      <c r="P626" s="70">
        <f>'RESUMEN TOTAL'!AC758</f>
        <v>0</v>
      </c>
      <c r="Q626" s="70">
        <f>'RESUMEN TOTAL'!AD758</f>
        <v>0</v>
      </c>
      <c r="R626" s="70">
        <f>'RESUMEN TOTAL'!AE758</f>
        <v>0</v>
      </c>
      <c r="S626" s="70">
        <f>'RESUMEN TOTAL'!AF758</f>
        <v>0</v>
      </c>
      <c r="T626" s="70">
        <f>'RESUMEN TOTAL'!AG758</f>
        <v>0</v>
      </c>
      <c r="U626" s="70">
        <f>'RESUMEN TOTAL'!AH758</f>
        <v>0</v>
      </c>
      <c r="V626" s="70">
        <f>'RESUMEN TOTAL'!AI758</f>
        <v>0</v>
      </c>
      <c r="W626" s="70">
        <f>'RESUMEN TOTAL'!AJ758</f>
        <v>0</v>
      </c>
      <c r="X626" s="70">
        <f>'RESUMEN TOTAL'!AK758</f>
        <v>0</v>
      </c>
      <c r="Y626" s="70">
        <f>'RESUMEN TOTAL'!AL758</f>
        <v>0</v>
      </c>
      <c r="Z626" s="70">
        <f>'RESUMEN TOTAL'!AM758</f>
        <v>0</v>
      </c>
      <c r="AA626" s="70">
        <f>'RESUMEN TOTAL'!AN758</f>
        <v>0</v>
      </c>
      <c r="AB626" s="70">
        <f>'RESUMEN TOTAL'!AO758</f>
        <v>0</v>
      </c>
      <c r="AC626" s="70">
        <f>'RESUMEN TOTAL'!AP758</f>
        <v>0</v>
      </c>
      <c r="AD626" s="70">
        <f>'RESUMEN TOTAL'!AQ758</f>
        <v>0</v>
      </c>
      <c r="AE626" s="70">
        <f>'RESUMEN TOTAL'!AR758</f>
        <v>0</v>
      </c>
      <c r="AF626" s="70">
        <f>'RESUMEN TOTAL'!AS758</f>
        <v>0</v>
      </c>
      <c r="AG626" s="70">
        <f>'RESUMEN TOTAL'!AT758</f>
        <v>0</v>
      </c>
      <c r="AH626" s="70">
        <f>'RESUMEN TOTAL'!AU758</f>
        <v>0</v>
      </c>
      <c r="AI626" s="70">
        <f>'RESUMEN TOTAL'!AV758</f>
        <v>0</v>
      </c>
      <c r="AJ626" s="70" t="e">
        <f>'RESUMEN TOTAL'!#REF!</f>
        <v>#REF!</v>
      </c>
    </row>
    <row r="627" spans="1:36" x14ac:dyDescent="0.25">
      <c r="A627">
        <f>'RESUMEN TOTAL'!F759</f>
        <v>0</v>
      </c>
      <c r="B627">
        <f>'RESUMEN TOTAL'!G759</f>
        <v>0</v>
      </c>
      <c r="C627">
        <f>'RESUMEN TOTAL'!I759</f>
        <v>0</v>
      </c>
      <c r="D627" s="30">
        <f>'RESUMEN TOTAL'!J759</f>
        <v>0</v>
      </c>
      <c r="E627" s="30">
        <f>'RESUMEN TOTAL'!K759</f>
        <v>0</v>
      </c>
      <c r="F627" s="70">
        <f>'RESUMEN TOTAL'!S759</f>
        <v>0</v>
      </c>
      <c r="G627" s="70">
        <f>'RESUMEN TOTAL'!T759</f>
        <v>0</v>
      </c>
      <c r="H627" s="70">
        <f>'RESUMEN TOTAL'!U759</f>
        <v>0</v>
      </c>
      <c r="I627" s="70">
        <f>'RESUMEN TOTAL'!V759</f>
        <v>0</v>
      </c>
      <c r="J627" s="70">
        <f>'RESUMEN TOTAL'!W759</f>
        <v>0</v>
      </c>
      <c r="K627" s="70">
        <f>'RESUMEN TOTAL'!X759</f>
        <v>0</v>
      </c>
      <c r="L627" s="70">
        <f>'RESUMEN TOTAL'!Y759</f>
        <v>0</v>
      </c>
      <c r="M627" s="70">
        <f>'RESUMEN TOTAL'!Z759</f>
        <v>0</v>
      </c>
      <c r="N627" s="70">
        <f>'RESUMEN TOTAL'!AA759</f>
        <v>0</v>
      </c>
      <c r="O627" s="70">
        <f>'RESUMEN TOTAL'!AB759</f>
        <v>0</v>
      </c>
      <c r="P627" s="70">
        <f>'RESUMEN TOTAL'!AC759</f>
        <v>0</v>
      </c>
      <c r="Q627" s="70">
        <f>'RESUMEN TOTAL'!AD759</f>
        <v>0</v>
      </c>
      <c r="R627" s="70">
        <f>'RESUMEN TOTAL'!AE759</f>
        <v>0</v>
      </c>
      <c r="S627" s="70">
        <f>'RESUMEN TOTAL'!AF759</f>
        <v>0</v>
      </c>
      <c r="T627" s="70">
        <f>'RESUMEN TOTAL'!AG759</f>
        <v>0</v>
      </c>
      <c r="U627" s="70">
        <f>'RESUMEN TOTAL'!AH759</f>
        <v>0</v>
      </c>
      <c r="V627" s="70">
        <f>'RESUMEN TOTAL'!AI759</f>
        <v>0</v>
      </c>
      <c r="W627" s="70">
        <f>'RESUMEN TOTAL'!AJ759</f>
        <v>0</v>
      </c>
      <c r="X627" s="70">
        <f>'RESUMEN TOTAL'!AK759</f>
        <v>0</v>
      </c>
      <c r="Y627" s="70">
        <f>'RESUMEN TOTAL'!AL759</f>
        <v>0</v>
      </c>
      <c r="Z627" s="70">
        <f>'RESUMEN TOTAL'!AM759</f>
        <v>0</v>
      </c>
      <c r="AA627" s="70">
        <f>'RESUMEN TOTAL'!AN759</f>
        <v>0</v>
      </c>
      <c r="AB627" s="70">
        <f>'RESUMEN TOTAL'!AO759</f>
        <v>0</v>
      </c>
      <c r="AC627" s="70">
        <f>'RESUMEN TOTAL'!AP759</f>
        <v>0</v>
      </c>
      <c r="AD627" s="70">
        <f>'RESUMEN TOTAL'!AQ759</f>
        <v>0</v>
      </c>
      <c r="AE627" s="70">
        <f>'RESUMEN TOTAL'!AR759</f>
        <v>0</v>
      </c>
      <c r="AF627" s="70">
        <f>'RESUMEN TOTAL'!AS759</f>
        <v>0</v>
      </c>
      <c r="AG627" s="70">
        <f>'RESUMEN TOTAL'!AT759</f>
        <v>0</v>
      </c>
      <c r="AH627" s="70">
        <f>'RESUMEN TOTAL'!AU759</f>
        <v>0</v>
      </c>
      <c r="AI627" s="70">
        <f>'RESUMEN TOTAL'!AV759</f>
        <v>0</v>
      </c>
      <c r="AJ627" s="70" t="e">
        <f>'RESUMEN TOTAL'!#REF!</f>
        <v>#REF!</v>
      </c>
    </row>
    <row r="628" spans="1:36" x14ac:dyDescent="0.25">
      <c r="A628">
        <f>'RESUMEN TOTAL'!F760</f>
        <v>0</v>
      </c>
      <c r="B628">
        <f>'RESUMEN TOTAL'!G760</f>
        <v>0</v>
      </c>
      <c r="C628">
        <f>'RESUMEN TOTAL'!I760</f>
        <v>0</v>
      </c>
      <c r="D628" s="30">
        <f>'RESUMEN TOTAL'!J760</f>
        <v>0</v>
      </c>
      <c r="E628" s="30">
        <f>'RESUMEN TOTAL'!K760</f>
        <v>0</v>
      </c>
      <c r="F628" s="70">
        <f>'RESUMEN TOTAL'!S760</f>
        <v>0</v>
      </c>
      <c r="G628" s="70">
        <f>'RESUMEN TOTAL'!T760</f>
        <v>0</v>
      </c>
      <c r="H628" s="70">
        <f>'RESUMEN TOTAL'!U760</f>
        <v>0</v>
      </c>
      <c r="I628" s="70">
        <f>'RESUMEN TOTAL'!V760</f>
        <v>0</v>
      </c>
      <c r="J628" s="70">
        <f>'RESUMEN TOTAL'!W760</f>
        <v>0</v>
      </c>
      <c r="K628" s="70">
        <f>'RESUMEN TOTAL'!X760</f>
        <v>0</v>
      </c>
      <c r="L628" s="70">
        <f>'RESUMEN TOTAL'!Y760</f>
        <v>0</v>
      </c>
      <c r="M628" s="70">
        <f>'RESUMEN TOTAL'!Z760</f>
        <v>0</v>
      </c>
      <c r="N628" s="70">
        <f>'RESUMEN TOTAL'!AA760</f>
        <v>0</v>
      </c>
      <c r="O628" s="70">
        <f>'RESUMEN TOTAL'!AB760</f>
        <v>0</v>
      </c>
      <c r="P628" s="70">
        <f>'RESUMEN TOTAL'!AC760</f>
        <v>0</v>
      </c>
      <c r="Q628" s="70">
        <f>'RESUMEN TOTAL'!AD760</f>
        <v>0</v>
      </c>
      <c r="R628" s="70">
        <f>'RESUMEN TOTAL'!AE760</f>
        <v>0</v>
      </c>
      <c r="S628" s="70">
        <f>'RESUMEN TOTAL'!AF760</f>
        <v>0</v>
      </c>
      <c r="T628" s="70">
        <f>'RESUMEN TOTAL'!AG760</f>
        <v>0</v>
      </c>
      <c r="U628" s="70">
        <f>'RESUMEN TOTAL'!AH760</f>
        <v>0</v>
      </c>
      <c r="V628" s="70">
        <f>'RESUMEN TOTAL'!AI760</f>
        <v>0</v>
      </c>
      <c r="W628" s="70">
        <f>'RESUMEN TOTAL'!AJ760</f>
        <v>0</v>
      </c>
      <c r="X628" s="70">
        <f>'RESUMEN TOTAL'!AK760</f>
        <v>0</v>
      </c>
      <c r="Y628" s="70">
        <f>'RESUMEN TOTAL'!AL760</f>
        <v>0</v>
      </c>
      <c r="Z628" s="70">
        <f>'RESUMEN TOTAL'!AM760</f>
        <v>0</v>
      </c>
      <c r="AA628" s="70">
        <f>'RESUMEN TOTAL'!AN760</f>
        <v>0</v>
      </c>
      <c r="AB628" s="70">
        <f>'RESUMEN TOTAL'!AO760</f>
        <v>0</v>
      </c>
      <c r="AC628" s="70">
        <f>'RESUMEN TOTAL'!AP760</f>
        <v>0</v>
      </c>
      <c r="AD628" s="70">
        <f>'RESUMEN TOTAL'!AQ760</f>
        <v>0</v>
      </c>
      <c r="AE628" s="70">
        <f>'RESUMEN TOTAL'!AR760</f>
        <v>0</v>
      </c>
      <c r="AF628" s="70">
        <f>'RESUMEN TOTAL'!AS760</f>
        <v>0</v>
      </c>
      <c r="AG628" s="70">
        <f>'RESUMEN TOTAL'!AT760</f>
        <v>0</v>
      </c>
      <c r="AH628" s="70">
        <f>'RESUMEN TOTAL'!AU760</f>
        <v>0</v>
      </c>
      <c r="AI628" s="70">
        <f>'RESUMEN TOTAL'!AV760</f>
        <v>0</v>
      </c>
      <c r="AJ628" s="70" t="e">
        <f>'RESUMEN TOTAL'!#REF!</f>
        <v>#REF!</v>
      </c>
    </row>
    <row r="629" spans="1:36" x14ac:dyDescent="0.25">
      <c r="A629">
        <f>'RESUMEN TOTAL'!F761</f>
        <v>0</v>
      </c>
      <c r="B629">
        <f>'RESUMEN TOTAL'!G761</f>
        <v>0</v>
      </c>
      <c r="C629">
        <f>'RESUMEN TOTAL'!I761</f>
        <v>0</v>
      </c>
      <c r="D629" s="30">
        <f>'RESUMEN TOTAL'!J761</f>
        <v>0</v>
      </c>
      <c r="E629" s="30">
        <f>'RESUMEN TOTAL'!K761</f>
        <v>0</v>
      </c>
      <c r="F629" s="70">
        <f>'RESUMEN TOTAL'!S761</f>
        <v>0</v>
      </c>
      <c r="G629" s="70">
        <f>'RESUMEN TOTAL'!T761</f>
        <v>0</v>
      </c>
      <c r="H629" s="70">
        <f>'RESUMEN TOTAL'!U761</f>
        <v>0</v>
      </c>
      <c r="I629" s="70">
        <f>'RESUMEN TOTAL'!V761</f>
        <v>0</v>
      </c>
      <c r="J629" s="70">
        <f>'RESUMEN TOTAL'!W761</f>
        <v>0</v>
      </c>
      <c r="K629" s="70">
        <f>'RESUMEN TOTAL'!X761</f>
        <v>0</v>
      </c>
      <c r="L629" s="70">
        <f>'RESUMEN TOTAL'!Y761</f>
        <v>0</v>
      </c>
      <c r="M629" s="70">
        <f>'RESUMEN TOTAL'!Z761</f>
        <v>0</v>
      </c>
      <c r="N629" s="70">
        <f>'RESUMEN TOTAL'!AA761</f>
        <v>0</v>
      </c>
      <c r="O629" s="70">
        <f>'RESUMEN TOTAL'!AB761</f>
        <v>0</v>
      </c>
      <c r="P629" s="70">
        <f>'RESUMEN TOTAL'!AC761</f>
        <v>0</v>
      </c>
      <c r="Q629" s="70">
        <f>'RESUMEN TOTAL'!AD761</f>
        <v>0</v>
      </c>
      <c r="R629" s="70">
        <f>'RESUMEN TOTAL'!AE761</f>
        <v>0</v>
      </c>
      <c r="S629" s="70">
        <f>'RESUMEN TOTAL'!AF761</f>
        <v>0</v>
      </c>
      <c r="T629" s="70">
        <f>'RESUMEN TOTAL'!AG761</f>
        <v>0</v>
      </c>
      <c r="U629" s="70">
        <f>'RESUMEN TOTAL'!AH761</f>
        <v>0</v>
      </c>
      <c r="V629" s="70">
        <f>'RESUMEN TOTAL'!AI761</f>
        <v>0</v>
      </c>
      <c r="W629" s="70">
        <f>'RESUMEN TOTAL'!AJ761</f>
        <v>0</v>
      </c>
      <c r="X629" s="70">
        <f>'RESUMEN TOTAL'!AK761</f>
        <v>0</v>
      </c>
      <c r="Y629" s="70">
        <f>'RESUMEN TOTAL'!AL761</f>
        <v>0</v>
      </c>
      <c r="Z629" s="70">
        <f>'RESUMEN TOTAL'!AM761</f>
        <v>0</v>
      </c>
      <c r="AA629" s="70">
        <f>'RESUMEN TOTAL'!AN761</f>
        <v>0</v>
      </c>
      <c r="AB629" s="70">
        <f>'RESUMEN TOTAL'!AO761</f>
        <v>0</v>
      </c>
      <c r="AC629" s="70">
        <f>'RESUMEN TOTAL'!AP761</f>
        <v>0</v>
      </c>
      <c r="AD629" s="70">
        <f>'RESUMEN TOTAL'!AQ761</f>
        <v>0</v>
      </c>
      <c r="AE629" s="70">
        <f>'RESUMEN TOTAL'!AR761</f>
        <v>0</v>
      </c>
      <c r="AF629" s="70">
        <f>'RESUMEN TOTAL'!AS761</f>
        <v>0</v>
      </c>
      <c r="AG629" s="70">
        <f>'RESUMEN TOTAL'!AT761</f>
        <v>0</v>
      </c>
      <c r="AH629" s="70">
        <f>'RESUMEN TOTAL'!AU761</f>
        <v>0</v>
      </c>
      <c r="AI629" s="70">
        <f>'RESUMEN TOTAL'!AV761</f>
        <v>0</v>
      </c>
      <c r="AJ629" s="70" t="e">
        <f>'RESUMEN TOTAL'!#REF!</f>
        <v>#REF!</v>
      </c>
    </row>
    <row r="630" spans="1:36" x14ac:dyDescent="0.25">
      <c r="A630">
        <f>'RESUMEN TOTAL'!F762</f>
        <v>0</v>
      </c>
      <c r="B630">
        <f>'RESUMEN TOTAL'!G762</f>
        <v>0</v>
      </c>
      <c r="C630">
        <f>'RESUMEN TOTAL'!I762</f>
        <v>0</v>
      </c>
      <c r="D630" s="30">
        <f>'RESUMEN TOTAL'!J762</f>
        <v>0</v>
      </c>
      <c r="E630" s="30">
        <f>'RESUMEN TOTAL'!K762</f>
        <v>0</v>
      </c>
      <c r="F630" s="70">
        <f>'RESUMEN TOTAL'!S762</f>
        <v>0</v>
      </c>
      <c r="G630" s="70">
        <f>'RESUMEN TOTAL'!T762</f>
        <v>0</v>
      </c>
      <c r="H630" s="70">
        <f>'RESUMEN TOTAL'!U762</f>
        <v>0</v>
      </c>
      <c r="I630" s="70">
        <f>'RESUMEN TOTAL'!V762</f>
        <v>0</v>
      </c>
      <c r="J630" s="70">
        <f>'RESUMEN TOTAL'!W762</f>
        <v>0</v>
      </c>
      <c r="K630" s="70">
        <f>'RESUMEN TOTAL'!X762</f>
        <v>0</v>
      </c>
      <c r="L630" s="70">
        <f>'RESUMEN TOTAL'!Y762</f>
        <v>0</v>
      </c>
      <c r="M630" s="70">
        <f>'RESUMEN TOTAL'!Z762</f>
        <v>0</v>
      </c>
      <c r="N630" s="70">
        <f>'RESUMEN TOTAL'!AA762</f>
        <v>0</v>
      </c>
      <c r="O630" s="70">
        <f>'RESUMEN TOTAL'!AB762</f>
        <v>0</v>
      </c>
      <c r="P630" s="70">
        <f>'RESUMEN TOTAL'!AC762</f>
        <v>0</v>
      </c>
      <c r="Q630" s="70">
        <f>'RESUMEN TOTAL'!AD762</f>
        <v>0</v>
      </c>
      <c r="R630" s="70">
        <f>'RESUMEN TOTAL'!AE762</f>
        <v>0</v>
      </c>
      <c r="S630" s="70">
        <f>'RESUMEN TOTAL'!AF762</f>
        <v>0</v>
      </c>
      <c r="T630" s="70">
        <f>'RESUMEN TOTAL'!AG762</f>
        <v>0</v>
      </c>
      <c r="U630" s="70">
        <f>'RESUMEN TOTAL'!AH762</f>
        <v>0</v>
      </c>
      <c r="V630" s="70">
        <f>'RESUMEN TOTAL'!AI762</f>
        <v>0</v>
      </c>
      <c r="W630" s="70">
        <f>'RESUMEN TOTAL'!AJ762</f>
        <v>0</v>
      </c>
      <c r="X630" s="70">
        <f>'RESUMEN TOTAL'!AK762</f>
        <v>0</v>
      </c>
      <c r="Y630" s="70">
        <f>'RESUMEN TOTAL'!AL762</f>
        <v>0</v>
      </c>
      <c r="Z630" s="70">
        <f>'RESUMEN TOTAL'!AM762</f>
        <v>0</v>
      </c>
      <c r="AA630" s="70">
        <f>'RESUMEN TOTAL'!AN762</f>
        <v>0</v>
      </c>
      <c r="AB630" s="70">
        <f>'RESUMEN TOTAL'!AO762</f>
        <v>0</v>
      </c>
      <c r="AC630" s="70">
        <f>'RESUMEN TOTAL'!AP762</f>
        <v>0</v>
      </c>
      <c r="AD630" s="70">
        <f>'RESUMEN TOTAL'!AQ762</f>
        <v>0</v>
      </c>
      <c r="AE630" s="70">
        <f>'RESUMEN TOTAL'!AR762</f>
        <v>0</v>
      </c>
      <c r="AF630" s="70">
        <f>'RESUMEN TOTAL'!AS762</f>
        <v>0</v>
      </c>
      <c r="AG630" s="70">
        <f>'RESUMEN TOTAL'!AT762</f>
        <v>0</v>
      </c>
      <c r="AH630" s="70">
        <f>'RESUMEN TOTAL'!AU762</f>
        <v>0</v>
      </c>
      <c r="AI630" s="70">
        <f>'RESUMEN TOTAL'!AV762</f>
        <v>0</v>
      </c>
      <c r="AJ630" s="70" t="e">
        <f>'RESUMEN TOTAL'!#REF!</f>
        <v>#REF!</v>
      </c>
    </row>
    <row r="631" spans="1:36" x14ac:dyDescent="0.25">
      <c r="A631">
        <f>'RESUMEN TOTAL'!F763</f>
        <v>0</v>
      </c>
      <c r="B631">
        <f>'RESUMEN TOTAL'!G763</f>
        <v>0</v>
      </c>
      <c r="C631">
        <f>'RESUMEN TOTAL'!I763</f>
        <v>0</v>
      </c>
      <c r="D631" s="30">
        <f>'RESUMEN TOTAL'!J763</f>
        <v>0</v>
      </c>
      <c r="E631" s="30">
        <f>'RESUMEN TOTAL'!K763</f>
        <v>0</v>
      </c>
      <c r="F631" s="70">
        <f>'RESUMEN TOTAL'!S763</f>
        <v>0</v>
      </c>
      <c r="G631" s="70">
        <f>'RESUMEN TOTAL'!T763</f>
        <v>0</v>
      </c>
      <c r="H631" s="70">
        <f>'RESUMEN TOTAL'!U763</f>
        <v>0</v>
      </c>
      <c r="I631" s="70">
        <f>'RESUMEN TOTAL'!V763</f>
        <v>0</v>
      </c>
      <c r="J631" s="70">
        <f>'RESUMEN TOTAL'!W763</f>
        <v>0</v>
      </c>
      <c r="K631" s="70">
        <f>'RESUMEN TOTAL'!X763</f>
        <v>0</v>
      </c>
      <c r="L631" s="70">
        <f>'RESUMEN TOTAL'!Y763</f>
        <v>0</v>
      </c>
      <c r="M631" s="70">
        <f>'RESUMEN TOTAL'!Z763</f>
        <v>0</v>
      </c>
      <c r="N631" s="70">
        <f>'RESUMEN TOTAL'!AA763</f>
        <v>0</v>
      </c>
      <c r="O631" s="70">
        <f>'RESUMEN TOTAL'!AB763</f>
        <v>0</v>
      </c>
      <c r="P631" s="70">
        <f>'RESUMEN TOTAL'!AC763</f>
        <v>0</v>
      </c>
      <c r="Q631" s="70">
        <f>'RESUMEN TOTAL'!AD763</f>
        <v>0</v>
      </c>
      <c r="R631" s="70">
        <f>'RESUMEN TOTAL'!AE763</f>
        <v>0</v>
      </c>
      <c r="S631" s="70">
        <f>'RESUMEN TOTAL'!AF763</f>
        <v>0</v>
      </c>
      <c r="T631" s="70">
        <f>'RESUMEN TOTAL'!AG763</f>
        <v>0</v>
      </c>
      <c r="U631" s="70">
        <f>'RESUMEN TOTAL'!AH763</f>
        <v>0</v>
      </c>
      <c r="V631" s="70">
        <f>'RESUMEN TOTAL'!AI763</f>
        <v>0</v>
      </c>
      <c r="W631" s="70">
        <f>'RESUMEN TOTAL'!AJ763</f>
        <v>0</v>
      </c>
      <c r="X631" s="70">
        <f>'RESUMEN TOTAL'!AK763</f>
        <v>0</v>
      </c>
      <c r="Y631" s="70">
        <f>'RESUMEN TOTAL'!AL763</f>
        <v>0</v>
      </c>
      <c r="Z631" s="70">
        <f>'RESUMEN TOTAL'!AM763</f>
        <v>0</v>
      </c>
      <c r="AA631" s="70">
        <f>'RESUMEN TOTAL'!AN763</f>
        <v>0</v>
      </c>
      <c r="AB631" s="70">
        <f>'RESUMEN TOTAL'!AO763</f>
        <v>0</v>
      </c>
      <c r="AC631" s="70">
        <f>'RESUMEN TOTAL'!AP763</f>
        <v>0</v>
      </c>
      <c r="AD631" s="70">
        <f>'RESUMEN TOTAL'!AQ763</f>
        <v>0</v>
      </c>
      <c r="AE631" s="70">
        <f>'RESUMEN TOTAL'!AR763</f>
        <v>0</v>
      </c>
      <c r="AF631" s="70">
        <f>'RESUMEN TOTAL'!AS763</f>
        <v>0</v>
      </c>
      <c r="AG631" s="70">
        <f>'RESUMEN TOTAL'!AT763</f>
        <v>0</v>
      </c>
      <c r="AH631" s="70">
        <f>'RESUMEN TOTAL'!AU763</f>
        <v>0</v>
      </c>
      <c r="AI631" s="70">
        <f>'RESUMEN TOTAL'!AV763</f>
        <v>0</v>
      </c>
      <c r="AJ631" s="70" t="e">
        <f>'RESUMEN TOTAL'!#REF!</f>
        <v>#REF!</v>
      </c>
    </row>
    <row r="632" spans="1:36" x14ac:dyDescent="0.25">
      <c r="A632">
        <f>'RESUMEN TOTAL'!F764</f>
        <v>0</v>
      </c>
      <c r="B632">
        <f>'RESUMEN TOTAL'!G764</f>
        <v>0</v>
      </c>
      <c r="C632">
        <f>'RESUMEN TOTAL'!I764</f>
        <v>0</v>
      </c>
      <c r="D632" s="30">
        <f>'RESUMEN TOTAL'!J764</f>
        <v>0</v>
      </c>
      <c r="E632" s="30">
        <f>'RESUMEN TOTAL'!K764</f>
        <v>0</v>
      </c>
      <c r="F632" s="70">
        <f>'RESUMEN TOTAL'!S764</f>
        <v>0</v>
      </c>
      <c r="G632" s="70">
        <f>'RESUMEN TOTAL'!T764</f>
        <v>0</v>
      </c>
      <c r="H632" s="70">
        <f>'RESUMEN TOTAL'!U764</f>
        <v>0</v>
      </c>
      <c r="I632" s="70">
        <f>'RESUMEN TOTAL'!V764</f>
        <v>0</v>
      </c>
      <c r="J632" s="70">
        <f>'RESUMEN TOTAL'!W764</f>
        <v>0</v>
      </c>
      <c r="K632" s="70">
        <f>'RESUMEN TOTAL'!X764</f>
        <v>0</v>
      </c>
      <c r="L632" s="70">
        <f>'RESUMEN TOTAL'!Y764</f>
        <v>0</v>
      </c>
      <c r="M632" s="70">
        <f>'RESUMEN TOTAL'!Z764</f>
        <v>0</v>
      </c>
      <c r="N632" s="70">
        <f>'RESUMEN TOTAL'!AA764</f>
        <v>0</v>
      </c>
      <c r="O632" s="70">
        <f>'RESUMEN TOTAL'!AB764</f>
        <v>0</v>
      </c>
      <c r="P632" s="70">
        <f>'RESUMEN TOTAL'!AC764</f>
        <v>0</v>
      </c>
      <c r="Q632" s="70">
        <f>'RESUMEN TOTAL'!AD764</f>
        <v>0</v>
      </c>
      <c r="R632" s="70">
        <f>'RESUMEN TOTAL'!AE764</f>
        <v>0</v>
      </c>
      <c r="S632" s="70">
        <f>'RESUMEN TOTAL'!AF764</f>
        <v>0</v>
      </c>
      <c r="T632" s="70">
        <f>'RESUMEN TOTAL'!AG764</f>
        <v>0</v>
      </c>
      <c r="U632" s="70">
        <f>'RESUMEN TOTAL'!AH764</f>
        <v>0</v>
      </c>
      <c r="V632" s="70">
        <f>'RESUMEN TOTAL'!AI764</f>
        <v>0</v>
      </c>
      <c r="W632" s="70">
        <f>'RESUMEN TOTAL'!AJ764</f>
        <v>0</v>
      </c>
      <c r="X632" s="70">
        <f>'RESUMEN TOTAL'!AK764</f>
        <v>0</v>
      </c>
      <c r="Y632" s="70">
        <f>'RESUMEN TOTAL'!AL764</f>
        <v>0</v>
      </c>
      <c r="Z632" s="70">
        <f>'RESUMEN TOTAL'!AM764</f>
        <v>0</v>
      </c>
      <c r="AA632" s="70">
        <f>'RESUMEN TOTAL'!AN764</f>
        <v>0</v>
      </c>
      <c r="AB632" s="70">
        <f>'RESUMEN TOTAL'!AO764</f>
        <v>0</v>
      </c>
      <c r="AC632" s="70">
        <f>'RESUMEN TOTAL'!AP764</f>
        <v>0</v>
      </c>
      <c r="AD632" s="70">
        <f>'RESUMEN TOTAL'!AQ764</f>
        <v>0</v>
      </c>
      <c r="AE632" s="70">
        <f>'RESUMEN TOTAL'!AR764</f>
        <v>0</v>
      </c>
      <c r="AF632" s="70">
        <f>'RESUMEN TOTAL'!AS764</f>
        <v>0</v>
      </c>
      <c r="AG632" s="70">
        <f>'RESUMEN TOTAL'!AT764</f>
        <v>0</v>
      </c>
      <c r="AH632" s="70">
        <f>'RESUMEN TOTAL'!AU764</f>
        <v>0</v>
      </c>
      <c r="AI632" s="70">
        <f>'RESUMEN TOTAL'!AV764</f>
        <v>0</v>
      </c>
      <c r="AJ632" s="70" t="e">
        <f>'RESUMEN TOTAL'!#REF!</f>
        <v>#REF!</v>
      </c>
    </row>
    <row r="633" spans="1:36" x14ac:dyDescent="0.25">
      <c r="A633">
        <f>'RESUMEN TOTAL'!F765</f>
        <v>0</v>
      </c>
      <c r="B633">
        <f>'RESUMEN TOTAL'!G765</f>
        <v>0</v>
      </c>
      <c r="C633">
        <f>'RESUMEN TOTAL'!I765</f>
        <v>0</v>
      </c>
      <c r="D633" s="30">
        <f>'RESUMEN TOTAL'!J765</f>
        <v>0</v>
      </c>
      <c r="E633" s="30">
        <f>'RESUMEN TOTAL'!K765</f>
        <v>0</v>
      </c>
      <c r="F633" s="70">
        <f>'RESUMEN TOTAL'!S765</f>
        <v>0</v>
      </c>
      <c r="G633" s="70">
        <f>'RESUMEN TOTAL'!T765</f>
        <v>0</v>
      </c>
      <c r="H633" s="70">
        <f>'RESUMEN TOTAL'!U765</f>
        <v>0</v>
      </c>
      <c r="I633" s="70">
        <f>'RESUMEN TOTAL'!V765</f>
        <v>0</v>
      </c>
      <c r="J633" s="70">
        <f>'RESUMEN TOTAL'!W765</f>
        <v>0</v>
      </c>
      <c r="K633" s="70">
        <f>'RESUMEN TOTAL'!X765</f>
        <v>0</v>
      </c>
      <c r="L633" s="70">
        <f>'RESUMEN TOTAL'!Y765</f>
        <v>0</v>
      </c>
      <c r="M633" s="70">
        <f>'RESUMEN TOTAL'!Z765</f>
        <v>0</v>
      </c>
      <c r="N633" s="70">
        <f>'RESUMEN TOTAL'!AA765</f>
        <v>0</v>
      </c>
      <c r="O633" s="70">
        <f>'RESUMEN TOTAL'!AB765</f>
        <v>0</v>
      </c>
      <c r="P633" s="70">
        <f>'RESUMEN TOTAL'!AC765</f>
        <v>0</v>
      </c>
      <c r="Q633" s="70">
        <f>'RESUMEN TOTAL'!AD765</f>
        <v>0</v>
      </c>
      <c r="R633" s="70">
        <f>'RESUMEN TOTAL'!AE765</f>
        <v>0</v>
      </c>
      <c r="S633" s="70">
        <f>'RESUMEN TOTAL'!AF765</f>
        <v>0</v>
      </c>
      <c r="T633" s="70">
        <f>'RESUMEN TOTAL'!AG765</f>
        <v>0</v>
      </c>
      <c r="U633" s="70">
        <f>'RESUMEN TOTAL'!AH765</f>
        <v>0</v>
      </c>
      <c r="V633" s="70">
        <f>'RESUMEN TOTAL'!AI765</f>
        <v>0</v>
      </c>
      <c r="W633" s="70">
        <f>'RESUMEN TOTAL'!AJ765</f>
        <v>0</v>
      </c>
      <c r="X633" s="70">
        <f>'RESUMEN TOTAL'!AK765</f>
        <v>0</v>
      </c>
      <c r="Y633" s="70">
        <f>'RESUMEN TOTAL'!AL765</f>
        <v>0</v>
      </c>
      <c r="Z633" s="70">
        <f>'RESUMEN TOTAL'!AM765</f>
        <v>0</v>
      </c>
      <c r="AA633" s="70">
        <f>'RESUMEN TOTAL'!AN765</f>
        <v>0</v>
      </c>
      <c r="AB633" s="70">
        <f>'RESUMEN TOTAL'!AO765</f>
        <v>0</v>
      </c>
      <c r="AC633" s="70">
        <f>'RESUMEN TOTAL'!AP765</f>
        <v>0</v>
      </c>
      <c r="AD633" s="70">
        <f>'RESUMEN TOTAL'!AQ765</f>
        <v>0</v>
      </c>
      <c r="AE633" s="70">
        <f>'RESUMEN TOTAL'!AR765</f>
        <v>0</v>
      </c>
      <c r="AF633" s="70">
        <f>'RESUMEN TOTAL'!AS765</f>
        <v>0</v>
      </c>
      <c r="AG633" s="70">
        <f>'RESUMEN TOTAL'!AT765</f>
        <v>0</v>
      </c>
      <c r="AH633" s="70">
        <f>'RESUMEN TOTAL'!AU765</f>
        <v>0</v>
      </c>
      <c r="AI633" s="70">
        <f>'RESUMEN TOTAL'!AV765</f>
        <v>0</v>
      </c>
      <c r="AJ633" s="70" t="e">
        <f>'RESUMEN TOTAL'!#REF!</f>
        <v>#REF!</v>
      </c>
    </row>
    <row r="634" spans="1:36" x14ac:dyDescent="0.25">
      <c r="A634">
        <f>'RESUMEN TOTAL'!F766</f>
        <v>0</v>
      </c>
      <c r="B634">
        <f>'RESUMEN TOTAL'!G766</f>
        <v>0</v>
      </c>
      <c r="C634">
        <f>'RESUMEN TOTAL'!I766</f>
        <v>0</v>
      </c>
      <c r="D634" s="30">
        <f>'RESUMEN TOTAL'!J766</f>
        <v>0</v>
      </c>
      <c r="E634" s="30">
        <f>'RESUMEN TOTAL'!K766</f>
        <v>0</v>
      </c>
      <c r="F634" s="70">
        <f>'RESUMEN TOTAL'!S766</f>
        <v>0</v>
      </c>
      <c r="G634" s="70">
        <f>'RESUMEN TOTAL'!T766</f>
        <v>0</v>
      </c>
      <c r="H634" s="70">
        <f>'RESUMEN TOTAL'!U766</f>
        <v>0</v>
      </c>
      <c r="I634" s="70">
        <f>'RESUMEN TOTAL'!V766</f>
        <v>0</v>
      </c>
      <c r="J634" s="70">
        <f>'RESUMEN TOTAL'!W766</f>
        <v>0</v>
      </c>
      <c r="K634" s="70">
        <f>'RESUMEN TOTAL'!X766</f>
        <v>0</v>
      </c>
      <c r="L634" s="70">
        <f>'RESUMEN TOTAL'!Y766</f>
        <v>0</v>
      </c>
      <c r="M634" s="70">
        <f>'RESUMEN TOTAL'!Z766</f>
        <v>0</v>
      </c>
      <c r="N634" s="70">
        <f>'RESUMEN TOTAL'!AA766</f>
        <v>0</v>
      </c>
      <c r="O634" s="70">
        <f>'RESUMEN TOTAL'!AB766</f>
        <v>0</v>
      </c>
      <c r="P634" s="70">
        <f>'RESUMEN TOTAL'!AC766</f>
        <v>0</v>
      </c>
      <c r="Q634" s="70">
        <f>'RESUMEN TOTAL'!AD766</f>
        <v>0</v>
      </c>
      <c r="R634" s="70">
        <f>'RESUMEN TOTAL'!AE766</f>
        <v>0</v>
      </c>
      <c r="S634" s="70">
        <f>'RESUMEN TOTAL'!AF766</f>
        <v>0</v>
      </c>
      <c r="T634" s="70">
        <f>'RESUMEN TOTAL'!AG766</f>
        <v>0</v>
      </c>
      <c r="U634" s="70">
        <f>'RESUMEN TOTAL'!AH766</f>
        <v>0</v>
      </c>
      <c r="V634" s="70">
        <f>'RESUMEN TOTAL'!AI766</f>
        <v>0</v>
      </c>
      <c r="W634" s="70">
        <f>'RESUMEN TOTAL'!AJ766</f>
        <v>0</v>
      </c>
      <c r="X634" s="70">
        <f>'RESUMEN TOTAL'!AK766</f>
        <v>0</v>
      </c>
      <c r="Y634" s="70">
        <f>'RESUMEN TOTAL'!AL766</f>
        <v>0</v>
      </c>
      <c r="Z634" s="70">
        <f>'RESUMEN TOTAL'!AM766</f>
        <v>0</v>
      </c>
      <c r="AA634" s="70">
        <f>'RESUMEN TOTAL'!AN766</f>
        <v>0</v>
      </c>
      <c r="AB634" s="70">
        <f>'RESUMEN TOTAL'!AO766</f>
        <v>0</v>
      </c>
      <c r="AC634" s="70">
        <f>'RESUMEN TOTAL'!AP766</f>
        <v>0</v>
      </c>
      <c r="AD634" s="70">
        <f>'RESUMEN TOTAL'!AQ766</f>
        <v>0</v>
      </c>
      <c r="AE634" s="70">
        <f>'RESUMEN TOTAL'!AR766</f>
        <v>0</v>
      </c>
      <c r="AF634" s="70">
        <f>'RESUMEN TOTAL'!AS766</f>
        <v>0</v>
      </c>
      <c r="AG634" s="70">
        <f>'RESUMEN TOTAL'!AT766</f>
        <v>0</v>
      </c>
      <c r="AH634" s="70">
        <f>'RESUMEN TOTAL'!AU766</f>
        <v>0</v>
      </c>
      <c r="AI634" s="70">
        <f>'RESUMEN TOTAL'!AV766</f>
        <v>0</v>
      </c>
      <c r="AJ634" s="70" t="e">
        <f>'RESUMEN TOTAL'!#REF!</f>
        <v>#REF!</v>
      </c>
    </row>
    <row r="635" spans="1:36" x14ac:dyDescent="0.25">
      <c r="A635">
        <f>'RESUMEN TOTAL'!F767</f>
        <v>0</v>
      </c>
      <c r="B635">
        <f>'RESUMEN TOTAL'!G767</f>
        <v>0</v>
      </c>
      <c r="C635">
        <f>'RESUMEN TOTAL'!I767</f>
        <v>0</v>
      </c>
      <c r="D635" s="30">
        <f>'RESUMEN TOTAL'!J767</f>
        <v>0</v>
      </c>
      <c r="E635" s="30">
        <f>'RESUMEN TOTAL'!K767</f>
        <v>0</v>
      </c>
      <c r="F635" s="70">
        <f>'RESUMEN TOTAL'!S767</f>
        <v>0</v>
      </c>
      <c r="G635" s="70">
        <f>'RESUMEN TOTAL'!T767</f>
        <v>0</v>
      </c>
      <c r="H635" s="70">
        <f>'RESUMEN TOTAL'!U767</f>
        <v>0</v>
      </c>
      <c r="I635" s="70">
        <f>'RESUMEN TOTAL'!V767</f>
        <v>0</v>
      </c>
      <c r="J635" s="70">
        <f>'RESUMEN TOTAL'!W767</f>
        <v>0</v>
      </c>
      <c r="K635" s="70">
        <f>'RESUMEN TOTAL'!X767</f>
        <v>0</v>
      </c>
      <c r="L635" s="70">
        <f>'RESUMEN TOTAL'!Y767</f>
        <v>0</v>
      </c>
      <c r="M635" s="70">
        <f>'RESUMEN TOTAL'!Z767</f>
        <v>0</v>
      </c>
      <c r="N635" s="70">
        <f>'RESUMEN TOTAL'!AA767</f>
        <v>0</v>
      </c>
      <c r="O635" s="70">
        <f>'RESUMEN TOTAL'!AB767</f>
        <v>0</v>
      </c>
      <c r="P635" s="70">
        <f>'RESUMEN TOTAL'!AC767</f>
        <v>0</v>
      </c>
      <c r="Q635" s="70">
        <f>'RESUMEN TOTAL'!AD767</f>
        <v>0</v>
      </c>
      <c r="R635" s="70">
        <f>'RESUMEN TOTAL'!AE767</f>
        <v>0</v>
      </c>
      <c r="S635" s="70">
        <f>'RESUMEN TOTAL'!AF767</f>
        <v>0</v>
      </c>
      <c r="T635" s="70">
        <f>'RESUMEN TOTAL'!AG767</f>
        <v>0</v>
      </c>
      <c r="U635" s="70">
        <f>'RESUMEN TOTAL'!AH767</f>
        <v>0</v>
      </c>
      <c r="V635" s="70">
        <f>'RESUMEN TOTAL'!AI767</f>
        <v>0</v>
      </c>
      <c r="W635" s="70">
        <f>'RESUMEN TOTAL'!AJ767</f>
        <v>0</v>
      </c>
      <c r="X635" s="70">
        <f>'RESUMEN TOTAL'!AK767</f>
        <v>0</v>
      </c>
      <c r="Y635" s="70">
        <f>'RESUMEN TOTAL'!AL767</f>
        <v>0</v>
      </c>
      <c r="Z635" s="70">
        <f>'RESUMEN TOTAL'!AM767</f>
        <v>0</v>
      </c>
      <c r="AA635" s="70">
        <f>'RESUMEN TOTAL'!AN767</f>
        <v>0</v>
      </c>
      <c r="AB635" s="70">
        <f>'RESUMEN TOTAL'!AO767</f>
        <v>0</v>
      </c>
      <c r="AC635" s="70">
        <f>'RESUMEN TOTAL'!AP767</f>
        <v>0</v>
      </c>
      <c r="AD635" s="70">
        <f>'RESUMEN TOTAL'!AQ767</f>
        <v>0</v>
      </c>
      <c r="AE635" s="70">
        <f>'RESUMEN TOTAL'!AR767</f>
        <v>0</v>
      </c>
      <c r="AF635" s="70">
        <f>'RESUMEN TOTAL'!AS767</f>
        <v>0</v>
      </c>
      <c r="AG635" s="70">
        <f>'RESUMEN TOTAL'!AT767</f>
        <v>0</v>
      </c>
      <c r="AH635" s="70">
        <f>'RESUMEN TOTAL'!AU767</f>
        <v>0</v>
      </c>
      <c r="AI635" s="70">
        <f>'RESUMEN TOTAL'!AV767</f>
        <v>0</v>
      </c>
      <c r="AJ635" s="70" t="e">
        <f>'RESUMEN TOTAL'!#REF!</f>
        <v>#REF!</v>
      </c>
    </row>
    <row r="636" spans="1:36" x14ac:dyDescent="0.25">
      <c r="A636">
        <f>'RESUMEN TOTAL'!F768</f>
        <v>0</v>
      </c>
      <c r="B636">
        <f>'RESUMEN TOTAL'!G768</f>
        <v>0</v>
      </c>
      <c r="C636">
        <f>'RESUMEN TOTAL'!I768</f>
        <v>0</v>
      </c>
      <c r="D636" s="30">
        <f>'RESUMEN TOTAL'!J768</f>
        <v>0</v>
      </c>
      <c r="E636" s="30">
        <f>'RESUMEN TOTAL'!K768</f>
        <v>0</v>
      </c>
      <c r="F636" s="70">
        <f>'RESUMEN TOTAL'!S768</f>
        <v>0</v>
      </c>
      <c r="G636" s="70">
        <f>'RESUMEN TOTAL'!T768</f>
        <v>0</v>
      </c>
      <c r="H636" s="70">
        <f>'RESUMEN TOTAL'!U768</f>
        <v>0</v>
      </c>
      <c r="I636" s="70">
        <f>'RESUMEN TOTAL'!V768</f>
        <v>0</v>
      </c>
      <c r="J636" s="70">
        <f>'RESUMEN TOTAL'!W768</f>
        <v>0</v>
      </c>
      <c r="K636" s="70">
        <f>'RESUMEN TOTAL'!X768</f>
        <v>0</v>
      </c>
      <c r="L636" s="70">
        <f>'RESUMEN TOTAL'!Y768</f>
        <v>0</v>
      </c>
      <c r="M636" s="70">
        <f>'RESUMEN TOTAL'!Z768</f>
        <v>0</v>
      </c>
      <c r="N636" s="70">
        <f>'RESUMEN TOTAL'!AA768</f>
        <v>0</v>
      </c>
      <c r="O636" s="70">
        <f>'RESUMEN TOTAL'!AB768</f>
        <v>0</v>
      </c>
      <c r="P636" s="70">
        <f>'RESUMEN TOTAL'!AC768</f>
        <v>0</v>
      </c>
      <c r="Q636" s="70">
        <f>'RESUMEN TOTAL'!AD768</f>
        <v>0</v>
      </c>
      <c r="R636" s="70">
        <f>'RESUMEN TOTAL'!AE768</f>
        <v>0</v>
      </c>
      <c r="S636" s="70">
        <f>'RESUMEN TOTAL'!AF768</f>
        <v>0</v>
      </c>
      <c r="T636" s="70">
        <f>'RESUMEN TOTAL'!AG768</f>
        <v>0</v>
      </c>
      <c r="U636" s="70">
        <f>'RESUMEN TOTAL'!AH768</f>
        <v>0</v>
      </c>
      <c r="V636" s="70">
        <f>'RESUMEN TOTAL'!AI768</f>
        <v>0</v>
      </c>
      <c r="W636" s="70">
        <f>'RESUMEN TOTAL'!AJ768</f>
        <v>0</v>
      </c>
      <c r="X636" s="70">
        <f>'RESUMEN TOTAL'!AK768</f>
        <v>0</v>
      </c>
      <c r="Y636" s="70">
        <f>'RESUMEN TOTAL'!AL768</f>
        <v>0</v>
      </c>
      <c r="Z636" s="70">
        <f>'RESUMEN TOTAL'!AM768</f>
        <v>0</v>
      </c>
      <c r="AA636" s="70">
        <f>'RESUMEN TOTAL'!AN768</f>
        <v>0</v>
      </c>
      <c r="AB636" s="70">
        <f>'RESUMEN TOTAL'!AO768</f>
        <v>0</v>
      </c>
      <c r="AC636" s="70">
        <f>'RESUMEN TOTAL'!AP768</f>
        <v>0</v>
      </c>
      <c r="AD636" s="70">
        <f>'RESUMEN TOTAL'!AQ768</f>
        <v>0</v>
      </c>
      <c r="AE636" s="70">
        <f>'RESUMEN TOTAL'!AR768</f>
        <v>0</v>
      </c>
      <c r="AF636" s="70">
        <f>'RESUMEN TOTAL'!AS768</f>
        <v>0</v>
      </c>
      <c r="AG636" s="70">
        <f>'RESUMEN TOTAL'!AT768</f>
        <v>0</v>
      </c>
      <c r="AH636" s="70">
        <f>'RESUMEN TOTAL'!AU768</f>
        <v>0</v>
      </c>
      <c r="AI636" s="70">
        <f>'RESUMEN TOTAL'!AV768</f>
        <v>0</v>
      </c>
      <c r="AJ636" s="70" t="e">
        <f>'RESUMEN TOTAL'!#REF!</f>
        <v>#REF!</v>
      </c>
    </row>
    <row r="637" spans="1:36" x14ac:dyDescent="0.25">
      <c r="A637">
        <f>'RESUMEN TOTAL'!F769</f>
        <v>0</v>
      </c>
      <c r="B637">
        <f>'RESUMEN TOTAL'!G769</f>
        <v>0</v>
      </c>
      <c r="C637">
        <f>'RESUMEN TOTAL'!I769</f>
        <v>0</v>
      </c>
      <c r="D637" s="30">
        <f>'RESUMEN TOTAL'!J769</f>
        <v>0</v>
      </c>
      <c r="E637" s="30">
        <f>'RESUMEN TOTAL'!K769</f>
        <v>0</v>
      </c>
      <c r="F637" s="70">
        <f>'RESUMEN TOTAL'!S769</f>
        <v>0</v>
      </c>
      <c r="G637" s="70">
        <f>'RESUMEN TOTAL'!T769</f>
        <v>0</v>
      </c>
      <c r="H637" s="70">
        <f>'RESUMEN TOTAL'!U769</f>
        <v>0</v>
      </c>
      <c r="I637" s="70">
        <f>'RESUMEN TOTAL'!V769</f>
        <v>0</v>
      </c>
      <c r="J637" s="70">
        <f>'RESUMEN TOTAL'!W769</f>
        <v>0</v>
      </c>
      <c r="K637" s="70">
        <f>'RESUMEN TOTAL'!X769</f>
        <v>0</v>
      </c>
      <c r="L637" s="70">
        <f>'RESUMEN TOTAL'!Y769</f>
        <v>0</v>
      </c>
      <c r="M637" s="70">
        <f>'RESUMEN TOTAL'!Z769</f>
        <v>0</v>
      </c>
      <c r="N637" s="70">
        <f>'RESUMEN TOTAL'!AA769</f>
        <v>0</v>
      </c>
      <c r="O637" s="70">
        <f>'RESUMEN TOTAL'!AB769</f>
        <v>0</v>
      </c>
      <c r="P637" s="70">
        <f>'RESUMEN TOTAL'!AC769</f>
        <v>0</v>
      </c>
      <c r="Q637" s="70">
        <f>'RESUMEN TOTAL'!AD769</f>
        <v>0</v>
      </c>
      <c r="R637" s="70">
        <f>'RESUMEN TOTAL'!AE769</f>
        <v>0</v>
      </c>
      <c r="S637" s="70">
        <f>'RESUMEN TOTAL'!AF769</f>
        <v>0</v>
      </c>
      <c r="T637" s="70">
        <f>'RESUMEN TOTAL'!AG769</f>
        <v>0</v>
      </c>
      <c r="U637" s="70">
        <f>'RESUMEN TOTAL'!AH769</f>
        <v>0</v>
      </c>
      <c r="V637" s="70">
        <f>'RESUMEN TOTAL'!AI769</f>
        <v>0</v>
      </c>
      <c r="W637" s="70">
        <f>'RESUMEN TOTAL'!AJ769</f>
        <v>0</v>
      </c>
      <c r="X637" s="70">
        <f>'RESUMEN TOTAL'!AK769</f>
        <v>0</v>
      </c>
      <c r="Y637" s="70">
        <f>'RESUMEN TOTAL'!AL769</f>
        <v>0</v>
      </c>
      <c r="Z637" s="70">
        <f>'RESUMEN TOTAL'!AM769</f>
        <v>0</v>
      </c>
      <c r="AA637" s="70">
        <f>'RESUMEN TOTAL'!AN769</f>
        <v>0</v>
      </c>
      <c r="AB637" s="70">
        <f>'RESUMEN TOTAL'!AO769</f>
        <v>0</v>
      </c>
      <c r="AC637" s="70">
        <f>'RESUMEN TOTAL'!AP769</f>
        <v>0</v>
      </c>
      <c r="AD637" s="70">
        <f>'RESUMEN TOTAL'!AQ769</f>
        <v>0</v>
      </c>
      <c r="AE637" s="70">
        <f>'RESUMEN TOTAL'!AR769</f>
        <v>0</v>
      </c>
      <c r="AF637" s="70">
        <f>'RESUMEN TOTAL'!AS769</f>
        <v>0</v>
      </c>
      <c r="AG637" s="70">
        <f>'RESUMEN TOTAL'!AT769</f>
        <v>0</v>
      </c>
      <c r="AH637" s="70">
        <f>'RESUMEN TOTAL'!AU769</f>
        <v>0</v>
      </c>
      <c r="AI637" s="70">
        <f>'RESUMEN TOTAL'!AV769</f>
        <v>0</v>
      </c>
      <c r="AJ637" s="70" t="e">
        <f>'RESUMEN TOTAL'!#REF!</f>
        <v>#REF!</v>
      </c>
    </row>
    <row r="638" spans="1:36" x14ac:dyDescent="0.25">
      <c r="A638">
        <f>'RESUMEN TOTAL'!F770</f>
        <v>0</v>
      </c>
      <c r="B638">
        <f>'RESUMEN TOTAL'!G770</f>
        <v>0</v>
      </c>
      <c r="C638">
        <f>'RESUMEN TOTAL'!I770</f>
        <v>0</v>
      </c>
      <c r="D638" s="30">
        <f>'RESUMEN TOTAL'!J770</f>
        <v>0</v>
      </c>
      <c r="E638" s="30">
        <f>'RESUMEN TOTAL'!K770</f>
        <v>0</v>
      </c>
      <c r="F638" s="70">
        <f>'RESUMEN TOTAL'!S770</f>
        <v>0</v>
      </c>
      <c r="G638" s="70">
        <f>'RESUMEN TOTAL'!T770</f>
        <v>0</v>
      </c>
      <c r="H638" s="70">
        <f>'RESUMEN TOTAL'!U770</f>
        <v>0</v>
      </c>
      <c r="I638" s="70">
        <f>'RESUMEN TOTAL'!V770</f>
        <v>0</v>
      </c>
      <c r="J638" s="70">
        <f>'RESUMEN TOTAL'!W770</f>
        <v>0</v>
      </c>
      <c r="K638" s="70">
        <f>'RESUMEN TOTAL'!X770</f>
        <v>0</v>
      </c>
      <c r="L638" s="70">
        <f>'RESUMEN TOTAL'!Y770</f>
        <v>0</v>
      </c>
      <c r="M638" s="70">
        <f>'RESUMEN TOTAL'!Z770</f>
        <v>0</v>
      </c>
      <c r="N638" s="70">
        <f>'RESUMEN TOTAL'!AA770</f>
        <v>0</v>
      </c>
      <c r="O638" s="70">
        <f>'RESUMEN TOTAL'!AB770</f>
        <v>0</v>
      </c>
      <c r="P638" s="70">
        <f>'RESUMEN TOTAL'!AC770</f>
        <v>0</v>
      </c>
      <c r="Q638" s="70">
        <f>'RESUMEN TOTAL'!AD770</f>
        <v>0</v>
      </c>
      <c r="R638" s="70">
        <f>'RESUMEN TOTAL'!AE770</f>
        <v>0</v>
      </c>
      <c r="S638" s="70">
        <f>'RESUMEN TOTAL'!AF770</f>
        <v>0</v>
      </c>
      <c r="T638" s="70">
        <f>'RESUMEN TOTAL'!AG770</f>
        <v>0</v>
      </c>
      <c r="U638" s="70">
        <f>'RESUMEN TOTAL'!AH770</f>
        <v>0</v>
      </c>
      <c r="V638" s="70">
        <f>'RESUMEN TOTAL'!AI770</f>
        <v>0</v>
      </c>
      <c r="W638" s="70">
        <f>'RESUMEN TOTAL'!AJ770</f>
        <v>0</v>
      </c>
      <c r="X638" s="70">
        <f>'RESUMEN TOTAL'!AK770</f>
        <v>0</v>
      </c>
      <c r="Y638" s="70">
        <f>'RESUMEN TOTAL'!AL770</f>
        <v>0</v>
      </c>
      <c r="Z638" s="70">
        <f>'RESUMEN TOTAL'!AM770</f>
        <v>0</v>
      </c>
      <c r="AA638" s="70">
        <f>'RESUMEN TOTAL'!AN770</f>
        <v>0</v>
      </c>
      <c r="AB638" s="70">
        <f>'RESUMEN TOTAL'!AO770</f>
        <v>0</v>
      </c>
      <c r="AC638" s="70">
        <f>'RESUMEN TOTAL'!AP770</f>
        <v>0</v>
      </c>
      <c r="AD638" s="70">
        <f>'RESUMEN TOTAL'!AQ770</f>
        <v>0</v>
      </c>
      <c r="AE638" s="70">
        <f>'RESUMEN TOTAL'!AR770</f>
        <v>0</v>
      </c>
      <c r="AF638" s="70">
        <f>'RESUMEN TOTAL'!AS770</f>
        <v>0</v>
      </c>
      <c r="AG638" s="70">
        <f>'RESUMEN TOTAL'!AT770</f>
        <v>0</v>
      </c>
      <c r="AH638" s="70">
        <f>'RESUMEN TOTAL'!AU770</f>
        <v>0</v>
      </c>
      <c r="AI638" s="70">
        <f>'RESUMEN TOTAL'!AV770</f>
        <v>0</v>
      </c>
      <c r="AJ638" s="70" t="e">
        <f>'RESUMEN TOTAL'!#REF!</f>
        <v>#REF!</v>
      </c>
    </row>
    <row r="639" spans="1:36" x14ac:dyDescent="0.25">
      <c r="A639">
        <f>'RESUMEN TOTAL'!F771</f>
        <v>0</v>
      </c>
      <c r="B639">
        <f>'RESUMEN TOTAL'!G771</f>
        <v>0</v>
      </c>
      <c r="C639">
        <f>'RESUMEN TOTAL'!I771</f>
        <v>0</v>
      </c>
      <c r="D639" s="30">
        <f>'RESUMEN TOTAL'!J771</f>
        <v>0</v>
      </c>
      <c r="E639" s="30">
        <f>'RESUMEN TOTAL'!K771</f>
        <v>0</v>
      </c>
      <c r="F639" s="70">
        <f>'RESUMEN TOTAL'!S771</f>
        <v>0</v>
      </c>
      <c r="G639" s="70">
        <f>'RESUMEN TOTAL'!T771</f>
        <v>0</v>
      </c>
      <c r="H639" s="70">
        <f>'RESUMEN TOTAL'!U771</f>
        <v>0</v>
      </c>
      <c r="I639" s="70">
        <f>'RESUMEN TOTAL'!V771</f>
        <v>0</v>
      </c>
      <c r="J639" s="70">
        <f>'RESUMEN TOTAL'!W771</f>
        <v>0</v>
      </c>
      <c r="K639" s="70">
        <f>'RESUMEN TOTAL'!X771</f>
        <v>0</v>
      </c>
      <c r="L639" s="70">
        <f>'RESUMEN TOTAL'!Y771</f>
        <v>0</v>
      </c>
      <c r="M639" s="70">
        <f>'RESUMEN TOTAL'!Z771</f>
        <v>0</v>
      </c>
      <c r="N639" s="70">
        <f>'RESUMEN TOTAL'!AA771</f>
        <v>0</v>
      </c>
      <c r="O639" s="70">
        <f>'RESUMEN TOTAL'!AB771</f>
        <v>0</v>
      </c>
      <c r="P639" s="70">
        <f>'RESUMEN TOTAL'!AC771</f>
        <v>0</v>
      </c>
      <c r="Q639" s="70">
        <f>'RESUMEN TOTAL'!AD771</f>
        <v>0</v>
      </c>
      <c r="R639" s="70">
        <f>'RESUMEN TOTAL'!AE771</f>
        <v>0</v>
      </c>
      <c r="S639" s="70">
        <f>'RESUMEN TOTAL'!AF771</f>
        <v>0</v>
      </c>
      <c r="T639" s="70">
        <f>'RESUMEN TOTAL'!AG771</f>
        <v>0</v>
      </c>
      <c r="U639" s="70">
        <f>'RESUMEN TOTAL'!AH771</f>
        <v>0</v>
      </c>
      <c r="V639" s="70">
        <f>'RESUMEN TOTAL'!AI771</f>
        <v>0</v>
      </c>
      <c r="W639" s="70">
        <f>'RESUMEN TOTAL'!AJ771</f>
        <v>0</v>
      </c>
      <c r="X639" s="70">
        <f>'RESUMEN TOTAL'!AK771</f>
        <v>0</v>
      </c>
      <c r="Y639" s="70">
        <f>'RESUMEN TOTAL'!AL771</f>
        <v>0</v>
      </c>
      <c r="Z639" s="70">
        <f>'RESUMEN TOTAL'!AM771</f>
        <v>0</v>
      </c>
      <c r="AA639" s="70">
        <f>'RESUMEN TOTAL'!AN771</f>
        <v>0</v>
      </c>
      <c r="AB639" s="70">
        <f>'RESUMEN TOTAL'!AO771</f>
        <v>0</v>
      </c>
      <c r="AC639" s="70">
        <f>'RESUMEN TOTAL'!AP771</f>
        <v>0</v>
      </c>
      <c r="AD639" s="70">
        <f>'RESUMEN TOTAL'!AQ771</f>
        <v>0</v>
      </c>
      <c r="AE639" s="70">
        <f>'RESUMEN TOTAL'!AR771</f>
        <v>0</v>
      </c>
      <c r="AF639" s="70">
        <f>'RESUMEN TOTAL'!AS771</f>
        <v>0</v>
      </c>
      <c r="AG639" s="70">
        <f>'RESUMEN TOTAL'!AT771</f>
        <v>0</v>
      </c>
      <c r="AH639" s="70">
        <f>'RESUMEN TOTAL'!AU771</f>
        <v>0</v>
      </c>
      <c r="AI639" s="70">
        <f>'RESUMEN TOTAL'!AV771</f>
        <v>0</v>
      </c>
      <c r="AJ639" s="70" t="e">
        <f>'RESUMEN TOTAL'!#REF!</f>
        <v>#REF!</v>
      </c>
    </row>
    <row r="640" spans="1:36" x14ac:dyDescent="0.25">
      <c r="A640">
        <f>'RESUMEN TOTAL'!F772</f>
        <v>0</v>
      </c>
      <c r="B640">
        <f>'RESUMEN TOTAL'!G772</f>
        <v>0</v>
      </c>
      <c r="C640">
        <f>'RESUMEN TOTAL'!I772</f>
        <v>0</v>
      </c>
      <c r="D640" s="30">
        <f>'RESUMEN TOTAL'!J772</f>
        <v>0</v>
      </c>
      <c r="E640" s="30">
        <f>'RESUMEN TOTAL'!K772</f>
        <v>0</v>
      </c>
      <c r="F640" s="70">
        <f>'RESUMEN TOTAL'!S772</f>
        <v>0</v>
      </c>
      <c r="G640" s="70">
        <f>'RESUMEN TOTAL'!T772</f>
        <v>0</v>
      </c>
      <c r="H640" s="70">
        <f>'RESUMEN TOTAL'!U772</f>
        <v>0</v>
      </c>
      <c r="I640" s="70">
        <f>'RESUMEN TOTAL'!V772</f>
        <v>0</v>
      </c>
      <c r="J640" s="70">
        <f>'RESUMEN TOTAL'!W772</f>
        <v>0</v>
      </c>
      <c r="K640" s="70">
        <f>'RESUMEN TOTAL'!X772</f>
        <v>0</v>
      </c>
      <c r="L640" s="70">
        <f>'RESUMEN TOTAL'!Y772</f>
        <v>0</v>
      </c>
      <c r="M640" s="70">
        <f>'RESUMEN TOTAL'!Z772</f>
        <v>0</v>
      </c>
      <c r="N640" s="70">
        <f>'RESUMEN TOTAL'!AA772</f>
        <v>0</v>
      </c>
      <c r="O640" s="70">
        <f>'RESUMEN TOTAL'!AB772</f>
        <v>0</v>
      </c>
      <c r="P640" s="70">
        <f>'RESUMEN TOTAL'!AC772</f>
        <v>0</v>
      </c>
      <c r="Q640" s="70">
        <f>'RESUMEN TOTAL'!AD772</f>
        <v>0</v>
      </c>
      <c r="R640" s="70">
        <f>'RESUMEN TOTAL'!AE772</f>
        <v>0</v>
      </c>
      <c r="S640" s="70">
        <f>'RESUMEN TOTAL'!AF772</f>
        <v>0</v>
      </c>
      <c r="T640" s="70">
        <f>'RESUMEN TOTAL'!AG772</f>
        <v>0</v>
      </c>
      <c r="U640" s="70">
        <f>'RESUMEN TOTAL'!AH772</f>
        <v>0</v>
      </c>
      <c r="V640" s="70">
        <f>'RESUMEN TOTAL'!AI772</f>
        <v>0</v>
      </c>
      <c r="W640" s="70">
        <f>'RESUMEN TOTAL'!AJ772</f>
        <v>0</v>
      </c>
      <c r="X640" s="70">
        <f>'RESUMEN TOTAL'!AK772</f>
        <v>0</v>
      </c>
      <c r="Y640" s="70">
        <f>'RESUMEN TOTAL'!AL772</f>
        <v>0</v>
      </c>
      <c r="Z640" s="70">
        <f>'RESUMEN TOTAL'!AM772</f>
        <v>0</v>
      </c>
      <c r="AA640" s="70">
        <f>'RESUMEN TOTAL'!AN772</f>
        <v>0</v>
      </c>
      <c r="AB640" s="70">
        <f>'RESUMEN TOTAL'!AO772</f>
        <v>0</v>
      </c>
      <c r="AC640" s="70">
        <f>'RESUMEN TOTAL'!AP772</f>
        <v>0</v>
      </c>
      <c r="AD640" s="70">
        <f>'RESUMEN TOTAL'!AQ772</f>
        <v>0</v>
      </c>
      <c r="AE640" s="70">
        <f>'RESUMEN TOTAL'!AR772</f>
        <v>0</v>
      </c>
      <c r="AF640" s="70">
        <f>'RESUMEN TOTAL'!AS772</f>
        <v>0</v>
      </c>
      <c r="AG640" s="70">
        <f>'RESUMEN TOTAL'!AT772</f>
        <v>0</v>
      </c>
      <c r="AH640" s="70">
        <f>'RESUMEN TOTAL'!AU772</f>
        <v>0</v>
      </c>
      <c r="AI640" s="70">
        <f>'RESUMEN TOTAL'!AV772</f>
        <v>0</v>
      </c>
      <c r="AJ640" s="70" t="e">
        <f>'RESUMEN TOTAL'!#REF!</f>
        <v>#REF!</v>
      </c>
    </row>
    <row r="641" spans="1:36" x14ac:dyDescent="0.25">
      <c r="A641">
        <f>'RESUMEN TOTAL'!F773</f>
        <v>0</v>
      </c>
      <c r="B641">
        <f>'RESUMEN TOTAL'!G773</f>
        <v>0</v>
      </c>
      <c r="C641">
        <f>'RESUMEN TOTAL'!I773</f>
        <v>0</v>
      </c>
      <c r="D641" s="30">
        <f>'RESUMEN TOTAL'!J773</f>
        <v>0</v>
      </c>
      <c r="E641" s="30">
        <f>'RESUMEN TOTAL'!K773</f>
        <v>0</v>
      </c>
      <c r="F641" s="70">
        <f>'RESUMEN TOTAL'!S773</f>
        <v>0</v>
      </c>
      <c r="G641" s="70">
        <f>'RESUMEN TOTAL'!T773</f>
        <v>0</v>
      </c>
      <c r="H641" s="70">
        <f>'RESUMEN TOTAL'!U773</f>
        <v>0</v>
      </c>
      <c r="I641" s="70">
        <f>'RESUMEN TOTAL'!V773</f>
        <v>0</v>
      </c>
      <c r="J641" s="70">
        <f>'RESUMEN TOTAL'!W773</f>
        <v>0</v>
      </c>
      <c r="K641" s="70">
        <f>'RESUMEN TOTAL'!X773</f>
        <v>0</v>
      </c>
      <c r="L641" s="70">
        <f>'RESUMEN TOTAL'!Y773</f>
        <v>0</v>
      </c>
      <c r="M641" s="70">
        <f>'RESUMEN TOTAL'!Z773</f>
        <v>0</v>
      </c>
      <c r="N641" s="70">
        <f>'RESUMEN TOTAL'!AA773</f>
        <v>0</v>
      </c>
      <c r="O641" s="70">
        <f>'RESUMEN TOTAL'!AB773</f>
        <v>0</v>
      </c>
      <c r="P641" s="70">
        <f>'RESUMEN TOTAL'!AC773</f>
        <v>0</v>
      </c>
      <c r="Q641" s="70">
        <f>'RESUMEN TOTAL'!AD773</f>
        <v>0</v>
      </c>
      <c r="R641" s="70">
        <f>'RESUMEN TOTAL'!AE773</f>
        <v>0</v>
      </c>
      <c r="S641" s="70">
        <f>'RESUMEN TOTAL'!AF773</f>
        <v>0</v>
      </c>
      <c r="T641" s="70">
        <f>'RESUMEN TOTAL'!AG773</f>
        <v>0</v>
      </c>
      <c r="U641" s="70">
        <f>'RESUMEN TOTAL'!AH773</f>
        <v>0</v>
      </c>
      <c r="V641" s="70">
        <f>'RESUMEN TOTAL'!AI773</f>
        <v>0</v>
      </c>
      <c r="W641" s="70">
        <f>'RESUMEN TOTAL'!AJ773</f>
        <v>0</v>
      </c>
      <c r="X641" s="70">
        <f>'RESUMEN TOTAL'!AK773</f>
        <v>0</v>
      </c>
      <c r="Y641" s="70">
        <f>'RESUMEN TOTAL'!AL773</f>
        <v>0</v>
      </c>
      <c r="Z641" s="70">
        <f>'RESUMEN TOTAL'!AM773</f>
        <v>0</v>
      </c>
      <c r="AA641" s="70">
        <f>'RESUMEN TOTAL'!AN773</f>
        <v>0</v>
      </c>
      <c r="AB641" s="70">
        <f>'RESUMEN TOTAL'!AO773</f>
        <v>0</v>
      </c>
      <c r="AC641" s="70">
        <f>'RESUMEN TOTAL'!AP773</f>
        <v>0</v>
      </c>
      <c r="AD641" s="70">
        <f>'RESUMEN TOTAL'!AQ773</f>
        <v>0</v>
      </c>
      <c r="AE641" s="70">
        <f>'RESUMEN TOTAL'!AR773</f>
        <v>0</v>
      </c>
      <c r="AF641" s="70">
        <f>'RESUMEN TOTAL'!AS773</f>
        <v>0</v>
      </c>
      <c r="AG641" s="70">
        <f>'RESUMEN TOTAL'!AT773</f>
        <v>0</v>
      </c>
      <c r="AH641" s="70">
        <f>'RESUMEN TOTAL'!AU773</f>
        <v>0</v>
      </c>
      <c r="AI641" s="70">
        <f>'RESUMEN TOTAL'!AV773</f>
        <v>0</v>
      </c>
      <c r="AJ641" s="70" t="e">
        <f>'RESUMEN TOTAL'!#REF!</f>
        <v>#REF!</v>
      </c>
    </row>
    <row r="642" spans="1:36" x14ac:dyDescent="0.25">
      <c r="A642" t="s">
        <v>1279</v>
      </c>
      <c r="B642" t="s">
        <v>1315</v>
      </c>
      <c r="C642" t="s">
        <v>1314</v>
      </c>
      <c r="D642" s="30" t="s">
        <v>1284</v>
      </c>
      <c r="E642" s="30" t="s">
        <v>1278</v>
      </c>
      <c r="F642" s="70">
        <f>'RESUMEN TOTAL'!S774</f>
        <v>0</v>
      </c>
      <c r="G642" s="70">
        <f>'RESUMEN TOTAL'!T774</f>
        <v>0</v>
      </c>
      <c r="H642" s="70">
        <f>'RESUMEN TOTAL'!U774</f>
        <v>0</v>
      </c>
      <c r="I642" s="70">
        <f>'RESUMEN TOTAL'!V774</f>
        <v>0</v>
      </c>
      <c r="J642" s="70">
        <f>'RESUMEN TOTAL'!W774</f>
        <v>0</v>
      </c>
      <c r="K642" s="70">
        <f>'RESUMEN TOTAL'!X774</f>
        <v>0</v>
      </c>
      <c r="L642" s="70">
        <f>'RESUMEN TOTAL'!Y774</f>
        <v>0</v>
      </c>
      <c r="M642" s="70">
        <f>'RESUMEN TOTAL'!Z774</f>
        <v>0</v>
      </c>
      <c r="N642" s="70">
        <f>'RESUMEN TOTAL'!AA774</f>
        <v>0</v>
      </c>
      <c r="O642" s="70">
        <f>'RESUMEN TOTAL'!AB774</f>
        <v>0</v>
      </c>
      <c r="P642" s="70">
        <f>'RESUMEN TOTAL'!AC774</f>
        <v>0</v>
      </c>
      <c r="Q642" s="70">
        <f>'RESUMEN TOTAL'!AD774</f>
        <v>0</v>
      </c>
      <c r="R642" s="70">
        <f>'RESUMEN TOTAL'!AE774</f>
        <v>0</v>
      </c>
      <c r="S642" s="70">
        <f>'RESUMEN TOTAL'!AF774</f>
        <v>0</v>
      </c>
      <c r="T642" s="70">
        <f>'RESUMEN TOTAL'!AG774</f>
        <v>0</v>
      </c>
      <c r="U642" s="70">
        <f>'RESUMEN TOTAL'!AH774</f>
        <v>0</v>
      </c>
      <c r="V642" s="70">
        <f>'RESUMEN TOTAL'!AI774</f>
        <v>0</v>
      </c>
      <c r="W642" s="70">
        <f>'RESUMEN TOTAL'!AJ774</f>
        <v>0</v>
      </c>
      <c r="X642" s="70">
        <f>'RESUMEN TOTAL'!AK774</f>
        <v>0</v>
      </c>
      <c r="Y642" s="70">
        <f>'RESUMEN TOTAL'!AL774</f>
        <v>0</v>
      </c>
      <c r="Z642" s="70">
        <f>'RESUMEN TOTAL'!AM774</f>
        <v>0</v>
      </c>
      <c r="AA642" s="70">
        <f>'RESUMEN TOTAL'!AN774</f>
        <v>0</v>
      </c>
      <c r="AB642" s="70">
        <f>'RESUMEN TOTAL'!AO774</f>
        <v>0</v>
      </c>
      <c r="AC642" s="70">
        <f>'RESUMEN TOTAL'!AP774</f>
        <v>0</v>
      </c>
      <c r="AD642" s="70">
        <f>'RESUMEN TOTAL'!AQ774</f>
        <v>0</v>
      </c>
      <c r="AE642" s="70">
        <f>'RESUMEN TOTAL'!AR774</f>
        <v>0</v>
      </c>
      <c r="AF642" s="70">
        <f>'RESUMEN TOTAL'!AS774</f>
        <v>0</v>
      </c>
      <c r="AG642" s="70">
        <f>'RESUMEN TOTAL'!AT774</f>
        <v>0</v>
      </c>
      <c r="AH642" s="70">
        <f>'RESUMEN TOTAL'!AU774</f>
        <v>0</v>
      </c>
      <c r="AI642" s="70">
        <f>'RESUMEN TOTAL'!AV774</f>
        <v>0</v>
      </c>
      <c r="AJ642" s="70" t="e">
        <f>'RESUMEN TOTAL'!#REF!</f>
        <v>#REF!</v>
      </c>
    </row>
    <row r="643" spans="1:36" x14ac:dyDescent="0.25">
      <c r="A643" t="s">
        <v>1279</v>
      </c>
      <c r="B643" t="s">
        <v>1316</v>
      </c>
      <c r="C643" t="s">
        <v>1314</v>
      </c>
      <c r="D643" t="s">
        <v>1277</v>
      </c>
      <c r="E643" s="30" t="s">
        <v>1278</v>
      </c>
      <c r="F643" s="70">
        <f>'RESUMEN TOTAL'!S775</f>
        <v>0</v>
      </c>
      <c r="G643" s="70">
        <f>'RESUMEN TOTAL'!T775</f>
        <v>0</v>
      </c>
      <c r="H643" s="70">
        <f>'RESUMEN TOTAL'!U775</f>
        <v>0</v>
      </c>
      <c r="I643" s="70">
        <f>'RESUMEN TOTAL'!V775</f>
        <v>0</v>
      </c>
      <c r="J643" s="70">
        <f>'RESUMEN TOTAL'!W775</f>
        <v>0</v>
      </c>
      <c r="K643" s="70">
        <f>'RESUMEN TOTAL'!X775</f>
        <v>0</v>
      </c>
      <c r="L643" s="70">
        <f>'RESUMEN TOTAL'!Y775</f>
        <v>0</v>
      </c>
      <c r="M643" s="70">
        <f>'RESUMEN TOTAL'!Z775</f>
        <v>0</v>
      </c>
      <c r="N643" s="70">
        <f>'RESUMEN TOTAL'!AA775</f>
        <v>0</v>
      </c>
      <c r="O643" s="70">
        <f>'RESUMEN TOTAL'!AB775</f>
        <v>0</v>
      </c>
      <c r="P643" s="70">
        <f>'RESUMEN TOTAL'!AC775</f>
        <v>0</v>
      </c>
      <c r="Q643" s="70">
        <f>'RESUMEN TOTAL'!AD775</f>
        <v>0</v>
      </c>
      <c r="R643" s="70">
        <f>'RESUMEN TOTAL'!AE775</f>
        <v>0</v>
      </c>
      <c r="S643" s="70">
        <f>'RESUMEN TOTAL'!AF775</f>
        <v>0</v>
      </c>
      <c r="T643" s="70">
        <f>'RESUMEN TOTAL'!AG775</f>
        <v>0</v>
      </c>
      <c r="U643" s="70">
        <f>'RESUMEN TOTAL'!AH775</f>
        <v>0</v>
      </c>
      <c r="V643" s="70">
        <f>'RESUMEN TOTAL'!AI775</f>
        <v>0</v>
      </c>
      <c r="W643" s="70">
        <f>'RESUMEN TOTAL'!AJ775</f>
        <v>0</v>
      </c>
      <c r="X643" s="70">
        <f>'RESUMEN TOTAL'!AK775</f>
        <v>0</v>
      </c>
      <c r="Y643" s="70">
        <f>'RESUMEN TOTAL'!AL775</f>
        <v>0</v>
      </c>
      <c r="Z643" s="70">
        <f>'RESUMEN TOTAL'!AM775</f>
        <v>0</v>
      </c>
      <c r="AA643" s="70">
        <f>'RESUMEN TOTAL'!AN775</f>
        <v>0</v>
      </c>
      <c r="AB643" s="70">
        <f>'RESUMEN TOTAL'!AO775</f>
        <v>0</v>
      </c>
      <c r="AC643" s="70">
        <f>'RESUMEN TOTAL'!AP775</f>
        <v>0</v>
      </c>
      <c r="AD643" s="70">
        <f>'RESUMEN TOTAL'!AQ775</f>
        <v>0</v>
      </c>
      <c r="AE643" s="70">
        <f>'RESUMEN TOTAL'!AR775</f>
        <v>0</v>
      </c>
      <c r="AF643" s="70">
        <f>'RESUMEN TOTAL'!AS775</f>
        <v>0</v>
      </c>
      <c r="AG643" s="70">
        <f>'RESUMEN TOTAL'!AT775</f>
        <v>0</v>
      </c>
      <c r="AH643" s="70">
        <f>'RESUMEN TOTAL'!AU775</f>
        <v>0</v>
      </c>
      <c r="AI643" s="70">
        <f>'RESUMEN TOTAL'!AV775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1049</v>
      </c>
      <c r="C1" s="36">
        <v>45992</v>
      </c>
    </row>
    <row r="2" spans="1:36" ht="16.5" thickTop="1" thickBot="1" x14ac:dyDescent="0.3">
      <c r="A2" s="49" t="s">
        <v>1041</v>
      </c>
      <c r="B2" s="41">
        <f>COUNTIFS('RESUMEN TOTAL'!H8:H629,"=BONOMO")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1041</v>
      </c>
      <c r="E3" s="45" t="s">
        <v>1050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TOTAL'!W8:W706,"=APAGADO",'RESUMEN TOTAL'!H8:H706,"=BONOMO")</f>
        <v>44</v>
      </c>
      <c r="K3" s="46">
        <f>COUNTIFS('RESUMEN TOTAL'!X8:X706,"=APAGADO",'RESUMEN TOTAL'!I8:I706,"=BONOMO")</f>
        <v>0</v>
      </c>
      <c r="L3" s="46">
        <f>COUNTIFS('RESUMEN TOTAL'!Y8:Y706,"=APAGADO",'RESUMEN TOTAL'!J8:J706,"=BONOMO")</f>
        <v>0</v>
      </c>
      <c r="M3" s="46">
        <f>COUNTIFS('RESUMEN TOTAL'!Z8:Z706,"=APAGADO",'RESUMEN TOTAL'!K8:K706,"=BONOMO")</f>
        <v>0</v>
      </c>
      <c r="N3" s="46">
        <f>COUNTIFS('RESUMEN TOTAL'!AA8:AA706,"=APAGADO",'RESUMEN TOTAL'!L8:L706,"=BONOMO")</f>
        <v>0</v>
      </c>
      <c r="O3" s="46">
        <f>COUNTIFS('RESUMEN TOTAL'!AB8:AB706,"=APAGADO",'RESUMEN TOTAL'!M8:M706,"=BONOMO")</f>
        <v>0</v>
      </c>
      <c r="P3" s="46">
        <f>COUNTIFS('RESUMEN TOTAL'!AC8:AC706,"=APAGADO",'RESUMEN TOTAL'!N8:N706,"=BONOMO")</f>
        <v>0</v>
      </c>
      <c r="Q3" s="46">
        <f>COUNTIFS('RESUMEN TOTAL'!AD8:AD706,"=APAGADO",'RESUMEN TOTAL'!O8:O706,"=BONOMO")</f>
        <v>0</v>
      </c>
      <c r="R3" s="46">
        <f>COUNTIFS('RESUMEN TOTAL'!AE8:AE706,"=APAGADO",'RESUMEN TOTAL'!P8:P706,"=BONOMO")</f>
        <v>0</v>
      </c>
      <c r="S3" s="46">
        <f>COUNTIFS('RESUMEN TOTAL'!AF8:AF706,"=APAGADO",'RESUMEN TOTAL'!Q8:Q706,"=BONOMO")</f>
        <v>0</v>
      </c>
      <c r="T3" s="46">
        <f>COUNTIFS('RESUMEN TOTAL'!AG8:AG706,"=APAGADO",'RESUMEN TOTAL'!R8:R706,"=BONOMO")</f>
        <v>0</v>
      </c>
      <c r="U3" s="46">
        <f>COUNTIFS('RESUMEN TOTAL'!AH8:AH706,"=APAGADO",'RESUMEN TOTAL'!S8:S706,"=BONOMO")</f>
        <v>0</v>
      </c>
      <c r="V3" s="46">
        <f>COUNTIFS('RESUMEN TOTAL'!AI8:AI706,"=APAGADO",'RESUMEN TOTAL'!T8:T706,"=BONOMO")</f>
        <v>0</v>
      </c>
      <c r="W3" s="46">
        <f>COUNTIFS('RESUMEN TOTAL'!AJ8:AJ706,"=APAGADO",'RESUMEN TOTAL'!U8:U706,"=BONOMO")</f>
        <v>0</v>
      </c>
      <c r="X3" s="46">
        <f>COUNTIFS('RESUMEN TOTAL'!AK8:AK706,"=APAGADO",'RESUMEN TOTAL'!V8:V706,"=BONOMO")</f>
        <v>0</v>
      </c>
      <c r="Y3" s="46">
        <f>COUNTIFS('RESUMEN TOTAL'!AL8:AL706,"=APAGADO",'RESUMEN TOTAL'!W8:W706,"=BONOMO")</f>
        <v>0</v>
      </c>
      <c r="Z3" s="46">
        <f>COUNTIFS('RESUMEN TOTAL'!AM8:AM706,"=APAGADO",'RESUMEN TOTAL'!X8:X706,"=BONOMO")</f>
        <v>0</v>
      </c>
      <c r="AA3" s="46">
        <f>COUNTIFS('RESUMEN TOTAL'!AN8:AN706,"=APAGADO",'RESUMEN TOTAL'!Y8:Y706,"=BONOMO")</f>
        <v>0</v>
      </c>
      <c r="AB3" s="46">
        <f>COUNTIFS('RESUMEN TOTAL'!AO8:AO706,"=APAGADO",'RESUMEN TOTAL'!Z8:Z706,"=BONOMO")</f>
        <v>0</v>
      </c>
      <c r="AC3" s="46">
        <f>COUNTIFS('RESUMEN TOTAL'!AP8:AP706,"=APAGADO",'RESUMEN TOTAL'!AA8:AA706,"=BONOMO")</f>
        <v>0</v>
      </c>
      <c r="AD3" s="46">
        <f>COUNTIFS('RESUMEN TOTAL'!AQ8:AQ706,"=APAGADO",'RESUMEN TOTAL'!AB8:AB706,"=BONOMO")</f>
        <v>0</v>
      </c>
      <c r="AE3" s="46">
        <f>COUNTIFS('RESUMEN TOTAL'!AR8:AR706,"=APAGADO",'RESUMEN TOTAL'!AC8:AC706,"=BONOMO")</f>
        <v>0</v>
      </c>
      <c r="AF3" s="46">
        <f>COUNTIFS('RESUMEN TOTAL'!AS8:AS706,"=APAGADO",'RESUMEN TOTAL'!AD8:AD706,"=BONOMO")</f>
        <v>0</v>
      </c>
      <c r="AG3" s="46">
        <f>COUNTIFS('RESUMEN TOTAL'!AT8:AT706,"=APAGADO",'RESUMEN TOTAL'!AE8:AE706,"=BONOMO")</f>
        <v>0</v>
      </c>
      <c r="AH3" s="46">
        <f>COUNTIFS('RESUMEN TOTAL'!AU8:AU706,"=APAGADO",'RESUMEN TOTAL'!AF8:AF706,"=BONOMO")</f>
        <v>0</v>
      </c>
      <c r="AI3" s="46">
        <f>COUNTIFS('RESUMEN TOTAL'!AV8:AV706,"=APAGADO",'RESUMEN TOTAL'!AG8:AG706,"=BONOMO")</f>
        <v>0</v>
      </c>
      <c r="AJ3" s="46">
        <f>COUNTIFS('RESUMEN TOTAL'!AW8:AW706,"=APAGADO",'RESUMEN TOTAL'!AH8:AH706,"=BONOMO")</f>
        <v>0</v>
      </c>
    </row>
    <row r="4" spans="1:36" ht="16.5" thickTop="1" thickBot="1" x14ac:dyDescent="0.3">
      <c r="A4" s="48" t="s">
        <v>1042</v>
      </c>
      <c r="B4" s="41">
        <f>COUNTIFS('RESUMEN TOTAL'!H8:H629,"=COSEIDI")</f>
        <v>283</v>
      </c>
      <c r="C4" s="46">
        <v>0</v>
      </c>
      <c r="D4" s="39"/>
      <c r="E4" s="37" t="s">
        <v>1052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1042</v>
      </c>
      <c r="E5" s="47" t="s">
        <v>1051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TOTAL'!W10:W708,"=APAGADO",'RESUMEN TOTAL'!H10:H708,"=COSEIDI")</f>
        <v>67</v>
      </c>
      <c r="K5" s="46">
        <f>COUNTIFS('RESUMEN TOTAL'!X10:X708,"=APAGADO",'RESUMEN TOTAL'!I10:I708,"=COSEIDI")</f>
        <v>0</v>
      </c>
      <c r="L5" s="46">
        <f>COUNTIFS('RESUMEN TOTAL'!Y10:Y708,"=APAGADO",'RESUMEN TOTAL'!J10:J708,"=COSEIDI")</f>
        <v>0</v>
      </c>
      <c r="M5" s="46">
        <f>COUNTIFS('RESUMEN TOTAL'!Z10:Z708,"=APAGADO",'RESUMEN TOTAL'!K10:K708,"=COSEIDI")</f>
        <v>0</v>
      </c>
      <c r="N5" s="46">
        <f>COUNTIFS('RESUMEN TOTAL'!AA10:AA708,"=APAGADO",'RESUMEN TOTAL'!L10:L708,"=COSEIDI")</f>
        <v>0</v>
      </c>
      <c r="O5" s="46">
        <f>COUNTIFS('RESUMEN TOTAL'!AB10:AB708,"=APAGADO",'RESUMEN TOTAL'!M10:M708,"=COSEIDI")</f>
        <v>0</v>
      </c>
      <c r="P5" s="46">
        <f>COUNTIFS('RESUMEN TOTAL'!AC10:AC708,"=APAGADO",'RESUMEN TOTAL'!N10:N708,"=COSEIDI")</f>
        <v>0</v>
      </c>
      <c r="Q5" s="46">
        <f>COUNTIFS('RESUMEN TOTAL'!AD10:AD708,"=APAGADO",'RESUMEN TOTAL'!O10:O708,"=COSEIDI")</f>
        <v>0</v>
      </c>
      <c r="R5" s="46">
        <f>COUNTIFS('RESUMEN TOTAL'!AE10:AE708,"=APAGADO",'RESUMEN TOTAL'!P10:P708,"=COSEIDI")</f>
        <v>0</v>
      </c>
      <c r="S5" s="46">
        <f>COUNTIFS('RESUMEN TOTAL'!AF10:AF708,"=APAGADO",'RESUMEN TOTAL'!Q10:Q708,"=COSEIDI")</f>
        <v>0</v>
      </c>
      <c r="T5" s="46">
        <f>COUNTIFS('RESUMEN TOTAL'!AG10:AG708,"=APAGADO",'RESUMEN TOTAL'!R10:R708,"=COSEIDI")</f>
        <v>0</v>
      </c>
      <c r="U5" s="46">
        <f>COUNTIFS('RESUMEN TOTAL'!AH10:AH708,"=APAGADO",'RESUMEN TOTAL'!S10:S708,"=COSEIDI")</f>
        <v>0</v>
      </c>
      <c r="V5" s="46">
        <f>COUNTIFS('RESUMEN TOTAL'!AI10:AI708,"=APAGADO",'RESUMEN TOTAL'!T10:T708,"=COSEIDI")</f>
        <v>0</v>
      </c>
      <c r="W5" s="46">
        <f>COUNTIFS('RESUMEN TOTAL'!AJ10:AJ708,"=APAGADO",'RESUMEN TOTAL'!U10:U708,"=COSEIDI")</f>
        <v>0</v>
      </c>
      <c r="X5" s="46">
        <f>COUNTIFS('RESUMEN TOTAL'!AK10:AK708,"=APAGADO",'RESUMEN TOTAL'!V10:V708,"=COSEIDI")</f>
        <v>0</v>
      </c>
      <c r="Y5" s="46">
        <f>COUNTIFS('RESUMEN TOTAL'!AL10:AL708,"=APAGADO",'RESUMEN TOTAL'!W10:W708,"=COSEIDI")</f>
        <v>0</v>
      </c>
      <c r="Z5" s="46">
        <f>COUNTIFS('RESUMEN TOTAL'!AM10:AM708,"=APAGADO",'RESUMEN TOTAL'!X10:X708,"=COSEIDI")</f>
        <v>0</v>
      </c>
      <c r="AA5" s="46">
        <f>COUNTIFS('RESUMEN TOTAL'!AN10:AN708,"=APAGADO",'RESUMEN TOTAL'!Y10:Y708,"=COSEIDI")</f>
        <v>0</v>
      </c>
      <c r="AB5" s="46">
        <f>COUNTIFS('RESUMEN TOTAL'!AO10:AO708,"=APAGADO",'RESUMEN TOTAL'!Z10:Z708,"=COSEIDI")</f>
        <v>0</v>
      </c>
      <c r="AC5" s="46">
        <f>COUNTIFS('RESUMEN TOTAL'!AP10:AP708,"=APAGADO",'RESUMEN TOTAL'!AA10:AA708,"=COSEIDI")</f>
        <v>0</v>
      </c>
      <c r="AD5" s="46">
        <f>COUNTIFS('RESUMEN TOTAL'!AQ10:AQ708,"=APAGADO",'RESUMEN TOTAL'!AB10:AB708,"=COSEIDI")</f>
        <v>0</v>
      </c>
      <c r="AE5" s="46">
        <f>COUNTIFS('RESUMEN TOTAL'!AR10:AR708,"=APAGADO",'RESUMEN TOTAL'!AC10:AC708,"=COSEIDI")</f>
        <v>0</v>
      </c>
      <c r="AF5" s="46">
        <f>COUNTIFS('RESUMEN TOTAL'!AS10:AS708,"=APAGADO",'RESUMEN TOTAL'!AD10:AD708,"=COSEIDI")</f>
        <v>0</v>
      </c>
      <c r="AG5" s="46">
        <f>COUNTIFS('RESUMEN TOTAL'!AT10:AT708,"=APAGADO",'RESUMEN TOTAL'!AE10:AE708,"=COSEIDI")</f>
        <v>0</v>
      </c>
      <c r="AH5" s="46">
        <f>COUNTIFS('RESUMEN TOTAL'!AU10:AU708,"=APAGADO",'RESUMEN TOTAL'!AF10:AF708,"=COSEIDI")</f>
        <v>0</v>
      </c>
      <c r="AI5" s="46">
        <f>COUNTIFS('RESUMEN TOTAL'!AV10:AV708,"=APAGADO",'RESUMEN TOTAL'!AG10:AG708,"=COSEIDI")</f>
        <v>0</v>
      </c>
      <c r="AJ5" s="46">
        <f>COUNTIFS('RESUMEN TOTAL'!AW10:AW708,"=APAGADO",'RESUMEN TOTAL'!AH10:AH708,"=COSEIDI")</f>
        <v>0</v>
      </c>
    </row>
    <row r="6" spans="1:36" ht="16.5" thickTop="1" thickBot="1" x14ac:dyDescent="0.3">
      <c r="D6" s="39"/>
      <c r="E6" s="37" t="s">
        <v>1053</v>
      </c>
      <c r="F6" s="50">
        <v>0</v>
      </c>
      <c r="G6" s="50">
        <f>G5/COSEIDIcam</f>
        <v>0.14487632508833923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93" zoomScaleNormal="100" workbookViewId="0">
      <selection activeCell="D312" sqref="D31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893</v>
      </c>
      <c r="D1" s="105" t="s">
        <v>1434</v>
      </c>
      <c r="E1" s="106" t="s">
        <v>894</v>
      </c>
    </row>
    <row r="2" spans="1:6" ht="15.6" customHeight="1" thickTop="1" x14ac:dyDescent="0.25">
      <c r="A2" s="75"/>
      <c r="B2" s="52" t="s">
        <v>1219</v>
      </c>
      <c r="C2" s="97">
        <f>CANTIDAD_DE_CAMARAS</f>
        <v>591</v>
      </c>
      <c r="D2" s="98"/>
      <c r="E2" s="103"/>
      <c r="F2" s="159">
        <v>46113</v>
      </c>
    </row>
    <row r="3" spans="1:6" ht="15" customHeight="1" x14ac:dyDescent="0.25">
      <c r="A3" s="76" t="s">
        <v>1446</v>
      </c>
      <c r="B3" s="53" t="s">
        <v>6</v>
      </c>
      <c r="C3" s="66">
        <f>'RESUMEN TOTAL'!S3</f>
        <v>0</v>
      </c>
      <c r="D3" s="54"/>
      <c r="E3" s="55">
        <f>C3/C2</f>
        <v>0</v>
      </c>
      <c r="F3" s="160"/>
    </row>
    <row r="4" spans="1:6" x14ac:dyDescent="0.25">
      <c r="A4" s="76"/>
      <c r="B4" s="53" t="s">
        <v>1220</v>
      </c>
      <c r="C4" s="67">
        <v>17</v>
      </c>
      <c r="D4" s="100">
        <f>C3-C4</f>
        <v>-17</v>
      </c>
      <c r="E4" s="55">
        <f>D4/C2</f>
        <v>-2.8764805414551606E-2</v>
      </c>
      <c r="F4" s="160"/>
    </row>
    <row r="5" spans="1:6" x14ac:dyDescent="0.25">
      <c r="A5" s="76"/>
      <c r="B5" s="53" t="s">
        <v>1221</v>
      </c>
      <c r="C5" s="67">
        <v>11</v>
      </c>
      <c r="D5" s="100">
        <f>D4-C5</f>
        <v>-28</v>
      </c>
      <c r="E5" s="55">
        <f>D5/C2</f>
        <v>-4.7377326565143825E-2</v>
      </c>
      <c r="F5" s="160"/>
    </row>
    <row r="6" spans="1:6" x14ac:dyDescent="0.25">
      <c r="A6" s="94" t="s">
        <v>1446</v>
      </c>
      <c r="B6" s="53" t="s">
        <v>15</v>
      </c>
      <c r="C6" s="91">
        <v>16</v>
      </c>
      <c r="D6" s="100">
        <f>D5-C6</f>
        <v>-44</v>
      </c>
      <c r="E6" s="55">
        <f>D6/C2</f>
        <v>-7.4450084602368863E-2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893</v>
      </c>
      <c r="D8" s="93" t="s">
        <v>1434</v>
      </c>
      <c r="E8" s="99" t="s">
        <v>894</v>
      </c>
      <c r="F8" s="160"/>
    </row>
    <row r="9" spans="1:6" ht="15" customHeight="1" thickTop="1" thickBot="1" x14ac:dyDescent="0.3">
      <c r="A9" s="35" t="s">
        <v>1448</v>
      </c>
      <c r="B9" s="95" t="s">
        <v>1041</v>
      </c>
      <c r="C9" s="96">
        <v>307</v>
      </c>
      <c r="D9" s="112">
        <v>39</v>
      </c>
      <c r="E9" s="102">
        <f>D9/C9</f>
        <v>0.12703583061889251</v>
      </c>
      <c r="F9" s="160"/>
    </row>
    <row r="10" spans="1:6" ht="15.75" thickBot="1" x14ac:dyDescent="0.3">
      <c r="A10" t="s">
        <v>1448</v>
      </c>
      <c r="B10" s="109" t="s">
        <v>1042</v>
      </c>
      <c r="C10" s="110">
        <f>COSEIDIcam</f>
        <v>283</v>
      </c>
      <c r="D10" s="110">
        <v>68</v>
      </c>
      <c r="E10" s="111">
        <f>D10/C10</f>
        <v>0.24028268551236748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893</v>
      </c>
      <c r="D12" s="105" t="s">
        <v>1434</v>
      </c>
      <c r="E12" s="106" t="s">
        <v>894</v>
      </c>
    </row>
    <row r="13" spans="1:6" ht="15" customHeight="1" thickTop="1" x14ac:dyDescent="0.25">
      <c r="B13" s="52" t="s">
        <v>1219</v>
      </c>
      <c r="C13" s="97">
        <f>CANTIDAD_DE_CAMARAS</f>
        <v>591</v>
      </c>
      <c r="D13" s="98"/>
      <c r="E13" s="103"/>
      <c r="F13" s="159">
        <v>46114</v>
      </c>
    </row>
    <row r="14" spans="1:6" x14ac:dyDescent="0.25">
      <c r="A14" t="s">
        <v>1447</v>
      </c>
      <c r="B14" s="53" t="s">
        <v>6</v>
      </c>
      <c r="C14" s="66">
        <v>87</v>
      </c>
      <c r="D14" s="54"/>
      <c r="E14" s="55">
        <f>C14/C13</f>
        <v>0.14720812182741116</v>
      </c>
      <c r="F14" s="160"/>
    </row>
    <row r="15" spans="1:6" x14ac:dyDescent="0.25">
      <c r="B15" s="53" t="s">
        <v>1220</v>
      </c>
      <c r="C15" s="67">
        <v>3</v>
      </c>
      <c r="D15" s="100">
        <v>84</v>
      </c>
      <c r="E15" s="55">
        <f>D15/C13</f>
        <v>0.14213197969543148</v>
      </c>
      <c r="F15" s="160"/>
    </row>
    <row r="16" spans="1:6" x14ac:dyDescent="0.25">
      <c r="B16" s="53" t="s">
        <v>1221</v>
      </c>
      <c r="C16" s="67">
        <v>7</v>
      </c>
      <c r="D16" s="100">
        <v>77</v>
      </c>
      <c r="E16" s="55">
        <f>D16/C13</f>
        <v>0.13028764805414553</v>
      </c>
      <c r="F16" s="160"/>
    </row>
    <row r="17" spans="1:6" x14ac:dyDescent="0.25">
      <c r="A17" t="s">
        <v>1447</v>
      </c>
      <c r="B17" s="53" t="s">
        <v>15</v>
      </c>
      <c r="C17" s="91">
        <v>5</v>
      </c>
      <c r="D17" s="100">
        <v>72</v>
      </c>
      <c r="E17" s="55">
        <f>D17/C13</f>
        <v>0.12182741116751269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893</v>
      </c>
      <c r="D19" s="93" t="s">
        <v>1434</v>
      </c>
      <c r="E19" s="99" t="s">
        <v>894</v>
      </c>
      <c r="F19" s="160"/>
    </row>
    <row r="20" spans="1:6" ht="16.5" thickTop="1" thickBot="1" x14ac:dyDescent="0.3">
      <c r="A20" t="s">
        <v>1449</v>
      </c>
      <c r="B20" s="95" t="s">
        <v>1041</v>
      </c>
      <c r="C20" s="96">
        <v>307</v>
      </c>
      <c r="D20" s="112">
        <v>32</v>
      </c>
      <c r="E20" s="102">
        <f>D20/C20</f>
        <v>0.10423452768729642</v>
      </c>
      <c r="F20" s="160"/>
    </row>
    <row r="21" spans="1:6" ht="15.75" thickBot="1" x14ac:dyDescent="0.3">
      <c r="A21" t="s">
        <v>1449</v>
      </c>
      <c r="B21" s="109" t="s">
        <v>1042</v>
      </c>
      <c r="C21" s="110">
        <f>COSEIDIcam</f>
        <v>283</v>
      </c>
      <c r="D21" s="110">
        <v>55</v>
      </c>
      <c r="E21" s="111">
        <f>D21/C21</f>
        <v>0.19434628975265017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893</v>
      </c>
      <c r="D23" s="105" t="s">
        <v>1434</v>
      </c>
      <c r="E23" s="106" t="s">
        <v>894</v>
      </c>
    </row>
    <row r="24" spans="1:6" ht="15.75" thickTop="1" x14ac:dyDescent="0.25">
      <c r="B24" s="52" t="s">
        <v>1219</v>
      </c>
      <c r="C24" s="97">
        <f>CANTIDAD_DE_CAMARAS</f>
        <v>591</v>
      </c>
      <c r="D24" s="98"/>
      <c r="E24" s="103"/>
      <c r="F24" s="159">
        <v>46115</v>
      </c>
    </row>
    <row r="25" spans="1:6" x14ac:dyDescent="0.25">
      <c r="A25" t="s">
        <v>1440</v>
      </c>
      <c r="B25" s="53" t="s">
        <v>6</v>
      </c>
      <c r="C25" s="66">
        <f>'RESUMEN TOTAL'!U3</f>
        <v>0</v>
      </c>
      <c r="D25" s="54"/>
      <c r="E25" s="55">
        <f>C25/C24</f>
        <v>0</v>
      </c>
      <c r="F25" s="160"/>
    </row>
    <row r="26" spans="1:6" x14ac:dyDescent="0.25">
      <c r="B26" s="53" t="s">
        <v>1220</v>
      </c>
      <c r="C26" s="67">
        <v>6</v>
      </c>
      <c r="D26" s="100">
        <f>C25-C26</f>
        <v>-6</v>
      </c>
      <c r="E26" s="55">
        <f>D26/C24</f>
        <v>-1.015228426395939E-2</v>
      </c>
      <c r="F26" s="160"/>
    </row>
    <row r="27" spans="1:6" x14ac:dyDescent="0.25">
      <c r="B27" s="53" t="s">
        <v>1221</v>
      </c>
      <c r="C27" s="67">
        <v>7</v>
      </c>
      <c r="D27" s="100">
        <f>D26-C27</f>
        <v>-13</v>
      </c>
      <c r="E27" s="55">
        <f>D27/C24</f>
        <v>-2.1996615905245348E-2</v>
      </c>
      <c r="F27" s="160"/>
    </row>
    <row r="28" spans="1:6" x14ac:dyDescent="0.25">
      <c r="A28" t="s">
        <v>1440</v>
      </c>
      <c r="B28" s="53" t="s">
        <v>15</v>
      </c>
      <c r="C28" s="91">
        <f>'RESUMEN TOTAL'!U5</f>
        <v>0</v>
      </c>
      <c r="D28" s="100">
        <f>D27-C28</f>
        <v>-13</v>
      </c>
      <c r="E28" s="55">
        <f>D28/C24</f>
        <v>-2.1996615905245348E-2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893</v>
      </c>
      <c r="D30" s="93" t="s">
        <v>1434</v>
      </c>
      <c r="E30" s="99" t="s">
        <v>894</v>
      </c>
      <c r="F30" s="160"/>
    </row>
    <row r="31" spans="1:6" ht="16.5" thickTop="1" thickBot="1" x14ac:dyDescent="0.3">
      <c r="B31" s="95" t="s">
        <v>1041</v>
      </c>
      <c r="C31" s="96">
        <v>307</v>
      </c>
      <c r="D31" s="112">
        <v>31</v>
      </c>
      <c r="E31" s="102">
        <f>D31/C31</f>
        <v>0.10097719869706841</v>
      </c>
      <c r="F31" s="160"/>
    </row>
    <row r="32" spans="1:6" ht="15.75" thickBot="1" x14ac:dyDescent="0.3">
      <c r="B32" s="109" t="s">
        <v>1042</v>
      </c>
      <c r="C32" s="110">
        <f>COSEIDIcam</f>
        <v>283</v>
      </c>
      <c r="D32" s="110">
        <v>52</v>
      </c>
      <c r="E32" s="111">
        <f>D32/C32</f>
        <v>0.18374558303886926</v>
      </c>
      <c r="F32" s="161"/>
    </row>
    <row r="33" spans="1:6" ht="16.5" thickTop="1" thickBot="1" x14ac:dyDescent="0.3"/>
    <row r="34" spans="1:6" ht="16.5" thickTop="1" thickBot="1" x14ac:dyDescent="0.3">
      <c r="C34" s="104" t="s">
        <v>893</v>
      </c>
      <c r="D34" s="105" t="s">
        <v>1434</v>
      </c>
      <c r="E34" s="106" t="s">
        <v>894</v>
      </c>
    </row>
    <row r="35" spans="1:6" ht="15.75" thickTop="1" x14ac:dyDescent="0.25">
      <c r="B35" s="52" t="s">
        <v>1219</v>
      </c>
      <c r="C35" s="97">
        <f>CANTIDAD_DE_CAMARAS</f>
        <v>591</v>
      </c>
      <c r="D35" s="98"/>
      <c r="E35" s="103"/>
      <c r="F35" s="159">
        <v>46146</v>
      </c>
    </row>
    <row r="36" spans="1:6" x14ac:dyDescent="0.25">
      <c r="A36" t="s">
        <v>1439</v>
      </c>
      <c r="B36" s="53" t="s">
        <v>6</v>
      </c>
      <c r="C36" s="66">
        <f>'RESUMEN TOTAL'!V3</f>
        <v>115</v>
      </c>
      <c r="D36" s="54"/>
      <c r="E36" s="55">
        <f>C36/C35</f>
        <v>0.19458544839255498</v>
      </c>
      <c r="F36" s="160"/>
    </row>
    <row r="37" spans="1:6" x14ac:dyDescent="0.25">
      <c r="B37" s="53" t="s">
        <v>1220</v>
      </c>
      <c r="C37" s="67">
        <v>6</v>
      </c>
      <c r="D37" s="100">
        <f>C36-C37</f>
        <v>109</v>
      </c>
      <c r="E37" s="55">
        <f>D37/C35</f>
        <v>0.18443316412859559</v>
      </c>
      <c r="F37" s="160"/>
    </row>
    <row r="38" spans="1:6" x14ac:dyDescent="0.25">
      <c r="B38" s="53" t="s">
        <v>1221</v>
      </c>
      <c r="C38" s="67">
        <v>12</v>
      </c>
      <c r="D38" s="100">
        <f>D37-C38</f>
        <v>97</v>
      </c>
      <c r="E38" s="55">
        <f>D38/C35</f>
        <v>0.16412859560067683</v>
      </c>
      <c r="F38" s="160"/>
    </row>
    <row r="39" spans="1:6" x14ac:dyDescent="0.25">
      <c r="A39" t="s">
        <v>1439</v>
      </c>
      <c r="B39" s="53" t="s">
        <v>15</v>
      </c>
      <c r="C39" s="91">
        <v>5</v>
      </c>
      <c r="D39" s="100">
        <f>D38-C39</f>
        <v>92</v>
      </c>
      <c r="E39" s="55">
        <f>D39/C35</f>
        <v>0.155668358714044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893</v>
      </c>
      <c r="D41" s="93" t="s">
        <v>1434</v>
      </c>
      <c r="E41" s="99" t="s">
        <v>894</v>
      </c>
      <c r="F41" s="160"/>
    </row>
    <row r="42" spans="1:6" ht="16.5" thickTop="1" thickBot="1" x14ac:dyDescent="0.3">
      <c r="B42" s="95" t="s">
        <v>1041</v>
      </c>
      <c r="C42" s="96">
        <v>307</v>
      </c>
      <c r="D42" s="112">
        <v>47</v>
      </c>
      <c r="E42" s="102">
        <f>D42/C42</f>
        <v>0.15309446254071662</v>
      </c>
      <c r="F42" s="160"/>
    </row>
    <row r="43" spans="1:6" ht="15.75" thickBot="1" x14ac:dyDescent="0.3">
      <c r="B43" s="109" t="s">
        <v>1042</v>
      </c>
      <c r="C43" s="110">
        <f>COSEIDIcam</f>
        <v>283</v>
      </c>
      <c r="D43" s="110">
        <v>68</v>
      </c>
      <c r="E43" s="111">
        <f>D43/C43</f>
        <v>0.24028268551236748</v>
      </c>
      <c r="F43" s="161"/>
    </row>
    <row r="44" spans="1:6" ht="16.5" thickTop="1" thickBot="1" x14ac:dyDescent="0.3"/>
    <row r="45" spans="1:6" ht="16.5" thickTop="1" thickBot="1" x14ac:dyDescent="0.3">
      <c r="C45" s="104" t="s">
        <v>893</v>
      </c>
      <c r="D45" s="105" t="s">
        <v>1434</v>
      </c>
      <c r="E45" s="106" t="s">
        <v>894</v>
      </c>
    </row>
    <row r="46" spans="1:6" ht="15.75" thickTop="1" x14ac:dyDescent="0.25">
      <c r="B46" s="52" t="s">
        <v>1219</v>
      </c>
      <c r="C46" s="97">
        <f>CANTIDAD_DE_CAMARAS</f>
        <v>591</v>
      </c>
      <c r="D46" s="98"/>
      <c r="E46" s="103"/>
      <c r="F46" s="159">
        <v>46147</v>
      </c>
    </row>
    <row r="47" spans="1:6" x14ac:dyDescent="0.25">
      <c r="A47" t="s">
        <v>1441</v>
      </c>
      <c r="B47" s="53" t="s">
        <v>6</v>
      </c>
      <c r="C47" s="66">
        <f>'RESUMEN TOTAL'!W3</f>
        <v>111</v>
      </c>
      <c r="D47" s="54"/>
      <c r="E47" s="55">
        <f>C47/C46</f>
        <v>0.18781725888324874</v>
      </c>
      <c r="F47" s="160"/>
    </row>
    <row r="48" spans="1:6" x14ac:dyDescent="0.25">
      <c r="B48" s="53" t="s">
        <v>1220</v>
      </c>
      <c r="C48" s="67">
        <v>3</v>
      </c>
      <c r="D48" s="100">
        <f>C47-C48</f>
        <v>108</v>
      </c>
      <c r="E48" s="55">
        <f>D48/C46</f>
        <v>0.18274111675126903</v>
      </c>
      <c r="F48" s="160"/>
    </row>
    <row r="49" spans="1:6" x14ac:dyDescent="0.25">
      <c r="B49" s="53" t="s">
        <v>1221</v>
      </c>
      <c r="C49" s="67">
        <v>12</v>
      </c>
      <c r="D49" s="100">
        <f>D48-C49</f>
        <v>96</v>
      </c>
      <c r="E49" s="55">
        <f>D49/C46</f>
        <v>0.16243654822335024</v>
      </c>
      <c r="F49" s="160"/>
    </row>
    <row r="50" spans="1:6" x14ac:dyDescent="0.25">
      <c r="A50" t="s">
        <v>1441</v>
      </c>
      <c r="B50" s="53" t="s">
        <v>15</v>
      </c>
      <c r="C50" s="91">
        <f>'RESUMEN TOTAL'!W5</f>
        <v>5</v>
      </c>
      <c r="D50" s="100">
        <f>D49-C50</f>
        <v>91</v>
      </c>
      <c r="E50" s="55">
        <f>D50/C46</f>
        <v>0.15397631133671744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893</v>
      </c>
      <c r="D52" s="93" t="s">
        <v>1434</v>
      </c>
      <c r="E52" s="99" t="s">
        <v>894</v>
      </c>
      <c r="F52" s="160"/>
    </row>
    <row r="53" spans="1:6" ht="16.5" thickTop="1" thickBot="1" x14ac:dyDescent="0.3">
      <c r="B53" s="95" t="s">
        <v>1041</v>
      </c>
      <c r="C53" s="96">
        <f>BONOMOcam</f>
        <v>308</v>
      </c>
      <c r="D53" s="112">
        <v>44</v>
      </c>
      <c r="E53" s="102">
        <f>D53/C53</f>
        <v>0.14285714285714285</v>
      </c>
      <c r="F53" s="160"/>
    </row>
    <row r="54" spans="1:6" ht="15.75" thickBot="1" x14ac:dyDescent="0.3">
      <c r="B54" s="109" t="s">
        <v>1042</v>
      </c>
      <c r="C54" s="110">
        <f>COSEIDIcam</f>
        <v>283</v>
      </c>
      <c r="D54" s="110">
        <f>Hoja1!J5</f>
        <v>67</v>
      </c>
      <c r="E54" s="111">
        <f>D54/C54</f>
        <v>0.23674911660777384</v>
      </c>
      <c r="F54" s="161"/>
    </row>
    <row r="55" spans="1:6" ht="16.5" thickTop="1" thickBot="1" x14ac:dyDescent="0.3"/>
    <row r="56" spans="1:6" ht="16.5" thickTop="1" thickBot="1" x14ac:dyDescent="0.3">
      <c r="C56" s="104" t="s">
        <v>893</v>
      </c>
      <c r="D56" s="105" t="s">
        <v>1434</v>
      </c>
      <c r="E56" s="106" t="s">
        <v>894</v>
      </c>
    </row>
    <row r="57" spans="1:6" ht="15.75" thickTop="1" x14ac:dyDescent="0.25">
      <c r="B57" s="52" t="s">
        <v>1219</v>
      </c>
      <c r="C57" s="97">
        <f>CANTIDAD_DE_CAMARAS</f>
        <v>591</v>
      </c>
      <c r="D57" s="98"/>
      <c r="E57" s="103"/>
      <c r="F57" s="159">
        <v>46148</v>
      </c>
    </row>
    <row r="58" spans="1:6" x14ac:dyDescent="0.25">
      <c r="A58" t="s">
        <v>1442</v>
      </c>
      <c r="B58" s="53" t="s">
        <v>6</v>
      </c>
      <c r="C58" s="66">
        <f>'RESUMEN TOTAL'!X3</f>
        <v>110</v>
      </c>
      <c r="D58" s="54"/>
      <c r="E58" s="55">
        <f>C58/C57</f>
        <v>0.18612521150592218</v>
      </c>
      <c r="F58" s="160"/>
    </row>
    <row r="59" spans="1:6" x14ac:dyDescent="0.25">
      <c r="B59" s="53" t="s">
        <v>1220</v>
      </c>
      <c r="C59" s="67">
        <v>8</v>
      </c>
      <c r="D59" s="100">
        <f>C58-C59</f>
        <v>102</v>
      </c>
      <c r="E59" s="55">
        <f>D59/C57</f>
        <v>0.17258883248730963</v>
      </c>
      <c r="F59" s="160"/>
    </row>
    <row r="60" spans="1:6" x14ac:dyDescent="0.25">
      <c r="B60" s="53" t="s">
        <v>1221</v>
      </c>
      <c r="C60" s="67">
        <v>12</v>
      </c>
      <c r="D60" s="100">
        <f>D59-C60</f>
        <v>90</v>
      </c>
      <c r="E60" s="55">
        <f>D60/C57</f>
        <v>0.15228426395939088</v>
      </c>
      <c r="F60" s="160"/>
    </row>
    <row r="61" spans="1:6" x14ac:dyDescent="0.25">
      <c r="A61" t="s">
        <v>1442</v>
      </c>
      <c r="B61" s="53" t="s">
        <v>15</v>
      </c>
      <c r="C61" s="91">
        <v>6</v>
      </c>
      <c r="D61" s="100">
        <f>D60-C61</f>
        <v>84</v>
      </c>
      <c r="E61" s="55">
        <f>D61/C57</f>
        <v>0.14213197969543148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893</v>
      </c>
      <c r="D63" s="93" t="s">
        <v>1434</v>
      </c>
      <c r="E63" s="99" t="s">
        <v>894</v>
      </c>
      <c r="F63" s="160"/>
    </row>
    <row r="64" spans="1:6" ht="16.5" thickTop="1" thickBot="1" x14ac:dyDescent="0.3">
      <c r="B64" s="95" t="s">
        <v>1041</v>
      </c>
      <c r="C64" s="96">
        <v>307</v>
      </c>
      <c r="D64" s="112">
        <v>42</v>
      </c>
      <c r="E64" s="102">
        <f>D64/C64</f>
        <v>0.13680781758957655</v>
      </c>
      <c r="F64" s="160"/>
    </row>
    <row r="65" spans="1:6" ht="15.75" thickBot="1" x14ac:dyDescent="0.3">
      <c r="B65" s="109" t="s">
        <v>1042</v>
      </c>
      <c r="C65" s="110">
        <f>COSEIDIcam</f>
        <v>283</v>
      </c>
      <c r="D65" s="110">
        <v>68</v>
      </c>
      <c r="E65" s="111">
        <f>D65/C65</f>
        <v>0.24028268551236748</v>
      </c>
      <c r="F65" s="161"/>
    </row>
    <row r="66" spans="1:6" ht="16.5" thickTop="1" thickBot="1" x14ac:dyDescent="0.3"/>
    <row r="67" spans="1:6" ht="16.5" thickTop="1" thickBot="1" x14ac:dyDescent="0.3">
      <c r="C67" s="104" t="s">
        <v>893</v>
      </c>
      <c r="D67" s="105" t="s">
        <v>1434</v>
      </c>
      <c r="E67" s="106" t="s">
        <v>894</v>
      </c>
    </row>
    <row r="68" spans="1:6" ht="15.75" thickTop="1" x14ac:dyDescent="0.25">
      <c r="B68" s="52" t="s">
        <v>1219</v>
      </c>
      <c r="C68" s="97">
        <f>CANTIDAD_DE_CAMARAS</f>
        <v>591</v>
      </c>
      <c r="D68" s="98"/>
      <c r="E68" s="103"/>
      <c r="F68" s="159">
        <v>46149</v>
      </c>
    </row>
    <row r="69" spans="1:6" x14ac:dyDescent="0.25">
      <c r="A69" t="s">
        <v>1443</v>
      </c>
      <c r="B69" s="53" t="s">
        <v>6</v>
      </c>
      <c r="C69" s="66">
        <f>'RESUMEN TOTAL'!Y3</f>
        <v>116</v>
      </c>
      <c r="D69" s="54"/>
      <c r="E69" s="55">
        <f>C69/C68</f>
        <v>0.19627749576988154</v>
      </c>
      <c r="F69" s="160"/>
    </row>
    <row r="70" spans="1:6" x14ac:dyDescent="0.25">
      <c r="B70" s="53" t="s">
        <v>1220</v>
      </c>
      <c r="C70" s="67">
        <v>11</v>
      </c>
      <c r="D70" s="100">
        <f>C69-C70</f>
        <v>105</v>
      </c>
      <c r="E70" s="55">
        <f>D70/C68</f>
        <v>0.17766497461928935</v>
      </c>
      <c r="F70" s="160"/>
    </row>
    <row r="71" spans="1:6" x14ac:dyDescent="0.25">
      <c r="B71" s="53" t="s">
        <v>1221</v>
      </c>
      <c r="C71" s="67">
        <v>12</v>
      </c>
      <c r="D71" s="100">
        <f>D70-C71</f>
        <v>93</v>
      </c>
      <c r="E71" s="55">
        <f>D71/C68</f>
        <v>0.15736040609137056</v>
      </c>
      <c r="F71" s="160"/>
    </row>
    <row r="72" spans="1:6" x14ac:dyDescent="0.25">
      <c r="A72" t="s">
        <v>1443</v>
      </c>
      <c r="B72" s="53" t="s">
        <v>15</v>
      </c>
      <c r="C72" s="91">
        <f>'RESUMEN TOTAL'!Y5</f>
        <v>6</v>
      </c>
      <c r="D72" s="100">
        <f>D71-C72</f>
        <v>87</v>
      </c>
      <c r="E72" s="55">
        <f>D72/C68</f>
        <v>0.14720812182741116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893</v>
      </c>
      <c r="D74" s="93" t="s">
        <v>1434</v>
      </c>
      <c r="E74" s="99" t="s">
        <v>894</v>
      </c>
      <c r="F74" s="160"/>
    </row>
    <row r="75" spans="1:6" ht="16.5" thickTop="1" thickBot="1" x14ac:dyDescent="0.3">
      <c r="B75" s="95" t="s">
        <v>1041</v>
      </c>
      <c r="C75" s="96">
        <v>307</v>
      </c>
      <c r="D75" s="112">
        <v>38</v>
      </c>
      <c r="E75" s="102">
        <f>D75/C75</f>
        <v>0.12377850162866449</v>
      </c>
      <c r="F75" s="160"/>
    </row>
    <row r="76" spans="1:6" ht="15.75" thickBot="1" x14ac:dyDescent="0.3">
      <c r="B76" s="109" t="s">
        <v>1042</v>
      </c>
      <c r="C76" s="110">
        <f>COSEIDIcam</f>
        <v>283</v>
      </c>
      <c r="D76" s="110">
        <v>78</v>
      </c>
      <c r="E76" s="111">
        <f>D76/C76</f>
        <v>0.2756183745583039</v>
      </c>
      <c r="F76" s="161"/>
    </row>
    <row r="77" spans="1:6" ht="16.5" thickTop="1" thickBot="1" x14ac:dyDescent="0.3"/>
    <row r="78" spans="1:6" ht="16.5" thickTop="1" thickBot="1" x14ac:dyDescent="0.3">
      <c r="C78" s="104" t="s">
        <v>893</v>
      </c>
      <c r="D78" s="105" t="s">
        <v>1434</v>
      </c>
      <c r="E78" s="106" t="s">
        <v>894</v>
      </c>
    </row>
    <row r="79" spans="1:6" ht="15.75" thickTop="1" x14ac:dyDescent="0.25">
      <c r="B79" s="52" t="s">
        <v>1219</v>
      </c>
      <c r="C79" s="97">
        <f>CANTIDAD_DE_CAMARAS</f>
        <v>591</v>
      </c>
      <c r="D79" s="98"/>
      <c r="E79" s="103"/>
      <c r="F79" s="159">
        <v>46150</v>
      </c>
    </row>
    <row r="80" spans="1:6" x14ac:dyDescent="0.25">
      <c r="A80" t="s">
        <v>1438</v>
      </c>
      <c r="B80" s="53" t="s">
        <v>6</v>
      </c>
      <c r="C80" s="66">
        <f>'RESUMEN TOTAL'!Z3</f>
        <v>98</v>
      </c>
      <c r="D80" s="54"/>
      <c r="E80" s="55">
        <f>C80/C79</f>
        <v>0.16582064297800339</v>
      </c>
      <c r="F80" s="160"/>
    </row>
    <row r="81" spans="1:6" x14ac:dyDescent="0.25">
      <c r="B81" s="53" t="s">
        <v>1220</v>
      </c>
      <c r="C81" s="67">
        <v>6</v>
      </c>
      <c r="D81" s="100">
        <f>C80-C81</f>
        <v>92</v>
      </c>
      <c r="E81" s="55">
        <f>D81/C79</f>
        <v>0.155668358714044</v>
      </c>
      <c r="F81" s="160"/>
    </row>
    <row r="82" spans="1:6" x14ac:dyDescent="0.25">
      <c r="B82" s="53" t="s">
        <v>1221</v>
      </c>
      <c r="C82" s="67">
        <v>12</v>
      </c>
      <c r="D82" s="100">
        <f>D81-C82</f>
        <v>80</v>
      </c>
      <c r="E82" s="55">
        <f>D82/C79</f>
        <v>0.13536379018612521</v>
      </c>
      <c r="F82" s="160"/>
    </row>
    <row r="83" spans="1:6" x14ac:dyDescent="0.25">
      <c r="A83" t="s">
        <v>1438</v>
      </c>
      <c r="B83" s="53" t="s">
        <v>15</v>
      </c>
      <c r="C83" s="91">
        <v>5</v>
      </c>
      <c r="D83" s="100">
        <f>D82-C83</f>
        <v>75</v>
      </c>
      <c r="E83" s="55">
        <f>D83/C79</f>
        <v>0.12690355329949238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893</v>
      </c>
      <c r="D85" s="93" t="s">
        <v>1434</v>
      </c>
      <c r="E85" s="99" t="s">
        <v>894</v>
      </c>
      <c r="F85" s="160"/>
    </row>
    <row r="86" spans="1:6" ht="16.5" thickTop="1" thickBot="1" x14ac:dyDescent="0.3">
      <c r="B86" s="95" t="s">
        <v>1041</v>
      </c>
      <c r="C86" s="96">
        <v>307</v>
      </c>
      <c r="D86" s="112">
        <v>36</v>
      </c>
      <c r="E86" s="102">
        <f>D86/C86</f>
        <v>0.11726384364820847</v>
      </c>
      <c r="F86" s="160"/>
    </row>
    <row r="87" spans="1:6" ht="15.75" thickBot="1" x14ac:dyDescent="0.3">
      <c r="B87" s="109" t="s">
        <v>1042</v>
      </c>
      <c r="C87" s="110">
        <f>COSEIDIcam</f>
        <v>283</v>
      </c>
      <c r="D87" s="110">
        <v>62</v>
      </c>
      <c r="E87" s="111">
        <f>D87/C87</f>
        <v>0.21908127208480566</v>
      </c>
      <c r="F87" s="161"/>
    </row>
    <row r="88" spans="1:6" ht="16.5" thickTop="1" thickBot="1" x14ac:dyDescent="0.3"/>
    <row r="89" spans="1:6" ht="16.5" thickTop="1" thickBot="1" x14ac:dyDescent="0.3">
      <c r="C89" s="104" t="s">
        <v>893</v>
      </c>
      <c r="D89" s="105" t="s">
        <v>1434</v>
      </c>
      <c r="E89" s="106" t="s">
        <v>894</v>
      </c>
    </row>
    <row r="90" spans="1:6" ht="15.75" thickTop="1" x14ac:dyDescent="0.25">
      <c r="B90" s="52" t="s">
        <v>1219</v>
      </c>
      <c r="C90" s="97">
        <f>CANTIDAD_DE_CAMARAS</f>
        <v>591</v>
      </c>
      <c r="D90" s="98"/>
      <c r="E90" s="103"/>
      <c r="F90" s="159">
        <v>46090</v>
      </c>
    </row>
    <row r="91" spans="1:6" x14ac:dyDescent="0.25">
      <c r="A91" t="s">
        <v>1444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60"/>
    </row>
    <row r="92" spans="1:6" x14ac:dyDescent="0.25">
      <c r="B92" s="53" t="s">
        <v>1220</v>
      </c>
      <c r="C92" s="67">
        <v>5</v>
      </c>
      <c r="D92" s="100">
        <f>C91-C92</f>
        <v>-5</v>
      </c>
      <c r="E92" s="55">
        <f>D92/C90</f>
        <v>-8.4602368866328256E-3</v>
      </c>
      <c r="F92" s="160"/>
    </row>
    <row r="93" spans="1:6" x14ac:dyDescent="0.25">
      <c r="B93" s="53" t="s">
        <v>1221</v>
      </c>
      <c r="C93" s="67">
        <v>6</v>
      </c>
      <c r="D93" s="100">
        <f>D92-C93</f>
        <v>-11</v>
      </c>
      <c r="E93" s="55">
        <f>D93/C90</f>
        <v>-1.8612521150592216E-2</v>
      </c>
      <c r="F93" s="160"/>
    </row>
    <row r="94" spans="1:6" x14ac:dyDescent="0.25">
      <c r="A94" t="s">
        <v>1444</v>
      </c>
      <c r="B94" s="53" t="s">
        <v>15</v>
      </c>
      <c r="C94" s="91">
        <v>5</v>
      </c>
      <c r="D94" s="100">
        <f>D93-C94</f>
        <v>-16</v>
      </c>
      <c r="E94" s="55">
        <f>D94/C90</f>
        <v>-2.7072758037225041E-2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893</v>
      </c>
      <c r="D96" s="93" t="s">
        <v>1434</v>
      </c>
      <c r="E96" s="99" t="s">
        <v>894</v>
      </c>
      <c r="F96" s="160"/>
    </row>
    <row r="97" spans="1:6" ht="16.5" thickTop="1" thickBot="1" x14ac:dyDescent="0.3">
      <c r="B97" s="95" t="s">
        <v>1041</v>
      </c>
      <c r="C97" s="96">
        <v>307</v>
      </c>
      <c r="D97" s="112">
        <f>Hoja1!N3</f>
        <v>0</v>
      </c>
      <c r="E97" s="102">
        <f>D97/C97</f>
        <v>0</v>
      </c>
      <c r="F97" s="160"/>
    </row>
    <row r="98" spans="1:6" ht="15.75" thickBot="1" x14ac:dyDescent="0.3">
      <c r="B98" s="109" t="s">
        <v>1042</v>
      </c>
      <c r="C98" s="110">
        <f>COSEIDIcam</f>
        <v>283</v>
      </c>
      <c r="D98" s="110">
        <f>Hoja1!N5</f>
        <v>0</v>
      </c>
      <c r="E98" s="111">
        <f>D98/C98</f>
        <v>0</v>
      </c>
      <c r="F98" s="161"/>
    </row>
    <row r="99" spans="1:6" ht="16.5" thickTop="1" thickBot="1" x14ac:dyDescent="0.3"/>
    <row r="100" spans="1:6" ht="16.5" thickTop="1" thickBot="1" x14ac:dyDescent="0.3">
      <c r="C100" s="104" t="s">
        <v>893</v>
      </c>
      <c r="D100" s="105" t="s">
        <v>1434</v>
      </c>
      <c r="E100" s="106" t="s">
        <v>894</v>
      </c>
    </row>
    <row r="101" spans="1:6" ht="15.75" thickTop="1" x14ac:dyDescent="0.25">
      <c r="B101" s="52" t="s">
        <v>1219</v>
      </c>
      <c r="C101" s="97">
        <f>CANTIDAD_DE_CAMARAS</f>
        <v>591</v>
      </c>
      <c r="D101" s="98"/>
      <c r="E101" s="103"/>
      <c r="F101" s="159">
        <v>46122</v>
      </c>
    </row>
    <row r="102" spans="1:6" x14ac:dyDescent="0.25">
      <c r="A102" t="s">
        <v>1445</v>
      </c>
      <c r="B102" s="53" t="s">
        <v>6</v>
      </c>
      <c r="C102" s="66">
        <v>141</v>
      </c>
      <c r="D102" s="54"/>
      <c r="E102" s="55">
        <f>C102/C101</f>
        <v>0.23857868020304568</v>
      </c>
      <c r="F102" s="160"/>
    </row>
    <row r="103" spans="1:6" x14ac:dyDescent="0.25">
      <c r="B103" s="53" t="s">
        <v>1220</v>
      </c>
      <c r="C103" s="67">
        <v>0</v>
      </c>
      <c r="D103" s="100">
        <f>C102-C103</f>
        <v>141</v>
      </c>
      <c r="E103" s="55">
        <f>D103/C101</f>
        <v>0.23857868020304568</v>
      </c>
      <c r="F103" s="160"/>
    </row>
    <row r="104" spans="1:6" x14ac:dyDescent="0.25">
      <c r="B104" s="53" t="s">
        <v>1221</v>
      </c>
      <c r="C104" s="67">
        <v>11</v>
      </c>
      <c r="D104" s="100">
        <f>D103-C104</f>
        <v>130</v>
      </c>
      <c r="E104" s="55">
        <f>D104/C101</f>
        <v>0.21996615905245348</v>
      </c>
      <c r="F104" s="160"/>
    </row>
    <row r="105" spans="1:6" x14ac:dyDescent="0.25">
      <c r="A105" t="s">
        <v>1445</v>
      </c>
      <c r="B105" s="53" t="s">
        <v>15</v>
      </c>
      <c r="C105" s="91">
        <v>29</v>
      </c>
      <c r="D105" s="100">
        <f>D104-C105</f>
        <v>101</v>
      </c>
      <c r="E105" s="55">
        <f>D105/C101</f>
        <v>0.17089678510998307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893</v>
      </c>
      <c r="D107" s="93" t="s">
        <v>1434</v>
      </c>
      <c r="E107" s="99" t="s">
        <v>894</v>
      </c>
      <c r="F107" s="160"/>
    </row>
    <row r="108" spans="1:6" ht="16.5" thickTop="1" thickBot="1" x14ac:dyDescent="0.3">
      <c r="B108" s="95" t="s">
        <v>1041</v>
      </c>
      <c r="C108" s="96">
        <v>307</v>
      </c>
      <c r="D108" s="112">
        <v>69</v>
      </c>
      <c r="E108" s="102">
        <f>D108/C108</f>
        <v>0.22475570032573289</v>
      </c>
      <c r="F108" s="160"/>
    </row>
    <row r="109" spans="1:6" ht="15.75" thickBot="1" x14ac:dyDescent="0.3">
      <c r="B109" s="109" t="s">
        <v>1042</v>
      </c>
      <c r="C109" s="110">
        <f>COSEIDIcam</f>
        <v>283</v>
      </c>
      <c r="D109" s="110">
        <v>72</v>
      </c>
      <c r="E109" s="111">
        <f>D109/C109</f>
        <v>0.25441696113074203</v>
      </c>
      <c r="F109" s="161"/>
    </row>
    <row r="110" spans="1:6" ht="16.5" thickTop="1" thickBot="1" x14ac:dyDescent="0.3"/>
    <row r="111" spans="1:6" ht="16.5" thickTop="1" thickBot="1" x14ac:dyDescent="0.3">
      <c r="C111" s="104" t="s">
        <v>893</v>
      </c>
      <c r="D111" s="105" t="s">
        <v>1434</v>
      </c>
      <c r="E111" s="106" t="s">
        <v>894</v>
      </c>
    </row>
    <row r="112" spans="1:6" ht="15.75" thickTop="1" x14ac:dyDescent="0.25">
      <c r="B112" s="52" t="s">
        <v>1219</v>
      </c>
      <c r="C112" s="97">
        <f>CANTIDAD_DE_CAMARAS</f>
        <v>591</v>
      </c>
      <c r="D112" s="98"/>
      <c r="E112" s="103"/>
      <c r="F112" s="159">
        <v>46153</v>
      </c>
    </row>
    <row r="113" spans="2:6" x14ac:dyDescent="0.25">
      <c r="B113" s="53" t="s">
        <v>6</v>
      </c>
      <c r="C113" s="66">
        <f>'RESUMEN TOTAL'!AC3</f>
        <v>104</v>
      </c>
      <c r="D113" s="54"/>
      <c r="E113" s="55">
        <f>C113/C112</f>
        <v>0.17597292724196278</v>
      </c>
      <c r="F113" s="160"/>
    </row>
    <row r="114" spans="2:6" x14ac:dyDescent="0.25">
      <c r="B114" s="53" t="s">
        <v>1220</v>
      </c>
      <c r="C114" s="67">
        <v>4</v>
      </c>
      <c r="D114" s="100">
        <f>C113-C114</f>
        <v>100</v>
      </c>
      <c r="E114" s="55">
        <f>D114/C112</f>
        <v>0.16920473773265651</v>
      </c>
      <c r="F114" s="160"/>
    </row>
    <row r="115" spans="2:6" x14ac:dyDescent="0.25">
      <c r="B115" s="53" t="s">
        <v>1221</v>
      </c>
      <c r="C115" s="67">
        <v>12</v>
      </c>
      <c r="D115" s="100">
        <f>D114-C115</f>
        <v>88</v>
      </c>
      <c r="E115" s="55">
        <f>D115/C112</f>
        <v>0.14890016920473773</v>
      </c>
      <c r="F115" s="160"/>
    </row>
    <row r="116" spans="2:6" x14ac:dyDescent="0.25">
      <c r="B116" s="53" t="s">
        <v>15</v>
      </c>
      <c r="C116" s="91">
        <v>6</v>
      </c>
      <c r="D116" s="100">
        <f>D115-C116</f>
        <v>82</v>
      </c>
      <c r="E116" s="55">
        <f>D116/C112</f>
        <v>0.13874788494077833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893</v>
      </c>
      <c r="D118" s="93" t="s">
        <v>1434</v>
      </c>
      <c r="E118" s="99" t="s">
        <v>894</v>
      </c>
      <c r="F118" s="160"/>
    </row>
    <row r="119" spans="2:6" ht="16.5" thickTop="1" thickBot="1" x14ac:dyDescent="0.3">
      <c r="B119" s="95" t="s">
        <v>1041</v>
      </c>
      <c r="C119" s="96">
        <v>307</v>
      </c>
      <c r="D119" s="112">
        <v>41</v>
      </c>
      <c r="E119" s="102">
        <f>D119/C119</f>
        <v>0.13355048859934854</v>
      </c>
      <c r="F119" s="160"/>
    </row>
    <row r="120" spans="2:6" ht="15.75" thickBot="1" x14ac:dyDescent="0.3">
      <c r="B120" s="109" t="s">
        <v>1042</v>
      </c>
      <c r="C120" s="110">
        <f>COSEIDIcam</f>
        <v>283</v>
      </c>
      <c r="D120" s="110">
        <v>63</v>
      </c>
      <c r="E120" s="111">
        <f>D120/C120</f>
        <v>0.22261484098939929</v>
      </c>
      <c r="F120" s="161"/>
    </row>
    <row r="121" spans="2:6" ht="16.5" thickTop="1" thickBot="1" x14ac:dyDescent="0.3"/>
    <row r="122" spans="2:6" ht="16.5" thickTop="1" thickBot="1" x14ac:dyDescent="0.3">
      <c r="C122" s="104" t="s">
        <v>893</v>
      </c>
      <c r="D122" s="105" t="s">
        <v>1434</v>
      </c>
      <c r="E122" s="106" t="s">
        <v>894</v>
      </c>
    </row>
    <row r="123" spans="2:6" ht="15.75" thickTop="1" x14ac:dyDescent="0.25">
      <c r="B123" s="52" t="s">
        <v>1219</v>
      </c>
      <c r="C123" s="97">
        <f>CANTIDAD_DE_CAMARAS</f>
        <v>591</v>
      </c>
      <c r="D123" s="98"/>
      <c r="E123" s="103"/>
      <c r="F123" s="159">
        <v>46154</v>
      </c>
    </row>
    <row r="124" spans="2:6" x14ac:dyDescent="0.25">
      <c r="B124" s="53" t="s">
        <v>6</v>
      </c>
      <c r="C124" s="66">
        <f>'RESUMEN TOTAL'!AD3</f>
        <v>107</v>
      </c>
      <c r="D124" s="54"/>
      <c r="E124" s="55">
        <f>C124/C123</f>
        <v>0.18104906937394247</v>
      </c>
      <c r="F124" s="160"/>
    </row>
    <row r="125" spans="2:6" x14ac:dyDescent="0.25">
      <c r="B125" s="53" t="s">
        <v>1220</v>
      </c>
      <c r="C125" s="67">
        <v>5</v>
      </c>
      <c r="D125" s="100">
        <f>C124-C125</f>
        <v>102</v>
      </c>
      <c r="E125" s="55">
        <f>D125/C123</f>
        <v>0.17258883248730963</v>
      </c>
      <c r="F125" s="160"/>
    </row>
    <row r="126" spans="2:6" x14ac:dyDescent="0.25">
      <c r="B126" s="53" t="s">
        <v>1221</v>
      </c>
      <c r="C126" s="67">
        <v>12</v>
      </c>
      <c r="D126" s="100">
        <f>D125-C126</f>
        <v>90</v>
      </c>
      <c r="E126" s="55">
        <f>D126/C123</f>
        <v>0.15228426395939088</v>
      </c>
      <c r="F126" s="160"/>
    </row>
    <row r="127" spans="2:6" x14ac:dyDescent="0.25">
      <c r="B127" s="53" t="s">
        <v>15</v>
      </c>
      <c r="C127" s="91">
        <v>5</v>
      </c>
      <c r="D127" s="100">
        <f>D126-C127</f>
        <v>85</v>
      </c>
      <c r="E127" s="55">
        <f>D127/C123</f>
        <v>0.14382402707275804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893</v>
      </c>
      <c r="D129" s="93" t="s">
        <v>1434</v>
      </c>
      <c r="E129" s="99" t="s">
        <v>894</v>
      </c>
      <c r="F129" s="160"/>
    </row>
    <row r="130" spans="2:6" ht="16.5" thickTop="1" thickBot="1" x14ac:dyDescent="0.3">
      <c r="B130" s="95" t="s">
        <v>1041</v>
      </c>
      <c r="C130" s="96">
        <v>307</v>
      </c>
      <c r="D130" s="112">
        <v>40</v>
      </c>
      <c r="E130" s="102">
        <f>D130/C130</f>
        <v>0.13029315960912052</v>
      </c>
      <c r="F130" s="160"/>
    </row>
    <row r="131" spans="2:6" ht="15.75" thickBot="1" x14ac:dyDescent="0.3">
      <c r="B131" s="109" t="s">
        <v>1042</v>
      </c>
      <c r="C131" s="110">
        <f>COSEIDIcam</f>
        <v>283</v>
      </c>
      <c r="D131" s="110">
        <v>67</v>
      </c>
      <c r="E131" s="111">
        <f>D131/C131</f>
        <v>0.23674911660777384</v>
      </c>
      <c r="F131" s="161"/>
    </row>
    <row r="132" spans="2:6" ht="16.5" thickTop="1" thickBot="1" x14ac:dyDescent="0.3"/>
    <row r="133" spans="2:6" ht="16.5" thickTop="1" thickBot="1" x14ac:dyDescent="0.3">
      <c r="C133" s="104" t="s">
        <v>893</v>
      </c>
      <c r="D133" s="105" t="s">
        <v>1434</v>
      </c>
      <c r="E133" s="106" t="s">
        <v>894</v>
      </c>
    </row>
    <row r="134" spans="2:6" ht="15.75" thickTop="1" x14ac:dyDescent="0.25">
      <c r="B134" s="52" t="s">
        <v>1219</v>
      </c>
      <c r="C134" s="97">
        <f>CANTIDAD_DE_CAMARAS</f>
        <v>591</v>
      </c>
      <c r="D134" s="98"/>
      <c r="E134" s="103"/>
      <c r="F134" s="159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0.19627749576988154</v>
      </c>
      <c r="F135" s="160"/>
    </row>
    <row r="136" spans="2:6" x14ac:dyDescent="0.25">
      <c r="B136" s="53" t="s">
        <v>1220</v>
      </c>
      <c r="C136" s="67">
        <v>9</v>
      </c>
      <c r="D136" s="100">
        <f>C135-C136</f>
        <v>107</v>
      </c>
      <c r="E136" s="55">
        <f>D136/C134</f>
        <v>0.18104906937394247</v>
      </c>
      <c r="F136" s="160"/>
    </row>
    <row r="137" spans="2:6" x14ac:dyDescent="0.25">
      <c r="B137" s="53" t="s">
        <v>1221</v>
      </c>
      <c r="C137" s="67">
        <v>12</v>
      </c>
      <c r="D137" s="100">
        <f>D136-C137</f>
        <v>95</v>
      </c>
      <c r="E137" s="55">
        <f>D137/C134</f>
        <v>0.16074450084602368</v>
      </c>
      <c r="F137" s="160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0.15059221658206429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893</v>
      </c>
      <c r="D140" s="93" t="s">
        <v>1434</v>
      </c>
      <c r="E140" s="99" t="s">
        <v>894</v>
      </c>
      <c r="F140" s="160"/>
    </row>
    <row r="141" spans="2:6" ht="16.5" thickTop="1" thickBot="1" x14ac:dyDescent="0.3">
      <c r="B141" s="95" t="s">
        <v>1041</v>
      </c>
      <c r="C141" s="96">
        <v>307</v>
      </c>
      <c r="D141" s="112">
        <v>44</v>
      </c>
      <c r="E141" s="102">
        <f>D141/C141</f>
        <v>0.14332247557003258</v>
      </c>
      <c r="F141" s="160"/>
    </row>
    <row r="142" spans="2:6" ht="15.75" thickBot="1" x14ac:dyDescent="0.3">
      <c r="B142" s="109" t="s">
        <v>1042</v>
      </c>
      <c r="C142" s="110">
        <f>COSEIDIcam</f>
        <v>283</v>
      </c>
      <c r="D142" s="110">
        <v>72</v>
      </c>
      <c r="E142" s="111">
        <f>D142/C142</f>
        <v>0.25441696113074203</v>
      </c>
      <c r="F142" s="161"/>
    </row>
    <row r="143" spans="2:6" ht="16.5" thickTop="1" thickBot="1" x14ac:dyDescent="0.3"/>
    <row r="144" spans="2:6" ht="16.5" thickTop="1" thickBot="1" x14ac:dyDescent="0.3">
      <c r="C144" s="104" t="s">
        <v>893</v>
      </c>
      <c r="D144" s="105" t="s">
        <v>1434</v>
      </c>
      <c r="E144" s="106" t="s">
        <v>894</v>
      </c>
    </row>
    <row r="145" spans="2:6" ht="15.75" thickTop="1" x14ac:dyDescent="0.25">
      <c r="B145" s="52" t="s">
        <v>1219</v>
      </c>
      <c r="C145" s="97">
        <f>CANTIDAD_DE_CAMARAS</f>
        <v>591</v>
      </c>
      <c r="D145" s="98"/>
      <c r="E145" s="103"/>
      <c r="F145" s="159">
        <v>46156</v>
      </c>
    </row>
    <row r="146" spans="2:6" x14ac:dyDescent="0.25">
      <c r="B146" s="53" t="s">
        <v>6</v>
      </c>
      <c r="C146" s="66">
        <f>'RESUMEN TOTAL'!AF3</f>
        <v>119</v>
      </c>
      <c r="D146" s="54"/>
      <c r="E146" s="55">
        <f>C146/C145</f>
        <v>0.20135363790186125</v>
      </c>
      <c r="F146" s="160"/>
    </row>
    <row r="147" spans="2:6" x14ac:dyDescent="0.25">
      <c r="B147" s="53" t="s">
        <v>1220</v>
      </c>
      <c r="C147" s="67">
        <v>7</v>
      </c>
      <c r="D147" s="100">
        <f>C146-C147</f>
        <v>112</v>
      </c>
      <c r="E147" s="55">
        <f>D147/C145</f>
        <v>0.1895093062605753</v>
      </c>
      <c r="F147" s="160"/>
    </row>
    <row r="148" spans="2:6" x14ac:dyDescent="0.25">
      <c r="B148" s="53" t="s">
        <v>1221</v>
      </c>
      <c r="C148" s="67">
        <v>12</v>
      </c>
      <c r="D148" s="100">
        <f>D147-C148</f>
        <v>100</v>
      </c>
      <c r="E148" s="55">
        <f>D148/C145</f>
        <v>0.16920473773265651</v>
      </c>
      <c r="F148" s="160"/>
    </row>
    <row r="149" spans="2:6" x14ac:dyDescent="0.25">
      <c r="B149" s="53" t="s">
        <v>15</v>
      </c>
      <c r="C149" s="91">
        <v>5</v>
      </c>
      <c r="D149" s="100">
        <f>D148-C149</f>
        <v>95</v>
      </c>
      <c r="E149" s="55">
        <f>D149/C145</f>
        <v>0.16074450084602368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893</v>
      </c>
      <c r="D151" s="93" t="s">
        <v>1434</v>
      </c>
      <c r="E151" s="99" t="s">
        <v>894</v>
      </c>
      <c r="F151" s="160"/>
    </row>
    <row r="152" spans="2:6" ht="16.5" thickTop="1" thickBot="1" x14ac:dyDescent="0.3">
      <c r="B152" s="95" t="s">
        <v>1041</v>
      </c>
      <c r="C152" s="96">
        <v>307</v>
      </c>
      <c r="D152" s="112">
        <v>47</v>
      </c>
      <c r="E152" s="102">
        <f>D152/C152</f>
        <v>0.15309446254071662</v>
      </c>
      <c r="F152" s="160"/>
    </row>
    <row r="153" spans="2:6" ht="15.75" thickBot="1" x14ac:dyDescent="0.3">
      <c r="B153" s="109" t="s">
        <v>1042</v>
      </c>
      <c r="C153" s="110">
        <f>COSEIDIcam</f>
        <v>283</v>
      </c>
      <c r="D153" s="110">
        <v>72</v>
      </c>
      <c r="E153" s="111">
        <f>D153/C153</f>
        <v>0.25441696113074203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893</v>
      </c>
      <c r="D155" s="105" t="s">
        <v>1434</v>
      </c>
      <c r="E155" s="106" t="s">
        <v>894</v>
      </c>
    </row>
    <row r="156" spans="2:6" ht="15.75" thickTop="1" x14ac:dyDescent="0.25">
      <c r="B156" s="52" t="s">
        <v>1219</v>
      </c>
      <c r="C156" s="97">
        <f>CANTIDAD_DE_CAMARAS</f>
        <v>591</v>
      </c>
      <c r="D156" s="98"/>
      <c r="E156" s="103"/>
      <c r="F156" s="159">
        <v>46157</v>
      </c>
    </row>
    <row r="157" spans="2:6" x14ac:dyDescent="0.25">
      <c r="B157" s="53" t="s">
        <v>6</v>
      </c>
      <c r="C157" s="66">
        <f>'RESUMEN TOTAL'!AG3</f>
        <v>121</v>
      </c>
      <c r="D157" s="54"/>
      <c r="E157" s="55">
        <f>C157/C156</f>
        <v>0.20473773265651438</v>
      </c>
      <c r="F157" s="160"/>
    </row>
    <row r="158" spans="2:6" x14ac:dyDescent="0.25">
      <c r="B158" s="53" t="s">
        <v>1220</v>
      </c>
      <c r="C158" s="67">
        <v>15</v>
      </c>
      <c r="D158" s="100">
        <f>C157-C158</f>
        <v>106</v>
      </c>
      <c r="E158" s="55">
        <f>D158/C156</f>
        <v>0.17935702199661591</v>
      </c>
      <c r="F158" s="160"/>
    </row>
    <row r="159" spans="2:6" x14ac:dyDescent="0.25">
      <c r="B159" s="53" t="s">
        <v>1221</v>
      </c>
      <c r="C159" s="67">
        <v>12</v>
      </c>
      <c r="D159" s="100">
        <f>D158-C159</f>
        <v>94</v>
      </c>
      <c r="E159" s="55">
        <f>D159/C156</f>
        <v>0.15905245346869712</v>
      </c>
      <c r="F159" s="160"/>
    </row>
    <row r="160" spans="2:6" x14ac:dyDescent="0.25">
      <c r="B160" s="53" t="s">
        <v>15</v>
      </c>
      <c r="C160" s="91">
        <v>4</v>
      </c>
      <c r="D160" s="100">
        <f>D159-C160</f>
        <v>90</v>
      </c>
      <c r="E160" s="55">
        <f>D160/C156</f>
        <v>0.15228426395939088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893</v>
      </c>
      <c r="D162" s="93" t="s">
        <v>1434</v>
      </c>
      <c r="E162" s="99" t="s">
        <v>894</v>
      </c>
      <c r="F162" s="160"/>
    </row>
    <row r="163" spans="2:6" ht="16.5" thickTop="1" thickBot="1" x14ac:dyDescent="0.3">
      <c r="B163" s="95" t="s">
        <v>1041</v>
      </c>
      <c r="C163" s="96">
        <v>307</v>
      </c>
      <c r="D163" s="112">
        <v>44</v>
      </c>
      <c r="E163" s="102">
        <f>D163/C163</f>
        <v>0.14332247557003258</v>
      </c>
      <c r="F163" s="160"/>
    </row>
    <row r="164" spans="2:6" ht="15.75" thickBot="1" x14ac:dyDescent="0.3">
      <c r="B164" s="109" t="s">
        <v>1042</v>
      </c>
      <c r="C164" s="110">
        <f>COSEIDIcam</f>
        <v>283</v>
      </c>
      <c r="D164" s="110">
        <v>77</v>
      </c>
      <c r="E164" s="111">
        <f>D164/C164</f>
        <v>0.27208480565371024</v>
      </c>
      <c r="F164" s="161"/>
    </row>
    <row r="165" spans="2:6" ht="16.5" thickTop="1" thickBot="1" x14ac:dyDescent="0.3"/>
    <row r="166" spans="2:6" ht="16.5" thickTop="1" thickBot="1" x14ac:dyDescent="0.3">
      <c r="C166" s="104" t="s">
        <v>893</v>
      </c>
      <c r="D166" s="105" t="s">
        <v>1434</v>
      </c>
      <c r="E166" s="106" t="s">
        <v>894</v>
      </c>
    </row>
    <row r="167" spans="2:6" ht="15.75" thickTop="1" x14ac:dyDescent="0.25">
      <c r="B167" s="52" t="s">
        <v>1219</v>
      </c>
      <c r="C167" s="97">
        <f>CANTIDAD_DE_CAMARAS</f>
        <v>591</v>
      </c>
      <c r="D167" s="98"/>
      <c r="E167" s="103"/>
      <c r="F167" s="159">
        <v>46128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60"/>
    </row>
    <row r="169" spans="2:6" x14ac:dyDescent="0.25">
      <c r="B169" s="53" t="s">
        <v>1220</v>
      </c>
      <c r="C169" s="67">
        <v>2</v>
      </c>
      <c r="D169" s="100">
        <f>C168-C169</f>
        <v>-2</v>
      </c>
      <c r="E169" s="55">
        <f>D169/C167</f>
        <v>-3.3840947546531302E-3</v>
      </c>
      <c r="F169" s="160"/>
    </row>
    <row r="170" spans="2:6" x14ac:dyDescent="0.25">
      <c r="B170" s="53" t="s">
        <v>1221</v>
      </c>
      <c r="C170" s="67">
        <v>12</v>
      </c>
      <c r="D170" s="100">
        <f>D169-C170</f>
        <v>-14</v>
      </c>
      <c r="E170" s="55">
        <f>D170/C167</f>
        <v>-2.3688663282571912E-2</v>
      </c>
      <c r="F170" s="160"/>
    </row>
    <row r="171" spans="2:6" x14ac:dyDescent="0.25">
      <c r="B171" s="53" t="s">
        <v>15</v>
      </c>
      <c r="C171" s="91">
        <v>5</v>
      </c>
      <c r="D171" s="100">
        <f>D170-C171</f>
        <v>-19</v>
      </c>
      <c r="E171" s="55">
        <f>D171/C167</f>
        <v>-3.2148900169204735E-2</v>
      </c>
      <c r="F171" s="160"/>
    </row>
    <row r="172" spans="2:6" ht="15.75" thickBot="1" x14ac:dyDescent="0.3">
      <c r="B172" s="56"/>
      <c r="C172" s="128"/>
      <c r="D172" s="101">
        <f>D171-C172</f>
        <v>-19</v>
      </c>
      <c r="E172" s="74">
        <f>D172/C167</f>
        <v>-3.2148900169204735E-2</v>
      </c>
      <c r="F172" s="160"/>
    </row>
    <row r="173" spans="2:6" ht="16.5" thickTop="1" thickBot="1" x14ac:dyDescent="0.3">
      <c r="B173" s="108"/>
      <c r="C173" s="107" t="s">
        <v>893</v>
      </c>
      <c r="D173" s="93" t="s">
        <v>1434</v>
      </c>
      <c r="E173" s="99" t="s">
        <v>894</v>
      </c>
      <c r="F173" s="160"/>
    </row>
    <row r="174" spans="2:6" ht="16.5" thickTop="1" thickBot="1" x14ac:dyDescent="0.3">
      <c r="B174" s="95" t="s">
        <v>1041</v>
      </c>
      <c r="C174" s="96">
        <v>307</v>
      </c>
      <c r="D174" s="112">
        <f>Hoja1!U3</f>
        <v>0</v>
      </c>
      <c r="E174" s="102">
        <f>D174/C174</f>
        <v>0</v>
      </c>
      <c r="F174" s="160"/>
    </row>
    <row r="175" spans="2:6" ht="15.75" thickBot="1" x14ac:dyDescent="0.3">
      <c r="B175" s="109" t="s">
        <v>1042</v>
      </c>
      <c r="C175" s="110">
        <f>COSEIDIcam</f>
        <v>283</v>
      </c>
      <c r="D175" s="110">
        <v>40</v>
      </c>
      <c r="E175" s="111">
        <f>D175/C175</f>
        <v>0.14134275618374559</v>
      </c>
      <c r="F175" s="161"/>
    </row>
    <row r="176" spans="2:6" ht="16.5" thickTop="1" thickBot="1" x14ac:dyDescent="0.3"/>
    <row r="177" spans="2:6" ht="16.5" thickTop="1" thickBot="1" x14ac:dyDescent="0.3">
      <c r="C177" s="104" t="s">
        <v>893</v>
      </c>
      <c r="D177" s="105" t="s">
        <v>1434</v>
      </c>
      <c r="E177" s="106" t="s">
        <v>894</v>
      </c>
    </row>
    <row r="178" spans="2:6" ht="15.75" thickTop="1" x14ac:dyDescent="0.25">
      <c r="B178" s="52" t="s">
        <v>1219</v>
      </c>
      <c r="C178" s="97">
        <f>CANTIDAD_DE_CAMARAS</f>
        <v>591</v>
      </c>
      <c r="D178" s="98"/>
      <c r="E178" s="103"/>
      <c r="F178" s="159">
        <v>46129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60"/>
    </row>
    <row r="180" spans="2:6" x14ac:dyDescent="0.25">
      <c r="B180" s="53" t="s">
        <v>1220</v>
      </c>
      <c r="C180" s="67">
        <v>20</v>
      </c>
      <c r="D180" s="100">
        <f>C179-C180</f>
        <v>-20</v>
      </c>
      <c r="E180" s="55">
        <f>D180/C178</f>
        <v>-3.3840947546531303E-2</v>
      </c>
      <c r="F180" s="160"/>
    </row>
    <row r="181" spans="2:6" x14ac:dyDescent="0.25">
      <c r="B181" s="53" t="s">
        <v>1221</v>
      </c>
      <c r="C181" s="67">
        <v>12</v>
      </c>
      <c r="D181" s="100">
        <f>D180-C181</f>
        <v>-32</v>
      </c>
      <c r="E181" s="55">
        <f>D181/C178</f>
        <v>-5.4145516074450083E-2</v>
      </c>
      <c r="F181" s="160"/>
    </row>
    <row r="182" spans="2:6" x14ac:dyDescent="0.25">
      <c r="B182" s="53" t="s">
        <v>15</v>
      </c>
      <c r="C182" s="91">
        <v>5</v>
      </c>
      <c r="D182" s="100">
        <f>D181-C182</f>
        <v>-37</v>
      </c>
      <c r="E182" s="55">
        <f>D182/C178</f>
        <v>-6.2605752961082908E-2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893</v>
      </c>
      <c r="D184" s="93" t="s">
        <v>1434</v>
      </c>
      <c r="E184" s="99" t="s">
        <v>894</v>
      </c>
      <c r="F184" s="160"/>
    </row>
    <row r="185" spans="2:6" ht="16.5" thickTop="1" thickBot="1" x14ac:dyDescent="0.3">
      <c r="B185" s="95" t="s">
        <v>1041</v>
      </c>
      <c r="C185" s="96">
        <v>307</v>
      </c>
      <c r="D185" s="112">
        <f>Hoja1!V3</f>
        <v>0</v>
      </c>
      <c r="E185" s="102">
        <f>D185/C185</f>
        <v>0</v>
      </c>
      <c r="F185" s="160"/>
    </row>
    <row r="186" spans="2:6" ht="15.75" thickBot="1" x14ac:dyDescent="0.3">
      <c r="B186" s="109" t="s">
        <v>1042</v>
      </c>
      <c r="C186" s="110">
        <f>COSEIDIcam</f>
        <v>283</v>
      </c>
      <c r="D186" s="110">
        <f>Hoja1!V5</f>
        <v>0</v>
      </c>
      <c r="E186" s="111">
        <f>D186/C186</f>
        <v>0</v>
      </c>
      <c r="F186" s="161"/>
    </row>
    <row r="187" spans="2:6" ht="16.5" thickTop="1" thickBot="1" x14ac:dyDescent="0.3"/>
    <row r="188" spans="2:6" ht="16.5" thickTop="1" thickBot="1" x14ac:dyDescent="0.3">
      <c r="C188" s="104" t="s">
        <v>893</v>
      </c>
      <c r="D188" s="105" t="s">
        <v>1434</v>
      </c>
      <c r="E188" s="106" t="s">
        <v>894</v>
      </c>
    </row>
    <row r="189" spans="2:6" ht="15.75" thickTop="1" x14ac:dyDescent="0.25">
      <c r="B189" s="52" t="s">
        <v>1219</v>
      </c>
      <c r="C189" s="97">
        <f>CANTIDAD_DE_CAMARAS</f>
        <v>591</v>
      </c>
      <c r="D189" s="98"/>
      <c r="E189" s="103"/>
      <c r="F189" s="159">
        <v>46160</v>
      </c>
    </row>
    <row r="190" spans="2:6" x14ac:dyDescent="0.25">
      <c r="B190" s="53" t="s">
        <v>6</v>
      </c>
      <c r="C190" s="66">
        <f>'RESUMEN TOTAL'!AJ3</f>
        <v>110</v>
      </c>
      <c r="D190" s="54"/>
      <c r="E190" s="55">
        <f>C190/C189</f>
        <v>0.18612521150592218</v>
      </c>
      <c r="F190" s="160"/>
    </row>
    <row r="191" spans="2:6" x14ac:dyDescent="0.25">
      <c r="B191" s="53" t="s">
        <v>1220</v>
      </c>
      <c r="C191" s="67">
        <v>10</v>
      </c>
      <c r="D191" s="100">
        <f>C190-C191</f>
        <v>100</v>
      </c>
      <c r="E191" s="55">
        <f>D191/C189</f>
        <v>0.16920473773265651</v>
      </c>
      <c r="F191" s="160"/>
    </row>
    <row r="192" spans="2:6" x14ac:dyDescent="0.25">
      <c r="B192" s="53" t="s">
        <v>1221</v>
      </c>
      <c r="C192" s="67">
        <v>12</v>
      </c>
      <c r="D192" s="100">
        <f>D191-C192</f>
        <v>88</v>
      </c>
      <c r="E192" s="55">
        <f>D192/C189</f>
        <v>0.14890016920473773</v>
      </c>
      <c r="F192" s="160"/>
    </row>
    <row r="193" spans="2:6" x14ac:dyDescent="0.25">
      <c r="B193" s="53" t="s">
        <v>15</v>
      </c>
      <c r="C193" s="91">
        <v>6</v>
      </c>
      <c r="D193" s="100">
        <f>D192-C193</f>
        <v>82</v>
      </c>
      <c r="E193" s="55">
        <f>D193/C189</f>
        <v>0.13874788494077833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893</v>
      </c>
      <c r="D195" s="93" t="s">
        <v>1434</v>
      </c>
      <c r="E195" s="99" t="s">
        <v>894</v>
      </c>
      <c r="F195" s="160"/>
    </row>
    <row r="196" spans="2:6" ht="16.5" thickTop="1" thickBot="1" x14ac:dyDescent="0.3">
      <c r="B196" s="95" t="s">
        <v>1041</v>
      </c>
      <c r="C196" s="96">
        <v>307</v>
      </c>
      <c r="D196" s="112">
        <v>43</v>
      </c>
      <c r="E196" s="102">
        <f>D196/C196</f>
        <v>0.14006514657980457</v>
      </c>
      <c r="F196" s="160"/>
    </row>
    <row r="197" spans="2:6" ht="15.75" thickBot="1" x14ac:dyDescent="0.3">
      <c r="B197" s="109" t="s">
        <v>1042</v>
      </c>
      <c r="C197" s="110">
        <f>COSEIDIcam</f>
        <v>283</v>
      </c>
      <c r="D197" s="110">
        <v>67</v>
      </c>
      <c r="E197" s="111">
        <f>D197/C197</f>
        <v>0.23674911660777384</v>
      </c>
      <c r="F197" s="161"/>
    </row>
    <row r="198" spans="2:6" ht="16.5" thickTop="1" thickBot="1" x14ac:dyDescent="0.3"/>
    <row r="199" spans="2:6" ht="16.5" thickTop="1" thickBot="1" x14ac:dyDescent="0.3">
      <c r="C199" s="104" t="s">
        <v>893</v>
      </c>
      <c r="D199" s="105" t="s">
        <v>1434</v>
      </c>
      <c r="E199" s="106" t="s">
        <v>894</v>
      </c>
    </row>
    <row r="200" spans="2:6" ht="15.75" thickTop="1" x14ac:dyDescent="0.25">
      <c r="B200" s="52" t="s">
        <v>1219</v>
      </c>
      <c r="C200" s="97">
        <f>CANTIDAD_DE_CAMARAS</f>
        <v>591</v>
      </c>
      <c r="D200" s="98"/>
      <c r="E200" s="103"/>
      <c r="F200" s="159">
        <v>46100</v>
      </c>
    </row>
    <row r="201" spans="2:6" x14ac:dyDescent="0.25">
      <c r="B201" s="53" t="s">
        <v>6</v>
      </c>
      <c r="C201" s="66">
        <f>'RESUMEN TOTAL'!AK3</f>
        <v>108</v>
      </c>
      <c r="D201" s="54"/>
      <c r="E201" s="55">
        <f>C201/C200</f>
        <v>0.18274111675126903</v>
      </c>
      <c r="F201" s="160"/>
    </row>
    <row r="202" spans="2:6" x14ac:dyDescent="0.25">
      <c r="B202" s="53" t="s">
        <v>1220</v>
      </c>
      <c r="C202" s="67">
        <v>7</v>
      </c>
      <c r="D202" s="100">
        <f>C201-C202</f>
        <v>101</v>
      </c>
      <c r="E202" s="55">
        <f>D202/C200</f>
        <v>0.17089678510998307</v>
      </c>
      <c r="F202" s="160"/>
    </row>
    <row r="203" spans="2:6" x14ac:dyDescent="0.25">
      <c r="B203" s="53" t="s">
        <v>1221</v>
      </c>
      <c r="C203" s="67">
        <v>12</v>
      </c>
      <c r="D203" s="100">
        <f>D202-C203</f>
        <v>89</v>
      </c>
      <c r="E203" s="55">
        <f>D203/C200</f>
        <v>0.15059221658206429</v>
      </c>
      <c r="F203" s="160"/>
    </row>
    <row r="204" spans="2:6" x14ac:dyDescent="0.25">
      <c r="B204" s="53" t="s">
        <v>15</v>
      </c>
      <c r="C204" s="91">
        <v>6</v>
      </c>
      <c r="D204" s="100">
        <f>D203-C204</f>
        <v>83</v>
      </c>
      <c r="E204" s="55">
        <f>D204/C200</f>
        <v>0.14043993231810489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893</v>
      </c>
      <c r="D206" s="93" t="s">
        <v>1434</v>
      </c>
      <c r="E206" s="99" t="s">
        <v>894</v>
      </c>
      <c r="F206" s="160"/>
    </row>
    <row r="207" spans="2:6" ht="16.5" thickTop="1" thickBot="1" x14ac:dyDescent="0.3">
      <c r="B207" s="95" t="s">
        <v>1041</v>
      </c>
      <c r="C207" s="96">
        <v>307</v>
      </c>
      <c r="D207" s="112">
        <v>38</v>
      </c>
      <c r="E207" s="102">
        <f>D207/C207</f>
        <v>0.12377850162866449</v>
      </c>
      <c r="F207" s="160"/>
    </row>
    <row r="208" spans="2:6" ht="15.75" thickBot="1" x14ac:dyDescent="0.3">
      <c r="B208" s="109" t="s">
        <v>1042</v>
      </c>
      <c r="C208" s="110">
        <f>COSEIDIcam</f>
        <v>283</v>
      </c>
      <c r="D208" s="110">
        <v>70</v>
      </c>
      <c r="E208" s="111">
        <f>D208/C208</f>
        <v>0.24734982332155478</v>
      </c>
      <c r="F208" s="161"/>
    </row>
    <row r="209" spans="2:6" ht="16.5" thickTop="1" thickBot="1" x14ac:dyDescent="0.3"/>
    <row r="210" spans="2:6" ht="16.5" thickTop="1" thickBot="1" x14ac:dyDescent="0.3">
      <c r="C210" s="104" t="s">
        <v>893</v>
      </c>
      <c r="D210" s="105" t="s">
        <v>1434</v>
      </c>
      <c r="E210" s="106" t="s">
        <v>894</v>
      </c>
    </row>
    <row r="211" spans="2:6" ht="15.75" thickTop="1" x14ac:dyDescent="0.25">
      <c r="B211" s="52" t="s">
        <v>1219</v>
      </c>
      <c r="C211" s="97">
        <f>CANTIDAD_DE_CAMARAS</f>
        <v>591</v>
      </c>
      <c r="D211" s="98"/>
      <c r="E211" s="103"/>
      <c r="F211" s="159">
        <v>46162</v>
      </c>
    </row>
    <row r="212" spans="2:6" x14ac:dyDescent="0.25">
      <c r="B212" s="53" t="s">
        <v>6</v>
      </c>
      <c r="C212" s="66">
        <f>'RESUMEN TOTAL'!AL3</f>
        <v>100</v>
      </c>
      <c r="D212" s="54"/>
      <c r="E212" s="55">
        <f>C212/C211</f>
        <v>0.16920473773265651</v>
      </c>
      <c r="F212" s="160"/>
    </row>
    <row r="213" spans="2:6" x14ac:dyDescent="0.25">
      <c r="B213" s="53" t="s">
        <v>1220</v>
      </c>
      <c r="C213" s="67">
        <v>16</v>
      </c>
      <c r="D213" s="100">
        <f>C212-C213</f>
        <v>84</v>
      </c>
      <c r="E213" s="55">
        <f>D213/C211</f>
        <v>0.14213197969543148</v>
      </c>
      <c r="F213" s="160"/>
    </row>
    <row r="214" spans="2:6" x14ac:dyDescent="0.25">
      <c r="B214" s="53" t="s">
        <v>1221</v>
      </c>
      <c r="C214" s="67">
        <v>12</v>
      </c>
      <c r="D214" s="100">
        <f>D213-C214</f>
        <v>72</v>
      </c>
      <c r="E214" s="55">
        <f>D214/C211</f>
        <v>0.12182741116751269</v>
      </c>
      <c r="F214" s="160"/>
    </row>
    <row r="215" spans="2:6" x14ac:dyDescent="0.25">
      <c r="B215" s="53" t="s">
        <v>15</v>
      </c>
      <c r="C215" s="91">
        <v>6</v>
      </c>
      <c r="D215" s="100">
        <f>D214-C215</f>
        <v>66</v>
      </c>
      <c r="E215" s="55">
        <f>D215/C211</f>
        <v>0.1116751269035533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893</v>
      </c>
      <c r="D217" s="93" t="s">
        <v>1434</v>
      </c>
      <c r="E217" s="99" t="s">
        <v>894</v>
      </c>
      <c r="F217" s="160"/>
    </row>
    <row r="218" spans="2:6" ht="16.5" thickTop="1" thickBot="1" x14ac:dyDescent="0.3">
      <c r="B218" s="95" t="s">
        <v>1041</v>
      </c>
      <c r="C218" s="96">
        <v>307</v>
      </c>
      <c r="D218" s="112">
        <v>33</v>
      </c>
      <c r="E218" s="102">
        <f>D218/C218</f>
        <v>0.10749185667752444</v>
      </c>
      <c r="F218" s="160"/>
    </row>
    <row r="219" spans="2:6" ht="15.75" thickBot="1" x14ac:dyDescent="0.3">
      <c r="B219" s="109" t="s">
        <v>1042</v>
      </c>
      <c r="C219" s="110">
        <f>COSEIDIcam</f>
        <v>283</v>
      </c>
      <c r="D219" s="110">
        <v>67</v>
      </c>
      <c r="E219" s="111">
        <f>D219/C219</f>
        <v>0.23674911660777384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893</v>
      </c>
      <c r="D222" s="105" t="s">
        <v>1434</v>
      </c>
      <c r="E222" s="106" t="s">
        <v>894</v>
      </c>
    </row>
    <row r="223" spans="2:6" ht="15.75" thickTop="1" x14ac:dyDescent="0.25">
      <c r="B223" s="52" t="s">
        <v>1219</v>
      </c>
      <c r="C223" s="97">
        <f>CANTIDAD_DE_CAMARAS</f>
        <v>591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0.14043993231810489</v>
      </c>
      <c r="F224" s="160"/>
    </row>
    <row r="225" spans="2:6" x14ac:dyDescent="0.25">
      <c r="B225" s="53" t="s">
        <v>1220</v>
      </c>
      <c r="C225" s="67">
        <v>6</v>
      </c>
      <c r="D225" s="100">
        <f>C224-C225</f>
        <v>77</v>
      </c>
      <c r="E225" s="55">
        <f>D225/C223</f>
        <v>0.13028764805414553</v>
      </c>
      <c r="F225" s="160"/>
    </row>
    <row r="226" spans="2:6" x14ac:dyDescent="0.25">
      <c r="B226" s="53" t="s">
        <v>1221</v>
      </c>
      <c r="C226" s="67">
        <v>12</v>
      </c>
      <c r="D226" s="100">
        <f>D225-C226</f>
        <v>65</v>
      </c>
      <c r="E226" s="55">
        <f>D226/C223</f>
        <v>0.10998307952622674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0.10152284263959391</v>
      </c>
      <c r="F227" s="160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893</v>
      </c>
      <c r="D229" s="93" t="s">
        <v>1434</v>
      </c>
      <c r="E229" s="99" t="s">
        <v>894</v>
      </c>
      <c r="F229" s="160"/>
    </row>
    <row r="230" spans="2:6" ht="16.5" thickTop="1" thickBot="1" x14ac:dyDescent="0.3">
      <c r="B230" s="95" t="s">
        <v>1041</v>
      </c>
      <c r="C230" s="96">
        <v>307</v>
      </c>
      <c r="D230" s="112">
        <v>32</v>
      </c>
      <c r="E230" s="102">
        <f>D230/C230</f>
        <v>0.10423452768729642</v>
      </c>
      <c r="F230" s="160"/>
    </row>
    <row r="231" spans="2:6" ht="15.75" thickBot="1" x14ac:dyDescent="0.3">
      <c r="B231" s="109" t="s">
        <v>1042</v>
      </c>
      <c r="C231" s="110">
        <f>COSEIDIcam</f>
        <v>283</v>
      </c>
      <c r="D231" s="110">
        <v>51</v>
      </c>
      <c r="E231" s="111">
        <f>D231/C231</f>
        <v>0.18021201413427562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893</v>
      </c>
      <c r="D234" s="105" t="s">
        <v>1434</v>
      </c>
      <c r="E234" s="106" t="s">
        <v>894</v>
      </c>
    </row>
    <row r="235" spans="2:6" ht="15.75" thickTop="1" x14ac:dyDescent="0.25">
      <c r="B235" s="52" t="s">
        <v>1219</v>
      </c>
      <c r="C235" s="97">
        <f>CANTIDAD_DE_CAMARAS</f>
        <v>591</v>
      </c>
      <c r="D235" s="98"/>
      <c r="E235" s="103"/>
      <c r="F235" s="159">
        <v>46164</v>
      </c>
    </row>
    <row r="236" spans="2:6" x14ac:dyDescent="0.25">
      <c r="B236" s="53" t="s">
        <v>6</v>
      </c>
      <c r="C236" s="66">
        <v>80</v>
      </c>
      <c r="D236" s="54"/>
      <c r="E236" s="55">
        <f>C236/C235</f>
        <v>0.13536379018612521</v>
      </c>
      <c r="F236" s="160"/>
    </row>
    <row r="237" spans="2:6" x14ac:dyDescent="0.25">
      <c r="B237" s="53" t="s">
        <v>1220</v>
      </c>
      <c r="C237" s="67">
        <v>4</v>
      </c>
      <c r="D237" s="100">
        <f>C236-C237</f>
        <v>76</v>
      </c>
      <c r="E237" s="55">
        <f>D237/C235</f>
        <v>0.12859560067681894</v>
      </c>
      <c r="F237" s="160"/>
    </row>
    <row r="238" spans="2:6" x14ac:dyDescent="0.25">
      <c r="B238" s="53" t="s">
        <v>1221</v>
      </c>
      <c r="C238" s="67">
        <v>12</v>
      </c>
      <c r="D238" s="100">
        <f>D237-C238</f>
        <v>64</v>
      </c>
      <c r="E238" s="55">
        <f>D238/C235</f>
        <v>0.10829103214890017</v>
      </c>
      <c r="F238" s="160"/>
    </row>
    <row r="239" spans="2:6" x14ac:dyDescent="0.25">
      <c r="B239" s="53" t="s">
        <v>15</v>
      </c>
      <c r="C239" s="91">
        <v>5</v>
      </c>
      <c r="D239" s="100">
        <f>D238-C239</f>
        <v>59</v>
      </c>
      <c r="E239" s="55">
        <f>D239/C235</f>
        <v>9.9830795262267347E-2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893</v>
      </c>
      <c r="D241" s="93" t="s">
        <v>1434</v>
      </c>
      <c r="E241" s="99" t="s">
        <v>894</v>
      </c>
      <c r="F241" s="160"/>
    </row>
    <row r="242" spans="2:6" ht="16.5" thickTop="1" thickBot="1" x14ac:dyDescent="0.3">
      <c r="B242" s="95" t="s">
        <v>1041</v>
      </c>
      <c r="C242" s="96">
        <v>307</v>
      </c>
      <c r="D242" s="112">
        <v>31</v>
      </c>
      <c r="E242" s="102">
        <f>D242/C242</f>
        <v>0.10097719869706841</v>
      </c>
      <c r="F242" s="160"/>
    </row>
    <row r="243" spans="2:6" ht="15.75" thickBot="1" x14ac:dyDescent="0.3">
      <c r="B243" s="109" t="s">
        <v>1042</v>
      </c>
      <c r="C243" s="110">
        <f>COSEIDIcam</f>
        <v>283</v>
      </c>
      <c r="D243" s="110">
        <v>49</v>
      </c>
      <c r="E243" s="111">
        <f>D243/C243</f>
        <v>0.17314487632508835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893</v>
      </c>
      <c r="D246" s="105" t="s">
        <v>1434</v>
      </c>
      <c r="E246" s="106" t="s">
        <v>894</v>
      </c>
    </row>
    <row r="247" spans="2:6" ht="15.75" thickTop="1" x14ac:dyDescent="0.25">
      <c r="B247" s="52" t="s">
        <v>1219</v>
      </c>
      <c r="C247" s="97">
        <f>CANTIDAD_DE_CAMARAS</f>
        <v>591</v>
      </c>
      <c r="D247" s="98"/>
      <c r="E247" s="103"/>
      <c r="F247" s="159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0.20981387478849409</v>
      </c>
      <c r="F248" s="160"/>
    </row>
    <row r="249" spans="2:6" x14ac:dyDescent="0.25">
      <c r="B249" s="53" t="s">
        <v>1220</v>
      </c>
      <c r="C249" s="67">
        <v>9</v>
      </c>
      <c r="D249" s="100">
        <f>C248-C249</f>
        <v>115</v>
      </c>
      <c r="E249" s="55">
        <f>D249/C247</f>
        <v>0.19458544839255498</v>
      </c>
      <c r="F249" s="160"/>
    </row>
    <row r="250" spans="2:6" x14ac:dyDescent="0.25">
      <c r="B250" s="53" t="s">
        <v>1221</v>
      </c>
      <c r="C250" s="67">
        <v>12</v>
      </c>
      <c r="D250" s="100">
        <f>D249-C250</f>
        <v>103</v>
      </c>
      <c r="E250" s="55">
        <f>D250/C247</f>
        <v>0.17428087986463622</v>
      </c>
      <c r="F250" s="160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0.16582064297800339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893</v>
      </c>
      <c r="D253" s="93">
        <v>0</v>
      </c>
      <c r="E253" s="99" t="s">
        <v>894</v>
      </c>
      <c r="F253" s="160"/>
    </row>
    <row r="254" spans="2:6" ht="16.5" thickTop="1" thickBot="1" x14ac:dyDescent="0.3">
      <c r="B254" s="95" t="s">
        <v>1041</v>
      </c>
      <c r="C254" s="96">
        <v>307</v>
      </c>
      <c r="D254" s="112">
        <v>61</v>
      </c>
      <c r="E254" s="102">
        <f>D254/C254</f>
        <v>0.1986970684039088</v>
      </c>
      <c r="F254" s="160"/>
    </row>
    <row r="255" spans="2:6" ht="15.75" thickBot="1" x14ac:dyDescent="0.3">
      <c r="B255" s="109" t="s">
        <v>1042</v>
      </c>
      <c r="C255" s="110">
        <f>COSEIDIcam</f>
        <v>283</v>
      </c>
      <c r="D255" s="110">
        <v>63</v>
      </c>
      <c r="E255" s="111">
        <f>D255/C255</f>
        <v>0.22261484098939929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893</v>
      </c>
      <c r="D258" s="105" t="s">
        <v>1434</v>
      </c>
      <c r="E258" s="106" t="s">
        <v>894</v>
      </c>
    </row>
    <row r="259" spans="2:6" ht="15.75" thickTop="1" x14ac:dyDescent="0.25">
      <c r="B259" s="52" t="s">
        <v>1219</v>
      </c>
      <c r="C259" s="97">
        <f>CANTIDAD_DE_CAMARAS</f>
        <v>591</v>
      </c>
      <c r="D259" s="98"/>
      <c r="E259" s="103"/>
      <c r="F259" s="159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0.19627749576988154</v>
      </c>
      <c r="F260" s="160"/>
    </row>
    <row r="261" spans="2:6" x14ac:dyDescent="0.25">
      <c r="B261" s="53" t="s">
        <v>1220</v>
      </c>
      <c r="C261" s="67">
        <v>7</v>
      </c>
      <c r="D261" s="100">
        <f>C260-C261</f>
        <v>109</v>
      </c>
      <c r="E261" s="55">
        <f>D261/C259</f>
        <v>0.18443316412859559</v>
      </c>
      <c r="F261" s="160"/>
    </row>
    <row r="262" spans="2:6" x14ac:dyDescent="0.25">
      <c r="B262" s="53" t="s">
        <v>1221</v>
      </c>
      <c r="C262" s="67">
        <v>12</v>
      </c>
      <c r="D262" s="100">
        <f>D261-C262</f>
        <v>97</v>
      </c>
      <c r="E262" s="55">
        <f>D262/C259</f>
        <v>0.16412859560067683</v>
      </c>
      <c r="F262" s="160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0.155668358714044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893</v>
      </c>
      <c r="D265" s="93" t="s">
        <v>1434</v>
      </c>
      <c r="E265" s="99" t="s">
        <v>894</v>
      </c>
      <c r="F265" s="160"/>
    </row>
    <row r="266" spans="2:6" ht="16.5" thickTop="1" thickBot="1" x14ac:dyDescent="0.3">
      <c r="B266" s="95" t="s">
        <v>1041</v>
      </c>
      <c r="C266" s="96">
        <v>307</v>
      </c>
      <c r="D266" s="112">
        <v>57</v>
      </c>
      <c r="E266" s="102">
        <f>D266/C266</f>
        <v>0.18566775244299674</v>
      </c>
      <c r="F266" s="160"/>
    </row>
    <row r="267" spans="2:6" ht="15.75" thickBot="1" x14ac:dyDescent="0.3">
      <c r="B267" s="109" t="s">
        <v>1042</v>
      </c>
      <c r="C267" s="110">
        <f>COSEIDIcam</f>
        <v>283</v>
      </c>
      <c r="D267" s="110">
        <v>59</v>
      </c>
      <c r="E267" s="111">
        <f>D267/C267</f>
        <v>0.20848056537102475</v>
      </c>
      <c r="F267" s="161"/>
    </row>
    <row r="268" spans="2:6" ht="16.5" thickTop="1" thickBot="1" x14ac:dyDescent="0.3"/>
    <row r="269" spans="2:6" ht="16.5" thickTop="1" thickBot="1" x14ac:dyDescent="0.3">
      <c r="C269" s="104" t="s">
        <v>893</v>
      </c>
      <c r="D269" s="105" t="s">
        <v>1434</v>
      </c>
      <c r="E269" s="106" t="s">
        <v>894</v>
      </c>
    </row>
    <row r="270" spans="2:6" ht="15.75" thickTop="1" x14ac:dyDescent="0.25">
      <c r="B270" s="52" t="s">
        <v>1219</v>
      </c>
      <c r="C270" s="97">
        <f>CANTIDAD_DE_CAMARAS</f>
        <v>591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1220</v>
      </c>
      <c r="C272" s="67">
        <v>6</v>
      </c>
      <c r="D272" s="100">
        <f>C271-C272</f>
        <v>-6</v>
      </c>
      <c r="E272" s="55">
        <f>D272/C270</f>
        <v>-1.015228426395939E-2</v>
      </c>
      <c r="F272" s="160"/>
    </row>
    <row r="273" spans="2:6" x14ac:dyDescent="0.25">
      <c r="B273" s="53" t="s">
        <v>1221</v>
      </c>
      <c r="C273" s="67">
        <v>10</v>
      </c>
      <c r="D273" s="100">
        <f>D272-C273</f>
        <v>-16</v>
      </c>
      <c r="E273" s="55">
        <f>D273/C270</f>
        <v>-2.7072758037225041E-2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-3.7225042301184431E-2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893</v>
      </c>
      <c r="D276" s="93" t="s">
        <v>1434</v>
      </c>
      <c r="E276" s="99" t="s">
        <v>894</v>
      </c>
      <c r="F276" s="160"/>
    </row>
    <row r="277" spans="2:6" ht="16.5" thickTop="1" thickBot="1" x14ac:dyDescent="0.3">
      <c r="B277" s="95" t="s">
        <v>1041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1042</v>
      </c>
      <c r="C278" s="110">
        <f>COSEIDIcam</f>
        <v>283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893</v>
      </c>
      <c r="D280" s="105" t="s">
        <v>1434</v>
      </c>
      <c r="E280" s="106" t="s">
        <v>894</v>
      </c>
    </row>
    <row r="281" spans="2:6" ht="15.75" thickTop="1" x14ac:dyDescent="0.25">
      <c r="B281" s="52" t="s">
        <v>1219</v>
      </c>
      <c r="C281" s="97">
        <f>CANTIDAD_DE_CAMARAS</f>
        <v>591</v>
      </c>
      <c r="D281" s="98"/>
      <c r="E281" s="103"/>
      <c r="F281" s="159">
        <v>46168</v>
      </c>
    </row>
    <row r="282" spans="2:6" x14ac:dyDescent="0.25">
      <c r="B282" s="53" t="s">
        <v>6</v>
      </c>
      <c r="C282" s="66">
        <f>'RESUMEN TOTAL'!AR3</f>
        <v>86</v>
      </c>
      <c r="D282" s="54"/>
      <c r="E282" s="55">
        <f>C282/C281</f>
        <v>0.1455160744500846</v>
      </c>
      <c r="F282" s="160"/>
    </row>
    <row r="283" spans="2:6" x14ac:dyDescent="0.25">
      <c r="B283" s="53" t="s">
        <v>1220</v>
      </c>
      <c r="C283" s="67">
        <v>7</v>
      </c>
      <c r="D283" s="100">
        <f>C282-C283</f>
        <v>79</v>
      </c>
      <c r="E283" s="55">
        <f>D283/C281</f>
        <v>0.13367174280879865</v>
      </c>
      <c r="F283" s="160"/>
    </row>
    <row r="284" spans="2:6" x14ac:dyDescent="0.25">
      <c r="B284" s="53" t="s">
        <v>1221</v>
      </c>
      <c r="C284" s="67">
        <v>12</v>
      </c>
      <c r="D284" s="100">
        <f>D283-C284</f>
        <v>67</v>
      </c>
      <c r="E284" s="55">
        <f>D284/C281</f>
        <v>0.11336717428087986</v>
      </c>
      <c r="F284" s="160"/>
    </row>
    <row r="285" spans="2:6" x14ac:dyDescent="0.25">
      <c r="B285" s="53" t="s">
        <v>15</v>
      </c>
      <c r="C285" s="91">
        <v>5</v>
      </c>
      <c r="D285" s="100">
        <f>D284-C285</f>
        <v>62</v>
      </c>
      <c r="E285" s="55">
        <f>D285/C281</f>
        <v>0.10490693739424704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893</v>
      </c>
      <c r="D287" s="93" t="s">
        <v>1434</v>
      </c>
      <c r="E287" s="99" t="s">
        <v>894</v>
      </c>
      <c r="F287" s="160"/>
    </row>
    <row r="288" spans="2:6" ht="16.5" thickTop="1" thickBot="1" x14ac:dyDescent="0.3">
      <c r="B288" s="95" t="s">
        <v>1041</v>
      </c>
      <c r="C288" s="96">
        <v>307</v>
      </c>
      <c r="D288" s="112">
        <v>32</v>
      </c>
      <c r="E288" s="102">
        <f>D288/C288</f>
        <v>0.10423452768729642</v>
      </c>
      <c r="F288" s="160"/>
    </row>
    <row r="289" spans="2:6" ht="15.75" thickBot="1" x14ac:dyDescent="0.3">
      <c r="B289" s="109" t="s">
        <v>1042</v>
      </c>
      <c r="C289" s="110">
        <f>COSEIDIcam</f>
        <v>283</v>
      </c>
      <c r="D289" s="110">
        <v>54</v>
      </c>
      <c r="E289" s="111">
        <f>D289/C289</f>
        <v>0.19081272084805653</v>
      </c>
      <c r="F289" s="161"/>
    </row>
    <row r="290" spans="2:6" ht="16.5" thickTop="1" thickBot="1" x14ac:dyDescent="0.3"/>
    <row r="291" spans="2:6" ht="16.5" thickTop="1" thickBot="1" x14ac:dyDescent="0.3">
      <c r="C291" s="104" t="s">
        <v>893</v>
      </c>
      <c r="D291" s="105" t="s">
        <v>1434</v>
      </c>
      <c r="E291" s="106" t="s">
        <v>894</v>
      </c>
    </row>
    <row r="292" spans="2:6" ht="15.75" thickTop="1" x14ac:dyDescent="0.25">
      <c r="B292" s="52" t="s">
        <v>1219</v>
      </c>
      <c r="C292" s="97">
        <f>CANTIDAD_DE_CAMARAS</f>
        <v>591</v>
      </c>
      <c r="D292" s="98"/>
      <c r="E292" s="103"/>
      <c r="F292" s="159">
        <v>46169</v>
      </c>
    </row>
    <row r="293" spans="2:6" x14ac:dyDescent="0.25">
      <c r="B293" s="53" t="s">
        <v>6</v>
      </c>
      <c r="C293" s="66">
        <f>'RESUMEN TOTAL'!AS3</f>
        <v>84</v>
      </c>
      <c r="D293" s="54"/>
      <c r="E293" s="55">
        <f>C293/C292</f>
        <v>0.14213197969543148</v>
      </c>
      <c r="F293" s="160"/>
    </row>
    <row r="294" spans="2:6" x14ac:dyDescent="0.25">
      <c r="B294" s="53" t="s">
        <v>1220</v>
      </c>
      <c r="C294" s="67">
        <v>8</v>
      </c>
      <c r="D294" s="100">
        <f>C293-C294</f>
        <v>76</v>
      </c>
      <c r="E294" s="55">
        <f>D294/C292</f>
        <v>0.12859560067681894</v>
      </c>
      <c r="F294" s="160"/>
    </row>
    <row r="295" spans="2:6" x14ac:dyDescent="0.25">
      <c r="B295" s="53" t="s">
        <v>1221</v>
      </c>
      <c r="C295" s="67">
        <v>12</v>
      </c>
      <c r="D295" s="100">
        <f>D294-C295</f>
        <v>64</v>
      </c>
      <c r="E295" s="55">
        <f>D295/C292</f>
        <v>0.10829103214890017</v>
      </c>
      <c r="F295" s="160"/>
    </row>
    <row r="296" spans="2:6" x14ac:dyDescent="0.25">
      <c r="B296" s="53" t="s">
        <v>15</v>
      </c>
      <c r="C296" s="91">
        <v>5</v>
      </c>
      <c r="D296" s="100">
        <f>D295-C296</f>
        <v>59</v>
      </c>
      <c r="E296" s="55">
        <f>D296/C292</f>
        <v>9.9830795262267347E-2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893</v>
      </c>
      <c r="D298" s="93" t="s">
        <v>1434</v>
      </c>
      <c r="E298" s="99" t="s">
        <v>894</v>
      </c>
      <c r="F298" s="160"/>
    </row>
    <row r="299" spans="2:6" ht="16.5" thickTop="1" thickBot="1" x14ac:dyDescent="0.3">
      <c r="B299" s="95" t="s">
        <v>1041</v>
      </c>
      <c r="C299" s="96">
        <v>307</v>
      </c>
      <c r="D299" s="112">
        <v>27</v>
      </c>
      <c r="E299" s="102">
        <f>D299/C299</f>
        <v>8.7947882736156349E-2</v>
      </c>
      <c r="F299" s="160"/>
    </row>
    <row r="300" spans="2:6" ht="15.75" thickBot="1" x14ac:dyDescent="0.3">
      <c r="B300" s="109" t="s">
        <v>1042</v>
      </c>
      <c r="C300" s="110">
        <f>COSEIDIcam</f>
        <v>283</v>
      </c>
      <c r="D300" s="110">
        <v>57</v>
      </c>
      <c r="E300" s="111">
        <f>D300/C300</f>
        <v>0.20141342756183744</v>
      </c>
      <c r="F300" s="161"/>
    </row>
    <row r="301" spans="2:6" ht="16.5" thickTop="1" thickBot="1" x14ac:dyDescent="0.3"/>
    <row r="302" spans="2:6" ht="16.5" thickTop="1" thickBot="1" x14ac:dyDescent="0.3">
      <c r="C302" s="104" t="s">
        <v>893</v>
      </c>
      <c r="D302" s="105" t="s">
        <v>1434</v>
      </c>
      <c r="E302" s="106" t="s">
        <v>894</v>
      </c>
    </row>
    <row r="303" spans="2:6" ht="15.75" thickTop="1" x14ac:dyDescent="0.25">
      <c r="B303" s="52" t="s">
        <v>1219</v>
      </c>
      <c r="C303" s="97">
        <f>CANTIDAD_DE_CAMARAS</f>
        <v>591</v>
      </c>
      <c r="D303" s="98"/>
      <c r="E303" s="103"/>
      <c r="F303" s="159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0.10490693739424704</v>
      </c>
      <c r="F304" s="160"/>
    </row>
    <row r="305" spans="2:6" x14ac:dyDescent="0.25">
      <c r="B305" s="53" t="s">
        <v>1220</v>
      </c>
      <c r="C305" s="67">
        <v>6</v>
      </c>
      <c r="D305" s="100">
        <f>C304-C305</f>
        <v>56</v>
      </c>
      <c r="E305" s="55">
        <f>D305/C303</f>
        <v>9.475465313028765E-2</v>
      </c>
      <c r="F305" s="160"/>
    </row>
    <row r="306" spans="2:6" x14ac:dyDescent="0.25">
      <c r="B306" s="53" t="s">
        <v>1221</v>
      </c>
      <c r="C306" s="67">
        <v>9</v>
      </c>
      <c r="D306" s="100">
        <f>D305-C306</f>
        <v>47</v>
      </c>
      <c r="E306" s="55">
        <f>D306/C303</f>
        <v>7.952622673434856E-2</v>
      </c>
      <c r="F306" s="160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7.1065989847715741E-2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893</v>
      </c>
      <c r="D309" s="93" t="s">
        <v>1434</v>
      </c>
      <c r="E309" s="99" t="s">
        <v>894</v>
      </c>
      <c r="F309" s="160"/>
    </row>
    <row r="310" spans="2:6" ht="16.5" thickTop="1" thickBot="1" x14ac:dyDescent="0.3">
      <c r="B310" s="95" t="s">
        <v>1041</v>
      </c>
      <c r="C310" s="96">
        <v>307</v>
      </c>
      <c r="D310" s="112">
        <v>20</v>
      </c>
      <c r="E310" s="102">
        <f>D310/C310</f>
        <v>6.5146579804560262E-2</v>
      </c>
      <c r="F310" s="160"/>
    </row>
    <row r="311" spans="2:6" ht="15.75" thickBot="1" x14ac:dyDescent="0.3">
      <c r="B311" s="109" t="s">
        <v>1042</v>
      </c>
      <c r="C311" s="110">
        <f>COSEIDIcam</f>
        <v>283</v>
      </c>
      <c r="D311" s="110">
        <v>42</v>
      </c>
      <c r="E311" s="111">
        <f>D311/C311</f>
        <v>0.14840989399293286</v>
      </c>
      <c r="F311" s="161"/>
    </row>
    <row r="312" spans="2:6" ht="16.5" thickTop="1" thickBot="1" x14ac:dyDescent="0.3"/>
    <row r="313" spans="2:6" ht="16.5" thickTop="1" thickBot="1" x14ac:dyDescent="0.3">
      <c r="C313" s="104" t="s">
        <v>893</v>
      </c>
      <c r="D313" s="105" t="s">
        <v>1434</v>
      </c>
      <c r="E313" s="106" t="s">
        <v>894</v>
      </c>
    </row>
    <row r="314" spans="2:6" ht="15.75" thickTop="1" x14ac:dyDescent="0.25">
      <c r="B314" s="52" t="s">
        <v>1219</v>
      </c>
      <c r="C314" s="97">
        <f>CANTIDAD_DE_CAMARAS</f>
        <v>591</v>
      </c>
      <c r="D314" s="98"/>
      <c r="E314" s="103"/>
      <c r="F314" s="159">
        <v>46110</v>
      </c>
    </row>
    <row r="315" spans="2:6" x14ac:dyDescent="0.25">
      <c r="B315" s="53" t="s">
        <v>6</v>
      </c>
      <c r="C315" s="66">
        <v>116</v>
      </c>
      <c r="D315" s="54"/>
      <c r="E315" s="55">
        <f>C315/C314</f>
        <v>0.19627749576988154</v>
      </c>
      <c r="F315" s="160"/>
    </row>
    <row r="316" spans="2:6" x14ac:dyDescent="0.25">
      <c r="B316" s="53" t="s">
        <v>1220</v>
      </c>
      <c r="C316" s="67">
        <v>8</v>
      </c>
      <c r="D316" s="100">
        <f>C315-C316</f>
        <v>108</v>
      </c>
      <c r="E316" s="55">
        <f>D316/C314</f>
        <v>0.18274111675126903</v>
      </c>
      <c r="F316" s="160"/>
    </row>
    <row r="317" spans="2:6" x14ac:dyDescent="0.25">
      <c r="B317" s="53" t="s">
        <v>1221</v>
      </c>
      <c r="C317" s="67">
        <v>12</v>
      </c>
      <c r="D317" s="100">
        <f>D316-C318</f>
        <v>103</v>
      </c>
      <c r="E317" s="55">
        <f>D317/C314</f>
        <v>0.17428087986463622</v>
      </c>
      <c r="F317" s="160"/>
    </row>
    <row r="318" spans="2:6" x14ac:dyDescent="0.25">
      <c r="B318" s="53" t="s">
        <v>15</v>
      </c>
      <c r="C318" s="91">
        <v>5</v>
      </c>
      <c r="D318" s="100">
        <f>D317-C318</f>
        <v>98</v>
      </c>
      <c r="E318" s="55">
        <f>D318/C314</f>
        <v>0.16582064297800339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893</v>
      </c>
      <c r="D320" s="93" t="s">
        <v>1434</v>
      </c>
      <c r="E320" s="99" t="s">
        <v>894</v>
      </c>
      <c r="F320" s="160"/>
    </row>
    <row r="321" spans="2:6" ht="16.5" thickTop="1" thickBot="1" x14ac:dyDescent="0.3">
      <c r="B321" s="95" t="s">
        <v>1041</v>
      </c>
      <c r="C321" s="96">
        <v>307</v>
      </c>
      <c r="D321" s="112">
        <v>49</v>
      </c>
      <c r="E321" s="102">
        <f>D321/C321</f>
        <v>0.15960912052117263</v>
      </c>
      <c r="F321" s="160"/>
    </row>
    <row r="322" spans="2:6" ht="15.75" thickBot="1" x14ac:dyDescent="0.3">
      <c r="B322" s="109" t="s">
        <v>1042</v>
      </c>
      <c r="C322" s="110">
        <f>COSEIDIcam</f>
        <v>283</v>
      </c>
      <c r="D322" s="110">
        <v>67</v>
      </c>
      <c r="E322" s="102">
        <f>D322/C322</f>
        <v>0.23674911660777384</v>
      </c>
      <c r="F322" s="161"/>
    </row>
    <row r="323" spans="2:6" ht="16.5" thickTop="1" thickBot="1" x14ac:dyDescent="0.3"/>
    <row r="324" spans="2:6" ht="16.5" thickTop="1" thickBot="1" x14ac:dyDescent="0.3">
      <c r="C324" s="104" t="s">
        <v>893</v>
      </c>
      <c r="D324" s="105" t="s">
        <v>1434</v>
      </c>
      <c r="E324" s="106" t="s">
        <v>894</v>
      </c>
    </row>
    <row r="325" spans="2:6" ht="15.75" thickTop="1" x14ac:dyDescent="0.25">
      <c r="B325" s="52" t="s">
        <v>1219</v>
      </c>
      <c r="C325" s="97">
        <f>CANTIDAD_DE_CAMARAS</f>
        <v>591</v>
      </c>
      <c r="D325" s="98"/>
      <c r="E325" s="103"/>
      <c r="F325" s="159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60"/>
    </row>
    <row r="327" spans="2:6" x14ac:dyDescent="0.25">
      <c r="B327" s="53" t="s">
        <v>1220</v>
      </c>
      <c r="C327" s="67">
        <v>6</v>
      </c>
      <c r="D327" s="100">
        <f>C326-C327</f>
        <v>-6</v>
      </c>
      <c r="E327" s="55">
        <f>D327/C325</f>
        <v>-1.015228426395939E-2</v>
      </c>
      <c r="F327" s="160"/>
    </row>
    <row r="328" spans="2:6" x14ac:dyDescent="0.25">
      <c r="B328" s="53" t="s">
        <v>1221</v>
      </c>
      <c r="C328" s="67">
        <v>12</v>
      </c>
      <c r="D328" s="100">
        <f>D327-C328</f>
        <v>-18</v>
      </c>
      <c r="E328" s="55">
        <f>D328/C325</f>
        <v>-3.0456852791878174E-2</v>
      </c>
      <c r="F328" s="160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-3.8917089678510999E-2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893</v>
      </c>
      <c r="D331" s="93" t="s">
        <v>1434</v>
      </c>
      <c r="E331" s="99" t="s">
        <v>894</v>
      </c>
      <c r="F331" s="160"/>
    </row>
    <row r="332" spans="2:6" ht="16.5" thickTop="1" thickBot="1" x14ac:dyDescent="0.3">
      <c r="B332" s="95" t="s">
        <v>1041</v>
      </c>
      <c r="C332" s="96">
        <v>307</v>
      </c>
      <c r="D332" s="112">
        <v>48</v>
      </c>
      <c r="E332" s="102">
        <f>D332/C332</f>
        <v>0.15635179153094461</v>
      </c>
      <c r="F332" s="160"/>
    </row>
    <row r="333" spans="2:6" ht="15.75" thickBot="1" x14ac:dyDescent="0.3">
      <c r="B333" s="109" t="s">
        <v>1042</v>
      </c>
      <c r="C333" s="110">
        <f>COSEIDIcam</f>
        <v>283</v>
      </c>
      <c r="D333" s="110">
        <v>66</v>
      </c>
      <c r="E333" s="111">
        <f>D333/C333</f>
        <v>0.2332155477031802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893</v>
      </c>
      <c r="D336" s="105" t="s">
        <v>1434</v>
      </c>
      <c r="E336" s="106" t="s">
        <v>894</v>
      </c>
    </row>
    <row r="337" spans="2:6" ht="15.75" thickTop="1" x14ac:dyDescent="0.25">
      <c r="B337" s="52" t="s">
        <v>1219</v>
      </c>
      <c r="C337" s="97">
        <f>CANTIDAD_DE_CAMARAS</f>
        <v>591</v>
      </c>
      <c r="D337" s="98"/>
      <c r="E337" s="103"/>
      <c r="F337" s="159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60"/>
    </row>
    <row r="339" spans="2:6" x14ac:dyDescent="0.25">
      <c r="B339" s="53" t="s">
        <v>1220</v>
      </c>
      <c r="C339" s="67">
        <v>2</v>
      </c>
      <c r="D339" s="100" t="e">
        <f>C338-C339</f>
        <v>#REF!</v>
      </c>
      <c r="E339" s="55" t="e">
        <f>D339/C337</f>
        <v>#REF!</v>
      </c>
      <c r="F339" s="160"/>
    </row>
    <row r="340" spans="2:6" x14ac:dyDescent="0.25">
      <c r="B340" s="53" t="s">
        <v>1221</v>
      </c>
      <c r="C340" s="67">
        <v>11</v>
      </c>
      <c r="D340" s="100" t="e">
        <f>D339-C340</f>
        <v>#REF!</v>
      </c>
      <c r="E340" s="55" t="e">
        <f>D340/C337</f>
        <v>#REF!</v>
      </c>
      <c r="F340" s="160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893</v>
      </c>
      <c r="D343" s="93" t="s">
        <v>1434</v>
      </c>
      <c r="E343" s="99" t="s">
        <v>894</v>
      </c>
      <c r="F343" s="160"/>
    </row>
    <row r="344" spans="2:6" ht="16.5" thickTop="1" thickBot="1" x14ac:dyDescent="0.3">
      <c r="B344" s="95" t="s">
        <v>1041</v>
      </c>
      <c r="C344" s="96">
        <v>307</v>
      </c>
      <c r="D344" s="112">
        <v>44</v>
      </c>
      <c r="E344" s="102">
        <f>D344/C344</f>
        <v>0.14332247557003258</v>
      </c>
      <c r="F344" s="160"/>
    </row>
    <row r="345" spans="2:6" ht="15.75" thickBot="1" x14ac:dyDescent="0.3">
      <c r="B345" s="109" t="s">
        <v>1042</v>
      </c>
      <c r="C345" s="110">
        <f>COSEIDIcam</f>
        <v>283</v>
      </c>
      <c r="D345" s="110">
        <v>77</v>
      </c>
      <c r="E345" s="111">
        <f>D345/C345</f>
        <v>0.27208480565371024</v>
      </c>
      <c r="F345" s="161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2026-05-28T19:29:11Z</dcterms:modified>
</cp:coreProperties>
</file>