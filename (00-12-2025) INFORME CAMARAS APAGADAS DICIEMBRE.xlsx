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027CDEE2-AD80-42EE-BD36-DE80F7527717}" xr6:coauthVersionLast="47" xr6:coauthVersionMax="47" xr10:uidLastSave="{00000000-0000-0000-0000-000000000000}"/>
  <bookViews>
    <workbookView xWindow="-120" yWindow="-120" windowWidth="20730" windowHeight="117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TOTAL'!$A$7:$AQ$7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2" i="26" s="1"/>
  <c r="AJ5" i="26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C345" i="24"/>
  <c r="C344" i="24"/>
  <c r="C337" i="24"/>
  <c r="E341" i="24" s="1"/>
  <c r="AQ2" i="2"/>
  <c r="AQ3" i="2"/>
  <c r="AQ1" i="2" s="1"/>
  <c r="AQ4" i="2"/>
  <c r="AQ5" i="2"/>
  <c r="AQ6" i="2"/>
  <c r="K419" i="2"/>
  <c r="I419" i="2"/>
  <c r="K46" i="2"/>
  <c r="I46" i="2"/>
  <c r="K45" i="2"/>
  <c r="I45" i="2"/>
  <c r="K328" i="2"/>
  <c r="I328" i="2"/>
  <c r="K44" i="2"/>
  <c r="I44" i="2"/>
  <c r="K189" i="2"/>
  <c r="I189" i="2"/>
  <c r="K519" i="2"/>
  <c r="I519" i="2"/>
  <c r="K518" i="2"/>
  <c r="I518" i="2"/>
  <c r="K144" i="2"/>
  <c r="I144" i="2"/>
  <c r="E338" i="24" l="1"/>
  <c r="E339" i="24"/>
  <c r="E340" i="24"/>
  <c r="L419" i="2"/>
  <c r="L46" i="2"/>
  <c r="L45" i="2"/>
  <c r="L328" i="2"/>
  <c r="L44" i="2"/>
  <c r="L189" i="2"/>
  <c r="L518" i="2"/>
  <c r="L519" i="2"/>
  <c r="L144" i="2"/>
  <c r="K272" i="2" l="1"/>
  <c r="I272" i="2"/>
  <c r="K271" i="2"/>
  <c r="I271" i="2"/>
  <c r="K213" i="2"/>
  <c r="I213" i="2"/>
  <c r="L272" i="2" l="1"/>
  <c r="L271" i="2"/>
  <c r="L213" i="2"/>
  <c r="K565" i="2"/>
  <c r="I565" i="2"/>
  <c r="K365" i="2"/>
  <c r="I365" i="2"/>
  <c r="K450" i="2"/>
  <c r="I450" i="2"/>
  <c r="K188" i="2"/>
  <c r="I188" i="2"/>
  <c r="L365" i="2" l="1"/>
  <c r="L565" i="2"/>
  <c r="L450" i="2"/>
  <c r="L188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3" i="2"/>
  <c r="I143" i="2"/>
  <c r="K541" i="2"/>
  <c r="I541" i="2"/>
  <c r="K161" i="2"/>
  <c r="I161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3" i="2"/>
  <c r="K284" i="2"/>
  <c r="I283" i="2"/>
  <c r="I284" i="2"/>
  <c r="K269" i="2"/>
  <c r="K270" i="2"/>
  <c r="I269" i="2"/>
  <c r="I270" i="2"/>
  <c r="K226" i="2"/>
  <c r="I226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0" i="2"/>
  <c r="I160" i="2"/>
  <c r="I136" i="2"/>
  <c r="I137" i="2"/>
  <c r="I138" i="2"/>
  <c r="I139" i="2"/>
  <c r="I140" i="2"/>
  <c r="I141" i="2"/>
  <c r="I142" i="2"/>
  <c r="I135" i="2"/>
  <c r="K390" i="2"/>
  <c r="I390" i="2"/>
  <c r="G5" i="25"/>
  <c r="F5" i="25"/>
  <c r="D10" i="24" s="1"/>
  <c r="K573" i="2"/>
  <c r="I573" i="2"/>
  <c r="I22" i="2"/>
  <c r="B4" i="25"/>
  <c r="B2" i="25"/>
  <c r="K169" i="2"/>
  <c r="K168" i="2"/>
  <c r="I169" i="2"/>
  <c r="I168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3" i="2"/>
  <c r="L548" i="2"/>
  <c r="L535" i="2"/>
  <c r="L140" i="2"/>
  <c r="L136" i="2"/>
  <c r="L448" i="2"/>
  <c r="L269" i="2"/>
  <c r="L283" i="2"/>
  <c r="L417" i="2"/>
  <c r="L139" i="2"/>
  <c r="L33" i="2"/>
  <c r="L516" i="2"/>
  <c r="L32" i="2"/>
  <c r="L217" i="2"/>
  <c r="L190" i="2"/>
  <c r="L447" i="2"/>
  <c r="L449" i="2"/>
  <c r="L187" i="2"/>
  <c r="L226" i="2"/>
  <c r="L541" i="2"/>
  <c r="L40" i="2"/>
  <c r="L141" i="2"/>
  <c r="L137" i="2"/>
  <c r="L31" i="2"/>
  <c r="L446" i="2"/>
  <c r="L515" i="2"/>
  <c r="L135" i="2"/>
  <c r="L42" i="2"/>
  <c r="L360" i="2"/>
  <c r="L542" i="2"/>
  <c r="L390" i="2"/>
  <c r="L160" i="2"/>
  <c r="L21" i="2"/>
  <c r="L186" i="2"/>
  <c r="L270" i="2"/>
  <c r="L284" i="2"/>
  <c r="L418" i="2"/>
  <c r="L517" i="2"/>
  <c r="L540" i="2"/>
  <c r="L161" i="2"/>
  <c r="L20" i="2"/>
  <c r="L142" i="2"/>
  <c r="L138" i="2"/>
  <c r="L212" i="2"/>
  <c r="L37" i="2"/>
  <c r="G6" i="25"/>
  <c r="AB6" i="25"/>
  <c r="W6" i="25"/>
  <c r="L573" i="2"/>
  <c r="L168" i="2"/>
  <c r="L169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5" i="2"/>
  <c r="I225" i="2"/>
  <c r="K134" i="2"/>
  <c r="I134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4" i="2"/>
  <c r="L225" i="2"/>
  <c r="L39" i="2"/>
  <c r="L389" i="2"/>
  <c r="L388" i="2"/>
  <c r="L342" i="2"/>
  <c r="L387" i="2"/>
  <c r="L35" i="2"/>
  <c r="L344" i="2"/>
  <c r="L343" i="2"/>
  <c r="K325" i="2"/>
  <c r="K326" i="2"/>
  <c r="K327" i="2"/>
  <c r="I327" i="2"/>
  <c r="I326" i="2"/>
  <c r="I325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6" i="2"/>
  <c r="L327" i="2"/>
  <c r="L325" i="2"/>
  <c r="L406" i="2"/>
  <c r="L469" i="2"/>
  <c r="L34" i="2"/>
  <c r="L30" i="2"/>
  <c r="K528" i="2"/>
  <c r="I528" i="2"/>
  <c r="K282" i="2"/>
  <c r="I282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4" i="2"/>
  <c r="I324" i="2"/>
  <c r="I329" i="2"/>
  <c r="K329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2" i="2"/>
  <c r="L468" i="2"/>
  <c r="L324" i="2"/>
  <c r="L329" i="2"/>
  <c r="L163" i="2"/>
  <c r="D279" i="26"/>
  <c r="A461" i="26"/>
  <c r="I224" i="2"/>
  <c r="K224" i="2"/>
  <c r="K133" i="2"/>
  <c r="I133" i="2"/>
  <c r="D72" i="24" l="1"/>
  <c r="L133" i="2"/>
  <c r="L224" i="2"/>
  <c r="K162" i="2"/>
  <c r="I162" i="2"/>
  <c r="K256" i="2"/>
  <c r="I25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2" i="2"/>
  <c r="L256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1" i="2"/>
  <c r="I341" i="2"/>
  <c r="I480" i="2"/>
  <c r="K316" i="2"/>
  <c r="I316" i="2"/>
  <c r="I317" i="2"/>
  <c r="K317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1" i="2"/>
  <c r="L316" i="2"/>
  <c r="L317" i="2"/>
  <c r="L443" i="2"/>
  <c r="L444" i="2"/>
  <c r="K264" i="2" l="1"/>
  <c r="I264" i="2"/>
  <c r="K23" i="2"/>
  <c r="I23" i="2"/>
  <c r="K370" i="2"/>
  <c r="I370" i="2"/>
  <c r="I263" i="2"/>
  <c r="K263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3" i="2"/>
  <c r="K273" i="2"/>
  <c r="I281" i="2"/>
  <c r="K281" i="2"/>
  <c r="I292" i="2"/>
  <c r="K292" i="2"/>
  <c r="I364" i="2"/>
  <c r="K364" i="2"/>
  <c r="I372" i="2"/>
  <c r="K372" i="2"/>
  <c r="I457" i="2"/>
  <c r="K457" i="2"/>
  <c r="I532" i="2"/>
  <c r="K532" i="2"/>
  <c r="I533" i="2"/>
  <c r="K533" i="2"/>
  <c r="L264" i="2" l="1"/>
  <c r="L23" i="2"/>
  <c r="L370" i="2"/>
  <c r="L263" i="2"/>
  <c r="L203" i="2"/>
  <c r="L159" i="2"/>
  <c r="L155" i="2"/>
  <c r="L204" i="2"/>
  <c r="L292" i="2"/>
  <c r="L372" i="2"/>
  <c r="L273" i="2"/>
  <c r="L209" i="2"/>
  <c r="L205" i="2"/>
  <c r="L457" i="2"/>
  <c r="L364" i="2"/>
  <c r="L202" i="2"/>
  <c r="L196" i="2"/>
  <c r="L158" i="2"/>
  <c r="L156" i="2"/>
  <c r="L208" i="2"/>
  <c r="L201" i="2"/>
  <c r="L154" i="2"/>
  <c r="L210" i="2"/>
  <c r="L532" i="2"/>
  <c r="L281" i="2"/>
  <c r="L211" i="2"/>
  <c r="L206" i="2"/>
  <c r="L157" i="2"/>
  <c r="L533" i="2"/>
  <c r="L207" i="2"/>
  <c r="L145" i="2"/>
  <c r="I466" i="2" l="1"/>
  <c r="I467" i="2"/>
  <c r="K466" i="2"/>
  <c r="K467" i="2"/>
  <c r="I356" i="2"/>
  <c r="I357" i="2"/>
  <c r="K356" i="2"/>
  <c r="K357" i="2"/>
  <c r="I255" i="2"/>
  <c r="K255" i="2"/>
  <c r="K152" i="2"/>
  <c r="I152" i="2"/>
  <c r="K130" i="2"/>
  <c r="K131" i="2"/>
  <c r="I130" i="2"/>
  <c r="I131" i="2"/>
  <c r="L466" i="2" l="1"/>
  <c r="L152" i="2"/>
  <c r="L467" i="2"/>
  <c r="L357" i="2"/>
  <c r="L356" i="2"/>
  <c r="L255" i="2"/>
  <c r="L131" i="2"/>
  <c r="L130" i="2"/>
  <c r="AO1" i="2" l="1"/>
  <c r="O1" i="2"/>
  <c r="AN1" i="2"/>
  <c r="I514" i="2"/>
  <c r="K514" i="2"/>
  <c r="I244" i="2"/>
  <c r="K244" i="2"/>
  <c r="I564" i="2"/>
  <c r="K564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8" i="2"/>
  <c r="I219" i="2"/>
  <c r="I220" i="2"/>
  <c r="I221" i="2"/>
  <c r="I222" i="2"/>
  <c r="I223" i="2"/>
  <c r="I227" i="2"/>
  <c r="I228" i="2"/>
  <c r="I229" i="2"/>
  <c r="I230" i="2"/>
  <c r="I231" i="2"/>
  <c r="I232" i="2"/>
  <c r="I233" i="2"/>
  <c r="I234" i="2"/>
  <c r="I235" i="2"/>
  <c r="I237" i="2"/>
  <c r="I238" i="2"/>
  <c r="I239" i="2"/>
  <c r="I240" i="2"/>
  <c r="I241" i="2"/>
  <c r="I242" i="2"/>
  <c r="I243" i="2"/>
  <c r="I245" i="2"/>
  <c r="I246" i="2"/>
  <c r="I247" i="2"/>
  <c r="I249" i="2"/>
  <c r="I250" i="2"/>
  <c r="I251" i="2"/>
  <c r="I252" i="2"/>
  <c r="I253" i="2"/>
  <c r="I254" i="2"/>
  <c r="I257" i="2"/>
  <c r="I258" i="2"/>
  <c r="I259" i="2"/>
  <c r="I260" i="2"/>
  <c r="I261" i="2"/>
  <c r="I262" i="2"/>
  <c r="I265" i="2"/>
  <c r="I266" i="2"/>
  <c r="I267" i="2"/>
  <c r="I268" i="2"/>
  <c r="I274" i="2"/>
  <c r="I275" i="2"/>
  <c r="I276" i="2"/>
  <c r="I277" i="2"/>
  <c r="I278" i="2"/>
  <c r="I279" i="2"/>
  <c r="I280" i="2"/>
  <c r="I285" i="2"/>
  <c r="I286" i="2"/>
  <c r="I287" i="2"/>
  <c r="I288" i="2"/>
  <c r="I289" i="2"/>
  <c r="I290" i="2"/>
  <c r="I291" i="2"/>
  <c r="I293" i="2"/>
  <c r="I294" i="2"/>
  <c r="I296" i="2"/>
  <c r="I297" i="2"/>
  <c r="I299" i="2"/>
  <c r="I302" i="2"/>
  <c r="I303" i="2"/>
  <c r="I305" i="2"/>
  <c r="I306" i="2"/>
  <c r="I307" i="2"/>
  <c r="I309" i="2"/>
  <c r="I310" i="2"/>
  <c r="I312" i="2"/>
  <c r="I313" i="2"/>
  <c r="I295" i="2"/>
  <c r="I298" i="2"/>
  <c r="I300" i="2"/>
  <c r="I301" i="2"/>
  <c r="I304" i="2"/>
  <c r="I308" i="2"/>
  <c r="I311" i="2"/>
  <c r="I314" i="2"/>
  <c r="I315" i="2"/>
  <c r="I318" i="2"/>
  <c r="I319" i="2"/>
  <c r="I320" i="2"/>
  <c r="I321" i="2"/>
  <c r="I322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2" i="2"/>
  <c r="K321" i="2"/>
  <c r="K320" i="2"/>
  <c r="K319" i="2"/>
  <c r="K318" i="2"/>
  <c r="K315" i="2"/>
  <c r="K314" i="2"/>
  <c r="K311" i="2"/>
  <c r="K308" i="2"/>
  <c r="K304" i="2"/>
  <c r="K301" i="2"/>
  <c r="K300" i="2"/>
  <c r="K298" i="2"/>
  <c r="K295" i="2"/>
  <c r="K313" i="2"/>
  <c r="K312" i="2"/>
  <c r="K310" i="2"/>
  <c r="K309" i="2"/>
  <c r="K307" i="2"/>
  <c r="K306" i="2"/>
  <c r="K305" i="2"/>
  <c r="K303" i="2"/>
  <c r="K302" i="2"/>
  <c r="K299" i="2"/>
  <c r="K297" i="2"/>
  <c r="K296" i="2"/>
  <c r="K294" i="2"/>
  <c r="K293" i="2"/>
  <c r="K291" i="2"/>
  <c r="K290" i="2"/>
  <c r="K289" i="2"/>
  <c r="K288" i="2"/>
  <c r="K287" i="2"/>
  <c r="K286" i="2"/>
  <c r="K285" i="2"/>
  <c r="K280" i="2"/>
  <c r="K279" i="2"/>
  <c r="K278" i="2"/>
  <c r="K277" i="2"/>
  <c r="K276" i="2"/>
  <c r="K275" i="2"/>
  <c r="K274" i="2"/>
  <c r="K268" i="2"/>
  <c r="K267" i="2"/>
  <c r="K266" i="2"/>
  <c r="K265" i="2"/>
  <c r="K262" i="2"/>
  <c r="K261" i="2"/>
  <c r="K260" i="2"/>
  <c r="K259" i="2"/>
  <c r="K258" i="2"/>
  <c r="K257" i="2"/>
  <c r="K254" i="2"/>
  <c r="K253" i="2"/>
  <c r="K252" i="2"/>
  <c r="K251" i="2"/>
  <c r="K250" i="2"/>
  <c r="K249" i="2"/>
  <c r="K247" i="2"/>
  <c r="K246" i="2"/>
  <c r="K245" i="2"/>
  <c r="K243" i="2"/>
  <c r="K242" i="2"/>
  <c r="K241" i="2"/>
  <c r="K240" i="2"/>
  <c r="K239" i="2"/>
  <c r="K238" i="2"/>
  <c r="K237" i="2"/>
  <c r="K235" i="2"/>
  <c r="K234" i="2"/>
  <c r="K233" i="2"/>
  <c r="K232" i="2"/>
  <c r="K231" i="2"/>
  <c r="K230" i="2"/>
  <c r="K229" i="2"/>
  <c r="K228" i="2"/>
  <c r="K227" i="2"/>
  <c r="K223" i="2"/>
  <c r="K222" i="2"/>
  <c r="K221" i="2"/>
  <c r="K220" i="2"/>
  <c r="K219" i="2"/>
  <c r="K218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4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2" i="2"/>
  <c r="L234" i="2"/>
  <c r="L251" i="2"/>
  <c r="L479" i="2"/>
  <c r="L79" i="2"/>
  <c r="L99" i="2"/>
  <c r="L107" i="2"/>
  <c r="L111" i="2"/>
  <c r="L115" i="2"/>
  <c r="L119" i="2"/>
  <c r="L127" i="2"/>
  <c r="L148" i="2"/>
  <c r="L174" i="2"/>
  <c r="L179" i="2"/>
  <c r="L252" i="2"/>
  <c r="L262" i="2"/>
  <c r="L268" i="2"/>
  <c r="L297" i="2"/>
  <c r="L464" i="2"/>
  <c r="L484" i="2"/>
  <c r="L512" i="2"/>
  <c r="L549" i="2"/>
  <c r="L53" i="2"/>
  <c r="L57" i="2"/>
  <c r="L167" i="2"/>
  <c r="L172" i="2"/>
  <c r="L198" i="2"/>
  <c r="L551" i="2"/>
  <c r="L555" i="2"/>
  <c r="L507" i="2"/>
  <c r="L511" i="2"/>
  <c r="L543" i="2"/>
  <c r="L556" i="2"/>
  <c r="L307" i="2"/>
  <c r="L300" i="2"/>
  <c r="L353" i="2"/>
  <c r="L429" i="2"/>
  <c r="L303" i="2"/>
  <c r="L350" i="2"/>
  <c r="L369" i="2"/>
  <c r="L421" i="2"/>
  <c r="L306" i="2"/>
  <c r="L298" i="2"/>
  <c r="L352" i="2"/>
  <c r="L442" i="2"/>
  <c r="L433" i="2"/>
  <c r="L455" i="2"/>
  <c r="L498" i="2"/>
  <c r="L520" i="2"/>
  <c r="L560" i="2"/>
  <c r="L566" i="2"/>
  <c r="L110" i="2"/>
  <c r="L114" i="2"/>
  <c r="L355" i="2"/>
  <c r="L380" i="2"/>
  <c r="L392" i="2"/>
  <c r="L431" i="2"/>
  <c r="L426" i="2"/>
  <c r="L458" i="2"/>
  <c r="L557" i="2"/>
  <c r="L59" i="2"/>
  <c r="L63" i="2"/>
  <c r="L362" i="2"/>
  <c r="L367" i="2"/>
  <c r="L373" i="2"/>
  <c r="L377" i="2"/>
  <c r="L381" i="2"/>
  <c r="L385" i="2"/>
  <c r="L405" i="2"/>
  <c r="L411" i="2"/>
  <c r="L279" i="2"/>
  <c r="L290" i="2"/>
  <c r="L8" i="2"/>
  <c r="L28" i="2"/>
  <c r="L76" i="2"/>
  <c r="L100" i="2"/>
  <c r="L104" i="2"/>
  <c r="L120" i="2"/>
  <c r="L287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5" i="2"/>
  <c r="L89" i="2"/>
  <c r="L105" i="2"/>
  <c r="L109" i="2"/>
  <c r="L113" i="2"/>
  <c r="L175" i="2"/>
  <c r="L183" i="2"/>
  <c r="L192" i="2"/>
  <c r="L215" i="2"/>
  <c r="L227" i="2"/>
  <c r="L231" i="2"/>
  <c r="L239" i="2"/>
  <c r="L376" i="2"/>
  <c r="L400" i="2"/>
  <c r="L11" i="2"/>
  <c r="L15" i="2"/>
  <c r="L27" i="2"/>
  <c r="L47" i="2"/>
  <c r="L70" i="2"/>
  <c r="L74" i="2"/>
  <c r="L184" i="2"/>
  <c r="L193" i="2"/>
  <c r="L232" i="2"/>
  <c r="L240" i="2"/>
  <c r="L258" i="2"/>
  <c r="L491" i="2"/>
  <c r="L499" i="2"/>
  <c r="L567" i="2"/>
  <c r="L150" i="2"/>
  <c r="L164" i="2"/>
  <c r="L173" i="2"/>
  <c r="L496" i="2"/>
  <c r="L500" i="2"/>
  <c r="L398" i="2"/>
  <c r="L504" i="2"/>
  <c r="L521" i="2"/>
  <c r="L91" i="2"/>
  <c r="L92" i="2"/>
  <c r="L165" i="2"/>
  <c r="L254" i="2"/>
  <c r="L428" i="2"/>
  <c r="L459" i="2"/>
  <c r="L530" i="2"/>
  <c r="L547" i="2"/>
  <c r="L559" i="2"/>
  <c r="L563" i="2"/>
  <c r="L69" i="2"/>
  <c r="L199" i="2"/>
  <c r="L214" i="2"/>
  <c r="L310" i="2"/>
  <c r="L315" i="2"/>
  <c r="L413" i="2"/>
  <c r="L456" i="2"/>
  <c r="L526" i="2"/>
  <c r="L293" i="2"/>
  <c r="L488" i="2"/>
  <c r="L492" i="2"/>
  <c r="L510" i="2"/>
  <c r="L513" i="2"/>
  <c r="L561" i="2"/>
  <c r="L103" i="2"/>
  <c r="L238" i="2"/>
  <c r="L247" i="2"/>
  <c r="L266" i="2"/>
  <c r="L393" i="2"/>
  <c r="L410" i="2"/>
  <c r="L427" i="2"/>
  <c r="L424" i="2"/>
  <c r="L440" i="2"/>
  <c r="L474" i="2"/>
  <c r="L485" i="2"/>
  <c r="L544" i="2"/>
  <c r="L54" i="2"/>
  <c r="L58" i="2"/>
  <c r="L177" i="2"/>
  <c r="L220" i="2"/>
  <c r="L524" i="2"/>
  <c r="L527" i="2"/>
  <c r="L51" i="2"/>
  <c r="L55" i="2"/>
  <c r="L97" i="2"/>
  <c r="L116" i="2"/>
  <c r="L123" i="2"/>
  <c r="L216" i="2"/>
  <c r="L228" i="2"/>
  <c r="L243" i="2"/>
  <c r="L267" i="2"/>
  <c r="L275" i="2"/>
  <c r="L296" i="2"/>
  <c r="L321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8" i="2"/>
  <c r="L67" i="2"/>
  <c r="L71" i="2"/>
  <c r="L86" i="2"/>
  <c r="L90" i="2"/>
  <c r="L151" i="2"/>
  <c r="L253" i="2"/>
  <c r="L276" i="2"/>
  <c r="L280" i="2"/>
  <c r="L291" i="2"/>
  <c r="L299" i="2"/>
  <c r="L312" i="2"/>
  <c r="L308" i="2"/>
  <c r="L335" i="2"/>
  <c r="L348" i="2"/>
  <c r="L384" i="2"/>
  <c r="L415" i="2"/>
  <c r="L422" i="2"/>
  <c r="L487" i="2"/>
  <c r="L546" i="2"/>
  <c r="L550" i="2"/>
  <c r="L60" i="2"/>
  <c r="L83" i="2"/>
  <c r="L87" i="2"/>
  <c r="L302" i="2"/>
  <c r="L313" i="2"/>
  <c r="L311" i="2"/>
  <c r="L345" i="2"/>
  <c r="L349" i="2"/>
  <c r="L396" i="2"/>
  <c r="L399" i="2"/>
  <c r="L416" i="2"/>
  <c r="L465" i="2"/>
  <c r="L522" i="2"/>
  <c r="L250" i="2"/>
  <c r="L318" i="2"/>
  <c r="L336" i="2"/>
  <c r="L337" i="2"/>
  <c r="L331" i="2"/>
  <c r="L451" i="2"/>
  <c r="L339" i="2"/>
  <c r="L332" i="2"/>
  <c r="L330" i="2"/>
  <c r="L319" i="2"/>
  <c r="L320" i="2"/>
  <c r="L537" i="2"/>
  <c r="L536" i="2"/>
  <c r="L529" i="2"/>
  <c r="L463" i="2"/>
  <c r="L261" i="2"/>
  <c r="L223" i="2"/>
  <c r="L126" i="2"/>
  <c r="L75" i="2"/>
  <c r="L553" i="2"/>
  <c r="L480" i="2"/>
  <c r="L462" i="2"/>
  <c r="L460" i="2"/>
  <c r="L242" i="2"/>
  <c r="L237" i="2"/>
  <c r="L222" i="2"/>
  <c r="L170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7" i="2"/>
  <c r="L230" i="2"/>
  <c r="L246" i="2"/>
  <c r="L10" i="2"/>
  <c r="L340" i="2"/>
  <c r="L62" i="2"/>
  <c r="L78" i="2"/>
  <c r="L94" i="2"/>
  <c r="L98" i="2"/>
  <c r="L118" i="2"/>
  <c r="L265" i="2"/>
  <c r="L289" i="2"/>
  <c r="L30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3" i="2"/>
  <c r="L181" i="2"/>
  <c r="L191" i="2"/>
  <c r="L195" i="2"/>
  <c r="L235" i="2"/>
  <c r="L260" i="2"/>
  <c r="L286" i="2"/>
  <c r="L333" i="2"/>
  <c r="L363" i="2"/>
  <c r="L408" i="2"/>
  <c r="L435" i="2"/>
  <c r="L495" i="2"/>
  <c r="L531" i="2"/>
  <c r="L101" i="2"/>
  <c r="L106" i="2"/>
  <c r="L108" i="2"/>
  <c r="L117" i="2"/>
  <c r="L122" i="2"/>
  <c r="L124" i="2"/>
  <c r="L146" i="2"/>
  <c r="L166" i="2"/>
  <c r="L178" i="2"/>
  <c r="L180" i="2"/>
  <c r="L185" i="2"/>
  <c r="L194" i="2"/>
  <c r="L197" i="2"/>
  <c r="L219" i="2"/>
  <c r="L221" i="2"/>
  <c r="L229" i="2"/>
  <c r="L241" i="2"/>
  <c r="L245" i="2"/>
  <c r="L257" i="2"/>
  <c r="L259" i="2"/>
  <c r="L278" i="2"/>
  <c r="L285" i="2"/>
  <c r="L288" i="2"/>
  <c r="L294" i="2"/>
  <c r="L305" i="2"/>
  <c r="L309" i="2"/>
  <c r="L295" i="2"/>
  <c r="L301" i="2"/>
  <c r="L322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1" i="2"/>
  <c r="L149" i="2"/>
  <c r="L171" i="2"/>
  <c r="L176" i="2"/>
  <c r="L200" i="2"/>
  <c r="L218" i="2"/>
  <c r="L233" i="2"/>
  <c r="L249" i="2"/>
  <c r="L274" i="2"/>
  <c r="L277" i="2"/>
  <c r="L314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3" i="2" l="1"/>
  <c r="I323" i="2"/>
  <c r="L323" i="2" l="1"/>
  <c r="I236" i="2" l="1"/>
  <c r="K236" i="2"/>
  <c r="L236" i="2" l="1"/>
  <c r="K423" i="2"/>
  <c r="I423" i="2"/>
  <c r="L423" i="2" l="1"/>
  <c r="AA1" i="2"/>
  <c r="I248" i="2" l="1"/>
  <c r="K248" i="2"/>
  <c r="L248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<sst xmlns="http://schemas.openxmlformats.org/spreadsheetml/2006/main" count="4971" uniqueCount="2259">
  <si>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</si>
  <si>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</si>
  <si>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</si>
  <si>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</si>
  <si>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</si>
  <si>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</si>
  <si>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</si>
  <si>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</si>
  <si>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</si>
  <si>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</si>
  <si>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</si>
  <si>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</si>
  <si>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</si>
  <si>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</si>
  <si>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</si>
  <si>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</si>
  <si>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</si>
  <si>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</si>
  <si>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</si>
  <si>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</si>
  <si>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</si>
  <si>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</si>
  <si>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</si>
  <si>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</si>
  <si>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</si>
  <si>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</si>
  <si>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</si>
  <si>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</si>
  <si>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</si>
  <si>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</si>
  <si>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</si>
  <si>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</si>
  <si>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</si>
  <si>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</si>
  <si>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</si>
  <si>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</si>
  <si>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</si>
  <si>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</si>
  <si>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</si>
  <si>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</si>
  <si>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</si>
  <si>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</si>
  <si>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</si>
  <si>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</si>
  <si>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</si>
  <si>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</si>
  <si>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</si>
  <si>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</si>
  <si>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</si>
  <si>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</si>
  <si>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</si>
  <si>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</si>
  <si>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</si>
  <si>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</si>
  <si>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</si>
  <si>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</si>
  <si>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</si>
  <si>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</si>
  <si>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</si>
  <si>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</si>
  <si>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</si>
  <si>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</si>
  <si>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</si>
  <si>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</si>
  <si>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</si>
  <si>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</si>
  <si>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</si>
  <si>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</si>
  <si>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</si>
  <si>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</si>
  <si>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</si>
  <si>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</si>
  <si>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</si>
  <si>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</si>
  <si>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</si>
  <si>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</si>
  <si>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</si>
  <si>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</si>
  <si>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</si>
  <si>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</si>
  <si>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</si>
  <si>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</si>
  <si>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</si>
  <si>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</si>
  <si>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</si>
  <si>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</si>
  <si>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</si>
  <si>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</si>
  <si>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</si>
  <si>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</si>
  <si>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</si>
  <si>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</si>
  <si>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</si>
  <si>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</si>
  <si>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</si>
  <si>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</si>
  <si>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</si>
  <si>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</si>
  <si>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</si>
  <si>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</si>
  <si>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</si>
  <si>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</si>
  <si>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</si>
  <si>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</si>
  <si>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</si>
  <si>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</si>
  <si>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</si>
  <si>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</si>
  <si>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</si>
  <si>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</si>
  <si>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</si>
  <si>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</si>
  <si>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</si>
  <si>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</si>
  <si>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</si>
  <si>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</si>
  <si>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</si>
  <si>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</si>
  <si>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</si>
  <si>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</si>
  <si>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</si>
  <si>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</si>
  <si>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</si>
  <si>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</si>
  <si>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</si>
  <si>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</si>
  <si>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</si>
  <si>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</si>
  <si>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</si>
  <si>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</si>
  <si>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</si>
  <si>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</si>
  <si>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</si>
  <si>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</si>
  <si>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</si>
  <si>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</si>
  <si>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</si>
  <si>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</si>
  <si>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</si>
  <si>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</si>
  <si>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</si>
  <si>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</si>
  <si>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</si>
  <si>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</si>
  <si>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</si>
  <si>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</si>
  <si>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</si>
  <si>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</si>
  <si>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</si>
  <si>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</si>
  <si>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</si>
  <si>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</si>
  <si>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</si>
  <si>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</si>
  <si>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</si>
  <si>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</si>
  <si>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</si>
  <si>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</si>
  <si>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</si>
  <si>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</si>
  <si>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</si>
  <si>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</si>
  <si>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</si>
  <si>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</si>
  <si>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</si>
  <si>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</si>
  <si>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</si>
  <si>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</si>
  <si>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</si>
  <si>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</si>
  <si>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</si>
  <si>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</si>
  <si>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</si>
  <si>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</si>
  <si>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</si>
  <si>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</si>
  <si>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</si>
  <si>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</si>
  <si>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</si>
  <si>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</si>
  <si>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</si>
  <si>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</si>
  <si>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</si>
  <si>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</si>
  <si>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</si>
  <si>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</si>
  <si>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</si>
  <si>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</si>
  <si>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</si>
  <si>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</si>
  <si>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</si>
  <si>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</si>
  <si>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</si>
  <si>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</si>
  <si>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</si>
  <si>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</si>
  <si>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</si>
  <si>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</si>
  <si>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</si>
  <si>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</si>
  <si>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</si>
  <si>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</si>
  <si>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</si>
  <si>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</si>
  <si>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</si>
  <si>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</si>
  <si>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</si>
  <si>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</si>
  <si>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</si>
  <si>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</si>
  <si>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</si>
  <si>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</si>
  <si>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</si>
  <si>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</si>
  <si>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</si>
  <si>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</si>
  <si>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</si>
  <si>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</si>
  <si>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</si>
  <si>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</si>
  <si>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</si>
  <si>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</si>
  <si>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</si>
  <si>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</si>
  <si>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</si>
  <si>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</si>
  <si>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</si>
  <si>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</si>
  <si>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</si>
  <si>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</si>
  <si>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</si>
  <si>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</si>
  <si>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</si>
  <si>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</si>
  <si>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</si>
  <si>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</si>
  <si>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</si>
  <si>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</si>
  <si>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</si>
  <si>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</si>
  <si>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</si>
  <si>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</si>
  <si>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</si>
  <si>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</si>
  <si>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</si>
  <si>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</si>
  <si>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</si>
  <si>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</si>
  <si>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</si>
  <si>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</si>
  <si>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</si>
  <si>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</si>
  <si>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</si>
  <si>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</si>
  <si>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</si>
  <si>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</si>
  <si>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</si>
  <si>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</si>
  <si>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</si>
  <si>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</si>
  <si>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</si>
  <si>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</si>
  <si>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</si>
  <si>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</si>
  <si>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</si>
  <si>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</si>
  <si>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</si>
  <si>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</si>
  <si>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</si>
  <si>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</si>
  <si>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</si>
  <si>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</si>
  <si>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</si>
  <si>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</si>
  <si>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</si>
  <si>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</si>
  <si>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</si>
  <si>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</si>
  <si>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</si>
  <si>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</si>
  <si>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</si>
  <si>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</si>
  <si>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</si>
  <si>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</si>
  <si>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</si>
  <si>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</si>
  <si>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</si>
  <si>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</si>
  <si>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</si>
  <si>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</si>
  <si>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</si>
  <si>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</si>
  <si>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</si>
  <si>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</si>
  <si>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</si>
  <si>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</si>
  <si>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</si>
  <si>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</si>
  <si>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</si>
  <si>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</si>
  <si>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</si>
  <si>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</si>
  <si>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</si>
  <si>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</si>
  <si>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</si>
  <si>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</si>
  <si>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</si>
  <si>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</si>
  <si>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</si>
  <si>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</si>
  <si>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</si>
  <si>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</si>
  <si>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</si>
  <si>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</si>
  <si>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</si>
  <si>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</si>
  <si>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</si>
  <si>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</si>
  <si>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</si>
  <si>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</si>
  <si>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</si>
  <si>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</si>
  <si>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</si>
  <si>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</si>
  <si>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</si>
  <si>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</si>
  <si>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</si>
  <si>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</si>
  <si>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</si>
  <si>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</si>
  <si>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</si>
  <si>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</si>
  <si>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</si>
  <si>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</si>
  <si>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</si>
  <si>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</si>
  <si>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</si>
  <si>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</si>
  <si>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</si>
  <si>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</si>
  <si>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</si>
  <si>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</si>
  <si>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</si>
  <si>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</si>
  <si>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</si>
  <si>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</si>
  <si>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</si>
  <si>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</si>
  <si>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</si>
  <si>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</si>
  <si>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</si>
  <si>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</si>
  <si>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</si>
  <si>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</si>
  <si>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</si>
  <si>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</si>
  <si>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</si>
  <si>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</si>
  <si>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</si>
  <si>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</si>
  <si>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</si>
  <si>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</si>
  <si>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</si>
  <si>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</si>
  <si>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</si>
  <si>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</si>
  <si>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</si>
  <si>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</si>
  <si>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</si>
  <si>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</si>
  <si>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</si>
  <si>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</si>
  <si>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</si>
  <si>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</si>
  <si>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</si>
  <si>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</si>
  <si>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</si>
  <si>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</si>
  <si>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</si>
  <si>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</si>
  <si>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</si>
  <si>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</si>
  <si>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</si>
  <si>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</si>
  <si>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</si>
  <si>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</si>
  <si>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</si>
  <si>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</si>
  <si>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</si>
  <si>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</si>
  <si>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</si>
  <si>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</si>
  <si>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</si>
  <si>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</si>
  <si>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</si>
  <si>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</si>
  <si>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</si>
  <si>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</si>
  <si>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</si>
  <si>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</si>
  <si>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</si>
  <si>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</si>
  <si>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</si>
  <si>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</si>
  <si>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</si>
  <si>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</si>
  <si>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</si>
  <si>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</si>
  <si>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</si>
  <si>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</si>
  <si>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</si>
  <si>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</si>
  <si>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</si>
  <si>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</si>
  <si>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</si>
  <si>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</si>
  <si>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</si>
  <si>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</si>
  <si>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</si>
  <si>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</si>
  <si>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</si>
  <si>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</si>
  <si>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</si>
  <si>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</si>
  <si>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</si>
  <si>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</si>
  <si>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</si>
  <si>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</si>
  <si>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</si>
  <si>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</si>
  <si>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</si>
  <si>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</si>
  <si>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</si>
  <si>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</si>
  <si>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</si>
  <si>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</si>
  <si>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</si>
  <si>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</si>
  <si>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</si>
  <si>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</si>
  <si>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</si>
  <si>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</si>
  <si>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</si>
  <si>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</si>
  <si>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</si>
  <si>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</si>
  <si>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</si>
  <si>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</si>
  <si>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</si>
  <si>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</si>
  <si>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</si>
  <si>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</si>
  <si>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</si>
  <si>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</si>
  <si>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</si>
  <si>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</si>
  <si>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</si>
  <si>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</si>
  <si>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</si>
  <si>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</si>
  <si>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</si>
  <si>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</si>
  <si>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</si>
  <si>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</si>
  <si>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</si>
  <si>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</si>
  <si>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</si>
  <si>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</si>
  <si>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</si>
  <si>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</si>
  <si>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</si>
  <si>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</si>
  <si>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</si>
  <si>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</si>
  <si>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</si>
  <si>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</si>
  <si>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</si>
  <si>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</si>
  <si>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</si>
  <si>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</si>
  <si>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</si>
  <si>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</si>
  <si>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</si>
  <si>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</si>
  <si>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</si>
  <si>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</si>
  <si>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</si>
  <si>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</si>
  <si>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</si>
  <si>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</si>
  <si>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</si>
  <si>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</si>
  <si>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</si>
  <si>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</si>
  <si>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</si>
  <si>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</si>
  <si>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</si>
  <si>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</si>
  <si>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</si>
  <si>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</si>
  <si>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</si>
  <si>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</si>
  <si>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</si>
  <si>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</si>
  <si>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</si>
  <si>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</si>
  <si>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</si>
  <si>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</si>
  <si>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</si>
  <si>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</si>
  <si>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</si>
  <si>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</si>
  <si>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</si>
  <si>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</si>
  <si>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</si>
  <si>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</si>
  <si>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</si>
  <si>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</si>
  <si>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</si>
  <si>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</si>
  <si>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</si>
  <si>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</si>
  <si>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</si>
  <si>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</si>
  <si>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</si>
  <si>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</si>
  <si>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</si>
  <si>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</si>
  <si>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</si>
  <si>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</si>
  <si>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</si>
  <si>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</si>
  <si>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</si>
  <si>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</si>
  <si>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</si>
  <si>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</si>
  <si>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</si>
  <si>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</si>
  <si>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</si>
  <si>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</si>
  <si>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</si>
  <si>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</si>
  <si>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</si>
  <si>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</si>
  <si>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</si>
  <si>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</si>
  <si>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</si>
  <si>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</si>
  <si>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</si>
  <si>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</si>
  <si>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</si>
  <si>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</si>
  <si>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</si>
  <si>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</si>
  <si>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</si>
  <si>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</si>
  <si>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</si>
  <si>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</si>
  <si>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</si>
  <si>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</si>
  <si>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</si>
  <si>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</si>
  <si>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</si>
  <si>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</si>
  <si>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</si>
  <si>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</si>
  <si>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</si>
  <si>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</si>
  <si>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</si>
  <si>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</si>
  <si>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</si>
  <si>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</si>
  <si>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</si>
  <si>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</si>
  <si>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</si>
  <si>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</si>
  <si>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</si>
  <si>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</si>
  <si>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</si>
  <si>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</si>
  <si>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</si>
  <si>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</si>
  <si>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</si>
  <si>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</si>
  <si>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</si>
  <si>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</si>
  <si>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</si>
  <si>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</si>
  <si>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</si>
  <si>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</si>
  <si>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</si>
  <si>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</si>
  <si>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</si>
  <si>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</si>
  <si>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</si>
  <si>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</si>
  <si>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</si>
  <si>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</si>
  <si>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</si>
  <si>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</si>
  <si>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</si>
  <si>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</si>
  <si>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</si>
  <si>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</si>
  <si>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</si>
  <si>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</si>
  <si>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</si>
  <si>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</si>
  <si>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</si>
  <si>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</si>
  <si>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</si>
  <si>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</si>
  <si>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</si>
  <si>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</si>
  <si>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</si>
  <si>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</si>
  <si>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</si>
  <si>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</si>
  <si>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</si>
  <si>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</si>
  <si>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</si>
  <si>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</si>
  <si>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</si>
  <si>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</si>
  <si>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</si>
  <si>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</si>
  <si>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</si>
  <si>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</si>
  <si>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</si>
  <si>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</si>
  <si>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</si>
  <si>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</si>
  <si>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</si>
  <si>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</si>
  <si>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</si>
  <si>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</si>
  <si>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</si>
  <si>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</si>
  <si>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</si>
  <si>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</si>
  <si>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</si>
  <si>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</si>
  <si>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</si>
  <si>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</si>
  <si>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</si>
  <si>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</si>
  <si>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</si>
  <si>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</si>
  <si>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</si>
  <si>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</si>
  <si>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</si>
  <si>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</si>
  <si>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</si>
  <si>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</si>
  <si>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</si>
  <si>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</si>
  <si>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</si>
  <si>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</si>
  <si>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</si>
  <si>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</si>
  <si>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</si>
  <si>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</si>
  <si>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</si>
  <si>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</si>
  <si>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</si>
  <si>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</si>
  <si>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</si>
  <si>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</si>
  <si>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</si>
  <si>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</si>
  <si>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</si>
  <si>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</si>
  <si>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</si>
  <si>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</si>
  <si>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</si>
  <si>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</si>
  <si>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</si>
  <si>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</si>
  <si>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</si>
  <si>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</si>
  <si>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</si>
  <si>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</si>
  <si>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</si>
  <si>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</si>
  <si>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</si>
  <si>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</si>
  <si>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</si>
  <si>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</si>
  <si>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</si>
  <si>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</si>
  <si>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</si>
  <si>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</si>
  <si>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</si>
  <si>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</si>
  <si>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</si>
  <si>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</si>
  <si>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</si>
  <si>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</si>
  <si>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</si>
  <si>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</si>
  <si>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</si>
  <si>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</si>
  <si>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</si>
  <si>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</si>
  <si>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</si>
  <si>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</si>
  <si>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</si>
  <si>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</si>
  <si>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</si>
  <si>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</si>
  <si>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</si>
  <si>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</si>
  <si>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</si>
  <si>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</si>
  <si>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</si>
  <si>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</si>
  <si>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</si>
  <si>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</si>
  <si>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</si>
  <si>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</si>
  <si>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</si>
  <si>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</si>
  <si>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</si>
  <si>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</si>
  <si>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</si>
  <si>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</si>
  <si>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</si>
  <si>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</si>
  <si>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</si>
  <si>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</si>
  <si>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</si>
  <si>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</si>
  <si>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</si>
  <si>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</si>
  <si>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</si>
  <si>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</si>
  <si>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</si>
  <si>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</si>
  <si>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</si>
  <si>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</si>
  <si>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</si>
  <si>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</si>
  <si>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</si>
  <si>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</si>
  <si>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</si>
  <si>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</si>
  <si>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</si>
  <si>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</si>
  <si>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</si>
  <si>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</si>
  <si>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</si>
  <si>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</si>
  <si>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</si>
  <si>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</si>
  <si>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</si>
  <si>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</si>
  <si>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</si>
  <si>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</si>
  <si>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</si>
  <si>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</si>
  <si>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</si>
  <si>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</si>
  <si>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</si>
  <si>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</si>
  <si>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</si>
  <si>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</si>
  <si>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</si>
  <si>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</si>
  <si>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</si>
  <si>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</si>
  <si>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</si>
  <si>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</si>
  <si>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</si>
  <si>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</si>
  <si>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</si>
  <si>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</si>
  <si>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</si>
  <si>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</si>
  <si>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</si>
  <si>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</si>
  <si>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</si>
  <si>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</si>
  <si>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</si>
  <si>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</si>
  <si>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</si>
  <si>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</si>
  <si>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</si>
  <si>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</si>
  <si>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</si>
  <si>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</si>
  <si>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</si>
  <si>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</si>
  <si>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</si>
  <si>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</si>
  <si>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</si>
  <si>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</si>
  <si>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</si>
  <si>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</si>
  <si>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</si>
  <si>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</si>
  <si>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</si>
  <si>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</si>
  <si>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</si>
  <si>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</si>
  <si>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</si>
  <si>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</si>
  <si>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</si>
  <si>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</si>
  <si>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</si>
  <si>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</si>
  <si>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</si>
  <si>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</si>
  <si>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</si>
  <si>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</si>
  <si>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</si>
  <si>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</si>
  <si>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</si>
  <si>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</si>
  <si>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</si>
  <si>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</si>
  <si>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</si>
  <si>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</si>
  <si>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</si>
  <si>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</si>
  <si>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</si>
  <si>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</si>
  <si>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</si>
  <si>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</si>
  <si>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</si>
  <si>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</si>
  <si>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</si>
  <si>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</si>
  <si>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</si>
  <si>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</si>
  <si>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</si>
  <si>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</si>
  <si>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</si>
  <si>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</si>
  <si>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</si>
  <si>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</si>
  <si>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</si>
  <si>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</si>
  <si>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</si>
  <si>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</si>
  <si>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</si>
  <si>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</si>
  <si>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</si>
  <si>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</si>
  <si>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</si>
  <si>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</si>
  <si>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</si>
  <si>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</si>
  <si>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</si>
  <si>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</si>
  <si>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</si>
  <si>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</si>
  <si>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</si>
  <si>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</si>
  <si>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</si>
  <si>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</si>
  <si>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</si>
  <si>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</si>
  <si>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</si>
  <si>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</si>
  <si>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</si>
  <si>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</si>
  <si>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</si>
  <si>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</si>
  <si>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</si>
  <si>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</si>
  <si>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</si>
  <si>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</si>
  <si>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</si>
  <si>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</si>
  <si>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</si>
  <si>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</si>
  <si>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</si>
  <si>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</si>
  <si>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</si>
  <si>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</si>
  <si>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</si>
  <si>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</si>
  <si>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</si>
  <si>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</si>
  <si>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</si>
  <si>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</si>
  <si>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</si>
  <si>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</si>
  <si>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</si>
  <si>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</si>
  <si>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</si>
  <si>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</si>
  <si>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</si>
  <si>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</si>
  <si>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</si>
  <si>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</si>
  <si>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</si>
  <si>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</si>
  <si>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</si>
  <si>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</si>
  <si>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</si>
  <si>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</si>
  <si>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</si>
  <si>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</si>
  <si>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</si>
  <si>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</si>
  <si>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</si>
  <si>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</si>
  <si>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</si>
  <si>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</si>
  <si>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</si>
  <si>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</si>
  <si>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</si>
  <si>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</si>
  <si>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</si>
  <si>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</si>
  <si>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</si>
  <si>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</si>
  <si>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</si>
  <si>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</si>
  <si>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</si>
  <si>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</si>
  <si>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</si>
  <si>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</si>
  <si>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</si>
  <si>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</si>
  <si>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</si>
  <si>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</si>
  <si>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</si>
  <si>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</si>
  <si>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</si>
  <si>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</si>
  <si>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</si>
  <si>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</si>
  <si>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</si>
  <si>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</si>
  <si>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</si>
  <si>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</si>
  <si>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</si>
  <si>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</si>
  <si>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</si>
  <si>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</si>
  <si>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</si>
  <si>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</si>
  <si>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</si>
  <si>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</si>
  <si>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</si>
  <si>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</si>
  <si>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</si>
  <si>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</si>
  <si>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</si>
  <si>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</si>
  <si>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</si>
  <si>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</si>
  <si>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</si>
  <si>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</si>
  <si>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</si>
  <si>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</si>
  <si>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</si>
  <si>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</si>
  <si>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</si>
  <si>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</si>
  <si>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</si>
  <si>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</si>
  <si>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</si>
  <si>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</si>
  <si>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</si>
  <si>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</si>
  <si>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</si>
  <si>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</si>
  <si>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</si>
  <si>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</si>
  <si>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</si>
  <si>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</si>
  <si>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</si>
  <si>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</si>
  <si>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</si>
  <si>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</si>
  <si>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</si>
  <si>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</si>
  <si>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</si>
  <si>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</si>
  <si>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</si>
  <si>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</si>
  <si>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</si>
  <si>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</si>
  <si>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</si>
  <si>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</si>
  <si>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</si>
  <si>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</si>
  <si>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</si>
  <si>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</si>
  <si>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</si>
  <si>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</si>
  <si>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</si>
  <si>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</si>
  <si>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</si>
  <si>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</si>
  <si>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</si>
  <si>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</si>
  <si>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</si>
  <si>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</si>
  <si>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</si>
  <si>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</si>
  <si>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</si>
  <si>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</si>
  <si>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</si>
  <si>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</si>
  <si>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</si>
  <si>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</si>
  <si>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</si>
  <si>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</si>
  <si>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</si>
  <si>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</si>
  <si>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</si>
  <si>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</si>
  <si>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</si>
  <si>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</si>
  <si>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</si>
  <si>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</si>
  <si>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</si>
  <si>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</si>
  <si>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</si>
  <si>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</si>
  <si>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</si>
  <si>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</si>
  <si>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</si>
  <si>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</si>
  <si>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</si>
  <si>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</si>
  <si>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</si>
  <si>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</si>
  <si>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</si>
  <si>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</si>
  <si>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</si>
  <si>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</si>
  <si>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</si>
  <si>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</si>
  <si>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</si>
  <si>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</si>
  <si>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</si>
  <si>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</si>
  <si>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</si>
  <si>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</si>
  <si>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</si>
  <si>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</si>
  <si>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</si>
  <si>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</si>
  <si>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</si>
  <si>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</si>
  <si>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</si>
  <si>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</si>
  <si>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</si>
  <si>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</si>
  <si>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</si>
  <si>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</si>
  <si>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</si>
  <si>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</si>
  <si>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</si>
  <si>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</si>
  <si>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</si>
  <si>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</si>
  <si>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</si>
  <si>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</si>
  <si>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</si>
  <si>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</si>
  <si>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</si>
  <si>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</si>
  <si>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</si>
  <si>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</si>
  <si>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</si>
  <si>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</si>
  <si>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</si>
  <si>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</si>
  <si>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</si>
  <si>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</si>
  <si>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</si>
  <si>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</si>
  <si>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</si>
  <si>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</si>
  <si>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</si>
  <si>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</si>
  <si>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</si>
  <si>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</si>
  <si>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</si>
  <si>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</si>
  <si>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</si>
  <si>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</si>
  <si>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</si>
  <si>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</si>
  <si>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</si>
  <si>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</si>
  <si>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</si>
  <si>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</si>
  <si>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</si>
  <si>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</si>
  <si>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</si>
  <si>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</si>
  <si>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</si>
  <si>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</si>
  <si>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</si>
  <si>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</si>
  <si>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</si>
  <si>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</si>
  <si>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</si>
  <si>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</si>
  <si>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</si>
  <si>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</si>
  <si>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</si>
  <si>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</si>
  <si>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</si>
  <si>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</si>
  <si>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</si>
  <si>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</si>
  <si>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</si>
  <si>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</si>
  <si>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</si>
  <si>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</si>
  <si>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</si>
  <si>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</si>
  <si>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</si>
  <si>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</si>
  <si>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</si>
  <si>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</si>
  <si>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</si>
  <si>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</si>
  <si>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</si>
  <si>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</si>
  <si>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</si>
  <si>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</si>
  <si>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</si>
  <si>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</si>
  <si>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</si>
  <si>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</si>
  <si>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</si>
  <si>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</si>
  <si>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</si>
  <si>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</si>
  <si>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</si>
  <si>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</si>
  <si>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</si>
  <si>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</si>
  <si>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</si>
  <si>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</si>
  <si>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</si>
  <si>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</si>
  <si>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</si>
  <si>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</si>
  <si>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</si>
  <si>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</si>
  <si>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</si>
  <si>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</si>
  <si>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</si>
  <si>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</si>
  <si>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</si>
  <si>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</si>
  <si>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</si>
  <si>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</si>
  <si>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</si>
  <si>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</si>
  <si>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</si>
  <si>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</si>
  <si>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</si>
  <si>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</si>
  <si>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</si>
  <si>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</si>
  <si>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</si>
  <si>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</si>
  <si>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</si>
  <si>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</si>
  <si>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</si>
  <si>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</si>
  <si>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</si>
  <si>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</si>
  <si>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</si>
  <si>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</si>
  <si>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</si>
  <si>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</si>
  <si>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</si>
  <si>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</si>
  <si>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</si>
  <si>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</si>
  <si>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</si>
  <si>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</si>
  <si>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</si>
  <si>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</si>
  <si>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</si>
  <si>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</si>
  <si>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</si>
  <si>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</si>
  <si>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</si>
  <si>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</si>
  <si>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</si>
  <si>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</si>
  <si>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</si>
  <si>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</si>
  <si>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</si>
  <si>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</si>
  <si>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</si>
  <si>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</si>
  <si>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</si>
  <si>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</si>
  <si>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</si>
  <si>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</si>
  <si>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</si>
  <si>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</si>
  <si>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</si>
  <si>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</si>
  <si>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</si>
  <si>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</si>
  <si>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</si>
  <si>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</si>
  <si>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</si>
  <si>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</si>
  <si>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</si>
  <si>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</si>
  <si>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</si>
  <si>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</si>
  <si>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</si>
  <si>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</si>
  <si>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</si>
  <si>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</si>
  <si>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</si>
  <si>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</si>
  <si>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</si>
  <si>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</si>
  <si>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</si>
  <si>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</si>
  <si>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</si>
  <si>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</si>
  <si>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</si>
  <si>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</si>
  <si>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</si>
  <si>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</si>
  <si>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</si>
  <si>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</si>
  <si>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</si>
  <si>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</si>
  <si>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</si>
  <si>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</si>
  <si>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</si>
  <si>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</si>
  <si>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</si>
  <si>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</si>
  <si>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</si>
  <si>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</si>
  <si>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</si>
  <si>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</si>
  <si>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</si>
  <si>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</si>
  <si>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</si>
  <si>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</si>
  <si>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</si>
  <si>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</si>
  <si>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</si>
  <si>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</si>
  <si>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</si>
  <si>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</si>
  <si>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</si>
  <si>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</si>
  <si>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</si>
  <si>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</si>
  <si>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</si>
  <si>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</si>
  <si>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</si>
  <si>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</si>
  <si>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</si>
  <si>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</si>
  <si>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</si>
  <si>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</si>
  <si>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</si>
  <si>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</si>
  <si>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</si>
  <si>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</si>
  <si>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</si>
  <si>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</si>
  <si>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</si>
  <si>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</si>
  <si>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</si>
  <si>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</si>
  <si>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</si>
  <si>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</si>
  <si>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</si>
  <si>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</si>
  <si>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</si>
  <si>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</si>
  <si>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</si>
  <si>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</si>
  <si>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</si>
  <si>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</si>
  <si>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</si>
  <si>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</si>
  <si>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</si>
  <si>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</si>
  <si>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</si>
  <si>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</si>
  <si>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</si>
  <si>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</si>
  <si>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</si>
  <si>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</si>
  <si>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</si>
  <si>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</si>
  <si>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</si>
  <si>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</si>
  <si>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</si>
  <si>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</si>
  <si>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</si>
  <si>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</si>
  <si>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</si>
  <si>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</si>
  <si>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</si>
  <si>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</si>
  <si>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</si>
  <si>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</si>
  <si>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</si>
  <si>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</si>
  <si>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</si>
  <si>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</si>
  <si>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</si>
  <si>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</si>
  <si>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</si>
  <si>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</si>
  <si>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</si>
  <si>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</si>
  <si>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</si>
  <si>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</si>
  <si>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</si>
  <si>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</si>
  <si>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</si>
  <si>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</si>
  <si>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</si>
  <si>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</si>
  <si>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</si>
  <si>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</si>
  <si>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</si>
  <si>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</si>
  <si>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</si>
  <si>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</si>
  <si>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</si>
  <si>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</si>
  <si>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</si>
  <si>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</si>
  <si>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</si>
  <si>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</si>
  <si>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</si>
  <si>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</si>
  <si>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</si>
  <si>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</si>
  <si>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</si>
  <si>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</si>
  <si>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</si>
  <si>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</si>
  <si>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</si>
  <si>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</si>
  <si>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</si>
  <si>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</si>
  <si>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</si>
  <si>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</si>
  <si>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</si>
  <si>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</si>
  <si>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</si>
  <si>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</si>
  <si>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</si>
  <si>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</si>
  <si>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</si>
  <si>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</si>
  <si>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</si>
  <si>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</si>
  <si>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</si>
  <si>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</si>
  <si>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</si>
  <si>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</si>
  <si>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</si>
  <si>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</si>
  <si>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</si>
  <si>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</si>
  <si>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</si>
  <si>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</si>
  <si>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</si>
  <si>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</si>
  <si>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</si>
  <si>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</si>
  <si>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</si>
  <si>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</si>
  <si>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</si>
  <si>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</si>
  <si>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</si>
  <si>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</si>
  <si>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</si>
  <si>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</si>
  <si>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</si>
  <si>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</si>
  <si>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</si>
  <si>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</si>
  <si>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</si>
  <si>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</si>
  <si>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</si>
  <si>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</si>
  <si>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</si>
  <si>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</si>
  <si>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</si>
  <si>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</si>
  <si>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</si>
  <si>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</si>
  <si>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</si>
  <si>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</si>
  <si>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</si>
  <si>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</si>
  <si>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</si>
  <si>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</si>
  <si>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</si>
  <si>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</si>
  <si>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</si>
  <si>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</si>
  <si>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</si>
  <si>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</si>
  <si>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</si>
  <si>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</si>
  <si>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</si>
  <si>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</si>
  <si>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</si>
  <si>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</si>
  <si>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</si>
  <si>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</si>
  <si>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</si>
  <si>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</si>
  <si>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</si>
  <si>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</si>
  <si>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</si>
  <si>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</si>
  <si>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</si>
  <si>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</si>
  <si>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</si>
  <si>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</si>
  <si>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</si>
  <si>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</si>
  <si>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</si>
  <si>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</si>
  <si>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</si>
  <si>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</si>
  <si>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</si>
  <si>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</si>
  <si>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</si>
  <si>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</si>
  <si>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</si>
  <si>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</si>
  <si>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</si>
  <si>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</si>
  <si>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</si>
  <si>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</si>
  <si>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</si>
  <si>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</si>
  <si>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</si>
  <si>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</si>
  <si>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</si>
  <si>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</si>
  <si>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</si>
  <si>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</si>
  <si>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</si>
  <si>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</si>
  <si>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</si>
  <si>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</si>
  <si>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</si>
  <si>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</si>
  <si>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</si>
  <si>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</si>
  <si>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</si>
  <si>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</si>
  <si>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</si>
  <si>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</si>
  <si>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</si>
  <si>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</si>
  <si>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</si>
  <si>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</si>
  <si>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</si>
  <si>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</si>
  <si>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</si>
  <si>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</si>
  <si>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</si>
  <si>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</si>
  <si>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</si>
  <si>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</si>
  <si>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</si>
  <si>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</si>
  <si>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</si>
  <si>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</si>
  <si>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</si>
  <si>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</si>
  <si>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</si>
  <si>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</si>
  <si>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</si>
  <si>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</si>
  <si>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</si>
  <si>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</si>
  <si>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</si>
  <si>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</si>
  <si>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</si>
  <si>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</si>
  <si>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</si>
  <si>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</si>
  <si>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</si>
  <si>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</si>
  <si>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</si>
  <si>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</si>
  <si>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</si>
  <si>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</si>
  <si>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</si>
  <si>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</si>
  <si>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</si>
  <si>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</si>
  <si>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</si>
  <si>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</si>
  <si>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</si>
  <si>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</si>
  <si>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</si>
  <si>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</si>
  <si>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</si>
  <si>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</si>
  <si>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</si>
  <si>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</si>
  <si>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</si>
  <si>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</si>
  <si>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</si>
  <si>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</si>
  <si>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</si>
  <si>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</si>
  <si>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</si>
  <si>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</si>
  <si>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</si>
  <si>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</si>
  <si>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</si>
  <si>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</si>
  <si>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</si>
  <si>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</si>
  <si>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</si>
  <si>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</si>
  <si>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</si>
  <si>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</si>
  <si>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</si>
  <si>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</si>
  <si>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</si>
  <si>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</si>
  <si>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</si>
  <si>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</si>
  <si>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</si>
  <si>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</si>
  <si>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</si>
  <si>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</si>
  <si>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</si>
  <si>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</si>
  <si>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</si>
  <si>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</si>
  <si>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</si>
  <si>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</si>
  <si>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</si>
  <si>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</si>
  <si>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</si>
  <si>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</si>
  <si>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</si>
  <si>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</si>
  <si>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</si>
  <si>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</si>
  <si>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</si>
  <si>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</si>
  <si>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</si>
  <si>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</si>
  <si>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</si>
  <si>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</si>
  <si>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</si>
  <si>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</si>
  <si>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</si>
  <si>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</si>
  <si>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</si>
  <si>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</si>
  <si>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</si>
  <si>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</si>
  <si>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</si>
  <si>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</si>
  <si>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</si>
  <si>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</si>
  <si>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</si>
  <si>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</si>
  <si>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</si>
  <si>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</si>
  <si>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</si>
  <si>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</si>
  <si>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</si>
  <si>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</si>
  <si>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</si>
  <si>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</si>
  <si>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</si>
  <si>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</si>
  <si>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</si>
  <si>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</si>
  <si>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</si>
  <si>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</si>
  <si>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</si>
  <si>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</si>
  <si>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</si>
  <si>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</si>
  <si>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</si>
  <si>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</si>
  <si>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</si>
  <si>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</si>
  <si>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</si>
  <si>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</si>
  <si>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</si>
  <si>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</si>
  <si>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</si>
  <si>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</si>
  <si>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</si>
  <si>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</si>
  <si>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</si>
  <si>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</si>
  <si>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</si>
  <si>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</si>
  <si>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</si>
  <si>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</si>
  <si>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</si>
  <si>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</si>
  <si>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</si>
  <si>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</si>
  <si>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</si>
  <si>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</si>
  <si>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</si>
  <si>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</si>
  <si>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</si>
  <si>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</si>
  <si>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</si>
  <si>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</si>
  <si>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</si>
  <si>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</si>
  <si>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</si>
  <si>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</si>
  <si>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</si>
  <si>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</si>
  <si>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</si>
  <si>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</si>
  <si>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</si>
  <si>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</si>
  <si>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</si>
  <si>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</si>
  <si>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</si>
  <si>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</si>
  <si>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</si>
  <si>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</si>
  <si>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</si>
  <si>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</si>
  <si>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</si>
  <si>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</si>
  <si>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</si>
  <si>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</si>
  <si>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</si>
  <si>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</si>
  <si>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</si>
  <si>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</si>
  <si>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</si>
  <si>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</si>
  <si>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</si>
  <si>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</si>
  <si>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</si>
  <si>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</si>
  <si>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</si>
  <si>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</si>
  <si>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</si>
  <si>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</si>
  <si>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</si>
  <si>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</si>
  <si>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</si>
  <si>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</si>
  <si>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</si>
  <si>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</si>
  <si>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</si>
  <si>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</si>
  <si>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</si>
  <si>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</si>
  <si>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</si>
  <si>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</si>
  <si>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</si>
  <si>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</si>
  <si>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</si>
  <si>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</si>
  <si>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</si>
  <si>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</si>
  <si>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</si>
  <si>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</si>
  <si>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</si>
  <si>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</si>
  <si>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</si>
  <si>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</si>
  <si>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</si>
  <si>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</si>
  <si>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</si>
  <si>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</si>
  <si>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</si>
  <si>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</si>
  <si>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</si>
  <si>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</si>
  <si>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</si>
  <si>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</si>
  <si>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</si>
  <si>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</si>
  <si>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</si>
  <si>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</si>
  <si>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</si>
  <si>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</si>
  <si>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</si>
  <si>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</si>
  <si>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</si>
  <si>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</si>
  <si>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</si>
  <si>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</si>
  <si>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</si>
  <si>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</si>
  <si>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</si>
  <si>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</si>
  <si>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</si>
  <si>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</si>
  <si>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</si>
  <si>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</si>
  <si>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</si>
  <si>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</si>
  <si>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</si>
  <si>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</si>
  <si>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</si>
  <si>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</si>
  <si>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</si>
  <si>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</si>
  <si>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</si>
  <si>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</si>
  <si>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</si>
  <si>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</si>
  <si>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</si>
  <si>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</si>
  <si>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</si>
  <si>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</si>
  <si>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</si>
  <si>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</si>
  <si>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</si>
  <si>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</si>
  <si>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</si>
  <si>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</si>
  <si>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</si>
  <si>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</si>
  <si>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</si>
  <si>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</si>
  <si>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</si>
  <si>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</si>
  <si>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</si>
  <si>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</si>
  <si>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</si>
  <si>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</si>
  <si>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</si>
  <si>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</si>
  <si>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</si>
  <si>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</si>
  <si>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</si>
  <si>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</si>
  <si>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</si>
  <si>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</si>
  <si>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</si>
  <si>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</si>
  <si>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</si>
  <si>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</si>
  <si>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</si>
  <si>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</si>
  <si>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</si>
  <si>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</si>
  <si>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</si>
  <si>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</si>
  <si>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</si>
  <si>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</si>
  <si>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</si>
  <si>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</si>
  <si>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</si>
  <si>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</si>
  <si>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</si>
  <si>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</si>
  <si>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</si>
  <si>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</si>
  <si>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</si>
  <si>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</si>
  <si>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</si>
  <si>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</si>
  <si>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</si>
  <si>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</si>
  <si>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</si>
  <si>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</si>
  <si>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</si>
  <si>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</si>
  <si>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</si>
  <si>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</si>
  <si>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</si>
  <si>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</si>
  <si>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</si>
  <si>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</si>
  <si>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</si>
  <si>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</si>
  <si>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</si>
  <si>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</si>
  <si>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</si>
  <si>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</si>
  <si>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</si>
  <si>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</si>
  <si>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</si>
  <si>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</si>
  <si>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</si>
  <si>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</si>
  <si>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</si>
  <si>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</si>
  <si>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</si>
  <si>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</si>
  <si>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</si>
  <si>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</si>
  <si>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</si>
  <si>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</si>
  <si>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</si>
  <si>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</si>
  <si>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</si>
  <si>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</si>
  <si>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</si>
  <si>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</si>
  <si>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</si>
  <si>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</si>
  <si>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</si>
  <si>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</si>
  <si>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</si>
  <si>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</si>
  <si>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</si>
  <si>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</si>
  <si>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</si>
  <si>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</si>
  <si>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</si>
  <si>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</si>
  <si>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</si>
  <si>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</si>
  <si>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</si>
  <si>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</si>
  <si>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</si>
  <si>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</si>
  <si>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</si>
  <si>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</si>
  <si>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</si>
  <si>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</si>
  <si>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</si>
  <si>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</si>
  <si>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</si>
  <si>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</si>
  <si>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</si>
  <si>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</si>
  <si>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</si>
  <si>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</si>
  <si>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</si>
  <si>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</si>
  <si>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</si>
  <si>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</si>
  <si>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</si>
  <si>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</si>
  <si>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</si>
  <si>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</si>
  <si>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</si>
  <si>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</si>
  <si>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</si>
  <si>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</si>
  <si>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</si>
  <si>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</si>
  <si>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</si>
  <si>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</si>
  <si>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</si>
  <si>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</si>
  <si>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</si>
  <si>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</si>
  <si>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</si>
  <si>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</si>
  <si>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</si>
  <si>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</si>
  <si>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</si>
  <si>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</si>
  <si>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</si>
  <si>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</si>
  <si>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</si>
  <si>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</si>
  <si>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</si>
  <si>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</si>
  <si>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</si>
  <si>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</si>
  <si>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</si>
  <si>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</si>
  <si>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</si>
  <si>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</si>
  <si>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</si>
  <si>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</si>
  <si>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</si>
  <si>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</si>
  <si>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</si>
  <si>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</si>
  <si>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</si>
  <si>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</si>
  <si>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</si>
  <si>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</si>
  <si>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</si>
  <si>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</si>
  <si>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</si>
  <si>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</si>
  <si>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</si>
  <si>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</si>
  <si>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</si>
  <si>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</si>
  <si>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</si>
  <si>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</si>
  <si>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</si>
  <si>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</si>
  <si>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</si>
  <si>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</si>
  <si>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</si>
  <si>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</si>
  <si>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</si>
  <si>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</si>
  <si>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</si>
  <si>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</si>
  <si>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</si>
  <si>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</si>
  <si>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</si>
  <si>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</si>
  <si>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</si>
  <si>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</si>
  <si>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</si>
  <si>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</si>
  <si>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</si>
  <si>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</si>
  <si>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</si>
  <si>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</si>
  <si>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</si>
  <si>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</si>
  <si>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</si>
  <si>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</si>
  <si>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</si>
  <si>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</si>
  <si>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</si>
  <si>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</si>
  <si>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</si>
  <si>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</si>
  <si>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</si>
  <si>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</si>
  <si>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</si>
  <si>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</si>
  <si>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</si>
  <si>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</si>
  <si>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</si>
  <si>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</si>
  <si>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</si>
  <si>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</si>
  <si>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</si>
  <si>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</si>
  <si>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</si>
  <si>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</si>
  <si>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</si>
  <si>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</si>
  <si>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</si>
  <si>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</si>
  <si>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</si>
  <si>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</si>
  <si>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</si>
  <si>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</si>
  <si>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</si>
  <si>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</si>
  <si>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</si>
  <si>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</si>
  <si>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</si>
  <si>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</si>
  <si>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</si>
  <si>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</si>
  <si>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</si>
  <si>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</si>
  <si>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</si>
  <si>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</si>
  <si>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</si>
  <si>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</si>
  <si>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</si>
  <si>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</si>
  <si>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</si>
  <si>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</si>
  <si>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</si>
  <si>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</si>
  <si>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</si>
  <si>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</si>
  <si>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</si>
  <si>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</si>
  <si>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</si>
  <si>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</si>
  <si>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</si>
  <si>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</si>
  <si>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</si>
  <si>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</si>
  <si>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</si>
  <si>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</si>
  <si>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</si>
  <si>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</si>
  <si>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</si>
  <si>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</si>
  <si>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</si>
  <si>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</si>
  <si>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</si>
  <si>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</si>
  <si>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</si>
  <si>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</si>
  <si>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</si>
  <si>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</si>
  <si>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</si>
  <si>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</si>
  <si>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</si>
  <si>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</si>
  <si>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</si>
  <si>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</si>
  <si>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</si>
  <si>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</si>
  <si>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</si>
  <si>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</si>
  <si>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</si>
  <si>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</si>
  <si>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</si>
  <si>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</si>
  <si>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</si>
  <si>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</si>
  <si>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</si>
  <si>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</si>
  <si>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</si>
  <si>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</si>
  <si>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</si>
  <si>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</si>
  <si>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</si>
  <si>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</si>
  <si>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</si>
  <si>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</si>
  <si>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</si>
  <si>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</si>
  <si>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</si>
  <si>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</si>
  <si>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</si>
  <si>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</si>
  <si>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</si>
  <si>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</si>
  <si>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</si>
  <si>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</si>
  <si>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</si>
  <si>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</si>
  <si>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</si>
  <si>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</si>
  <si>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</si>
  <si>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</si>
  <si>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</si>
  <si>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</si>
  <si>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</si>
  <si>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</si>
  <si>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</si>
  <si>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</si>
  <si>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</si>
  <si>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</si>
  <si>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</si>
  <si>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</si>
  <si>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</si>
  <si>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</si>
  <si>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</si>
  <si>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</si>
  <si>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</si>
  <si>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</si>
  <si>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</si>
  <si>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</si>
  <si>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</si>
  <si>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</si>
  <si>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</si>
  <si>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</si>
  <si>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</si>
  <si>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</si>
  <si>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</si>
  <si>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</si>
  <si>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</si>
  <si>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</si>
  <si>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</si>
  <si>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</si>
  <si>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</si>
  <si>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</si>
  <si>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</si>
  <si>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</si>
  <si>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</si>
  <si>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</si>
  <si>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</si>
  <si>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</si>
  <si>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</si>
  <si>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</si>
  <si>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</si>
  <si>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</si>
  <si>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</si>
  <si>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</si>
  <si>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</si>
  <si>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</si>
  <si>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</si>
  <si>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</si>
  <si>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</si>
  <si>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</si>
  <si>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</si>
  <si>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</si>
  <si>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</si>
  <si>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</si>
  <si>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</si>
  <si>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</si>
  <si>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</si>
  <si>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</si>
  <si>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</si>
  <si>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</si>
  <si>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</si>
  <si>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</si>
  <si>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</si>
  <si>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</si>
  <si>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</si>
  <si>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</si>
  <si>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</si>
  <si>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</si>
  <si>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</si>
  <si>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</si>
  <si>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</si>
  <si>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</si>
  <si>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</si>
  <si>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</si>
  <si>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</si>
  <si>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</si>
  <si>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</si>
  <si>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</si>
  <si>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</si>
  <si>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</si>
  <si>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</si>
  <si>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</si>
  <si>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</si>
  <si>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</si>
  <si>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</si>
  <si>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</si>
  <si>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</si>
  <si>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</si>
  <si>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</si>
  <si>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</si>
  <si>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</si>
  <si>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</si>
  <si>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</si>
  <si>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</si>
  <si>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</si>
  <si>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</si>
  <si>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</si>
  <si>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</si>
  <si>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</si>
  <si>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</si>
  <si>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</si>
  <si>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</si>
  <si>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</si>
  <si>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</si>
  <si>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</si>
  <si>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</si>
  <si>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</si>
  <si>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</si>
  <si>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</si>
  <si>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</si>
  <si>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</si>
  <si>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</si>
  <si>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</si>
  <si>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</si>
  <si>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</si>
  <si>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</si>
  <si>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</si>
  <si>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</si>
  <si>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</si>
  <si>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</si>
  <si>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</si>
  <si>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</si>
  <si>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</si>
  <si>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</si>
  <si>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</si>
  <si>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</si>
  <si>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</si>
  <si>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</si>
  <si>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</si>
  <si>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</si>
  <si>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</si>
  <si>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</si>
  <si>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</si>
  <si>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</si>
  <si>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</si>
  <si>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</si>
  <si>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</si>
  <si>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</si>
  <si>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</si>
  <si>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</si>
  <si>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</si>
  <si>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</si>
  <si>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</si>
  <si>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</si>
  <si>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</si>
  <si>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</si>
  <si>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</si>
  <si>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</si>
  <si>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</si>
  <si>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</si>
  <si>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</si>
  <si>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</si>
  <si>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</si>
  <si>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</si>
  <si>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</si>
  <si>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</si>
  <si>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</si>
  <si>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</si>
  <si>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</si>
  <si>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</si>
  <si>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</si>
  <si>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</si>
  <si>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</si>
  <si>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</si>
  <si>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</si>
  <si>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</si>
  <si>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</si>
  <si>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</si>
  <si>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</si>
  <si>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</si>
  <si>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</si>
  <si>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</si>
  <si>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</si>
  <si>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</si>
  <si>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</si>
  <si>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</si>
  <si>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</si>
  <si>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</si>
  <si>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</si>
  <si>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</si>
  <si>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</si>
  <si>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</si>
  <si>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</si>
  <si>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</si>
  <si>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</si>
  <si>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</si>
  <si>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</si>
  <si>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</si>
  <si>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</si>
  <si>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CAR07</t>
  </si>
  <si>
    <t>Azurduy y Ezeiza</t>
  </si>
  <si>
    <t>172,20,8,50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</si>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</sst>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5"/>
  <sheetViews>
    <sheetView tabSelected="1" zoomScale="50" zoomScaleNormal="50" workbookViewId="0">
      <pane xSplit="12" ySplit="7" topLeftCell="M8" activePane="bottomRight" state="frozen"/>
      <selection pane="topRight" activeCell="M1" sqref="M1"/>
      <selection pane="bottomLeft" activeCell="A5" sqref="A5"/>
      <selection pane="bottomRight" activeCell="AP31" sqref="AP3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566</v>
      </c>
      <c r="N2" s="7">
        <f t="shared" si="3"/>
        <v>566</v>
      </c>
      <c r="O2" s="7">
        <f t="shared" si="3"/>
        <v>566</v>
      </c>
      <c r="P2" s="7">
        <f t="shared" si="3"/>
        <v>566</v>
      </c>
      <c r="Q2" s="7">
        <f t="shared" si="3"/>
        <v>566</v>
      </c>
      <c r="R2" s="7">
        <f t="shared" si="3"/>
        <v>566</v>
      </c>
      <c r="S2" s="7">
        <f t="shared" si="3"/>
        <v>566</v>
      </c>
      <c r="T2" s="7">
        <f t="shared" si="3"/>
        <v>566</v>
      </c>
      <c r="U2" s="7">
        <f t="shared" si="3"/>
        <v>566</v>
      </c>
      <c r="V2" s="7">
        <f t="shared" si="3"/>
        <v>566</v>
      </c>
      <c r="W2" s="7">
        <f t="shared" si="3"/>
        <v>566</v>
      </c>
      <c r="X2" s="7">
        <f t="shared" si="3"/>
        <v>566</v>
      </c>
      <c r="Y2" s="7">
        <f t="shared" si="3"/>
        <v>566</v>
      </c>
      <c r="Z2" s="7">
        <f t="shared" si="3"/>
        <v>566</v>
      </c>
      <c r="AA2" s="7">
        <f t="shared" si="3"/>
        <v>566</v>
      </c>
      <c r="AB2" s="7">
        <f t="shared" si="3"/>
        <v>566</v>
      </c>
      <c r="AC2" s="7">
        <f t="shared" si="3"/>
        <v>566</v>
      </c>
      <c r="AD2" s="7">
        <f t="shared" si="3"/>
        <v>566</v>
      </c>
      <c r="AE2" s="7">
        <f t="shared" si="3"/>
        <v>566</v>
      </c>
      <c r="AF2" s="7">
        <f t="shared" si="3"/>
        <v>566</v>
      </c>
      <c r="AG2" s="7">
        <f t="shared" si="3"/>
        <v>566</v>
      </c>
      <c r="AH2" s="7">
        <f t="shared" si="3"/>
        <v>566</v>
      </c>
      <c r="AI2" s="7">
        <f t="shared" si="3"/>
        <v>566</v>
      </c>
      <c r="AJ2" s="7">
        <f t="shared" si="3"/>
        <v>566</v>
      </c>
      <c r="AK2" s="7">
        <f t="shared" si="3"/>
        <v>566</v>
      </c>
      <c r="AL2" s="7">
        <f t="shared" si="3"/>
        <v>566</v>
      </c>
      <c r="AM2" s="7">
        <f t="shared" si="3"/>
        <v>566</v>
      </c>
      <c r="AN2" s="7">
        <f t="shared" si="3"/>
        <v>566</v>
      </c>
      <c r="AO2" s="7">
        <f t="shared" si="3"/>
        <v>566</v>
      </c>
      <c r="AP2" s="7">
        <f t="shared" si="3"/>
        <v>566</v>
      </c>
      <c r="AQ2" s="7">
        <f t="shared" si="3"/>
        <v>566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4">COUNTIF(M7:M727, "apagado")</f>
        <v>0</v>
      </c>
      <c r="N3" s="126">
        <f t="shared" si="4"/>
        <v>0</v>
      </c>
      <c r="O3" s="126">
        <f t="shared" si="4"/>
        <v>0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ref="AQ3" si="5">COUNTIF(AQ7:AQ727, "apagado")</f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0</v>
      </c>
      <c r="N4" s="10">
        <f>COUNTIFS(N8:N681, "=APAGADO",F8:F681,"=Fibra Optica")</f>
        <v>0</v>
      </c>
      <c r="O4" s="10">
        <f>COUNTIFS(O8:O681, "=APAGADO",F8:F681,"=Fibra Optica")</f>
        <v>0</v>
      </c>
      <c r="P4" s="10">
        <f>COUNTIFS(P8:P681, "=APAGADO",F8:F681,"=Fibra Optica")</f>
        <v>0</v>
      </c>
      <c r="Q4" s="10">
        <f>COUNTIFS(Q8:Q681, "=APAGADO",F8:F681,"=Fibra Optica")</f>
        <v>0</v>
      </c>
      <c r="R4" s="10">
        <f>COUNTIFS(R8:R681, "=APAGADO",F8:F681,"=Fibra Optica")</f>
        <v>0</v>
      </c>
      <c r="S4" s="10">
        <f>COUNTIFS(S8:S681, "=APAGADO",F8:F681,"=Fibra Optica")</f>
        <v>0</v>
      </c>
      <c r="T4" s="10">
        <f>COUNTIFS(T8:T681, "=APAGADO",F8:F681,"=Fibra Optica")</f>
        <v>0</v>
      </c>
      <c r="U4" s="10">
        <f>COUNTIFS(U8:U681, "=APAGADO",F8:F681,"=Fibra Optica")</f>
        <v>0</v>
      </c>
      <c r="V4" s="10">
        <f>COUNTIFS(V8:V681, "=APAGADO",F8:F681,"=Fibra Optica")</f>
        <v>0</v>
      </c>
      <c r="W4" s="10">
        <f>COUNTIFS(W8:W681, "=APAGADO",F8:F681,"=Fibra Optica")</f>
        <v>0</v>
      </c>
      <c r="X4" s="10">
        <f>COUNTIFS(X8:X681, "=APAGADO",F8:F681,"=Fibra Optica")</f>
        <v>0</v>
      </c>
      <c r="Y4" s="10">
        <f>COUNTIFS(Y8:Y681, "=APAGADO",F8:F681,"=Fibra Optica")</f>
        <v>0</v>
      </c>
      <c r="Z4" s="10">
        <f>COUNTIFS(Z8:Z681, "=APAGADO",F8:F681,"=Fibra Optica")</f>
        <v>0</v>
      </c>
      <c r="AA4" s="10">
        <f>COUNTIFS(AA8:AA681, "=APAGADO",F8:F681,"=Fibra Optica")</f>
        <v>0</v>
      </c>
      <c r="AB4" s="10">
        <f>COUNTIFS(AB8:AB681, "=APAGADO",F8:F681,"=Fibra Optica")</f>
        <v>0</v>
      </c>
      <c r="AC4" s="10">
        <f>COUNTIFS(AC8:AC681, "=APAGADO",F8:F681,"=Fibra Optica")</f>
        <v>0</v>
      </c>
      <c r="AD4" s="10">
        <f>COUNTIFS(AD8:AD681, "=APAGADO",F8:F681,"=Fibra Optica")</f>
        <v>0</v>
      </c>
      <c r="AE4" s="10">
        <f>COUNTIFS(AE8:AE681, "=APAGADO",F8:F681,"=Fibra Optica")</f>
        <v>0</v>
      </c>
      <c r="AF4" s="10">
        <f>COUNTIFS(AF8:AF681, "=APAGADO",F8:F681,"=Fibra Optica")</f>
        <v>0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  <c r="AQ4" s="10">
        <f>COUNTIFS(AQ8:AQ681, "=APAGADO",G8:G681,"=Fibra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0</v>
      </c>
      <c r="N5" s="130">
        <f>COUNTIFS(N8:N681, "=APAGADO",F8:F681,"=RADIO")</f>
        <v>0</v>
      </c>
      <c r="O5" s="130">
        <f>COUNTIFS(O8:O681, "=APAGADO",F8:F681,"=RADIO")</f>
        <v>0</v>
      </c>
      <c r="P5" s="130">
        <f>COUNTIFS(P8:P681, "=APAGADO",F8:F681,"=RADIO")</f>
        <v>0</v>
      </c>
      <c r="Q5" s="130">
        <f>COUNTIFS(Q8:Q681, "=APAGADO",F8:F681,"=RADIO")</f>
        <v>0</v>
      </c>
      <c r="R5" s="130">
        <f>COUNTIFS(R8:R681, "=APAGADO",F8:F681,"=RADIO")</f>
        <v>0</v>
      </c>
      <c r="S5" s="130">
        <f>COUNTIFS(S8:S681, "=APAGADO",F8:F681,"=RADIO")</f>
        <v>0</v>
      </c>
      <c r="T5" s="130">
        <f>COUNTIFS(T8:T681, "=APAGADO",F8:F681,"=RADIO")</f>
        <v>0</v>
      </c>
      <c r="U5" s="130">
        <f>COUNTIFS(U8:U681, "=APAGADO",F8:F681,"=RADIO")</f>
        <v>0</v>
      </c>
      <c r="V5" s="130">
        <f>COUNTIFS(V8:V681, "=APAGADO",F8:F681,"=RADIO")</f>
        <v>0</v>
      </c>
      <c r="W5" s="130">
        <f>COUNTIFS(W8:W681, "=APAGADO",F8:F681,"=RADIO")</f>
        <v>0</v>
      </c>
      <c r="X5" s="130">
        <f>COUNTIFS(X8:X681, "=APAGADO",F8:F681,"=RADIO")</f>
        <v>0</v>
      </c>
      <c r="Y5" s="130">
        <f>COUNTIFS(Y8:Y681, "=APAGADO",F8:F681,"=RADIO")</f>
        <v>0</v>
      </c>
      <c r="Z5" s="130">
        <f>COUNTIFS(Z8:Z681, "=APAGADO",F8:F681,"=RADIO")</f>
        <v>0</v>
      </c>
      <c r="AA5" s="130">
        <f>COUNTIFS(AA8:AA681, "=APAGADO",F8:F681,"=RADIO")</f>
        <v>0</v>
      </c>
      <c r="AB5" s="130">
        <f>COUNTIFS(AB8:AB681, "=APAGADO",F8:F681,"=RADIO")</f>
        <v>0</v>
      </c>
      <c r="AC5" s="130">
        <f>COUNTIFS(AC8:AC681, "=APAGADO",F8:F681,"=RADIO")</f>
        <v>0</v>
      </c>
      <c r="AD5" s="130">
        <f>COUNTIFS(AD8:AD681, "=APAGADO",F8:F681,"=RADIO")</f>
        <v>0</v>
      </c>
      <c r="AE5" s="130">
        <f>COUNTIFS(AE8:AE681, "=APAGADO",F8:F681,"=RADIO")</f>
        <v>0</v>
      </c>
      <c r="AF5" s="130">
        <f>COUNTIFS(AF8:AF681, "=APAGADO",F8:F681,"=RADIO")</f>
        <v>0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  <c r="AQ5" s="130">
        <f>COUNTIFS(AQ8:AQ681, "=APAGADO",G8:G681,"=RADIO")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0</v>
      </c>
      <c r="N6" s="10">
        <f>COUNTIFS(N8:N681, "=APAGADO",F8:F681,"=PTO A FO")</f>
        <v>0</v>
      </c>
      <c r="O6" s="10">
        <f>COUNTIFS(O8:O681, "=APAGADO",F8:F681,"=PTO A FO")</f>
        <v>0</v>
      </c>
      <c r="P6" s="10">
        <f>COUNTIFS(P8:P681, "=APAGADO",F8:F681,"=PTO A FO")</f>
        <v>0</v>
      </c>
      <c r="Q6" s="10">
        <f>COUNTIFS(Q8:Q681, "=APAGADO",F8:F681,"=PTO A FO")</f>
        <v>0</v>
      </c>
      <c r="R6" s="10">
        <f>COUNTIFS(R8:R681, "=APAGADO",F8:F681,"=PTO A FO")</f>
        <v>0</v>
      </c>
      <c r="S6" s="10">
        <f>COUNTIFS(S8:S681, "=APAGADO",F8:F681,"=PTO A FO")</f>
        <v>0</v>
      </c>
      <c r="T6" s="10">
        <f>COUNTIFS(T8:T681, "=APAGADO",F8:F681,"=PTO A FO")</f>
        <v>0</v>
      </c>
      <c r="U6" s="10">
        <f>COUNTIFS(U8:U681, "=APAGADO",F8:F681,"=PTO A FO")</f>
        <v>0</v>
      </c>
      <c r="V6" s="10">
        <f>COUNTIFS(V8:V681, "=APAGADO",F8:F681,"=PTO A FO")</f>
        <v>0</v>
      </c>
      <c r="W6" s="10">
        <f>COUNTIFS(W8:W681, "=APAGADO",F8:F681,"=PTO A FO")</f>
        <v>0</v>
      </c>
      <c r="X6" s="10">
        <f>COUNTIFS(X8:X681, "=APAGADO",F8:F681,"=PTO A FO")</f>
        <v>0</v>
      </c>
      <c r="Y6" s="10">
        <f>COUNTIFS(Y8:Y681, "=APAGADO",F8:F681,"=PTO A FO")</f>
        <v>0</v>
      </c>
      <c r="Z6" s="10">
        <f>COUNTIFS(Z8:Z681, "=APAGADO",F8:F681,"=PTO A FO")</f>
        <v>0</v>
      </c>
      <c r="AA6" s="10">
        <f>COUNTIFS(AA8:AA681, "=APAGADO",F8:F681,"=PTO A FO")</f>
        <v>0</v>
      </c>
      <c r="AB6" s="10">
        <f>COUNTIFS(AB8:AB681, "=APAGADO",F8:F681,"=PTO A FO")</f>
        <v>0</v>
      </c>
      <c r="AC6" s="10">
        <f>COUNTIFS(AC8:AC681, "=APAGADO",F8:F681,"=PTO A FO")</f>
        <v>0</v>
      </c>
      <c r="AD6" s="10">
        <f>COUNTIFS(AD8:AD681, "=APAGADO",F8:F681,"=PTO A FO")</f>
        <v>0</v>
      </c>
      <c r="AE6" s="10">
        <f>COUNTIFS(AE8:AE681, "=APAGADO",F8:F681,"=PTO A FO")</f>
        <v>0</v>
      </c>
      <c r="AF6" s="10">
        <f>COUNTIFS(AF8:AF681, "=APAGADO",F8:F681,"=PTO A FO")</f>
        <v>0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  <c r="AQ6" s="10">
        <f>COUNTIFS(AQ8:AQ681, "=APAGADO",G8:G681,"=PTO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7" t="s">
        <v>1667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6"/>
        <v>28</v>
      </c>
      <c r="J9" s="147" t="s">
        <v>1668</v>
      </c>
      <c r="K9" s="31">
        <f t="shared" si="7"/>
        <v>0</v>
      </c>
      <c r="L9" s="32">
        <f t="shared" si="8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6"/>
        <v>28</v>
      </c>
      <c r="J10" s="147" t="s">
        <v>1669</v>
      </c>
      <c r="K10" s="142">
        <f t="shared" si="7"/>
        <v>0</v>
      </c>
      <c r="L10" s="143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6"/>
        <v>28</v>
      </c>
      <c r="J11" s="147" t="s">
        <v>1670</v>
      </c>
      <c r="K11" s="142">
        <f t="shared" si="7"/>
        <v>0</v>
      </c>
      <c r="L11" s="143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6"/>
        <v>28</v>
      </c>
      <c r="J12" s="149" t="s">
        <v>1671</v>
      </c>
      <c r="K12" s="142">
        <f t="shared" si="7"/>
        <v>0</v>
      </c>
      <c r="L12" s="143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6"/>
        <v>28</v>
      </c>
      <c r="J13" s="147" t="s">
        <v>1672</v>
      </c>
      <c r="K13" s="142">
        <f t="shared" si="7"/>
        <v>0</v>
      </c>
      <c r="L13" s="143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6"/>
        <v>28</v>
      </c>
      <c r="J14" s="147" t="s">
        <v>1673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7" t="s">
        <v>1674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7" t="s">
        <v>1675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6"/>
        <v>28</v>
      </c>
      <c r="J17" s="150" t="s">
        <v>1676</v>
      </c>
      <c r="K17" s="142">
        <f t="shared" si="7"/>
        <v>0</v>
      </c>
      <c r="L17" s="143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6"/>
        <v>28</v>
      </c>
      <c r="J18" s="87" t="s">
        <v>2159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28</v>
      </c>
      <c r="J19" s="147" t="s">
        <v>1677</v>
      </c>
      <c r="K19" s="31">
        <f t="shared" si="7"/>
        <v>0</v>
      </c>
      <c r="L19" s="32">
        <f t="shared" si="8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6"/>
        <v>28</v>
      </c>
      <c r="J20" s="147" t="s">
        <v>1678</v>
      </c>
      <c r="K20" s="31">
        <f t="shared" si="7"/>
        <v>0</v>
      </c>
      <c r="L20" s="32">
        <f t="shared" si="8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6"/>
        <v>28</v>
      </c>
      <c r="J21" s="147" t="s">
        <v>1679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7" t="s">
        <v>1680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6"/>
        <v>28</v>
      </c>
      <c r="J23" s="147" t="s">
        <v>1681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6"/>
        <v>28</v>
      </c>
      <c r="J24" s="147" t="s">
        <v>1682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6"/>
        <v>28</v>
      </c>
      <c r="J25" s="147" t="s">
        <v>1683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6"/>
        <v>28</v>
      </c>
      <c r="J26" s="147" t="s">
        <v>1684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6"/>
        <v>28</v>
      </c>
      <c r="J27" s="147" t="s">
        <v>1685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6"/>
        <v>28</v>
      </c>
      <c r="J28" s="147" t="s">
        <v>1686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6"/>
        <v>28</v>
      </c>
      <c r="J29" s="147" t="s">
        <v>1687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6"/>
        <v>28</v>
      </c>
      <c r="J30" s="147" t="s">
        <v>1688</v>
      </c>
      <c r="K30" s="142">
        <f t="shared" si="7"/>
        <v>0</v>
      </c>
      <c r="L30" s="143">
        <f t="shared" si="8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6"/>
        <v>28</v>
      </c>
      <c r="J31" s="87" t="s">
        <v>2160</v>
      </c>
      <c r="K31" s="142">
        <f t="shared" si="7"/>
        <v>0</v>
      </c>
      <c r="L31" s="143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6"/>
        <v>28</v>
      </c>
      <c r="J32" s="87" t="s">
        <v>2161</v>
      </c>
      <c r="K32" s="142">
        <f t="shared" si="7"/>
        <v>0</v>
      </c>
      <c r="L32" s="143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6"/>
        <v>28</v>
      </c>
      <c r="J33" s="87" t="s">
        <v>2162</v>
      </c>
      <c r="K33" s="142">
        <f t="shared" si="7"/>
        <v>0</v>
      </c>
      <c r="L33" s="143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6"/>
        <v>28</v>
      </c>
      <c r="J34" s="147" t="s">
        <v>1689</v>
      </c>
      <c r="K34" s="134">
        <f t="shared" si="7"/>
        <v>0</v>
      </c>
      <c r="L34" s="135">
        <f t="shared" si="8"/>
        <v>1</v>
      </c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6"/>
        <v>28</v>
      </c>
      <c r="J35" s="87" t="s">
        <v>2163</v>
      </c>
      <c r="K35" s="142">
        <f t="shared" si="7"/>
        <v>0</v>
      </c>
      <c r="L35" s="143">
        <f t="shared" si="8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6"/>
        <v>28</v>
      </c>
      <c r="J36" s="87" t="s">
        <v>2157</v>
      </c>
      <c r="K36" s="142">
        <f t="shared" si="7"/>
        <v>0</v>
      </c>
      <c r="L36" s="143">
        <f t="shared" si="8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6"/>
        <v>28</v>
      </c>
      <c r="J37" s="87" t="s">
        <v>2164</v>
      </c>
      <c r="K37" s="142">
        <f t="shared" si="7"/>
        <v>0</v>
      </c>
      <c r="L37" s="143">
        <f t="shared" si="8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6"/>
        <v>28</v>
      </c>
      <c r="J38" s="147" t="s">
        <v>1690</v>
      </c>
      <c r="K38" s="31">
        <f t="shared" si="7"/>
        <v>0</v>
      </c>
      <c r="L38" s="3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6"/>
        <v>28</v>
      </c>
      <c r="J39" s="147" t="s">
        <v>1691</v>
      </c>
      <c r="K39" s="31">
        <f t="shared" si="7"/>
        <v>0</v>
      </c>
      <c r="L39" s="32">
        <f t="shared" si="8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6"/>
        <v>28</v>
      </c>
      <c r="J40" s="87" t="s">
        <v>2165</v>
      </c>
      <c r="K40" s="31">
        <f t="shared" si="7"/>
        <v>0</v>
      </c>
      <c r="L40" s="32">
        <f t="shared" si="8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6"/>
        <v>28</v>
      </c>
      <c r="J41" s="87" t="s">
        <v>2190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6"/>
        <v>28</v>
      </c>
      <c r="J42" s="87" t="s">
        <v>2191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6"/>
        <v>28</v>
      </c>
      <c r="J43" s="87" t="s">
        <v>2192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2239</v>
      </c>
      <c r="C44" t="s">
        <v>1063</v>
      </c>
      <c r="D44" t="s">
        <v>2240</v>
      </c>
      <c r="E44" s="30" t="s">
        <v>19</v>
      </c>
      <c r="F44" s="30" t="s">
        <v>28</v>
      </c>
      <c r="G44" s="30"/>
      <c r="H44" s="85" t="s">
        <v>2241</v>
      </c>
      <c r="I44" s="31">
        <f t="shared" si="6"/>
        <v>28</v>
      </c>
      <c r="J44" s="153" t="s">
        <v>2242</v>
      </c>
      <c r="K44" s="31">
        <f t="shared" si="7"/>
        <v>0</v>
      </c>
      <c r="L44" s="32">
        <f t="shared" si="8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2247</v>
      </c>
      <c r="C45" t="s">
        <v>1063</v>
      </c>
      <c r="D45" t="s">
        <v>2252</v>
      </c>
      <c r="E45" s="30" t="s">
        <v>73</v>
      </c>
      <c r="F45" s="30" t="s">
        <v>28</v>
      </c>
      <c r="G45" s="30"/>
      <c r="H45" s="85" t="s">
        <v>2248</v>
      </c>
      <c r="I45" s="31">
        <f t="shared" si="6"/>
        <v>28</v>
      </c>
      <c r="J45" s="153" t="s">
        <v>2249</v>
      </c>
      <c r="K45" s="31">
        <f t="shared" si="7"/>
        <v>0</v>
      </c>
      <c r="L45" s="32">
        <f t="shared" si="8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1458</v>
      </c>
      <c r="B46" s="30" t="s">
        <v>2250</v>
      </c>
      <c r="C46" t="s">
        <v>1063</v>
      </c>
      <c r="D46" t="s">
        <v>2251</v>
      </c>
      <c r="E46" s="30" t="s">
        <v>73</v>
      </c>
      <c r="F46" s="30" t="s">
        <v>28</v>
      </c>
      <c r="G46" s="30"/>
      <c r="H46" s="85" t="s">
        <v>2253</v>
      </c>
      <c r="I46" s="31">
        <f t="shared" si="6"/>
        <v>28</v>
      </c>
      <c r="J46" s="153" t="s">
        <v>2254</v>
      </c>
      <c r="K46" s="31">
        <f t="shared" si="7"/>
        <v>0</v>
      </c>
      <c r="L46" s="32">
        <f t="shared" si="8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1062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28</v>
      </c>
      <c r="J47" s="147" t="s">
        <v>1692</v>
      </c>
      <c r="K47" s="31">
        <f t="shared" si="7"/>
        <v>0</v>
      </c>
      <c r="L47" s="32">
        <f t="shared" si="8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1062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28</v>
      </c>
      <c r="J48" s="147" t="s">
        <v>1693</v>
      </c>
      <c r="K48" s="31">
        <f t="shared" si="7"/>
        <v>0</v>
      </c>
      <c r="L48" s="32">
        <f t="shared" si="8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1062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7" t="s">
        <v>1694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1062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7" t="s">
        <v>1695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923</v>
      </c>
      <c r="C51" t="s">
        <v>1062</v>
      </c>
      <c r="D51" t="s">
        <v>1081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7" t="s">
        <v>1696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1062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28</v>
      </c>
      <c r="J52" s="147"/>
      <c r="K52" s="31">
        <f t="shared" si="7"/>
        <v>0</v>
      </c>
      <c r="L52" s="32">
        <f t="shared" si="8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82</v>
      </c>
      <c r="C53" t="s">
        <v>1062</v>
      </c>
      <c r="D53" t="s">
        <v>1077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7" t="s">
        <v>1697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1062</v>
      </c>
      <c r="D54" t="s">
        <v>1076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7" t="s">
        <v>1698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1062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7" t="s">
        <v>1699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1062</v>
      </c>
      <c r="D56" t="s">
        <v>1075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7" t="s">
        <v>1700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1062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7" t="s">
        <v>1701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924</v>
      </c>
      <c r="C58" t="s">
        <v>1062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7" t="s">
        <v>1702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925</v>
      </c>
      <c r="C59" s="73" t="s">
        <v>1062</v>
      </c>
      <c r="D59" s="73" t="s">
        <v>90</v>
      </c>
      <c r="E59" s="85" t="s">
        <v>15</v>
      </c>
      <c r="F59" s="85" t="s">
        <v>1301</v>
      </c>
      <c r="G59" s="85"/>
      <c r="H59" s="85" t="s">
        <v>633</v>
      </c>
      <c r="I59" s="142">
        <f t="shared" si="6"/>
        <v>28</v>
      </c>
      <c r="J59" s="147" t="s">
        <v>1703</v>
      </c>
      <c r="K59" s="142">
        <f t="shared" si="7"/>
        <v>0</v>
      </c>
      <c r="L59" s="143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89"/>
      <c r="AQ59" s="89"/>
    </row>
    <row r="60" spans="1:43" ht="15.75" thickBot="1" x14ac:dyDescent="0.3">
      <c r="A60" t="s">
        <v>52</v>
      </c>
      <c r="B60" t="s">
        <v>91</v>
      </c>
      <c r="C60" t="s">
        <v>1062</v>
      </c>
      <c r="D60" t="s">
        <v>1079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7" t="s">
        <v>1704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1062</v>
      </c>
      <c r="D61" s="73" t="s">
        <v>93</v>
      </c>
      <c r="E61" s="85" t="s">
        <v>19</v>
      </c>
      <c r="F61" s="85" t="s">
        <v>1301</v>
      </c>
      <c r="G61" s="85"/>
      <c r="H61" s="85" t="s">
        <v>635</v>
      </c>
      <c r="I61" s="142">
        <f t="shared" si="6"/>
        <v>28</v>
      </c>
      <c r="J61" s="147" t="s">
        <v>1705</v>
      </c>
      <c r="K61" s="142">
        <f t="shared" si="7"/>
        <v>0</v>
      </c>
      <c r="L61" s="143">
        <f t="shared" si="8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89"/>
      <c r="AQ61" s="89"/>
    </row>
    <row r="62" spans="1:43" ht="15.75" thickBot="1" x14ac:dyDescent="0.3">
      <c r="A62" t="s">
        <v>52</v>
      </c>
      <c r="B62" t="s">
        <v>94</v>
      </c>
      <c r="C62" t="s">
        <v>1062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7" t="s">
        <v>1706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1062</v>
      </c>
      <c r="D63" t="s">
        <v>97</v>
      </c>
      <c r="E63" s="30" t="s">
        <v>19</v>
      </c>
      <c r="F63" s="30" t="s">
        <v>1056</v>
      </c>
      <c r="G63" s="30" t="s">
        <v>1252</v>
      </c>
      <c r="H63" s="30" t="s">
        <v>637</v>
      </c>
      <c r="I63" s="31">
        <f t="shared" si="6"/>
        <v>28</v>
      </c>
      <c r="J63" s="147" t="s">
        <v>1707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1062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7" t="s">
        <v>1708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1062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7" t="s">
        <v>1709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1062</v>
      </c>
      <c r="D66" s="73" t="s">
        <v>103</v>
      </c>
      <c r="E66" s="85" t="s">
        <v>19</v>
      </c>
      <c r="F66" s="85" t="s">
        <v>1301</v>
      </c>
      <c r="G66" s="85"/>
      <c r="H66" s="85" t="s">
        <v>640</v>
      </c>
      <c r="I66" s="142">
        <f t="shared" si="6"/>
        <v>28</v>
      </c>
      <c r="J66" s="147" t="s">
        <v>1710</v>
      </c>
      <c r="K66" s="142">
        <f t="shared" si="7"/>
        <v>0</v>
      </c>
      <c r="L66" s="143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89"/>
      <c r="AQ66" s="89"/>
    </row>
    <row r="67" spans="1:43" s="91" customFormat="1" ht="15.75" thickBot="1" x14ac:dyDescent="0.3">
      <c r="A67" s="91" t="s">
        <v>52</v>
      </c>
      <c r="B67" s="91" t="s">
        <v>104</v>
      </c>
      <c r="C67" s="91" t="s">
        <v>1062</v>
      </c>
      <c r="D67" s="91" t="s">
        <v>105</v>
      </c>
      <c r="E67" s="92" t="s">
        <v>73</v>
      </c>
      <c r="F67" s="85" t="s">
        <v>1301</v>
      </c>
      <c r="G67" s="92"/>
      <c r="H67" s="92" t="s">
        <v>641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3"/>
      <c r="AF67" s="93"/>
      <c r="AG67" s="70"/>
      <c r="AH67" s="93"/>
      <c r="AI67" s="93"/>
      <c r="AJ67" s="93"/>
      <c r="AK67" s="93"/>
      <c r="AL67" s="93"/>
      <c r="AM67" s="93"/>
      <c r="AN67" s="93"/>
      <c r="AO67" s="93"/>
      <c r="AP67" s="93"/>
      <c r="AQ67" s="93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1062</v>
      </c>
      <c r="D68" s="73" t="s">
        <v>107</v>
      </c>
      <c r="E68" s="85" t="s">
        <v>19</v>
      </c>
      <c r="F68" s="85" t="s">
        <v>1301</v>
      </c>
      <c r="G68" s="85"/>
      <c r="H68" s="85" t="s">
        <v>1377</v>
      </c>
      <c r="I68" s="142">
        <f t="shared" si="6"/>
        <v>28</v>
      </c>
      <c r="J68" s="147" t="s">
        <v>1711</v>
      </c>
      <c r="K68" s="142">
        <f t="shared" si="7"/>
        <v>0</v>
      </c>
      <c r="L68" s="143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89"/>
      <c r="AQ68" s="89"/>
    </row>
    <row r="69" spans="1:43" ht="15.75" thickBot="1" x14ac:dyDescent="0.3">
      <c r="A69" t="s">
        <v>52</v>
      </c>
      <c r="B69" t="s">
        <v>108</v>
      </c>
      <c r="C69" t="s">
        <v>1062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6"/>
        <v>28</v>
      </c>
      <c r="J69" s="147" t="s">
        <v>1712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1062</v>
      </c>
      <c r="D70" t="s">
        <v>1080</v>
      </c>
      <c r="E70" s="30" t="s">
        <v>19</v>
      </c>
      <c r="F70" s="30" t="s">
        <v>28</v>
      </c>
      <c r="G70" s="30"/>
      <c r="H70" s="30" t="s">
        <v>1442</v>
      </c>
      <c r="I70" s="31">
        <f t="shared" si="6"/>
        <v>28</v>
      </c>
      <c r="J70" s="147" t="s">
        <v>1713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1062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6"/>
        <v>28</v>
      </c>
      <c r="J71" s="147" t="s">
        <v>1714</v>
      </c>
      <c r="K71" s="31">
        <f t="shared" si="7"/>
        <v>0</v>
      </c>
      <c r="L71" s="32">
        <f t="shared" si="8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1062</v>
      </c>
      <c r="D72" t="s">
        <v>1082</v>
      </c>
      <c r="E72" s="30" t="s">
        <v>19</v>
      </c>
      <c r="F72" s="30" t="s">
        <v>28</v>
      </c>
      <c r="G72" s="30"/>
      <c r="H72" s="30" t="s">
        <v>1149</v>
      </c>
      <c r="I72" s="31">
        <f t="shared" si="6"/>
        <v>28</v>
      </c>
      <c r="J72" s="147" t="s">
        <v>1715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1062</v>
      </c>
      <c r="D73" t="s">
        <v>1083</v>
      </c>
      <c r="E73" s="30" t="s">
        <v>19</v>
      </c>
      <c r="F73" s="30" t="s">
        <v>28</v>
      </c>
      <c r="G73" s="30"/>
      <c r="H73" s="30" t="s">
        <v>1480</v>
      </c>
      <c r="I73" s="31">
        <f t="shared" si="6"/>
        <v>28</v>
      </c>
      <c r="J73" s="147" t="s">
        <v>1716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1062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6"/>
        <v>28</v>
      </c>
      <c r="J74" s="147" t="s">
        <v>1717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1062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6"/>
        <v>28</v>
      </c>
      <c r="J75" s="147" t="s">
        <v>1718</v>
      </c>
      <c r="K75" s="31">
        <f t="shared" si="7"/>
        <v>0</v>
      </c>
      <c r="L75" s="32">
        <f t="shared" si="8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119</v>
      </c>
      <c r="C76" t="s">
        <v>1062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6"/>
        <v>28</v>
      </c>
      <c r="J76" s="147" t="s">
        <v>1719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1062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6"/>
        <v>28</v>
      </c>
      <c r="J77" s="147" t="s">
        <v>1720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1062</v>
      </c>
      <c r="D78" t="s">
        <v>1084</v>
      </c>
      <c r="E78" s="30" t="s">
        <v>19</v>
      </c>
      <c r="F78" s="30" t="s">
        <v>28</v>
      </c>
      <c r="G78" s="30"/>
      <c r="H78" s="30" t="s">
        <v>648</v>
      </c>
      <c r="I78" s="31">
        <f t="shared" si="6"/>
        <v>28</v>
      </c>
      <c r="J78" s="147" t="s">
        <v>1721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1062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6"/>
        <v>28</v>
      </c>
      <c r="J79" s="147" t="s">
        <v>1722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1062</v>
      </c>
      <c r="D80" t="s">
        <v>1065</v>
      </c>
      <c r="E80" s="30" t="s">
        <v>19</v>
      </c>
      <c r="F80" s="30" t="s">
        <v>28</v>
      </c>
      <c r="G80" s="30"/>
      <c r="H80" s="30" t="s">
        <v>650</v>
      </c>
      <c r="I80" s="31">
        <f t="shared" si="6"/>
        <v>28</v>
      </c>
      <c r="J80" s="147" t="s">
        <v>1723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1062</v>
      </c>
      <c r="D81" t="s">
        <v>1066</v>
      </c>
      <c r="E81" s="30" t="s">
        <v>19</v>
      </c>
      <c r="F81" s="30" t="s">
        <v>28</v>
      </c>
      <c r="G81" s="30"/>
      <c r="H81" s="30" t="s">
        <v>651</v>
      </c>
      <c r="I81" s="31">
        <f t="shared" si="6"/>
        <v>28</v>
      </c>
      <c r="J81" s="147" t="s">
        <v>1724</v>
      </c>
      <c r="K81" s="31">
        <f t="shared" si="7"/>
        <v>0</v>
      </c>
      <c r="L81" s="32">
        <f t="shared" si="8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1062</v>
      </c>
      <c r="D82" t="s">
        <v>1067</v>
      </c>
      <c r="E82" s="30" t="s">
        <v>19</v>
      </c>
      <c r="F82" s="30" t="s">
        <v>28</v>
      </c>
      <c r="G82" s="30"/>
      <c r="H82" s="30" t="s">
        <v>652</v>
      </c>
      <c r="I82" s="31">
        <f t="shared" si="6"/>
        <v>28</v>
      </c>
      <c r="J82" s="147" t="s">
        <v>1725</v>
      </c>
      <c r="K82" s="31">
        <f t="shared" si="7"/>
        <v>0</v>
      </c>
      <c r="L82" s="32">
        <f t="shared" si="8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926</v>
      </c>
      <c r="C83" t="s">
        <v>1062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6"/>
        <v>28</v>
      </c>
      <c r="J83" s="147" t="s">
        <v>1726</v>
      </c>
      <c r="K83" s="31">
        <f t="shared" si="7"/>
        <v>0</v>
      </c>
      <c r="L83" s="32">
        <f t="shared" si="8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1062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6"/>
        <v>28</v>
      </c>
      <c r="J84" s="147" t="s">
        <v>1727</v>
      </c>
      <c r="K84" s="31">
        <f t="shared" si="7"/>
        <v>0</v>
      </c>
      <c r="L84" s="32">
        <f t="shared" si="8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1062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6"/>
        <v>28</v>
      </c>
      <c r="J85" s="147" t="s">
        <v>1728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1062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6"/>
        <v>28</v>
      </c>
      <c r="J86" s="147" t="s">
        <v>1729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1062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2" si="9">COUNTIF(M87:AN87,"")</f>
        <v>28</v>
      </c>
      <c r="J87" s="147" t="s">
        <v>1730</v>
      </c>
      <c r="K87" s="31">
        <f t="shared" ref="K87:K162" si="10">COUNTIF(M87:AN87,"APAGADO")</f>
        <v>0</v>
      </c>
      <c r="L87" s="32">
        <f t="shared" ref="L87:L162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1062</v>
      </c>
      <c r="D88" s="73" t="s">
        <v>1521</v>
      </c>
      <c r="E88" s="85" t="s">
        <v>19</v>
      </c>
      <c r="F88" s="85" t="s">
        <v>1301</v>
      </c>
      <c r="G88" s="85"/>
      <c r="H88" s="85" t="s">
        <v>658</v>
      </c>
      <c r="I88" s="142">
        <f t="shared" si="9"/>
        <v>28</v>
      </c>
      <c r="J88" s="147" t="s">
        <v>1731</v>
      </c>
      <c r="K88" s="142">
        <f t="shared" si="10"/>
        <v>0</v>
      </c>
      <c r="L88" s="143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89"/>
      <c r="AQ88" s="89"/>
    </row>
    <row r="89" spans="1:43" ht="15.75" thickBot="1" x14ac:dyDescent="0.3">
      <c r="A89" t="s">
        <v>52</v>
      </c>
      <c r="B89" t="s">
        <v>139</v>
      </c>
      <c r="C89" t="s">
        <v>1062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9"/>
        <v>28</v>
      </c>
      <c r="J89" s="147" t="s">
        <v>1732</v>
      </c>
      <c r="K89" s="31">
        <f t="shared" si="10"/>
        <v>0</v>
      </c>
      <c r="L89" s="32">
        <f t="shared" si="11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1062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9"/>
        <v>28</v>
      </c>
      <c r="J90" s="147" t="s">
        <v>1733</v>
      </c>
      <c r="K90" s="31">
        <f t="shared" si="10"/>
        <v>0</v>
      </c>
      <c r="L90" s="32">
        <f t="shared" si="11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1481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9"/>
        <v>28</v>
      </c>
      <c r="J91" s="147" t="s">
        <v>1734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1482</v>
      </c>
      <c r="C92" t="s">
        <v>1062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9"/>
        <v>28</v>
      </c>
      <c r="J92" s="147" t="s">
        <v>1735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1062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9"/>
        <v>28</v>
      </c>
      <c r="J93" s="147" t="s">
        <v>1736</v>
      </c>
      <c r="K93" s="31">
        <f t="shared" si="10"/>
        <v>0</v>
      </c>
      <c r="L93" s="32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1062</v>
      </c>
      <c r="D94" s="73" t="s">
        <v>146</v>
      </c>
      <c r="E94" s="85" t="s">
        <v>19</v>
      </c>
      <c r="F94" s="85" t="s">
        <v>1301</v>
      </c>
      <c r="G94" s="85"/>
      <c r="H94" s="85" t="s">
        <v>1425</v>
      </c>
      <c r="I94" s="142">
        <f t="shared" si="9"/>
        <v>28</v>
      </c>
      <c r="J94" s="147" t="s">
        <v>1737</v>
      </c>
      <c r="K94" s="142">
        <f t="shared" si="10"/>
        <v>0</v>
      </c>
      <c r="L94" s="143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ht="15.75" thickBot="1" x14ac:dyDescent="0.3">
      <c r="A95" t="s">
        <v>52</v>
      </c>
      <c r="B95" t="s">
        <v>147</v>
      </c>
      <c r="C95" t="s">
        <v>1062</v>
      </c>
      <c r="D95" t="s">
        <v>148</v>
      </c>
      <c r="E95" s="30" t="s">
        <v>19</v>
      </c>
      <c r="F95" s="30" t="s">
        <v>28</v>
      </c>
      <c r="G95" s="30"/>
      <c r="H95" s="30" t="s">
        <v>1462</v>
      </c>
      <c r="I95" s="31">
        <f t="shared" si="9"/>
        <v>28</v>
      </c>
      <c r="J95" s="150" t="s">
        <v>1738</v>
      </c>
      <c r="K95" s="31">
        <f t="shared" si="10"/>
        <v>0</v>
      </c>
      <c r="L95" s="32">
        <f t="shared" si="11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927</v>
      </c>
      <c r="C96" s="73" t="s">
        <v>1062</v>
      </c>
      <c r="D96" s="73" t="s">
        <v>149</v>
      </c>
      <c r="E96" s="85" t="s">
        <v>19</v>
      </c>
      <c r="F96" s="85" t="s">
        <v>1301</v>
      </c>
      <c r="G96" s="85"/>
      <c r="H96" s="85" t="s">
        <v>1362</v>
      </c>
      <c r="I96" s="142">
        <f t="shared" si="9"/>
        <v>28</v>
      </c>
      <c r="J96" s="147" t="s">
        <v>1739</v>
      </c>
      <c r="K96" s="142">
        <f t="shared" si="10"/>
        <v>0</v>
      </c>
      <c r="L96" s="143">
        <f t="shared" si="11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928</v>
      </c>
      <c r="C97" s="73" t="s">
        <v>1062</v>
      </c>
      <c r="D97" s="73" t="s">
        <v>45</v>
      </c>
      <c r="E97" s="85" t="s">
        <v>46</v>
      </c>
      <c r="F97" s="85" t="s">
        <v>1301</v>
      </c>
      <c r="G97" s="85"/>
      <c r="H97" s="85" t="s">
        <v>664</v>
      </c>
      <c r="I97" s="142">
        <f t="shared" si="9"/>
        <v>28</v>
      </c>
      <c r="J97" s="147" t="s">
        <v>1740</v>
      </c>
      <c r="K97" s="142">
        <f t="shared" si="10"/>
        <v>0</v>
      </c>
      <c r="L97" s="143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1062</v>
      </c>
      <c r="D98" s="73" t="s">
        <v>151</v>
      </c>
      <c r="E98" s="85" t="s">
        <v>15</v>
      </c>
      <c r="F98" s="85" t="s">
        <v>1301</v>
      </c>
      <c r="G98" s="85"/>
      <c r="H98" s="85" t="s">
        <v>1433</v>
      </c>
      <c r="I98" s="142">
        <f t="shared" si="9"/>
        <v>28</v>
      </c>
      <c r="J98" s="147" t="s">
        <v>1741</v>
      </c>
      <c r="K98" s="142">
        <f t="shared" si="10"/>
        <v>0</v>
      </c>
      <c r="L98" s="143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929</v>
      </c>
      <c r="C99" s="73" t="s">
        <v>1062</v>
      </c>
      <c r="D99" s="73" t="s">
        <v>47</v>
      </c>
      <c r="E99" s="85" t="s">
        <v>19</v>
      </c>
      <c r="F99" s="85" t="s">
        <v>1301</v>
      </c>
      <c r="G99" s="85"/>
      <c r="H99" s="85" t="s">
        <v>1369</v>
      </c>
      <c r="I99" s="142">
        <f t="shared" si="9"/>
        <v>28</v>
      </c>
      <c r="J99" s="147" t="s">
        <v>1742</v>
      </c>
      <c r="K99" s="142">
        <f t="shared" si="10"/>
        <v>0</v>
      </c>
      <c r="L99" s="143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1062</v>
      </c>
      <c r="D100" s="73" t="s">
        <v>49</v>
      </c>
      <c r="E100" s="85" t="s">
        <v>19</v>
      </c>
      <c r="F100" s="85" t="s">
        <v>1301</v>
      </c>
      <c r="G100" s="85"/>
      <c r="H100" s="85" t="s">
        <v>1356</v>
      </c>
      <c r="I100" s="142">
        <f t="shared" si="9"/>
        <v>28</v>
      </c>
      <c r="J100" s="147" t="s">
        <v>1743</v>
      </c>
      <c r="K100" s="142">
        <f t="shared" si="10"/>
        <v>0</v>
      </c>
      <c r="L100" s="143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1062</v>
      </c>
      <c r="D101" s="73" t="s">
        <v>51</v>
      </c>
      <c r="E101" s="85" t="s">
        <v>19</v>
      </c>
      <c r="F101" s="85" t="s">
        <v>1301</v>
      </c>
      <c r="G101" s="85"/>
      <c r="H101" s="85" t="s">
        <v>1410</v>
      </c>
      <c r="I101" s="142">
        <f t="shared" si="9"/>
        <v>28</v>
      </c>
      <c r="J101" s="147" t="s">
        <v>1744</v>
      </c>
      <c r="K101" s="142">
        <f t="shared" si="10"/>
        <v>0</v>
      </c>
      <c r="L101" s="143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1062</v>
      </c>
      <c r="D102" s="73" t="s">
        <v>54</v>
      </c>
      <c r="E102" s="85" t="s">
        <v>15</v>
      </c>
      <c r="F102" s="85" t="s">
        <v>1301</v>
      </c>
      <c r="G102" s="85"/>
      <c r="H102" s="85" t="s">
        <v>1426</v>
      </c>
      <c r="I102" s="142">
        <f t="shared" si="9"/>
        <v>28</v>
      </c>
      <c r="J102" s="147" t="s">
        <v>1745</v>
      </c>
      <c r="K102" s="142">
        <f t="shared" si="10"/>
        <v>0</v>
      </c>
      <c r="L102" s="143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1062</v>
      </c>
      <c r="D103" s="73" t="s">
        <v>56</v>
      </c>
      <c r="E103" s="85" t="s">
        <v>15</v>
      </c>
      <c r="F103" s="85" t="s">
        <v>1301</v>
      </c>
      <c r="G103" s="85"/>
      <c r="H103" s="85" t="s">
        <v>1365</v>
      </c>
      <c r="I103" s="142">
        <f t="shared" si="9"/>
        <v>28</v>
      </c>
      <c r="J103" s="147" t="s">
        <v>1746</v>
      </c>
      <c r="K103" s="142">
        <f t="shared" si="10"/>
        <v>0</v>
      </c>
      <c r="L103" s="143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57</v>
      </c>
      <c r="C104" t="s">
        <v>1062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9"/>
        <v>28</v>
      </c>
      <c r="J104" s="147" t="s">
        <v>1747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934</v>
      </c>
      <c r="C105" s="73" t="s">
        <v>1062</v>
      </c>
      <c r="D105" s="73" t="s">
        <v>59</v>
      </c>
      <c r="E105" s="85" t="s">
        <v>15</v>
      </c>
      <c r="F105" s="85" t="s">
        <v>1301</v>
      </c>
      <c r="G105" s="85"/>
      <c r="H105" s="85" t="s">
        <v>1376</v>
      </c>
      <c r="I105" s="142">
        <f t="shared" si="9"/>
        <v>28</v>
      </c>
      <c r="J105" s="147" t="s">
        <v>1748</v>
      </c>
      <c r="K105" s="142">
        <f t="shared" si="10"/>
        <v>0</v>
      </c>
      <c r="L105" s="143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89"/>
      <c r="AQ105" s="89"/>
    </row>
    <row r="106" spans="1:43" ht="15.75" thickBot="1" x14ac:dyDescent="0.3">
      <c r="A106" t="s">
        <v>52</v>
      </c>
      <c r="B106" t="s">
        <v>60</v>
      </c>
      <c r="C106" t="s">
        <v>1062</v>
      </c>
      <c r="D106" t="s">
        <v>61</v>
      </c>
      <c r="E106" s="30" t="s">
        <v>15</v>
      </c>
      <c r="F106" s="30" t="s">
        <v>1056</v>
      </c>
      <c r="G106" s="30" t="s">
        <v>45</v>
      </c>
      <c r="H106" s="30" t="s">
        <v>666</v>
      </c>
      <c r="I106" s="31">
        <f t="shared" si="9"/>
        <v>28</v>
      </c>
      <c r="J106" s="147" t="s">
        <v>1749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1062</v>
      </c>
      <c r="D107" s="73" t="s">
        <v>63</v>
      </c>
      <c r="E107" s="85" t="s">
        <v>15</v>
      </c>
      <c r="F107" s="85" t="s">
        <v>1301</v>
      </c>
      <c r="G107" s="85"/>
      <c r="H107" s="85" t="s">
        <v>1366</v>
      </c>
      <c r="I107" s="142">
        <f t="shared" si="9"/>
        <v>28</v>
      </c>
      <c r="J107" s="147" t="s">
        <v>1750</v>
      </c>
      <c r="K107" s="142">
        <f t="shared" si="10"/>
        <v>0</v>
      </c>
      <c r="L107" s="143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ht="15.75" thickBot="1" x14ac:dyDescent="0.3">
      <c r="A108" t="s">
        <v>52</v>
      </c>
      <c r="B108" t="s">
        <v>935</v>
      </c>
      <c r="C108" t="s">
        <v>1062</v>
      </c>
      <c r="D108" t="s">
        <v>1085</v>
      </c>
      <c r="E108" s="30" t="s">
        <v>15</v>
      </c>
      <c r="F108" s="30" t="s">
        <v>1056</v>
      </c>
      <c r="G108" s="30" t="s">
        <v>1253</v>
      </c>
      <c r="H108" s="30" t="s">
        <v>667</v>
      </c>
      <c r="I108" s="31">
        <f t="shared" si="9"/>
        <v>28</v>
      </c>
      <c r="J108" s="147" t="s">
        <v>1751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936</v>
      </c>
      <c r="C109" t="s">
        <v>1062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9"/>
        <v>28</v>
      </c>
      <c r="J109" s="147" t="s">
        <v>1752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1062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9"/>
        <v>28</v>
      </c>
      <c r="J110" s="147" t="s">
        <v>1753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930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1059</v>
      </c>
      <c r="I111" s="142">
        <f t="shared" si="9"/>
        <v>28</v>
      </c>
      <c r="J111" s="147" t="s">
        <v>1754</v>
      </c>
      <c r="K111" s="142">
        <f t="shared" si="10"/>
        <v>0</v>
      </c>
      <c r="L111" s="143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1062</v>
      </c>
      <c r="D112" s="73" t="s">
        <v>154</v>
      </c>
      <c r="E112" s="85" t="s">
        <v>46</v>
      </c>
      <c r="F112" s="85" t="s">
        <v>1301</v>
      </c>
      <c r="G112" s="85"/>
      <c r="H112" s="85" t="s">
        <v>670</v>
      </c>
      <c r="I112" s="142">
        <f t="shared" si="9"/>
        <v>28</v>
      </c>
      <c r="J112" s="147" t="s">
        <v>1754</v>
      </c>
      <c r="K112" s="142">
        <f t="shared" si="10"/>
        <v>0</v>
      </c>
      <c r="L112" s="143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674</v>
      </c>
      <c r="I113" s="142">
        <f t="shared" si="9"/>
        <v>28</v>
      </c>
      <c r="J113" s="147" t="s">
        <v>1756</v>
      </c>
      <c r="K113" s="142">
        <f t="shared" si="10"/>
        <v>0</v>
      </c>
      <c r="L113" s="143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1062</v>
      </c>
      <c r="D114" s="73" t="s">
        <v>157</v>
      </c>
      <c r="E114" s="85" t="s">
        <v>73</v>
      </c>
      <c r="F114" s="85" t="s">
        <v>1301</v>
      </c>
      <c r="G114" s="85"/>
      <c r="H114" s="85" t="s">
        <v>675</v>
      </c>
      <c r="I114" s="142">
        <f t="shared" si="9"/>
        <v>28</v>
      </c>
      <c r="J114" s="147" t="s">
        <v>1755</v>
      </c>
      <c r="K114" s="142">
        <f t="shared" si="10"/>
        <v>0</v>
      </c>
      <c r="L114" s="143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5.75" thickBot="1" x14ac:dyDescent="0.3">
      <c r="A115" t="s">
        <v>52</v>
      </c>
      <c r="B115" t="s">
        <v>159</v>
      </c>
      <c r="C115" t="s">
        <v>1062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9"/>
        <v>28</v>
      </c>
      <c r="J115" s="147" t="s">
        <v>1757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1062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9"/>
        <v>28</v>
      </c>
      <c r="J116" s="147" t="s">
        <v>1758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1062</v>
      </c>
      <c r="D117" s="73" t="s">
        <v>68</v>
      </c>
      <c r="E117" s="85" t="s">
        <v>19</v>
      </c>
      <c r="F117" s="85" t="s">
        <v>1301</v>
      </c>
      <c r="G117" s="85"/>
      <c r="H117" s="85" t="s">
        <v>678</v>
      </c>
      <c r="I117" s="142">
        <f t="shared" si="9"/>
        <v>28</v>
      </c>
      <c r="J117" s="147" t="s">
        <v>1759</v>
      </c>
      <c r="K117" s="142">
        <f t="shared" si="10"/>
        <v>0</v>
      </c>
      <c r="L117" s="143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3.9" customHeight="1" thickBot="1" x14ac:dyDescent="0.3">
      <c r="A118" t="s">
        <v>52</v>
      </c>
      <c r="B118" t="s">
        <v>69</v>
      </c>
      <c r="C118" t="s">
        <v>1062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9"/>
        <v>28</v>
      </c>
      <c r="J118" s="147" t="s">
        <v>1760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1062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9"/>
        <v>28</v>
      </c>
      <c r="J119" s="147" t="s">
        <v>1761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1062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9"/>
        <v>28</v>
      </c>
      <c r="J120" s="147" t="s">
        <v>1762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931</v>
      </c>
      <c r="C121" s="73" t="s">
        <v>1062</v>
      </c>
      <c r="D121" s="73" t="s">
        <v>932</v>
      </c>
      <c r="E121" s="85" t="s">
        <v>19</v>
      </c>
      <c r="F121" s="85" t="s">
        <v>1301</v>
      </c>
      <c r="G121" s="85"/>
      <c r="H121" s="85" t="s">
        <v>1214</v>
      </c>
      <c r="I121" s="142">
        <f t="shared" si="9"/>
        <v>28</v>
      </c>
      <c r="J121" s="147" t="s">
        <v>1763</v>
      </c>
      <c r="K121" s="142">
        <f t="shared" si="10"/>
        <v>0</v>
      </c>
      <c r="L121" s="143">
        <f t="shared" si="11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89"/>
      <c r="AQ121" s="89"/>
    </row>
    <row r="122" spans="1:43" ht="15.75" thickBot="1" x14ac:dyDescent="0.3">
      <c r="A122" t="s">
        <v>52</v>
      </c>
      <c r="B122" t="s">
        <v>933</v>
      </c>
      <c r="C122" t="s">
        <v>1062</v>
      </c>
      <c r="D122" t="s">
        <v>1078</v>
      </c>
      <c r="E122" s="30" t="s">
        <v>73</v>
      </c>
      <c r="F122" s="30" t="s">
        <v>28</v>
      </c>
      <c r="G122" s="30"/>
      <c r="H122" s="30" t="s">
        <v>1496</v>
      </c>
      <c r="I122" s="31">
        <f t="shared" si="9"/>
        <v>28</v>
      </c>
      <c r="J122" s="147" t="s">
        <v>1764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1109</v>
      </c>
      <c r="C123" t="s">
        <v>1062</v>
      </c>
      <c r="D123" t="s">
        <v>1108</v>
      </c>
      <c r="E123" s="30" t="s">
        <v>73</v>
      </c>
      <c r="F123" s="30" t="s">
        <v>28</v>
      </c>
      <c r="G123" s="30"/>
      <c r="H123" s="30" t="s">
        <v>1110</v>
      </c>
      <c r="I123" s="31">
        <f t="shared" si="9"/>
        <v>28</v>
      </c>
      <c r="J123" s="147" t="s">
        <v>1765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1118</v>
      </c>
      <c r="C124" s="30" t="s">
        <v>1062</v>
      </c>
      <c r="D124" t="s">
        <v>122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9"/>
        <v>28</v>
      </c>
      <c r="J124" s="147" t="s">
        <v>1766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1111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9"/>
        <v>28</v>
      </c>
      <c r="J125" s="147" t="s">
        <v>1767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1112</v>
      </c>
      <c r="C126" s="30" t="s">
        <v>1062</v>
      </c>
      <c r="D126" t="s">
        <v>1113</v>
      </c>
      <c r="E126" s="30" t="s">
        <v>73</v>
      </c>
      <c r="F126" s="30" t="s">
        <v>28</v>
      </c>
      <c r="G126" s="30"/>
      <c r="H126" s="30" t="s">
        <v>1121</v>
      </c>
      <c r="I126" s="31">
        <f t="shared" si="9"/>
        <v>28</v>
      </c>
      <c r="J126" s="147" t="s">
        <v>1768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1182</v>
      </c>
      <c r="C127" s="30" t="s">
        <v>1062</v>
      </c>
      <c r="D127" t="s">
        <v>93</v>
      </c>
      <c r="E127" s="30" t="s">
        <v>73</v>
      </c>
      <c r="F127" s="30" t="s">
        <v>28</v>
      </c>
      <c r="G127" s="30"/>
      <c r="H127" s="30" t="s">
        <v>1183</v>
      </c>
      <c r="I127" s="31">
        <f t="shared" si="9"/>
        <v>28</v>
      </c>
      <c r="J127" s="147" t="s">
        <v>1769</v>
      </c>
      <c r="K127" s="31">
        <f t="shared" si="10"/>
        <v>0</v>
      </c>
      <c r="L127" s="32">
        <f t="shared" si="11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52</v>
      </c>
      <c r="B128" s="85" t="s">
        <v>1198</v>
      </c>
      <c r="C128" s="85" t="s">
        <v>1062</v>
      </c>
      <c r="D128" s="73" t="s">
        <v>1199</v>
      </c>
      <c r="E128" s="85" t="s">
        <v>19</v>
      </c>
      <c r="F128" s="85" t="s">
        <v>1301</v>
      </c>
      <c r="G128" s="85"/>
      <c r="H128" s="85" t="s">
        <v>1200</v>
      </c>
      <c r="I128" s="142">
        <f t="shared" si="9"/>
        <v>28</v>
      </c>
      <c r="J128" s="148" t="s">
        <v>1770</v>
      </c>
      <c r="K128" s="142">
        <f t="shared" si="10"/>
        <v>0</v>
      </c>
      <c r="L128" s="143">
        <f t="shared" si="11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85" t="s">
        <v>1195</v>
      </c>
      <c r="C129" s="85" t="s">
        <v>1062</v>
      </c>
      <c r="D129" s="73" t="s">
        <v>1196</v>
      </c>
      <c r="E129" s="85" t="s">
        <v>19</v>
      </c>
      <c r="F129" s="85" t="s">
        <v>1301</v>
      </c>
      <c r="G129" s="85"/>
      <c r="H129" s="85" t="s">
        <v>1197</v>
      </c>
      <c r="I129" s="142">
        <f t="shared" si="9"/>
        <v>28</v>
      </c>
      <c r="J129" s="147" t="s">
        <v>1771</v>
      </c>
      <c r="K129" s="142">
        <f t="shared" si="10"/>
        <v>0</v>
      </c>
      <c r="L129" s="143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73" t="s">
        <v>1223</v>
      </c>
      <c r="C130" s="85" t="s">
        <v>1062</v>
      </c>
      <c r="D130" s="73" t="s">
        <v>1224</v>
      </c>
      <c r="E130" s="73" t="s">
        <v>73</v>
      </c>
      <c r="F130" s="73" t="s">
        <v>1301</v>
      </c>
      <c r="H130" s="85" t="s">
        <v>1311</v>
      </c>
      <c r="I130" s="142">
        <f t="shared" si="9"/>
        <v>28</v>
      </c>
      <c r="J130" s="147" t="s">
        <v>1772</v>
      </c>
      <c r="K130" s="142">
        <f t="shared" si="10"/>
        <v>0</v>
      </c>
      <c r="L130" s="143">
        <f t="shared" si="11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ht="15.75" thickBot="1" x14ac:dyDescent="0.3">
      <c r="A131" s="69" t="s">
        <v>52</v>
      </c>
      <c r="B131" t="s">
        <v>1225</v>
      </c>
      <c r="C131" s="30" t="s">
        <v>1062</v>
      </c>
      <c r="D131" t="s">
        <v>1226</v>
      </c>
      <c r="E131" t="s">
        <v>73</v>
      </c>
      <c r="F131" t="s">
        <v>28</v>
      </c>
      <c r="G131"/>
      <c r="H131" s="30" t="s">
        <v>1322</v>
      </c>
      <c r="I131" s="31">
        <f t="shared" si="9"/>
        <v>28</v>
      </c>
      <c r="J131" s="147" t="s">
        <v>1773</v>
      </c>
      <c r="K131" s="31">
        <f t="shared" si="10"/>
        <v>0</v>
      </c>
      <c r="L131" s="32">
        <f t="shared" si="11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52</v>
      </c>
      <c r="B132" s="30" t="s">
        <v>1299</v>
      </c>
      <c r="C132" s="30" t="s">
        <v>1062</v>
      </c>
      <c r="D132" t="s">
        <v>88</v>
      </c>
      <c r="E132" s="30" t="s">
        <v>73</v>
      </c>
      <c r="F132" s="30" t="s">
        <v>28</v>
      </c>
      <c r="G132" s="30"/>
      <c r="H132" s="30" t="s">
        <v>1298</v>
      </c>
      <c r="I132" s="31">
        <f t="shared" si="9"/>
        <v>28</v>
      </c>
      <c r="J132" s="147" t="s">
        <v>1774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1324</v>
      </c>
      <c r="C133" s="85" t="s">
        <v>1062</v>
      </c>
      <c r="D133" s="73" t="s">
        <v>1325</v>
      </c>
      <c r="E133" s="85" t="s">
        <v>19</v>
      </c>
      <c r="F133" s="85" t="s">
        <v>1301</v>
      </c>
      <c r="G133" s="85"/>
      <c r="H133" s="85" t="s">
        <v>1326</v>
      </c>
      <c r="I133" s="142">
        <f t="shared" si="9"/>
        <v>28</v>
      </c>
      <c r="J133" s="147" t="s">
        <v>1775</v>
      </c>
      <c r="K133" s="142">
        <f t="shared" si="10"/>
        <v>0</v>
      </c>
      <c r="L133" s="143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5.75" thickBot="1" x14ac:dyDescent="0.3">
      <c r="A134" s="73" t="s">
        <v>52</v>
      </c>
      <c r="B134" s="85" t="s">
        <v>1417</v>
      </c>
      <c r="C134" s="85" t="s">
        <v>1062</v>
      </c>
      <c r="D134" s="73" t="s">
        <v>1531</v>
      </c>
      <c r="E134" s="85" t="s">
        <v>19</v>
      </c>
      <c r="F134" s="85" t="s">
        <v>1301</v>
      </c>
      <c r="G134" s="85"/>
      <c r="H134" s="85" t="s">
        <v>1418</v>
      </c>
      <c r="I134" s="142">
        <f t="shared" si="9"/>
        <v>28</v>
      </c>
      <c r="J134" s="147" t="s">
        <v>1776</v>
      </c>
      <c r="K134" s="142">
        <f t="shared" si="10"/>
        <v>0</v>
      </c>
      <c r="L134" s="143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s="73" customFormat="1" ht="18.75" customHeight="1" thickBot="1" x14ac:dyDescent="0.3">
      <c r="A135" s="73" t="s">
        <v>52</v>
      </c>
      <c r="B135" s="85" t="s">
        <v>1508</v>
      </c>
      <c r="C135" s="85" t="s">
        <v>1062</v>
      </c>
      <c r="D135" s="73" t="s">
        <v>1509</v>
      </c>
      <c r="E135" s="85" t="s">
        <v>19</v>
      </c>
      <c r="F135" s="85" t="s">
        <v>1301</v>
      </c>
      <c r="G135" s="85"/>
      <c r="H135" s="85" t="s">
        <v>1513</v>
      </c>
      <c r="I135" s="142">
        <f t="shared" si="9"/>
        <v>28</v>
      </c>
      <c r="J135" s="147" t="s">
        <v>1777</v>
      </c>
      <c r="K135" s="142">
        <f t="shared" si="10"/>
        <v>0</v>
      </c>
      <c r="L135" s="143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1487</v>
      </c>
      <c r="C136" s="30" t="s">
        <v>1062</v>
      </c>
      <c r="D136" t="s">
        <v>1486</v>
      </c>
      <c r="E136" s="85" t="s">
        <v>73</v>
      </c>
      <c r="F136" s="85" t="s">
        <v>28</v>
      </c>
      <c r="G136" s="85"/>
      <c r="H136" s="85" t="s">
        <v>1488</v>
      </c>
      <c r="I136" s="142">
        <f t="shared" si="9"/>
        <v>28</v>
      </c>
      <c r="J136" s="147" t="s">
        <v>1778</v>
      </c>
      <c r="K136" s="142">
        <f t="shared" si="10"/>
        <v>0</v>
      </c>
      <c r="L136" s="143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1490</v>
      </c>
      <c r="C137" s="30" t="s">
        <v>1062</v>
      </c>
      <c r="D137" t="s">
        <v>1489</v>
      </c>
      <c r="E137" s="85" t="s">
        <v>19</v>
      </c>
      <c r="F137" s="85" t="s">
        <v>28</v>
      </c>
      <c r="G137" s="85"/>
      <c r="H137" s="85" t="s">
        <v>1491</v>
      </c>
      <c r="I137" s="142">
        <f t="shared" si="9"/>
        <v>28</v>
      </c>
      <c r="J137" s="147" t="s">
        <v>1779</v>
      </c>
      <c r="K137" s="142">
        <f t="shared" si="10"/>
        <v>0</v>
      </c>
      <c r="L137" s="143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1522</v>
      </c>
      <c r="C138" s="85" t="s">
        <v>1062</v>
      </c>
      <c r="D138" s="73" t="s">
        <v>1523</v>
      </c>
      <c r="E138" s="85" t="s">
        <v>19</v>
      </c>
      <c r="F138" s="85" t="s">
        <v>1301</v>
      </c>
      <c r="G138" s="85"/>
      <c r="H138" s="85" t="s">
        <v>1524</v>
      </c>
      <c r="I138" s="142">
        <f t="shared" si="9"/>
        <v>28</v>
      </c>
      <c r="J138" s="147" t="s">
        <v>1780</v>
      </c>
      <c r="K138" s="142">
        <f t="shared" si="10"/>
        <v>0</v>
      </c>
      <c r="L138" s="143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52</v>
      </c>
      <c r="B139" s="30" t="s">
        <v>1525</v>
      </c>
      <c r="C139" s="30" t="s">
        <v>1062</v>
      </c>
      <c r="D139" t="s">
        <v>1526</v>
      </c>
      <c r="E139" s="85" t="s">
        <v>19</v>
      </c>
      <c r="F139" s="85" t="s">
        <v>28</v>
      </c>
      <c r="G139" s="85"/>
      <c r="H139" s="85" t="s">
        <v>1527</v>
      </c>
      <c r="I139" s="142">
        <f t="shared" si="9"/>
        <v>28</v>
      </c>
      <c r="J139" s="147" t="s">
        <v>1781</v>
      </c>
      <c r="K139" s="142">
        <f t="shared" si="10"/>
        <v>0</v>
      </c>
      <c r="L139" s="143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1652</v>
      </c>
      <c r="C140" s="30" t="s">
        <v>1062</v>
      </c>
      <c r="D140" t="s">
        <v>1653</v>
      </c>
      <c r="E140" s="85" t="s">
        <v>19</v>
      </c>
      <c r="F140" s="85" t="s">
        <v>28</v>
      </c>
      <c r="G140" s="85"/>
      <c r="H140" s="85" t="s">
        <v>2125</v>
      </c>
      <c r="I140" s="142">
        <f t="shared" si="9"/>
        <v>28</v>
      </c>
      <c r="J140" s="87" t="s">
        <v>2193</v>
      </c>
      <c r="K140" s="142">
        <f t="shared" si="10"/>
        <v>0</v>
      </c>
      <c r="L140" s="143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1566</v>
      </c>
      <c r="C141" s="85" t="s">
        <v>1062</v>
      </c>
      <c r="D141" s="73" t="s">
        <v>1568</v>
      </c>
      <c r="E141" s="85" t="s">
        <v>19</v>
      </c>
      <c r="F141" s="85" t="s">
        <v>1301</v>
      </c>
      <c r="G141" s="85"/>
      <c r="H141" s="85" t="s">
        <v>1570</v>
      </c>
      <c r="I141" s="142">
        <f t="shared" si="9"/>
        <v>28</v>
      </c>
      <c r="J141" s="147" t="s">
        <v>1782</v>
      </c>
      <c r="K141" s="142">
        <f t="shared" si="10"/>
        <v>0</v>
      </c>
      <c r="L141" s="143">
        <f t="shared" si="11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1567</v>
      </c>
      <c r="C142" s="85" t="s">
        <v>1062</v>
      </c>
      <c r="D142" s="73" t="s">
        <v>1569</v>
      </c>
      <c r="E142" s="85" t="s">
        <v>19</v>
      </c>
      <c r="F142" s="85" t="s">
        <v>1301</v>
      </c>
      <c r="G142" s="85"/>
      <c r="H142" s="85" t="s">
        <v>1571</v>
      </c>
      <c r="I142" s="142">
        <f t="shared" si="9"/>
        <v>28</v>
      </c>
      <c r="J142" s="147" t="s">
        <v>1783</v>
      </c>
      <c r="K142" s="142">
        <f t="shared" si="10"/>
        <v>0</v>
      </c>
      <c r="L142" s="143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2132</v>
      </c>
      <c r="C143" s="85" t="s">
        <v>1062</v>
      </c>
      <c r="D143" s="73" t="s">
        <v>2133</v>
      </c>
      <c r="E143" s="85" t="s">
        <v>19</v>
      </c>
      <c r="F143" s="85" t="s">
        <v>1301</v>
      </c>
      <c r="G143" s="85"/>
      <c r="H143" s="85" t="s">
        <v>2194</v>
      </c>
      <c r="I143" s="142">
        <f t="shared" si="9"/>
        <v>28</v>
      </c>
      <c r="J143" s="147" t="s">
        <v>2195</v>
      </c>
      <c r="K143" s="142">
        <f t="shared" si="10"/>
        <v>0</v>
      </c>
      <c r="L143" s="143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2222</v>
      </c>
      <c r="C144" s="85" t="s">
        <v>1062</v>
      </c>
      <c r="D144" s="73" t="s">
        <v>2223</v>
      </c>
      <c r="E144" s="85" t="s">
        <v>19</v>
      </c>
      <c r="F144" s="85" t="s">
        <v>1301</v>
      </c>
      <c r="G144" s="85"/>
      <c r="H144" s="85" t="s">
        <v>2224</v>
      </c>
      <c r="I144" s="142">
        <f t="shared" si="9"/>
        <v>28</v>
      </c>
      <c r="J144" s="147" t="s">
        <v>2225</v>
      </c>
      <c r="K144" s="142">
        <f t="shared" si="10"/>
        <v>0</v>
      </c>
      <c r="L144" s="143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9"/>
        <v>28</v>
      </c>
      <c r="J145" s="147" t="s">
        <v>1784</v>
      </c>
      <c r="K145" s="31">
        <f t="shared" si="10"/>
        <v>0</v>
      </c>
      <c r="L145" s="3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9"/>
        <v>28</v>
      </c>
      <c r="J146" s="87"/>
      <c r="K146" s="31">
        <f t="shared" si="10"/>
        <v>0</v>
      </c>
      <c r="L146" s="32">
        <f t="shared" si="11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9"/>
        <v>28</v>
      </c>
      <c r="J147" s="147" t="s">
        <v>1785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9"/>
        <v>28</v>
      </c>
      <c r="J148" s="147" t="s">
        <v>1786</v>
      </c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9"/>
        <v>28</v>
      </c>
      <c r="J149" s="147" t="s">
        <v>1787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9"/>
        <v>28</v>
      </c>
      <c r="J150" s="147" t="s">
        <v>1788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9"/>
        <v>28</v>
      </c>
      <c r="J151" s="87"/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9"/>
        <v>28</v>
      </c>
      <c r="J152" s="147" t="s">
        <v>1789</v>
      </c>
      <c r="K152" s="31">
        <f t="shared" si="10"/>
        <v>0</v>
      </c>
      <c r="L152" s="32">
        <f t="shared" si="11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9"/>
        <v>28</v>
      </c>
      <c r="J153" s="87"/>
      <c r="K153" s="87">
        <f t="shared" si="10"/>
        <v>0</v>
      </c>
      <c r="L153" s="141">
        <f t="shared" si="11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9"/>
        <v>28</v>
      </c>
      <c r="J154" s="147" t="s">
        <v>1790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9"/>
        <v>28</v>
      </c>
      <c r="J155" s="147" t="s">
        <v>1791</v>
      </c>
      <c r="K155" s="31">
        <f t="shared" si="10"/>
        <v>0</v>
      </c>
      <c r="L155" s="32">
        <f t="shared" si="11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9"/>
        <v>28</v>
      </c>
      <c r="J156" s="87"/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9"/>
        <v>28</v>
      </c>
      <c r="J157" s="87"/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9"/>
        <v>28</v>
      </c>
      <c r="J158" s="147" t="s">
        <v>1792</v>
      </c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9"/>
        <v>28</v>
      </c>
      <c r="J159" s="147" t="s">
        <v>1793</v>
      </c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9"/>
        <v>28</v>
      </c>
      <c r="J160" s="147" t="s">
        <v>1794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9"/>
        <v>28</v>
      </c>
      <c r="J161" s="147"/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9"/>
        <v>28</v>
      </c>
      <c r="J162" s="147" t="s">
        <v>1795</v>
      </c>
      <c r="K162" s="142">
        <f t="shared" si="10"/>
        <v>0</v>
      </c>
      <c r="L162" s="143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7" si="12">COUNTIF(M163:AN163,"")</f>
        <v>28</v>
      </c>
      <c r="J163" s="147" t="s">
        <v>1796</v>
      </c>
      <c r="K163" s="142">
        <f t="shared" ref="K163:K237" si="13">COUNTIF(M163:AN163,"APAGADO")</f>
        <v>0</v>
      </c>
      <c r="L163" s="143">
        <f t="shared" ref="L163:L237" si="14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2"/>
        <v>28</v>
      </c>
      <c r="J164" s="147" t="s">
        <v>1797</v>
      </c>
      <c r="K164" s="31">
        <f t="shared" si="13"/>
        <v>0</v>
      </c>
      <c r="L164" s="32">
        <f t="shared" si="14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2"/>
        <v>28</v>
      </c>
      <c r="J165" s="147" t="s">
        <v>1798</v>
      </c>
      <c r="K165" s="31">
        <f t="shared" si="13"/>
        <v>0</v>
      </c>
      <c r="L165" s="32">
        <f t="shared" si="14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2"/>
        <v>28</v>
      </c>
      <c r="J166" s="147" t="s">
        <v>1799</v>
      </c>
      <c r="K166" s="31">
        <f t="shared" si="13"/>
        <v>0</v>
      </c>
      <c r="L166" s="3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2"/>
        <v>28</v>
      </c>
      <c r="J167" s="147" t="s">
        <v>1800</v>
      </c>
      <c r="K167" s="31">
        <f t="shared" si="13"/>
        <v>0</v>
      </c>
      <c r="L167" s="32">
        <f t="shared" si="14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2"/>
        <v>28</v>
      </c>
      <c r="J168" s="147" t="s">
        <v>1801</v>
      </c>
      <c r="K168" s="31">
        <f t="shared" si="13"/>
        <v>0</v>
      </c>
      <c r="L168" s="32">
        <f t="shared" si="14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2"/>
        <v>28</v>
      </c>
      <c r="J169" s="147" t="s">
        <v>1802</v>
      </c>
      <c r="K169" s="31">
        <f t="shared" si="13"/>
        <v>0</v>
      </c>
      <c r="L169" s="32">
        <f t="shared" si="14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2"/>
        <v>28</v>
      </c>
      <c r="J170" s="147" t="s">
        <v>1803</v>
      </c>
      <c r="K170" s="31">
        <f t="shared" si="13"/>
        <v>0</v>
      </c>
      <c r="L170" s="32">
        <f t="shared" si="14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2"/>
        <v>28</v>
      </c>
      <c r="J171" s="147" t="s">
        <v>1804</v>
      </c>
      <c r="K171" s="31">
        <f t="shared" si="13"/>
        <v>0</v>
      </c>
      <c r="L171" s="32">
        <f t="shared" si="14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2"/>
        <v>28</v>
      </c>
      <c r="J172" s="147" t="s">
        <v>1805</v>
      </c>
      <c r="K172" s="31">
        <f t="shared" si="13"/>
        <v>0</v>
      </c>
      <c r="L172" s="32">
        <f t="shared" si="14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2"/>
        <v>28</v>
      </c>
      <c r="J173" s="147" t="s">
        <v>1806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2"/>
        <v>28</v>
      </c>
      <c r="J174" s="147" t="s">
        <v>1807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2"/>
        <v>28</v>
      </c>
      <c r="J175" s="147" t="s">
        <v>1808</v>
      </c>
      <c r="K175" s="142">
        <f t="shared" si="13"/>
        <v>0</v>
      </c>
      <c r="L175" s="143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2"/>
        <v>28</v>
      </c>
      <c r="J176" s="147" t="s">
        <v>1809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2"/>
        <v>28</v>
      </c>
      <c r="J177" s="87"/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2"/>
        <v>28</v>
      </c>
      <c r="J178" s="147" t="s">
        <v>1810</v>
      </c>
      <c r="K178" s="31">
        <f t="shared" si="13"/>
        <v>0</v>
      </c>
      <c r="L178" s="32">
        <f t="shared" si="14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2"/>
        <v>28</v>
      </c>
      <c r="J179" s="147" t="s">
        <v>1811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2"/>
        <v>28</v>
      </c>
      <c r="J180" s="147" t="s">
        <v>1812</v>
      </c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2"/>
        <v>28</v>
      </c>
      <c r="J181" s="147" t="s">
        <v>1813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2"/>
        <v>28</v>
      </c>
      <c r="J182" s="147" t="s">
        <v>1814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2"/>
        <v>28</v>
      </c>
      <c r="J183" s="147" t="s">
        <v>1815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2"/>
        <v>28</v>
      </c>
      <c r="J184" s="147" t="s">
        <v>1816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2"/>
        <v>28</v>
      </c>
      <c r="J185" s="147" t="s">
        <v>1817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2"/>
        <v>28</v>
      </c>
      <c r="J186" s="87"/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2"/>
        <v>28</v>
      </c>
      <c r="J187" s="147" t="s">
        <v>1818</v>
      </c>
      <c r="K187" s="31">
        <f t="shared" si="13"/>
        <v>0</v>
      </c>
      <c r="L187" s="32">
        <f t="shared" si="14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2"/>
        <v>28</v>
      </c>
      <c r="J188" s="147" t="s">
        <v>2173</v>
      </c>
      <c r="K188" s="31">
        <f t="shared" si="13"/>
        <v>0</v>
      </c>
      <c r="L188" s="32">
        <f t="shared" si="14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2"/>
        <v>28</v>
      </c>
      <c r="J189" s="147" t="s">
        <v>2173</v>
      </c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2"/>
        <v>28</v>
      </c>
      <c r="J190" s="147" t="s">
        <v>1819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2"/>
        <v>28</v>
      </c>
      <c r="J191" s="147" t="s">
        <v>1820</v>
      </c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2"/>
        <v>28</v>
      </c>
      <c r="J192" s="147" t="s">
        <v>1821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2"/>
        <v>28</v>
      </c>
      <c r="J193" s="87"/>
      <c r="K193" s="138">
        <f t="shared" si="13"/>
        <v>0</v>
      </c>
      <c r="L193" s="139">
        <f t="shared" si="14"/>
        <v>1</v>
      </c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2"/>
        <v>28</v>
      </c>
      <c r="J194" s="147" t="s">
        <v>1822</v>
      </c>
      <c r="K194" s="142">
        <f t="shared" si="13"/>
        <v>0</v>
      </c>
      <c r="L194" s="143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2"/>
        <v>28</v>
      </c>
      <c r="J195" s="147" t="s">
        <v>1823</v>
      </c>
      <c r="K195" s="142">
        <f t="shared" si="13"/>
        <v>0</v>
      </c>
      <c r="L195" s="143">
        <f t="shared" si="14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2"/>
        <v>28</v>
      </c>
      <c r="J196" s="147" t="s">
        <v>1824</v>
      </c>
      <c r="K196" s="31">
        <f t="shared" si="13"/>
        <v>0</v>
      </c>
      <c r="L196" s="32">
        <f t="shared" si="14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2"/>
        <v>28</v>
      </c>
      <c r="J197" s="147" t="s">
        <v>1825</v>
      </c>
      <c r="K197" s="31">
        <f t="shared" si="13"/>
        <v>0</v>
      </c>
      <c r="L197" s="32">
        <f t="shared" si="14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2"/>
        <v>28</v>
      </c>
      <c r="J198" s="147" t="s">
        <v>1826</v>
      </c>
      <c r="K198" s="31">
        <f t="shared" si="13"/>
        <v>0</v>
      </c>
      <c r="L198" s="32">
        <f t="shared" si="14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2"/>
        <v>28</v>
      </c>
      <c r="J199" s="87"/>
      <c r="K199" s="31">
        <f t="shared" si="13"/>
        <v>0</v>
      </c>
      <c r="L199" s="32">
        <f t="shared" si="14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2"/>
        <v>28</v>
      </c>
      <c r="J200" s="147" t="s">
        <v>1827</v>
      </c>
      <c r="K200" s="142">
        <f t="shared" si="13"/>
        <v>0</v>
      </c>
      <c r="L200" s="143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2"/>
        <v>28</v>
      </c>
      <c r="J201" s="147" t="s">
        <v>1828</v>
      </c>
      <c r="K201" s="31">
        <f t="shared" si="13"/>
        <v>0</v>
      </c>
      <c r="L201" s="32">
        <f t="shared" si="14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2"/>
        <v>28</v>
      </c>
      <c r="J202" s="147" t="s">
        <v>1829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2"/>
        <v>28</v>
      </c>
      <c r="J203" s="147" t="s">
        <v>1830</v>
      </c>
      <c r="K203" s="142">
        <f t="shared" si="13"/>
        <v>0</v>
      </c>
      <c r="L203" s="143">
        <f t="shared" si="14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2"/>
        <v>28</v>
      </c>
      <c r="J204" s="147" t="s">
        <v>1831</v>
      </c>
      <c r="K204" s="31">
        <f t="shared" si="13"/>
        <v>0</v>
      </c>
      <c r="L204" s="3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2"/>
        <v>28</v>
      </c>
      <c r="J205" s="147" t="s">
        <v>1832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2"/>
        <v>28</v>
      </c>
      <c r="J206" s="147" t="s">
        <v>1833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2"/>
        <v>28</v>
      </c>
      <c r="J207" s="147" t="s">
        <v>1834</v>
      </c>
      <c r="K207" s="31">
        <f t="shared" si="13"/>
        <v>0</v>
      </c>
      <c r="L207" s="3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2"/>
        <v>28</v>
      </c>
      <c r="J208" s="147" t="s">
        <v>1835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2"/>
        <v>28</v>
      </c>
      <c r="J209" s="147" t="s">
        <v>1836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2"/>
        <v>28</v>
      </c>
      <c r="J210" s="147" t="s">
        <v>1693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2"/>
        <v>28</v>
      </c>
      <c r="J211" s="147" t="s">
        <v>1837</v>
      </c>
      <c r="K211" s="142">
        <f t="shared" si="13"/>
        <v>0</v>
      </c>
      <c r="L211" s="143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2"/>
        <v>28</v>
      </c>
      <c r="J212" s="147" t="s">
        <v>1838</v>
      </c>
      <c r="K212" s="142">
        <f t="shared" si="13"/>
        <v>0</v>
      </c>
      <c r="L212" s="143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2"/>
        <v>28</v>
      </c>
      <c r="J213" s="147" t="s">
        <v>2210</v>
      </c>
      <c r="K213" s="142">
        <f t="shared" si="13"/>
        <v>0</v>
      </c>
      <c r="L213" s="143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2"/>
        <v>28</v>
      </c>
      <c r="J214" s="147" t="s">
        <v>1839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2"/>
        <v>28</v>
      </c>
      <c r="J215" s="147" t="s">
        <v>1840</v>
      </c>
      <c r="K215" s="142">
        <f t="shared" si="13"/>
        <v>0</v>
      </c>
      <c r="L215" s="143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2"/>
        <v>28</v>
      </c>
      <c r="J216" s="147" t="s">
        <v>1841</v>
      </c>
      <c r="K216" s="142">
        <f t="shared" si="13"/>
        <v>0</v>
      </c>
      <c r="L216" s="143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2"/>
        <v>28</v>
      </c>
      <c r="J217" s="147" t="s">
        <v>1842</v>
      </c>
      <c r="K217" s="142">
        <f t="shared" si="13"/>
        <v>0</v>
      </c>
      <c r="L217" s="143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199</v>
      </c>
      <c r="B218" t="s">
        <v>1184</v>
      </c>
      <c r="C218" t="s">
        <v>1063</v>
      </c>
      <c r="D218" t="s">
        <v>1185</v>
      </c>
      <c r="E218" s="30" t="s">
        <v>73</v>
      </c>
      <c r="F218" s="30" t="s">
        <v>16</v>
      </c>
      <c r="G218" s="30"/>
      <c r="H218" s="30" t="s">
        <v>1270</v>
      </c>
      <c r="I218" s="31">
        <f t="shared" si="12"/>
        <v>28</v>
      </c>
      <c r="J218" s="87"/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1186</v>
      </c>
      <c r="C219" t="s">
        <v>1063</v>
      </c>
      <c r="D219" t="s">
        <v>1187</v>
      </c>
      <c r="E219" s="30" t="s">
        <v>73</v>
      </c>
      <c r="F219" s="30" t="s">
        <v>20</v>
      </c>
      <c r="G219" s="30"/>
      <c r="H219" s="30" t="s">
        <v>1271</v>
      </c>
      <c r="I219" s="31">
        <f t="shared" si="12"/>
        <v>28</v>
      </c>
      <c r="J219" s="87"/>
      <c r="K219" s="31">
        <f t="shared" si="13"/>
        <v>0</v>
      </c>
      <c r="L219" s="3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1445</v>
      </c>
      <c r="B220" t="s">
        <v>958</v>
      </c>
      <c r="C220" t="s">
        <v>1062</v>
      </c>
      <c r="D220" t="s">
        <v>1086</v>
      </c>
      <c r="E220" s="30" t="s">
        <v>19</v>
      </c>
      <c r="F220" s="30" t="s">
        <v>1056</v>
      </c>
      <c r="G220" s="30"/>
      <c r="H220" s="30" t="s">
        <v>1434</v>
      </c>
      <c r="I220" s="31">
        <f t="shared" si="12"/>
        <v>28</v>
      </c>
      <c r="J220" s="147" t="s">
        <v>1843</v>
      </c>
      <c r="K220" s="31">
        <f t="shared" si="13"/>
        <v>0</v>
      </c>
      <c r="L220" s="3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s="73" customFormat="1" ht="15.75" thickBot="1" x14ac:dyDescent="0.3">
      <c r="A221" s="73" t="s">
        <v>168</v>
      </c>
      <c r="B221" s="73" t="s">
        <v>252</v>
      </c>
      <c r="C221" s="73" t="s">
        <v>1062</v>
      </c>
      <c r="D221" s="73" t="s">
        <v>253</v>
      </c>
      <c r="E221" s="85" t="s">
        <v>19</v>
      </c>
      <c r="F221" s="85" t="s">
        <v>1301</v>
      </c>
      <c r="G221" s="85"/>
      <c r="H221" s="85" t="s">
        <v>1416</v>
      </c>
      <c r="I221" s="142">
        <f t="shared" si="12"/>
        <v>28</v>
      </c>
      <c r="J221" s="147" t="s">
        <v>1844</v>
      </c>
      <c r="K221" s="142">
        <f t="shared" si="13"/>
        <v>0</v>
      </c>
      <c r="L221" s="143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  <c r="AQ221" s="89"/>
    </row>
    <row r="222" spans="1:43" ht="15.75" thickBot="1" x14ac:dyDescent="0.3">
      <c r="A222" t="s">
        <v>254</v>
      </c>
      <c r="B222" t="s">
        <v>255</v>
      </c>
      <c r="C222" t="s">
        <v>1062</v>
      </c>
      <c r="D222" t="s">
        <v>256</v>
      </c>
      <c r="E222" s="30" t="s">
        <v>73</v>
      </c>
      <c r="F222" s="30" t="s">
        <v>28</v>
      </c>
      <c r="G222" s="30"/>
      <c r="H222" s="30" t="s">
        <v>715</v>
      </c>
      <c r="I222" s="31">
        <f t="shared" si="12"/>
        <v>28</v>
      </c>
      <c r="J222" s="147" t="s">
        <v>1845</v>
      </c>
      <c r="K222" s="31">
        <f t="shared" si="13"/>
        <v>0</v>
      </c>
      <c r="L222" s="3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254</v>
      </c>
      <c r="B223" t="s">
        <v>257</v>
      </c>
      <c r="C223" t="s">
        <v>1062</v>
      </c>
      <c r="D223" t="s">
        <v>256</v>
      </c>
      <c r="E223" s="30" t="s">
        <v>46</v>
      </c>
      <c r="F223" s="30" t="s">
        <v>28</v>
      </c>
      <c r="G223" s="30"/>
      <c r="H223" s="30" t="s">
        <v>700</v>
      </c>
      <c r="I223" s="31">
        <f t="shared" si="12"/>
        <v>28</v>
      </c>
      <c r="J223" s="147" t="s">
        <v>1846</v>
      </c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s="73" customFormat="1" ht="15.75" thickBot="1" x14ac:dyDescent="0.3">
      <c r="A224" s="73" t="s">
        <v>254</v>
      </c>
      <c r="B224" s="73" t="s">
        <v>1323</v>
      </c>
      <c r="C224" s="73" t="s">
        <v>1062</v>
      </c>
      <c r="D224" s="73" t="s">
        <v>1327</v>
      </c>
      <c r="E224" s="85" t="s">
        <v>15</v>
      </c>
      <c r="F224" s="85" t="s">
        <v>1301</v>
      </c>
      <c r="G224" s="85"/>
      <c r="H224" s="85" t="s">
        <v>1332</v>
      </c>
      <c r="I224" s="142">
        <f t="shared" si="12"/>
        <v>28</v>
      </c>
      <c r="J224" s="147" t="s">
        <v>1847</v>
      </c>
      <c r="K224" s="142">
        <f t="shared" si="13"/>
        <v>0</v>
      </c>
      <c r="L224" s="143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s="73" customFormat="1" ht="15.75" thickBot="1" x14ac:dyDescent="0.3">
      <c r="A225" s="73" t="s">
        <v>254</v>
      </c>
      <c r="B225" s="73" t="s">
        <v>1419</v>
      </c>
      <c r="C225" s="73" t="s">
        <v>1062</v>
      </c>
      <c r="D225" s="73" t="s">
        <v>1420</v>
      </c>
      <c r="E225" s="85" t="s">
        <v>15</v>
      </c>
      <c r="F225" s="85" t="s">
        <v>1301</v>
      </c>
      <c r="G225" s="85"/>
      <c r="H225" s="85" t="s">
        <v>1421</v>
      </c>
      <c r="I225" s="142">
        <f t="shared" si="12"/>
        <v>28</v>
      </c>
      <c r="J225" s="147" t="s">
        <v>1848</v>
      </c>
      <c r="K225" s="142">
        <f t="shared" si="13"/>
        <v>0</v>
      </c>
      <c r="L225" s="143">
        <f t="shared" si="14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3" s="73" customFormat="1" ht="15.75" thickBot="1" x14ac:dyDescent="0.3">
      <c r="A226" s="73" t="s">
        <v>254</v>
      </c>
      <c r="B226" s="73" t="s">
        <v>1594</v>
      </c>
      <c r="C226" s="73" t="s">
        <v>1062</v>
      </c>
      <c r="D226" s="73" t="s">
        <v>1595</v>
      </c>
      <c r="E226" s="85" t="s">
        <v>15</v>
      </c>
      <c r="F226" s="85" t="s">
        <v>1301</v>
      </c>
      <c r="G226" s="85"/>
      <c r="H226" s="85" t="s">
        <v>1596</v>
      </c>
      <c r="I226" s="142">
        <f t="shared" si="12"/>
        <v>28</v>
      </c>
      <c r="J226" s="87"/>
      <c r="K226" s="142">
        <f t="shared" si="13"/>
        <v>0</v>
      </c>
      <c r="L226" s="143">
        <f t="shared" si="14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258</v>
      </c>
      <c r="B227" s="73" t="s">
        <v>959</v>
      </c>
      <c r="C227" s="73" t="s">
        <v>1063</v>
      </c>
      <c r="D227" s="73" t="s">
        <v>259</v>
      </c>
      <c r="E227" s="85" t="s">
        <v>15</v>
      </c>
      <c r="F227" s="85" t="s">
        <v>1301</v>
      </c>
      <c r="G227" s="85"/>
      <c r="H227" s="85" t="s">
        <v>716</v>
      </c>
      <c r="I227" s="142">
        <f t="shared" si="12"/>
        <v>28</v>
      </c>
      <c r="J227" s="147" t="s">
        <v>1849</v>
      </c>
      <c r="K227" s="142">
        <f t="shared" si="13"/>
        <v>0</v>
      </c>
      <c r="L227" s="143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  <c r="AQ227" s="89"/>
    </row>
    <row r="228" spans="1:43" s="73" customFormat="1" ht="15.75" thickBot="1" x14ac:dyDescent="0.3">
      <c r="A228" s="73" t="s">
        <v>258</v>
      </c>
      <c r="B228" s="73" t="s">
        <v>260</v>
      </c>
      <c r="C228" s="73" t="s">
        <v>1063</v>
      </c>
      <c r="D228" s="73" t="s">
        <v>261</v>
      </c>
      <c r="E228" s="85" t="s">
        <v>73</v>
      </c>
      <c r="F228" s="85" t="s">
        <v>1301</v>
      </c>
      <c r="G228" s="85"/>
      <c r="H228" s="85" t="s">
        <v>717</v>
      </c>
      <c r="I228" s="142">
        <f t="shared" si="12"/>
        <v>28</v>
      </c>
      <c r="J228" s="147" t="s">
        <v>1850</v>
      </c>
      <c r="K228" s="142">
        <f t="shared" si="13"/>
        <v>0</v>
      </c>
      <c r="L228" s="143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262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718</v>
      </c>
      <c r="I229" s="142">
        <f t="shared" si="12"/>
        <v>28</v>
      </c>
      <c r="J229" s="147" t="s">
        <v>1851</v>
      </c>
      <c r="K229" s="142">
        <f t="shared" si="13"/>
        <v>0</v>
      </c>
      <c r="L229" s="143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ht="15.75" thickBot="1" x14ac:dyDescent="0.3">
      <c r="A230" t="s">
        <v>267</v>
      </c>
      <c r="B230" t="s">
        <v>960</v>
      </c>
      <c r="C230" t="s">
        <v>1062</v>
      </c>
      <c r="D230" t="s">
        <v>272</v>
      </c>
      <c r="E230" s="30" t="s">
        <v>73</v>
      </c>
      <c r="F230" s="30" t="s">
        <v>28</v>
      </c>
      <c r="G230" s="30"/>
      <c r="H230" s="30" t="s">
        <v>723</v>
      </c>
      <c r="I230" s="31">
        <f t="shared" si="12"/>
        <v>28</v>
      </c>
      <c r="J230" s="147" t="s">
        <v>1852</v>
      </c>
      <c r="K230" s="31">
        <f t="shared" si="13"/>
        <v>0</v>
      </c>
      <c r="L230" s="32">
        <f t="shared" si="14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961</v>
      </c>
      <c r="C231" t="s">
        <v>1062</v>
      </c>
      <c r="D231" t="s">
        <v>1087</v>
      </c>
      <c r="E231" s="30" t="s">
        <v>19</v>
      </c>
      <c r="F231" s="30" t="s">
        <v>28</v>
      </c>
      <c r="G231" s="30"/>
      <c r="H231" s="30" t="s">
        <v>725</v>
      </c>
      <c r="I231" s="31">
        <f t="shared" si="12"/>
        <v>28</v>
      </c>
      <c r="J231" s="147" t="s">
        <v>1853</v>
      </c>
      <c r="K231" s="31">
        <f t="shared" si="13"/>
        <v>0</v>
      </c>
      <c r="L231" s="32">
        <f t="shared" si="14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962</v>
      </c>
      <c r="C232" t="s">
        <v>1062</v>
      </c>
      <c r="D232" t="s">
        <v>279</v>
      </c>
      <c r="E232" s="30" t="s">
        <v>19</v>
      </c>
      <c r="F232" s="30" t="s">
        <v>28</v>
      </c>
      <c r="G232" s="30"/>
      <c r="H232" s="30" t="s">
        <v>1483</v>
      </c>
      <c r="I232" s="31">
        <f t="shared" si="12"/>
        <v>28</v>
      </c>
      <c r="J232" s="147" t="s">
        <v>1854</v>
      </c>
      <c r="K232" s="31">
        <f t="shared" si="13"/>
        <v>0</v>
      </c>
      <c r="L232" s="32">
        <f t="shared" si="14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963</v>
      </c>
      <c r="C233" t="s">
        <v>1062</v>
      </c>
      <c r="D233" t="s">
        <v>282</v>
      </c>
      <c r="E233" s="30" t="s">
        <v>73</v>
      </c>
      <c r="F233" s="30" t="s">
        <v>28</v>
      </c>
      <c r="G233" s="30"/>
      <c r="H233" s="30" t="s">
        <v>727</v>
      </c>
      <c r="I233" s="31">
        <f t="shared" si="12"/>
        <v>28</v>
      </c>
      <c r="J233" s="147" t="s">
        <v>1855</v>
      </c>
      <c r="K233" s="31">
        <f t="shared" si="13"/>
        <v>0</v>
      </c>
      <c r="L233" s="3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964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728</v>
      </c>
      <c r="I234" s="31">
        <f t="shared" si="12"/>
        <v>28</v>
      </c>
      <c r="J234" s="147" t="s">
        <v>1856</v>
      </c>
      <c r="K234" s="31">
        <f t="shared" si="13"/>
        <v>0</v>
      </c>
      <c r="L234" s="3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965</v>
      </c>
      <c r="C235" t="s">
        <v>1062</v>
      </c>
      <c r="D235" t="s">
        <v>263</v>
      </c>
      <c r="E235" s="30" t="s">
        <v>46</v>
      </c>
      <c r="F235" s="30" t="s">
        <v>28</v>
      </c>
      <c r="G235" s="30"/>
      <c r="H235" s="30" t="s">
        <v>719</v>
      </c>
      <c r="I235" s="31">
        <f t="shared" si="12"/>
        <v>28</v>
      </c>
      <c r="J235" s="147" t="s">
        <v>1857</v>
      </c>
      <c r="K235" s="31">
        <f t="shared" si="13"/>
        <v>0</v>
      </c>
      <c r="L235" s="3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264</v>
      </c>
      <c r="B236" t="s">
        <v>265</v>
      </c>
      <c r="C236" t="s">
        <v>1062</v>
      </c>
      <c r="D236" t="s">
        <v>266</v>
      </c>
      <c r="E236" s="30" t="s">
        <v>19</v>
      </c>
      <c r="F236" s="30" t="s">
        <v>28</v>
      </c>
      <c r="G236" s="30"/>
      <c r="H236" s="30" t="s">
        <v>720</v>
      </c>
      <c r="I236" s="31">
        <f t="shared" si="12"/>
        <v>28</v>
      </c>
      <c r="J236" s="147" t="s">
        <v>1858</v>
      </c>
      <c r="K236" s="31">
        <f t="shared" si="13"/>
        <v>0</v>
      </c>
      <c r="L236" s="3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268</v>
      </c>
      <c r="C237" t="s">
        <v>1062</v>
      </c>
      <c r="D237" t="s">
        <v>269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2"/>
        <v>28</v>
      </c>
      <c r="J237" s="147" t="s">
        <v>1859</v>
      </c>
      <c r="K237" s="31">
        <f t="shared" si="13"/>
        <v>0</v>
      </c>
      <c r="L237" s="32">
        <f t="shared" si="14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270</v>
      </c>
      <c r="C238" t="s">
        <v>1062</v>
      </c>
      <c r="D238" t="s">
        <v>271</v>
      </c>
      <c r="E238" s="30" t="s">
        <v>46</v>
      </c>
      <c r="F238" s="30" t="s">
        <v>28</v>
      </c>
      <c r="G238" s="30"/>
      <c r="H238" s="30" t="s">
        <v>722</v>
      </c>
      <c r="I238" s="31">
        <f t="shared" ref="I238:I307" si="15">COUNTIF(M238:AN238,"")</f>
        <v>28</v>
      </c>
      <c r="J238" s="147" t="s">
        <v>1860</v>
      </c>
      <c r="K238" s="31">
        <f t="shared" ref="K238:K307" si="16">COUNTIF(M238:AN238,"APAGADO")</f>
        <v>0</v>
      </c>
      <c r="L238" s="32">
        <f t="shared" ref="L238:L307" si="17">(I238)/(K238+I238)</f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264</v>
      </c>
      <c r="B239" t="s">
        <v>273</v>
      </c>
      <c r="C239" t="s">
        <v>1062</v>
      </c>
      <c r="D239" t="s">
        <v>274</v>
      </c>
      <c r="E239" s="30" t="s">
        <v>19</v>
      </c>
      <c r="F239" s="30" t="s">
        <v>28</v>
      </c>
      <c r="G239" s="30"/>
      <c r="H239" s="30" t="s">
        <v>724</v>
      </c>
      <c r="I239" s="31">
        <f t="shared" si="15"/>
        <v>28</v>
      </c>
      <c r="J239" s="147" t="s">
        <v>1861</v>
      </c>
      <c r="K239" s="31">
        <f t="shared" si="16"/>
        <v>0</v>
      </c>
      <c r="L239" s="32">
        <f t="shared" si="17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275</v>
      </c>
      <c r="C240" t="s">
        <v>1062</v>
      </c>
      <c r="D240" t="s">
        <v>276</v>
      </c>
      <c r="E240" s="30" t="s">
        <v>19</v>
      </c>
      <c r="F240" s="30" t="s">
        <v>28</v>
      </c>
      <c r="G240" s="30"/>
      <c r="H240" s="30" t="s">
        <v>713</v>
      </c>
      <c r="I240" s="31">
        <f t="shared" si="15"/>
        <v>28</v>
      </c>
      <c r="J240" s="147" t="s">
        <v>1862</v>
      </c>
      <c r="K240" s="31">
        <f t="shared" si="16"/>
        <v>0</v>
      </c>
      <c r="L240" s="32">
        <f t="shared" si="17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277</v>
      </c>
      <c r="C241" t="s">
        <v>1062</v>
      </c>
      <c r="D241" t="s">
        <v>278</v>
      </c>
      <c r="E241" s="30" t="s">
        <v>19</v>
      </c>
      <c r="F241" s="30" t="s">
        <v>28</v>
      </c>
      <c r="G241" s="30"/>
      <c r="H241" s="30" t="s">
        <v>1443</v>
      </c>
      <c r="I241" s="31">
        <f t="shared" si="15"/>
        <v>28</v>
      </c>
      <c r="J241" s="147" t="s">
        <v>1863</v>
      </c>
      <c r="K241" s="31">
        <f t="shared" si="16"/>
        <v>0</v>
      </c>
      <c r="L241" s="32">
        <f t="shared" si="17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280</v>
      </c>
      <c r="C242" t="s">
        <v>1062</v>
      </c>
      <c r="D242" t="s">
        <v>281</v>
      </c>
      <c r="E242" s="30" t="s">
        <v>19</v>
      </c>
      <c r="F242" s="30" t="s">
        <v>28</v>
      </c>
      <c r="G242" s="30"/>
      <c r="H242" s="30" t="s">
        <v>726</v>
      </c>
      <c r="I242" s="31">
        <f t="shared" si="15"/>
        <v>28</v>
      </c>
      <c r="J242" s="147" t="s">
        <v>1864</v>
      </c>
      <c r="K242" s="31">
        <f t="shared" si="16"/>
        <v>0</v>
      </c>
      <c r="L242" s="32">
        <f t="shared" si="17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283</v>
      </c>
      <c r="C243" t="s">
        <v>1062</v>
      </c>
      <c r="D243" t="s">
        <v>284</v>
      </c>
      <c r="E243" s="30" t="s">
        <v>15</v>
      </c>
      <c r="F243" s="30" t="s">
        <v>28</v>
      </c>
      <c r="G243" s="30"/>
      <c r="H243" s="30" t="s">
        <v>729</v>
      </c>
      <c r="I243" s="31">
        <f t="shared" si="15"/>
        <v>28</v>
      </c>
      <c r="J243" s="147" t="s">
        <v>1865</v>
      </c>
      <c r="K243" s="31">
        <f t="shared" si="16"/>
        <v>0</v>
      </c>
      <c r="L243" s="32">
        <f t="shared" si="17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s="30" t="s">
        <v>1211</v>
      </c>
      <c r="C244" s="30" t="s">
        <v>1062</v>
      </c>
      <c r="D244" t="s">
        <v>1206</v>
      </c>
      <c r="E244" s="30" t="s">
        <v>15</v>
      </c>
      <c r="F244" s="30" t="s">
        <v>28</v>
      </c>
      <c r="G244" s="30"/>
      <c r="H244" s="30" t="s">
        <v>1207</v>
      </c>
      <c r="I244" s="31">
        <f t="shared" si="15"/>
        <v>28</v>
      </c>
      <c r="J244" s="147" t="s">
        <v>1866</v>
      </c>
      <c r="K244" s="31">
        <f t="shared" si="16"/>
        <v>0</v>
      </c>
      <c r="L244" s="32">
        <f t="shared" si="17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s="91" customFormat="1" ht="15.75" thickBot="1" x14ac:dyDescent="0.3">
      <c r="A245" s="73" t="s">
        <v>287</v>
      </c>
      <c r="B245" s="73" t="s">
        <v>966</v>
      </c>
      <c r="C245" s="91" t="s">
        <v>1063</v>
      </c>
      <c r="D245" s="73" t="s">
        <v>1088</v>
      </c>
      <c r="E245" s="92" t="s">
        <v>19</v>
      </c>
      <c r="F245" s="85" t="s">
        <v>1301</v>
      </c>
      <c r="G245" s="85"/>
      <c r="H245" s="85"/>
      <c r="I245" s="31">
        <f t="shared" si="15"/>
        <v>28</v>
      </c>
      <c r="J245" s="87"/>
      <c r="K245" s="31">
        <f t="shared" si="16"/>
        <v>0</v>
      </c>
      <c r="L245" s="32">
        <f t="shared" si="17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93"/>
      <c r="AF245" s="93"/>
      <c r="AG245" s="70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</row>
    <row r="246" spans="1:43" ht="15.75" thickBot="1" x14ac:dyDescent="0.3">
      <c r="A246" t="s">
        <v>229</v>
      </c>
      <c r="B246" t="s">
        <v>285</v>
      </c>
      <c r="C246" t="s">
        <v>1063</v>
      </c>
      <c r="D246" t="s">
        <v>286</v>
      </c>
      <c r="E246" s="30" t="s">
        <v>15</v>
      </c>
      <c r="F246" s="30" t="s">
        <v>1056</v>
      </c>
      <c r="G246" s="30"/>
      <c r="H246" s="30" t="s">
        <v>1064</v>
      </c>
      <c r="I246" s="31">
        <f t="shared" si="15"/>
        <v>28</v>
      </c>
      <c r="J246" s="147" t="s">
        <v>1822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1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287</v>
      </c>
      <c r="B247" t="s">
        <v>288</v>
      </c>
      <c r="C247" t="s">
        <v>1063</v>
      </c>
      <c r="D247" t="s">
        <v>289</v>
      </c>
      <c r="E247" s="30" t="s">
        <v>15</v>
      </c>
      <c r="F247" s="30" t="s">
        <v>28</v>
      </c>
      <c r="G247" s="30"/>
      <c r="H247" s="30" t="s">
        <v>730</v>
      </c>
      <c r="I247" s="31">
        <f t="shared" si="15"/>
        <v>28</v>
      </c>
      <c r="J247" s="147" t="s">
        <v>1867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12</v>
      </c>
      <c r="B248" s="33" t="s">
        <v>13</v>
      </c>
      <c r="C248" t="s">
        <v>1063</v>
      </c>
      <c r="D248" t="s">
        <v>14</v>
      </c>
      <c r="E248" s="30" t="s">
        <v>15</v>
      </c>
      <c r="F248" s="30" t="s">
        <v>1056</v>
      </c>
      <c r="G248" s="30"/>
      <c r="H248" s="30" t="s">
        <v>731</v>
      </c>
      <c r="I248" s="31">
        <f t="shared" si="15"/>
        <v>28</v>
      </c>
      <c r="J248" s="87"/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375</v>
      </c>
      <c r="B249" t="s">
        <v>967</v>
      </c>
      <c r="C249" t="s">
        <v>1063</v>
      </c>
      <c r="D249" t="s">
        <v>968</v>
      </c>
      <c r="E249" s="30" t="s">
        <v>73</v>
      </c>
      <c r="F249" s="30" t="s">
        <v>28</v>
      </c>
      <c r="G249" s="30"/>
      <c r="H249" s="30" t="s">
        <v>1217</v>
      </c>
      <c r="I249" s="31">
        <f t="shared" si="15"/>
        <v>28</v>
      </c>
      <c r="J249" s="147" t="s">
        <v>1868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969</v>
      </c>
      <c r="B250" t="s">
        <v>970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1218</v>
      </c>
      <c r="I250" s="31">
        <f t="shared" si="15"/>
        <v>28</v>
      </c>
      <c r="J250" s="147" t="s">
        <v>1869</v>
      </c>
      <c r="K250" s="31">
        <f t="shared" si="16"/>
        <v>0</v>
      </c>
      <c r="L250" s="32">
        <f t="shared" si="17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s="73" customFormat="1" ht="15.75" thickBot="1" x14ac:dyDescent="0.3">
      <c r="A251" s="73" t="s">
        <v>17</v>
      </c>
      <c r="B251" s="144" t="s">
        <v>18</v>
      </c>
      <c r="C251" s="73" t="s">
        <v>1063</v>
      </c>
      <c r="D251" s="73" t="s">
        <v>1089</v>
      </c>
      <c r="E251" s="85" t="s">
        <v>19</v>
      </c>
      <c r="F251" s="85" t="s">
        <v>1301</v>
      </c>
      <c r="G251" s="85"/>
      <c r="H251" s="85" t="s">
        <v>1378</v>
      </c>
      <c r="I251" s="142">
        <f t="shared" si="15"/>
        <v>28</v>
      </c>
      <c r="J251" s="147" t="s">
        <v>1870</v>
      </c>
      <c r="K251" s="142">
        <f t="shared" si="16"/>
        <v>0</v>
      </c>
      <c r="L251" s="143">
        <f t="shared" si="17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  <c r="AQ251" s="89"/>
    </row>
    <row r="252" spans="1:43" s="73" customFormat="1" ht="15.75" thickBot="1" x14ac:dyDescent="0.3">
      <c r="A252" s="73" t="s">
        <v>17</v>
      </c>
      <c r="B252" s="144" t="s">
        <v>21</v>
      </c>
      <c r="C252" s="73" t="s">
        <v>1063</v>
      </c>
      <c r="D252" s="73" t="s">
        <v>22</v>
      </c>
      <c r="E252" s="85" t="s">
        <v>19</v>
      </c>
      <c r="F252" s="85" t="s">
        <v>1301</v>
      </c>
      <c r="G252" s="85"/>
      <c r="H252" s="85" t="s">
        <v>1379</v>
      </c>
      <c r="I252" s="142">
        <f t="shared" si="15"/>
        <v>28</v>
      </c>
      <c r="J252" s="147" t="s">
        <v>1871</v>
      </c>
      <c r="K252" s="142">
        <f t="shared" si="16"/>
        <v>0</v>
      </c>
      <c r="L252" s="143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17</v>
      </c>
      <c r="B253" s="33" t="s">
        <v>23</v>
      </c>
      <c r="C253" t="s">
        <v>1063</v>
      </c>
      <c r="D253" t="s">
        <v>609</v>
      </c>
      <c r="E253" s="30" t="s">
        <v>15</v>
      </c>
      <c r="F253" s="30" t="s">
        <v>1056</v>
      </c>
      <c r="G253" s="30" t="s">
        <v>1254</v>
      </c>
      <c r="H253" s="30" t="s">
        <v>732</v>
      </c>
      <c r="I253" s="31">
        <f t="shared" si="15"/>
        <v>28</v>
      </c>
      <c r="J253" s="147" t="s">
        <v>1872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3.5" customHeight="1" thickBot="1" x14ac:dyDescent="0.3">
      <c r="A254" t="s">
        <v>17</v>
      </c>
      <c r="B254" s="33" t="s">
        <v>24</v>
      </c>
      <c r="C254" t="s">
        <v>1063</v>
      </c>
      <c r="D254" t="s">
        <v>25</v>
      </c>
      <c r="E254" s="30" t="s">
        <v>15</v>
      </c>
      <c r="F254" s="30" t="s">
        <v>20</v>
      </c>
      <c r="G254" s="30"/>
      <c r="H254" s="30" t="s">
        <v>733</v>
      </c>
      <c r="I254" s="31">
        <f t="shared" si="15"/>
        <v>28</v>
      </c>
      <c r="J254" s="87"/>
      <c r="K254" s="31">
        <f t="shared" si="16"/>
        <v>0</v>
      </c>
      <c r="L254" s="32">
        <f t="shared" si="17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8" customHeight="1" thickBot="1" x14ac:dyDescent="0.3">
      <c r="A255" s="69"/>
      <c r="B255" t="s">
        <v>1231</v>
      </c>
      <c r="C255" t="s">
        <v>1062</v>
      </c>
      <c r="D255" t="s">
        <v>1232</v>
      </c>
      <c r="E255" t="s">
        <v>19</v>
      </c>
      <c r="F255" t="s">
        <v>28</v>
      </c>
      <c r="G255"/>
      <c r="H255" s="30" t="s">
        <v>1272</v>
      </c>
      <c r="I255" s="31">
        <f t="shared" si="15"/>
        <v>28</v>
      </c>
      <c r="J255" s="147" t="s">
        <v>1873</v>
      </c>
      <c r="K255" s="31">
        <f t="shared" si="16"/>
        <v>0</v>
      </c>
      <c r="L255" s="32">
        <f t="shared" si="17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" customHeight="1" thickBot="1" x14ac:dyDescent="0.3">
      <c r="A256" s="69"/>
      <c r="B256" t="s">
        <v>1316</v>
      </c>
      <c r="C256" t="s">
        <v>1062</v>
      </c>
      <c r="D256" t="s">
        <v>1319</v>
      </c>
      <c r="E256" s="30" t="s">
        <v>15</v>
      </c>
      <c r="F256" s="30" t="s">
        <v>28</v>
      </c>
      <c r="G256"/>
      <c r="H256" s="30" t="s">
        <v>1331</v>
      </c>
      <c r="I256" s="31">
        <f t="shared" si="15"/>
        <v>28</v>
      </c>
      <c r="J256" s="147" t="s">
        <v>1874</v>
      </c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s="73" customFormat="1" ht="15.75" thickBot="1" x14ac:dyDescent="0.3">
      <c r="A257" s="73" t="s">
        <v>290</v>
      </c>
      <c r="B257" s="73" t="s">
        <v>971</v>
      </c>
      <c r="C257" s="73" t="s">
        <v>1062</v>
      </c>
      <c r="D257" s="73" t="s">
        <v>291</v>
      </c>
      <c r="E257" s="85" t="s">
        <v>73</v>
      </c>
      <c r="F257" s="85" t="s">
        <v>1301</v>
      </c>
      <c r="G257" s="85"/>
      <c r="H257" s="85" t="s">
        <v>734</v>
      </c>
      <c r="I257" s="142">
        <f t="shared" si="15"/>
        <v>28</v>
      </c>
      <c r="J257" s="147" t="s">
        <v>1875</v>
      </c>
      <c r="K257" s="142">
        <f t="shared" si="16"/>
        <v>0</v>
      </c>
      <c r="L257" s="143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89"/>
      <c r="AQ257" s="89"/>
    </row>
    <row r="258" spans="1:43" ht="15.75" thickBot="1" x14ac:dyDescent="0.3">
      <c r="A258" t="s">
        <v>267</v>
      </c>
      <c r="B258" t="s">
        <v>292</v>
      </c>
      <c r="C258" t="s">
        <v>1062</v>
      </c>
      <c r="D258" t="s">
        <v>293</v>
      </c>
      <c r="E258" s="30" t="s">
        <v>73</v>
      </c>
      <c r="F258" s="30" t="s">
        <v>28</v>
      </c>
      <c r="G258" s="30"/>
      <c r="H258" s="30" t="s">
        <v>1060</v>
      </c>
      <c r="I258" s="31">
        <f t="shared" si="15"/>
        <v>28</v>
      </c>
      <c r="J258" s="147" t="s">
        <v>1876</v>
      </c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294</v>
      </c>
      <c r="B259" t="s">
        <v>972</v>
      </c>
      <c r="C259" t="s">
        <v>1062</v>
      </c>
      <c r="D259" t="s">
        <v>295</v>
      </c>
      <c r="E259" s="30" t="s">
        <v>19</v>
      </c>
      <c r="F259" s="30" t="s">
        <v>28</v>
      </c>
      <c r="G259" s="30"/>
      <c r="H259" s="30" t="s">
        <v>735</v>
      </c>
      <c r="I259" s="31">
        <f t="shared" si="15"/>
        <v>28</v>
      </c>
      <c r="J259" s="147" t="s">
        <v>1877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290</v>
      </c>
      <c r="B260" t="s">
        <v>296</v>
      </c>
      <c r="C260" t="s">
        <v>1062</v>
      </c>
      <c r="D260" t="s">
        <v>297</v>
      </c>
      <c r="E260" s="30" t="s">
        <v>19</v>
      </c>
      <c r="F260" s="30" t="s">
        <v>28</v>
      </c>
      <c r="G260" s="30"/>
      <c r="H260" s="30" t="s">
        <v>736</v>
      </c>
      <c r="I260" s="31">
        <f t="shared" si="15"/>
        <v>28</v>
      </c>
      <c r="J260" s="147" t="s">
        <v>1864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973</v>
      </c>
      <c r="C261" t="s">
        <v>1062</v>
      </c>
      <c r="D261" t="s">
        <v>298</v>
      </c>
      <c r="E261" s="30" t="s">
        <v>19</v>
      </c>
      <c r="F261" s="30" t="s">
        <v>28</v>
      </c>
      <c r="G261" s="30"/>
      <c r="H261" s="30" t="s">
        <v>737</v>
      </c>
      <c r="I261" s="31">
        <f t="shared" si="15"/>
        <v>28</v>
      </c>
      <c r="J261" s="147" t="s">
        <v>1878</v>
      </c>
      <c r="K261" s="31">
        <f t="shared" si="16"/>
        <v>0</v>
      </c>
      <c r="L261" s="3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299</v>
      </c>
      <c r="C262" t="s">
        <v>1062</v>
      </c>
      <c r="D262" t="s">
        <v>300</v>
      </c>
      <c r="E262" s="30" t="s">
        <v>15</v>
      </c>
      <c r="F262" s="30" t="s">
        <v>1056</v>
      </c>
      <c r="G262" s="30"/>
      <c r="H262" s="30" t="s">
        <v>738</v>
      </c>
      <c r="I262" s="31">
        <f t="shared" si="15"/>
        <v>28</v>
      </c>
      <c r="J262" s="147" t="s">
        <v>1879</v>
      </c>
      <c r="K262" s="31">
        <f t="shared" si="16"/>
        <v>0</v>
      </c>
      <c r="L262" s="3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290</v>
      </c>
      <c r="B263" s="73" t="s">
        <v>1245</v>
      </c>
      <c r="C263" s="73" t="s">
        <v>1062</v>
      </c>
      <c r="D263" s="73" t="s">
        <v>1246</v>
      </c>
      <c r="E263" s="85" t="s">
        <v>19</v>
      </c>
      <c r="F263" s="85" t="s">
        <v>1301</v>
      </c>
      <c r="G263" s="85"/>
      <c r="H263" s="85" t="s">
        <v>1247</v>
      </c>
      <c r="I263" s="142">
        <f t="shared" si="15"/>
        <v>28</v>
      </c>
      <c r="J263" s="147" t="s">
        <v>1880</v>
      </c>
      <c r="K263" s="142">
        <f t="shared" si="16"/>
        <v>0</v>
      </c>
      <c r="L263" s="143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290</v>
      </c>
      <c r="B264" t="s">
        <v>1284</v>
      </c>
      <c r="C264" t="s">
        <v>1062</v>
      </c>
      <c r="D264" t="s">
        <v>1285</v>
      </c>
      <c r="E264" s="30" t="s">
        <v>19</v>
      </c>
      <c r="F264" s="30" t="s">
        <v>1056</v>
      </c>
      <c r="G264" s="30"/>
      <c r="H264" s="30" t="s">
        <v>1360</v>
      </c>
      <c r="I264" s="31">
        <f t="shared" si="15"/>
        <v>28</v>
      </c>
      <c r="J264" s="147" t="s">
        <v>1881</v>
      </c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302</v>
      </c>
      <c r="C265" t="s">
        <v>1062</v>
      </c>
      <c r="D265" t="s">
        <v>303</v>
      </c>
      <c r="E265" s="30" t="s">
        <v>73</v>
      </c>
      <c r="F265" s="30" t="s">
        <v>28</v>
      </c>
      <c r="G265" s="30"/>
      <c r="H265" s="30" t="s">
        <v>739</v>
      </c>
      <c r="I265" s="31">
        <f t="shared" si="15"/>
        <v>28</v>
      </c>
      <c r="J265" s="147" t="s">
        <v>1882</v>
      </c>
      <c r="K265" s="31">
        <f t="shared" si="16"/>
        <v>0</v>
      </c>
      <c r="L265" s="32">
        <f t="shared" si="17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304</v>
      </c>
      <c r="C266" t="s">
        <v>1062</v>
      </c>
      <c r="D266" t="s">
        <v>305</v>
      </c>
      <c r="E266" s="30" t="s">
        <v>19</v>
      </c>
      <c r="F266" s="30" t="s">
        <v>28</v>
      </c>
      <c r="G266" s="30"/>
      <c r="H266" s="30" t="s">
        <v>740</v>
      </c>
      <c r="I266" s="31">
        <f t="shared" si="15"/>
        <v>28</v>
      </c>
      <c r="J266" s="150" t="s">
        <v>1883</v>
      </c>
      <c r="K266" s="31">
        <f t="shared" si="16"/>
        <v>0</v>
      </c>
      <c r="L266" s="32">
        <f t="shared" si="17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306</v>
      </c>
      <c r="C267" t="s">
        <v>1062</v>
      </c>
      <c r="D267" t="s">
        <v>307</v>
      </c>
      <c r="E267" s="30" t="s">
        <v>19</v>
      </c>
      <c r="F267" s="30" t="s">
        <v>1056</v>
      </c>
      <c r="G267" s="30"/>
      <c r="H267" s="30" t="s">
        <v>1498</v>
      </c>
      <c r="I267" s="31">
        <f t="shared" si="15"/>
        <v>28</v>
      </c>
      <c r="J267" s="147" t="s">
        <v>1884</v>
      </c>
      <c r="K267" s="31">
        <f t="shared" si="16"/>
        <v>0</v>
      </c>
      <c r="L267" s="3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301</v>
      </c>
      <c r="B268" s="73" t="s">
        <v>308</v>
      </c>
      <c r="C268" s="73" t="s">
        <v>1062</v>
      </c>
      <c r="D268" s="73" t="s">
        <v>309</v>
      </c>
      <c r="E268" s="85" t="s">
        <v>19</v>
      </c>
      <c r="F268" s="85" t="s">
        <v>1301</v>
      </c>
      <c r="G268" s="85"/>
      <c r="H268" s="85" t="s">
        <v>1499</v>
      </c>
      <c r="I268" s="142">
        <f t="shared" si="15"/>
        <v>28</v>
      </c>
      <c r="J268" s="147" t="s">
        <v>1885</v>
      </c>
      <c r="K268" s="142">
        <f t="shared" si="16"/>
        <v>0</v>
      </c>
      <c r="L268" s="143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ht="15.75" thickBot="1" x14ac:dyDescent="0.3">
      <c r="A269" t="s">
        <v>301</v>
      </c>
      <c r="B269" t="s">
        <v>1493</v>
      </c>
      <c r="C269" t="s">
        <v>1062</v>
      </c>
      <c r="D269" t="s">
        <v>1492</v>
      </c>
      <c r="E269" s="30" t="s">
        <v>73</v>
      </c>
      <c r="F269" s="30" t="s">
        <v>28</v>
      </c>
      <c r="G269" s="30"/>
      <c r="H269" s="30" t="s">
        <v>1494</v>
      </c>
      <c r="I269" s="142">
        <f t="shared" si="15"/>
        <v>28</v>
      </c>
      <c r="J269" s="147" t="s">
        <v>1886</v>
      </c>
      <c r="K269" s="142">
        <f t="shared" si="16"/>
        <v>0</v>
      </c>
      <c r="L269" s="143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301</v>
      </c>
      <c r="B270" t="s">
        <v>1495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1500</v>
      </c>
      <c r="I270" s="142">
        <f t="shared" si="15"/>
        <v>28</v>
      </c>
      <c r="J270" s="147" t="s">
        <v>1887</v>
      </c>
      <c r="K270" s="142">
        <f t="shared" si="16"/>
        <v>0</v>
      </c>
      <c r="L270" s="143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2213</v>
      </c>
      <c r="B271" t="s">
        <v>2214</v>
      </c>
      <c r="C271" t="s">
        <v>1063</v>
      </c>
      <c r="D271" t="s">
        <v>2215</v>
      </c>
      <c r="E271" s="30" t="s">
        <v>19</v>
      </c>
      <c r="F271" s="85" t="s">
        <v>1301</v>
      </c>
      <c r="G271" s="30"/>
      <c r="H271" s="30" t="s">
        <v>2216</v>
      </c>
      <c r="I271" s="142">
        <f t="shared" si="15"/>
        <v>28</v>
      </c>
      <c r="J271" s="147" t="s">
        <v>2217</v>
      </c>
      <c r="K271" s="142">
        <f t="shared" si="16"/>
        <v>0</v>
      </c>
      <c r="L271" s="143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2213</v>
      </c>
      <c r="B272" t="s">
        <v>2218</v>
      </c>
      <c r="C272" t="s">
        <v>1063</v>
      </c>
      <c r="D272" t="s">
        <v>2220</v>
      </c>
      <c r="E272" s="30" t="s">
        <v>19</v>
      </c>
      <c r="F272" s="85" t="s">
        <v>1301</v>
      </c>
      <c r="G272" s="30"/>
      <c r="H272" s="30" t="s">
        <v>2219</v>
      </c>
      <c r="I272" s="142">
        <f t="shared" si="15"/>
        <v>28</v>
      </c>
      <c r="J272" s="147" t="s">
        <v>2221</v>
      </c>
      <c r="K272" s="142">
        <f t="shared" si="16"/>
        <v>0</v>
      </c>
      <c r="L272" s="143">
        <f t="shared" si="17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310</v>
      </c>
      <c r="B273" t="s">
        <v>974</v>
      </c>
      <c r="C273" t="s">
        <v>1062</v>
      </c>
      <c r="D273" t="s">
        <v>313</v>
      </c>
      <c r="E273" s="30" t="s">
        <v>19</v>
      </c>
      <c r="F273" s="30" t="s">
        <v>28</v>
      </c>
      <c r="G273" s="30"/>
      <c r="H273" s="30" t="s">
        <v>741</v>
      </c>
      <c r="I273" s="31">
        <f t="shared" si="15"/>
        <v>28</v>
      </c>
      <c r="J273" s="147" t="s">
        <v>1888</v>
      </c>
      <c r="K273" s="31">
        <f t="shared" si="16"/>
        <v>0</v>
      </c>
      <c r="L273" s="3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s="73" customFormat="1" ht="15.75" thickBot="1" x14ac:dyDescent="0.3">
      <c r="A274" s="73" t="s">
        <v>310</v>
      </c>
      <c r="B274" s="73" t="s">
        <v>314</v>
      </c>
      <c r="C274" s="73" t="s">
        <v>1062</v>
      </c>
      <c r="D274" s="73" t="s">
        <v>315</v>
      </c>
      <c r="E274" s="85" t="s">
        <v>19</v>
      </c>
      <c r="F274" s="85" t="s">
        <v>1301</v>
      </c>
      <c r="G274" s="85"/>
      <c r="H274" s="85" t="s">
        <v>1373</v>
      </c>
      <c r="I274" s="142">
        <f t="shared" si="15"/>
        <v>28</v>
      </c>
      <c r="J274" s="147" t="s">
        <v>1889</v>
      </c>
      <c r="K274" s="142">
        <f t="shared" si="16"/>
        <v>0</v>
      </c>
      <c r="L274" s="143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ht="15.75" thickBot="1" x14ac:dyDescent="0.3">
      <c r="A275" t="s">
        <v>310</v>
      </c>
      <c r="B275" t="s">
        <v>316</v>
      </c>
      <c r="C275" t="s">
        <v>1062</v>
      </c>
      <c r="D275" t="s">
        <v>317</v>
      </c>
      <c r="E275" s="30" t="s">
        <v>19</v>
      </c>
      <c r="F275" s="30" t="s">
        <v>1056</v>
      </c>
      <c r="G275" s="30" t="s">
        <v>1255</v>
      </c>
      <c r="H275" s="30" t="s">
        <v>742</v>
      </c>
      <c r="I275" s="31">
        <f t="shared" si="15"/>
        <v>28</v>
      </c>
      <c r="J275" s="147" t="s">
        <v>1890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318</v>
      </c>
      <c r="C276" s="73" t="s">
        <v>1062</v>
      </c>
      <c r="D276" s="73" t="s">
        <v>319</v>
      </c>
      <c r="E276" s="85" t="s">
        <v>19</v>
      </c>
      <c r="F276" s="85" t="s">
        <v>1301</v>
      </c>
      <c r="G276" s="85"/>
      <c r="H276" s="85" t="s">
        <v>1363</v>
      </c>
      <c r="I276" s="142">
        <f t="shared" si="15"/>
        <v>28</v>
      </c>
      <c r="J276" s="147" t="s">
        <v>1891</v>
      </c>
      <c r="K276" s="142">
        <f t="shared" si="16"/>
        <v>0</v>
      </c>
      <c r="L276" s="143">
        <f t="shared" si="17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320</v>
      </c>
      <c r="B277" s="73" t="s">
        <v>321</v>
      </c>
      <c r="C277" s="73" t="s">
        <v>1062</v>
      </c>
      <c r="D277" s="73" t="s">
        <v>322</v>
      </c>
      <c r="E277" s="85" t="s">
        <v>19</v>
      </c>
      <c r="F277" s="85" t="s">
        <v>1301</v>
      </c>
      <c r="G277" s="85"/>
      <c r="H277" s="145" t="s">
        <v>1364</v>
      </c>
      <c r="I277" s="142">
        <f t="shared" si="15"/>
        <v>28</v>
      </c>
      <c r="J277" s="147" t="s">
        <v>1892</v>
      </c>
      <c r="K277" s="142">
        <f t="shared" si="16"/>
        <v>0</v>
      </c>
      <c r="L277" s="143">
        <f t="shared" si="17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52</v>
      </c>
      <c r="B278" t="s">
        <v>323</v>
      </c>
      <c r="C278" t="s">
        <v>1062</v>
      </c>
      <c r="D278" t="s">
        <v>324</v>
      </c>
      <c r="E278" s="30" t="s">
        <v>19</v>
      </c>
      <c r="F278" s="30" t="s">
        <v>28</v>
      </c>
      <c r="G278" s="30"/>
      <c r="H278" s="30" t="s">
        <v>743</v>
      </c>
      <c r="I278" s="31">
        <f t="shared" si="15"/>
        <v>28</v>
      </c>
      <c r="J278" s="147" t="s">
        <v>1694</v>
      </c>
      <c r="K278" s="31">
        <f t="shared" si="16"/>
        <v>0</v>
      </c>
      <c r="L278" s="3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310</v>
      </c>
      <c r="B279" t="s">
        <v>325</v>
      </c>
      <c r="C279" t="s">
        <v>1062</v>
      </c>
      <c r="D279" t="s">
        <v>326</v>
      </c>
      <c r="E279" s="30" t="s">
        <v>19</v>
      </c>
      <c r="F279" s="30" t="s">
        <v>28</v>
      </c>
      <c r="G279" s="30"/>
      <c r="H279" s="30" t="s">
        <v>744</v>
      </c>
      <c r="I279" s="31">
        <f t="shared" si="15"/>
        <v>28</v>
      </c>
      <c r="J279" s="147" t="s">
        <v>1893</v>
      </c>
      <c r="K279" s="31">
        <f t="shared" si="16"/>
        <v>0</v>
      </c>
      <c r="L279" s="3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thickBot="1" x14ac:dyDescent="0.3">
      <c r="A280" s="73" t="s">
        <v>310</v>
      </c>
      <c r="B280" s="73" t="s">
        <v>311</v>
      </c>
      <c r="C280" s="73" t="s">
        <v>1062</v>
      </c>
      <c r="D280" s="73" t="s">
        <v>312</v>
      </c>
      <c r="E280" s="85" t="s">
        <v>15</v>
      </c>
      <c r="F280" s="85" t="s">
        <v>1301</v>
      </c>
      <c r="G280" s="85"/>
      <c r="H280" s="85" t="s">
        <v>1372</v>
      </c>
      <c r="I280" s="142">
        <f t="shared" si="15"/>
        <v>28</v>
      </c>
      <c r="J280" s="147" t="s">
        <v>1894</v>
      </c>
      <c r="K280" s="142">
        <f t="shared" si="16"/>
        <v>0</v>
      </c>
      <c r="L280" s="143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  <c r="AQ280" s="89"/>
    </row>
    <row r="281" spans="1:43" s="73" customFormat="1" ht="15.75" thickBot="1" x14ac:dyDescent="0.3">
      <c r="A281" s="73" t="s">
        <v>310</v>
      </c>
      <c r="B281" s="73" t="s">
        <v>327</v>
      </c>
      <c r="C281" s="73" t="s">
        <v>1062</v>
      </c>
      <c r="D281" s="73" t="s">
        <v>328</v>
      </c>
      <c r="E281" s="85" t="s">
        <v>15</v>
      </c>
      <c r="F281" s="85" t="s">
        <v>1301</v>
      </c>
      <c r="G281" s="85"/>
      <c r="H281" s="85" t="s">
        <v>745</v>
      </c>
      <c r="I281" s="142">
        <f t="shared" si="15"/>
        <v>28</v>
      </c>
      <c r="J281" s="147" t="s">
        <v>1895</v>
      </c>
      <c r="K281" s="142">
        <f t="shared" si="16"/>
        <v>0</v>
      </c>
      <c r="L281" s="143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4.25" customHeight="1" thickBot="1" x14ac:dyDescent="0.3">
      <c r="A282" s="73" t="s">
        <v>310</v>
      </c>
      <c r="B282" s="73" t="s">
        <v>1342</v>
      </c>
      <c r="C282" s="73" t="s">
        <v>1062</v>
      </c>
      <c r="D282" s="73" t="s">
        <v>1343</v>
      </c>
      <c r="E282" s="85" t="s">
        <v>15</v>
      </c>
      <c r="F282" s="85" t="s">
        <v>1301</v>
      </c>
      <c r="G282" s="85"/>
      <c r="H282" s="85" t="s">
        <v>1358</v>
      </c>
      <c r="I282" s="142">
        <f t="shared" si="15"/>
        <v>28</v>
      </c>
      <c r="J282" s="147" t="s">
        <v>1896</v>
      </c>
      <c r="K282" s="142">
        <f t="shared" si="16"/>
        <v>0</v>
      </c>
      <c r="L282" s="143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1540</v>
      </c>
      <c r="B283" s="73" t="s">
        <v>1539</v>
      </c>
      <c r="C283" s="73" t="s">
        <v>1062</v>
      </c>
      <c r="D283" s="73" t="s">
        <v>1541</v>
      </c>
      <c r="E283" s="85" t="s">
        <v>19</v>
      </c>
      <c r="F283" s="85" t="s">
        <v>1301</v>
      </c>
      <c r="G283" s="85"/>
      <c r="H283" s="85" t="s">
        <v>1542</v>
      </c>
      <c r="I283" s="142">
        <f t="shared" si="15"/>
        <v>28</v>
      </c>
      <c r="J283" s="147" t="s">
        <v>1897</v>
      </c>
      <c r="K283" s="142">
        <f t="shared" si="16"/>
        <v>0</v>
      </c>
      <c r="L283" s="143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1654</v>
      </c>
      <c r="C284" s="73" t="s">
        <v>1062</v>
      </c>
      <c r="D284" s="73" t="s">
        <v>1655</v>
      </c>
      <c r="E284" s="85" t="s">
        <v>19</v>
      </c>
      <c r="F284" s="85" t="s">
        <v>28</v>
      </c>
      <c r="G284" s="85"/>
      <c r="H284" s="85" t="s">
        <v>1656</v>
      </c>
      <c r="I284" s="142">
        <f t="shared" si="15"/>
        <v>28</v>
      </c>
      <c r="J284" s="87" t="s">
        <v>2196</v>
      </c>
      <c r="K284" s="142">
        <f t="shared" si="16"/>
        <v>0</v>
      </c>
      <c r="L284" s="143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ht="15.75" thickBot="1" x14ac:dyDescent="0.3">
      <c r="A285" t="s">
        <v>331</v>
      </c>
      <c r="B285" t="s">
        <v>329</v>
      </c>
      <c r="C285" t="s">
        <v>1063</v>
      </c>
      <c r="D285" t="s">
        <v>330</v>
      </c>
      <c r="E285" s="30" t="s">
        <v>15</v>
      </c>
      <c r="F285" s="30" t="s">
        <v>28</v>
      </c>
      <c r="G285" s="30"/>
      <c r="H285" s="30" t="s">
        <v>746</v>
      </c>
      <c r="I285" s="31">
        <f t="shared" si="15"/>
        <v>28</v>
      </c>
      <c r="J285" s="147" t="s">
        <v>1898</v>
      </c>
      <c r="K285" s="31">
        <f t="shared" si="16"/>
        <v>0</v>
      </c>
      <c r="L285" s="32">
        <f t="shared" si="17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331</v>
      </c>
      <c r="B286" t="s">
        <v>332</v>
      </c>
      <c r="C286" t="s">
        <v>1063</v>
      </c>
      <c r="D286" t="s">
        <v>333</v>
      </c>
      <c r="E286" s="30" t="s">
        <v>73</v>
      </c>
      <c r="F286" s="30" t="s">
        <v>28</v>
      </c>
      <c r="G286" s="30"/>
      <c r="H286" s="30" t="s">
        <v>747</v>
      </c>
      <c r="I286" s="31">
        <f t="shared" si="15"/>
        <v>28</v>
      </c>
      <c r="J286" s="147" t="s">
        <v>1899</v>
      </c>
      <c r="K286" s="31">
        <f t="shared" si="16"/>
        <v>0</v>
      </c>
      <c r="L286" s="32">
        <f t="shared" si="17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334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748</v>
      </c>
      <c r="I287" s="31">
        <f t="shared" si="15"/>
        <v>28</v>
      </c>
      <c r="J287" s="147" t="s">
        <v>1900</v>
      </c>
      <c r="K287" s="31">
        <f t="shared" si="16"/>
        <v>0</v>
      </c>
      <c r="L287" s="32">
        <f t="shared" si="17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335</v>
      </c>
      <c r="C288" t="s">
        <v>1063</v>
      </c>
      <c r="D288" t="s">
        <v>336</v>
      </c>
      <c r="E288" s="30" t="s">
        <v>73</v>
      </c>
      <c r="F288" s="30" t="s">
        <v>28</v>
      </c>
      <c r="G288" s="30"/>
      <c r="H288" s="30" t="s">
        <v>749</v>
      </c>
      <c r="I288" s="31">
        <f t="shared" si="15"/>
        <v>28</v>
      </c>
      <c r="J288" s="147" t="s">
        <v>1901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337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750</v>
      </c>
      <c r="I289" s="31">
        <f t="shared" si="15"/>
        <v>28</v>
      </c>
      <c r="J289" s="147" t="s">
        <v>1902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41</v>
      </c>
      <c r="B290" t="s">
        <v>339</v>
      </c>
      <c r="C290" t="s">
        <v>1062</v>
      </c>
      <c r="D290" t="s">
        <v>340</v>
      </c>
      <c r="E290" s="30" t="s">
        <v>15</v>
      </c>
      <c r="F290" s="30" t="s">
        <v>28</v>
      </c>
      <c r="G290" s="30"/>
      <c r="H290" s="30" t="s">
        <v>753</v>
      </c>
      <c r="I290" s="31">
        <f t="shared" si="15"/>
        <v>28</v>
      </c>
      <c r="J290" s="147" t="s">
        <v>1903</v>
      </c>
      <c r="K290" s="31">
        <f t="shared" si="16"/>
        <v>0</v>
      </c>
      <c r="L290" s="3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341</v>
      </c>
      <c r="C291" t="s">
        <v>1062</v>
      </c>
      <c r="D291" t="s">
        <v>340</v>
      </c>
      <c r="E291" s="30" t="s">
        <v>73</v>
      </c>
      <c r="F291" s="30" t="s">
        <v>28</v>
      </c>
      <c r="G291" s="30"/>
      <c r="H291" s="30" t="s">
        <v>754</v>
      </c>
      <c r="I291" s="31">
        <f t="shared" si="15"/>
        <v>28</v>
      </c>
      <c r="J291" s="147" t="s">
        <v>1904</v>
      </c>
      <c r="K291" s="31">
        <f t="shared" si="16"/>
        <v>0</v>
      </c>
      <c r="L291" s="32">
        <f t="shared" si="17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976</v>
      </c>
      <c r="C292" t="s">
        <v>1062</v>
      </c>
      <c r="D292" t="s">
        <v>977</v>
      </c>
      <c r="E292" s="30" t="s">
        <v>73</v>
      </c>
      <c r="F292" s="30" t="s">
        <v>28</v>
      </c>
      <c r="G292" s="30"/>
      <c r="H292" s="30" t="s">
        <v>1273</v>
      </c>
      <c r="I292" s="31">
        <f t="shared" si="15"/>
        <v>28</v>
      </c>
      <c r="J292" s="147" t="s">
        <v>1905</v>
      </c>
      <c r="K292" s="31">
        <f t="shared" si="16"/>
        <v>0</v>
      </c>
      <c r="L292" s="32">
        <f t="shared" si="17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186</v>
      </c>
      <c r="B293" t="s">
        <v>342</v>
      </c>
      <c r="C293" t="s">
        <v>1063</v>
      </c>
      <c r="D293" t="s">
        <v>343</v>
      </c>
      <c r="E293" s="30" t="s">
        <v>15</v>
      </c>
      <c r="F293" s="30" t="s">
        <v>28</v>
      </c>
      <c r="G293" s="30"/>
      <c r="H293" s="30" t="s">
        <v>755</v>
      </c>
      <c r="I293" s="31">
        <f t="shared" si="15"/>
        <v>28</v>
      </c>
      <c r="J293" s="147" t="s">
        <v>1906</v>
      </c>
      <c r="K293" s="31">
        <f t="shared" si="16"/>
        <v>0</v>
      </c>
      <c r="L293" s="3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21" customHeight="1" thickBot="1" x14ac:dyDescent="0.3">
      <c r="A294" t="s">
        <v>186</v>
      </c>
      <c r="B294" t="s">
        <v>344</v>
      </c>
      <c r="C294" t="s">
        <v>1063</v>
      </c>
      <c r="D294" t="s">
        <v>343</v>
      </c>
      <c r="E294" s="30" t="s">
        <v>73</v>
      </c>
      <c r="F294" s="30" t="s">
        <v>28</v>
      </c>
      <c r="G294" s="30"/>
      <c r="H294" s="30" t="s">
        <v>756</v>
      </c>
      <c r="I294" s="31">
        <f t="shared" si="15"/>
        <v>28</v>
      </c>
      <c r="J294" s="147" t="s">
        <v>1907</v>
      </c>
      <c r="K294" s="31">
        <f t="shared" si="16"/>
        <v>0</v>
      </c>
      <c r="L294" s="3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1295</v>
      </c>
      <c r="C295" t="s">
        <v>1063</v>
      </c>
      <c r="D295" t="s">
        <v>978</v>
      </c>
      <c r="E295" s="30" t="s">
        <v>73</v>
      </c>
      <c r="F295" s="30" t="s">
        <v>28</v>
      </c>
      <c r="G295" s="30"/>
      <c r="H295" s="30" t="s">
        <v>1274</v>
      </c>
      <c r="I295" s="31">
        <f t="shared" si="15"/>
        <v>28</v>
      </c>
      <c r="J295" s="147" t="s">
        <v>1908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214</v>
      </c>
      <c r="B296" t="s">
        <v>345</v>
      </c>
      <c r="C296" t="s">
        <v>1063</v>
      </c>
      <c r="D296" t="s">
        <v>346</v>
      </c>
      <c r="E296" s="30" t="s">
        <v>15</v>
      </c>
      <c r="F296" s="30" t="s">
        <v>28</v>
      </c>
      <c r="G296" s="30"/>
      <c r="H296" s="30" t="s">
        <v>757</v>
      </c>
      <c r="I296" s="31">
        <f t="shared" si="15"/>
        <v>28</v>
      </c>
      <c r="J296" s="147" t="s">
        <v>1909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347</v>
      </c>
      <c r="C297" t="s">
        <v>1063</v>
      </c>
      <c r="D297" t="s">
        <v>346</v>
      </c>
      <c r="E297" s="30" t="s">
        <v>73</v>
      </c>
      <c r="F297" s="30" t="s">
        <v>28</v>
      </c>
      <c r="G297" s="30"/>
      <c r="H297" s="30" t="s">
        <v>758</v>
      </c>
      <c r="I297" s="31">
        <f t="shared" si="15"/>
        <v>28</v>
      </c>
      <c r="J297" s="147" t="s">
        <v>1910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1294</v>
      </c>
      <c r="C298" t="s">
        <v>1063</v>
      </c>
      <c r="D298" t="s">
        <v>979</v>
      </c>
      <c r="E298" s="30" t="s">
        <v>19</v>
      </c>
      <c r="F298" s="30" t="s">
        <v>28</v>
      </c>
      <c r="G298" s="30"/>
      <c r="H298" s="30" t="s">
        <v>1275</v>
      </c>
      <c r="I298" s="31">
        <f t="shared" si="15"/>
        <v>28</v>
      </c>
      <c r="J298" s="147" t="s">
        <v>1911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287</v>
      </c>
      <c r="B299" t="s">
        <v>348</v>
      </c>
      <c r="C299" t="s">
        <v>1063</v>
      </c>
      <c r="D299" t="s">
        <v>349</v>
      </c>
      <c r="E299" s="30" t="s">
        <v>73</v>
      </c>
      <c r="F299" s="30" t="s">
        <v>28</v>
      </c>
      <c r="G299" s="30"/>
      <c r="H299" s="30" t="s">
        <v>760</v>
      </c>
      <c r="I299" s="31">
        <f t="shared" si="15"/>
        <v>28</v>
      </c>
      <c r="J299" s="147" t="s">
        <v>1912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364</v>
      </c>
      <c r="C300" t="s">
        <v>1063</v>
      </c>
      <c r="D300" t="s">
        <v>349</v>
      </c>
      <c r="E300" s="30" t="s">
        <v>15</v>
      </c>
      <c r="F300" s="30" t="s">
        <v>28</v>
      </c>
      <c r="G300" s="30"/>
      <c r="H300" s="30" t="s">
        <v>761</v>
      </c>
      <c r="I300" s="31">
        <f t="shared" si="15"/>
        <v>28</v>
      </c>
      <c r="J300" s="147" t="s">
        <v>1913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980</v>
      </c>
      <c r="C301" t="s">
        <v>1063</v>
      </c>
      <c r="D301" t="s">
        <v>981</v>
      </c>
      <c r="E301" s="30" t="s">
        <v>73</v>
      </c>
      <c r="F301" s="30" t="s">
        <v>28</v>
      </c>
      <c r="G301" s="30"/>
      <c r="H301" s="30" t="s">
        <v>1276</v>
      </c>
      <c r="I301" s="31">
        <f t="shared" si="15"/>
        <v>28</v>
      </c>
      <c r="J301" s="147" t="s">
        <v>1914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351</v>
      </c>
      <c r="C302" t="s">
        <v>1063</v>
      </c>
      <c r="D302" t="s">
        <v>352</v>
      </c>
      <c r="E302" s="30" t="s">
        <v>15</v>
      </c>
      <c r="F302" s="30" t="s">
        <v>28</v>
      </c>
      <c r="G302" s="30"/>
      <c r="H302" s="30" t="s">
        <v>762</v>
      </c>
      <c r="I302" s="31">
        <f t="shared" si="15"/>
        <v>28</v>
      </c>
      <c r="J302" s="147" t="s">
        <v>1915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353</v>
      </c>
      <c r="C303" t="s">
        <v>1063</v>
      </c>
      <c r="D303" t="s">
        <v>352</v>
      </c>
      <c r="E303" s="30" t="s">
        <v>73</v>
      </c>
      <c r="F303" s="30" t="s">
        <v>28</v>
      </c>
      <c r="G303" s="30"/>
      <c r="H303" s="30" t="s">
        <v>763</v>
      </c>
      <c r="I303" s="31">
        <f t="shared" si="15"/>
        <v>28</v>
      </c>
      <c r="J303" s="147" t="s">
        <v>1916</v>
      </c>
      <c r="K303" s="31">
        <f t="shared" si="16"/>
        <v>0</v>
      </c>
      <c r="L303" s="32">
        <f t="shared" si="17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982</v>
      </c>
      <c r="C304" t="s">
        <v>1063</v>
      </c>
      <c r="D304" t="s">
        <v>352</v>
      </c>
      <c r="E304" s="30" t="s">
        <v>19</v>
      </c>
      <c r="F304" s="30" t="s">
        <v>28</v>
      </c>
      <c r="G304" s="30"/>
      <c r="H304" s="30" t="s">
        <v>1277</v>
      </c>
      <c r="I304" s="31">
        <f t="shared" si="15"/>
        <v>28</v>
      </c>
      <c r="J304" s="147" t="s">
        <v>1917</v>
      </c>
      <c r="K304" s="31">
        <f t="shared" si="16"/>
        <v>0</v>
      </c>
      <c r="L304" s="32">
        <f t="shared" si="17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354</v>
      </c>
      <c r="B305" t="s">
        <v>975</v>
      </c>
      <c r="C305" t="s">
        <v>1063</v>
      </c>
      <c r="D305" t="s">
        <v>355</v>
      </c>
      <c r="E305" s="30" t="s">
        <v>15</v>
      </c>
      <c r="F305" s="30" t="s">
        <v>28</v>
      </c>
      <c r="G305" s="30"/>
      <c r="H305" s="30" t="s">
        <v>768</v>
      </c>
      <c r="I305" s="31">
        <f t="shared" si="15"/>
        <v>28</v>
      </c>
      <c r="J305" s="87"/>
      <c r="K305" s="31">
        <f t="shared" si="16"/>
        <v>0</v>
      </c>
      <c r="L305" s="32">
        <f t="shared" si="17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73" customFormat="1" ht="15.75" thickBot="1" x14ac:dyDescent="0.3">
      <c r="A306" s="73" t="s">
        <v>196</v>
      </c>
      <c r="B306" s="73" t="s">
        <v>356</v>
      </c>
      <c r="C306" s="73" t="s">
        <v>1063</v>
      </c>
      <c r="D306" s="73" t="s">
        <v>357</v>
      </c>
      <c r="E306" s="85" t="s">
        <v>15</v>
      </c>
      <c r="F306" s="85" t="s">
        <v>1301</v>
      </c>
      <c r="G306" s="85"/>
      <c r="H306" s="85" t="s">
        <v>764</v>
      </c>
      <c r="I306" s="142">
        <f t="shared" si="15"/>
        <v>28</v>
      </c>
      <c r="J306" s="147" t="s">
        <v>1918</v>
      </c>
      <c r="K306" s="142">
        <f t="shared" si="16"/>
        <v>0</v>
      </c>
      <c r="L306" s="143">
        <f t="shared" si="17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  <c r="AQ306" s="89"/>
    </row>
    <row r="307" spans="1:43" s="73" customFormat="1" ht="15.75" thickBot="1" x14ac:dyDescent="0.3">
      <c r="A307" s="73" t="s">
        <v>196</v>
      </c>
      <c r="B307" s="73" t="s">
        <v>358</v>
      </c>
      <c r="C307" s="73" t="s">
        <v>1063</v>
      </c>
      <c r="D307" s="73" t="s">
        <v>357</v>
      </c>
      <c r="E307" s="85" t="s">
        <v>73</v>
      </c>
      <c r="F307" s="85" t="s">
        <v>1301</v>
      </c>
      <c r="G307" s="85"/>
      <c r="H307" s="85" t="s">
        <v>1632</v>
      </c>
      <c r="I307" s="142">
        <f t="shared" si="15"/>
        <v>28</v>
      </c>
      <c r="J307" s="147" t="s">
        <v>2153</v>
      </c>
      <c r="K307" s="142">
        <f t="shared" si="16"/>
        <v>0</v>
      </c>
      <c r="L307" s="143">
        <f t="shared" si="17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983</v>
      </c>
      <c r="C308" s="73" t="s">
        <v>1063</v>
      </c>
      <c r="D308" s="73" t="s">
        <v>984</v>
      </c>
      <c r="E308" s="85" t="s">
        <v>73</v>
      </c>
      <c r="F308" s="85" t="s">
        <v>1301</v>
      </c>
      <c r="G308" s="85"/>
      <c r="H308" s="85" t="s">
        <v>1278</v>
      </c>
      <c r="I308" s="31">
        <f t="shared" ref="I308:I377" si="18">COUNTIF(M308:AN308,"")</f>
        <v>28</v>
      </c>
      <c r="J308" s="147" t="s">
        <v>1919</v>
      </c>
      <c r="K308" s="31">
        <f t="shared" ref="K308:K377" si="19">COUNTIF(M308:AN308,"APAGADO")</f>
        <v>0</v>
      </c>
      <c r="L308" s="32">
        <f t="shared" ref="L308:L377" si="20">(I308)/(K308+I308)</f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359</v>
      </c>
      <c r="B309" s="73" t="s">
        <v>1209</v>
      </c>
      <c r="C309" s="73" t="s">
        <v>1063</v>
      </c>
      <c r="D309" s="73" t="s">
        <v>1210</v>
      </c>
      <c r="E309" s="85" t="s">
        <v>15</v>
      </c>
      <c r="F309" s="85" t="s">
        <v>1301</v>
      </c>
      <c r="G309" s="85"/>
      <c r="H309" s="85" t="s">
        <v>769</v>
      </c>
      <c r="I309" s="142">
        <f t="shared" si="18"/>
        <v>28</v>
      </c>
      <c r="J309" s="147" t="s">
        <v>1920</v>
      </c>
      <c r="K309" s="142">
        <f t="shared" si="19"/>
        <v>0</v>
      </c>
      <c r="L309" s="143">
        <f t="shared" si="20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360</v>
      </c>
      <c r="C310" s="73" t="s">
        <v>1063</v>
      </c>
      <c r="D310" s="73" t="s">
        <v>1210</v>
      </c>
      <c r="E310" s="85" t="s">
        <v>73</v>
      </c>
      <c r="F310" s="85" t="s">
        <v>1301</v>
      </c>
      <c r="G310" s="85"/>
      <c r="H310" s="85" t="s">
        <v>770</v>
      </c>
      <c r="I310" s="142">
        <f t="shared" si="18"/>
        <v>28</v>
      </c>
      <c r="J310" s="87" t="s">
        <v>2197</v>
      </c>
      <c r="K310" s="142">
        <f t="shared" si="19"/>
        <v>0</v>
      </c>
      <c r="L310" s="143">
        <f t="shared" si="20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985</v>
      </c>
      <c r="C311" s="73" t="s">
        <v>1063</v>
      </c>
      <c r="D311" s="73" t="s">
        <v>986</v>
      </c>
      <c r="E311" s="85" t="s">
        <v>19</v>
      </c>
      <c r="F311" s="85" t="s">
        <v>1301</v>
      </c>
      <c r="G311" s="85"/>
      <c r="H311" s="85" t="s">
        <v>1279</v>
      </c>
      <c r="I311" s="142">
        <f t="shared" si="18"/>
        <v>28</v>
      </c>
      <c r="J311" s="147" t="s">
        <v>1921</v>
      </c>
      <c r="K311" s="142">
        <f t="shared" si="19"/>
        <v>0</v>
      </c>
      <c r="L311" s="143">
        <f t="shared" si="20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ht="15.75" thickBot="1" x14ac:dyDescent="0.3">
      <c r="A312" t="s">
        <v>350</v>
      </c>
      <c r="B312" t="s">
        <v>361</v>
      </c>
      <c r="C312" t="s">
        <v>1063</v>
      </c>
      <c r="D312" t="s">
        <v>362</v>
      </c>
      <c r="E312" s="30" t="s">
        <v>15</v>
      </c>
      <c r="F312" s="30" t="s">
        <v>28</v>
      </c>
      <c r="G312" s="30"/>
      <c r="H312" s="30" t="s">
        <v>766</v>
      </c>
      <c r="I312" s="31">
        <f t="shared" si="18"/>
        <v>28</v>
      </c>
      <c r="J312" s="147" t="s">
        <v>1922</v>
      </c>
      <c r="K312" s="31">
        <f t="shared" si="19"/>
        <v>0</v>
      </c>
      <c r="L312" s="32">
        <f t="shared" si="20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363</v>
      </c>
      <c r="C313" t="s">
        <v>1063</v>
      </c>
      <c r="D313" t="s">
        <v>362</v>
      </c>
      <c r="E313" s="30" t="s">
        <v>73</v>
      </c>
      <c r="F313" s="30" t="s">
        <v>28</v>
      </c>
      <c r="G313" s="30"/>
      <c r="H313" s="30" t="s">
        <v>765</v>
      </c>
      <c r="I313" s="31">
        <f t="shared" si="18"/>
        <v>28</v>
      </c>
      <c r="J313" s="147" t="s">
        <v>1923</v>
      </c>
      <c r="K313" s="31">
        <f t="shared" si="19"/>
        <v>0</v>
      </c>
      <c r="L313" s="32">
        <f t="shared" si="20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987</v>
      </c>
      <c r="C314" t="s">
        <v>1063</v>
      </c>
      <c r="D314" t="s">
        <v>988</v>
      </c>
      <c r="E314" s="30" t="s">
        <v>73</v>
      </c>
      <c r="F314" s="30" t="s">
        <v>28</v>
      </c>
      <c r="G314" s="30"/>
      <c r="H314" s="30" t="s">
        <v>1280</v>
      </c>
      <c r="I314" s="31">
        <f t="shared" si="18"/>
        <v>28</v>
      </c>
      <c r="J314" s="147" t="s">
        <v>1924</v>
      </c>
      <c r="K314" s="31">
        <f t="shared" si="19"/>
        <v>0</v>
      </c>
      <c r="L314" s="32">
        <f t="shared" si="20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229</v>
      </c>
      <c r="B315" t="s">
        <v>1291</v>
      </c>
      <c r="C315" t="s">
        <v>1063</v>
      </c>
      <c r="D315" t="s">
        <v>990</v>
      </c>
      <c r="E315" s="30" t="s">
        <v>73</v>
      </c>
      <c r="F315" s="30" t="s">
        <v>28</v>
      </c>
      <c r="G315" s="30"/>
      <c r="H315" s="30" t="s">
        <v>767</v>
      </c>
      <c r="I315" s="31">
        <f t="shared" si="18"/>
        <v>28</v>
      </c>
      <c r="J315" s="147" t="s">
        <v>1925</v>
      </c>
      <c r="K315" s="31">
        <f t="shared" si="19"/>
        <v>0</v>
      </c>
      <c r="L315" s="32">
        <f t="shared" si="20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1292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759</v>
      </c>
      <c r="I316" s="31">
        <f t="shared" si="18"/>
        <v>28</v>
      </c>
      <c r="J316" s="147" t="s">
        <v>1926</v>
      </c>
      <c r="K316" s="31">
        <f t="shared" si="19"/>
        <v>0</v>
      </c>
      <c r="L316" s="32">
        <f t="shared" si="20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989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1293</v>
      </c>
      <c r="I317" s="31">
        <f t="shared" si="18"/>
        <v>28</v>
      </c>
      <c r="J317" s="147" t="s">
        <v>1927</v>
      </c>
      <c r="K317" s="31">
        <f t="shared" si="19"/>
        <v>0</v>
      </c>
      <c r="L317" s="32">
        <f t="shared" si="20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366</v>
      </c>
      <c r="C318" t="s">
        <v>1063</v>
      </c>
      <c r="D318" t="s">
        <v>367</v>
      </c>
      <c r="E318" s="30" t="s">
        <v>15</v>
      </c>
      <c r="F318" s="30" t="s">
        <v>28</v>
      </c>
      <c r="G318" s="30"/>
      <c r="H318" s="30" t="s">
        <v>771</v>
      </c>
      <c r="I318" s="31">
        <f t="shared" si="18"/>
        <v>28</v>
      </c>
      <c r="J318" s="147" t="s">
        <v>1928</v>
      </c>
      <c r="K318" s="31">
        <f t="shared" si="19"/>
        <v>0</v>
      </c>
      <c r="L318" s="32">
        <f t="shared" si="20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991</v>
      </c>
      <c r="C319" t="s">
        <v>1063</v>
      </c>
      <c r="D319" t="s">
        <v>368</v>
      </c>
      <c r="E319" s="30" t="s">
        <v>15</v>
      </c>
      <c r="F319" s="30" t="s">
        <v>28</v>
      </c>
      <c r="G319" s="30"/>
      <c r="H319" s="30" t="s">
        <v>772</v>
      </c>
      <c r="I319" s="31">
        <f t="shared" si="18"/>
        <v>28</v>
      </c>
      <c r="J319" s="147" t="s">
        <v>1929</v>
      </c>
      <c r="K319" s="31">
        <f t="shared" si="19"/>
        <v>0</v>
      </c>
      <c r="L319" s="32">
        <f t="shared" si="20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369</v>
      </c>
      <c r="C320" t="s">
        <v>1063</v>
      </c>
      <c r="D320" t="s">
        <v>370</v>
      </c>
      <c r="E320" s="30" t="s">
        <v>73</v>
      </c>
      <c r="F320" s="30" t="s">
        <v>28</v>
      </c>
      <c r="G320" s="30"/>
      <c r="H320" s="30" t="s">
        <v>773</v>
      </c>
      <c r="I320" s="31">
        <f t="shared" si="18"/>
        <v>28</v>
      </c>
      <c r="J320" s="147" t="s">
        <v>1930</v>
      </c>
      <c r="K320" s="31">
        <f t="shared" si="19"/>
        <v>0</v>
      </c>
      <c r="L320" s="32">
        <f t="shared" si="20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371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774</v>
      </c>
      <c r="I321" s="31">
        <f t="shared" si="18"/>
        <v>28</v>
      </c>
      <c r="J321" s="147" t="s">
        <v>1931</v>
      </c>
      <c r="K321" s="31">
        <f t="shared" si="19"/>
        <v>0</v>
      </c>
      <c r="L321" s="32">
        <f t="shared" si="20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372</v>
      </c>
      <c r="C322" t="s">
        <v>1063</v>
      </c>
      <c r="D322" t="s">
        <v>373</v>
      </c>
      <c r="E322" s="30" t="s">
        <v>73</v>
      </c>
      <c r="F322" s="30" t="s">
        <v>28</v>
      </c>
      <c r="G322" s="30"/>
      <c r="H322" s="30" t="s">
        <v>775</v>
      </c>
      <c r="I322" s="31">
        <f t="shared" si="18"/>
        <v>28</v>
      </c>
      <c r="J322" s="147" t="s">
        <v>1932</v>
      </c>
      <c r="K322" s="31">
        <f t="shared" si="19"/>
        <v>0</v>
      </c>
      <c r="L322" s="32">
        <f t="shared" si="20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374</v>
      </c>
      <c r="C323" t="s">
        <v>1063</v>
      </c>
      <c r="D323" t="s">
        <v>373</v>
      </c>
      <c r="E323" s="30" t="s">
        <v>46</v>
      </c>
      <c r="F323" s="30" t="s">
        <v>28</v>
      </c>
      <c r="G323" s="30"/>
      <c r="H323" s="30" t="s">
        <v>776</v>
      </c>
      <c r="I323" s="31">
        <f t="shared" si="18"/>
        <v>28</v>
      </c>
      <c r="J323" s="147" t="s">
        <v>1933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1335</v>
      </c>
      <c r="C324" t="s">
        <v>1062</v>
      </c>
      <c r="D324" t="s">
        <v>1336</v>
      </c>
      <c r="E324" s="30"/>
      <c r="F324" s="30" t="s">
        <v>28</v>
      </c>
      <c r="G324" s="30"/>
      <c r="H324" s="30" t="s">
        <v>1346</v>
      </c>
      <c r="I324" s="31">
        <f t="shared" si="18"/>
        <v>28</v>
      </c>
      <c r="J324" s="147" t="s">
        <v>1934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1380</v>
      </c>
      <c r="C325" t="s">
        <v>1063</v>
      </c>
      <c r="D325" s="68" t="s">
        <v>1383</v>
      </c>
      <c r="E325" s="30" t="s">
        <v>19</v>
      </c>
      <c r="F325" s="30" t="s">
        <v>28</v>
      </c>
      <c r="G325" s="30"/>
      <c r="H325" s="30" t="s">
        <v>1395</v>
      </c>
      <c r="I325" s="31">
        <f t="shared" si="18"/>
        <v>28</v>
      </c>
      <c r="J325" s="147" t="s">
        <v>1935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1381</v>
      </c>
      <c r="C326" t="s">
        <v>1063</v>
      </c>
      <c r="D326" s="68" t="s">
        <v>1384</v>
      </c>
      <c r="E326" s="30" t="s">
        <v>73</v>
      </c>
      <c r="F326" s="30" t="s">
        <v>28</v>
      </c>
      <c r="G326" s="30"/>
      <c r="H326" s="30" t="s">
        <v>1396</v>
      </c>
      <c r="I326" s="31">
        <f t="shared" si="18"/>
        <v>28</v>
      </c>
      <c r="J326" s="147" t="s">
        <v>1936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1382</v>
      </c>
      <c r="C327" t="s">
        <v>1063</v>
      </c>
      <c r="D327" s="68" t="s">
        <v>1385</v>
      </c>
      <c r="E327" s="30" t="s">
        <v>73</v>
      </c>
      <c r="F327" s="30" t="s">
        <v>28</v>
      </c>
      <c r="G327" s="30"/>
      <c r="H327" s="30" t="s">
        <v>1397</v>
      </c>
      <c r="I327" s="31">
        <f t="shared" si="18"/>
        <v>28</v>
      </c>
      <c r="J327" s="147" t="s">
        <v>1937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2243</v>
      </c>
      <c r="C328" t="s">
        <v>1063</v>
      </c>
      <c r="D328" s="68" t="s">
        <v>2244</v>
      </c>
      <c r="E328" s="85" t="s">
        <v>15</v>
      </c>
      <c r="F328" s="30" t="s">
        <v>28</v>
      </c>
      <c r="G328" s="30"/>
      <c r="H328" s="30" t="s">
        <v>2245</v>
      </c>
      <c r="I328" s="31">
        <f t="shared" si="18"/>
        <v>28</v>
      </c>
      <c r="J328" s="147" t="s">
        <v>2246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s="73" customFormat="1" ht="15.75" thickBot="1" x14ac:dyDescent="0.3">
      <c r="A329" s="73" t="s">
        <v>375</v>
      </c>
      <c r="B329" s="73" t="s">
        <v>1001</v>
      </c>
      <c r="C329" s="73" t="s">
        <v>1063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8"/>
        <v>28</v>
      </c>
      <c r="J329" s="147" t="s">
        <v>1938</v>
      </c>
      <c r="K329" s="87">
        <f t="shared" si="19"/>
        <v>0</v>
      </c>
      <c r="L329" s="88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1002</v>
      </c>
      <c r="C330" t="s">
        <v>1063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8"/>
        <v>28</v>
      </c>
      <c r="J330" s="147" t="s">
        <v>1939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378</v>
      </c>
      <c r="C331" t="s">
        <v>1063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8"/>
        <v>28</v>
      </c>
      <c r="J331" s="147" t="s">
        <v>1940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380</v>
      </c>
      <c r="C332" t="s">
        <v>1063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8"/>
        <v>28</v>
      </c>
      <c r="J332" s="147" t="s">
        <v>1941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992</v>
      </c>
      <c r="C333" t="s">
        <v>1063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8"/>
        <v>28</v>
      </c>
      <c r="J333" s="147" t="s">
        <v>1942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993</v>
      </c>
      <c r="C334" t="s">
        <v>1063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8"/>
        <v>28</v>
      </c>
      <c r="J334" s="147" t="s">
        <v>1943</v>
      </c>
      <c r="K334" s="31">
        <f t="shared" si="19"/>
        <v>0</v>
      </c>
      <c r="L334" s="32">
        <f t="shared" si="20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995</v>
      </c>
      <c r="C335" t="s">
        <v>1063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8"/>
        <v>28</v>
      </c>
      <c r="J335" s="147" t="s">
        <v>1944</v>
      </c>
      <c r="K335" s="31">
        <f t="shared" si="19"/>
        <v>0</v>
      </c>
      <c r="L335" s="32">
        <f t="shared" si="20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997</v>
      </c>
      <c r="C336" t="s">
        <v>1063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8"/>
        <v>28</v>
      </c>
      <c r="J336" s="147" t="s">
        <v>1945</v>
      </c>
      <c r="K336" s="31">
        <f t="shared" si="19"/>
        <v>0</v>
      </c>
      <c r="L336" s="32">
        <f t="shared" si="20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999</v>
      </c>
      <c r="C337" t="s">
        <v>1063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8"/>
        <v>28</v>
      </c>
      <c r="J337" s="147" t="s">
        <v>1946</v>
      </c>
      <c r="K337" s="31">
        <f t="shared" si="19"/>
        <v>0</v>
      </c>
      <c r="L337" s="32">
        <f t="shared" si="20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1174</v>
      </c>
      <c r="C338" t="s">
        <v>1063</v>
      </c>
      <c r="D338" t="s">
        <v>1157</v>
      </c>
      <c r="E338" s="30" t="s">
        <v>19</v>
      </c>
      <c r="F338" s="30" t="s">
        <v>28</v>
      </c>
      <c r="G338" s="30"/>
      <c r="H338" s="30" t="s">
        <v>1159</v>
      </c>
      <c r="I338" s="31">
        <f t="shared" si="18"/>
        <v>28</v>
      </c>
      <c r="J338" s="147" t="s">
        <v>1947</v>
      </c>
      <c r="K338" s="31">
        <f t="shared" si="19"/>
        <v>0</v>
      </c>
      <c r="L338" s="32">
        <f t="shared" si="20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1175</v>
      </c>
      <c r="C339" t="s">
        <v>1063</v>
      </c>
      <c r="D339" t="s">
        <v>1157</v>
      </c>
      <c r="E339" s="30" t="s">
        <v>19</v>
      </c>
      <c r="F339" s="30" t="s">
        <v>28</v>
      </c>
      <c r="G339" s="30"/>
      <c r="H339" s="30" t="s">
        <v>1160</v>
      </c>
      <c r="I339" s="31">
        <f t="shared" si="18"/>
        <v>28</v>
      </c>
      <c r="J339" s="147" t="s">
        <v>1948</v>
      </c>
      <c r="K339" s="31">
        <f t="shared" si="19"/>
        <v>0</v>
      </c>
      <c r="L339" s="32">
        <f t="shared" si="20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1193</v>
      </c>
      <c r="C340" t="s">
        <v>1063</v>
      </c>
      <c r="D340" t="s">
        <v>1156</v>
      </c>
      <c r="E340" s="30" t="s">
        <v>15</v>
      </c>
      <c r="F340" s="30" t="s">
        <v>28</v>
      </c>
      <c r="G340" s="30"/>
      <c r="H340" s="30" t="s">
        <v>1158</v>
      </c>
      <c r="I340" s="31">
        <f t="shared" si="18"/>
        <v>28</v>
      </c>
      <c r="J340" s="147" t="s">
        <v>1949</v>
      </c>
      <c r="K340" s="31">
        <f t="shared" si="19"/>
        <v>0</v>
      </c>
      <c r="L340" s="32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1296</v>
      </c>
      <c r="C341" t="s">
        <v>1063</v>
      </c>
      <c r="D341" t="s">
        <v>1297</v>
      </c>
      <c r="E341" s="30" t="s">
        <v>73</v>
      </c>
      <c r="F341" s="30" t="s">
        <v>28</v>
      </c>
      <c r="G341" s="30"/>
      <c r="H341" s="30" t="s">
        <v>1485</v>
      </c>
      <c r="I341" s="31">
        <f t="shared" si="18"/>
        <v>28</v>
      </c>
      <c r="J341" s="147" t="s">
        <v>1950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1386</v>
      </c>
      <c r="C342" t="s">
        <v>1063</v>
      </c>
      <c r="D342" s="68" t="s">
        <v>1389</v>
      </c>
      <c r="E342" s="30" t="s">
        <v>15</v>
      </c>
      <c r="F342" s="30" t="s">
        <v>1056</v>
      </c>
      <c r="G342" s="30"/>
      <c r="H342" s="30" t="s">
        <v>1393</v>
      </c>
      <c r="I342" s="31">
        <f t="shared" si="18"/>
        <v>28</v>
      </c>
      <c r="J342" s="87"/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1387</v>
      </c>
      <c r="C343" t="s">
        <v>1063</v>
      </c>
      <c r="D343" s="68" t="s">
        <v>1390</v>
      </c>
      <c r="E343" s="30" t="s">
        <v>73</v>
      </c>
      <c r="F343" s="30" t="s">
        <v>1056</v>
      </c>
      <c r="G343" s="30"/>
      <c r="H343" s="30" t="s">
        <v>1394</v>
      </c>
      <c r="I343" s="31">
        <f t="shared" si="18"/>
        <v>28</v>
      </c>
      <c r="J343" s="87"/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1388</v>
      </c>
      <c r="C344" t="s">
        <v>1063</v>
      </c>
      <c r="D344" s="68" t="s">
        <v>1391</v>
      </c>
      <c r="E344" s="30" t="s">
        <v>15</v>
      </c>
      <c r="F344" s="30" t="s">
        <v>28</v>
      </c>
      <c r="G344" s="30"/>
      <c r="H344" s="30" t="s">
        <v>1502</v>
      </c>
      <c r="I344" s="31">
        <f t="shared" si="18"/>
        <v>28</v>
      </c>
      <c r="J344" s="147" t="s">
        <v>1951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899</v>
      </c>
      <c r="B345" s="73" t="s">
        <v>1003</v>
      </c>
      <c r="C345" s="73" t="s">
        <v>1063</v>
      </c>
      <c r="D345" s="73" t="s">
        <v>1004</v>
      </c>
      <c r="E345" s="85" t="s">
        <v>1057</v>
      </c>
      <c r="F345" s="85" t="s">
        <v>1301</v>
      </c>
      <c r="G345" s="85"/>
      <c r="H345" s="85" t="s">
        <v>901</v>
      </c>
      <c r="I345" s="142">
        <f t="shared" si="18"/>
        <v>28</v>
      </c>
      <c r="J345" s="87"/>
      <c r="K345" s="142">
        <f t="shared" si="19"/>
        <v>0</v>
      </c>
      <c r="L345" s="143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899</v>
      </c>
      <c r="B346" s="73" t="s">
        <v>898</v>
      </c>
      <c r="C346" s="73" t="s">
        <v>1063</v>
      </c>
      <c r="D346" s="73" t="s">
        <v>1004</v>
      </c>
      <c r="E346" s="85" t="s">
        <v>1058</v>
      </c>
      <c r="F346" s="85" t="s">
        <v>1301</v>
      </c>
      <c r="G346" s="85"/>
      <c r="H346" s="85" t="s">
        <v>900</v>
      </c>
      <c r="I346" s="142">
        <f t="shared" si="18"/>
        <v>28</v>
      </c>
      <c r="J346" s="87"/>
      <c r="K346" s="142">
        <f t="shared" si="19"/>
        <v>0</v>
      </c>
      <c r="L346" s="143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ht="15.75" thickBot="1" x14ac:dyDescent="0.3">
      <c r="A347" t="s">
        <v>264</v>
      </c>
      <c r="B347" t="s">
        <v>382</v>
      </c>
      <c r="C347" t="s">
        <v>1062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8"/>
        <v>28</v>
      </c>
      <c r="J347" s="147" t="s">
        <v>1952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264</v>
      </c>
      <c r="B348" s="73" t="s">
        <v>1005</v>
      </c>
      <c r="C348" s="73" t="s">
        <v>1062</v>
      </c>
      <c r="D348" s="73" t="s">
        <v>338</v>
      </c>
      <c r="E348" s="85" t="s">
        <v>73</v>
      </c>
      <c r="F348" s="85" t="s">
        <v>1301</v>
      </c>
      <c r="G348" s="85"/>
      <c r="H348" s="85" t="s">
        <v>751</v>
      </c>
      <c r="I348" s="142">
        <f t="shared" si="18"/>
        <v>28</v>
      </c>
      <c r="J348" s="147" t="s">
        <v>1953</v>
      </c>
      <c r="K348" s="142">
        <f t="shared" si="19"/>
        <v>0</v>
      </c>
      <c r="L348" s="143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264</v>
      </c>
      <c r="B349" s="73" t="s">
        <v>1006</v>
      </c>
      <c r="C349" s="73" t="s">
        <v>1062</v>
      </c>
      <c r="D349" s="73" t="s">
        <v>338</v>
      </c>
      <c r="E349" s="85" t="s">
        <v>73</v>
      </c>
      <c r="F349" s="85" t="s">
        <v>1301</v>
      </c>
      <c r="G349" s="85"/>
      <c r="H349" s="85" t="s">
        <v>752</v>
      </c>
      <c r="I349" s="142">
        <f t="shared" si="18"/>
        <v>28</v>
      </c>
      <c r="J349" s="147" t="s">
        <v>1954</v>
      </c>
      <c r="K349" s="142">
        <f t="shared" si="19"/>
        <v>0</v>
      </c>
      <c r="L349" s="143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1007</v>
      </c>
      <c r="C350" t="s">
        <v>1062</v>
      </c>
      <c r="D350" t="s">
        <v>1008</v>
      </c>
      <c r="E350" s="30" t="s">
        <v>19</v>
      </c>
      <c r="F350" s="30" t="s">
        <v>28</v>
      </c>
      <c r="G350" s="30"/>
      <c r="H350" s="30" t="s">
        <v>2234</v>
      </c>
      <c r="I350" s="31">
        <f t="shared" si="18"/>
        <v>28</v>
      </c>
      <c r="J350" s="147" t="s">
        <v>1955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264</v>
      </c>
      <c r="B351" t="s">
        <v>1009</v>
      </c>
      <c r="C351" t="s">
        <v>1062</v>
      </c>
      <c r="D351" t="s">
        <v>1010</v>
      </c>
      <c r="E351" s="30" t="s">
        <v>19</v>
      </c>
      <c r="F351" s="30" t="s">
        <v>28</v>
      </c>
      <c r="G351" s="30"/>
      <c r="H351" s="30" t="s">
        <v>2235</v>
      </c>
      <c r="I351" s="31">
        <f t="shared" si="18"/>
        <v>28</v>
      </c>
      <c r="J351" s="147" t="s">
        <v>1956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264</v>
      </c>
      <c r="B352" t="s">
        <v>1130</v>
      </c>
      <c r="C352" t="s">
        <v>1062</v>
      </c>
      <c r="D352" t="s">
        <v>1127</v>
      </c>
      <c r="E352" s="30" t="s">
        <v>73</v>
      </c>
      <c r="F352" s="30" t="s">
        <v>28</v>
      </c>
      <c r="G352" s="30"/>
      <c r="H352" s="30" t="s">
        <v>1136</v>
      </c>
      <c r="I352" s="31">
        <f t="shared" si="18"/>
        <v>28</v>
      </c>
      <c r="J352" s="147" t="s">
        <v>1957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1131</v>
      </c>
      <c r="C353" t="s">
        <v>1062</v>
      </c>
      <c r="D353" t="s">
        <v>1127</v>
      </c>
      <c r="E353" s="30" t="s">
        <v>73</v>
      </c>
      <c r="F353" s="30" t="s">
        <v>28</v>
      </c>
      <c r="G353" s="30"/>
      <c r="H353" s="30" t="s">
        <v>1137</v>
      </c>
      <c r="I353" s="31">
        <f t="shared" si="18"/>
        <v>28</v>
      </c>
      <c r="J353" s="147" t="s">
        <v>1958</v>
      </c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1132</v>
      </c>
      <c r="C354" t="s">
        <v>1062</v>
      </c>
      <c r="D354" t="s">
        <v>1128</v>
      </c>
      <c r="E354" s="30" t="s">
        <v>73</v>
      </c>
      <c r="F354" s="30" t="s">
        <v>28</v>
      </c>
      <c r="G354" s="30"/>
      <c r="H354" s="30" t="s">
        <v>1138</v>
      </c>
      <c r="I354" s="31">
        <f t="shared" si="18"/>
        <v>28</v>
      </c>
      <c r="J354" s="147" t="s">
        <v>1959</v>
      </c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1133</v>
      </c>
      <c r="C355" t="s">
        <v>1062</v>
      </c>
      <c r="D355" t="s">
        <v>1128</v>
      </c>
      <c r="E355" s="30" t="s">
        <v>73</v>
      </c>
      <c r="F355" s="30" t="s">
        <v>28</v>
      </c>
      <c r="G355" s="30"/>
      <c r="H355" s="30" t="s">
        <v>1139</v>
      </c>
      <c r="I355" s="31">
        <f t="shared" si="18"/>
        <v>28</v>
      </c>
      <c r="J355" s="147" t="s">
        <v>1960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s="73" t="s">
        <v>1320</v>
      </c>
      <c r="B356" t="s">
        <v>1233</v>
      </c>
      <c r="C356" t="s">
        <v>1062</v>
      </c>
      <c r="D356" t="s">
        <v>1234</v>
      </c>
      <c r="E356" t="s">
        <v>19</v>
      </c>
      <c r="F356" t="s">
        <v>28</v>
      </c>
      <c r="G356"/>
      <c r="H356" s="30" t="s">
        <v>1240</v>
      </c>
      <c r="I356" s="31">
        <f t="shared" si="18"/>
        <v>28</v>
      </c>
      <c r="J356" s="147" t="s">
        <v>1961</v>
      </c>
      <c r="K356" s="31">
        <f t="shared" si="19"/>
        <v>0</v>
      </c>
      <c r="L356" s="3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s="73" t="s">
        <v>1320</v>
      </c>
      <c r="B357" t="s">
        <v>1235</v>
      </c>
      <c r="C357" t="s">
        <v>1062</v>
      </c>
      <c r="D357" t="s">
        <v>1236</v>
      </c>
      <c r="E357" t="s">
        <v>19</v>
      </c>
      <c r="F357" t="s">
        <v>28</v>
      </c>
      <c r="G357"/>
      <c r="H357" s="30" t="s">
        <v>1241</v>
      </c>
      <c r="I357" s="31">
        <f t="shared" si="18"/>
        <v>28</v>
      </c>
      <c r="J357" s="147" t="s">
        <v>1962</v>
      </c>
      <c r="K357" s="31">
        <f t="shared" si="19"/>
        <v>0</v>
      </c>
      <c r="L357" s="3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1320</v>
      </c>
      <c r="B358" s="73" t="s">
        <v>1575</v>
      </c>
      <c r="C358" s="73" t="s">
        <v>1062</v>
      </c>
      <c r="D358" s="73" t="s">
        <v>1578</v>
      </c>
      <c r="E358" s="85" t="s">
        <v>73</v>
      </c>
      <c r="F358" s="85" t="s">
        <v>1301</v>
      </c>
      <c r="H358" s="85" t="s">
        <v>1579</v>
      </c>
      <c r="I358" s="31">
        <f t="shared" si="18"/>
        <v>28</v>
      </c>
      <c r="J358" s="147" t="s">
        <v>1963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  <c r="AQ358" s="89"/>
    </row>
    <row r="359" spans="1:43" s="73" customFormat="1" ht="15.75" thickBot="1" x14ac:dyDescent="0.3">
      <c r="A359" s="73" t="s">
        <v>1320</v>
      </c>
      <c r="B359" s="73" t="s">
        <v>1576</v>
      </c>
      <c r="C359" s="73" t="s">
        <v>1062</v>
      </c>
      <c r="D359" s="73" t="s">
        <v>1580</v>
      </c>
      <c r="E359" s="73" t="s">
        <v>73</v>
      </c>
      <c r="F359" s="85" t="s">
        <v>1301</v>
      </c>
      <c r="H359" s="85" t="s">
        <v>1581</v>
      </c>
      <c r="I359" s="31">
        <f t="shared" si="18"/>
        <v>28</v>
      </c>
      <c r="J359" s="147" t="s">
        <v>1964</v>
      </c>
      <c r="K359" s="31">
        <f t="shared" si="19"/>
        <v>0</v>
      </c>
      <c r="L359" s="3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1320</v>
      </c>
      <c r="B360" s="73" t="s">
        <v>1577</v>
      </c>
      <c r="C360" s="73" t="s">
        <v>1062</v>
      </c>
      <c r="D360" s="73" t="s">
        <v>1582</v>
      </c>
      <c r="E360" s="73" t="s">
        <v>73</v>
      </c>
      <c r="F360" s="85" t="s">
        <v>1301</v>
      </c>
      <c r="H360" s="85" t="s">
        <v>1583</v>
      </c>
      <c r="I360" s="31">
        <f t="shared" si="18"/>
        <v>28</v>
      </c>
      <c r="J360" s="147" t="s">
        <v>1965</v>
      </c>
      <c r="K360" s="31">
        <f t="shared" si="19"/>
        <v>0</v>
      </c>
      <c r="L360" s="3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1636</v>
      </c>
      <c r="C361" s="73" t="s">
        <v>1062</v>
      </c>
      <c r="D361" s="73" t="s">
        <v>1637</v>
      </c>
      <c r="E361" s="73" t="s">
        <v>19</v>
      </c>
      <c r="F361" s="85" t="s">
        <v>1301</v>
      </c>
      <c r="H361" s="85" t="s">
        <v>1638</v>
      </c>
      <c r="I361" s="31">
        <f t="shared" si="18"/>
        <v>28</v>
      </c>
      <c r="J361" s="147" t="s">
        <v>2147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ht="15.75" thickBot="1" x14ac:dyDescent="0.3">
      <c r="A362" t="s">
        <v>384</v>
      </c>
      <c r="B362" t="s">
        <v>385</v>
      </c>
      <c r="C362" t="s">
        <v>1062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8"/>
        <v>28</v>
      </c>
      <c r="J362" s="147" t="s">
        <v>1966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384</v>
      </c>
      <c r="B363" t="s">
        <v>387</v>
      </c>
      <c r="C363" t="s">
        <v>1062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8"/>
        <v>28</v>
      </c>
      <c r="J363" s="147" t="s">
        <v>1967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s="73" customFormat="1" ht="15.75" thickBot="1" x14ac:dyDescent="0.3">
      <c r="A364" s="73" t="s">
        <v>389</v>
      </c>
      <c r="B364" s="73" t="s">
        <v>390</v>
      </c>
      <c r="C364" s="73" t="s">
        <v>1062</v>
      </c>
      <c r="D364" s="73" t="s">
        <v>391</v>
      </c>
      <c r="E364" s="85" t="s">
        <v>19</v>
      </c>
      <c r="F364" s="85" t="s">
        <v>1301</v>
      </c>
      <c r="G364" s="85"/>
      <c r="H364" s="85" t="s">
        <v>1484</v>
      </c>
      <c r="I364" s="142">
        <f t="shared" si="18"/>
        <v>28</v>
      </c>
      <c r="J364" s="87"/>
      <c r="K364" s="142">
        <f t="shared" si="19"/>
        <v>0</v>
      </c>
      <c r="L364" s="143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s="73" customFormat="1" ht="15.75" thickBot="1" x14ac:dyDescent="0.3">
      <c r="A365" s="73" t="s">
        <v>384</v>
      </c>
      <c r="B365" s="73" t="s">
        <v>2177</v>
      </c>
      <c r="C365" s="73" t="s">
        <v>1062</v>
      </c>
      <c r="D365" s="73" t="s">
        <v>2178</v>
      </c>
      <c r="E365" s="85" t="s">
        <v>73</v>
      </c>
      <c r="F365" s="30" t="s">
        <v>28</v>
      </c>
      <c r="G365" s="85"/>
      <c r="H365" s="85" t="s">
        <v>2179</v>
      </c>
      <c r="I365" s="142">
        <f t="shared" si="18"/>
        <v>28</v>
      </c>
      <c r="J365" s="153" t="s">
        <v>2180</v>
      </c>
      <c r="K365" s="142">
        <f t="shared" si="19"/>
        <v>0</v>
      </c>
      <c r="L365" s="143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ht="15.75" thickBot="1" x14ac:dyDescent="0.3">
      <c r="A366" t="s">
        <v>294</v>
      </c>
      <c r="B366" t="s">
        <v>392</v>
      </c>
      <c r="C366" t="s">
        <v>1062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8"/>
        <v>28</v>
      </c>
      <c r="J366" s="147" t="s">
        <v>1968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294</v>
      </c>
      <c r="B367" t="s">
        <v>1011</v>
      </c>
      <c r="C367" t="s">
        <v>1062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8"/>
        <v>28</v>
      </c>
      <c r="J367" s="87"/>
      <c r="K367" s="31">
        <f t="shared" si="19"/>
        <v>0</v>
      </c>
      <c r="L367" s="32">
        <f t="shared" si="20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294</v>
      </c>
      <c r="B368" t="s">
        <v>395</v>
      </c>
      <c r="C368" t="s">
        <v>1062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8"/>
        <v>28</v>
      </c>
      <c r="J368" s="147" t="s">
        <v>1969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397</v>
      </c>
      <c r="C369" t="s">
        <v>1062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8"/>
        <v>28</v>
      </c>
      <c r="J369" s="147" t="s">
        <v>1970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1264</v>
      </c>
      <c r="C370" t="s">
        <v>1062</v>
      </c>
      <c r="D370" t="s">
        <v>1265</v>
      </c>
      <c r="E370" s="30" t="s">
        <v>15</v>
      </c>
      <c r="F370" s="30" t="s">
        <v>1056</v>
      </c>
      <c r="G370" s="30" t="s">
        <v>1267</v>
      </c>
      <c r="H370" s="30" t="s">
        <v>1266</v>
      </c>
      <c r="I370" s="31">
        <f t="shared" si="18"/>
        <v>28</v>
      </c>
      <c r="J370" s="147" t="s">
        <v>1971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294</v>
      </c>
      <c r="B371" s="73" t="s">
        <v>1313</v>
      </c>
      <c r="C371" s="73" t="s">
        <v>1063</v>
      </c>
      <c r="D371" s="73" t="s">
        <v>1314</v>
      </c>
      <c r="E371" s="85" t="s">
        <v>15</v>
      </c>
      <c r="F371" s="85" t="s">
        <v>1301</v>
      </c>
      <c r="G371" s="85"/>
      <c r="H371" s="85" t="s">
        <v>1315</v>
      </c>
      <c r="I371" s="31">
        <f t="shared" si="18"/>
        <v>28</v>
      </c>
      <c r="J371" s="147" t="s">
        <v>1972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  <c r="AQ371" s="89"/>
    </row>
    <row r="372" spans="1:43" s="91" customFormat="1" ht="15.75" thickBot="1" x14ac:dyDescent="0.3">
      <c r="A372" s="91" t="s">
        <v>402</v>
      </c>
      <c r="B372" s="91" t="s">
        <v>407</v>
      </c>
      <c r="C372" s="91" t="s">
        <v>1062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8"/>
        <v>28</v>
      </c>
      <c r="J372" s="73"/>
      <c r="K372" s="31">
        <f t="shared" si="19"/>
        <v>0</v>
      </c>
      <c r="L372" s="32">
        <f t="shared" si="20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93"/>
      <c r="AF372" s="93"/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</row>
    <row r="373" spans="1:43" s="73" customFormat="1" ht="15.75" thickBot="1" x14ac:dyDescent="0.3">
      <c r="A373" s="73" t="s">
        <v>384</v>
      </c>
      <c r="B373" s="73" t="s">
        <v>398</v>
      </c>
      <c r="C373" s="73" t="s">
        <v>1062</v>
      </c>
      <c r="D373" s="73" t="s">
        <v>399</v>
      </c>
      <c r="E373" s="85" t="s">
        <v>19</v>
      </c>
      <c r="F373" s="85" t="s">
        <v>1301</v>
      </c>
      <c r="G373" s="85"/>
      <c r="H373" s="85" t="s">
        <v>2124</v>
      </c>
      <c r="I373" s="142">
        <f t="shared" si="18"/>
        <v>28</v>
      </c>
      <c r="J373" s="147" t="s">
        <v>1973</v>
      </c>
      <c r="K373" s="142">
        <f t="shared" si="19"/>
        <v>0</v>
      </c>
      <c r="L373" s="143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73" customFormat="1" ht="15.75" thickBot="1" x14ac:dyDescent="0.3">
      <c r="A374" s="73" t="s">
        <v>384</v>
      </c>
      <c r="B374" s="73" t="s">
        <v>400</v>
      </c>
      <c r="C374" s="73" t="s">
        <v>1062</v>
      </c>
      <c r="D374" s="73" t="s">
        <v>401</v>
      </c>
      <c r="E374" s="85" t="s">
        <v>15</v>
      </c>
      <c r="F374" s="85" t="s">
        <v>28</v>
      </c>
      <c r="G374" s="85"/>
      <c r="H374" s="85" t="s">
        <v>1517</v>
      </c>
      <c r="I374" s="87">
        <f t="shared" si="18"/>
        <v>28</v>
      </c>
      <c r="J374" s="147" t="s">
        <v>1974</v>
      </c>
      <c r="K374" s="87">
        <f t="shared" si="19"/>
        <v>0</v>
      </c>
      <c r="L374" s="88">
        <f t="shared" si="20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</row>
    <row r="375" spans="1:43" ht="15.75" thickBot="1" x14ac:dyDescent="0.3">
      <c r="A375" t="s">
        <v>402</v>
      </c>
      <c r="B375" t="s">
        <v>403</v>
      </c>
      <c r="C375" t="s">
        <v>1062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8"/>
        <v>28</v>
      </c>
      <c r="J375" s="147" t="s">
        <v>1975</v>
      </c>
      <c r="K375" s="31">
        <f t="shared" si="19"/>
        <v>0</v>
      </c>
      <c r="L375" s="3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402</v>
      </c>
      <c r="B376" t="s">
        <v>405</v>
      </c>
      <c r="C376" t="s">
        <v>1062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8"/>
        <v>28</v>
      </c>
      <c r="J376" s="147" t="s">
        <v>1976</v>
      </c>
      <c r="K376" s="31">
        <f t="shared" si="19"/>
        <v>0</v>
      </c>
      <c r="L376" s="3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406</v>
      </c>
      <c r="C377" t="s">
        <v>1062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8"/>
        <v>28</v>
      </c>
      <c r="J377" s="147" t="s">
        <v>1977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409</v>
      </c>
      <c r="B378" t="s">
        <v>410</v>
      </c>
      <c r="C378" t="s">
        <v>1062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21">COUNTIF(M378:AN378,"")</f>
        <v>28</v>
      </c>
      <c r="J378" s="147" t="s">
        <v>1978</v>
      </c>
      <c r="K378" s="31">
        <f t="shared" ref="K378:K456" si="22">COUNTIF(M378:AN378,"APAGADO")</f>
        <v>0</v>
      </c>
      <c r="L378" s="32">
        <f t="shared" ref="L378:L456" si="23">(I378)/(K378+I378)</f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409</v>
      </c>
      <c r="B379" t="s">
        <v>412</v>
      </c>
      <c r="C379" t="s">
        <v>1062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21"/>
        <v>28</v>
      </c>
      <c r="J379" s="147" t="s">
        <v>1979</v>
      </c>
      <c r="K379" s="31">
        <f t="shared" si="22"/>
        <v>0</v>
      </c>
      <c r="L379" s="32">
        <f t="shared" si="23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413</v>
      </c>
      <c r="C380" t="s">
        <v>1062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21"/>
        <v>28</v>
      </c>
      <c r="J380" s="147" t="s">
        <v>1980</v>
      </c>
      <c r="K380" s="31">
        <f t="shared" si="22"/>
        <v>0</v>
      </c>
      <c r="L380" s="32">
        <f t="shared" si="23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402</v>
      </c>
      <c r="B381" t="s">
        <v>415</v>
      </c>
      <c r="C381" t="s">
        <v>1062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21"/>
        <v>28</v>
      </c>
      <c r="J381" s="147" t="s">
        <v>1981</v>
      </c>
      <c r="K381" s="31">
        <f t="shared" si="22"/>
        <v>0</v>
      </c>
      <c r="L381" s="32">
        <f t="shared" si="23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416</v>
      </c>
      <c r="C382" t="s">
        <v>1062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21"/>
        <v>28</v>
      </c>
      <c r="J382" s="147" t="s">
        <v>1982</v>
      </c>
      <c r="K382" s="31">
        <f t="shared" si="22"/>
        <v>0</v>
      </c>
      <c r="L382" s="32">
        <f t="shared" si="23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418</v>
      </c>
      <c r="C383" t="s">
        <v>1062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21"/>
        <v>28</v>
      </c>
      <c r="J383" s="147" t="s">
        <v>1983</v>
      </c>
      <c r="K383" s="31">
        <f t="shared" si="22"/>
        <v>0</v>
      </c>
      <c r="L383" s="32">
        <f t="shared" si="23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409</v>
      </c>
      <c r="B384" t="s">
        <v>902</v>
      </c>
      <c r="C384" t="s">
        <v>1062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21"/>
        <v>28</v>
      </c>
      <c r="J384" s="147" t="s">
        <v>1984</v>
      </c>
      <c r="K384" s="31">
        <f t="shared" si="22"/>
        <v>0</v>
      </c>
      <c r="L384" s="32">
        <f t="shared" si="23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904</v>
      </c>
      <c r="C385" t="s">
        <v>1062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21"/>
        <v>28</v>
      </c>
      <c r="J385" s="147" t="s">
        <v>1985</v>
      </c>
      <c r="K385" s="31">
        <f t="shared" si="22"/>
        <v>0</v>
      </c>
      <c r="L385" s="32">
        <f t="shared" si="23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1012</v>
      </c>
      <c r="C386" t="s">
        <v>1062</v>
      </c>
      <c r="D386" t="s">
        <v>1013</v>
      </c>
      <c r="E386" s="30" t="s">
        <v>19</v>
      </c>
      <c r="F386" s="30" t="s">
        <v>28</v>
      </c>
      <c r="G386" s="30"/>
      <c r="H386" s="30" t="s">
        <v>1219</v>
      </c>
      <c r="I386" s="31">
        <f t="shared" si="21"/>
        <v>28</v>
      </c>
      <c r="J386" s="147" t="s">
        <v>1986</v>
      </c>
      <c r="K386" s="31">
        <f t="shared" si="22"/>
        <v>0</v>
      </c>
      <c r="L386" s="32">
        <f t="shared" si="23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402</v>
      </c>
      <c r="B387" s="73" t="s">
        <v>1437</v>
      </c>
      <c r="C387" s="73" t="s">
        <v>1062</v>
      </c>
      <c r="D387" s="73" t="s">
        <v>1440</v>
      </c>
      <c r="E387" s="30" t="s">
        <v>19</v>
      </c>
      <c r="F387" s="85" t="s">
        <v>1301</v>
      </c>
      <c r="G387" s="85"/>
      <c r="H387" s="85" t="s">
        <v>1441</v>
      </c>
      <c r="I387" s="142">
        <f t="shared" si="21"/>
        <v>28</v>
      </c>
      <c r="J387" s="147" t="s">
        <v>1987</v>
      </c>
      <c r="K387" s="142">
        <f t="shared" si="22"/>
        <v>0</v>
      </c>
      <c r="L387" s="143">
        <f t="shared" si="23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3" ht="15.75" thickBot="1" x14ac:dyDescent="0.3">
      <c r="A388" t="s">
        <v>402</v>
      </c>
      <c r="B388" t="s">
        <v>1438</v>
      </c>
      <c r="C388" t="s">
        <v>1062</v>
      </c>
      <c r="D388" t="s">
        <v>1440</v>
      </c>
      <c r="E388" s="30" t="s">
        <v>73</v>
      </c>
      <c r="F388" s="30" t="s">
        <v>28</v>
      </c>
      <c r="G388" s="30"/>
      <c r="H388" s="85" t="s">
        <v>1503</v>
      </c>
      <c r="I388" s="31">
        <f t="shared" si="21"/>
        <v>28</v>
      </c>
      <c r="J388" s="147" t="s">
        <v>1988</v>
      </c>
      <c r="K388" s="31">
        <f t="shared" si="22"/>
        <v>0</v>
      </c>
      <c r="L388" s="32">
        <f t="shared" si="23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  <c r="AQ388" s="90"/>
    </row>
    <row r="389" spans="1:43" ht="15.75" thickBot="1" x14ac:dyDescent="0.3">
      <c r="A389" t="s">
        <v>402</v>
      </c>
      <c r="B389" t="s">
        <v>1439</v>
      </c>
      <c r="C389" t="s">
        <v>1062</v>
      </c>
      <c r="D389" t="s">
        <v>1440</v>
      </c>
      <c r="E389" s="30" t="s">
        <v>73</v>
      </c>
      <c r="F389" s="30" t="s">
        <v>28</v>
      </c>
      <c r="G389" s="30"/>
      <c r="H389" s="85" t="s">
        <v>1501</v>
      </c>
      <c r="I389" s="31">
        <f t="shared" si="21"/>
        <v>28</v>
      </c>
      <c r="J389" s="147" t="s">
        <v>1989</v>
      </c>
      <c r="K389" s="31">
        <f t="shared" si="22"/>
        <v>0</v>
      </c>
      <c r="L389" s="32">
        <f t="shared" si="23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  <c r="AQ389" s="90"/>
    </row>
    <row r="390" spans="1:43" ht="15.75" thickBot="1" x14ac:dyDescent="0.3">
      <c r="A390" t="s">
        <v>402</v>
      </c>
      <c r="B390" t="s">
        <v>1633</v>
      </c>
      <c r="C390" t="s">
        <v>1062</v>
      </c>
      <c r="D390" t="s">
        <v>1634</v>
      </c>
      <c r="E390" s="30" t="s">
        <v>19</v>
      </c>
      <c r="F390" s="30" t="s">
        <v>28</v>
      </c>
      <c r="G390" s="30"/>
      <c r="H390" s="85" t="s">
        <v>1635</v>
      </c>
      <c r="I390" s="31">
        <f t="shared" si="21"/>
        <v>28</v>
      </c>
      <c r="J390" s="87"/>
      <c r="K390" s="31">
        <f t="shared" si="22"/>
        <v>0</v>
      </c>
      <c r="L390" s="32">
        <f t="shared" si="23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196</v>
      </c>
      <c r="B391" t="s">
        <v>419</v>
      </c>
      <c r="C391" t="s">
        <v>1063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21"/>
        <v>28</v>
      </c>
      <c r="J391" s="87"/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s="73" customFormat="1" ht="15.75" thickBot="1" x14ac:dyDescent="0.3">
      <c r="A392" s="73" t="s">
        <v>196</v>
      </c>
      <c r="B392" s="73" t="s">
        <v>421</v>
      </c>
      <c r="C392" s="73" t="s">
        <v>1063</v>
      </c>
      <c r="D392" s="73" t="s">
        <v>422</v>
      </c>
      <c r="E392" s="85" t="s">
        <v>15</v>
      </c>
      <c r="F392" s="85" t="s">
        <v>1301</v>
      </c>
      <c r="G392" s="85"/>
      <c r="H392" s="85" t="s">
        <v>1431</v>
      </c>
      <c r="I392" s="142">
        <f t="shared" si="21"/>
        <v>28</v>
      </c>
      <c r="J392" s="147" t="s">
        <v>1990</v>
      </c>
      <c r="K392" s="142">
        <f t="shared" si="22"/>
        <v>0</v>
      </c>
      <c r="L392" s="143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ht="15.75" thickBot="1" x14ac:dyDescent="0.3">
      <c r="A393" t="s">
        <v>196</v>
      </c>
      <c r="B393" t="s">
        <v>1014</v>
      </c>
      <c r="C393" t="s">
        <v>1063</v>
      </c>
      <c r="D393" t="s">
        <v>1015</v>
      </c>
      <c r="E393" s="30" t="s">
        <v>73</v>
      </c>
      <c r="F393" s="30" t="s">
        <v>20</v>
      </c>
      <c r="G393" s="30"/>
      <c r="H393" s="30" t="s">
        <v>1281</v>
      </c>
      <c r="I393" s="31">
        <f t="shared" si="21"/>
        <v>28</v>
      </c>
      <c r="J393" s="87"/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196</v>
      </c>
      <c r="B394" t="s">
        <v>1016</v>
      </c>
      <c r="C394" t="s">
        <v>1063</v>
      </c>
      <c r="D394" t="s">
        <v>1015</v>
      </c>
      <c r="E394" s="30" t="s">
        <v>73</v>
      </c>
      <c r="F394" s="30" t="s">
        <v>20</v>
      </c>
      <c r="G394" s="30"/>
      <c r="H394" s="30" t="s">
        <v>1399</v>
      </c>
      <c r="I394" s="31">
        <f t="shared" si="21"/>
        <v>28</v>
      </c>
      <c r="J394" s="87"/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s="73" customFormat="1" ht="15.75" thickBot="1" x14ac:dyDescent="0.3">
      <c r="A395" s="73" t="s">
        <v>196</v>
      </c>
      <c r="B395" s="73" t="s">
        <v>423</v>
      </c>
      <c r="C395" s="73" t="s">
        <v>1063</v>
      </c>
      <c r="D395" s="73" t="s">
        <v>424</v>
      </c>
      <c r="E395" s="85" t="s">
        <v>19</v>
      </c>
      <c r="F395" s="30" t="s">
        <v>1056</v>
      </c>
      <c r="G395" s="85"/>
      <c r="H395" s="85" t="s">
        <v>1432</v>
      </c>
      <c r="I395" s="87">
        <f t="shared" si="21"/>
        <v>28</v>
      </c>
      <c r="J395" s="147" t="s">
        <v>1991</v>
      </c>
      <c r="K395" s="87">
        <f t="shared" si="22"/>
        <v>0</v>
      </c>
      <c r="L395" s="88">
        <f t="shared" si="23"/>
        <v>1</v>
      </c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</row>
    <row r="396" spans="1:43" ht="15.75" thickBot="1" x14ac:dyDescent="0.3">
      <c r="A396" t="s">
        <v>196</v>
      </c>
      <c r="B396" t="s">
        <v>425</v>
      </c>
      <c r="C396" t="s">
        <v>1063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21"/>
        <v>28</v>
      </c>
      <c r="J396" s="87"/>
      <c r="K396" s="31">
        <f t="shared" si="22"/>
        <v>0</v>
      </c>
      <c r="L396" s="32">
        <f t="shared" si="23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196</v>
      </c>
      <c r="B397" t="s">
        <v>427</v>
      </c>
      <c r="C397" t="s">
        <v>1063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21"/>
        <v>28</v>
      </c>
      <c r="J397" s="147" t="s">
        <v>1992</v>
      </c>
      <c r="K397" s="31">
        <f t="shared" si="22"/>
        <v>0</v>
      </c>
      <c r="L397" s="32">
        <f t="shared" si="23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429</v>
      </c>
      <c r="C398" t="s">
        <v>1063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21"/>
        <v>28</v>
      </c>
      <c r="J398" s="147" t="s">
        <v>1993</v>
      </c>
      <c r="K398" s="31">
        <f t="shared" si="22"/>
        <v>0</v>
      </c>
      <c r="L398" s="32">
        <f t="shared" si="23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430</v>
      </c>
      <c r="C399" s="73" t="s">
        <v>1063</v>
      </c>
      <c r="D399" s="73" t="s">
        <v>431</v>
      </c>
      <c r="E399" s="85" t="s">
        <v>73</v>
      </c>
      <c r="F399" s="85" t="s">
        <v>1301</v>
      </c>
      <c r="G399" s="85"/>
      <c r="H399" s="85" t="s">
        <v>804</v>
      </c>
      <c r="I399" s="142">
        <f t="shared" si="21"/>
        <v>28</v>
      </c>
      <c r="J399" s="147" t="s">
        <v>1994</v>
      </c>
      <c r="K399" s="142">
        <f t="shared" si="22"/>
        <v>0</v>
      </c>
      <c r="L399" s="143">
        <f t="shared" si="23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s="73" customFormat="1" ht="17.25" customHeight="1" thickBot="1" x14ac:dyDescent="0.3">
      <c r="A400" s="73" t="s">
        <v>196</v>
      </c>
      <c r="B400" s="73" t="s">
        <v>432</v>
      </c>
      <c r="C400" s="73" t="s">
        <v>1063</v>
      </c>
      <c r="D400" s="73" t="s">
        <v>431</v>
      </c>
      <c r="E400" s="85" t="s">
        <v>73</v>
      </c>
      <c r="F400" s="85" t="s">
        <v>1301</v>
      </c>
      <c r="G400" s="85"/>
      <c r="H400" s="85" t="s">
        <v>805</v>
      </c>
      <c r="I400" s="142">
        <f t="shared" si="21"/>
        <v>28</v>
      </c>
      <c r="J400" s="147" t="s">
        <v>1995</v>
      </c>
      <c r="K400" s="142">
        <f t="shared" si="22"/>
        <v>0</v>
      </c>
      <c r="L400" s="143">
        <f t="shared" si="23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196</v>
      </c>
      <c r="B401" s="73" t="s">
        <v>1546</v>
      </c>
      <c r="C401" s="73" t="s">
        <v>1063</v>
      </c>
      <c r="D401" s="73" t="s">
        <v>1547</v>
      </c>
      <c r="E401" s="85" t="s">
        <v>73</v>
      </c>
      <c r="F401" s="85" t="s">
        <v>1301</v>
      </c>
      <c r="G401" s="85"/>
      <c r="H401" s="85"/>
      <c r="I401" s="142">
        <f t="shared" si="21"/>
        <v>28</v>
      </c>
      <c r="J401" s="87"/>
      <c r="K401" s="142">
        <f t="shared" si="22"/>
        <v>0</v>
      </c>
      <c r="L401" s="143">
        <f t="shared" si="23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5.75" thickBot="1" x14ac:dyDescent="0.3">
      <c r="A402" s="73" t="s">
        <v>196</v>
      </c>
      <c r="B402" s="73" t="s">
        <v>1548</v>
      </c>
      <c r="C402" s="73" t="s">
        <v>1063</v>
      </c>
      <c r="D402" s="73" t="s">
        <v>1547</v>
      </c>
      <c r="E402" s="85" t="s">
        <v>73</v>
      </c>
      <c r="F402" s="85" t="s">
        <v>1301</v>
      </c>
      <c r="G402" s="85"/>
      <c r="H402" s="85"/>
      <c r="I402" s="142">
        <f t="shared" si="21"/>
        <v>28</v>
      </c>
      <c r="J402" s="87"/>
      <c r="K402" s="142">
        <f t="shared" si="22"/>
        <v>0</v>
      </c>
      <c r="L402" s="143">
        <f t="shared" si="23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1629</v>
      </c>
      <c r="C403" s="73" t="s">
        <v>1063</v>
      </c>
      <c r="D403" s="73" t="s">
        <v>1630</v>
      </c>
      <c r="E403" s="85" t="s">
        <v>73</v>
      </c>
      <c r="F403" s="85" t="s">
        <v>1301</v>
      </c>
      <c r="G403" s="85"/>
      <c r="H403" s="85" t="s">
        <v>1631</v>
      </c>
      <c r="I403" s="142">
        <f t="shared" si="21"/>
        <v>28</v>
      </c>
      <c r="J403" s="87" t="s">
        <v>2152</v>
      </c>
      <c r="K403" s="142">
        <f t="shared" si="22"/>
        <v>0</v>
      </c>
      <c r="L403" s="143">
        <f t="shared" si="23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2148</v>
      </c>
      <c r="C404" s="73" t="s">
        <v>1063</v>
      </c>
      <c r="D404" s="73" t="s">
        <v>2149</v>
      </c>
      <c r="E404" s="92" t="s">
        <v>19</v>
      </c>
      <c r="F404" s="85" t="s">
        <v>1301</v>
      </c>
      <c r="G404" s="85"/>
      <c r="H404" s="85" t="s">
        <v>2150</v>
      </c>
      <c r="I404" s="142">
        <f t="shared" si="21"/>
        <v>28</v>
      </c>
      <c r="J404" s="87" t="s">
        <v>2151</v>
      </c>
      <c r="K404" s="142">
        <f t="shared" si="22"/>
        <v>0</v>
      </c>
      <c r="L404" s="143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91" customFormat="1" ht="15.75" thickBot="1" x14ac:dyDescent="0.3">
      <c r="A405" s="73" t="s">
        <v>433</v>
      </c>
      <c r="B405" s="73" t="s">
        <v>434</v>
      </c>
      <c r="C405" s="91" t="s">
        <v>1063</v>
      </c>
      <c r="D405" s="73" t="s">
        <v>435</v>
      </c>
      <c r="E405" s="92" t="s">
        <v>19</v>
      </c>
      <c r="F405" s="85" t="s">
        <v>1301</v>
      </c>
      <c r="G405" s="85"/>
      <c r="H405" s="85" t="s">
        <v>2201</v>
      </c>
      <c r="I405" s="31">
        <f t="shared" si="21"/>
        <v>28</v>
      </c>
      <c r="J405" s="87" t="s">
        <v>2202</v>
      </c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spans="1:43" s="73" customFormat="1" ht="15.75" thickBot="1" x14ac:dyDescent="0.3">
      <c r="A406" s="73" t="s">
        <v>433</v>
      </c>
      <c r="B406" s="73" t="s">
        <v>1353</v>
      </c>
      <c r="C406" s="73" t="s">
        <v>1063</v>
      </c>
      <c r="D406" s="73" t="s">
        <v>1354</v>
      </c>
      <c r="E406" s="92" t="s">
        <v>19</v>
      </c>
      <c r="F406" s="85" t="s">
        <v>1301</v>
      </c>
      <c r="G406" s="85"/>
      <c r="H406" s="85" t="s">
        <v>1415</v>
      </c>
      <c r="I406" s="142">
        <f t="shared" si="21"/>
        <v>28</v>
      </c>
      <c r="J406" s="147" t="s">
        <v>1996</v>
      </c>
      <c r="K406" s="142">
        <f t="shared" si="22"/>
        <v>0</v>
      </c>
      <c r="L406" s="143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433</v>
      </c>
      <c r="B407" s="73" t="s">
        <v>1403</v>
      </c>
      <c r="C407" s="73" t="s">
        <v>1063</v>
      </c>
      <c r="D407" s="73" t="s">
        <v>1404</v>
      </c>
      <c r="E407" s="92" t="s">
        <v>19</v>
      </c>
      <c r="F407" s="85" t="s">
        <v>1301</v>
      </c>
      <c r="G407" s="85"/>
      <c r="H407" s="85" t="s">
        <v>1405</v>
      </c>
      <c r="I407" s="142">
        <f t="shared" si="21"/>
        <v>28</v>
      </c>
      <c r="J407" s="147" t="s">
        <v>1997</v>
      </c>
      <c r="K407" s="142">
        <f t="shared" si="22"/>
        <v>0</v>
      </c>
      <c r="L407" s="143">
        <f t="shared" si="23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3" s="73" customFormat="1" ht="15.75" thickBot="1" x14ac:dyDescent="0.3">
      <c r="A408" s="73" t="s">
        <v>438</v>
      </c>
      <c r="B408" s="73" t="s">
        <v>445</v>
      </c>
      <c r="C408" s="73" t="s">
        <v>1063</v>
      </c>
      <c r="D408" s="73" t="s">
        <v>446</v>
      </c>
      <c r="E408" s="85" t="s">
        <v>15</v>
      </c>
      <c r="F408" s="85" t="s">
        <v>1301</v>
      </c>
      <c r="G408" s="85"/>
      <c r="H408" s="85" t="s">
        <v>1374</v>
      </c>
      <c r="I408" s="142">
        <f t="shared" si="21"/>
        <v>28</v>
      </c>
      <c r="J408" s="147" t="s">
        <v>1998</v>
      </c>
      <c r="K408" s="142">
        <f t="shared" si="22"/>
        <v>0</v>
      </c>
      <c r="L408" s="143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438</v>
      </c>
      <c r="B409" s="73" t="s">
        <v>447</v>
      </c>
      <c r="C409" s="73" t="s">
        <v>1063</v>
      </c>
      <c r="D409" s="73" t="s">
        <v>448</v>
      </c>
      <c r="E409" s="85" t="s">
        <v>19</v>
      </c>
      <c r="F409" s="85" t="s">
        <v>1301</v>
      </c>
      <c r="G409" s="85"/>
      <c r="H409" s="85" t="s">
        <v>1424</v>
      </c>
      <c r="I409" s="142">
        <f t="shared" si="21"/>
        <v>28</v>
      </c>
      <c r="J409" s="147" t="s">
        <v>1999</v>
      </c>
      <c r="K409" s="142">
        <f t="shared" si="22"/>
        <v>0</v>
      </c>
      <c r="L409" s="143">
        <f t="shared" si="23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91" customFormat="1" ht="15.75" thickBot="1" x14ac:dyDescent="0.3">
      <c r="A410" s="91" t="s">
        <v>438</v>
      </c>
      <c r="B410" s="91" t="s">
        <v>436</v>
      </c>
      <c r="C410" s="91" t="s">
        <v>1063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21"/>
        <v>28</v>
      </c>
      <c r="J410" s="87"/>
      <c r="K410" s="31">
        <f t="shared" si="22"/>
        <v>0</v>
      </c>
      <c r="L410" s="32">
        <f t="shared" si="23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93"/>
      <c r="AF410" s="93"/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spans="1:43" s="73" customFormat="1" ht="15.75" thickBot="1" x14ac:dyDescent="0.3">
      <c r="A411" s="73" t="s">
        <v>438</v>
      </c>
      <c r="B411" s="73" t="s">
        <v>439</v>
      </c>
      <c r="C411" s="73" t="s">
        <v>1063</v>
      </c>
      <c r="D411" s="73" t="s">
        <v>440</v>
      </c>
      <c r="E411" s="85" t="s">
        <v>46</v>
      </c>
      <c r="F411" s="85" t="s">
        <v>1301</v>
      </c>
      <c r="G411" s="85"/>
      <c r="H411" s="85" t="s">
        <v>1375</v>
      </c>
      <c r="I411" s="142">
        <f t="shared" si="21"/>
        <v>28</v>
      </c>
      <c r="J411" s="147" t="s">
        <v>2000</v>
      </c>
      <c r="K411" s="142">
        <f t="shared" si="22"/>
        <v>0</v>
      </c>
      <c r="L411" s="143">
        <f t="shared" si="23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438</v>
      </c>
      <c r="B412" t="s">
        <v>449</v>
      </c>
      <c r="C412" t="s">
        <v>1063</v>
      </c>
      <c r="D412" t="s">
        <v>450</v>
      </c>
      <c r="E412" s="30" t="s">
        <v>15</v>
      </c>
      <c r="F412" s="30" t="s">
        <v>1056</v>
      </c>
      <c r="G412" s="30" t="s">
        <v>1256</v>
      </c>
      <c r="H412" s="30" t="s">
        <v>807</v>
      </c>
      <c r="I412" s="31">
        <f t="shared" si="21"/>
        <v>28</v>
      </c>
      <c r="J412" s="147" t="s">
        <v>2001</v>
      </c>
      <c r="K412" s="31">
        <f t="shared" si="22"/>
        <v>0</v>
      </c>
      <c r="L412" s="32">
        <f t="shared" si="23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438</v>
      </c>
      <c r="B413" t="s">
        <v>441</v>
      </c>
      <c r="C413" t="s">
        <v>1063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21"/>
        <v>28</v>
      </c>
      <c r="J413" s="87"/>
      <c r="K413" s="31">
        <f t="shared" si="22"/>
        <v>0</v>
      </c>
      <c r="L413" s="3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438</v>
      </c>
      <c r="B414" s="73" t="s">
        <v>443</v>
      </c>
      <c r="C414" s="73" t="s">
        <v>1063</v>
      </c>
      <c r="D414" s="73" t="s">
        <v>444</v>
      </c>
      <c r="E414" s="85" t="s">
        <v>15</v>
      </c>
      <c r="F414" s="85" t="s">
        <v>1301</v>
      </c>
      <c r="G414" s="85"/>
      <c r="H414" s="85" t="s">
        <v>809</v>
      </c>
      <c r="I414" s="142">
        <f t="shared" si="21"/>
        <v>28</v>
      </c>
      <c r="J414" s="73" t="s">
        <v>2002</v>
      </c>
      <c r="K414" s="142">
        <f t="shared" si="22"/>
        <v>0</v>
      </c>
      <c r="L414" s="143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1124</v>
      </c>
      <c r="B415" t="s">
        <v>1125</v>
      </c>
      <c r="C415" t="s">
        <v>1063</v>
      </c>
      <c r="D415" t="s">
        <v>1126</v>
      </c>
      <c r="E415" s="30" t="s">
        <v>1114</v>
      </c>
      <c r="F415" s="30" t="s">
        <v>28</v>
      </c>
      <c r="G415" s="30"/>
      <c r="H415" s="30" t="s">
        <v>1140</v>
      </c>
      <c r="I415" s="31">
        <f t="shared" si="21"/>
        <v>28</v>
      </c>
      <c r="J415" s="147" t="s">
        <v>2003</v>
      </c>
      <c r="K415" s="31">
        <f t="shared" si="22"/>
        <v>0</v>
      </c>
      <c r="L415" s="3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6.899999999999999" customHeight="1" thickBot="1" x14ac:dyDescent="0.3">
      <c r="A416" t="s">
        <v>1124</v>
      </c>
      <c r="B416" t="s">
        <v>1144</v>
      </c>
      <c r="C416" t="s">
        <v>1063</v>
      </c>
      <c r="D416" t="s">
        <v>1126</v>
      </c>
      <c r="E416" s="30" t="s">
        <v>1114</v>
      </c>
      <c r="F416" s="30" t="s">
        <v>28</v>
      </c>
      <c r="G416" s="30"/>
      <c r="H416" s="30" t="s">
        <v>1141</v>
      </c>
      <c r="I416" s="31">
        <f t="shared" si="21"/>
        <v>28</v>
      </c>
      <c r="J416" s="147" t="s">
        <v>2004</v>
      </c>
      <c r="K416" s="31">
        <f t="shared" si="22"/>
        <v>0</v>
      </c>
      <c r="L416" s="3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6.899999999999999" customHeight="1" thickBot="1" x14ac:dyDescent="0.3">
      <c r="A417" t="s">
        <v>1124</v>
      </c>
      <c r="B417" s="73" t="s">
        <v>1561</v>
      </c>
      <c r="C417" s="73" t="s">
        <v>1063</v>
      </c>
      <c r="D417" s="73" t="s">
        <v>1562</v>
      </c>
      <c r="E417" s="85" t="s">
        <v>1114</v>
      </c>
      <c r="F417" s="85" t="s">
        <v>1301</v>
      </c>
      <c r="G417" s="85"/>
      <c r="H417" s="85" t="s">
        <v>1564</v>
      </c>
      <c r="I417" s="31">
        <f t="shared" si="21"/>
        <v>28</v>
      </c>
      <c r="J417" s="147" t="s">
        <v>2005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6.899999999999999" customHeight="1" thickBot="1" x14ac:dyDescent="0.3">
      <c r="A418" t="s">
        <v>1124</v>
      </c>
      <c r="B418" s="73" t="s">
        <v>1560</v>
      </c>
      <c r="C418" s="73" t="s">
        <v>1063</v>
      </c>
      <c r="D418" s="73" t="s">
        <v>1563</v>
      </c>
      <c r="E418" s="85" t="s">
        <v>1114</v>
      </c>
      <c r="F418" s="85" t="s">
        <v>1301</v>
      </c>
      <c r="G418" s="85"/>
      <c r="H418" s="85" t="s">
        <v>1565</v>
      </c>
      <c r="I418" s="31">
        <f t="shared" si="21"/>
        <v>28</v>
      </c>
      <c r="J418" s="147" t="s">
        <v>2006</v>
      </c>
      <c r="K418" s="31">
        <f t="shared" si="22"/>
        <v>0</v>
      </c>
      <c r="L418" s="3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s="73" customFormat="1" ht="16.899999999999999" customHeight="1" thickBot="1" x14ac:dyDescent="0.3">
      <c r="A419" t="s">
        <v>1124</v>
      </c>
      <c r="B419" s="73" t="s">
        <v>2255</v>
      </c>
      <c r="C419" s="73" t="s">
        <v>1063</v>
      </c>
      <c r="D419" s="73" t="s">
        <v>2256</v>
      </c>
      <c r="E419" s="85" t="s">
        <v>1114</v>
      </c>
      <c r="F419" s="85"/>
      <c r="G419" s="85"/>
      <c r="H419" s="85" t="s">
        <v>2257</v>
      </c>
      <c r="I419" s="31">
        <f t="shared" si="21"/>
        <v>28</v>
      </c>
      <c r="J419" s="147"/>
      <c r="K419" s="31">
        <f t="shared" si="22"/>
        <v>0</v>
      </c>
      <c r="L419" s="32">
        <f t="shared" si="23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165</v>
      </c>
      <c r="B420" t="s">
        <v>451</v>
      </c>
      <c r="C420" t="s">
        <v>1062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21"/>
        <v>28</v>
      </c>
      <c r="J420" s="147" t="s">
        <v>2007</v>
      </c>
      <c r="K420" s="31">
        <f t="shared" si="22"/>
        <v>0</v>
      </c>
      <c r="L420" s="32">
        <f t="shared" si="23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165</v>
      </c>
      <c r="B421" t="s">
        <v>453</v>
      </c>
      <c r="C421" t="s">
        <v>1062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21"/>
        <v>28</v>
      </c>
      <c r="J421" s="147" t="s">
        <v>2008</v>
      </c>
      <c r="K421" s="31">
        <f t="shared" si="22"/>
        <v>0</v>
      </c>
      <c r="L421" s="3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165</v>
      </c>
      <c r="B422" t="s">
        <v>1017</v>
      </c>
      <c r="C422" t="s">
        <v>1062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21"/>
        <v>28</v>
      </c>
      <c r="J422" s="147" t="s">
        <v>2009</v>
      </c>
      <c r="K422" s="31">
        <f t="shared" si="22"/>
        <v>0</v>
      </c>
      <c r="L422" s="32">
        <f t="shared" si="23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165</v>
      </c>
      <c r="B423" t="s">
        <v>1018</v>
      </c>
      <c r="C423" t="s">
        <v>1062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21"/>
        <v>28</v>
      </c>
      <c r="J423" s="147" t="s">
        <v>2010</v>
      </c>
      <c r="K423" s="31">
        <f t="shared" si="22"/>
        <v>0</v>
      </c>
      <c r="L423" s="32">
        <f t="shared" si="23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464</v>
      </c>
      <c r="C424" t="s">
        <v>1063</v>
      </c>
      <c r="D424" t="s">
        <v>1025</v>
      </c>
      <c r="E424" s="30" t="s">
        <v>19</v>
      </c>
      <c r="F424" s="30" t="s">
        <v>1056</v>
      </c>
      <c r="G424" s="30"/>
      <c r="H424" s="30" t="s">
        <v>1411</v>
      </c>
      <c r="I424" s="31">
        <f t="shared" si="21"/>
        <v>28</v>
      </c>
      <c r="J424" s="147" t="s">
        <v>2011</v>
      </c>
      <c r="K424" s="31">
        <f t="shared" si="22"/>
        <v>0</v>
      </c>
      <c r="L424" s="3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350</v>
      </c>
      <c r="B425" t="s">
        <v>465</v>
      </c>
      <c r="C425" t="s">
        <v>1063</v>
      </c>
      <c r="D425" t="s">
        <v>1321</v>
      </c>
      <c r="E425" s="30" t="s">
        <v>19</v>
      </c>
      <c r="F425" s="30" t="s">
        <v>1056</v>
      </c>
      <c r="G425" s="30"/>
      <c r="H425" s="30" t="s">
        <v>1412</v>
      </c>
      <c r="I425" s="31">
        <f t="shared" si="21"/>
        <v>28</v>
      </c>
      <c r="J425" s="147" t="s">
        <v>2012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s="73" customFormat="1" ht="15.75" thickBot="1" x14ac:dyDescent="0.3">
      <c r="A426" s="73" t="s">
        <v>455</v>
      </c>
      <c r="B426" s="73" t="s">
        <v>466</v>
      </c>
      <c r="C426" s="73" t="s">
        <v>1063</v>
      </c>
      <c r="D426" s="73" t="s">
        <v>467</v>
      </c>
      <c r="E426" s="85" t="s">
        <v>19</v>
      </c>
      <c r="F426" s="85" t="s">
        <v>1301</v>
      </c>
      <c r="G426" s="85"/>
      <c r="H426" s="85" t="s">
        <v>1423</v>
      </c>
      <c r="I426" s="142">
        <f t="shared" si="21"/>
        <v>28</v>
      </c>
      <c r="J426" s="147" t="s">
        <v>2013</v>
      </c>
      <c r="K426" s="142">
        <f t="shared" si="22"/>
        <v>0</v>
      </c>
      <c r="L426" s="143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  <c r="AQ426" s="89"/>
    </row>
    <row r="427" spans="1:43" s="73" customFormat="1" ht="15.75" thickBot="1" x14ac:dyDescent="0.3">
      <c r="A427" s="73" t="s">
        <v>455</v>
      </c>
      <c r="B427" s="73" t="s">
        <v>1019</v>
      </c>
      <c r="C427" s="73" t="s">
        <v>1063</v>
      </c>
      <c r="D427" s="73" t="s">
        <v>468</v>
      </c>
      <c r="E427" s="85" t="s">
        <v>19</v>
      </c>
      <c r="F427" s="85" t="s">
        <v>1301</v>
      </c>
      <c r="G427" s="85"/>
      <c r="H427" s="85" t="s">
        <v>1328</v>
      </c>
      <c r="I427" s="142">
        <f t="shared" si="21"/>
        <v>28</v>
      </c>
      <c r="J427" s="147" t="s">
        <v>2014</v>
      </c>
      <c r="K427" s="142">
        <f t="shared" si="22"/>
        <v>0</v>
      </c>
      <c r="L427" s="143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  <c r="AQ427" s="89"/>
    </row>
    <row r="428" spans="1:43" ht="15.75" thickBot="1" x14ac:dyDescent="0.3">
      <c r="A428" t="s">
        <v>455</v>
      </c>
      <c r="B428" t="s">
        <v>1026</v>
      </c>
      <c r="C428" t="s">
        <v>1063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21"/>
        <v>28</v>
      </c>
      <c r="J428" s="87"/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1027</v>
      </c>
      <c r="C429" t="s">
        <v>1063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21"/>
        <v>28</v>
      </c>
      <c r="J429" s="147" t="s">
        <v>2015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455</v>
      </c>
      <c r="B430" t="s">
        <v>1028</v>
      </c>
      <c r="C430" t="s">
        <v>1063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21"/>
        <v>28</v>
      </c>
      <c r="J430" s="147" t="s">
        <v>2016</v>
      </c>
      <c r="K430" s="31">
        <f t="shared" si="22"/>
        <v>0</v>
      </c>
      <c r="L430" s="32">
        <f t="shared" si="23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.75" thickBot="1" x14ac:dyDescent="0.3">
      <c r="A431" t="s">
        <v>455</v>
      </c>
      <c r="B431" t="s">
        <v>459</v>
      </c>
      <c r="C431" t="s">
        <v>1063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21"/>
        <v>28</v>
      </c>
      <c r="J431" s="147" t="s">
        <v>2017</v>
      </c>
      <c r="K431" s="31">
        <f t="shared" si="22"/>
        <v>0</v>
      </c>
      <c r="L431" s="32">
        <f t="shared" si="23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1029</v>
      </c>
      <c r="C432" t="s">
        <v>1063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21"/>
        <v>28</v>
      </c>
      <c r="J432" s="87"/>
      <c r="K432" s="31">
        <f t="shared" si="22"/>
        <v>0</v>
      </c>
      <c r="L432" s="32">
        <f t="shared" si="23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1030</v>
      </c>
      <c r="C433" t="s">
        <v>1063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21"/>
        <v>28</v>
      </c>
      <c r="J433" s="87"/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1020</v>
      </c>
      <c r="C434" t="s">
        <v>1063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21"/>
        <v>28</v>
      </c>
      <c r="J434" s="87"/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470</v>
      </c>
      <c r="C435" t="s">
        <v>1063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21"/>
        <v>28</v>
      </c>
      <c r="J435" s="87"/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350</v>
      </c>
      <c r="B436" t="s">
        <v>1021</v>
      </c>
      <c r="C436" t="s">
        <v>1063</v>
      </c>
      <c r="D436" t="s">
        <v>472</v>
      </c>
      <c r="E436" s="30" t="s">
        <v>73</v>
      </c>
      <c r="F436" s="30" t="s">
        <v>1056</v>
      </c>
      <c r="G436" s="30"/>
      <c r="H436" s="30" t="s">
        <v>1413</v>
      </c>
      <c r="I436" s="31">
        <f t="shared" si="21"/>
        <v>28</v>
      </c>
      <c r="J436" s="147" t="s">
        <v>2018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350</v>
      </c>
      <c r="B437" t="s">
        <v>1022</v>
      </c>
      <c r="C437" t="s">
        <v>1063</v>
      </c>
      <c r="D437" t="s">
        <v>472</v>
      </c>
      <c r="E437" s="30" t="s">
        <v>73</v>
      </c>
      <c r="F437" s="30" t="s">
        <v>1056</v>
      </c>
      <c r="G437" s="30"/>
      <c r="H437" s="30" t="s">
        <v>1414</v>
      </c>
      <c r="I437" s="31">
        <f t="shared" si="21"/>
        <v>28</v>
      </c>
      <c r="J437" s="147" t="s">
        <v>2019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s="73" customFormat="1" ht="15.75" thickBot="1" x14ac:dyDescent="0.3">
      <c r="A438" s="73" t="s">
        <v>455</v>
      </c>
      <c r="B438" s="73" t="s">
        <v>473</v>
      </c>
      <c r="C438" s="73" t="s">
        <v>1063</v>
      </c>
      <c r="D438" s="73" t="s">
        <v>474</v>
      </c>
      <c r="E438" s="85" t="s">
        <v>15</v>
      </c>
      <c r="F438" s="85" t="s">
        <v>1301</v>
      </c>
      <c r="G438" s="85"/>
      <c r="H438" s="85" t="s">
        <v>821</v>
      </c>
      <c r="I438" s="142">
        <f t="shared" si="21"/>
        <v>28</v>
      </c>
      <c r="J438" s="147" t="s">
        <v>2020</v>
      </c>
      <c r="K438" s="142">
        <f t="shared" si="22"/>
        <v>0</v>
      </c>
      <c r="L438" s="143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455</v>
      </c>
      <c r="B439" s="73" t="s">
        <v>1031</v>
      </c>
      <c r="C439" s="73" t="s">
        <v>1063</v>
      </c>
      <c r="D439" s="73" t="s">
        <v>463</v>
      </c>
      <c r="E439" s="85" t="s">
        <v>73</v>
      </c>
      <c r="F439" s="85" t="s">
        <v>1301</v>
      </c>
      <c r="G439" s="85"/>
      <c r="H439" s="85" t="s">
        <v>822</v>
      </c>
      <c r="I439" s="142">
        <f t="shared" si="21"/>
        <v>28</v>
      </c>
      <c r="J439" s="147" t="s">
        <v>2021</v>
      </c>
      <c r="K439" s="142">
        <f t="shared" si="22"/>
        <v>0</v>
      </c>
      <c r="L439" s="143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455</v>
      </c>
      <c r="B440" s="73" t="s">
        <v>1032</v>
      </c>
      <c r="C440" s="73" t="s">
        <v>1063</v>
      </c>
      <c r="D440" s="73" t="s">
        <v>463</v>
      </c>
      <c r="E440" s="85" t="s">
        <v>73</v>
      </c>
      <c r="F440" s="85" t="s">
        <v>1301</v>
      </c>
      <c r="G440" s="85"/>
      <c r="H440" s="85" t="s">
        <v>823</v>
      </c>
      <c r="I440" s="142">
        <f t="shared" si="21"/>
        <v>28</v>
      </c>
      <c r="J440" s="147" t="s">
        <v>2022</v>
      </c>
      <c r="K440" s="142">
        <f t="shared" si="22"/>
        <v>0</v>
      </c>
      <c r="L440" s="143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ht="15.75" thickBot="1" x14ac:dyDescent="0.3">
      <c r="A441" t="s">
        <v>455</v>
      </c>
      <c r="B441" t="s">
        <v>1023</v>
      </c>
      <c r="C441" t="s">
        <v>1063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21"/>
        <v>28</v>
      </c>
      <c r="J441" s="147" t="s">
        <v>2023</v>
      </c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1063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21"/>
        <v>28</v>
      </c>
      <c r="J442" s="147" t="s">
        <v>2024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s="30" t="s">
        <v>1288</v>
      </c>
      <c r="C443" t="s">
        <v>1063</v>
      </c>
      <c r="D443" s="68" t="s">
        <v>1287</v>
      </c>
      <c r="E443" s="30" t="s">
        <v>73</v>
      </c>
      <c r="F443" s="30" t="s">
        <v>28</v>
      </c>
      <c r="G443" s="30"/>
      <c r="H443" s="30" t="s">
        <v>1289</v>
      </c>
      <c r="I443" s="31">
        <f t="shared" si="21"/>
        <v>28</v>
      </c>
      <c r="J443" s="147" t="s">
        <v>2025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1286</v>
      </c>
      <c r="C444" t="s">
        <v>1063</v>
      </c>
      <c r="D444" s="68" t="s">
        <v>1287</v>
      </c>
      <c r="E444" s="30" t="s">
        <v>73</v>
      </c>
      <c r="F444" s="30" t="s">
        <v>28</v>
      </c>
      <c r="G444" s="30"/>
      <c r="H444" s="30" t="s">
        <v>1290</v>
      </c>
      <c r="I444" s="31">
        <f t="shared" si="21"/>
        <v>28</v>
      </c>
      <c r="J444" s="147" t="s">
        <v>2026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s="73" customFormat="1" ht="15.75" thickBot="1" x14ac:dyDescent="0.3">
      <c r="A445" s="73" t="s">
        <v>1605</v>
      </c>
      <c r="B445" s="73" t="s">
        <v>1606</v>
      </c>
      <c r="C445" s="73" t="s">
        <v>1063</v>
      </c>
      <c r="D445" s="146" t="s">
        <v>1607</v>
      </c>
      <c r="E445" s="85" t="s">
        <v>15</v>
      </c>
      <c r="F445" s="85" t="s">
        <v>1301</v>
      </c>
      <c r="G445" s="85"/>
      <c r="H445" s="85" t="s">
        <v>1608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s="73" customFormat="1" ht="15.75" thickBot="1" x14ac:dyDescent="0.3">
      <c r="A446" s="73" t="s">
        <v>1605</v>
      </c>
      <c r="B446" s="73" t="s">
        <v>1617</v>
      </c>
      <c r="C446" s="73" t="s">
        <v>1063</v>
      </c>
      <c r="D446" s="146" t="s">
        <v>1618</v>
      </c>
      <c r="E446" s="85" t="s">
        <v>19</v>
      </c>
      <c r="F446" s="85" t="s">
        <v>1301</v>
      </c>
      <c r="G446" s="85"/>
      <c r="H446" s="85" t="s">
        <v>1619</v>
      </c>
      <c r="I446" s="31">
        <f t="shared" si="21"/>
        <v>28</v>
      </c>
      <c r="J446" s="87"/>
      <c r="K446" s="31">
        <f t="shared" si="22"/>
        <v>0</v>
      </c>
      <c r="L446" s="32">
        <f t="shared" si="23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1611</v>
      </c>
      <c r="B447" s="73" t="s">
        <v>1610</v>
      </c>
      <c r="C447" s="73" t="s">
        <v>1063</v>
      </c>
      <c r="D447" s="146" t="s">
        <v>1612</v>
      </c>
      <c r="E447" s="85" t="s">
        <v>73</v>
      </c>
      <c r="F447" s="85" t="s">
        <v>1301</v>
      </c>
      <c r="G447" s="85"/>
      <c r="H447" s="85" t="s">
        <v>1613</v>
      </c>
      <c r="I447" s="31">
        <f t="shared" si="21"/>
        <v>28</v>
      </c>
      <c r="J447" s="87"/>
      <c r="K447" s="31">
        <f t="shared" si="22"/>
        <v>0</v>
      </c>
      <c r="L447" s="32">
        <f t="shared" si="23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  <c r="AQ447" s="89"/>
    </row>
    <row r="448" spans="1:43" s="73" customFormat="1" ht="15.75" thickBot="1" x14ac:dyDescent="0.3">
      <c r="A448" s="73" t="s">
        <v>1605</v>
      </c>
      <c r="B448" s="73" t="s">
        <v>1662</v>
      </c>
      <c r="C448" s="73" t="s">
        <v>1063</v>
      </c>
      <c r="D448" s="146" t="s">
        <v>1660</v>
      </c>
      <c r="E448" s="85" t="s">
        <v>73</v>
      </c>
      <c r="F448" s="85" t="s">
        <v>1301</v>
      </c>
      <c r="G448" s="85"/>
      <c r="H448" s="85" t="s">
        <v>1664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1663</v>
      </c>
      <c r="C449" s="73" t="s">
        <v>1063</v>
      </c>
      <c r="D449" s="146" t="s">
        <v>1661</v>
      </c>
      <c r="E449" s="85" t="s">
        <v>73</v>
      </c>
      <c r="F449" s="85" t="s">
        <v>1301</v>
      </c>
      <c r="G449" s="85"/>
      <c r="H449" s="85" t="s">
        <v>1665</v>
      </c>
      <c r="I449" s="31">
        <f t="shared" si="21"/>
        <v>28</v>
      </c>
      <c r="J449" s="87"/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1605</v>
      </c>
      <c r="B450" s="73" t="s">
        <v>2174</v>
      </c>
      <c r="C450" s="73" t="s">
        <v>1063</v>
      </c>
      <c r="D450" s="146" t="s">
        <v>2175</v>
      </c>
      <c r="E450" s="85"/>
      <c r="F450" s="85" t="s">
        <v>1301</v>
      </c>
      <c r="G450" s="85"/>
      <c r="H450" s="85" t="s">
        <v>2176</v>
      </c>
      <c r="I450" s="31">
        <f t="shared" si="21"/>
        <v>28</v>
      </c>
      <c r="J450" s="153"/>
      <c r="K450" s="31">
        <f t="shared" si="22"/>
        <v>0</v>
      </c>
      <c r="L450" s="32">
        <f t="shared" si="23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359</v>
      </c>
      <c r="B451" s="73" t="s">
        <v>476</v>
      </c>
      <c r="C451" s="73" t="s">
        <v>1063</v>
      </c>
      <c r="D451" s="73" t="s">
        <v>477</v>
      </c>
      <c r="E451" s="85" t="s">
        <v>73</v>
      </c>
      <c r="F451" s="85" t="s">
        <v>1301</v>
      </c>
      <c r="G451" s="85"/>
      <c r="H451" s="85" t="s">
        <v>826</v>
      </c>
      <c r="I451" s="142">
        <f t="shared" si="21"/>
        <v>28</v>
      </c>
      <c r="J451" s="147" t="s">
        <v>2027</v>
      </c>
      <c r="K451" s="142">
        <f t="shared" si="22"/>
        <v>0</v>
      </c>
      <c r="L451" s="143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359</v>
      </c>
      <c r="B452" s="73" t="s">
        <v>478</v>
      </c>
      <c r="C452" s="73" t="s">
        <v>1063</v>
      </c>
      <c r="D452" s="73" t="s">
        <v>477</v>
      </c>
      <c r="E452" s="85" t="s">
        <v>73</v>
      </c>
      <c r="F452" s="85" t="s">
        <v>1301</v>
      </c>
      <c r="G452" s="85"/>
      <c r="H452" s="85" t="s">
        <v>827</v>
      </c>
      <c r="I452" s="142">
        <f t="shared" si="21"/>
        <v>28</v>
      </c>
      <c r="J452" s="147" t="s">
        <v>2028</v>
      </c>
      <c r="K452" s="142">
        <f t="shared" si="22"/>
        <v>0</v>
      </c>
      <c r="L452" s="143">
        <f t="shared" si="23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359</v>
      </c>
      <c r="B453" s="85" t="s">
        <v>1105</v>
      </c>
      <c r="C453" s="85" t="s">
        <v>1063</v>
      </c>
      <c r="D453" s="73" t="s">
        <v>1104</v>
      </c>
      <c r="E453" s="85" t="s">
        <v>15</v>
      </c>
      <c r="F453" s="85" t="s">
        <v>1301</v>
      </c>
      <c r="G453" s="85"/>
      <c r="H453" s="85" t="s">
        <v>1106</v>
      </c>
      <c r="I453" s="142">
        <f t="shared" si="21"/>
        <v>28</v>
      </c>
      <c r="J453" s="87"/>
      <c r="K453" s="142">
        <f t="shared" si="22"/>
        <v>0</v>
      </c>
      <c r="L453" s="143">
        <f t="shared" si="23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433</v>
      </c>
      <c r="B454" s="85" t="s">
        <v>2143</v>
      </c>
      <c r="C454" t="s">
        <v>1062</v>
      </c>
      <c r="D454" s="73" t="s">
        <v>2144</v>
      </c>
      <c r="E454" s="85" t="s">
        <v>15</v>
      </c>
      <c r="F454" s="85" t="s">
        <v>1301</v>
      </c>
      <c r="G454" s="85"/>
      <c r="H454" s="85" t="s">
        <v>2145</v>
      </c>
      <c r="I454" s="142">
        <f t="shared" si="21"/>
        <v>28</v>
      </c>
      <c r="J454" s="153" t="s">
        <v>2146</v>
      </c>
      <c r="K454" s="142">
        <f t="shared" si="22"/>
        <v>0</v>
      </c>
      <c r="L454" s="143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ht="15.75" thickBot="1" x14ac:dyDescent="0.3">
      <c r="A455" t="s">
        <v>264</v>
      </c>
      <c r="B455" t="s">
        <v>1033</v>
      </c>
      <c r="C455" t="s">
        <v>1062</v>
      </c>
      <c r="D455" t="s">
        <v>496</v>
      </c>
      <c r="E455" s="30" t="s">
        <v>19</v>
      </c>
      <c r="F455" s="30" t="s">
        <v>1056</v>
      </c>
      <c r="G455" s="30" t="s">
        <v>1257</v>
      </c>
      <c r="H455" s="30" t="s">
        <v>836</v>
      </c>
      <c r="I455" s="31">
        <f t="shared" si="21"/>
        <v>28</v>
      </c>
      <c r="J455" s="147" t="s">
        <v>2029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479</v>
      </c>
      <c r="B456" t="s">
        <v>480</v>
      </c>
      <c r="C456" t="s">
        <v>1062</v>
      </c>
      <c r="D456" t="s">
        <v>1615</v>
      </c>
      <c r="E456" s="30" t="s">
        <v>19</v>
      </c>
      <c r="F456" s="30" t="s">
        <v>1056</v>
      </c>
      <c r="G456" s="30" t="s">
        <v>1257</v>
      </c>
      <c r="H456" s="30" t="s">
        <v>828</v>
      </c>
      <c r="I456" s="31">
        <f t="shared" si="21"/>
        <v>28</v>
      </c>
      <c r="J456" s="147" t="s">
        <v>2030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479</v>
      </c>
      <c r="B457" t="s">
        <v>481</v>
      </c>
      <c r="C457" t="s">
        <v>1062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4">COUNTIF(M457:AN457,"")</f>
        <v>28</v>
      </c>
      <c r="J457" s="147" t="s">
        <v>2031</v>
      </c>
      <c r="K457" s="31">
        <f t="shared" ref="K457:K529" si="25">COUNTIF(M457:AN457,"APAGADO")</f>
        <v>0</v>
      </c>
      <c r="L457" s="32">
        <f t="shared" ref="L457:L529" si="26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483</v>
      </c>
      <c r="B458" t="s">
        <v>484</v>
      </c>
      <c r="C458" t="s">
        <v>1062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4"/>
        <v>28</v>
      </c>
      <c r="J458" s="147" t="s">
        <v>2032</v>
      </c>
      <c r="K458" s="31">
        <f t="shared" si="25"/>
        <v>0</v>
      </c>
      <c r="L458" s="32">
        <f t="shared" si="26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486</v>
      </c>
      <c r="C459" t="s">
        <v>1062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4"/>
        <v>28</v>
      </c>
      <c r="J459" s="147" t="s">
        <v>2033</v>
      </c>
      <c r="K459" s="31">
        <f t="shared" si="25"/>
        <v>0</v>
      </c>
      <c r="L459" s="32">
        <f t="shared" si="26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488</v>
      </c>
      <c r="C460" t="s">
        <v>1062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4"/>
        <v>28</v>
      </c>
      <c r="J460" s="147" t="s">
        <v>2034</v>
      </c>
      <c r="K460" s="31">
        <f t="shared" si="25"/>
        <v>0</v>
      </c>
      <c r="L460" s="32">
        <f t="shared" si="26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479</v>
      </c>
      <c r="B461" s="73" t="s">
        <v>490</v>
      </c>
      <c r="C461" s="73" t="s">
        <v>1062</v>
      </c>
      <c r="D461" s="73" t="s">
        <v>491</v>
      </c>
      <c r="E461" s="85" t="s">
        <v>15</v>
      </c>
      <c r="F461" s="85" t="s">
        <v>1301</v>
      </c>
      <c r="G461" s="85"/>
      <c r="H461" s="85" t="s">
        <v>833</v>
      </c>
      <c r="I461" s="142">
        <f t="shared" si="24"/>
        <v>28</v>
      </c>
      <c r="J461" s="147" t="s">
        <v>2035</v>
      </c>
      <c r="K461" s="142">
        <f t="shared" si="25"/>
        <v>0</v>
      </c>
      <c r="L461" s="143">
        <f t="shared" si="26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  <c r="AQ461" s="89"/>
    </row>
    <row r="462" spans="1:43" s="73" customFormat="1" ht="15.75" thickBot="1" x14ac:dyDescent="0.3">
      <c r="A462" s="73" t="s">
        <v>479</v>
      </c>
      <c r="B462" s="73" t="s">
        <v>492</v>
      </c>
      <c r="C462" s="73" t="s">
        <v>1062</v>
      </c>
      <c r="D462" s="73" t="s">
        <v>493</v>
      </c>
      <c r="E462" s="85" t="s">
        <v>19</v>
      </c>
      <c r="F462" s="85" t="s">
        <v>1301</v>
      </c>
      <c r="G462" s="85"/>
      <c r="H462" s="85" t="s">
        <v>834</v>
      </c>
      <c r="I462" s="31">
        <f t="shared" si="24"/>
        <v>28</v>
      </c>
      <c r="J462" s="147" t="s">
        <v>2036</v>
      </c>
      <c r="K462" s="31">
        <f t="shared" si="25"/>
        <v>0</v>
      </c>
      <c r="L462" s="32">
        <f t="shared" si="26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  <c r="AQ462" s="89"/>
    </row>
    <row r="463" spans="1:43" ht="15.75" thickBot="1" x14ac:dyDescent="0.3">
      <c r="A463" t="s">
        <v>479</v>
      </c>
      <c r="B463" t="s">
        <v>494</v>
      </c>
      <c r="C463" t="s">
        <v>1062</v>
      </c>
      <c r="D463" t="s">
        <v>495</v>
      </c>
      <c r="E463" s="30" t="s">
        <v>19</v>
      </c>
      <c r="F463" s="30" t="s">
        <v>1056</v>
      </c>
      <c r="G463" s="30" t="s">
        <v>1258</v>
      </c>
      <c r="H463" s="30" t="s">
        <v>835</v>
      </c>
      <c r="I463" s="31">
        <f t="shared" si="24"/>
        <v>28</v>
      </c>
      <c r="J463" s="147" t="s">
        <v>2037</v>
      </c>
      <c r="K463" s="31">
        <f t="shared" si="25"/>
        <v>0</v>
      </c>
      <c r="L463" s="32">
        <f t="shared" si="26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1188</v>
      </c>
      <c r="C464" s="73" t="s">
        <v>1062</v>
      </c>
      <c r="D464" s="73" t="s">
        <v>1189</v>
      </c>
      <c r="E464" s="85" t="s">
        <v>1114</v>
      </c>
      <c r="F464" s="85" t="s">
        <v>1301</v>
      </c>
      <c r="G464" s="85"/>
      <c r="H464" s="85" t="s">
        <v>1190</v>
      </c>
      <c r="I464" s="142">
        <f t="shared" si="24"/>
        <v>28</v>
      </c>
      <c r="J464" s="147" t="s">
        <v>2038</v>
      </c>
      <c r="K464" s="142">
        <f t="shared" si="25"/>
        <v>0</v>
      </c>
      <c r="L464" s="143">
        <f t="shared" si="26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1191</v>
      </c>
      <c r="C465" s="73" t="s">
        <v>1062</v>
      </c>
      <c r="D465" s="73" t="s">
        <v>1189</v>
      </c>
      <c r="E465" s="85" t="s">
        <v>1114</v>
      </c>
      <c r="F465" s="85" t="s">
        <v>28</v>
      </c>
      <c r="G465" s="85"/>
      <c r="H465" s="85" t="s">
        <v>1192</v>
      </c>
      <c r="I465" s="87">
        <f t="shared" si="24"/>
        <v>28</v>
      </c>
      <c r="J465" s="147" t="s">
        <v>2039</v>
      </c>
      <c r="K465" s="87">
        <f t="shared" si="25"/>
        <v>0</v>
      </c>
      <c r="L465" s="88">
        <f t="shared" si="26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</row>
    <row r="466" spans="1:43" ht="15.75" thickBot="1" x14ac:dyDescent="0.3">
      <c r="A466" t="s">
        <v>479</v>
      </c>
      <c r="B466" t="s">
        <v>1221</v>
      </c>
      <c r="C466" t="s">
        <v>1062</v>
      </c>
      <c r="D466" t="s">
        <v>1237</v>
      </c>
      <c r="E466" t="s">
        <v>73</v>
      </c>
      <c r="F466" t="s">
        <v>28</v>
      </c>
      <c r="G466"/>
      <c r="H466" s="30" t="s">
        <v>1282</v>
      </c>
      <c r="I466" s="31">
        <f t="shared" si="24"/>
        <v>28</v>
      </c>
      <c r="J466" s="147" t="s">
        <v>2040</v>
      </c>
      <c r="K466" s="31">
        <f t="shared" si="25"/>
        <v>0</v>
      </c>
      <c r="L466" s="32">
        <f t="shared" si="26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479</v>
      </c>
      <c r="B467" t="s">
        <v>1222</v>
      </c>
      <c r="C467" t="s">
        <v>1062</v>
      </c>
      <c r="D467" t="s">
        <v>1237</v>
      </c>
      <c r="E467" t="s">
        <v>73</v>
      </c>
      <c r="F467" t="s">
        <v>28</v>
      </c>
      <c r="G467"/>
      <c r="H467" s="30" t="s">
        <v>1283</v>
      </c>
      <c r="I467" s="31">
        <f t="shared" si="24"/>
        <v>28</v>
      </c>
      <c r="J467" s="147" t="s">
        <v>2041</v>
      </c>
      <c r="K467" s="31">
        <f t="shared" si="25"/>
        <v>0</v>
      </c>
      <c r="L467" s="32">
        <f t="shared" si="26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479</v>
      </c>
      <c r="B468" t="s">
        <v>1340</v>
      </c>
      <c r="C468" t="s">
        <v>1062</v>
      </c>
      <c r="D468" s="68" t="s">
        <v>1341</v>
      </c>
      <c r="E468" t="s">
        <v>73</v>
      </c>
      <c r="F468"/>
      <c r="G468"/>
      <c r="H468" s="30" t="s">
        <v>1330</v>
      </c>
      <c r="I468" s="31">
        <f t="shared" si="24"/>
        <v>28</v>
      </c>
      <c r="J468" s="147" t="s">
        <v>2042</v>
      </c>
      <c r="K468" s="31">
        <f t="shared" si="25"/>
        <v>0</v>
      </c>
      <c r="L468" s="32">
        <f t="shared" si="26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1352</v>
      </c>
      <c r="C469" s="73" t="s">
        <v>1062</v>
      </c>
      <c r="D469" s="146" t="s">
        <v>1359</v>
      </c>
      <c r="E469" s="73" t="s">
        <v>15</v>
      </c>
      <c r="F469" s="73" t="s">
        <v>1301</v>
      </c>
      <c r="H469" s="85" t="s">
        <v>1422</v>
      </c>
      <c r="I469" s="87">
        <f t="shared" si="24"/>
        <v>28</v>
      </c>
      <c r="J469" s="147" t="s">
        <v>2043</v>
      </c>
      <c r="K469" s="87">
        <f t="shared" si="25"/>
        <v>0</v>
      </c>
      <c r="L469" s="88">
        <f t="shared" si="26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</row>
    <row r="470" spans="1:43" s="73" customFormat="1" ht="15.75" thickBot="1" x14ac:dyDescent="0.3">
      <c r="A470" s="73" t="s">
        <v>479</v>
      </c>
      <c r="B470" s="73" t="s">
        <v>1609</v>
      </c>
      <c r="C470" s="73" t="s">
        <v>1062</v>
      </c>
      <c r="D470" s="146" t="s">
        <v>1614</v>
      </c>
      <c r="E470" s="73" t="s">
        <v>15</v>
      </c>
      <c r="F470" s="73" t="s">
        <v>1301</v>
      </c>
      <c r="H470" s="85" t="s">
        <v>1616</v>
      </c>
      <c r="I470" s="87">
        <f t="shared" si="24"/>
        <v>28</v>
      </c>
      <c r="J470" s="87" t="s">
        <v>2166</v>
      </c>
      <c r="K470" s="87">
        <f t="shared" si="25"/>
        <v>0</v>
      </c>
      <c r="L470" s="88">
        <f t="shared" si="26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s="73" customFormat="1" ht="15.75" thickBot="1" x14ac:dyDescent="0.3">
      <c r="A471" s="73" t="s">
        <v>479</v>
      </c>
      <c r="B471" s="73" t="s">
        <v>1627</v>
      </c>
      <c r="C471" s="73" t="s">
        <v>1062</v>
      </c>
      <c r="D471" s="146" t="s">
        <v>1620</v>
      </c>
      <c r="E471" s="73" t="s">
        <v>19</v>
      </c>
      <c r="F471" s="73" t="s">
        <v>1301</v>
      </c>
      <c r="H471" s="85" t="s">
        <v>1628</v>
      </c>
      <c r="I471" s="87">
        <f t="shared" si="24"/>
        <v>28</v>
      </c>
      <c r="J471" s="87" t="s">
        <v>2167</v>
      </c>
      <c r="K471" s="87">
        <f t="shared" si="25"/>
        <v>0</v>
      </c>
      <c r="L471" s="88">
        <f t="shared" si="26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s="73" customFormat="1" ht="15.75" thickBot="1" x14ac:dyDescent="0.3">
      <c r="A472" s="73" t="s">
        <v>479</v>
      </c>
      <c r="B472" s="73" t="s">
        <v>1622</v>
      </c>
      <c r="C472" s="73" t="s">
        <v>1062</v>
      </c>
      <c r="D472" s="146" t="s">
        <v>1621</v>
      </c>
      <c r="E472" s="73" t="s">
        <v>1114</v>
      </c>
      <c r="F472" s="73" t="s">
        <v>1301</v>
      </c>
      <c r="H472" s="85" t="s">
        <v>1626</v>
      </c>
      <c r="I472" s="87">
        <f t="shared" si="24"/>
        <v>28</v>
      </c>
      <c r="J472" s="87" t="s">
        <v>2168</v>
      </c>
      <c r="K472" s="87">
        <f t="shared" si="25"/>
        <v>0</v>
      </c>
      <c r="L472" s="88">
        <f t="shared" si="26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1623</v>
      </c>
      <c r="C473" s="73" t="s">
        <v>1062</v>
      </c>
      <c r="D473" s="146" t="s">
        <v>1624</v>
      </c>
      <c r="E473" s="73" t="s">
        <v>1114</v>
      </c>
      <c r="F473" s="73" t="s">
        <v>1301</v>
      </c>
      <c r="H473" s="85" t="s">
        <v>1625</v>
      </c>
      <c r="I473" s="87">
        <f t="shared" si="24"/>
        <v>28</v>
      </c>
      <c r="J473" s="87" t="s">
        <v>2169</v>
      </c>
      <c r="K473" s="87">
        <f t="shared" si="25"/>
        <v>0</v>
      </c>
      <c r="L473" s="88">
        <f t="shared" si="26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229</v>
      </c>
      <c r="B474" s="73" t="s">
        <v>497</v>
      </c>
      <c r="C474" s="73" t="s">
        <v>1063</v>
      </c>
      <c r="D474" s="73" t="s">
        <v>498</v>
      </c>
      <c r="E474" s="85" t="s">
        <v>19</v>
      </c>
      <c r="F474" s="85" t="s">
        <v>1301</v>
      </c>
      <c r="G474" s="85"/>
      <c r="H474" s="85" t="s">
        <v>837</v>
      </c>
      <c r="I474" s="142">
        <f t="shared" si="24"/>
        <v>28</v>
      </c>
      <c r="J474" s="147" t="s">
        <v>2044</v>
      </c>
      <c r="K474" s="142">
        <f t="shared" si="25"/>
        <v>0</v>
      </c>
      <c r="L474" s="143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229</v>
      </c>
      <c r="B475" t="s">
        <v>499</v>
      </c>
      <c r="C475" t="s">
        <v>1063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4"/>
        <v>28</v>
      </c>
      <c r="J475" s="87"/>
      <c r="K475" s="31">
        <f t="shared" si="25"/>
        <v>0</v>
      </c>
      <c r="L475" s="3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t="s">
        <v>501</v>
      </c>
      <c r="C476" t="s">
        <v>1063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4"/>
        <v>28</v>
      </c>
      <c r="J476" s="87"/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t="s">
        <v>503</v>
      </c>
      <c r="C477" t="s">
        <v>1063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4"/>
        <v>28</v>
      </c>
      <c r="J477" s="87"/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t="s">
        <v>504</v>
      </c>
      <c r="C478" t="s">
        <v>1063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4"/>
        <v>28</v>
      </c>
      <c r="J478" s="87"/>
      <c r="K478" s="31">
        <f t="shared" si="25"/>
        <v>0</v>
      </c>
      <c r="L478" s="3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506</v>
      </c>
      <c r="C479" t="s">
        <v>1063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4"/>
        <v>28</v>
      </c>
      <c r="J479" s="87"/>
      <c r="K479" s="31">
        <f t="shared" si="25"/>
        <v>0</v>
      </c>
      <c r="L479" s="32">
        <f t="shared" si="26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507</v>
      </c>
      <c r="C480" t="s">
        <v>1063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4"/>
        <v>28</v>
      </c>
      <c r="J480" s="147" t="s">
        <v>2045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1034</v>
      </c>
      <c r="C481" t="s">
        <v>1063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4"/>
        <v>28</v>
      </c>
      <c r="J481" s="147" t="s">
        <v>2046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1035</v>
      </c>
      <c r="C482" t="s">
        <v>1063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4"/>
        <v>28</v>
      </c>
      <c r="J482" s="147" t="s">
        <v>2047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510</v>
      </c>
      <c r="C483" t="s">
        <v>1063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4"/>
        <v>28</v>
      </c>
      <c r="J483" s="147" t="s">
        <v>2048</v>
      </c>
      <c r="K483" s="31">
        <f t="shared" si="25"/>
        <v>0</v>
      </c>
      <c r="L483" s="32">
        <f t="shared" si="26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512</v>
      </c>
      <c r="C484" t="s">
        <v>1063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4"/>
        <v>28</v>
      </c>
      <c r="J484" s="147" t="s">
        <v>2049</v>
      </c>
      <c r="K484" s="31">
        <f t="shared" si="25"/>
        <v>0</v>
      </c>
      <c r="L484" s="32">
        <f t="shared" si="26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s="30" t="s">
        <v>1095</v>
      </c>
      <c r="C485" s="30" t="s">
        <v>1063</v>
      </c>
      <c r="D485" t="s">
        <v>1096</v>
      </c>
      <c r="E485" s="30" t="s">
        <v>19</v>
      </c>
      <c r="F485" s="30" t="s">
        <v>28</v>
      </c>
      <c r="G485" s="30"/>
      <c r="H485" s="30" t="s">
        <v>1097</v>
      </c>
      <c r="I485" s="31">
        <f t="shared" si="24"/>
        <v>28</v>
      </c>
      <c r="J485" s="147" t="s">
        <v>2050</v>
      </c>
      <c r="K485" s="31">
        <f t="shared" si="25"/>
        <v>0</v>
      </c>
      <c r="L485" s="32">
        <f t="shared" si="26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s="30" t="s">
        <v>1100</v>
      </c>
      <c r="C486" s="30" t="s">
        <v>1063</v>
      </c>
      <c r="D486" t="s">
        <v>1098</v>
      </c>
      <c r="E486" s="30" t="s">
        <v>19</v>
      </c>
      <c r="F486" s="30" t="s">
        <v>28</v>
      </c>
      <c r="G486" s="30"/>
      <c r="H486" s="30" t="s">
        <v>1099</v>
      </c>
      <c r="I486" s="31">
        <f t="shared" si="24"/>
        <v>28</v>
      </c>
      <c r="J486" s="147" t="s">
        <v>2051</v>
      </c>
      <c r="K486" s="31">
        <f t="shared" si="25"/>
        <v>0</v>
      </c>
      <c r="L486" s="32">
        <f t="shared" si="26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s="30" t="s">
        <v>1101</v>
      </c>
      <c r="C487" s="30" t="s">
        <v>1063</v>
      </c>
      <c r="D487" t="s">
        <v>1102</v>
      </c>
      <c r="E487" s="30" t="s">
        <v>19</v>
      </c>
      <c r="F487" s="30" t="s">
        <v>28</v>
      </c>
      <c r="G487" s="30"/>
      <c r="H487" s="30" t="s">
        <v>1103</v>
      </c>
      <c r="I487" s="31">
        <f t="shared" si="24"/>
        <v>28</v>
      </c>
      <c r="J487" s="147" t="s">
        <v>2052</v>
      </c>
      <c r="K487" s="31">
        <f t="shared" si="25"/>
        <v>0</v>
      </c>
      <c r="L487" s="32">
        <f t="shared" si="26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518</v>
      </c>
      <c r="B488" t="s">
        <v>526</v>
      </c>
      <c r="C488" t="s">
        <v>1063</v>
      </c>
      <c r="D488" t="s">
        <v>2258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4"/>
        <v>28</v>
      </c>
      <c r="J488" s="147" t="s">
        <v>2053</v>
      </c>
      <c r="K488" s="31">
        <f t="shared" si="25"/>
        <v>0</v>
      </c>
      <c r="L488" s="32">
        <f t="shared" si="26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514</v>
      </c>
      <c r="B489" t="s">
        <v>527</v>
      </c>
      <c r="C489" t="s">
        <v>1063</v>
      </c>
      <c r="D489" t="s">
        <v>1091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4"/>
        <v>28</v>
      </c>
      <c r="J489" s="147" t="s">
        <v>2054</v>
      </c>
      <c r="K489" s="31">
        <f t="shared" si="25"/>
        <v>0</v>
      </c>
      <c r="L489" s="3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514</v>
      </c>
      <c r="B490" t="s">
        <v>528</v>
      </c>
      <c r="C490" t="s">
        <v>1063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4"/>
        <v>28</v>
      </c>
      <c r="J490" s="147" t="s">
        <v>2055</v>
      </c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s="73" t="s">
        <v>514</v>
      </c>
      <c r="B491" s="73" t="s">
        <v>530</v>
      </c>
      <c r="C491" s="73" t="s">
        <v>1063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4"/>
        <v>28</v>
      </c>
      <c r="J491" s="147" t="s">
        <v>2056</v>
      </c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s="73" customFormat="1" ht="15.75" thickBot="1" x14ac:dyDescent="0.3">
      <c r="A492" s="73" t="s">
        <v>514</v>
      </c>
      <c r="B492" s="73" t="s">
        <v>532</v>
      </c>
      <c r="C492" s="73" t="s">
        <v>1063</v>
      </c>
      <c r="D492" s="73" t="s">
        <v>533</v>
      </c>
      <c r="E492" s="85" t="s">
        <v>19</v>
      </c>
      <c r="F492" s="85" t="s">
        <v>1301</v>
      </c>
      <c r="G492" s="85"/>
      <c r="H492" s="85" t="s">
        <v>1504</v>
      </c>
      <c r="I492" s="142">
        <f t="shared" si="24"/>
        <v>28</v>
      </c>
      <c r="J492" s="147" t="s">
        <v>2057</v>
      </c>
      <c r="K492" s="142">
        <f t="shared" si="25"/>
        <v>0</v>
      </c>
      <c r="L492" s="143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  <c r="AQ492" s="89"/>
    </row>
    <row r="493" spans="1:43" ht="15.75" thickBot="1" x14ac:dyDescent="0.3">
      <c r="A493" t="s">
        <v>514</v>
      </c>
      <c r="B493" t="s">
        <v>534</v>
      </c>
      <c r="C493" t="s">
        <v>1063</v>
      </c>
      <c r="D493" t="s">
        <v>1069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4"/>
        <v>28</v>
      </c>
      <c r="J493" s="147" t="s">
        <v>2058</v>
      </c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535</v>
      </c>
      <c r="C494" t="s">
        <v>1062</v>
      </c>
      <c r="D494" t="s">
        <v>1068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4"/>
        <v>28</v>
      </c>
      <c r="J494" s="147" t="s">
        <v>2059</v>
      </c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518</v>
      </c>
      <c r="B495" s="73" t="s">
        <v>536</v>
      </c>
      <c r="C495" s="73" t="s">
        <v>1063</v>
      </c>
      <c r="D495" s="73" t="s">
        <v>537</v>
      </c>
      <c r="E495" s="85" t="s">
        <v>19</v>
      </c>
      <c r="F495" s="85" t="s">
        <v>1301</v>
      </c>
      <c r="G495" s="85"/>
      <c r="H495" s="85" t="s">
        <v>854</v>
      </c>
      <c r="I495" s="142">
        <f t="shared" si="24"/>
        <v>28</v>
      </c>
      <c r="J495" s="147" t="s">
        <v>2060</v>
      </c>
      <c r="K495" s="142">
        <f t="shared" si="25"/>
        <v>0</v>
      </c>
      <c r="L495" s="143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518</v>
      </c>
      <c r="B496" t="s">
        <v>538</v>
      </c>
      <c r="C496" t="s">
        <v>1063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4"/>
        <v>28</v>
      </c>
      <c r="J496" s="147" t="s">
        <v>2061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1036</v>
      </c>
      <c r="C497" t="s">
        <v>1063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4"/>
        <v>28</v>
      </c>
      <c r="J497" s="147" t="s">
        <v>2062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518</v>
      </c>
      <c r="B498" t="s">
        <v>541</v>
      </c>
      <c r="C498" t="s">
        <v>1063</v>
      </c>
      <c r="D498" t="s">
        <v>542</v>
      </c>
      <c r="E498" s="30" t="s">
        <v>19</v>
      </c>
      <c r="F498" s="85" t="s">
        <v>1301</v>
      </c>
      <c r="G498" s="30"/>
      <c r="H498" s="30" t="s">
        <v>857</v>
      </c>
      <c r="I498" s="31">
        <f t="shared" si="24"/>
        <v>28</v>
      </c>
      <c r="J498" s="147" t="s">
        <v>2063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518</v>
      </c>
      <c r="B499" t="s">
        <v>1040</v>
      </c>
      <c r="C499" t="s">
        <v>1063</v>
      </c>
      <c r="D499" t="s">
        <v>513</v>
      </c>
      <c r="E499" s="30" t="s">
        <v>15</v>
      </c>
      <c r="F499" s="30" t="s">
        <v>1056</v>
      </c>
      <c r="G499" s="30" t="s">
        <v>1259</v>
      </c>
      <c r="H499" s="30" t="s">
        <v>858</v>
      </c>
      <c r="I499" s="31">
        <f t="shared" si="24"/>
        <v>28</v>
      </c>
      <c r="J499" s="147" t="s">
        <v>2064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1041</v>
      </c>
      <c r="C500" t="s">
        <v>1063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4"/>
        <v>28</v>
      </c>
      <c r="J500" s="147" t="s">
        <v>2065</v>
      </c>
      <c r="K500" s="31">
        <f t="shared" si="25"/>
        <v>0</v>
      </c>
      <c r="L500" s="32">
        <f t="shared" si="26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1037</v>
      </c>
      <c r="C501" t="s">
        <v>1063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4"/>
        <v>28</v>
      </c>
      <c r="J501" s="147" t="s">
        <v>2066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516</v>
      </c>
      <c r="C502" t="s">
        <v>1063</v>
      </c>
      <c r="D502" t="s">
        <v>517</v>
      </c>
      <c r="E502" s="30" t="s">
        <v>15</v>
      </c>
      <c r="F502" s="30" t="s">
        <v>1056</v>
      </c>
      <c r="G502" s="30" t="s">
        <v>1260</v>
      </c>
      <c r="H502" s="30" t="s">
        <v>861</v>
      </c>
      <c r="I502" s="31">
        <f t="shared" si="24"/>
        <v>28</v>
      </c>
      <c r="J502" s="147" t="s">
        <v>2067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519</v>
      </c>
      <c r="C503" t="s">
        <v>1063</v>
      </c>
      <c r="D503" t="s">
        <v>520</v>
      </c>
      <c r="E503" s="30" t="s">
        <v>15</v>
      </c>
      <c r="F503" s="30" t="s">
        <v>1056</v>
      </c>
      <c r="G503" s="30" t="s">
        <v>1256</v>
      </c>
      <c r="H503" s="30" t="s">
        <v>862</v>
      </c>
      <c r="I503" s="31">
        <f t="shared" si="24"/>
        <v>28</v>
      </c>
      <c r="J503" s="147" t="s">
        <v>2068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521</v>
      </c>
      <c r="C504" t="s">
        <v>1063</v>
      </c>
      <c r="D504" t="s">
        <v>1090</v>
      </c>
      <c r="E504" s="30" t="s">
        <v>15</v>
      </c>
      <c r="F504" s="30" t="s">
        <v>1056</v>
      </c>
      <c r="G504" s="30" t="s">
        <v>1261</v>
      </c>
      <c r="H504" s="30" t="s">
        <v>863</v>
      </c>
      <c r="I504" s="31">
        <f t="shared" si="24"/>
        <v>28</v>
      </c>
      <c r="J504" s="147" t="s">
        <v>2069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1042</v>
      </c>
      <c r="C505" t="s">
        <v>1063</v>
      </c>
      <c r="D505" t="s">
        <v>522</v>
      </c>
      <c r="E505" s="30" t="s">
        <v>15</v>
      </c>
      <c r="F505" s="30" t="s">
        <v>1056</v>
      </c>
      <c r="G505" s="30" t="s">
        <v>1262</v>
      </c>
      <c r="H505" s="30" t="s">
        <v>864</v>
      </c>
      <c r="I505" s="31">
        <f t="shared" si="24"/>
        <v>28</v>
      </c>
      <c r="J505" s="147" t="s">
        <v>2070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1043</v>
      </c>
      <c r="C506" t="s">
        <v>1063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4"/>
        <v>28</v>
      </c>
      <c r="J506" s="73"/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73" t="s">
        <v>524</v>
      </c>
      <c r="C507" s="73" t="s">
        <v>1063</v>
      </c>
      <c r="D507" s="73" t="s">
        <v>525</v>
      </c>
      <c r="E507" s="85" t="s">
        <v>46</v>
      </c>
      <c r="F507" s="85" t="s">
        <v>1301</v>
      </c>
      <c r="G507" s="85"/>
      <c r="H507" s="85" t="s">
        <v>1367</v>
      </c>
      <c r="I507" s="142">
        <f t="shared" si="24"/>
        <v>28</v>
      </c>
      <c r="J507" s="147" t="s">
        <v>2071</v>
      </c>
      <c r="K507" s="142">
        <f t="shared" si="25"/>
        <v>0</v>
      </c>
      <c r="L507" s="143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ht="15.75" thickBot="1" x14ac:dyDescent="0.3">
      <c r="A508" t="s">
        <v>514</v>
      </c>
      <c r="B508" t="s">
        <v>1038</v>
      </c>
      <c r="C508" t="s">
        <v>1063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4"/>
        <v>28</v>
      </c>
      <c r="J508" s="147" t="s">
        <v>2072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1039</v>
      </c>
      <c r="C509" t="s">
        <v>1063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4"/>
        <v>28</v>
      </c>
      <c r="J509" s="147" t="s">
        <v>2073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545</v>
      </c>
      <c r="C510" t="s">
        <v>1062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4"/>
        <v>28</v>
      </c>
      <c r="J510" s="147" t="s">
        <v>2074</v>
      </c>
      <c r="K510" s="31">
        <f t="shared" si="25"/>
        <v>0</v>
      </c>
      <c r="L510" s="3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547</v>
      </c>
      <c r="C511" t="s">
        <v>1062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4"/>
        <v>28</v>
      </c>
      <c r="J511" s="147" t="s">
        <v>2075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1145</v>
      </c>
      <c r="C512" t="s">
        <v>1063</v>
      </c>
      <c r="D512" t="s">
        <v>1147</v>
      </c>
      <c r="E512" s="30" t="s">
        <v>73</v>
      </c>
      <c r="F512" s="30" t="s">
        <v>28</v>
      </c>
      <c r="G512" s="30"/>
      <c r="H512" s="30" t="s">
        <v>1148</v>
      </c>
      <c r="I512" s="31">
        <f t="shared" si="24"/>
        <v>28</v>
      </c>
      <c r="J512" s="147" t="s">
        <v>2076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1146</v>
      </c>
      <c r="C513" t="s">
        <v>1063</v>
      </c>
      <c r="D513" t="s">
        <v>1147</v>
      </c>
      <c r="E513" s="30" t="s">
        <v>1114</v>
      </c>
      <c r="F513" s="30" t="s">
        <v>28</v>
      </c>
      <c r="G513" s="30"/>
      <c r="H513" s="30" t="s">
        <v>1149</v>
      </c>
      <c r="I513" s="31">
        <f t="shared" si="24"/>
        <v>28</v>
      </c>
      <c r="J513" s="147" t="s">
        <v>2077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s="73" customFormat="1" ht="15.75" thickBot="1" x14ac:dyDescent="0.3">
      <c r="A514" s="73" t="s">
        <v>518</v>
      </c>
      <c r="B514" s="85" t="s">
        <v>1208</v>
      </c>
      <c r="C514" s="85" t="s">
        <v>1063</v>
      </c>
      <c r="D514" s="73" t="s">
        <v>1204</v>
      </c>
      <c r="E514" s="85" t="s">
        <v>15</v>
      </c>
      <c r="F514" s="85" t="s">
        <v>1301</v>
      </c>
      <c r="G514" s="85"/>
      <c r="H514" s="85" t="s">
        <v>1205</v>
      </c>
      <c r="I514" s="142">
        <f t="shared" si="24"/>
        <v>28</v>
      </c>
      <c r="J514" s="147" t="s">
        <v>2078</v>
      </c>
      <c r="K514" s="142">
        <f t="shared" si="25"/>
        <v>0</v>
      </c>
      <c r="L514" s="143">
        <f t="shared" si="26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  <c r="AQ514" s="89"/>
    </row>
    <row r="515" spans="1:43" ht="15.75" thickBot="1" x14ac:dyDescent="0.3">
      <c r="A515" t="s">
        <v>518</v>
      </c>
      <c r="B515" s="30" t="s">
        <v>1532</v>
      </c>
      <c r="C515" s="30" t="s">
        <v>1063</v>
      </c>
      <c r="D515" t="s">
        <v>1533</v>
      </c>
      <c r="E515" s="30" t="s">
        <v>1114</v>
      </c>
      <c r="F515" s="30" t="s">
        <v>28</v>
      </c>
      <c r="G515" s="30"/>
      <c r="H515" s="30" t="s">
        <v>1534</v>
      </c>
      <c r="I515" s="142">
        <f t="shared" si="24"/>
        <v>28</v>
      </c>
      <c r="J515" s="147" t="s">
        <v>2079</v>
      </c>
      <c r="K515" s="142">
        <f t="shared" si="25"/>
        <v>0</v>
      </c>
      <c r="L515" s="143">
        <f t="shared" si="26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73" customFormat="1" ht="15.75" thickBot="1" x14ac:dyDescent="0.3">
      <c r="A516" s="73" t="s">
        <v>518</v>
      </c>
      <c r="B516" s="85" t="s">
        <v>1584</v>
      </c>
      <c r="C516" s="85" t="s">
        <v>1063</v>
      </c>
      <c r="D516" s="73" t="s">
        <v>1585</v>
      </c>
      <c r="E516" s="85" t="s">
        <v>15</v>
      </c>
      <c r="F516" s="85" t="s">
        <v>1301</v>
      </c>
      <c r="G516" s="85"/>
      <c r="H516" s="85" t="s">
        <v>1586</v>
      </c>
      <c r="I516" s="142">
        <f t="shared" si="24"/>
        <v>28</v>
      </c>
      <c r="J516" s="147" t="s">
        <v>2080</v>
      </c>
      <c r="K516" s="142">
        <f t="shared" si="25"/>
        <v>0</v>
      </c>
      <c r="L516" s="143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518</v>
      </c>
      <c r="B517" s="85" t="s">
        <v>1587</v>
      </c>
      <c r="C517" s="85" t="s">
        <v>1063</v>
      </c>
      <c r="D517" s="73" t="s">
        <v>1588</v>
      </c>
      <c r="E517" s="85" t="s">
        <v>15</v>
      </c>
      <c r="F517" s="85" t="s">
        <v>1301</v>
      </c>
      <c r="G517" s="85"/>
      <c r="H517" s="85" t="s">
        <v>1589</v>
      </c>
      <c r="I517" s="142">
        <f t="shared" si="24"/>
        <v>28</v>
      </c>
      <c r="J517" s="147" t="s">
        <v>2081</v>
      </c>
      <c r="K517" s="142">
        <f t="shared" si="25"/>
        <v>0</v>
      </c>
      <c r="L517" s="143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518</v>
      </c>
      <c r="B518" s="85" t="s">
        <v>2226</v>
      </c>
      <c r="C518" s="85" t="s">
        <v>1063</v>
      </c>
      <c r="D518" s="73" t="s">
        <v>2227</v>
      </c>
      <c r="E518" s="30" t="s">
        <v>73</v>
      </c>
      <c r="F518" s="85" t="s">
        <v>1301</v>
      </c>
      <c r="G518" s="85"/>
      <c r="H518" s="85" t="s">
        <v>2228</v>
      </c>
      <c r="I518" s="142">
        <f t="shared" si="24"/>
        <v>28</v>
      </c>
      <c r="J518" s="147" t="s">
        <v>2229</v>
      </c>
      <c r="K518" s="142">
        <f t="shared" si="25"/>
        <v>0</v>
      </c>
      <c r="L518" s="143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518</v>
      </c>
      <c r="B519" s="85" t="s">
        <v>2230</v>
      </c>
      <c r="C519" s="85" t="s">
        <v>1063</v>
      </c>
      <c r="D519" s="73" t="s">
        <v>2231</v>
      </c>
      <c r="E519" s="85" t="s">
        <v>15</v>
      </c>
      <c r="F519" s="85" t="s">
        <v>1301</v>
      </c>
      <c r="G519" s="85"/>
      <c r="H519" s="85" t="s">
        <v>2232</v>
      </c>
      <c r="I519" s="142">
        <f t="shared" si="24"/>
        <v>28</v>
      </c>
      <c r="J519" s="147" t="s">
        <v>2233</v>
      </c>
      <c r="K519" s="142">
        <f t="shared" si="25"/>
        <v>0</v>
      </c>
      <c r="L519" s="143">
        <f t="shared" si="26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409</v>
      </c>
      <c r="B520" t="s">
        <v>1044</v>
      </c>
      <c r="C520" t="s">
        <v>1062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4"/>
        <v>28</v>
      </c>
      <c r="J520" s="147" t="s">
        <v>2082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294</v>
      </c>
      <c r="B521" t="s">
        <v>1045</v>
      </c>
      <c r="C521" t="s">
        <v>1062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4"/>
        <v>28</v>
      </c>
      <c r="J521" s="147" t="s">
        <v>2083</v>
      </c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409</v>
      </c>
      <c r="B522" t="s">
        <v>552</v>
      </c>
      <c r="C522" t="s">
        <v>1062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4"/>
        <v>28</v>
      </c>
      <c r="J522" s="147" t="s">
        <v>2084</v>
      </c>
      <c r="K522" s="31">
        <f t="shared" si="25"/>
        <v>0</v>
      </c>
      <c r="L522" s="3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409</v>
      </c>
      <c r="B523" t="s">
        <v>554</v>
      </c>
      <c r="C523" t="s">
        <v>1062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4"/>
        <v>28</v>
      </c>
      <c r="J523" s="147" t="s">
        <v>2085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409</v>
      </c>
      <c r="B524" t="s">
        <v>555</v>
      </c>
      <c r="C524" t="s">
        <v>1062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4"/>
        <v>28</v>
      </c>
      <c r="J524" s="147" t="s">
        <v>2086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557</v>
      </c>
      <c r="C525" t="s">
        <v>1062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4"/>
        <v>28</v>
      </c>
      <c r="J525" s="147" t="s">
        <v>2087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91" customFormat="1" ht="15.75" thickBot="1" x14ac:dyDescent="0.3">
      <c r="A526" s="73" t="s">
        <v>409</v>
      </c>
      <c r="B526" s="73" t="s">
        <v>548</v>
      </c>
      <c r="C526" s="91" t="s">
        <v>1062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4"/>
        <v>28</v>
      </c>
      <c r="J526" s="73"/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91" customFormat="1" ht="15.75" thickBot="1" x14ac:dyDescent="0.3">
      <c r="A527" s="73" t="s">
        <v>409</v>
      </c>
      <c r="B527" s="73" t="s">
        <v>558</v>
      </c>
      <c r="C527" s="91" t="s">
        <v>1062</v>
      </c>
      <c r="D527" s="73" t="s">
        <v>559</v>
      </c>
      <c r="E527" s="92" t="s">
        <v>15</v>
      </c>
      <c r="F527" s="85" t="s">
        <v>28</v>
      </c>
      <c r="G527" s="85"/>
      <c r="H527" s="85" t="s">
        <v>1506</v>
      </c>
      <c r="I527" s="31">
        <f t="shared" si="24"/>
        <v>28</v>
      </c>
      <c r="J527" s="147" t="s">
        <v>2088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.75" thickBot="1" x14ac:dyDescent="0.3">
      <c r="A528" s="73" t="s">
        <v>483</v>
      </c>
      <c r="B528" s="73" t="s">
        <v>1344</v>
      </c>
      <c r="C528" s="85" t="s">
        <v>1062</v>
      </c>
      <c r="D528" s="73" t="s">
        <v>1345</v>
      </c>
      <c r="E528" s="92" t="s">
        <v>15</v>
      </c>
      <c r="F528" s="85" t="s">
        <v>1301</v>
      </c>
      <c r="G528" s="85"/>
      <c r="H528" s="85" t="s">
        <v>1351</v>
      </c>
      <c r="I528" s="142">
        <f t="shared" si="24"/>
        <v>28</v>
      </c>
      <c r="J528" s="147" t="s">
        <v>2089</v>
      </c>
      <c r="K528" s="142">
        <f t="shared" si="25"/>
        <v>0</v>
      </c>
      <c r="L528" s="143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ht="15.75" thickBot="1" x14ac:dyDescent="0.3">
      <c r="A529" t="s">
        <v>483</v>
      </c>
      <c r="B529" t="s">
        <v>560</v>
      </c>
      <c r="C529" t="s">
        <v>1062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4"/>
        <v>28</v>
      </c>
      <c r="J529" s="147" t="s">
        <v>2090</v>
      </c>
      <c r="K529" s="31">
        <f t="shared" si="25"/>
        <v>0</v>
      </c>
      <c r="L529" s="3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.75" thickBot="1" x14ac:dyDescent="0.3">
      <c r="A530" s="73" t="s">
        <v>483</v>
      </c>
      <c r="B530" s="73" t="s">
        <v>562</v>
      </c>
      <c r="C530" s="73" t="s">
        <v>1062</v>
      </c>
      <c r="D530" s="73" t="s">
        <v>563</v>
      </c>
      <c r="E530" s="85" t="s">
        <v>19</v>
      </c>
      <c r="F530" s="85" t="s">
        <v>1301</v>
      </c>
      <c r="G530" s="85"/>
      <c r="H530" s="85" t="s">
        <v>1370</v>
      </c>
      <c r="I530" s="142">
        <f t="shared" ref="I530:I573" si="27">COUNTIF(M530:AN530,"")</f>
        <v>28</v>
      </c>
      <c r="J530" s="147" t="s">
        <v>2091</v>
      </c>
      <c r="K530" s="142">
        <f t="shared" ref="K530:K573" si="28">COUNTIF(M530:AN530,"APAGADO")</f>
        <v>0</v>
      </c>
      <c r="L530" s="143">
        <f t="shared" ref="L530:L573" si="29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483</v>
      </c>
      <c r="B531" s="73" t="s">
        <v>564</v>
      </c>
      <c r="C531" s="73" t="s">
        <v>1062</v>
      </c>
      <c r="D531" s="73" t="s">
        <v>565</v>
      </c>
      <c r="E531" s="85" t="s">
        <v>19</v>
      </c>
      <c r="F531" s="85" t="s">
        <v>1301</v>
      </c>
      <c r="G531" s="85"/>
      <c r="H531" s="85" t="s">
        <v>1428</v>
      </c>
      <c r="I531" s="142">
        <f t="shared" si="27"/>
        <v>28</v>
      </c>
      <c r="J531" s="147" t="s">
        <v>2092</v>
      </c>
      <c r="K531" s="142">
        <f t="shared" si="28"/>
        <v>0</v>
      </c>
      <c r="L531" s="143">
        <f t="shared" si="29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566</v>
      </c>
      <c r="C532" t="s">
        <v>1062</v>
      </c>
      <c r="D532" t="s">
        <v>567</v>
      </c>
      <c r="E532" s="30" t="s">
        <v>19</v>
      </c>
      <c r="F532" s="30" t="s">
        <v>1056</v>
      </c>
      <c r="G532" s="30" t="s">
        <v>1263</v>
      </c>
      <c r="H532" s="30" t="s">
        <v>877</v>
      </c>
      <c r="I532" s="31">
        <f t="shared" si="27"/>
        <v>27</v>
      </c>
      <c r="J532" s="147" t="s">
        <v>2093</v>
      </c>
      <c r="K532" s="31">
        <f t="shared" si="28"/>
        <v>0</v>
      </c>
      <c r="L532" s="32">
        <f t="shared" si="29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1361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479</v>
      </c>
      <c r="B533" s="73" t="s">
        <v>568</v>
      </c>
      <c r="C533" s="73" t="s">
        <v>1062</v>
      </c>
      <c r="D533" s="73" t="s">
        <v>569</v>
      </c>
      <c r="E533" s="85" t="s">
        <v>19</v>
      </c>
      <c r="F533" s="85" t="s">
        <v>1301</v>
      </c>
      <c r="G533" s="85"/>
      <c r="H533" s="85" t="s">
        <v>1505</v>
      </c>
      <c r="I533" s="142">
        <f t="shared" si="27"/>
        <v>28</v>
      </c>
      <c r="J533" s="147" t="s">
        <v>2094</v>
      </c>
      <c r="K533" s="142">
        <f t="shared" si="28"/>
        <v>0</v>
      </c>
      <c r="L533" s="143">
        <f t="shared" si="29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479</v>
      </c>
      <c r="B534" t="s">
        <v>1312</v>
      </c>
      <c r="C534" t="s">
        <v>1062</v>
      </c>
      <c r="D534" t="s">
        <v>2198</v>
      </c>
      <c r="E534" s="85" t="s">
        <v>15</v>
      </c>
      <c r="F534" s="85" t="s">
        <v>1301</v>
      </c>
      <c r="G534" s="30"/>
      <c r="H534" s="30" t="s">
        <v>2199</v>
      </c>
      <c r="I534" s="31">
        <f t="shared" si="27"/>
        <v>28</v>
      </c>
      <c r="J534" s="147" t="s">
        <v>2200</v>
      </c>
      <c r="K534" s="31">
        <f t="shared" si="28"/>
        <v>0</v>
      </c>
      <c r="L534" s="32">
        <f t="shared" si="29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483</v>
      </c>
      <c r="B535" t="s">
        <v>2134</v>
      </c>
      <c r="C535" t="s">
        <v>1062</v>
      </c>
      <c r="D535" s="73" t="s">
        <v>2135</v>
      </c>
      <c r="E535" s="85" t="s">
        <v>15</v>
      </c>
      <c r="F535" s="85" t="s">
        <v>1301</v>
      </c>
      <c r="G535" s="30"/>
      <c r="H535" s="30" t="s">
        <v>2136</v>
      </c>
      <c r="I535" s="31">
        <f t="shared" si="27"/>
        <v>28</v>
      </c>
      <c r="J535" s="147" t="s">
        <v>2137</v>
      </c>
      <c r="K535" s="31">
        <f t="shared" si="28"/>
        <v>0</v>
      </c>
      <c r="L535" s="32">
        <f t="shared" si="29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570</v>
      </c>
      <c r="B536" s="73" t="s">
        <v>571</v>
      </c>
      <c r="C536" s="73" t="s">
        <v>1063</v>
      </c>
      <c r="D536" s="73" t="s">
        <v>572</v>
      </c>
      <c r="E536" s="85" t="s">
        <v>15</v>
      </c>
      <c r="F536" s="85" t="s">
        <v>1301</v>
      </c>
      <c r="G536" s="85"/>
      <c r="H536" s="85" t="s">
        <v>878</v>
      </c>
      <c r="I536" s="142">
        <f t="shared" si="27"/>
        <v>28</v>
      </c>
      <c r="J536" s="147" t="s">
        <v>2095</v>
      </c>
      <c r="K536" s="142">
        <f t="shared" si="28"/>
        <v>0</v>
      </c>
      <c r="L536" s="143">
        <f t="shared" si="29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570</v>
      </c>
      <c r="B537" s="73" t="s">
        <v>1463</v>
      </c>
      <c r="C537" s="73" t="s">
        <v>1063</v>
      </c>
      <c r="D537" s="73" t="s">
        <v>573</v>
      </c>
      <c r="E537" s="85" t="s">
        <v>15</v>
      </c>
      <c r="F537" s="85" t="s">
        <v>1301</v>
      </c>
      <c r="G537" s="85"/>
      <c r="H537" s="85" t="s">
        <v>879</v>
      </c>
      <c r="I537" s="142">
        <f t="shared" si="27"/>
        <v>28</v>
      </c>
      <c r="J537" s="147" t="s">
        <v>2096</v>
      </c>
      <c r="K537" s="142">
        <f t="shared" si="28"/>
        <v>0</v>
      </c>
      <c r="L537" s="143">
        <f t="shared" si="29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s="73" customFormat="1" ht="15.75" thickBot="1" x14ac:dyDescent="0.3">
      <c r="A538" s="73" t="s">
        <v>570</v>
      </c>
      <c r="B538" s="73" t="s">
        <v>1046</v>
      </c>
      <c r="C538" s="73" t="s">
        <v>1063</v>
      </c>
      <c r="D538" s="73" t="s">
        <v>574</v>
      </c>
      <c r="E538" s="85" t="s">
        <v>73</v>
      </c>
      <c r="F538" s="85" t="s">
        <v>1301</v>
      </c>
      <c r="G538" s="85"/>
      <c r="H538" s="85" t="s">
        <v>880</v>
      </c>
      <c r="I538" s="142">
        <f t="shared" si="27"/>
        <v>28</v>
      </c>
      <c r="J538" s="147" t="s">
        <v>2097</v>
      </c>
      <c r="K538" s="142">
        <f t="shared" si="28"/>
        <v>0</v>
      </c>
      <c r="L538" s="143">
        <f t="shared" si="29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s="73" customFormat="1" ht="15.75" thickBot="1" x14ac:dyDescent="0.3">
      <c r="A539" s="73" t="s">
        <v>570</v>
      </c>
      <c r="B539" s="73" t="s">
        <v>1047</v>
      </c>
      <c r="C539" s="73" t="s">
        <v>1063</v>
      </c>
      <c r="D539" s="73" t="s">
        <v>574</v>
      </c>
      <c r="E539" s="85" t="s">
        <v>73</v>
      </c>
      <c r="F539" s="85" t="s">
        <v>1301</v>
      </c>
      <c r="G539" s="85"/>
      <c r="H539" s="85" t="s">
        <v>881</v>
      </c>
      <c r="I539" s="142">
        <f t="shared" si="27"/>
        <v>28</v>
      </c>
      <c r="J539" s="147" t="s">
        <v>2098</v>
      </c>
      <c r="K539" s="142">
        <f t="shared" si="28"/>
        <v>0</v>
      </c>
      <c r="L539" s="143">
        <f t="shared" si="29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1644</v>
      </c>
      <c r="C540" s="73" t="s">
        <v>1063</v>
      </c>
      <c r="D540" s="73" t="s">
        <v>1651</v>
      </c>
      <c r="E540" s="85" t="s">
        <v>1114</v>
      </c>
      <c r="F540" s="85" t="s">
        <v>28</v>
      </c>
      <c r="G540" s="85"/>
      <c r="H540" s="85" t="s">
        <v>1646</v>
      </c>
      <c r="I540" s="142">
        <f t="shared" si="27"/>
        <v>28</v>
      </c>
      <c r="J540" s="87" t="s">
        <v>2188</v>
      </c>
      <c r="K540" s="142">
        <f t="shared" si="28"/>
        <v>0</v>
      </c>
      <c r="L540" s="143">
        <f t="shared" si="29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2128</v>
      </c>
      <c r="C541" s="73" t="s">
        <v>1063</v>
      </c>
      <c r="D541" s="73" t="s">
        <v>2129</v>
      </c>
      <c r="E541" s="30" t="s">
        <v>15</v>
      </c>
      <c r="F541" s="85" t="s">
        <v>1301</v>
      </c>
      <c r="G541" s="85"/>
      <c r="H541" s="85" t="s">
        <v>2131</v>
      </c>
      <c r="I541" s="142">
        <f t="shared" si="27"/>
        <v>28</v>
      </c>
      <c r="J541" s="87"/>
      <c r="K541" s="142">
        <f t="shared" si="28"/>
        <v>0</v>
      </c>
      <c r="L541" s="143">
        <f t="shared" si="29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1657</v>
      </c>
      <c r="C542" s="73" t="s">
        <v>1063</v>
      </c>
      <c r="D542" s="73" t="s">
        <v>1658</v>
      </c>
      <c r="E542" s="85" t="s">
        <v>15</v>
      </c>
      <c r="F542" s="85" t="s">
        <v>1301</v>
      </c>
      <c r="G542" s="85"/>
      <c r="H542" s="85" t="s">
        <v>1659</v>
      </c>
      <c r="I542" s="142">
        <f t="shared" si="27"/>
        <v>28</v>
      </c>
      <c r="J542" s="87" t="s">
        <v>2189</v>
      </c>
      <c r="K542" s="142">
        <f t="shared" si="28"/>
        <v>0</v>
      </c>
      <c r="L542" s="143">
        <f t="shared" si="29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ht="15.75" thickBot="1" x14ac:dyDescent="0.3">
      <c r="A543" t="s">
        <v>575</v>
      </c>
      <c r="B543" t="s">
        <v>1048</v>
      </c>
      <c r="C543" t="s">
        <v>1063</v>
      </c>
      <c r="D543" t="s">
        <v>576</v>
      </c>
      <c r="E543" s="30" t="s">
        <v>73</v>
      </c>
      <c r="F543" s="85" t="s">
        <v>1301</v>
      </c>
      <c r="G543" s="30"/>
      <c r="H543" s="30" t="s">
        <v>882</v>
      </c>
      <c r="I543" s="31">
        <f t="shared" si="27"/>
        <v>28</v>
      </c>
      <c r="J543" s="87" t="s">
        <v>2185</v>
      </c>
      <c r="K543" s="31">
        <f t="shared" si="28"/>
        <v>0</v>
      </c>
      <c r="L543" s="32">
        <f t="shared" si="29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575</v>
      </c>
      <c r="B544" t="s">
        <v>1049</v>
      </c>
      <c r="C544" t="s">
        <v>1063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7"/>
        <v>28</v>
      </c>
      <c r="J544" s="147" t="s">
        <v>2099</v>
      </c>
      <c r="K544" s="31">
        <f t="shared" si="28"/>
        <v>0</v>
      </c>
      <c r="L544" s="32">
        <f t="shared" si="29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575</v>
      </c>
      <c r="B545" t="s">
        <v>578</v>
      </c>
      <c r="C545" t="s">
        <v>1063</v>
      </c>
      <c r="D545" t="s">
        <v>579</v>
      </c>
      <c r="E545" s="30" t="s">
        <v>73</v>
      </c>
      <c r="F545" s="85" t="s">
        <v>1301</v>
      </c>
      <c r="G545" s="30"/>
      <c r="H545" s="30" t="s">
        <v>884</v>
      </c>
      <c r="I545" s="31">
        <f t="shared" si="27"/>
        <v>28</v>
      </c>
      <c r="J545" s="87" t="s">
        <v>2186</v>
      </c>
      <c r="K545" s="31">
        <f t="shared" si="28"/>
        <v>0</v>
      </c>
      <c r="L545" s="32">
        <f t="shared" si="29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575</v>
      </c>
      <c r="B546" t="s">
        <v>580</v>
      </c>
      <c r="C546" t="s">
        <v>1063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7"/>
        <v>28</v>
      </c>
      <c r="J546" s="147" t="s">
        <v>2100</v>
      </c>
      <c r="K546" s="31">
        <f t="shared" si="28"/>
        <v>0</v>
      </c>
      <c r="L546" s="3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575</v>
      </c>
      <c r="B547" s="73" t="s">
        <v>582</v>
      </c>
      <c r="C547" s="73" t="s">
        <v>1063</v>
      </c>
      <c r="D547" s="73" t="s">
        <v>583</v>
      </c>
      <c r="E547" s="85" t="s">
        <v>15</v>
      </c>
      <c r="F547" s="85" t="s">
        <v>1301</v>
      </c>
      <c r="G547" s="85"/>
      <c r="H547" s="85" t="s">
        <v>886</v>
      </c>
      <c r="I547" s="142">
        <f t="shared" si="27"/>
        <v>28</v>
      </c>
      <c r="J547" s="147" t="s">
        <v>2101</v>
      </c>
      <c r="K547" s="142">
        <f t="shared" si="28"/>
        <v>0</v>
      </c>
      <c r="L547" s="143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2140</v>
      </c>
      <c r="B548" s="73" t="s">
        <v>2138</v>
      </c>
      <c r="C548" t="s">
        <v>1062</v>
      </c>
      <c r="D548" s="73" t="s">
        <v>2139</v>
      </c>
      <c r="E548" s="85" t="s">
        <v>15</v>
      </c>
      <c r="F548" s="85" t="s">
        <v>1301</v>
      </c>
      <c r="G548" s="85"/>
      <c r="H548" s="85" t="s">
        <v>2141</v>
      </c>
      <c r="I548" s="142">
        <f t="shared" si="27"/>
        <v>28</v>
      </c>
      <c r="J548" s="151" t="s">
        <v>2142</v>
      </c>
      <c r="K548" s="142">
        <f t="shared" si="28"/>
        <v>0</v>
      </c>
      <c r="L548" s="143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175</v>
      </c>
      <c r="B549" t="s">
        <v>584</v>
      </c>
      <c r="C549" t="s">
        <v>1063</v>
      </c>
      <c r="D549" t="s">
        <v>1092</v>
      </c>
      <c r="E549" s="30" t="s">
        <v>19</v>
      </c>
      <c r="F549" s="30" t="s">
        <v>20</v>
      </c>
      <c r="G549" s="30"/>
      <c r="H549" s="30" t="s">
        <v>1398</v>
      </c>
      <c r="I549" s="31">
        <f t="shared" si="27"/>
        <v>28</v>
      </c>
      <c r="J549" s="87" t="s">
        <v>2187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175</v>
      </c>
      <c r="B550" t="s">
        <v>1050</v>
      </c>
      <c r="C550" t="s">
        <v>1063</v>
      </c>
      <c r="D550" t="s">
        <v>1093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7"/>
        <v>28</v>
      </c>
      <c r="J550" s="147" t="s">
        <v>2102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175</v>
      </c>
      <c r="B551" t="s">
        <v>1051</v>
      </c>
      <c r="C551" t="s">
        <v>1063</v>
      </c>
      <c r="D551" t="s">
        <v>1093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7"/>
        <v>28</v>
      </c>
      <c r="J551" s="147" t="s">
        <v>2103</v>
      </c>
      <c r="K551" s="31">
        <f t="shared" si="28"/>
        <v>0</v>
      </c>
      <c r="L551" s="3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175</v>
      </c>
      <c r="B552" t="s">
        <v>1052</v>
      </c>
      <c r="C552" t="s">
        <v>1063</v>
      </c>
      <c r="D552" t="s">
        <v>1107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7"/>
        <v>28</v>
      </c>
      <c r="J552" s="147" t="s">
        <v>2104</v>
      </c>
      <c r="K552" s="31">
        <f t="shared" si="28"/>
        <v>0</v>
      </c>
      <c r="L552" s="3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585</v>
      </c>
      <c r="C553" t="s">
        <v>1063</v>
      </c>
      <c r="D553" t="s">
        <v>1094</v>
      </c>
      <c r="E553" s="30" t="s">
        <v>15</v>
      </c>
      <c r="F553" s="30" t="s">
        <v>28</v>
      </c>
      <c r="G553" s="30"/>
      <c r="H553" s="30" t="s">
        <v>1220</v>
      </c>
      <c r="I553" s="31">
        <f t="shared" si="27"/>
        <v>28</v>
      </c>
      <c r="J553" s="147" t="s">
        <v>2105</v>
      </c>
      <c r="K553" s="31">
        <f t="shared" si="28"/>
        <v>0</v>
      </c>
      <c r="L553" s="3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586</v>
      </c>
      <c r="B554" t="s">
        <v>587</v>
      </c>
      <c r="C554" t="s">
        <v>1063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7"/>
        <v>28</v>
      </c>
      <c r="J554" s="147" t="s">
        <v>2106</v>
      </c>
      <c r="K554" s="31">
        <f t="shared" si="28"/>
        <v>0</v>
      </c>
      <c r="L554" s="3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586</v>
      </c>
      <c r="B555" t="s">
        <v>1053</v>
      </c>
      <c r="C555" t="s">
        <v>1063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7"/>
        <v>28</v>
      </c>
      <c r="J555" s="147" t="s">
        <v>2107</v>
      </c>
      <c r="K555" s="31">
        <f t="shared" si="28"/>
        <v>0</v>
      </c>
      <c r="L555" s="3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586</v>
      </c>
      <c r="B556" t="s">
        <v>1054</v>
      </c>
      <c r="C556" t="s">
        <v>1063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7"/>
        <v>28</v>
      </c>
      <c r="J556" s="147" t="s">
        <v>2108</v>
      </c>
      <c r="K556" s="31">
        <f t="shared" si="28"/>
        <v>0</v>
      </c>
      <c r="L556" s="32">
        <f t="shared" si="29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590</v>
      </c>
      <c r="C557" t="s">
        <v>1063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7"/>
        <v>28</v>
      </c>
      <c r="J557" s="147" t="s">
        <v>2109</v>
      </c>
      <c r="K557" s="31">
        <f t="shared" si="28"/>
        <v>0</v>
      </c>
      <c r="L557" s="32">
        <f t="shared" si="29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591</v>
      </c>
      <c r="B558" s="73" t="s">
        <v>592</v>
      </c>
      <c r="C558" s="73" t="s">
        <v>1063</v>
      </c>
      <c r="D558" s="73" t="s">
        <v>593</v>
      </c>
      <c r="E558" s="85" t="s">
        <v>15</v>
      </c>
      <c r="F558" s="85" t="s">
        <v>1301</v>
      </c>
      <c r="G558" s="85"/>
      <c r="H558" s="85" t="s">
        <v>894</v>
      </c>
      <c r="I558" s="142">
        <f t="shared" si="27"/>
        <v>28</v>
      </c>
      <c r="J558" s="87" t="s">
        <v>2203</v>
      </c>
      <c r="K558" s="142">
        <f t="shared" si="28"/>
        <v>0</v>
      </c>
      <c r="L558" s="143">
        <f t="shared" si="29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ht="15.75" thickBot="1" x14ac:dyDescent="0.3">
      <c r="A559" t="s">
        <v>594</v>
      </c>
      <c r="B559" t="s">
        <v>1055</v>
      </c>
      <c r="C559" t="s">
        <v>1063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7"/>
        <v>28</v>
      </c>
      <c r="J559" s="87" t="s">
        <v>2204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594</v>
      </c>
      <c r="B560" t="s">
        <v>596</v>
      </c>
      <c r="C560" t="s">
        <v>1063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7"/>
        <v>28</v>
      </c>
      <c r="J560" s="87" t="s">
        <v>2205</v>
      </c>
      <c r="K560" s="31">
        <f t="shared" si="28"/>
        <v>0</v>
      </c>
      <c r="L560" s="32">
        <f t="shared" si="29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594</v>
      </c>
      <c r="B561" t="s">
        <v>598</v>
      </c>
      <c r="C561" t="s">
        <v>1063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7"/>
        <v>28</v>
      </c>
      <c r="J561" s="87" t="s">
        <v>2206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594</v>
      </c>
      <c r="B562" s="30" t="s">
        <v>1115</v>
      </c>
      <c r="C562" s="30" t="s">
        <v>1063</v>
      </c>
      <c r="D562" t="s">
        <v>1117</v>
      </c>
      <c r="E562" s="30" t="s">
        <v>1114</v>
      </c>
      <c r="F562" s="30" t="s">
        <v>28</v>
      </c>
      <c r="G562" s="30"/>
      <c r="H562" s="30" t="s">
        <v>1122</v>
      </c>
      <c r="I562" s="31">
        <f t="shared" si="27"/>
        <v>28</v>
      </c>
      <c r="J562" s="147" t="s">
        <v>2111</v>
      </c>
      <c r="K562" s="31">
        <f t="shared" si="28"/>
        <v>0</v>
      </c>
      <c r="L562" s="3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594</v>
      </c>
      <c r="B563" s="30" t="s">
        <v>1116</v>
      </c>
      <c r="C563" s="30" t="s">
        <v>1063</v>
      </c>
      <c r="D563" t="s">
        <v>1117</v>
      </c>
      <c r="E563" s="30" t="s">
        <v>1114</v>
      </c>
      <c r="F563" s="30" t="s">
        <v>28</v>
      </c>
      <c r="G563" s="30"/>
      <c r="H563" s="30" t="s">
        <v>1123</v>
      </c>
      <c r="I563" s="31">
        <f t="shared" si="27"/>
        <v>28</v>
      </c>
      <c r="J563" s="147" t="s">
        <v>2110</v>
      </c>
      <c r="K563" s="31">
        <f t="shared" si="28"/>
        <v>0</v>
      </c>
      <c r="L563" s="3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s="30" t="s">
        <v>1201</v>
      </c>
      <c r="C564" s="30" t="s">
        <v>1063</v>
      </c>
      <c r="D564" t="s">
        <v>1202</v>
      </c>
      <c r="E564" s="30" t="s">
        <v>15</v>
      </c>
      <c r="F564" s="30" t="s">
        <v>28</v>
      </c>
      <c r="G564" s="30"/>
      <c r="H564" s="30" t="s">
        <v>1203</v>
      </c>
      <c r="I564" s="31">
        <f t="shared" si="27"/>
        <v>28</v>
      </c>
      <c r="J564" s="147" t="s">
        <v>2112</v>
      </c>
      <c r="K564" s="31">
        <f t="shared" si="28"/>
        <v>0</v>
      </c>
      <c r="L564" s="32">
        <f t="shared" si="29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389</v>
      </c>
      <c r="B565" s="30" t="s">
        <v>2181</v>
      </c>
      <c r="C565" s="73" t="s">
        <v>1062</v>
      </c>
      <c r="D565" t="s">
        <v>2182</v>
      </c>
      <c r="E565" s="85" t="s">
        <v>46</v>
      </c>
      <c r="F565" s="30" t="s">
        <v>28</v>
      </c>
      <c r="G565" s="30"/>
      <c r="H565" s="30" t="s">
        <v>2183</v>
      </c>
      <c r="I565" s="31">
        <f t="shared" si="27"/>
        <v>28</v>
      </c>
      <c r="J565" s="147" t="s">
        <v>2184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s="73" customFormat="1" ht="15.75" thickBot="1" x14ac:dyDescent="0.3">
      <c r="A566" s="73" t="s">
        <v>602</v>
      </c>
      <c r="B566" s="73" t="s">
        <v>603</v>
      </c>
      <c r="C566" s="73" t="s">
        <v>1063</v>
      </c>
      <c r="D566" s="73" t="s">
        <v>604</v>
      </c>
      <c r="E566" s="85" t="s">
        <v>19</v>
      </c>
      <c r="F566" s="85" t="s">
        <v>1301</v>
      </c>
      <c r="G566" s="85"/>
      <c r="H566" s="85" t="s">
        <v>1371</v>
      </c>
      <c r="I566" s="142">
        <f t="shared" si="27"/>
        <v>28</v>
      </c>
      <c r="J566" s="147" t="s">
        <v>2113</v>
      </c>
      <c r="K566" s="142">
        <f t="shared" si="28"/>
        <v>0</v>
      </c>
      <c r="L566" s="143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s="73" customFormat="1" ht="15.75" thickBot="1" x14ac:dyDescent="0.3">
      <c r="A567" s="73" t="s">
        <v>310</v>
      </c>
      <c r="B567" s="73" t="s">
        <v>605</v>
      </c>
      <c r="C567" s="73" t="s">
        <v>1063</v>
      </c>
      <c r="D567" s="73" t="s">
        <v>606</v>
      </c>
      <c r="E567" s="85" t="s">
        <v>19</v>
      </c>
      <c r="F567" s="85" t="s">
        <v>1301</v>
      </c>
      <c r="G567" s="85"/>
      <c r="H567" s="85" t="s">
        <v>1368</v>
      </c>
      <c r="I567" s="142">
        <f t="shared" si="27"/>
        <v>28</v>
      </c>
      <c r="J567" s="147" t="s">
        <v>2114</v>
      </c>
      <c r="K567" s="142">
        <f t="shared" si="28"/>
        <v>0</v>
      </c>
      <c r="L567" s="143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  <c r="AQ567" s="89"/>
    </row>
    <row r="568" spans="1:43" s="73" customFormat="1" ht="15.75" thickBot="1" x14ac:dyDescent="0.3">
      <c r="A568" s="73" t="s">
        <v>602</v>
      </c>
      <c r="B568" s="73" t="s">
        <v>607</v>
      </c>
      <c r="C568" s="73" t="s">
        <v>1062</v>
      </c>
      <c r="D568" s="73" t="s">
        <v>608</v>
      </c>
      <c r="E568" s="85" t="s">
        <v>15</v>
      </c>
      <c r="F568" s="85" t="s">
        <v>1301</v>
      </c>
      <c r="G568" s="85"/>
      <c r="H568" s="85" t="s">
        <v>1507</v>
      </c>
      <c r="I568" s="142">
        <f t="shared" si="27"/>
        <v>28</v>
      </c>
      <c r="J568" s="147" t="s">
        <v>2115</v>
      </c>
      <c r="K568" s="142">
        <f t="shared" si="28"/>
        <v>0</v>
      </c>
      <c r="L568" s="143">
        <f t="shared" si="29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  <c r="AQ568" s="89"/>
    </row>
    <row r="569" spans="1:43" s="73" customFormat="1" ht="15.75" thickBot="1" x14ac:dyDescent="0.3">
      <c r="A569" s="73" t="s">
        <v>602</v>
      </c>
      <c r="B569" s="73" t="s">
        <v>600</v>
      </c>
      <c r="C569" s="73" t="s">
        <v>1062</v>
      </c>
      <c r="D569" s="73" t="s">
        <v>601</v>
      </c>
      <c r="E569" s="85" t="s">
        <v>19</v>
      </c>
      <c r="F569" s="85" t="s">
        <v>1301</v>
      </c>
      <c r="G569" s="85"/>
      <c r="H569" s="85" t="s">
        <v>1429</v>
      </c>
      <c r="I569" s="142">
        <f t="shared" si="27"/>
        <v>28</v>
      </c>
      <c r="J569" s="147" t="s">
        <v>2116</v>
      </c>
      <c r="K569" s="142">
        <f t="shared" si="28"/>
        <v>0</v>
      </c>
      <c r="L569" s="143">
        <f t="shared" si="29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  <c r="AQ569" s="89"/>
    </row>
    <row r="570" spans="1:43" s="73" customFormat="1" ht="15.75" thickBot="1" x14ac:dyDescent="0.3">
      <c r="A570" s="73" t="s">
        <v>602</v>
      </c>
      <c r="B570" s="73" t="s">
        <v>1447</v>
      </c>
      <c r="C570" s="73" t="s">
        <v>1062</v>
      </c>
      <c r="D570" s="73" t="s">
        <v>1448</v>
      </c>
      <c r="E570" s="85" t="s">
        <v>46</v>
      </c>
      <c r="F570" s="85" t="s">
        <v>1301</v>
      </c>
      <c r="G570" s="85"/>
      <c r="H570" s="85" t="s">
        <v>1453</v>
      </c>
      <c r="I570" s="142">
        <f t="shared" si="27"/>
        <v>28</v>
      </c>
      <c r="J570" s="147" t="s">
        <v>2117</v>
      </c>
      <c r="K570" s="142">
        <f t="shared" si="28"/>
        <v>0</v>
      </c>
      <c r="L570" s="143">
        <f t="shared" si="29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602</v>
      </c>
      <c r="B571" s="73" t="s">
        <v>1450</v>
      </c>
      <c r="C571" s="73" t="s">
        <v>1062</v>
      </c>
      <c r="D571" s="73" t="s">
        <v>1449</v>
      </c>
      <c r="E571" s="85" t="s">
        <v>73</v>
      </c>
      <c r="F571" s="85" t="s">
        <v>1301</v>
      </c>
      <c r="G571" s="85"/>
      <c r="H571" s="85" t="s">
        <v>1454</v>
      </c>
      <c r="I571" s="142">
        <f t="shared" si="27"/>
        <v>28</v>
      </c>
      <c r="J571" s="147" t="s">
        <v>2118</v>
      </c>
      <c r="K571" s="142">
        <f t="shared" si="28"/>
        <v>0</v>
      </c>
      <c r="L571" s="143">
        <f t="shared" si="29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1451</v>
      </c>
      <c r="C572" s="73" t="s">
        <v>1062</v>
      </c>
      <c r="D572" s="73" t="s">
        <v>1452</v>
      </c>
      <c r="E572" s="85" t="s">
        <v>73</v>
      </c>
      <c r="F572" s="85" t="s">
        <v>1301</v>
      </c>
      <c r="G572" s="85"/>
      <c r="H572" s="85" t="s">
        <v>1455</v>
      </c>
      <c r="I572" s="142">
        <f t="shared" si="27"/>
        <v>28</v>
      </c>
      <c r="J572" s="147" t="s">
        <v>2119</v>
      </c>
      <c r="K572" s="142">
        <f t="shared" si="28"/>
        <v>0</v>
      </c>
      <c r="L572" s="143">
        <f t="shared" si="29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2120</v>
      </c>
      <c r="C573" s="73" t="s">
        <v>1062</v>
      </c>
      <c r="D573" s="73" t="s">
        <v>2121</v>
      </c>
      <c r="E573" s="85" t="s">
        <v>15</v>
      </c>
      <c r="F573" s="85" t="s">
        <v>1301</v>
      </c>
      <c r="G573" s="85"/>
      <c r="H573" s="85" t="s">
        <v>2122</v>
      </c>
      <c r="I573" s="142">
        <f t="shared" si="27"/>
        <v>28</v>
      </c>
      <c r="J573" s="151" t="s">
        <v>2123</v>
      </c>
      <c r="K573" s="142">
        <f t="shared" si="28"/>
        <v>0</v>
      </c>
      <c r="L573" s="143">
        <f t="shared" si="29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  <c r="AQ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Q7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C1:C263 D20:D21 D130:D144 D152 D160:D161 D211:D213 D217:D219 D224:D226 D255:D256 D263 C264:D264 C265:C573 D269:D272 D282:D284 D356:D361 D370 C371:D371 D387:D390 D402:D404 D407 D464:D467 D534:D535 C656:C1048576">
    <cfRule type="cellIs" dxfId="137" priority="523" operator="equal">
      <formula>$C$266</formula>
    </cfRule>
  </conditionalFormatting>
  <conditionalFormatting sqref="C1:C263 D20:D21 D160:D161 D217:D219 C264:D264 C265:C573 D269:D272 D282:D284 C371:D371 D387:D390 D402:D404 D407 C656:C1048576 D130:D144 D152 D211:D213 D224:D226 D255:D256 D263 D356:D361 D370 D464:D467 D534:D535">
    <cfRule type="cellIs" dxfId="136" priority="522" operator="equal">
      <formula>$C$285</formula>
    </cfRule>
  </conditionalFormatting>
  <conditionalFormatting sqref="C1:C573 D20:D21 D160:D161 D217 D269:D272 D282:D284 D387:D390 D402:D404 D407 C656:C1048576">
    <cfRule type="cellIs" dxfId="135" priority="68" operator="equal">
      <formula>"IPCOMS"</formula>
    </cfRule>
  </conditionalFormatting>
  <conditionalFormatting sqref="E1:E548 E561:E573 E656:E1048576">
    <cfRule type="containsText" dxfId="134" priority="529" operator="containsText" text="domo">
      <formula>NOT(ISERROR(SEARCH("domo",E1)))</formula>
    </cfRule>
    <cfRule type="containsText" dxfId="133" priority="528" operator="containsText" text="fija">
      <formula>NOT(ISERROR(SEARCH("fija",E1)))</formula>
    </cfRule>
  </conditionalFormatting>
  <conditionalFormatting sqref="E1:E573 E656:E1048576">
    <cfRule type="cellIs" dxfId="132" priority="524" operator="equal">
      <formula>$E$10</formula>
    </cfRule>
  </conditionalFormatting>
  <conditionalFormatting sqref="E35:E46">
    <cfRule type="containsText" dxfId="131" priority="1" operator="containsText" text="Radio">
      <formula>NOT(ISERROR(SEARCH("Radio",E35)))</formula>
    </cfRule>
  </conditionalFormatting>
  <conditionalFormatting sqref="E134:E145 G145:H145">
    <cfRule type="containsText" dxfId="130" priority="10" operator="containsText" text="Radio">
      <formula>NOT(ISERROR(SEARCH("Radio",E134)))</formula>
    </cfRule>
  </conditionalFormatting>
  <conditionalFormatting sqref="E387:E390">
    <cfRule type="containsText" dxfId="129" priority="29" operator="containsText" text="Radio">
      <formula>NOT(ISERROR(SEARCH("Radio",E387)))</formula>
    </cfRule>
  </conditionalFormatting>
  <conditionalFormatting sqref="E550">
    <cfRule type="containsText" dxfId="128" priority="470" operator="containsText" text="domo">
      <formula>NOT(ISERROR(SEARCH("domo",E550)))</formula>
    </cfRule>
    <cfRule type="containsText" dxfId="127" priority="469" operator="containsText" text="fija">
      <formula>NOT(ISERROR(SEARCH("fija",E550)))</formula>
    </cfRule>
    <cfRule type="containsText" dxfId="126" priority="471" operator="containsText" text="Radio">
      <formula>NOT(ISERROR(SEARCH("Radio",E550)))</formula>
    </cfRule>
  </conditionalFormatting>
  <conditionalFormatting sqref="E550:E551">
    <cfRule type="containsText" dxfId="125" priority="464" operator="containsText" text="fija">
      <formula>NOT(ISERROR(SEARCH("fija",E550)))</formula>
    </cfRule>
    <cfRule type="containsText" dxfId="124" priority="465" operator="containsText" text="domo">
      <formula>NOT(ISERROR(SEARCH("domo",E550)))</formula>
    </cfRule>
  </conditionalFormatting>
  <conditionalFormatting sqref="E551">
    <cfRule type="containsText" dxfId="123" priority="462" operator="containsText" text="fija">
      <formula>NOT(ISERROR(SEARCH("fija",E551)))</formula>
    </cfRule>
    <cfRule type="containsText" dxfId="122" priority="466" operator="containsText" text="Radio">
      <formula>NOT(ISERROR(SEARCH("Radio",E551)))</formula>
    </cfRule>
    <cfRule type="containsText" dxfId="121" priority="463" operator="containsText" text="domo">
      <formula>NOT(ISERROR(SEARCH("domo",E551)))</formula>
    </cfRule>
  </conditionalFormatting>
  <conditionalFormatting sqref="E554">
    <cfRule type="containsText" dxfId="120" priority="461" operator="containsText" text="Radio">
      <formula>NOT(ISERROR(SEARCH("Radio",E554)))</formula>
    </cfRule>
    <cfRule type="containsText" dxfId="119" priority="460" operator="containsText" text="domo">
      <formula>NOT(ISERROR(SEARCH("domo",E554)))</formula>
    </cfRule>
    <cfRule type="containsText" dxfId="118" priority="459" operator="containsText" text="fija">
      <formula>NOT(ISERROR(SEARCH("fija",E554)))</formula>
    </cfRule>
  </conditionalFormatting>
  <conditionalFormatting sqref="E554:E555">
    <cfRule type="containsText" dxfId="117" priority="455" operator="containsText" text="domo">
      <formula>NOT(ISERROR(SEARCH("domo",E554)))</formula>
    </cfRule>
    <cfRule type="containsText" dxfId="116" priority="454" operator="containsText" text="fija">
      <formula>NOT(ISERROR(SEARCH("fija",E554)))</formula>
    </cfRule>
  </conditionalFormatting>
  <conditionalFormatting sqref="E555 F35:G46 E47:H133 F134:F135 E158:H224 E226:F226 E227:H385 E386:F386 F387:F390 E391:H406 E407:F407 E408:H548 E561:H573 E656:H1048576 H386 G386:G390">
    <cfRule type="containsText" dxfId="115" priority="456" operator="containsText" text="Radio">
      <formula>NOT(ISERROR(SEARCH("Radio",E35)))</formula>
    </cfRule>
  </conditionalFormatting>
  <conditionalFormatting sqref="E555:E556">
    <cfRule type="containsText" dxfId="114" priority="450" operator="containsText" text="domo">
      <formula>NOT(ISERROR(SEARCH("domo",E555)))</formula>
    </cfRule>
    <cfRule type="containsText" dxfId="113" priority="449" operator="containsText" text="fija">
      <formula>NOT(ISERROR(SEARCH("fija",E555)))</formula>
    </cfRule>
  </conditionalFormatting>
  <conditionalFormatting sqref="E556">
    <cfRule type="containsText" dxfId="112" priority="451" operator="containsText" text="Radio">
      <formula>NOT(ISERROR(SEARCH("Radio",E556)))</formula>
    </cfRule>
  </conditionalFormatting>
  <conditionalFormatting sqref="E556:E557">
    <cfRule type="containsText" dxfId="111" priority="445" operator="containsText" text="domo">
      <formula>NOT(ISERROR(SEARCH("domo",E556)))</formula>
    </cfRule>
    <cfRule type="containsText" dxfId="110" priority="444" operator="containsText" text="fija">
      <formula>NOT(ISERROR(SEARCH("fija",E556)))</formula>
    </cfRule>
  </conditionalFormatting>
  <conditionalFormatting sqref="E557">
    <cfRule type="containsText" dxfId="109" priority="446" operator="containsText" text="Radio">
      <formula>NOT(ISERROR(SEARCH("Radio",E557)))</formula>
    </cfRule>
    <cfRule type="containsText" dxfId="108" priority="443" operator="containsText" text="domo">
      <formula>NOT(ISERROR(SEARCH("domo",E557)))</formula>
    </cfRule>
    <cfRule type="containsText" dxfId="107" priority="442" operator="containsText" text="fija">
      <formula>NOT(ISERROR(SEARCH("fija",E557)))</formula>
    </cfRule>
  </conditionalFormatting>
  <conditionalFormatting sqref="E559">
    <cfRule type="containsText" dxfId="106" priority="740" operator="containsText" text="fija">
      <formula>NOT(ISERROR(SEARCH("fija",E559)))</formula>
    </cfRule>
    <cfRule type="containsText" dxfId="105" priority="741" operator="containsText" text="domo">
      <formula>NOT(ISERROR(SEARCH("domo",E559)))</formula>
    </cfRule>
  </conditionalFormatting>
  <conditionalFormatting sqref="E562:E565">
    <cfRule type="containsText" dxfId="104" priority="473" operator="containsText" text="domo">
      <formula>NOT(ISERROR(SEARCH("domo",E562)))</formula>
    </cfRule>
    <cfRule type="containsText" dxfId="103" priority="472" operator="containsText" text="fija">
      <formula>NOT(ISERROR(SEARCH("fija",E562)))</formula>
    </cfRule>
  </conditionalFormatting>
  <conditionalFormatting sqref="E225:F225">
    <cfRule type="containsText" dxfId="102" priority="31" operator="containsText" text="Radio">
      <formula>NOT(ISERROR(SEARCH("Radio",E225)))</formula>
    </cfRule>
  </conditionalFormatting>
  <conditionalFormatting sqref="E1:H34">
    <cfRule type="containsText" dxfId="101" priority="66" operator="containsText" text="Radio">
      <formula>NOT(ISERROR(SEARCH("Radio",E1)))</formula>
    </cfRule>
  </conditionalFormatting>
  <conditionalFormatting sqref="E146:H157">
    <cfRule type="containsText" dxfId="100" priority="4" operator="containsText" text="Radio">
      <formula>NOT(ISERROR(SEARCH("Radio",E146)))</formula>
    </cfRule>
  </conditionalFormatting>
  <conditionalFormatting sqref="E559:H559 F560">
    <cfRule type="containsText" dxfId="99" priority="997" operator="containsText" text="Radio">
      <formula>NOT(ISERROR(SEARCH("Radio",E559)))</formula>
    </cfRule>
  </conditionalFormatting>
  <conditionalFormatting sqref="F1:F135 F158:F573 F656:F1048576">
    <cfRule type="cellIs" dxfId="98" priority="69" operator="equal">
      <formula>"GPON"</formula>
    </cfRule>
    <cfRule type="cellIs" dxfId="97" priority="70" operator="equal">
      <formula>"GPON"</formula>
    </cfRule>
  </conditionalFormatting>
  <conditionalFormatting sqref="F138">
    <cfRule type="containsText" dxfId="96" priority="59" operator="containsText" text="Radio">
      <formula>NOT(ISERROR(SEARCH("Radio",F138)))</formula>
    </cfRule>
    <cfRule type="cellIs" dxfId="95" priority="60" operator="equal">
      <formula>$F$13</formula>
    </cfRule>
    <cfRule type="cellIs" dxfId="94" priority="61" operator="equal">
      <formula>"PTP A FO"</formula>
    </cfRule>
    <cfRule type="cellIs" dxfId="93" priority="62" operator="equal">
      <formula>"PTP A FO"</formula>
    </cfRule>
    <cfRule type="cellIs" dxfId="92" priority="57" operator="equal">
      <formula>"GPON"</formula>
    </cfRule>
    <cfRule type="cellIs" dxfId="91" priority="58" operator="equal">
      <formula>"GPON"</formula>
    </cfRule>
  </conditionalFormatting>
  <conditionalFormatting sqref="F141:F146">
    <cfRule type="cellIs" dxfId="90" priority="36" operator="equal">
      <formula>"PTP A FO"</formula>
    </cfRule>
    <cfRule type="cellIs" dxfId="89" priority="37" operator="equal">
      <formula>"PTP A FO"</formula>
    </cfRule>
    <cfRule type="containsText" dxfId="88" priority="34" operator="containsText" text="Radio">
      <formula>NOT(ISERROR(SEARCH("Radio",F141)))</formula>
    </cfRule>
    <cfRule type="cellIs" dxfId="87" priority="35" operator="equal">
      <formula>$F$13</formula>
    </cfRule>
  </conditionalFormatting>
  <conditionalFormatting sqref="F141:F157">
    <cfRule type="cellIs" dxfId="86" priority="2" operator="equal">
      <formula>"GPON"</formula>
    </cfRule>
    <cfRule type="cellIs" dxfId="85" priority="3" operator="equal">
      <formula>"GPON"</formula>
    </cfRule>
  </conditionalFormatting>
  <conditionalFormatting sqref="F225:F226">
    <cfRule type="cellIs" dxfId="84" priority="49" operator="equal">
      <formula>"PTP A FO"</formula>
    </cfRule>
    <cfRule type="cellIs" dxfId="83" priority="50" operator="equal">
      <formula>"PTP A FO"</formula>
    </cfRule>
    <cfRule type="cellIs" dxfId="82" priority="48" operator="equal">
      <formula>$F$13</formula>
    </cfRule>
  </conditionalFormatting>
  <conditionalFormatting sqref="F226">
    <cfRule type="cellIs" dxfId="81" priority="46" operator="equal">
      <formula>"PTP A FO"</formula>
    </cfRule>
    <cfRule type="cellIs" dxfId="80" priority="45" operator="equal">
      <formula>"PTP A FO"</formula>
    </cfRule>
    <cfRule type="cellIs" dxfId="79" priority="44" operator="equal">
      <formula>$F$13</formula>
    </cfRule>
  </conditionalFormatting>
  <conditionalFormatting sqref="F407">
    <cfRule type="cellIs" dxfId="78" priority="56" operator="equal">
      <formula>"PTP A FO"</formula>
    </cfRule>
    <cfRule type="cellIs" dxfId="77" priority="55" operator="equal">
      <formula>"PTP A FO"</formula>
    </cfRule>
    <cfRule type="cellIs" dxfId="76" priority="54" operator="equal">
      <formula>$F$13</formula>
    </cfRule>
    <cfRule type="containsText" dxfId="75" priority="53" operator="containsText" text="Radio">
      <formula>NOT(ISERROR(SEARCH("Radio",F407)))</formula>
    </cfRule>
  </conditionalFormatting>
  <conditionalFormatting sqref="F549">
    <cfRule type="cellIs" dxfId="74" priority="120" operator="equal">
      <formula>"PTP A FO"</formula>
    </cfRule>
    <cfRule type="containsText" dxfId="73" priority="119" operator="containsText" text="Radio">
      <formula>NOT(ISERROR(SEARCH("Radio",F549)))</formula>
    </cfRule>
  </conditionalFormatting>
  <conditionalFormatting sqref="F1:G133 F134:F135 F158:G224 F227:G406 F407 F408:G548 F559:G559 F560 F561:G573 F656:G1048576">
    <cfRule type="cellIs" dxfId="72" priority="721" operator="equal">
      <formula>"PTP A FO"</formula>
    </cfRule>
  </conditionalFormatting>
  <conditionalFormatting sqref="F1:G133 F134:F135 F158:G224 F227:G406 F407 F408:G573 F656:G1048576">
    <cfRule type="cellIs" dxfId="71" priority="526" operator="equal">
      <formula>"PTP A FO"</formula>
    </cfRule>
    <cfRule type="cellIs" dxfId="70" priority="525" operator="equal">
      <formula>$F$13</formula>
    </cfRule>
  </conditionalFormatting>
  <conditionalFormatting sqref="F146:G157">
    <cfRule type="cellIs" dxfId="69" priority="7" operator="equal">
      <formula>"PTP A FO"</formula>
    </cfRule>
    <cfRule type="cellIs" dxfId="68" priority="6" operator="equal">
      <formula>"PTP A FO"</formula>
    </cfRule>
    <cfRule type="cellIs" dxfId="67" priority="5" operator="equal">
      <formula>$F$13</formula>
    </cfRule>
  </conditionalFormatting>
  <conditionalFormatting sqref="G145">
    <cfRule type="cellIs" dxfId="66" priority="13" operator="equal">
      <formula>"PTP A FO"</formula>
    </cfRule>
    <cfRule type="cellIs" dxfId="65" priority="12" operator="equal">
      <formula>"PTP A FO"</formula>
    </cfRule>
    <cfRule type="cellIs" dxfId="64" priority="11" operator="equal">
      <formula>$F$13</formula>
    </cfRule>
  </conditionalFormatting>
  <conditionalFormatting sqref="J172">
    <cfRule type="containsText" dxfId="63" priority="28" operator="containsText" text="Radio">
      <formula>NOT(ISERROR(SEARCH("Radio",J172)))</formula>
    </cfRule>
  </conditionalFormatting>
  <conditionalFormatting sqref="L7:L573">
    <cfRule type="cellIs" dxfId="62" priority="956" operator="lessThan">
      <formula>0.8</formula>
    </cfRule>
    <cfRule type="cellIs" dxfId="61" priority="957" operator="greaterThan">
      <formula>0.8</formula>
    </cfRule>
  </conditionalFormatting>
  <conditionalFormatting sqref="M656:AO732 W656:AH1048576">
    <cfRule type="cellIs" dxfId="60" priority="103" operator="equal">
      <formula>"apagado"</formula>
    </cfRule>
  </conditionalFormatting>
  <conditionalFormatting sqref="M656:AO1048576">
    <cfRule type="containsText" dxfId="59" priority="653" operator="containsText" text="Caida">
      <formula>NOT(ISERROR(SEARCH("Caida",M656)))</formula>
    </cfRule>
    <cfRule type="notContainsText" dxfId="58" priority="986" operator="notContains" text="Caida">
      <formula>ISERROR(SEARCH("Caida",M656))</formula>
    </cfRule>
  </conditionalFormatting>
  <conditionalFormatting sqref="M8:AP46 M47:AO93 AP47:AP133 M94:AG94 AI94:AO94 M95:AO132 AC133:AO133 M133:AB144 AC134:AP144 M145:AP224 Z225:Z226 M227:AP329 M330:AO335 AP330:AP386 M336:AB336 AD336:AO336 M337:AO386 N387:O387 M387:M390 N388:N390 O388:O391 M391:N391 P391:AP391 M392:AP399 O400:AP406 M400:N407 AI656:AO1048576 AQ8:AQ224 AQ227:AQ386 AQ391:AQ406 M408:AQ573">
    <cfRule type="cellIs" dxfId="57" priority="102" operator="equal">
      <formula>"APAGADO"</formula>
    </cfRule>
  </conditionalFormatting>
  <conditionalFormatting sqref="O656:O1175">
    <cfRule type="cellIs" dxfId="56" priority="412" operator="equal">
      <formula>"APAGADO"</formula>
    </cfRule>
    <cfRule type="cellIs" dxfId="55" priority="284" operator="lessThan">
      <formula>0.8</formula>
    </cfRule>
    <cfRule type="notContainsText" dxfId="54" priority="282" operator="notContains" text="Caida">
      <formula>ISERROR(SEARCH("Caida",O656))</formula>
    </cfRule>
    <cfRule type="containsText" dxfId="53" priority="283" operator="containsText" text="Caida">
      <formula>NOT(ISERROR(SEARCH("Caida",O656)))</formula>
    </cfRule>
    <cfRule type="cellIs" dxfId="52" priority="285" operator="greaterThan">
      <formula>0.8</formula>
    </cfRule>
    <cfRule type="cellIs" dxfId="51" priority="308" operator="greaterThan">
      <formula>0.8</formula>
    </cfRule>
  </conditionalFormatting>
  <conditionalFormatting sqref="O656:O1048576">
    <cfRule type="cellIs" dxfId="50" priority="302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22" zoomScaleNormal="100" workbookViewId="0">
      <selection activeCell="G343" sqref="G3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566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0</v>
      </c>
      <c r="D3" s="54"/>
      <c r="E3" s="55">
        <f>C3/C2</f>
        <v>0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266</v>
      </c>
      <c r="D10" s="113">
        <f>Hoja1!F5</f>
        <v>0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566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5"/>
    </row>
    <row r="15" spans="1:6" x14ac:dyDescent="0.25">
      <c r="B15" s="53" t="s">
        <v>1243</v>
      </c>
      <c r="C15" s="67">
        <v>0</v>
      </c>
      <c r="D15" s="103">
        <f>C14-C15</f>
        <v>0</v>
      </c>
      <c r="E15" s="55">
        <f>D15/C13</f>
        <v>0</v>
      </c>
      <c r="F15" s="155"/>
    </row>
    <row r="16" spans="1:6" x14ac:dyDescent="0.25">
      <c r="B16" s="53" t="s">
        <v>1244</v>
      </c>
      <c r="C16" s="67">
        <v>0</v>
      </c>
      <c r="D16" s="103">
        <f>D15-C16</f>
        <v>0</v>
      </c>
      <c r="E16" s="55">
        <f>D16/C13</f>
        <v>0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299</v>
      </c>
      <c r="D20" s="115">
        <f>Hoja1!G3</f>
        <v>0</v>
      </c>
      <c r="E20" s="105">
        <f>D20/C20</f>
        <v>0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266</v>
      </c>
      <c r="D21" s="113">
        <f>Hoja1!G5</f>
        <v>0</v>
      </c>
      <c r="E21" s="114">
        <f>D21/C21</f>
        <v>0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566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-3</v>
      </c>
      <c r="E27" s="55">
        <f>D27/C24</f>
        <v>-5.3003533568904597E-3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0</v>
      </c>
      <c r="D28" s="103">
        <f>D27-C28</f>
        <v>-3</v>
      </c>
      <c r="E28" s="55">
        <f>D28/C24</f>
        <v>-5.3003533568904597E-3</v>
      </c>
      <c r="F28" s="155"/>
    </row>
    <row r="29" spans="1:6" ht="15.75" thickBot="1" x14ac:dyDescent="0.3">
      <c r="B29" s="56"/>
      <c r="C29" s="131">
        <v>0</v>
      </c>
      <c r="D29" s="104">
        <f>D28-C29</f>
        <v>-3</v>
      </c>
      <c r="E29" s="74">
        <f>D29/C24</f>
        <v>-5.3003533568904597E-3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299</v>
      </c>
      <c r="D31" s="115">
        <f>Hoja1!H3</f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266</v>
      </c>
      <c r="D32" s="113">
        <f>Hoja1!H5</f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566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1243</v>
      </c>
      <c r="C37" s="67">
        <v>2</v>
      </c>
      <c r="D37" s="103">
        <v>42</v>
      </c>
      <c r="E37" s="55">
        <f>D37/C35</f>
        <v>7.4204946996466431E-2</v>
      </c>
      <c r="F37" s="155"/>
    </row>
    <row r="38" spans="1:6" x14ac:dyDescent="0.25">
      <c r="B38" s="53" t="s">
        <v>1244</v>
      </c>
      <c r="C38" s="67">
        <v>3</v>
      </c>
      <c r="D38" s="103">
        <v>39</v>
      </c>
      <c r="E38" s="55">
        <f>D38/C35</f>
        <v>6.8904593639575976E-2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0</v>
      </c>
      <c r="D39" s="103">
        <f>D38-C39</f>
        <v>39</v>
      </c>
      <c r="E39" s="55">
        <f>D39/C35</f>
        <v>6.8904593639575976E-2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1063</v>
      </c>
      <c r="C43" s="113">
        <f>COSEIDIcam</f>
        <v>266</v>
      </c>
      <c r="D43" s="113">
        <f>Hoja1!I5</f>
        <v>0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566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1244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299</v>
      </c>
      <c r="D53" s="115">
        <f>Hoja1!J3</f>
        <v>0</v>
      </c>
      <c r="E53" s="105">
        <v>7.0000000000000007E-2</v>
      </c>
      <c r="F53" s="155"/>
    </row>
    <row r="54" spans="1:6" ht="15.75" thickBot="1" x14ac:dyDescent="0.3">
      <c r="B54" s="112" t="s">
        <v>1063</v>
      </c>
      <c r="C54" s="113">
        <f>COSEIDIcam</f>
        <v>266</v>
      </c>
      <c r="D54" s="113">
        <f>Hoja1!J5</f>
        <v>0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566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299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266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566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-1</v>
      </c>
      <c r="E70" s="55">
        <f>D70/C68</f>
        <v>-1.7667844522968198E-3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-4</v>
      </c>
      <c r="E71" s="55">
        <f>D71/C68</f>
        <v>-7.0671378091872791E-3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-4</v>
      </c>
      <c r="E72" s="55">
        <f>D72/C68</f>
        <v>-7.0671378091872791E-3</v>
      </c>
      <c r="F72" s="155"/>
    </row>
    <row r="73" spans="1:6" ht="15.75" thickBot="1" x14ac:dyDescent="0.3">
      <c r="B73" s="56"/>
      <c r="C73" s="131">
        <v>0</v>
      </c>
      <c r="D73" s="104">
        <f>D72-C73</f>
        <v>-4</v>
      </c>
      <c r="E73" s="74">
        <f>D73/C68</f>
        <v>-7.0671378091872791E-3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299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566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566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566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566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-7.0671378091872791E-3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266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566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-8.8339222614840993E-3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-1.4134275618374558E-2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-2.4734982332155476E-2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-2.4734982332155476E-2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266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566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-8.8339222614840993E-3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-1.4134275618374558E-2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-3.7102473498233215E-2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1063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566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-1.2367491166077738E-2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-1.7667844522968199E-2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-4.4169611307420496E-2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-4.4169611307420496E-2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566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566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566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-1.4134275618374558E-2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-1.9434628975265017E-2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-3.0035335689045935E-2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299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266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566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566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-1.0600706713780919E-2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-1.5901060070671377E-2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-2.6501766784452298E-2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-2.6501766784452298E-2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299</v>
      </c>
      <c r="D207" s="115">
        <v>27</v>
      </c>
      <c r="E207" s="105">
        <f>D207/C207</f>
        <v>9.0301003344481601E-2</v>
      </c>
      <c r="F207" s="155"/>
    </row>
    <row r="208" spans="2:6" ht="15.75" thickBot="1" x14ac:dyDescent="0.3">
      <c r="B208" s="112" t="s">
        <v>1063</v>
      </c>
      <c r="C208" s="113">
        <f>COSEIDIcam</f>
        <v>266</v>
      </c>
      <c r="D208" s="113">
        <v>40</v>
      </c>
      <c r="E208" s="114">
        <f>D208/C208</f>
        <v>0.15037593984962405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566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9.7173144876325085E-2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8.4805653710247356E-2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7.9505300353356886E-2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6.8904593639575976E-2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6.8904593639575976E-2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299</v>
      </c>
      <c r="D218" s="115">
        <v>17</v>
      </c>
      <c r="E218" s="105">
        <f>D218/C218</f>
        <v>5.6856187290969896E-2</v>
      </c>
      <c r="F218" s="155"/>
    </row>
    <row r="219" spans="2:6" ht="15.75" thickBot="1" x14ac:dyDescent="0.3">
      <c r="B219" s="112" t="s">
        <v>1063</v>
      </c>
      <c r="C219" s="113">
        <f>COSEIDIcam</f>
        <v>266</v>
      </c>
      <c r="D219" s="113">
        <v>38</v>
      </c>
      <c r="E219" s="114">
        <f>D219/C219</f>
        <v>0.14285714285714285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566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566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566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566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566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566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566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566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566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566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566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299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>
        <f>'RESUMEN TOTAL'!M90</f>
        <v>0</v>
      </c>
      <c r="G68" s="70">
        <f>'RESUMEN TOTAL'!N90</f>
        <v>0</v>
      </c>
      <c r="H68" s="70">
        <f>'RESUMEN TOTAL'!O90</f>
        <v>0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TOTAL'!V120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>
        <f>'RESUMEN TOTAL'!V121</f>
        <v>0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TOTAL'!M131</f>
        <v>0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>
        <f>'RESUMEN TOTAL'!M145</f>
        <v>0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>
        <f>'RESUMEN TOTAL'!M183</f>
        <v>0</v>
      </c>
      <c r="G143" s="70">
        <f>'RESUMEN TOTAL'!N183</f>
        <v>0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>
        <f>'RESUMEN TOTAL'!M193</f>
        <v>0</v>
      </c>
      <c r="G148" s="70">
        <f>'RESUMEN TOTAL'!N193</f>
        <v>0</v>
      </c>
      <c r="H148" s="70">
        <f>'RESUMEN TOTAL'!O193</f>
        <v>0</v>
      </c>
      <c r="I148" s="70">
        <f>'RESUMEN TOTAL'!P193</f>
        <v>0</v>
      </c>
      <c r="J148" s="70">
        <f>'RESUMEN TOTAL'!Q193</f>
        <v>0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>
        <f>'RESUMEN TOTAL'!M195</f>
        <v>0</v>
      </c>
      <c r="G150" s="70">
        <f>'RESUMEN TOTAL'!N195</f>
        <v>0</v>
      </c>
      <c r="H150" s="70">
        <f>'RESUMEN TOTAL'!O195</f>
        <v>0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>
        <f>'RESUMEN TOTAL'!O200</f>
        <v>0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>
        <f>'RESUMEN TOTAL'!M201</f>
        <v>0</v>
      </c>
      <c r="G156" s="70">
        <f>'RESUMEN TOTAL'!N201</f>
        <v>0</v>
      </c>
      <c r="H156" s="70">
        <f>'RESUMEN TOTAL'!O201</f>
        <v>0</v>
      </c>
      <c r="I156" s="70">
        <f>'RESUMEN TOTAL'!P201</f>
        <v>0</v>
      </c>
      <c r="J156" s="70">
        <f>'RESUMEN TOTAL'!Q201</f>
        <v>0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TOTAL'!A218</f>
        <v>LIBERTAD</v>
      </c>
      <c r="B170" t="str">
        <f>'RESUMEN TOTAL'!B218</f>
        <v>LIBER 01</v>
      </c>
      <c r="C170" t="str">
        <f>'RESUMEN TOTAL'!D218</f>
        <v>511 Y 574 FIJA 01</v>
      </c>
      <c r="D170" s="30" t="str">
        <f>'RESUMEN TOTAL'!E218</f>
        <v>Fija</v>
      </c>
      <c r="E170" s="30" t="str">
        <f>'RESUMEN TOTAL'!F218</f>
        <v>RADIO</v>
      </c>
      <c r="F170" s="70">
        <f>'RESUMEN TOTAL'!M218</f>
        <v>0</v>
      </c>
      <c r="G170" s="70">
        <f>'RESUMEN TOTAL'!N218</f>
        <v>0</v>
      </c>
      <c r="H170" s="70">
        <f>'RESUMEN TOTAL'!O218</f>
        <v>0</v>
      </c>
      <c r="I170" s="70">
        <f>'RESUMEN TOTAL'!P218</f>
        <v>0</v>
      </c>
      <c r="J170" s="70">
        <f>'RESUMEN TOTAL'!Q218</f>
        <v>0</v>
      </c>
      <c r="K170" s="70">
        <f>'RESUMEN TOTAL'!R218</f>
        <v>0</v>
      </c>
      <c r="L170" s="70">
        <f>'RESUMEN TOTAL'!S218</f>
        <v>0</v>
      </c>
      <c r="M170" s="70">
        <f>'RESUMEN TOTAL'!T218</f>
        <v>0</v>
      </c>
      <c r="N170" s="70">
        <f>'RESUMEN TOTAL'!U218</f>
        <v>0</v>
      </c>
      <c r="O170" s="70">
        <f>'RESUMEN TOTAL'!V218</f>
        <v>0</v>
      </c>
      <c r="P170" s="70">
        <f>'RESUMEN TOTAL'!W218</f>
        <v>0</v>
      </c>
      <c r="Q170" s="70">
        <f>'RESUMEN TOTAL'!X218</f>
        <v>0</v>
      </c>
      <c r="R170" s="70">
        <f>'RESUMEN TOTAL'!Y218</f>
        <v>0</v>
      </c>
      <c r="S170" s="70">
        <f>'RESUMEN TOTAL'!Z218</f>
        <v>0</v>
      </c>
      <c r="T170" s="70">
        <f>'RESUMEN TOTAL'!AA218</f>
        <v>0</v>
      </c>
      <c r="U170" s="70">
        <f>'RESUMEN TOTAL'!AB218</f>
        <v>0</v>
      </c>
      <c r="V170" s="70">
        <f>'RESUMEN TOTAL'!AC218</f>
        <v>0</v>
      </c>
      <c r="W170" s="70">
        <f>'RESUMEN TOTAL'!AD218</f>
        <v>0</v>
      </c>
      <c r="X170" s="70">
        <f>'RESUMEN TOTAL'!AE218</f>
        <v>0</v>
      </c>
      <c r="Y170" s="70">
        <f>'RESUMEN TOTAL'!AF218</f>
        <v>0</v>
      </c>
      <c r="Z170" s="70">
        <f>'RESUMEN TOTAL'!AG218</f>
        <v>0</v>
      </c>
      <c r="AA170" s="70">
        <f>'RESUMEN TOTAL'!AH218</f>
        <v>0</v>
      </c>
      <c r="AB170" s="70">
        <f>'RESUMEN TOTAL'!AI218</f>
        <v>0</v>
      </c>
      <c r="AC170" s="70">
        <f>'RESUMEN TOTAL'!AJ218</f>
        <v>0</v>
      </c>
      <c r="AD170" s="70">
        <f>'RESUMEN TOTAL'!AK218</f>
        <v>0</v>
      </c>
      <c r="AE170" s="70">
        <f>'RESUMEN TOTAL'!AL218</f>
        <v>0</v>
      </c>
      <c r="AF170" s="70">
        <f>'RESUMEN TOTAL'!AM218</f>
        <v>0</v>
      </c>
      <c r="AG170" s="70">
        <f>'RESUMEN TOTAL'!AN218</f>
        <v>0</v>
      </c>
      <c r="AH170" s="70">
        <f>'RESUMEN TOTAL'!AO218</f>
        <v>0</v>
      </c>
      <c r="AI170" s="70">
        <f>'RESUMEN TOTAL'!AP218</f>
        <v>0</v>
      </c>
      <c r="AJ170" s="70">
        <f>'RESUMEN TOTAL'!AQ218</f>
        <v>0</v>
      </c>
    </row>
    <row r="171" spans="1:36" x14ac:dyDescent="0.25">
      <c r="A171" t="str">
        <f>'RESUMEN TOTAL'!A219</f>
        <v>LIBERTAD</v>
      </c>
      <c r="B171" t="str">
        <f>'RESUMEN TOTAL'!B219</f>
        <v>LIBER 02</v>
      </c>
      <c r="C171" t="str">
        <f>'RESUMEN TOTAL'!D219</f>
        <v>511 Y 574 FIJA 02</v>
      </c>
      <c r="D171" s="30" t="str">
        <f>'RESUMEN TOTAL'!E219</f>
        <v>Fija</v>
      </c>
      <c r="E171" s="30" t="str">
        <f>'RESUMEN TOTAL'!F219</f>
        <v>Radio</v>
      </c>
      <c r="F171" s="70">
        <f>'RESUMEN TOTAL'!M219</f>
        <v>0</v>
      </c>
      <c r="G171" s="70">
        <f>'RESUMEN TOTAL'!N219</f>
        <v>0</v>
      </c>
      <c r="H171" s="70">
        <f>'RESUMEN TOTAL'!O219</f>
        <v>0</v>
      </c>
      <c r="I171" s="70">
        <f>'RESUMEN TOTAL'!P219</f>
        <v>0</v>
      </c>
      <c r="J171" s="70">
        <f>'RESUMEN TOTAL'!Q219</f>
        <v>0</v>
      </c>
      <c r="K171" s="70">
        <f>'RESUMEN TOTAL'!R219</f>
        <v>0</v>
      </c>
      <c r="L171" s="70">
        <f>'RESUMEN TOTAL'!S219</f>
        <v>0</v>
      </c>
      <c r="M171" s="70">
        <f>'RESUMEN TOTAL'!T219</f>
        <v>0</v>
      </c>
      <c r="N171" s="70">
        <f>'RESUMEN TOTAL'!U219</f>
        <v>0</v>
      </c>
      <c r="O171" s="70">
        <f>'RESUMEN TOTAL'!V219</f>
        <v>0</v>
      </c>
      <c r="P171" s="70">
        <f>'RESUMEN TOTAL'!W219</f>
        <v>0</v>
      </c>
      <c r="Q171" s="70">
        <f>'RESUMEN TOTAL'!X219</f>
        <v>0</v>
      </c>
      <c r="R171" s="70">
        <f>'RESUMEN TOTAL'!Y219</f>
        <v>0</v>
      </c>
      <c r="S171" s="70">
        <f>'RESUMEN TOTAL'!Z219</f>
        <v>0</v>
      </c>
      <c r="T171" s="70">
        <f>'RESUMEN TOTAL'!AA219</f>
        <v>0</v>
      </c>
      <c r="U171" s="70">
        <f>'RESUMEN TOTAL'!AB219</f>
        <v>0</v>
      </c>
      <c r="V171" s="70">
        <f>'RESUMEN TOTAL'!AC219</f>
        <v>0</v>
      </c>
      <c r="W171" s="70">
        <f>'RESUMEN TOTAL'!AD219</f>
        <v>0</v>
      </c>
      <c r="X171" s="70">
        <f>'RESUMEN TOTAL'!AE219</f>
        <v>0</v>
      </c>
      <c r="Y171" s="70">
        <f>'RESUMEN TOTAL'!AF219</f>
        <v>0</v>
      </c>
      <c r="Z171" s="70">
        <f>'RESUMEN TOTAL'!AG219</f>
        <v>0</v>
      </c>
      <c r="AA171" s="70">
        <f>'RESUMEN TOTAL'!AH219</f>
        <v>0</v>
      </c>
      <c r="AB171" s="70">
        <f>'RESUMEN TOTAL'!AI219</f>
        <v>0</v>
      </c>
      <c r="AC171" s="70">
        <f>'RESUMEN TOTAL'!AJ219</f>
        <v>0</v>
      </c>
      <c r="AD171" s="70">
        <f>'RESUMEN TOTAL'!AK219</f>
        <v>0</v>
      </c>
      <c r="AE171" s="70">
        <f>'RESUMEN TOTAL'!AL219</f>
        <v>0</v>
      </c>
      <c r="AF171" s="70">
        <f>'RESUMEN TOTAL'!AM219</f>
        <v>0</v>
      </c>
      <c r="AG171" s="70">
        <f>'RESUMEN TOTAL'!AN219</f>
        <v>0</v>
      </c>
      <c r="AH171" s="70">
        <f>'RESUMEN TOTAL'!AO219</f>
        <v>0</v>
      </c>
      <c r="AI171" s="70">
        <f>'RESUMEN TOTAL'!AP219</f>
        <v>0</v>
      </c>
      <c r="AJ171" s="70">
        <f>'RESUMEN TOTAL'!AQ219</f>
        <v>0</v>
      </c>
    </row>
    <row r="172" spans="1:36" x14ac:dyDescent="0.25">
      <c r="A172" t="str">
        <f>'RESUMEN TOTAL'!A220</f>
        <v>z</v>
      </c>
      <c r="B172" t="str">
        <f>'RESUMEN TOTAL'!B220</f>
        <v>LPI 01</v>
      </c>
      <c r="C172" t="str">
        <f>'RESUMEN TOTAL'!D220</f>
        <v>Maipu y Posadas</v>
      </c>
      <c r="D172" s="30" t="str">
        <f>'RESUMEN TOTAL'!E220</f>
        <v>Domo</v>
      </c>
      <c r="E172" s="30" t="str">
        <f>'RESUMEN TOTAL'!F220</f>
        <v>PTO A FO</v>
      </c>
      <c r="F172" s="70">
        <f>'RESUMEN TOTAL'!M220</f>
        <v>0</v>
      </c>
      <c r="G172" s="70">
        <f>'RESUMEN TOTAL'!N220</f>
        <v>0</v>
      </c>
      <c r="H172" s="70">
        <f>'RESUMEN TOTAL'!O220</f>
        <v>0</v>
      </c>
      <c r="I172" s="70">
        <f>'RESUMEN TOTAL'!P220</f>
        <v>0</v>
      </c>
      <c r="J172" s="70">
        <f>'RESUMEN TOTAL'!Q220</f>
        <v>0</v>
      </c>
      <c r="K172" s="70">
        <f>'RESUMEN TOTAL'!R220</f>
        <v>0</v>
      </c>
      <c r="L172" s="70">
        <f>'RESUMEN TOTAL'!S220</f>
        <v>0</v>
      </c>
      <c r="M172" s="70">
        <f>'RESUMEN TOTAL'!T220</f>
        <v>0</v>
      </c>
      <c r="N172" s="70">
        <f>'RESUMEN TOTAL'!U220</f>
        <v>0</v>
      </c>
      <c r="O172" s="70">
        <f>'RESUMEN TOTAL'!V220</f>
        <v>0</v>
      </c>
      <c r="P172" s="70">
        <f>'RESUMEN TOTAL'!W220</f>
        <v>0</v>
      </c>
      <c r="Q172" s="70">
        <f>'RESUMEN TOTAL'!X220</f>
        <v>0</v>
      </c>
      <c r="R172" s="70">
        <f>'RESUMEN TOTAL'!Y220</f>
        <v>0</v>
      </c>
      <c r="S172" s="70">
        <f>'RESUMEN TOTAL'!Z220</f>
        <v>0</v>
      </c>
      <c r="T172" s="70">
        <f>'RESUMEN TOTAL'!AA220</f>
        <v>0</v>
      </c>
      <c r="U172" s="70">
        <f>'RESUMEN TOTAL'!AB220</f>
        <v>0</v>
      </c>
      <c r="V172" s="70">
        <f>'RESUMEN TOTAL'!AC220</f>
        <v>0</v>
      </c>
      <c r="W172" s="70">
        <f>'RESUMEN TOTAL'!AD220</f>
        <v>0</v>
      </c>
      <c r="X172" s="70">
        <f>'RESUMEN TOTAL'!AE220</f>
        <v>0</v>
      </c>
      <c r="Y172" s="70">
        <f>'RESUMEN TOTAL'!AF220</f>
        <v>0</v>
      </c>
      <c r="Z172" s="70">
        <f>'RESUMEN TOTAL'!AG220</f>
        <v>0</v>
      </c>
      <c r="AA172" s="70">
        <f>'RESUMEN TOTAL'!AH220</f>
        <v>0</v>
      </c>
      <c r="AB172" s="70">
        <f>'RESUMEN TOTAL'!AI220</f>
        <v>0</v>
      </c>
      <c r="AC172" s="70">
        <f>'RESUMEN TOTAL'!AJ220</f>
        <v>0</v>
      </c>
      <c r="AD172" s="70">
        <f>'RESUMEN TOTAL'!AK220</f>
        <v>0</v>
      </c>
      <c r="AE172" s="70">
        <f>'RESUMEN TOTAL'!AL220</f>
        <v>0</v>
      </c>
      <c r="AF172" s="70">
        <f>'RESUMEN TOTAL'!AM220</f>
        <v>0</v>
      </c>
      <c r="AG172" s="70">
        <f>'RESUMEN TOTAL'!AN220</f>
        <v>0</v>
      </c>
      <c r="AH172" s="70">
        <f>'RESUMEN TOTAL'!AO220</f>
        <v>0</v>
      </c>
      <c r="AI172" s="70">
        <f>'RESUMEN TOTAL'!AP220</f>
        <v>0</v>
      </c>
      <c r="AJ172" s="70">
        <f>'RESUMEN TOTAL'!AQ220</f>
        <v>0</v>
      </c>
    </row>
    <row r="173" spans="1:36" x14ac:dyDescent="0.25">
      <c r="A173" t="str">
        <f>'RESUMEN TOTAL'!A221</f>
        <v>CHACABUCO</v>
      </c>
      <c r="B173" t="str">
        <f>'RESUMEN TOTAL'!B221</f>
        <v>LPI02</v>
      </c>
      <c r="C173" t="str">
        <f>'RESUMEN TOTAL'!D221</f>
        <v>EE.UU y Ayacucho</v>
      </c>
      <c r="D173" s="30" t="str">
        <f>'RESUMEN TOTAL'!E221</f>
        <v>Domo</v>
      </c>
      <c r="E173" s="30" t="str">
        <f>'RESUMEN TOTAL'!F221</f>
        <v>GPON</v>
      </c>
      <c r="F173" s="70">
        <f>'RESUMEN TOTAL'!M221</f>
        <v>0</v>
      </c>
      <c r="G173" s="70">
        <f>'RESUMEN TOTAL'!N221</f>
        <v>0</v>
      </c>
      <c r="H173" s="70">
        <f>'RESUMEN TOTAL'!O221</f>
        <v>0</v>
      </c>
      <c r="I173" s="70">
        <f>'RESUMEN TOTAL'!P221</f>
        <v>0</v>
      </c>
      <c r="J173" s="70">
        <f>'RESUMEN TOTAL'!Q221</f>
        <v>0</v>
      </c>
      <c r="K173" s="70">
        <f>'RESUMEN TOTAL'!R221</f>
        <v>0</v>
      </c>
      <c r="L173" s="70">
        <f>'RESUMEN TOTAL'!S221</f>
        <v>0</v>
      </c>
      <c r="M173" s="70">
        <f>'RESUMEN TOTAL'!T221</f>
        <v>0</v>
      </c>
      <c r="N173" s="70">
        <f>'RESUMEN TOTAL'!U221</f>
        <v>0</v>
      </c>
      <c r="O173" s="70">
        <f>'RESUMEN TOTAL'!V221</f>
        <v>0</v>
      </c>
      <c r="P173" s="70">
        <f>'RESUMEN TOTAL'!W221</f>
        <v>0</v>
      </c>
      <c r="Q173" s="70">
        <f>'RESUMEN TOTAL'!X221</f>
        <v>0</v>
      </c>
      <c r="R173" s="70">
        <f>'RESUMEN TOTAL'!Y221</f>
        <v>0</v>
      </c>
      <c r="S173" s="70">
        <f>'RESUMEN TOTAL'!Z221</f>
        <v>0</v>
      </c>
      <c r="T173" s="70">
        <f>'RESUMEN TOTAL'!AA221</f>
        <v>0</v>
      </c>
      <c r="U173" s="70">
        <f>'RESUMEN TOTAL'!AB221</f>
        <v>0</v>
      </c>
      <c r="V173" s="70">
        <f>'RESUMEN TOTAL'!AC221</f>
        <v>0</v>
      </c>
      <c r="W173" s="70">
        <f>'RESUMEN TOTAL'!AD221</f>
        <v>0</v>
      </c>
      <c r="X173" s="70">
        <f>'RESUMEN TOTAL'!AE221</f>
        <v>0</v>
      </c>
      <c r="Y173" s="70">
        <f>'RESUMEN TOTAL'!AF221</f>
        <v>0</v>
      </c>
      <c r="Z173" s="70">
        <f>'RESUMEN TOTAL'!AG221</f>
        <v>0</v>
      </c>
      <c r="AA173" s="70">
        <f>'RESUMEN TOTAL'!AH221</f>
        <v>0</v>
      </c>
      <c r="AB173" s="70">
        <f>'RESUMEN TOTAL'!AI221</f>
        <v>0</v>
      </c>
      <c r="AC173" s="70">
        <f>'RESUMEN TOTAL'!AJ221</f>
        <v>0</v>
      </c>
      <c r="AD173" s="70">
        <f>'RESUMEN TOTAL'!AK221</f>
        <v>0</v>
      </c>
      <c r="AE173" s="70">
        <f>'RESUMEN TOTAL'!AL221</f>
        <v>0</v>
      </c>
      <c r="AF173" s="70">
        <f>'RESUMEN TOTAL'!AM221</f>
        <v>0</v>
      </c>
      <c r="AG173" s="70">
        <f>'RESUMEN TOTAL'!AN221</f>
        <v>0</v>
      </c>
      <c r="AH173" s="70">
        <f>'RESUMEN TOTAL'!AO221</f>
        <v>0</v>
      </c>
      <c r="AI173" s="70">
        <f>'RESUMEN TOTAL'!AP221</f>
        <v>0</v>
      </c>
      <c r="AJ173" s="70">
        <f>'RESUMEN TOTAL'!AQ221</f>
        <v>0</v>
      </c>
    </row>
    <row r="174" spans="1:36" x14ac:dyDescent="0.25">
      <c r="A174" t="str">
        <f>'RESUMEN TOTAL'!A222</f>
        <v>LA PILETA</v>
      </c>
      <c r="B174" t="str">
        <f>'RESUMEN TOTAL'!B222</f>
        <v>LPI03 (fija 2)</v>
      </c>
      <c r="C174" t="str">
        <f>'RESUMEN TOTAL'!D222</f>
        <v>MAIPU Y POSADAS</v>
      </c>
      <c r="D174" s="30" t="str">
        <f>'RESUMEN TOTAL'!E222</f>
        <v>Fija</v>
      </c>
      <c r="E174" s="30" t="str">
        <f>'RESUMEN TOTAL'!F222</f>
        <v>Fibra Optica</v>
      </c>
      <c r="F174" s="70">
        <f>'RESUMEN TOTAL'!M222</f>
        <v>0</v>
      </c>
      <c r="G174" s="70">
        <f>'RESUMEN TOTAL'!N222</f>
        <v>0</v>
      </c>
      <c r="H174" s="70">
        <f>'RESUMEN TOTAL'!O222</f>
        <v>0</v>
      </c>
      <c r="I174" s="70">
        <f>'RESUMEN TOTAL'!P222</f>
        <v>0</v>
      </c>
      <c r="J174" s="70">
        <f>'RESUMEN TOTAL'!Q222</f>
        <v>0</v>
      </c>
      <c r="K174" s="70">
        <f>'RESUMEN TOTAL'!R222</f>
        <v>0</v>
      </c>
      <c r="L174" s="70">
        <f>'RESUMEN TOTAL'!S222</f>
        <v>0</v>
      </c>
      <c r="M174" s="70">
        <f>'RESUMEN TOTAL'!T222</f>
        <v>0</v>
      </c>
      <c r="N174" s="70">
        <f>'RESUMEN TOTAL'!U222</f>
        <v>0</v>
      </c>
      <c r="O174" s="70">
        <f>'RESUMEN TOTAL'!V222</f>
        <v>0</v>
      </c>
      <c r="P174" s="70">
        <f>'RESUMEN TOTAL'!W222</f>
        <v>0</v>
      </c>
      <c r="Q174" s="70">
        <f>'RESUMEN TOTAL'!X222</f>
        <v>0</v>
      </c>
      <c r="R174" s="70">
        <f>'RESUMEN TOTAL'!Y222</f>
        <v>0</v>
      </c>
      <c r="S174" s="70">
        <f>'RESUMEN TOTAL'!Z222</f>
        <v>0</v>
      </c>
      <c r="T174" s="70">
        <f>'RESUMEN TOTAL'!AA222</f>
        <v>0</v>
      </c>
      <c r="U174" s="70">
        <f>'RESUMEN TOTAL'!AB222</f>
        <v>0</v>
      </c>
      <c r="V174" s="70">
        <f>'RESUMEN TOTAL'!AC222</f>
        <v>0</v>
      </c>
      <c r="W174" s="70">
        <f>'RESUMEN TOTAL'!AD222</f>
        <v>0</v>
      </c>
      <c r="X174" s="70">
        <f>'RESUMEN TOTAL'!AE222</f>
        <v>0</v>
      </c>
      <c r="Y174" s="70">
        <f>'RESUMEN TOTAL'!AF222</f>
        <v>0</v>
      </c>
      <c r="Z174" s="70">
        <f>'RESUMEN TOTAL'!AG222</f>
        <v>0</v>
      </c>
      <c r="AA174" s="70">
        <f>'RESUMEN TOTAL'!AH222</f>
        <v>0</v>
      </c>
      <c r="AB174" s="70">
        <f>'RESUMEN TOTAL'!AI222</f>
        <v>0</v>
      </c>
      <c r="AC174" s="70">
        <f>'RESUMEN TOTAL'!AJ222</f>
        <v>0</v>
      </c>
      <c r="AD174" s="70">
        <f>'RESUMEN TOTAL'!AK222</f>
        <v>0</v>
      </c>
      <c r="AE174" s="70">
        <f>'RESUMEN TOTAL'!AL222</f>
        <v>0</v>
      </c>
      <c r="AF174" s="70">
        <f>'RESUMEN TOTAL'!AM222</f>
        <v>0</v>
      </c>
      <c r="AG174" s="70">
        <f>'RESUMEN TOTAL'!AN222</f>
        <v>0</v>
      </c>
      <c r="AH174" s="70">
        <f>'RESUMEN TOTAL'!AO222</f>
        <v>0</v>
      </c>
      <c r="AI174" s="70">
        <f>'RESUMEN TOTAL'!AP222</f>
        <v>0</v>
      </c>
      <c r="AJ174" s="70">
        <f>'RESUMEN TOTAL'!AQ222</f>
        <v>0</v>
      </c>
    </row>
    <row r="175" spans="1:36" x14ac:dyDescent="0.25">
      <c r="A175" t="str">
        <f>'RESUMEN TOTAL'!A223</f>
        <v>LA PILETA</v>
      </c>
      <c r="B175" t="str">
        <f>'RESUMEN TOTAL'!B223</f>
        <v>LPI04 (fija 1)</v>
      </c>
      <c r="C175" t="str">
        <f>'RESUMEN TOTAL'!D223</f>
        <v>MAIPU Y POSADAS</v>
      </c>
      <c r="D175" s="30" t="str">
        <f>'RESUMEN TOTAL'!E223</f>
        <v>FIJA</v>
      </c>
      <c r="E175" s="30" t="str">
        <f>'RESUMEN TOTAL'!F223</f>
        <v>Fibra Optica</v>
      </c>
      <c r="F175" s="70">
        <f>'RESUMEN TOTAL'!M223</f>
        <v>0</v>
      </c>
      <c r="G175" s="70">
        <f>'RESUMEN TOTAL'!N223</f>
        <v>0</v>
      </c>
      <c r="H175" s="70">
        <f>'RESUMEN TOTAL'!O223</f>
        <v>0</v>
      </c>
      <c r="I175" s="70">
        <f>'RESUMEN TOTAL'!P223</f>
        <v>0</v>
      </c>
      <c r="J175" s="70">
        <f>'RESUMEN TOTAL'!Q223</f>
        <v>0</v>
      </c>
      <c r="K175" s="70">
        <f>'RESUMEN TOTAL'!R223</f>
        <v>0</v>
      </c>
      <c r="L175" s="70">
        <f>'RESUMEN TOTAL'!S223</f>
        <v>0</v>
      </c>
      <c r="M175" s="70">
        <f>'RESUMEN TOTAL'!T223</f>
        <v>0</v>
      </c>
      <c r="N175" s="70">
        <f>'RESUMEN TOTAL'!U223</f>
        <v>0</v>
      </c>
      <c r="O175" s="70">
        <f>'RESUMEN TOTAL'!V223</f>
        <v>0</v>
      </c>
      <c r="P175" s="70">
        <f>'RESUMEN TOTAL'!W223</f>
        <v>0</v>
      </c>
      <c r="Q175" s="70">
        <f>'RESUMEN TOTAL'!X223</f>
        <v>0</v>
      </c>
      <c r="R175" s="70">
        <f>'RESUMEN TOTAL'!Y223</f>
        <v>0</v>
      </c>
      <c r="S175" s="70">
        <f>'RESUMEN TOTAL'!Z223</f>
        <v>0</v>
      </c>
      <c r="T175" s="70">
        <f>'RESUMEN TOTAL'!AA223</f>
        <v>0</v>
      </c>
      <c r="U175" s="70">
        <f>'RESUMEN TOTAL'!AB223</f>
        <v>0</v>
      </c>
      <c r="V175" s="70">
        <f>'RESUMEN TOTAL'!AC223</f>
        <v>0</v>
      </c>
      <c r="W175" s="70">
        <f>'RESUMEN TOTAL'!AD223</f>
        <v>0</v>
      </c>
      <c r="X175" s="70">
        <f>'RESUMEN TOTAL'!AE223</f>
        <v>0</v>
      </c>
      <c r="Y175" s="70">
        <f>'RESUMEN TOTAL'!AF223</f>
        <v>0</v>
      </c>
      <c r="Z175" s="70">
        <f>'RESUMEN TOTAL'!AG223</f>
        <v>0</v>
      </c>
      <c r="AA175" s="70">
        <f>'RESUMEN TOTAL'!AH223</f>
        <v>0</v>
      </c>
      <c r="AB175" s="70">
        <f>'RESUMEN TOTAL'!AI223</f>
        <v>0</v>
      </c>
      <c r="AC175" s="70">
        <f>'RESUMEN TOTAL'!AJ223</f>
        <v>0</v>
      </c>
      <c r="AD175" s="70">
        <f>'RESUMEN TOTAL'!AK223</f>
        <v>0</v>
      </c>
      <c r="AE175" s="70">
        <f>'RESUMEN TOTAL'!AL223</f>
        <v>0</v>
      </c>
      <c r="AF175" s="70">
        <f>'RESUMEN TOTAL'!AM223</f>
        <v>0</v>
      </c>
      <c r="AG175" s="70">
        <f>'RESUMEN TOTAL'!AN223</f>
        <v>0</v>
      </c>
      <c r="AH175" s="70">
        <f>'RESUMEN TOTAL'!AO223</f>
        <v>0</v>
      </c>
      <c r="AI175" s="70">
        <f>'RESUMEN TOTAL'!AP223</f>
        <v>0</v>
      </c>
      <c r="AJ175" s="70">
        <f>'RESUMEN TOTAL'!AQ223</f>
        <v>0</v>
      </c>
    </row>
    <row r="176" spans="1:36" x14ac:dyDescent="0.25">
      <c r="A176" t="str">
        <f>'RESUMEN TOTAL'!A227</f>
        <v>LOS PILARES</v>
      </c>
      <c r="B176" t="str">
        <f>'RESUMEN TOTAL'!B227</f>
        <v>LPR 01</v>
      </c>
      <c r="C176" t="str">
        <f>'RESUMEN TOTAL'!D227</f>
        <v>EVA PERON E/ CACHEUTA Y 1406</v>
      </c>
      <c r="D176" s="30" t="str">
        <f>'RESUMEN TOTAL'!E227</f>
        <v>DOMO</v>
      </c>
      <c r="E176" s="30" t="str">
        <f>'RESUMEN TOTAL'!F227</f>
        <v>GPON</v>
      </c>
      <c r="F176" s="70">
        <f>'RESUMEN TOTAL'!M227</f>
        <v>0</v>
      </c>
      <c r="G176" s="70">
        <f>'RESUMEN TOTAL'!N227</f>
        <v>0</v>
      </c>
      <c r="H176" s="70">
        <f>'RESUMEN TOTAL'!O227</f>
        <v>0</v>
      </c>
      <c r="I176" s="70">
        <f>'RESUMEN TOTAL'!P227</f>
        <v>0</v>
      </c>
      <c r="J176" s="70">
        <f>'RESUMEN TOTAL'!Q227</f>
        <v>0</v>
      </c>
      <c r="K176" s="70">
        <f>'RESUMEN TOTAL'!R227</f>
        <v>0</v>
      </c>
      <c r="L176" s="70">
        <f>'RESUMEN TOTAL'!S227</f>
        <v>0</v>
      </c>
      <c r="M176" s="70">
        <f>'RESUMEN TOTAL'!T227</f>
        <v>0</v>
      </c>
      <c r="N176" s="70">
        <f>'RESUMEN TOTAL'!U227</f>
        <v>0</v>
      </c>
      <c r="O176" s="70">
        <f>'RESUMEN TOTAL'!V227</f>
        <v>0</v>
      </c>
      <c r="P176" s="70">
        <f>'RESUMEN TOTAL'!W227</f>
        <v>0</v>
      </c>
      <c r="Q176" s="70">
        <f>'RESUMEN TOTAL'!X227</f>
        <v>0</v>
      </c>
      <c r="R176" s="70">
        <f>'RESUMEN TOTAL'!Y227</f>
        <v>0</v>
      </c>
      <c r="S176" s="70">
        <f>'RESUMEN TOTAL'!Z227</f>
        <v>0</v>
      </c>
      <c r="T176" s="70">
        <f>'RESUMEN TOTAL'!AA227</f>
        <v>0</v>
      </c>
      <c r="U176" s="70">
        <f>'RESUMEN TOTAL'!AB227</f>
        <v>0</v>
      </c>
      <c r="V176" s="70">
        <f>'RESUMEN TOTAL'!AC227</f>
        <v>0</v>
      </c>
      <c r="W176" s="70">
        <f>'RESUMEN TOTAL'!AD227</f>
        <v>0</v>
      </c>
      <c r="X176" s="70">
        <f>'RESUMEN TOTAL'!AE227</f>
        <v>0</v>
      </c>
      <c r="Y176" s="70">
        <f>'RESUMEN TOTAL'!AF227</f>
        <v>0</v>
      </c>
      <c r="Z176" s="70">
        <f>'RESUMEN TOTAL'!AG227</f>
        <v>0</v>
      </c>
      <c r="AA176" s="70">
        <f>'RESUMEN TOTAL'!AH227</f>
        <v>0</v>
      </c>
      <c r="AB176" s="70">
        <f>'RESUMEN TOTAL'!AI227</f>
        <v>0</v>
      </c>
      <c r="AC176" s="70">
        <f>'RESUMEN TOTAL'!AJ227</f>
        <v>0</v>
      </c>
      <c r="AD176" s="70">
        <f>'RESUMEN TOTAL'!AK227</f>
        <v>0</v>
      </c>
      <c r="AE176" s="70">
        <f>'RESUMEN TOTAL'!AL227</f>
        <v>0</v>
      </c>
      <c r="AF176" s="70">
        <f>'RESUMEN TOTAL'!AM227</f>
        <v>0</v>
      </c>
      <c r="AG176" s="70">
        <f>'RESUMEN TOTAL'!AN227</f>
        <v>0</v>
      </c>
      <c r="AH176" s="70">
        <f>'RESUMEN TOTAL'!AO227</f>
        <v>0</v>
      </c>
      <c r="AI176" s="70">
        <f>'RESUMEN TOTAL'!AP227</f>
        <v>0</v>
      </c>
      <c r="AJ176" s="70">
        <f>'RESUMEN TOTAL'!AQ227</f>
        <v>0</v>
      </c>
    </row>
    <row r="177" spans="1:36" x14ac:dyDescent="0.25">
      <c r="A177" t="str">
        <f>'RESUMEN TOTAL'!A228</f>
        <v>LOS PILARES</v>
      </c>
      <c r="B177" t="str">
        <f>'RESUMEN TOTAL'!B228</f>
        <v>LPR02 (fija 1)</v>
      </c>
      <c r="C177" t="str">
        <f>'RESUMEN TOTAL'!D228</f>
        <v>EVA PERON Y CACHEUTA</v>
      </c>
      <c r="D177" s="30" t="str">
        <f>'RESUMEN TOTAL'!E228</f>
        <v>Fija</v>
      </c>
      <c r="E177" s="30" t="str">
        <f>'RESUMEN TOTAL'!F228</f>
        <v>GPON</v>
      </c>
      <c r="F177" s="70">
        <f>'RESUMEN TOTAL'!M228</f>
        <v>0</v>
      </c>
      <c r="G177" s="70">
        <f>'RESUMEN TOTAL'!N228</f>
        <v>0</v>
      </c>
      <c r="H177" s="70">
        <f>'RESUMEN TOTAL'!O228</f>
        <v>0</v>
      </c>
      <c r="I177" s="70">
        <f>'RESUMEN TOTAL'!P228</f>
        <v>0</v>
      </c>
      <c r="J177" s="70">
        <f>'RESUMEN TOTAL'!Q228</f>
        <v>0</v>
      </c>
      <c r="K177" s="70">
        <f>'RESUMEN TOTAL'!R228</f>
        <v>0</v>
      </c>
      <c r="L177" s="70">
        <f>'RESUMEN TOTAL'!S228</f>
        <v>0</v>
      </c>
      <c r="M177" s="70">
        <f>'RESUMEN TOTAL'!T228</f>
        <v>0</v>
      </c>
      <c r="N177" s="70">
        <f>'RESUMEN TOTAL'!U228</f>
        <v>0</v>
      </c>
      <c r="O177" s="70">
        <f>'RESUMEN TOTAL'!V228</f>
        <v>0</v>
      </c>
      <c r="P177" s="70">
        <f>'RESUMEN TOTAL'!W228</f>
        <v>0</v>
      </c>
      <c r="Q177" s="70">
        <f>'RESUMEN TOTAL'!X228</f>
        <v>0</v>
      </c>
      <c r="R177" s="70">
        <f>'RESUMEN TOTAL'!Y228</f>
        <v>0</v>
      </c>
      <c r="S177" s="70">
        <f>'RESUMEN TOTAL'!Z228</f>
        <v>0</v>
      </c>
      <c r="T177" s="70">
        <f>'RESUMEN TOTAL'!AA228</f>
        <v>0</v>
      </c>
      <c r="U177" s="70">
        <f>'RESUMEN TOTAL'!AB228</f>
        <v>0</v>
      </c>
      <c r="V177" s="70">
        <f>'RESUMEN TOTAL'!AC228</f>
        <v>0</v>
      </c>
      <c r="W177" s="70">
        <f>'RESUMEN TOTAL'!AD228</f>
        <v>0</v>
      </c>
      <c r="X177" s="70">
        <f>'RESUMEN TOTAL'!AE228</f>
        <v>0</v>
      </c>
      <c r="Y177" s="70">
        <f>'RESUMEN TOTAL'!AF228</f>
        <v>0</v>
      </c>
      <c r="Z177" s="70">
        <f>'RESUMEN TOTAL'!AG228</f>
        <v>0</v>
      </c>
      <c r="AA177" s="70">
        <f>'RESUMEN TOTAL'!AH228</f>
        <v>0</v>
      </c>
      <c r="AB177" s="70">
        <f>'RESUMEN TOTAL'!AI228</f>
        <v>0</v>
      </c>
      <c r="AC177" s="70">
        <f>'RESUMEN TOTAL'!AJ228</f>
        <v>0</v>
      </c>
      <c r="AD177" s="70">
        <f>'RESUMEN TOTAL'!AK228</f>
        <v>0</v>
      </c>
      <c r="AE177" s="70">
        <f>'RESUMEN TOTAL'!AL228</f>
        <v>0</v>
      </c>
      <c r="AF177" s="70">
        <f>'RESUMEN TOTAL'!AM228</f>
        <v>0</v>
      </c>
      <c r="AG177" s="70">
        <f>'RESUMEN TOTAL'!AN228</f>
        <v>0</v>
      </c>
      <c r="AH177" s="70">
        <f>'RESUMEN TOTAL'!AO228</f>
        <v>0</v>
      </c>
      <c r="AI177" s="70">
        <f>'RESUMEN TOTAL'!AP228</f>
        <v>0</v>
      </c>
      <c r="AJ177" s="70">
        <f>'RESUMEN TOTAL'!AQ228</f>
        <v>0</v>
      </c>
    </row>
    <row r="178" spans="1:36" x14ac:dyDescent="0.25">
      <c r="A178" t="str">
        <f>'RESUMEN TOTAL'!A229</f>
        <v>LOS PILARES</v>
      </c>
      <c r="B178" t="str">
        <f>'RESUMEN TOTAL'!B229</f>
        <v>LPR03 (fija 2)</v>
      </c>
      <c r="C178" t="str">
        <f>'RESUMEN TOTAL'!D229</f>
        <v>EVA PERON Y CACHEUTA</v>
      </c>
      <c r="D178" s="30" t="str">
        <f>'RESUMEN TOTAL'!E229</f>
        <v>Fija</v>
      </c>
      <c r="E178" s="30" t="str">
        <f>'RESUMEN TOTAL'!F229</f>
        <v>GPON</v>
      </c>
      <c r="F178" s="70">
        <f>'RESUMEN TOTAL'!M229</f>
        <v>0</v>
      </c>
      <c r="G178" s="70">
        <f>'RESUMEN TOTAL'!N229</f>
        <v>0</v>
      </c>
      <c r="H178" s="70">
        <f>'RESUMEN TOTAL'!O229</f>
        <v>0</v>
      </c>
      <c r="I178" s="70">
        <f>'RESUMEN TOTAL'!P229</f>
        <v>0</v>
      </c>
      <c r="J178" s="70">
        <f>'RESUMEN TOTAL'!Q229</f>
        <v>0</v>
      </c>
      <c r="K178" s="70">
        <f>'RESUMEN TOTAL'!R229</f>
        <v>0</v>
      </c>
      <c r="L178" s="70">
        <f>'RESUMEN TOTAL'!S229</f>
        <v>0</v>
      </c>
      <c r="M178" s="70">
        <f>'RESUMEN TOTAL'!T229</f>
        <v>0</v>
      </c>
      <c r="N178" s="70">
        <f>'RESUMEN TOTAL'!U229</f>
        <v>0</v>
      </c>
      <c r="O178" s="70">
        <f>'RESUMEN TOTAL'!V229</f>
        <v>0</v>
      </c>
      <c r="P178" s="70">
        <f>'RESUMEN TOTAL'!W229</f>
        <v>0</v>
      </c>
      <c r="Q178" s="70">
        <f>'RESUMEN TOTAL'!X229</f>
        <v>0</v>
      </c>
      <c r="R178" s="70">
        <f>'RESUMEN TOTAL'!Y229</f>
        <v>0</v>
      </c>
      <c r="S178" s="70">
        <f>'RESUMEN TOTAL'!Z229</f>
        <v>0</v>
      </c>
      <c r="T178" s="70">
        <f>'RESUMEN TOTAL'!AA229</f>
        <v>0</v>
      </c>
      <c r="U178" s="70">
        <f>'RESUMEN TOTAL'!AB229</f>
        <v>0</v>
      </c>
      <c r="V178" s="70">
        <f>'RESUMEN TOTAL'!AC229</f>
        <v>0</v>
      </c>
      <c r="W178" s="70">
        <f>'RESUMEN TOTAL'!AD229</f>
        <v>0</v>
      </c>
      <c r="X178" s="70">
        <f>'RESUMEN TOTAL'!AE229</f>
        <v>0</v>
      </c>
      <c r="Y178" s="70">
        <f>'RESUMEN TOTAL'!AF229</f>
        <v>0</v>
      </c>
      <c r="Z178" s="70">
        <f>'RESUMEN TOTAL'!AG229</f>
        <v>0</v>
      </c>
      <c r="AA178" s="70">
        <f>'RESUMEN TOTAL'!AH229</f>
        <v>0</v>
      </c>
      <c r="AB178" s="70">
        <f>'RESUMEN TOTAL'!AI229</f>
        <v>0</v>
      </c>
      <c r="AC178" s="70">
        <f>'RESUMEN TOTAL'!AJ229</f>
        <v>0</v>
      </c>
      <c r="AD178" s="70">
        <f>'RESUMEN TOTAL'!AK229</f>
        <v>0</v>
      </c>
      <c r="AE178" s="70">
        <f>'RESUMEN TOTAL'!AL229</f>
        <v>0</v>
      </c>
      <c r="AF178" s="70">
        <f>'RESUMEN TOTAL'!AM229</f>
        <v>0</v>
      </c>
      <c r="AG178" s="70">
        <f>'RESUMEN TOTAL'!AN229</f>
        <v>0</v>
      </c>
      <c r="AH178" s="70">
        <f>'RESUMEN TOTAL'!AO229</f>
        <v>0</v>
      </c>
      <c r="AI178" s="70">
        <f>'RESUMEN TOTAL'!AP229</f>
        <v>0</v>
      </c>
      <c r="AJ178" s="70">
        <f>'RESUMEN TOTAL'!AQ229</f>
        <v>0</v>
      </c>
    </row>
    <row r="179" spans="1:36" x14ac:dyDescent="0.25">
      <c r="A179" t="str">
        <f>'RESUMEN TOTAL'!A230</f>
        <v>LOPEZ ROMERO</v>
      </c>
      <c r="B179" t="str">
        <f>'RESUMEN TOTAL'!B230</f>
        <v>LRO 05</v>
      </c>
      <c r="C179" t="str">
        <f>'RESUMEN TOTAL'!D230</f>
        <v>Calchaqui y Las Americas</v>
      </c>
      <c r="D179" s="30" t="str">
        <f>'RESUMEN TOTAL'!E230</f>
        <v>Fija</v>
      </c>
      <c r="E179" s="30" t="str">
        <f>'RESUMEN TOTAL'!F230</f>
        <v>Fibra Optica</v>
      </c>
      <c r="F179" s="70">
        <f>'RESUMEN TOTAL'!M230</f>
        <v>0</v>
      </c>
      <c r="G179" s="70">
        <f>'RESUMEN TOTAL'!N230</f>
        <v>0</v>
      </c>
      <c r="H179" s="70">
        <f>'RESUMEN TOTAL'!O230</f>
        <v>0</v>
      </c>
      <c r="I179" s="70">
        <f>'RESUMEN TOTAL'!P230</f>
        <v>0</v>
      </c>
      <c r="J179" s="70">
        <f>'RESUMEN TOTAL'!Q230</f>
        <v>0</v>
      </c>
      <c r="K179" s="70">
        <f>'RESUMEN TOTAL'!R230</f>
        <v>0</v>
      </c>
      <c r="L179" s="70">
        <f>'RESUMEN TOTAL'!S230</f>
        <v>0</v>
      </c>
      <c r="M179" s="70">
        <f>'RESUMEN TOTAL'!T230</f>
        <v>0</v>
      </c>
      <c r="N179" s="70">
        <f>'RESUMEN TOTAL'!U230</f>
        <v>0</v>
      </c>
      <c r="O179" s="70">
        <f>'RESUMEN TOTAL'!V230</f>
        <v>0</v>
      </c>
      <c r="P179" s="70">
        <f>'RESUMEN TOTAL'!W230</f>
        <v>0</v>
      </c>
      <c r="Q179" s="70">
        <f>'RESUMEN TOTAL'!X230</f>
        <v>0</v>
      </c>
      <c r="R179" s="70">
        <f>'RESUMEN TOTAL'!Y230</f>
        <v>0</v>
      </c>
      <c r="S179" s="70">
        <f>'RESUMEN TOTAL'!Z230</f>
        <v>0</v>
      </c>
      <c r="T179" s="70">
        <f>'RESUMEN TOTAL'!AA230</f>
        <v>0</v>
      </c>
      <c r="U179" s="70">
        <f>'RESUMEN TOTAL'!AB230</f>
        <v>0</v>
      </c>
      <c r="V179" s="70">
        <f>'RESUMEN TOTAL'!AC230</f>
        <v>0</v>
      </c>
      <c r="W179" s="70">
        <f>'RESUMEN TOTAL'!AD230</f>
        <v>0</v>
      </c>
      <c r="X179" s="70">
        <f>'RESUMEN TOTAL'!AE230</f>
        <v>0</v>
      </c>
      <c r="Y179" s="70">
        <f>'RESUMEN TOTAL'!AF230</f>
        <v>0</v>
      </c>
      <c r="Z179" s="70">
        <f>'RESUMEN TOTAL'!AG230</f>
        <v>0</v>
      </c>
      <c r="AA179" s="70">
        <f>'RESUMEN TOTAL'!AH230</f>
        <v>0</v>
      </c>
      <c r="AB179" s="70">
        <f>'RESUMEN TOTAL'!AI230</f>
        <v>0</v>
      </c>
      <c r="AC179" s="70">
        <f>'RESUMEN TOTAL'!AJ230</f>
        <v>0</v>
      </c>
      <c r="AD179" s="70">
        <f>'RESUMEN TOTAL'!AK230</f>
        <v>0</v>
      </c>
      <c r="AE179" s="70">
        <f>'RESUMEN TOTAL'!AL230</f>
        <v>0</v>
      </c>
      <c r="AF179" s="70">
        <f>'RESUMEN TOTAL'!AM230</f>
        <v>0</v>
      </c>
      <c r="AG179" s="70">
        <f>'RESUMEN TOTAL'!AN230</f>
        <v>0</v>
      </c>
      <c r="AH179" s="70">
        <f>'RESUMEN TOTAL'!AO230</f>
        <v>0</v>
      </c>
      <c r="AI179" s="70">
        <f>'RESUMEN TOTAL'!AP230</f>
        <v>0</v>
      </c>
      <c r="AJ179" s="70">
        <f>'RESUMEN TOTAL'!AQ230</f>
        <v>0</v>
      </c>
    </row>
    <row r="180" spans="1:36" x14ac:dyDescent="0.25">
      <c r="A180" t="str">
        <f>'RESUMEN TOTAL'!A231</f>
        <v>LOPEZ ROMERO</v>
      </c>
      <c r="B180" t="str">
        <f>'RESUMEN TOTAL'!B231</f>
        <v>LRO 09</v>
      </c>
      <c r="C180" t="str">
        <f>'RESUMEN TOTAL'!D231</f>
        <v>Las Americas y Braile</v>
      </c>
      <c r="D180" s="30" t="str">
        <f>'RESUMEN TOTAL'!E231</f>
        <v>Domo</v>
      </c>
      <c r="E180" s="30" t="str">
        <f>'RESUMEN TOTAL'!F231</f>
        <v>Fibra Optica</v>
      </c>
      <c r="F180" s="70">
        <f>'RESUMEN TOTAL'!M231</f>
        <v>0</v>
      </c>
      <c r="G180" s="70">
        <f>'RESUMEN TOTAL'!N231</f>
        <v>0</v>
      </c>
      <c r="H180" s="70">
        <f>'RESUMEN TOTAL'!O231</f>
        <v>0</v>
      </c>
      <c r="I180" s="70">
        <f>'RESUMEN TOTAL'!P231</f>
        <v>0</v>
      </c>
      <c r="J180" s="70">
        <f>'RESUMEN TOTAL'!Q231</f>
        <v>0</v>
      </c>
      <c r="K180" s="70">
        <f>'RESUMEN TOTAL'!R231</f>
        <v>0</v>
      </c>
      <c r="L180" s="70">
        <f>'RESUMEN TOTAL'!S231</f>
        <v>0</v>
      </c>
      <c r="M180" s="70">
        <f>'RESUMEN TOTAL'!T231</f>
        <v>0</v>
      </c>
      <c r="N180" s="70">
        <f>'RESUMEN TOTAL'!U231</f>
        <v>0</v>
      </c>
      <c r="O180" s="70">
        <f>'RESUMEN TOTAL'!V231</f>
        <v>0</v>
      </c>
      <c r="P180" s="70">
        <f>'RESUMEN TOTAL'!W231</f>
        <v>0</v>
      </c>
      <c r="Q180" s="70">
        <f>'RESUMEN TOTAL'!X231</f>
        <v>0</v>
      </c>
      <c r="R180" s="70">
        <f>'RESUMEN TOTAL'!Y231</f>
        <v>0</v>
      </c>
      <c r="S180" s="70">
        <f>'RESUMEN TOTAL'!Z231</f>
        <v>0</v>
      </c>
      <c r="T180" s="70">
        <f>'RESUMEN TOTAL'!AA231</f>
        <v>0</v>
      </c>
      <c r="U180" s="70">
        <f>'RESUMEN TOTAL'!AB231</f>
        <v>0</v>
      </c>
      <c r="V180" s="70">
        <f>'RESUMEN TOTAL'!AC231</f>
        <v>0</v>
      </c>
      <c r="W180" s="70">
        <f>'RESUMEN TOTAL'!AD231</f>
        <v>0</v>
      </c>
      <c r="X180" s="70">
        <f>'RESUMEN TOTAL'!AE231</f>
        <v>0</v>
      </c>
      <c r="Y180" s="70">
        <f>'RESUMEN TOTAL'!AF231</f>
        <v>0</v>
      </c>
      <c r="Z180" s="70">
        <f>'RESUMEN TOTAL'!AG231</f>
        <v>0</v>
      </c>
      <c r="AA180" s="70">
        <f>'RESUMEN TOTAL'!AH231</f>
        <v>0</v>
      </c>
      <c r="AB180" s="70">
        <f>'RESUMEN TOTAL'!AI231</f>
        <v>0</v>
      </c>
      <c r="AC180" s="70">
        <f>'RESUMEN TOTAL'!AJ231</f>
        <v>0</v>
      </c>
      <c r="AD180" s="70">
        <f>'RESUMEN TOTAL'!AK231</f>
        <v>0</v>
      </c>
      <c r="AE180" s="70">
        <f>'RESUMEN TOTAL'!AL231</f>
        <v>0</v>
      </c>
      <c r="AF180" s="70">
        <f>'RESUMEN TOTAL'!AM231</f>
        <v>0</v>
      </c>
      <c r="AG180" s="70">
        <f>'RESUMEN TOTAL'!AN231</f>
        <v>0</v>
      </c>
      <c r="AH180" s="70">
        <f>'RESUMEN TOTAL'!AO231</f>
        <v>0</v>
      </c>
      <c r="AI180" s="70">
        <f>'RESUMEN TOTAL'!AP231</f>
        <v>0</v>
      </c>
      <c r="AJ180" s="70">
        <f>'RESUMEN TOTAL'!AQ231</f>
        <v>0</v>
      </c>
    </row>
    <row r="181" spans="1:36" x14ac:dyDescent="0.25">
      <c r="A181" t="str">
        <f>'RESUMEN TOTAL'!A232</f>
        <v>LOPEZ ROMERO</v>
      </c>
      <c r="B181" t="str">
        <f>'RESUMEN TOTAL'!B232</f>
        <v>LRO 10</v>
      </c>
      <c r="C181" t="str">
        <f>'RESUMEN TOTAL'!D232</f>
        <v>Con. Gral. Belgrano y Balcarce</v>
      </c>
      <c r="D181" s="30" t="str">
        <f>'RESUMEN TOTAL'!E232</f>
        <v>Domo</v>
      </c>
      <c r="E181" s="30" t="str">
        <f>'RESUMEN TOTAL'!F232</f>
        <v>Fibra Optica</v>
      </c>
      <c r="F181" s="70">
        <f>'RESUMEN TOTAL'!M232</f>
        <v>0</v>
      </c>
      <c r="G181" s="70">
        <f>'RESUMEN TOTAL'!N232</f>
        <v>0</v>
      </c>
      <c r="H181" s="70">
        <f>'RESUMEN TOTAL'!O232</f>
        <v>0</v>
      </c>
      <c r="I181" s="70">
        <f>'RESUMEN TOTAL'!P232</f>
        <v>0</v>
      </c>
      <c r="J181" s="70">
        <f>'RESUMEN TOTAL'!Q232</f>
        <v>0</v>
      </c>
      <c r="K181" s="70">
        <f>'RESUMEN TOTAL'!R232</f>
        <v>0</v>
      </c>
      <c r="L181" s="70">
        <f>'RESUMEN TOTAL'!S232</f>
        <v>0</v>
      </c>
      <c r="M181" s="70">
        <f>'RESUMEN TOTAL'!T232</f>
        <v>0</v>
      </c>
      <c r="N181" s="70">
        <f>'RESUMEN TOTAL'!U232</f>
        <v>0</v>
      </c>
      <c r="O181" s="70">
        <f>'RESUMEN TOTAL'!V232</f>
        <v>0</v>
      </c>
      <c r="P181" s="70">
        <f>'RESUMEN TOTAL'!W232</f>
        <v>0</v>
      </c>
      <c r="Q181" s="70">
        <f>'RESUMEN TOTAL'!X232</f>
        <v>0</v>
      </c>
      <c r="R181" s="70">
        <f>'RESUMEN TOTAL'!Y232</f>
        <v>0</v>
      </c>
      <c r="S181" s="70">
        <f>'RESUMEN TOTAL'!Z232</f>
        <v>0</v>
      </c>
      <c r="T181" s="70">
        <f>'RESUMEN TOTAL'!AA232</f>
        <v>0</v>
      </c>
      <c r="U181" s="70">
        <f>'RESUMEN TOTAL'!AB232</f>
        <v>0</v>
      </c>
      <c r="V181" s="70">
        <f>'RESUMEN TOTAL'!AC232</f>
        <v>0</v>
      </c>
      <c r="W181" s="70">
        <f>'RESUMEN TOTAL'!AD232</f>
        <v>0</v>
      </c>
      <c r="X181" s="70">
        <f>'RESUMEN TOTAL'!AE232</f>
        <v>0</v>
      </c>
      <c r="Y181" s="70">
        <f>'RESUMEN TOTAL'!AF232</f>
        <v>0</v>
      </c>
      <c r="Z181" s="70">
        <f>'RESUMEN TOTAL'!AG232</f>
        <v>0</v>
      </c>
      <c r="AA181" s="70">
        <f>'RESUMEN TOTAL'!AH232</f>
        <v>0</v>
      </c>
      <c r="AB181" s="70">
        <f>'RESUMEN TOTAL'!AI232</f>
        <v>0</v>
      </c>
      <c r="AC181" s="70">
        <f>'RESUMEN TOTAL'!AJ232</f>
        <v>0</v>
      </c>
      <c r="AD181" s="70">
        <f>'RESUMEN TOTAL'!AK232</f>
        <v>0</v>
      </c>
      <c r="AE181" s="70">
        <f>'RESUMEN TOTAL'!AL232</f>
        <v>0</v>
      </c>
      <c r="AF181" s="70">
        <f>'RESUMEN TOTAL'!AM232</f>
        <v>0</v>
      </c>
      <c r="AG181" s="70">
        <f>'RESUMEN TOTAL'!AN232</f>
        <v>0</v>
      </c>
      <c r="AH181" s="70">
        <f>'RESUMEN TOTAL'!AO232</f>
        <v>0</v>
      </c>
      <c r="AI181" s="70">
        <f>'RESUMEN TOTAL'!AP232</f>
        <v>0</v>
      </c>
      <c r="AJ181" s="70">
        <f>'RESUMEN TOTAL'!AQ232</f>
        <v>0</v>
      </c>
    </row>
    <row r="182" spans="1:36" x14ac:dyDescent="0.25">
      <c r="A182" t="str">
        <f>'RESUMEN TOTAL'!A233</f>
        <v>LOPEZ ROMERO</v>
      </c>
      <c r="B182" t="str">
        <f>'RESUMEN TOTAL'!B233</f>
        <v>LRO 12 (fija 1)</v>
      </c>
      <c r="C182" t="str">
        <f>'RESUMEN TOTAL'!D233</f>
        <v>LAS AMERICAS E/ BRAILLE Y ALVARADO</v>
      </c>
      <c r="D182" s="30" t="str">
        <f>'RESUMEN TOTAL'!E233</f>
        <v>Fija</v>
      </c>
      <c r="E182" s="30" t="str">
        <f>'RESUMEN TOTAL'!F233</f>
        <v>Fibra Optica</v>
      </c>
      <c r="F182" s="70">
        <f>'RESUMEN TOTAL'!M233</f>
        <v>0</v>
      </c>
      <c r="G182" s="70">
        <f>'RESUMEN TOTAL'!N233</f>
        <v>0</v>
      </c>
      <c r="H182" s="70">
        <f>'RESUMEN TOTAL'!O233</f>
        <v>0</v>
      </c>
      <c r="I182" s="70">
        <f>'RESUMEN TOTAL'!P233</f>
        <v>0</v>
      </c>
      <c r="J182" s="70">
        <f>'RESUMEN TOTAL'!Q233</f>
        <v>0</v>
      </c>
      <c r="K182" s="70">
        <f>'RESUMEN TOTAL'!R233</f>
        <v>0</v>
      </c>
      <c r="L182" s="70">
        <f>'RESUMEN TOTAL'!S233</f>
        <v>0</v>
      </c>
      <c r="M182" s="70">
        <f>'RESUMEN TOTAL'!T233</f>
        <v>0</v>
      </c>
      <c r="N182" s="70">
        <f>'RESUMEN TOTAL'!U233</f>
        <v>0</v>
      </c>
      <c r="O182" s="70">
        <f>'RESUMEN TOTAL'!V233</f>
        <v>0</v>
      </c>
      <c r="P182" s="70">
        <f>'RESUMEN TOTAL'!W233</f>
        <v>0</v>
      </c>
      <c r="Q182" s="70">
        <f>'RESUMEN TOTAL'!X233</f>
        <v>0</v>
      </c>
      <c r="R182" s="70">
        <f>'RESUMEN TOTAL'!Y233</f>
        <v>0</v>
      </c>
      <c r="S182" s="70">
        <f>'RESUMEN TOTAL'!Z233</f>
        <v>0</v>
      </c>
      <c r="T182" s="70">
        <f>'RESUMEN TOTAL'!AA233</f>
        <v>0</v>
      </c>
      <c r="U182" s="70">
        <f>'RESUMEN TOTAL'!AB233</f>
        <v>0</v>
      </c>
      <c r="V182" s="70">
        <f>'RESUMEN TOTAL'!AC233</f>
        <v>0</v>
      </c>
      <c r="W182" s="70">
        <f>'RESUMEN TOTAL'!AD233</f>
        <v>0</v>
      </c>
      <c r="X182" s="70">
        <f>'RESUMEN TOTAL'!AE233</f>
        <v>0</v>
      </c>
      <c r="Y182" s="70">
        <f>'RESUMEN TOTAL'!AF233</f>
        <v>0</v>
      </c>
      <c r="Z182" s="70">
        <f>'RESUMEN TOTAL'!AG233</f>
        <v>0</v>
      </c>
      <c r="AA182" s="70">
        <f>'RESUMEN TOTAL'!AH233</f>
        <v>0</v>
      </c>
      <c r="AB182" s="70">
        <f>'RESUMEN TOTAL'!AI233</f>
        <v>0</v>
      </c>
      <c r="AC182" s="70">
        <f>'RESUMEN TOTAL'!AJ233</f>
        <v>0</v>
      </c>
      <c r="AD182" s="70">
        <f>'RESUMEN TOTAL'!AK233</f>
        <v>0</v>
      </c>
      <c r="AE182" s="70">
        <f>'RESUMEN TOTAL'!AL233</f>
        <v>0</v>
      </c>
      <c r="AF182" s="70">
        <f>'RESUMEN TOTAL'!AM233</f>
        <v>0</v>
      </c>
      <c r="AG182" s="70">
        <f>'RESUMEN TOTAL'!AN233</f>
        <v>0</v>
      </c>
      <c r="AH182" s="70">
        <f>'RESUMEN TOTAL'!AO233</f>
        <v>0</v>
      </c>
      <c r="AI182" s="70">
        <f>'RESUMEN TOTAL'!AP233</f>
        <v>0</v>
      </c>
      <c r="AJ182" s="70">
        <f>'RESUMEN TOTAL'!AQ233</f>
        <v>0</v>
      </c>
    </row>
    <row r="183" spans="1:36" x14ac:dyDescent="0.25">
      <c r="A183" t="str">
        <f>'RESUMEN TOTAL'!A234</f>
        <v>LOPEZ ROMERO</v>
      </c>
      <c r="B183" t="str">
        <f>'RESUMEN TOTAL'!B234</f>
        <v>LRO 13 (fija 2)</v>
      </c>
      <c r="C183" t="str">
        <f>'RESUMEN TOTAL'!D234</f>
        <v>LAS AMERICAS E/ BRAILLE Y ALVARADO</v>
      </c>
      <c r="D183" s="30" t="str">
        <f>'RESUMEN TOTAL'!E234</f>
        <v>Fija</v>
      </c>
      <c r="E183" s="30" t="str">
        <f>'RESUMEN TOTAL'!F234</f>
        <v>Fibra Optica</v>
      </c>
      <c r="F183" s="70">
        <f>'RESUMEN TOTAL'!M234</f>
        <v>0</v>
      </c>
      <c r="G183" s="70">
        <f>'RESUMEN TOTAL'!N234</f>
        <v>0</v>
      </c>
      <c r="H183" s="70">
        <f>'RESUMEN TOTAL'!O234</f>
        <v>0</v>
      </c>
      <c r="I183" s="70">
        <f>'RESUMEN TOTAL'!P234</f>
        <v>0</v>
      </c>
      <c r="J183" s="70">
        <f>'RESUMEN TOTAL'!Q234</f>
        <v>0</v>
      </c>
      <c r="K183" s="70">
        <f>'RESUMEN TOTAL'!R234</f>
        <v>0</v>
      </c>
      <c r="L183" s="70">
        <f>'RESUMEN TOTAL'!S234</f>
        <v>0</v>
      </c>
      <c r="M183" s="70">
        <f>'RESUMEN TOTAL'!T234</f>
        <v>0</v>
      </c>
      <c r="N183" s="70">
        <f>'RESUMEN TOTAL'!U234</f>
        <v>0</v>
      </c>
      <c r="O183" s="70">
        <f>'RESUMEN TOTAL'!V234</f>
        <v>0</v>
      </c>
      <c r="P183" s="70">
        <f>'RESUMEN TOTAL'!W234</f>
        <v>0</v>
      </c>
      <c r="Q183" s="70">
        <f>'RESUMEN TOTAL'!X234</f>
        <v>0</v>
      </c>
      <c r="R183" s="70">
        <f>'RESUMEN TOTAL'!Y234</f>
        <v>0</v>
      </c>
      <c r="S183" s="70">
        <f>'RESUMEN TOTAL'!Z234</f>
        <v>0</v>
      </c>
      <c r="T183" s="70">
        <f>'RESUMEN TOTAL'!AA234</f>
        <v>0</v>
      </c>
      <c r="U183" s="70">
        <f>'RESUMEN TOTAL'!AB234</f>
        <v>0</v>
      </c>
      <c r="V183" s="70">
        <f>'RESUMEN TOTAL'!AC234</f>
        <v>0</v>
      </c>
      <c r="W183" s="70">
        <f>'RESUMEN TOTAL'!AD234</f>
        <v>0</v>
      </c>
      <c r="X183" s="70">
        <f>'RESUMEN TOTAL'!AE234</f>
        <v>0</v>
      </c>
      <c r="Y183" s="70">
        <f>'RESUMEN TOTAL'!AF234</f>
        <v>0</v>
      </c>
      <c r="Z183" s="70">
        <f>'RESUMEN TOTAL'!AG234</f>
        <v>0</v>
      </c>
      <c r="AA183" s="70">
        <f>'RESUMEN TOTAL'!AH234</f>
        <v>0</v>
      </c>
      <c r="AB183" s="70">
        <f>'RESUMEN TOTAL'!AI234</f>
        <v>0</v>
      </c>
      <c r="AC183" s="70">
        <f>'RESUMEN TOTAL'!AJ234</f>
        <v>0</v>
      </c>
      <c r="AD183" s="70">
        <f>'RESUMEN TOTAL'!AK234</f>
        <v>0</v>
      </c>
      <c r="AE183" s="70">
        <f>'RESUMEN TOTAL'!AL234</f>
        <v>0</v>
      </c>
      <c r="AF183" s="70">
        <f>'RESUMEN TOTAL'!AM234</f>
        <v>0</v>
      </c>
      <c r="AG183" s="70">
        <f>'RESUMEN TOTAL'!AN234</f>
        <v>0</v>
      </c>
      <c r="AH183" s="70">
        <f>'RESUMEN TOTAL'!AO234</f>
        <v>0</v>
      </c>
      <c r="AI183" s="70">
        <f>'RESUMEN TOTAL'!AP234</f>
        <v>0</v>
      </c>
      <c r="AJ183" s="70">
        <f>'RESUMEN TOTAL'!AQ234</f>
        <v>0</v>
      </c>
    </row>
    <row r="184" spans="1:36" x14ac:dyDescent="0.25">
      <c r="A184" t="str">
        <f>'RESUMEN TOTAL'!A235</f>
        <v>LOPEZ ROMERO</v>
      </c>
      <c r="B184" t="str">
        <f>'RESUMEN TOTAL'!B235</f>
        <v>LRO01</v>
      </c>
      <c r="C184" t="str">
        <f>'RESUMEN TOTAL'!D235</f>
        <v>H. IRIGOYEN Y BRAILE</v>
      </c>
      <c r="D184" s="30" t="str">
        <f>'RESUMEN TOTAL'!E235</f>
        <v>FIJA</v>
      </c>
      <c r="E184" s="30" t="str">
        <f>'RESUMEN TOTAL'!F235</f>
        <v>Fibra Optica</v>
      </c>
      <c r="F184" s="70">
        <f>'RESUMEN TOTAL'!M235</f>
        <v>0</v>
      </c>
      <c r="G184" s="70">
        <f>'RESUMEN TOTAL'!N235</f>
        <v>0</v>
      </c>
      <c r="H184" s="70">
        <f>'RESUMEN TOTAL'!O235</f>
        <v>0</v>
      </c>
      <c r="I184" s="70">
        <f>'RESUMEN TOTAL'!P235</f>
        <v>0</v>
      </c>
      <c r="J184" s="70">
        <f>'RESUMEN TOTAL'!Q235</f>
        <v>0</v>
      </c>
      <c r="K184" s="70">
        <f>'RESUMEN TOTAL'!R235</f>
        <v>0</v>
      </c>
      <c r="L184" s="70">
        <f>'RESUMEN TOTAL'!S235</f>
        <v>0</v>
      </c>
      <c r="M184" s="70">
        <f>'RESUMEN TOTAL'!T235</f>
        <v>0</v>
      </c>
      <c r="N184" s="70">
        <f>'RESUMEN TOTAL'!U235</f>
        <v>0</v>
      </c>
      <c r="O184" s="70">
        <f>'RESUMEN TOTAL'!V235</f>
        <v>0</v>
      </c>
      <c r="P184" s="70">
        <f>'RESUMEN TOTAL'!W235</f>
        <v>0</v>
      </c>
      <c r="Q184" s="70">
        <f>'RESUMEN TOTAL'!X235</f>
        <v>0</v>
      </c>
      <c r="R184" s="70">
        <f>'RESUMEN TOTAL'!Y235</f>
        <v>0</v>
      </c>
      <c r="S184" s="70">
        <f>'RESUMEN TOTAL'!Z235</f>
        <v>0</v>
      </c>
      <c r="T184" s="70">
        <f>'RESUMEN TOTAL'!AA235</f>
        <v>0</v>
      </c>
      <c r="U184" s="70">
        <f>'RESUMEN TOTAL'!AB235</f>
        <v>0</v>
      </c>
      <c r="V184" s="70">
        <f>'RESUMEN TOTAL'!AC235</f>
        <v>0</v>
      </c>
      <c r="W184" s="70">
        <f>'RESUMEN TOTAL'!AD235</f>
        <v>0</v>
      </c>
      <c r="X184" s="70">
        <f>'RESUMEN TOTAL'!AE235</f>
        <v>0</v>
      </c>
      <c r="Y184" s="70">
        <f>'RESUMEN TOTAL'!AF235</f>
        <v>0</v>
      </c>
      <c r="Z184" s="70">
        <f>'RESUMEN TOTAL'!AG235</f>
        <v>0</v>
      </c>
      <c r="AA184" s="70">
        <f>'RESUMEN TOTAL'!AH235</f>
        <v>0</v>
      </c>
      <c r="AB184" s="70">
        <f>'RESUMEN TOTAL'!AI235</f>
        <v>0</v>
      </c>
      <c r="AC184" s="70">
        <f>'RESUMEN TOTAL'!AJ235</f>
        <v>0</v>
      </c>
      <c r="AD184" s="70">
        <f>'RESUMEN TOTAL'!AK235</f>
        <v>0</v>
      </c>
      <c r="AE184" s="70">
        <f>'RESUMEN TOTAL'!AL235</f>
        <v>0</v>
      </c>
      <c r="AF184" s="70">
        <f>'RESUMEN TOTAL'!AM235</f>
        <v>0</v>
      </c>
      <c r="AG184" s="70">
        <f>'RESUMEN TOTAL'!AN235</f>
        <v>0</v>
      </c>
      <c r="AH184" s="70">
        <f>'RESUMEN TOTAL'!AO235</f>
        <v>0</v>
      </c>
      <c r="AI184" s="70">
        <f>'RESUMEN TOTAL'!AP235</f>
        <v>0</v>
      </c>
      <c r="AJ184" s="70">
        <f>'RESUMEN TOTAL'!AQ235</f>
        <v>0</v>
      </c>
    </row>
    <row r="185" spans="1:36" x14ac:dyDescent="0.25">
      <c r="A185" t="str">
        <f>'RESUMEN TOTAL'!A236</f>
        <v>PRESIDENTE SARMIENTO</v>
      </c>
      <c r="B185" t="str">
        <f>'RESUMEN TOTAL'!B236</f>
        <v>LRO02</v>
      </c>
      <c r="C185" t="str">
        <f>'RESUMEN TOTAL'!D236</f>
        <v>H. Irigoyen e Islas Orcadas</v>
      </c>
      <c r="D185" s="30" t="str">
        <f>'RESUMEN TOTAL'!E236</f>
        <v>Domo</v>
      </c>
      <c r="E185" s="30" t="str">
        <f>'RESUMEN TOTAL'!F236</f>
        <v>Fibra Optica</v>
      </c>
      <c r="F185" s="70">
        <f>'RESUMEN TOTAL'!M236</f>
        <v>0</v>
      </c>
      <c r="G185" s="70">
        <f>'RESUMEN TOTAL'!N236</f>
        <v>0</v>
      </c>
      <c r="H185" s="70">
        <f>'RESUMEN TOTAL'!O236</f>
        <v>0</v>
      </c>
      <c r="I185" s="70">
        <f>'RESUMEN TOTAL'!P236</f>
        <v>0</v>
      </c>
      <c r="J185" s="70">
        <f>'RESUMEN TOTAL'!Q236</f>
        <v>0</v>
      </c>
      <c r="K185" s="70">
        <f>'RESUMEN TOTAL'!R236</f>
        <v>0</v>
      </c>
      <c r="L185" s="70">
        <f>'RESUMEN TOTAL'!S236</f>
        <v>0</v>
      </c>
      <c r="M185" s="70">
        <f>'RESUMEN TOTAL'!T236</f>
        <v>0</v>
      </c>
      <c r="N185" s="70">
        <f>'RESUMEN TOTAL'!U236</f>
        <v>0</v>
      </c>
      <c r="O185" s="70">
        <f>'RESUMEN TOTAL'!V236</f>
        <v>0</v>
      </c>
      <c r="P185" s="70">
        <f>'RESUMEN TOTAL'!W236</f>
        <v>0</v>
      </c>
      <c r="Q185" s="70">
        <f>'RESUMEN TOTAL'!X236</f>
        <v>0</v>
      </c>
      <c r="R185" s="70">
        <f>'RESUMEN TOTAL'!Y236</f>
        <v>0</v>
      </c>
      <c r="S185" s="70">
        <f>'RESUMEN TOTAL'!Z236</f>
        <v>0</v>
      </c>
      <c r="T185" s="70">
        <f>'RESUMEN TOTAL'!AA236</f>
        <v>0</v>
      </c>
      <c r="U185" s="70">
        <f>'RESUMEN TOTAL'!AB236</f>
        <v>0</v>
      </c>
      <c r="V185" s="70">
        <f>'RESUMEN TOTAL'!AC236</f>
        <v>0</v>
      </c>
      <c r="W185" s="70">
        <f>'RESUMEN TOTAL'!AD236</f>
        <v>0</v>
      </c>
      <c r="X185" s="70">
        <f>'RESUMEN TOTAL'!AE236</f>
        <v>0</v>
      </c>
      <c r="Y185" s="70">
        <f>'RESUMEN TOTAL'!AF236</f>
        <v>0</v>
      </c>
      <c r="Z185" s="70">
        <f>'RESUMEN TOTAL'!AG236</f>
        <v>0</v>
      </c>
      <c r="AA185" s="70">
        <f>'RESUMEN TOTAL'!AH236</f>
        <v>0</v>
      </c>
      <c r="AB185" s="70">
        <f>'RESUMEN TOTAL'!AI236</f>
        <v>0</v>
      </c>
      <c r="AC185" s="70">
        <f>'RESUMEN TOTAL'!AJ236</f>
        <v>0</v>
      </c>
      <c r="AD185" s="70">
        <f>'RESUMEN TOTAL'!AK236</f>
        <v>0</v>
      </c>
      <c r="AE185" s="70">
        <f>'RESUMEN TOTAL'!AL236</f>
        <v>0</v>
      </c>
      <c r="AF185" s="70">
        <f>'RESUMEN TOTAL'!AM236</f>
        <v>0</v>
      </c>
      <c r="AG185" s="70">
        <f>'RESUMEN TOTAL'!AN236</f>
        <v>0</v>
      </c>
      <c r="AH185" s="70">
        <f>'RESUMEN TOTAL'!AO236</f>
        <v>0</v>
      </c>
      <c r="AI185" s="70">
        <f>'RESUMEN TOTAL'!AP236</f>
        <v>0</v>
      </c>
      <c r="AJ185" s="70">
        <f>'RESUMEN TOTAL'!AQ236</f>
        <v>0</v>
      </c>
    </row>
    <row r="186" spans="1:36" x14ac:dyDescent="0.25">
      <c r="A186" t="str">
        <f>'RESUMEN TOTAL'!A237</f>
        <v>LOPEZ ROMERO</v>
      </c>
      <c r="B186" t="str">
        <f>'RESUMEN TOTAL'!B237</f>
        <v>LRO03</v>
      </c>
      <c r="C186" t="str">
        <f>'RESUMEN TOTAL'!D237</f>
        <v>H. Irigoyen y Parravicini</v>
      </c>
      <c r="D186" s="30" t="str">
        <f>'RESUMEN TOTAL'!E237</f>
        <v>Fija</v>
      </c>
      <c r="E186" s="30" t="str">
        <f>'RESUMEN TOTAL'!F237</f>
        <v>Fibra Optica</v>
      </c>
      <c r="F186" s="70">
        <f>'RESUMEN TOTAL'!M237</f>
        <v>0</v>
      </c>
      <c r="G186" s="70">
        <f>'RESUMEN TOTAL'!N237</f>
        <v>0</v>
      </c>
      <c r="H186" s="70">
        <f>'RESUMEN TOTAL'!O237</f>
        <v>0</v>
      </c>
      <c r="I186" s="70">
        <f>'RESUMEN TOTAL'!P237</f>
        <v>0</v>
      </c>
      <c r="J186" s="70">
        <f>'RESUMEN TOTAL'!Q237</f>
        <v>0</v>
      </c>
      <c r="K186" s="70">
        <f>'RESUMEN TOTAL'!R237</f>
        <v>0</v>
      </c>
      <c r="L186" s="70">
        <f>'RESUMEN TOTAL'!S237</f>
        <v>0</v>
      </c>
      <c r="M186" s="70">
        <f>'RESUMEN TOTAL'!T237</f>
        <v>0</v>
      </c>
      <c r="N186" s="70">
        <f>'RESUMEN TOTAL'!U237</f>
        <v>0</v>
      </c>
      <c r="O186" s="70">
        <f>'RESUMEN TOTAL'!V237</f>
        <v>0</v>
      </c>
      <c r="P186" s="70">
        <f>'RESUMEN TOTAL'!W237</f>
        <v>0</v>
      </c>
      <c r="Q186" s="70">
        <f>'RESUMEN TOTAL'!X237</f>
        <v>0</v>
      </c>
      <c r="R186" s="70">
        <f>'RESUMEN TOTAL'!Y237</f>
        <v>0</v>
      </c>
      <c r="S186" s="70">
        <f>'RESUMEN TOTAL'!Z237</f>
        <v>0</v>
      </c>
      <c r="T186" s="70">
        <f>'RESUMEN TOTAL'!AA237</f>
        <v>0</v>
      </c>
      <c r="U186" s="70">
        <f>'RESUMEN TOTAL'!AB237</f>
        <v>0</v>
      </c>
      <c r="V186" s="70">
        <f>'RESUMEN TOTAL'!AC237</f>
        <v>0</v>
      </c>
      <c r="W186" s="70">
        <f>'RESUMEN TOTAL'!AD237</f>
        <v>0</v>
      </c>
      <c r="X186" s="70">
        <f>'RESUMEN TOTAL'!AE237</f>
        <v>0</v>
      </c>
      <c r="Y186" s="70">
        <f>'RESUMEN TOTAL'!AF237</f>
        <v>0</v>
      </c>
      <c r="Z186" s="70">
        <f>'RESUMEN TOTAL'!AG237</f>
        <v>0</v>
      </c>
      <c r="AA186" s="70">
        <f>'RESUMEN TOTAL'!AH237</f>
        <v>0</v>
      </c>
      <c r="AB186" s="70">
        <f>'RESUMEN TOTAL'!AI237</f>
        <v>0</v>
      </c>
      <c r="AC186" s="70">
        <f>'RESUMEN TOTAL'!AJ237</f>
        <v>0</v>
      </c>
      <c r="AD186" s="70">
        <f>'RESUMEN TOTAL'!AK237</f>
        <v>0</v>
      </c>
      <c r="AE186" s="70">
        <f>'RESUMEN TOTAL'!AL237</f>
        <v>0</v>
      </c>
      <c r="AF186" s="70">
        <f>'RESUMEN TOTAL'!AM237</f>
        <v>0</v>
      </c>
      <c r="AG186" s="70">
        <f>'RESUMEN TOTAL'!AN237</f>
        <v>0</v>
      </c>
      <c r="AH186" s="70">
        <f>'RESUMEN TOTAL'!AO237</f>
        <v>0</v>
      </c>
      <c r="AI186" s="70">
        <f>'RESUMEN TOTAL'!AP237</f>
        <v>0</v>
      </c>
      <c r="AJ186" s="70">
        <f>'RESUMEN TOTAL'!AQ237</f>
        <v>0</v>
      </c>
    </row>
    <row r="187" spans="1:36" x14ac:dyDescent="0.25">
      <c r="A187" t="str">
        <f>'RESUMEN TOTAL'!A238</f>
        <v>LOPEZ ROMERO</v>
      </c>
      <c r="B187" t="str">
        <f>'RESUMEN TOTAL'!B238</f>
        <v>LRO04</v>
      </c>
      <c r="C187" t="str">
        <f>'RESUMEN TOTAL'!D238</f>
        <v>H. Irigoyen y Alvarado</v>
      </c>
      <c r="D187" s="30" t="str">
        <f>'RESUMEN TOTAL'!E238</f>
        <v>FIJA</v>
      </c>
      <c r="E187" s="30" t="str">
        <f>'RESUMEN TOTAL'!F238</f>
        <v>Fibra Optica</v>
      </c>
      <c r="F187" s="70">
        <f>'RESUMEN TOTAL'!M238</f>
        <v>0</v>
      </c>
      <c r="G187" s="70">
        <f>'RESUMEN TOTAL'!N238</f>
        <v>0</v>
      </c>
      <c r="H187" s="70">
        <f>'RESUMEN TOTAL'!O238</f>
        <v>0</v>
      </c>
      <c r="I187" s="70">
        <f>'RESUMEN TOTAL'!P238</f>
        <v>0</v>
      </c>
      <c r="J187" s="70">
        <f>'RESUMEN TOTAL'!Q238</f>
        <v>0</v>
      </c>
      <c r="K187" s="70">
        <f>'RESUMEN TOTAL'!R238</f>
        <v>0</v>
      </c>
      <c r="L187" s="70">
        <f>'RESUMEN TOTAL'!S238</f>
        <v>0</v>
      </c>
      <c r="M187" s="70">
        <f>'RESUMEN TOTAL'!T238</f>
        <v>0</v>
      </c>
      <c r="N187" s="70">
        <f>'RESUMEN TOTAL'!U238</f>
        <v>0</v>
      </c>
      <c r="O187" s="70">
        <f>'RESUMEN TOTAL'!V238</f>
        <v>0</v>
      </c>
      <c r="P187" s="70">
        <f>'RESUMEN TOTAL'!W238</f>
        <v>0</v>
      </c>
      <c r="Q187" s="70">
        <f>'RESUMEN TOTAL'!X238</f>
        <v>0</v>
      </c>
      <c r="R187" s="70">
        <f>'RESUMEN TOTAL'!Y238</f>
        <v>0</v>
      </c>
      <c r="S187" s="70">
        <f>'RESUMEN TOTAL'!Z238</f>
        <v>0</v>
      </c>
      <c r="T187" s="70">
        <f>'RESUMEN TOTAL'!AA238</f>
        <v>0</v>
      </c>
      <c r="U187" s="70">
        <f>'RESUMEN TOTAL'!AB238</f>
        <v>0</v>
      </c>
      <c r="V187" s="70">
        <f>'RESUMEN TOTAL'!AC238</f>
        <v>0</v>
      </c>
      <c r="W187" s="70">
        <f>'RESUMEN TOTAL'!AD238</f>
        <v>0</v>
      </c>
      <c r="X187" s="70">
        <f>'RESUMEN TOTAL'!AE238</f>
        <v>0</v>
      </c>
      <c r="Y187" s="70">
        <f>'RESUMEN TOTAL'!AF238</f>
        <v>0</v>
      </c>
      <c r="Z187" s="70">
        <f>'RESUMEN TOTAL'!AG238</f>
        <v>0</v>
      </c>
      <c r="AA187" s="70">
        <f>'RESUMEN TOTAL'!AH238</f>
        <v>0</v>
      </c>
      <c r="AB187" s="70">
        <f>'RESUMEN TOTAL'!AI238</f>
        <v>0</v>
      </c>
      <c r="AC187" s="70">
        <f>'RESUMEN TOTAL'!AJ238</f>
        <v>0</v>
      </c>
      <c r="AD187" s="70">
        <f>'RESUMEN TOTAL'!AK238</f>
        <v>0</v>
      </c>
      <c r="AE187" s="70">
        <f>'RESUMEN TOTAL'!AL238</f>
        <v>0</v>
      </c>
      <c r="AF187" s="70">
        <f>'RESUMEN TOTAL'!AM238</f>
        <v>0</v>
      </c>
      <c r="AG187" s="70">
        <f>'RESUMEN TOTAL'!AN238</f>
        <v>0</v>
      </c>
      <c r="AH187" s="70">
        <f>'RESUMEN TOTAL'!AO238</f>
        <v>0</v>
      </c>
      <c r="AI187" s="70">
        <f>'RESUMEN TOTAL'!AP238</f>
        <v>0</v>
      </c>
      <c r="AJ187" s="70">
        <f>'RESUMEN TOTAL'!AQ238</f>
        <v>0</v>
      </c>
    </row>
    <row r="188" spans="1:36" x14ac:dyDescent="0.25">
      <c r="A188" t="str">
        <f>'RESUMEN TOTAL'!A239</f>
        <v>PRESIDENTE SARMIENTO</v>
      </c>
      <c r="B188" t="str">
        <f>'RESUMEN TOTAL'!B239</f>
        <v>LRO06</v>
      </c>
      <c r="C188" t="str">
        <f>'RESUMEN TOTAL'!D239</f>
        <v>H. Irigoyen y Belgrano</v>
      </c>
      <c r="D188" s="30" t="str">
        <f>'RESUMEN TOTAL'!E239</f>
        <v>Domo</v>
      </c>
      <c r="E188" s="30" t="str">
        <f>'RESUMEN TOTAL'!F239</f>
        <v>Fibra Optica</v>
      </c>
      <c r="F188" s="70">
        <f>'RESUMEN TOTAL'!M239</f>
        <v>0</v>
      </c>
      <c r="G188" s="70">
        <f>'RESUMEN TOTAL'!N239</f>
        <v>0</v>
      </c>
      <c r="H188" s="70">
        <f>'RESUMEN TOTAL'!O239</f>
        <v>0</v>
      </c>
      <c r="I188" s="70">
        <f>'RESUMEN TOTAL'!P239</f>
        <v>0</v>
      </c>
      <c r="J188" s="70">
        <f>'RESUMEN TOTAL'!Q239</f>
        <v>0</v>
      </c>
      <c r="K188" s="70">
        <f>'RESUMEN TOTAL'!R239</f>
        <v>0</v>
      </c>
      <c r="L188" s="70">
        <f>'RESUMEN TOTAL'!S239</f>
        <v>0</v>
      </c>
      <c r="M188" s="70">
        <f>'RESUMEN TOTAL'!T239</f>
        <v>0</v>
      </c>
      <c r="N188" s="70">
        <f>'RESUMEN TOTAL'!U239</f>
        <v>0</v>
      </c>
      <c r="O188" s="70">
        <f>'RESUMEN TOTAL'!V239</f>
        <v>0</v>
      </c>
      <c r="P188" s="70">
        <f>'RESUMEN TOTAL'!W239</f>
        <v>0</v>
      </c>
      <c r="Q188" s="70">
        <f>'RESUMEN TOTAL'!X239</f>
        <v>0</v>
      </c>
      <c r="R188" s="70">
        <f>'RESUMEN TOTAL'!Y239</f>
        <v>0</v>
      </c>
      <c r="S188" s="70">
        <f>'RESUMEN TOTAL'!Z239</f>
        <v>0</v>
      </c>
      <c r="T188" s="70">
        <f>'RESUMEN TOTAL'!AA239</f>
        <v>0</v>
      </c>
      <c r="U188" s="70">
        <f>'RESUMEN TOTAL'!AB239</f>
        <v>0</v>
      </c>
      <c r="V188" s="70">
        <f>'RESUMEN TOTAL'!AC239</f>
        <v>0</v>
      </c>
      <c r="W188" s="70">
        <f>'RESUMEN TOTAL'!AD239</f>
        <v>0</v>
      </c>
      <c r="X188" s="70">
        <f>'RESUMEN TOTAL'!AE239</f>
        <v>0</v>
      </c>
      <c r="Y188" s="70">
        <f>'RESUMEN TOTAL'!AF239</f>
        <v>0</v>
      </c>
      <c r="Z188" s="70">
        <f>'RESUMEN TOTAL'!AG239</f>
        <v>0</v>
      </c>
      <c r="AA188" s="70">
        <f>'RESUMEN TOTAL'!AH239</f>
        <v>0</v>
      </c>
      <c r="AB188" s="70">
        <f>'RESUMEN TOTAL'!AI239</f>
        <v>0</v>
      </c>
      <c r="AC188" s="70">
        <f>'RESUMEN TOTAL'!AJ239</f>
        <v>0</v>
      </c>
      <c r="AD188" s="70">
        <f>'RESUMEN TOTAL'!AK239</f>
        <v>0</v>
      </c>
      <c r="AE188" s="70">
        <f>'RESUMEN TOTAL'!AL239</f>
        <v>0</v>
      </c>
      <c r="AF188" s="70">
        <f>'RESUMEN TOTAL'!AM239</f>
        <v>0</v>
      </c>
      <c r="AG188" s="70">
        <f>'RESUMEN TOTAL'!AN239</f>
        <v>0</v>
      </c>
      <c r="AH188" s="70">
        <f>'RESUMEN TOTAL'!AO239</f>
        <v>0</v>
      </c>
      <c r="AI188" s="70">
        <f>'RESUMEN TOTAL'!AP239</f>
        <v>0</v>
      </c>
      <c r="AJ188" s="70">
        <f>'RESUMEN TOTAL'!AQ239</f>
        <v>0</v>
      </c>
    </row>
    <row r="189" spans="1:36" x14ac:dyDescent="0.25">
      <c r="A189" t="str">
        <f>'RESUMEN TOTAL'!A240</f>
        <v>LOPEZ ROMERO</v>
      </c>
      <c r="B189" t="str">
        <f>'RESUMEN TOTAL'!B240</f>
        <v>LRO07</v>
      </c>
      <c r="C189" t="str">
        <f>'RESUMEN TOTAL'!D240</f>
        <v>H. Irigoyen y Remedios de Escalada</v>
      </c>
      <c r="D189" s="30" t="str">
        <f>'RESUMEN TOTAL'!E240</f>
        <v>Domo</v>
      </c>
      <c r="E189" s="30" t="str">
        <f>'RESUMEN TOTAL'!F240</f>
        <v>Fibra Optica</v>
      </c>
      <c r="F189" s="70">
        <f>'RESUMEN TOTAL'!M240</f>
        <v>0</v>
      </c>
      <c r="G189" s="70">
        <f>'RESUMEN TOTAL'!N240</f>
        <v>0</v>
      </c>
      <c r="H189" s="70">
        <f>'RESUMEN TOTAL'!O240</f>
        <v>0</v>
      </c>
      <c r="I189" s="70">
        <f>'RESUMEN TOTAL'!P240</f>
        <v>0</v>
      </c>
      <c r="J189" s="70">
        <f>'RESUMEN TOTAL'!Q240</f>
        <v>0</v>
      </c>
      <c r="K189" s="70">
        <f>'RESUMEN TOTAL'!R240</f>
        <v>0</v>
      </c>
      <c r="L189" s="70">
        <f>'RESUMEN TOTAL'!S240</f>
        <v>0</v>
      </c>
      <c r="M189" s="70">
        <f>'RESUMEN TOTAL'!T240</f>
        <v>0</v>
      </c>
      <c r="N189" s="70">
        <f>'RESUMEN TOTAL'!U240</f>
        <v>0</v>
      </c>
      <c r="O189" s="70">
        <f>'RESUMEN TOTAL'!V240</f>
        <v>0</v>
      </c>
      <c r="P189" s="70">
        <f>'RESUMEN TOTAL'!W240</f>
        <v>0</v>
      </c>
      <c r="Q189" s="70">
        <f>'RESUMEN TOTAL'!X240</f>
        <v>0</v>
      </c>
      <c r="R189" s="70">
        <f>'RESUMEN TOTAL'!Y240</f>
        <v>0</v>
      </c>
      <c r="S189" s="70">
        <f>'RESUMEN TOTAL'!Z240</f>
        <v>0</v>
      </c>
      <c r="T189" s="70">
        <f>'RESUMEN TOTAL'!AA240</f>
        <v>0</v>
      </c>
      <c r="U189" s="70">
        <f>'RESUMEN TOTAL'!AB240</f>
        <v>0</v>
      </c>
      <c r="V189" s="70">
        <f>'RESUMEN TOTAL'!AC240</f>
        <v>0</v>
      </c>
      <c r="W189" s="70">
        <f>'RESUMEN TOTAL'!AD240</f>
        <v>0</v>
      </c>
      <c r="X189" s="70">
        <f>'RESUMEN TOTAL'!AE240</f>
        <v>0</v>
      </c>
      <c r="Y189" s="70">
        <f>'RESUMEN TOTAL'!AF240</f>
        <v>0</v>
      </c>
      <c r="Z189" s="70">
        <f>'RESUMEN TOTAL'!AG240</f>
        <v>0</v>
      </c>
      <c r="AA189" s="70">
        <f>'RESUMEN TOTAL'!AH240</f>
        <v>0</v>
      </c>
      <c r="AB189" s="70">
        <f>'RESUMEN TOTAL'!AI240</f>
        <v>0</v>
      </c>
      <c r="AC189" s="70">
        <f>'RESUMEN TOTAL'!AJ240</f>
        <v>0</v>
      </c>
      <c r="AD189" s="70">
        <f>'RESUMEN TOTAL'!AK240</f>
        <v>0</v>
      </c>
      <c r="AE189" s="70">
        <f>'RESUMEN TOTAL'!AL240</f>
        <v>0</v>
      </c>
      <c r="AF189" s="70">
        <f>'RESUMEN TOTAL'!AM240</f>
        <v>0</v>
      </c>
      <c r="AG189" s="70">
        <f>'RESUMEN TOTAL'!AN240</f>
        <v>0</v>
      </c>
      <c r="AH189" s="70">
        <f>'RESUMEN TOTAL'!AO240</f>
        <v>0</v>
      </c>
      <c r="AI189" s="70">
        <f>'RESUMEN TOTAL'!AP240</f>
        <v>0</v>
      </c>
      <c r="AJ189" s="70">
        <f>'RESUMEN TOTAL'!AQ240</f>
        <v>0</v>
      </c>
    </row>
    <row r="190" spans="1:36" x14ac:dyDescent="0.25">
      <c r="A190" t="str">
        <f>'RESUMEN TOTAL'!A241</f>
        <v>LOPEZ ROMERO</v>
      </c>
      <c r="B190" t="str">
        <f>'RESUMEN TOTAL'!B241</f>
        <v>LRO08</v>
      </c>
      <c r="C190" t="str">
        <f>'RESUMEN TOTAL'!D241</f>
        <v>Remedios de Escalada y Finochieto</v>
      </c>
      <c r="D190" s="30" t="str">
        <f>'RESUMEN TOTAL'!E241</f>
        <v>Domo</v>
      </c>
      <c r="E190" s="30" t="str">
        <f>'RESUMEN TOTAL'!F241</f>
        <v>Fibra Optica</v>
      </c>
      <c r="F190" s="70">
        <f>'RESUMEN TOTAL'!M241</f>
        <v>0</v>
      </c>
      <c r="G190" s="70">
        <f>'RESUMEN TOTAL'!N241</f>
        <v>0</v>
      </c>
      <c r="H190" s="70">
        <f>'RESUMEN TOTAL'!O241</f>
        <v>0</v>
      </c>
      <c r="I190" s="70">
        <f>'RESUMEN TOTAL'!P241</f>
        <v>0</v>
      </c>
      <c r="J190" s="70">
        <f>'RESUMEN TOTAL'!Q241</f>
        <v>0</v>
      </c>
      <c r="K190" s="70">
        <f>'RESUMEN TOTAL'!R241</f>
        <v>0</v>
      </c>
      <c r="L190" s="70">
        <f>'RESUMEN TOTAL'!S241</f>
        <v>0</v>
      </c>
      <c r="M190" s="70">
        <f>'RESUMEN TOTAL'!T241</f>
        <v>0</v>
      </c>
      <c r="N190" s="70">
        <f>'RESUMEN TOTAL'!U241</f>
        <v>0</v>
      </c>
      <c r="O190" s="70">
        <f>'RESUMEN TOTAL'!V241</f>
        <v>0</v>
      </c>
      <c r="P190" s="70">
        <f>'RESUMEN TOTAL'!W241</f>
        <v>0</v>
      </c>
      <c r="Q190" s="70">
        <f>'RESUMEN TOTAL'!X241</f>
        <v>0</v>
      </c>
      <c r="R190" s="70">
        <f>'RESUMEN TOTAL'!Y241</f>
        <v>0</v>
      </c>
      <c r="S190" s="70">
        <f>'RESUMEN TOTAL'!Z241</f>
        <v>0</v>
      </c>
      <c r="T190" s="70">
        <f>'RESUMEN TOTAL'!AA241</f>
        <v>0</v>
      </c>
      <c r="U190" s="70">
        <f>'RESUMEN TOTAL'!AB241</f>
        <v>0</v>
      </c>
      <c r="V190" s="70">
        <f>'RESUMEN TOTAL'!AC241</f>
        <v>0</v>
      </c>
      <c r="W190" s="70">
        <f>'RESUMEN TOTAL'!AD241</f>
        <v>0</v>
      </c>
      <c r="X190" s="70">
        <f>'RESUMEN TOTAL'!AE241</f>
        <v>0</v>
      </c>
      <c r="Y190" s="70">
        <f>'RESUMEN TOTAL'!AF241</f>
        <v>0</v>
      </c>
      <c r="Z190" s="70">
        <f>'RESUMEN TOTAL'!AG241</f>
        <v>0</v>
      </c>
      <c r="AA190" s="70">
        <f>'RESUMEN TOTAL'!AH241</f>
        <v>0</v>
      </c>
      <c r="AB190" s="70">
        <f>'RESUMEN TOTAL'!AI241</f>
        <v>0</v>
      </c>
      <c r="AC190" s="70">
        <f>'RESUMEN TOTAL'!AJ241</f>
        <v>0</v>
      </c>
      <c r="AD190" s="70">
        <f>'RESUMEN TOTAL'!AK241</f>
        <v>0</v>
      </c>
      <c r="AE190" s="70">
        <f>'RESUMEN TOTAL'!AL241</f>
        <v>0</v>
      </c>
      <c r="AF190" s="70">
        <f>'RESUMEN TOTAL'!AM241</f>
        <v>0</v>
      </c>
      <c r="AG190" s="70">
        <f>'RESUMEN TOTAL'!AN241</f>
        <v>0</v>
      </c>
      <c r="AH190" s="70">
        <f>'RESUMEN TOTAL'!AO241</f>
        <v>0</v>
      </c>
      <c r="AI190" s="70">
        <f>'RESUMEN TOTAL'!AP241</f>
        <v>0</v>
      </c>
      <c r="AJ190" s="70">
        <f>'RESUMEN TOTAL'!AQ241</f>
        <v>0</v>
      </c>
    </row>
    <row r="191" spans="1:36" x14ac:dyDescent="0.25">
      <c r="A191" t="str">
        <f>'RESUMEN TOTAL'!A242</f>
        <v>LOPEZ ROMERO</v>
      </c>
      <c r="B191" t="str">
        <f>'RESUMEN TOTAL'!B242</f>
        <v>LRO11</v>
      </c>
      <c r="C191" t="str">
        <f>'RESUMEN TOTAL'!D242</f>
        <v>Av. Yrigoyen y Braile</v>
      </c>
      <c r="D191" s="30" t="str">
        <f>'RESUMEN TOTAL'!E242</f>
        <v>Domo</v>
      </c>
      <c r="E191" s="30" t="str">
        <f>'RESUMEN TOTAL'!F242</f>
        <v>Fibra Optica</v>
      </c>
      <c r="F191" s="70">
        <f>'RESUMEN TOTAL'!M242</f>
        <v>0</v>
      </c>
      <c r="G191" s="70">
        <f>'RESUMEN TOTAL'!N242</f>
        <v>0</v>
      </c>
      <c r="H191" s="70">
        <f>'RESUMEN TOTAL'!O242</f>
        <v>0</v>
      </c>
      <c r="I191" s="70">
        <f>'RESUMEN TOTAL'!P242</f>
        <v>0</v>
      </c>
      <c r="J191" s="70">
        <f>'RESUMEN TOTAL'!Q242</f>
        <v>0</v>
      </c>
      <c r="K191" s="70">
        <f>'RESUMEN TOTAL'!R242</f>
        <v>0</v>
      </c>
      <c r="L191" s="70">
        <f>'RESUMEN TOTAL'!S242</f>
        <v>0</v>
      </c>
      <c r="M191" s="70">
        <f>'RESUMEN TOTAL'!T242</f>
        <v>0</v>
      </c>
      <c r="N191" s="70">
        <f>'RESUMEN TOTAL'!U242</f>
        <v>0</v>
      </c>
      <c r="O191" s="70">
        <f>'RESUMEN TOTAL'!V242</f>
        <v>0</v>
      </c>
      <c r="P191" s="70">
        <f>'RESUMEN TOTAL'!W242</f>
        <v>0</v>
      </c>
      <c r="Q191" s="70">
        <f>'RESUMEN TOTAL'!X242</f>
        <v>0</v>
      </c>
      <c r="R191" s="70">
        <f>'RESUMEN TOTAL'!Y242</f>
        <v>0</v>
      </c>
      <c r="S191" s="70">
        <f>'RESUMEN TOTAL'!Z242</f>
        <v>0</v>
      </c>
      <c r="T191" s="70">
        <f>'RESUMEN TOTAL'!AA242</f>
        <v>0</v>
      </c>
      <c r="U191" s="70">
        <f>'RESUMEN TOTAL'!AB242</f>
        <v>0</v>
      </c>
      <c r="V191" s="70">
        <f>'RESUMEN TOTAL'!AC242</f>
        <v>0</v>
      </c>
      <c r="W191" s="70">
        <f>'RESUMEN TOTAL'!AD242</f>
        <v>0</v>
      </c>
      <c r="X191" s="70">
        <f>'RESUMEN TOTAL'!AE242</f>
        <v>0</v>
      </c>
      <c r="Y191" s="70">
        <f>'RESUMEN TOTAL'!AF242</f>
        <v>0</v>
      </c>
      <c r="Z191" s="70">
        <f>'RESUMEN TOTAL'!AG242</f>
        <v>0</v>
      </c>
      <c r="AA191" s="70">
        <f>'RESUMEN TOTAL'!AH242</f>
        <v>0</v>
      </c>
      <c r="AB191" s="70">
        <f>'RESUMEN TOTAL'!AI242</f>
        <v>0</v>
      </c>
      <c r="AC191" s="70">
        <f>'RESUMEN TOTAL'!AJ242</f>
        <v>0</v>
      </c>
      <c r="AD191" s="70">
        <f>'RESUMEN TOTAL'!AK242</f>
        <v>0</v>
      </c>
      <c r="AE191" s="70">
        <f>'RESUMEN TOTAL'!AL242</f>
        <v>0</v>
      </c>
      <c r="AF191" s="70">
        <f>'RESUMEN TOTAL'!AM242</f>
        <v>0</v>
      </c>
      <c r="AG191" s="70">
        <f>'RESUMEN TOTAL'!AN242</f>
        <v>0</v>
      </c>
      <c r="AH191" s="70">
        <f>'RESUMEN TOTAL'!AO242</f>
        <v>0</v>
      </c>
      <c r="AI191" s="70">
        <f>'RESUMEN TOTAL'!AP242</f>
        <v>0</v>
      </c>
      <c r="AJ191" s="70">
        <f>'RESUMEN TOTAL'!AQ242</f>
        <v>0</v>
      </c>
    </row>
    <row r="192" spans="1:36" x14ac:dyDescent="0.25">
      <c r="A192" t="str">
        <f>'RESUMEN TOTAL'!A243</f>
        <v>LOPEZ ROMERO</v>
      </c>
      <c r="B192" t="str">
        <f>'RESUMEN TOTAL'!B243</f>
        <v>LRO14</v>
      </c>
      <c r="C192" t="str">
        <f>'RESUMEN TOTAL'!D243</f>
        <v>YRIGOYEN Y STORNI</v>
      </c>
      <c r="D192" s="30" t="str">
        <f>'RESUMEN TOTAL'!E243</f>
        <v>DOMO</v>
      </c>
      <c r="E192" s="30" t="str">
        <f>'RESUMEN TOTAL'!F243</f>
        <v>Fibra Optica</v>
      </c>
      <c r="F192" s="70">
        <f>'RESUMEN TOTAL'!M243</f>
        <v>0</v>
      </c>
      <c r="G192" s="70">
        <f>'RESUMEN TOTAL'!N243</f>
        <v>0</v>
      </c>
      <c r="H192" s="70">
        <f>'RESUMEN TOTAL'!O243</f>
        <v>0</v>
      </c>
      <c r="I192" s="70">
        <f>'RESUMEN TOTAL'!P243</f>
        <v>0</v>
      </c>
      <c r="J192" s="70">
        <f>'RESUMEN TOTAL'!Q243</f>
        <v>0</v>
      </c>
      <c r="K192" s="70">
        <f>'RESUMEN TOTAL'!R243</f>
        <v>0</v>
      </c>
      <c r="L192" s="70">
        <f>'RESUMEN TOTAL'!S243</f>
        <v>0</v>
      </c>
      <c r="M192" s="70">
        <f>'RESUMEN TOTAL'!T243</f>
        <v>0</v>
      </c>
      <c r="N192" s="70">
        <f>'RESUMEN TOTAL'!U243</f>
        <v>0</v>
      </c>
      <c r="O192" s="70">
        <f>'RESUMEN TOTAL'!V243</f>
        <v>0</v>
      </c>
      <c r="P192" s="70">
        <f>'RESUMEN TOTAL'!W243</f>
        <v>0</v>
      </c>
      <c r="Q192" s="70">
        <f>'RESUMEN TOTAL'!X243</f>
        <v>0</v>
      </c>
      <c r="R192" s="70">
        <f>'RESUMEN TOTAL'!Y243</f>
        <v>0</v>
      </c>
      <c r="S192" s="70">
        <f>'RESUMEN TOTAL'!Z243</f>
        <v>0</v>
      </c>
      <c r="T192" s="70">
        <f>'RESUMEN TOTAL'!AA243</f>
        <v>0</v>
      </c>
      <c r="U192" s="70">
        <f>'RESUMEN TOTAL'!AB243</f>
        <v>0</v>
      </c>
      <c r="V192" s="70">
        <f>'RESUMEN TOTAL'!AC243</f>
        <v>0</v>
      </c>
      <c r="W192" s="70">
        <f>'RESUMEN TOTAL'!AD243</f>
        <v>0</v>
      </c>
      <c r="X192" s="70">
        <f>'RESUMEN TOTAL'!AE243</f>
        <v>0</v>
      </c>
      <c r="Y192" s="70">
        <f>'RESUMEN TOTAL'!AF243</f>
        <v>0</v>
      </c>
      <c r="Z192" s="70">
        <f>'RESUMEN TOTAL'!AG243</f>
        <v>0</v>
      </c>
      <c r="AA192" s="70">
        <f>'RESUMEN TOTAL'!AH243</f>
        <v>0</v>
      </c>
      <c r="AB192" s="70">
        <f>'RESUMEN TOTAL'!AI243</f>
        <v>0</v>
      </c>
      <c r="AC192" s="70">
        <f>'RESUMEN TOTAL'!AJ243</f>
        <v>0</v>
      </c>
      <c r="AD192" s="70">
        <f>'RESUMEN TOTAL'!AK243</f>
        <v>0</v>
      </c>
      <c r="AE192" s="70">
        <f>'RESUMEN TOTAL'!AL243</f>
        <v>0</v>
      </c>
      <c r="AF192" s="70">
        <f>'RESUMEN TOTAL'!AM243</f>
        <v>0</v>
      </c>
      <c r="AG192" s="70">
        <f>'RESUMEN TOTAL'!AN243</f>
        <v>0</v>
      </c>
      <c r="AH192" s="70">
        <f>'RESUMEN TOTAL'!AO243</f>
        <v>0</v>
      </c>
      <c r="AI192" s="70">
        <f>'RESUMEN TOTAL'!AP243</f>
        <v>0</v>
      </c>
      <c r="AJ192" s="70">
        <f>'RESUMEN TOTAL'!AQ243</f>
        <v>0</v>
      </c>
    </row>
    <row r="193" spans="1:36" x14ac:dyDescent="0.25">
      <c r="A193" t="str">
        <f>'RESUMEN TOTAL'!A244</f>
        <v>LOPEZ ROMERO</v>
      </c>
      <c r="B193" t="str">
        <f>'RESUMEN TOTAL'!B244</f>
        <v>LRO15</v>
      </c>
      <c r="C193" t="str">
        <f>'RESUMEN TOTAL'!D244</f>
        <v>BRAILE Y FINOCCHIETTO</v>
      </c>
      <c r="D193" s="30" t="str">
        <f>'RESUMEN TOTAL'!E244</f>
        <v>DOMO</v>
      </c>
      <c r="E193" s="30" t="str">
        <f>'RESUMEN TOTAL'!F244</f>
        <v>Fibra Optica</v>
      </c>
      <c r="F193" s="70">
        <f>'RESUMEN TOTAL'!M244</f>
        <v>0</v>
      </c>
      <c r="G193" s="70">
        <f>'RESUMEN TOTAL'!N244</f>
        <v>0</v>
      </c>
      <c r="H193" s="70">
        <f>'RESUMEN TOTAL'!O244</f>
        <v>0</v>
      </c>
      <c r="I193" s="70">
        <f>'RESUMEN TOTAL'!P244</f>
        <v>0</v>
      </c>
      <c r="J193" s="70">
        <f>'RESUMEN TOTAL'!Q244</f>
        <v>0</v>
      </c>
      <c r="K193" s="70">
        <f>'RESUMEN TOTAL'!R244</f>
        <v>0</v>
      </c>
      <c r="L193" s="70">
        <f>'RESUMEN TOTAL'!S244</f>
        <v>0</v>
      </c>
      <c r="M193" s="70">
        <f>'RESUMEN TOTAL'!T244</f>
        <v>0</v>
      </c>
      <c r="N193" s="70">
        <f>'RESUMEN TOTAL'!U244</f>
        <v>0</v>
      </c>
      <c r="O193" s="70">
        <f>'RESUMEN TOTAL'!V244</f>
        <v>0</v>
      </c>
      <c r="P193" s="70">
        <f>'RESUMEN TOTAL'!W244</f>
        <v>0</v>
      </c>
      <c r="Q193" s="70">
        <f>'RESUMEN TOTAL'!X244</f>
        <v>0</v>
      </c>
      <c r="R193" s="70">
        <f>'RESUMEN TOTAL'!Y244</f>
        <v>0</v>
      </c>
      <c r="S193" s="70">
        <f>'RESUMEN TOTAL'!Z244</f>
        <v>0</v>
      </c>
      <c r="T193" s="70">
        <f>'RESUMEN TOTAL'!AA244</f>
        <v>0</v>
      </c>
      <c r="U193" s="70">
        <f>'RESUMEN TOTAL'!AB244</f>
        <v>0</v>
      </c>
      <c r="V193" s="70">
        <f>'RESUMEN TOTAL'!AC244</f>
        <v>0</v>
      </c>
      <c r="W193" s="70">
        <f>'RESUMEN TOTAL'!AD244</f>
        <v>0</v>
      </c>
      <c r="X193" s="70">
        <f>'RESUMEN TOTAL'!AE244</f>
        <v>0</v>
      </c>
      <c r="Y193" s="70">
        <f>'RESUMEN TOTAL'!AF244</f>
        <v>0</v>
      </c>
      <c r="Z193" s="70">
        <f>'RESUMEN TOTAL'!AG244</f>
        <v>0</v>
      </c>
      <c r="AA193" s="70">
        <f>'RESUMEN TOTAL'!AH244</f>
        <v>0</v>
      </c>
      <c r="AB193" s="70">
        <f>'RESUMEN TOTAL'!AI244</f>
        <v>0</v>
      </c>
      <c r="AC193" s="70">
        <f>'RESUMEN TOTAL'!AJ244</f>
        <v>0</v>
      </c>
      <c r="AD193" s="70">
        <f>'RESUMEN TOTAL'!AK244</f>
        <v>0</v>
      </c>
      <c r="AE193" s="70">
        <f>'RESUMEN TOTAL'!AL244</f>
        <v>0</v>
      </c>
      <c r="AF193" s="70">
        <f>'RESUMEN TOTAL'!AM244</f>
        <v>0</v>
      </c>
      <c r="AG193" s="70">
        <f>'RESUMEN TOTAL'!AN244</f>
        <v>0</v>
      </c>
      <c r="AH193" s="70">
        <f>'RESUMEN TOTAL'!AO244</f>
        <v>0</v>
      </c>
      <c r="AI193" s="70">
        <f>'RESUMEN TOTAL'!AP244</f>
        <v>0</v>
      </c>
      <c r="AJ193" s="70">
        <f>'RESUMEN TOTAL'!AQ244</f>
        <v>0</v>
      </c>
    </row>
    <row r="194" spans="1:36" x14ac:dyDescent="0.25">
      <c r="A194" t="str">
        <f>'RESUMEN TOTAL'!A245</f>
        <v>LUJAN</v>
      </c>
      <c r="B194" t="str">
        <f>'RESUMEN TOTAL'!B245</f>
        <v>LUJ 01</v>
      </c>
      <c r="C194" t="str">
        <f>'RESUMEN TOTAL'!D245</f>
        <v>ñandu y Los Pinos</v>
      </c>
      <c r="D194" s="30" t="str">
        <f>'RESUMEN TOTAL'!E245</f>
        <v>Domo</v>
      </c>
      <c r="E194" s="30" t="str">
        <f>'RESUMEN TOTAL'!F245</f>
        <v>GPON</v>
      </c>
      <c r="F194" s="70">
        <f>'RESUMEN TOTAL'!M245</f>
        <v>0</v>
      </c>
      <c r="G194" s="70">
        <f>'RESUMEN TOTAL'!N245</f>
        <v>0</v>
      </c>
      <c r="H194" s="70">
        <f>'RESUMEN TOTAL'!O245</f>
        <v>0</v>
      </c>
      <c r="I194" s="70">
        <f>'RESUMEN TOTAL'!P245</f>
        <v>0</v>
      </c>
      <c r="J194" s="70">
        <f>'RESUMEN TOTAL'!Q245</f>
        <v>0</v>
      </c>
      <c r="K194" s="70">
        <f>'RESUMEN TOTAL'!R245</f>
        <v>0</v>
      </c>
      <c r="L194" s="70">
        <f>'RESUMEN TOTAL'!S245</f>
        <v>0</v>
      </c>
      <c r="M194" s="70">
        <f>'RESUMEN TOTAL'!T245</f>
        <v>0</v>
      </c>
      <c r="N194" s="70">
        <f>'RESUMEN TOTAL'!U245</f>
        <v>0</v>
      </c>
      <c r="O194" s="70">
        <f>'RESUMEN TOTAL'!V245</f>
        <v>0</v>
      </c>
      <c r="P194" s="70">
        <f>'RESUMEN TOTAL'!W245</f>
        <v>0</v>
      </c>
      <c r="Q194" s="70">
        <f>'RESUMEN TOTAL'!X245</f>
        <v>0</v>
      </c>
      <c r="R194" s="70">
        <f>'RESUMEN TOTAL'!Y245</f>
        <v>0</v>
      </c>
      <c r="S194" s="70">
        <f>'RESUMEN TOTAL'!Z245</f>
        <v>0</v>
      </c>
      <c r="T194" s="70">
        <f>'RESUMEN TOTAL'!AA245</f>
        <v>0</v>
      </c>
      <c r="U194" s="70">
        <f>'RESUMEN TOTAL'!AB245</f>
        <v>0</v>
      </c>
      <c r="V194" s="70">
        <f>'RESUMEN TOTAL'!AC245</f>
        <v>0</v>
      </c>
      <c r="W194" s="70">
        <f>'RESUMEN TOTAL'!AD245</f>
        <v>0</v>
      </c>
      <c r="X194" s="70">
        <f>'RESUMEN TOTAL'!AE245</f>
        <v>0</v>
      </c>
      <c r="Y194" s="70">
        <f>'RESUMEN TOTAL'!AF245</f>
        <v>0</v>
      </c>
      <c r="Z194" s="70">
        <f>'RESUMEN TOTAL'!AG245</f>
        <v>0</v>
      </c>
      <c r="AA194" s="70">
        <f>'RESUMEN TOTAL'!AH245</f>
        <v>0</v>
      </c>
      <c r="AB194" s="70">
        <f>'RESUMEN TOTAL'!AI245</f>
        <v>0</v>
      </c>
      <c r="AC194" s="70">
        <f>'RESUMEN TOTAL'!AJ245</f>
        <v>0</v>
      </c>
      <c r="AD194" s="70">
        <f>'RESUMEN TOTAL'!AK245</f>
        <v>0</v>
      </c>
      <c r="AE194" s="70">
        <f>'RESUMEN TOTAL'!AL245</f>
        <v>0</v>
      </c>
      <c r="AF194" s="70">
        <f>'RESUMEN TOTAL'!AM245</f>
        <v>0</v>
      </c>
      <c r="AG194" s="70">
        <f>'RESUMEN TOTAL'!AN245</f>
        <v>0</v>
      </c>
      <c r="AH194" s="70">
        <f>'RESUMEN TOTAL'!AO245</f>
        <v>0</v>
      </c>
      <c r="AI194" s="70">
        <f>'RESUMEN TOTAL'!AP245</f>
        <v>0</v>
      </c>
      <c r="AJ194" s="70">
        <f>'RESUMEN TOTAL'!AQ245</f>
        <v>0</v>
      </c>
    </row>
    <row r="195" spans="1:36" x14ac:dyDescent="0.25">
      <c r="A195" t="str">
        <f>'RESUMEN TOTAL'!A246</f>
        <v>VILLA ARGENTINA</v>
      </c>
      <c r="B195" t="str">
        <f>'RESUMEN TOTAL'!B246</f>
        <v>LUJ 02</v>
      </c>
      <c r="C195" t="str">
        <f>'RESUMEN TOTAL'!D246</f>
        <v>DIAG. LOS TILOS Y 527</v>
      </c>
      <c r="D195" s="30" t="str">
        <f>'RESUMEN TOTAL'!E246</f>
        <v>DOMO</v>
      </c>
      <c r="E195" s="30" t="str">
        <f>'RESUMEN TOTAL'!F246</f>
        <v>PTO A FO</v>
      </c>
      <c r="F195" s="70">
        <f>'RESUMEN TOTAL'!M246</f>
        <v>0</v>
      </c>
      <c r="G195" s="70">
        <f>'RESUMEN TOTAL'!N246</f>
        <v>0</v>
      </c>
      <c r="H195" s="70">
        <f>'RESUMEN TOTAL'!O246</f>
        <v>0</v>
      </c>
      <c r="I195" s="70">
        <f>'RESUMEN TOTAL'!P246</f>
        <v>0</v>
      </c>
      <c r="J195" s="70">
        <f>'RESUMEN TOTAL'!Q246</f>
        <v>0</v>
      </c>
      <c r="K195" s="70">
        <f>'RESUMEN TOTAL'!R246</f>
        <v>0</v>
      </c>
      <c r="L195" s="70">
        <f>'RESUMEN TOTAL'!S246</f>
        <v>0</v>
      </c>
      <c r="M195" s="70">
        <f>'RESUMEN TOTAL'!T246</f>
        <v>0</v>
      </c>
      <c r="N195" s="70">
        <f>'RESUMEN TOTAL'!U246</f>
        <v>0</v>
      </c>
      <c r="O195" s="70">
        <f>'RESUMEN TOTAL'!V246</f>
        <v>0</v>
      </c>
      <c r="P195" s="70">
        <f>'RESUMEN TOTAL'!W246</f>
        <v>0</v>
      </c>
      <c r="Q195" s="70">
        <f>'RESUMEN TOTAL'!X246</f>
        <v>0</v>
      </c>
      <c r="R195" s="70">
        <f>'RESUMEN TOTAL'!Y246</f>
        <v>0</v>
      </c>
      <c r="S195" s="70">
        <f>'RESUMEN TOTAL'!Z246</f>
        <v>0</v>
      </c>
      <c r="T195" s="70">
        <f>'RESUMEN TOTAL'!AA246</f>
        <v>0</v>
      </c>
      <c r="U195" s="70">
        <f>'RESUMEN TOTAL'!AB246</f>
        <v>0</v>
      </c>
      <c r="V195" s="70">
        <f>'RESUMEN TOTAL'!AC246</f>
        <v>0</v>
      </c>
      <c r="W195" s="70">
        <f>'RESUMEN TOTAL'!AD246</f>
        <v>0</v>
      </c>
      <c r="X195" s="70">
        <f>'RESUMEN TOTAL'!AE246</f>
        <v>0</v>
      </c>
      <c r="Y195" s="70">
        <f>'RESUMEN TOTAL'!AF246</f>
        <v>0</v>
      </c>
      <c r="Z195" s="70">
        <f>'RESUMEN TOTAL'!AG246</f>
        <v>0</v>
      </c>
      <c r="AA195" s="70">
        <f>'RESUMEN TOTAL'!AH246</f>
        <v>0</v>
      </c>
      <c r="AB195" s="70">
        <f>'RESUMEN TOTAL'!AI246</f>
        <v>0</v>
      </c>
      <c r="AC195" s="70">
        <f>'RESUMEN TOTAL'!AJ246</f>
        <v>0</v>
      </c>
      <c r="AD195" s="70">
        <f>'RESUMEN TOTAL'!AK246</f>
        <v>0</v>
      </c>
      <c r="AE195" s="70">
        <f>'RESUMEN TOTAL'!AL246</f>
        <v>0</v>
      </c>
      <c r="AF195" s="70">
        <f>'RESUMEN TOTAL'!AM246</f>
        <v>0</v>
      </c>
      <c r="AG195" s="70">
        <f>'RESUMEN TOTAL'!AN246</f>
        <v>0</v>
      </c>
      <c r="AH195" s="70">
        <f>'RESUMEN TOTAL'!AO246</f>
        <v>0</v>
      </c>
      <c r="AI195" s="70">
        <f>'RESUMEN TOTAL'!AP246</f>
        <v>0</v>
      </c>
      <c r="AJ195" s="70">
        <f>'RESUMEN TOTAL'!AQ246</f>
        <v>0</v>
      </c>
    </row>
    <row r="196" spans="1:36" x14ac:dyDescent="0.25">
      <c r="A196" t="str">
        <f>'RESUMEN TOTAL'!A247</f>
        <v>LUJAN</v>
      </c>
      <c r="B196" t="str">
        <f>'RESUMEN TOTAL'!B247</f>
        <v>LUJ03</v>
      </c>
      <c r="C196" t="str">
        <f>'RESUMEN TOTAL'!D247</f>
        <v>LOS PINOS Y LOS TILOS</v>
      </c>
      <c r="D196" s="30" t="str">
        <f>'RESUMEN TOTAL'!E247</f>
        <v>DOMO</v>
      </c>
      <c r="E196" s="30" t="str">
        <f>'RESUMEN TOTAL'!F247</f>
        <v>Fibra Optica</v>
      </c>
      <c r="F196" s="70">
        <f>'RESUMEN TOTAL'!M247</f>
        <v>0</v>
      </c>
      <c r="G196" s="70">
        <f>'RESUMEN TOTAL'!N247</f>
        <v>0</v>
      </c>
      <c r="H196" s="70">
        <f>'RESUMEN TOTAL'!O247</f>
        <v>0</v>
      </c>
      <c r="I196" s="70">
        <f>'RESUMEN TOTAL'!P247</f>
        <v>0</v>
      </c>
      <c r="J196" s="70">
        <f>'RESUMEN TOTAL'!Q247</f>
        <v>0</v>
      </c>
      <c r="K196" s="70">
        <f>'RESUMEN TOTAL'!R247</f>
        <v>0</v>
      </c>
      <c r="L196" s="70">
        <f>'RESUMEN TOTAL'!S247</f>
        <v>0</v>
      </c>
      <c r="M196" s="70">
        <f>'RESUMEN TOTAL'!T247</f>
        <v>0</v>
      </c>
      <c r="N196" s="70">
        <f>'RESUMEN TOTAL'!U247</f>
        <v>0</v>
      </c>
      <c r="O196" s="70">
        <f>'RESUMEN TOTAL'!V247</f>
        <v>0</v>
      </c>
      <c r="P196" s="70">
        <f>'RESUMEN TOTAL'!W247</f>
        <v>0</v>
      </c>
      <c r="Q196" s="70">
        <f>'RESUMEN TOTAL'!X247</f>
        <v>0</v>
      </c>
      <c r="R196" s="70">
        <f>'RESUMEN TOTAL'!Y247</f>
        <v>0</v>
      </c>
      <c r="S196" s="70">
        <f>'RESUMEN TOTAL'!Z247</f>
        <v>0</v>
      </c>
      <c r="T196" s="70">
        <f>'RESUMEN TOTAL'!AA247</f>
        <v>0</v>
      </c>
      <c r="U196" s="70">
        <f>'RESUMEN TOTAL'!AB247</f>
        <v>0</v>
      </c>
      <c r="V196" s="70">
        <f>'RESUMEN TOTAL'!AC247</f>
        <v>0</v>
      </c>
      <c r="W196" s="70">
        <f>'RESUMEN TOTAL'!AD247</f>
        <v>0</v>
      </c>
      <c r="X196" s="70">
        <f>'RESUMEN TOTAL'!AE247</f>
        <v>0</v>
      </c>
      <c r="Y196" s="70">
        <f>'RESUMEN TOTAL'!AF247</f>
        <v>0</v>
      </c>
      <c r="Z196" s="70">
        <f>'RESUMEN TOTAL'!AG247</f>
        <v>0</v>
      </c>
      <c r="AA196" s="70">
        <f>'RESUMEN TOTAL'!AH247</f>
        <v>0</v>
      </c>
      <c r="AB196" s="70">
        <f>'RESUMEN TOTAL'!AI247</f>
        <v>0</v>
      </c>
      <c r="AC196" s="70">
        <f>'RESUMEN TOTAL'!AJ247</f>
        <v>0</v>
      </c>
      <c r="AD196" s="70">
        <f>'RESUMEN TOTAL'!AK247</f>
        <v>0</v>
      </c>
      <c r="AE196" s="70">
        <f>'RESUMEN TOTAL'!AL247</f>
        <v>0</v>
      </c>
      <c r="AF196" s="70">
        <f>'RESUMEN TOTAL'!AM247</f>
        <v>0</v>
      </c>
      <c r="AG196" s="70">
        <f>'RESUMEN TOTAL'!AN247</f>
        <v>0</v>
      </c>
      <c r="AH196" s="70">
        <f>'RESUMEN TOTAL'!AO247</f>
        <v>0</v>
      </c>
      <c r="AI196" s="70">
        <f>'RESUMEN TOTAL'!AP247</f>
        <v>0</v>
      </c>
      <c r="AJ196" s="70">
        <f>'RESUMEN TOTAL'!AQ247</f>
        <v>0</v>
      </c>
    </row>
    <row r="197" spans="1:36" x14ac:dyDescent="0.25">
      <c r="A197" t="str">
        <f>'RESUMEN TOTAL'!A248</f>
        <v>PRESIDENTE PERON (PEPSI)</v>
      </c>
      <c r="B197" t="str">
        <f>'RESUMEN TOTAL'!B248</f>
        <v>MAR 01</v>
      </c>
      <c r="C197" t="str">
        <f>'RESUMEN TOTAL'!D248</f>
        <v>RP36 Y LA ESMERALDA</v>
      </c>
      <c r="D197" s="30" t="str">
        <f>'RESUMEN TOTAL'!E248</f>
        <v>DOMO</v>
      </c>
      <c r="E197" s="30" t="str">
        <f>'RESUMEN TOTAL'!F248</f>
        <v>PTO A FO</v>
      </c>
      <c r="F197" s="70">
        <f>'RESUMEN TOTAL'!M248</f>
        <v>0</v>
      </c>
      <c r="G197" s="70">
        <f>'RESUMEN TOTAL'!N248</f>
        <v>0</v>
      </c>
      <c r="H197" s="70">
        <f>'RESUMEN TOTAL'!O248</f>
        <v>0</v>
      </c>
      <c r="I197" s="70">
        <f>'RESUMEN TOTAL'!P248</f>
        <v>0</v>
      </c>
      <c r="J197" s="70">
        <f>'RESUMEN TOTAL'!Q248</f>
        <v>0</v>
      </c>
      <c r="K197" s="70">
        <f>'RESUMEN TOTAL'!R248</f>
        <v>0</v>
      </c>
      <c r="L197" s="70">
        <f>'RESUMEN TOTAL'!S248</f>
        <v>0</v>
      </c>
      <c r="M197" s="70">
        <f>'RESUMEN TOTAL'!T248</f>
        <v>0</v>
      </c>
      <c r="N197" s="70">
        <f>'RESUMEN TOTAL'!U248</f>
        <v>0</v>
      </c>
      <c r="O197" s="70">
        <f>'RESUMEN TOTAL'!V248</f>
        <v>0</v>
      </c>
      <c r="P197" s="70">
        <f>'RESUMEN TOTAL'!W248</f>
        <v>0</v>
      </c>
      <c r="Q197" s="70">
        <f>'RESUMEN TOTAL'!X248</f>
        <v>0</v>
      </c>
      <c r="R197" s="70">
        <f>'RESUMEN TOTAL'!Y248</f>
        <v>0</v>
      </c>
      <c r="S197" s="70">
        <f>'RESUMEN TOTAL'!Z248</f>
        <v>0</v>
      </c>
      <c r="T197" s="70">
        <f>'RESUMEN TOTAL'!AA248</f>
        <v>0</v>
      </c>
      <c r="U197" s="70">
        <f>'RESUMEN TOTAL'!AB248</f>
        <v>0</v>
      </c>
      <c r="V197" s="70">
        <f>'RESUMEN TOTAL'!AC248</f>
        <v>0</v>
      </c>
      <c r="W197" s="70">
        <f>'RESUMEN TOTAL'!AD248</f>
        <v>0</v>
      </c>
      <c r="X197" s="70">
        <f>'RESUMEN TOTAL'!AE248</f>
        <v>0</v>
      </c>
      <c r="Y197" s="70">
        <f>'RESUMEN TOTAL'!AF248</f>
        <v>0</v>
      </c>
      <c r="Z197" s="70">
        <f>'RESUMEN TOTAL'!AG248</f>
        <v>0</v>
      </c>
      <c r="AA197" s="70">
        <f>'RESUMEN TOTAL'!AH248</f>
        <v>0</v>
      </c>
      <c r="AB197" s="70">
        <f>'RESUMEN TOTAL'!AI248</f>
        <v>0</v>
      </c>
      <c r="AC197" s="70">
        <f>'RESUMEN TOTAL'!AJ248</f>
        <v>0</v>
      </c>
      <c r="AD197" s="70">
        <f>'RESUMEN TOTAL'!AK248</f>
        <v>0</v>
      </c>
      <c r="AE197" s="70">
        <f>'RESUMEN TOTAL'!AL248</f>
        <v>0</v>
      </c>
      <c r="AF197" s="70">
        <f>'RESUMEN TOTAL'!AM248</f>
        <v>0</v>
      </c>
      <c r="AG197" s="70">
        <f>'RESUMEN TOTAL'!AN248</f>
        <v>0</v>
      </c>
      <c r="AH197" s="70">
        <f>'RESUMEN TOTAL'!AO248</f>
        <v>0</v>
      </c>
      <c r="AI197" s="70">
        <f>'RESUMEN TOTAL'!AP248</f>
        <v>0</v>
      </c>
      <c r="AJ197" s="70">
        <f>'RESUMEN TOTAL'!AQ248</f>
        <v>0</v>
      </c>
    </row>
    <row r="198" spans="1:36" x14ac:dyDescent="0.25">
      <c r="A198" t="str">
        <f>'RESUMEN TOTAL'!A249</f>
        <v>RICARDO ROJAS</v>
      </c>
      <c r="B198" t="str">
        <f>'RESUMEN TOTAL'!B249</f>
        <v>MAR 02 (FIJA1)</v>
      </c>
      <c r="C198" t="str">
        <f>'RESUMEN TOTAL'!D249</f>
        <v>LUJAN Y PATAGONES</v>
      </c>
      <c r="D198" s="30" t="str">
        <f>'RESUMEN TOTAL'!E249</f>
        <v>Fija</v>
      </c>
      <c r="E198" s="30" t="str">
        <f>'RESUMEN TOTAL'!F249</f>
        <v>Fibra Optica</v>
      </c>
      <c r="F198" s="70">
        <f>'RESUMEN TOTAL'!M249</f>
        <v>0</v>
      </c>
      <c r="G198" s="70">
        <f>'RESUMEN TOTAL'!N249</f>
        <v>0</v>
      </c>
      <c r="H198" s="70">
        <f>'RESUMEN TOTAL'!O249</f>
        <v>0</v>
      </c>
      <c r="I198" s="70">
        <f>'RESUMEN TOTAL'!P249</f>
        <v>0</v>
      </c>
      <c r="J198" s="70">
        <f>'RESUMEN TOTAL'!Q249</f>
        <v>0</v>
      </c>
      <c r="K198" s="70">
        <f>'RESUMEN TOTAL'!R249</f>
        <v>0</v>
      </c>
      <c r="L198" s="70">
        <f>'RESUMEN TOTAL'!S249</f>
        <v>0</v>
      </c>
      <c r="M198" s="70">
        <f>'RESUMEN TOTAL'!T249</f>
        <v>0</v>
      </c>
      <c r="N198" s="70">
        <f>'RESUMEN TOTAL'!U249</f>
        <v>0</v>
      </c>
      <c r="O198" s="70">
        <f>'RESUMEN TOTAL'!V249</f>
        <v>0</v>
      </c>
      <c r="P198" s="70">
        <f>'RESUMEN TOTAL'!W249</f>
        <v>0</v>
      </c>
      <c r="Q198" s="70">
        <f>'RESUMEN TOTAL'!X249</f>
        <v>0</v>
      </c>
      <c r="R198" s="70">
        <f>'RESUMEN TOTAL'!Y249</f>
        <v>0</v>
      </c>
      <c r="S198" s="70">
        <f>'RESUMEN TOTAL'!Z249</f>
        <v>0</v>
      </c>
      <c r="T198" s="70">
        <f>'RESUMEN TOTAL'!AA249</f>
        <v>0</v>
      </c>
      <c r="U198" s="70">
        <f>'RESUMEN TOTAL'!AB249</f>
        <v>0</v>
      </c>
      <c r="V198" s="70">
        <f>'RESUMEN TOTAL'!AC249</f>
        <v>0</v>
      </c>
      <c r="W198" s="70">
        <f>'RESUMEN TOTAL'!AD249</f>
        <v>0</v>
      </c>
      <c r="X198" s="70">
        <f>'RESUMEN TOTAL'!AE249</f>
        <v>0</v>
      </c>
      <c r="Y198" s="70">
        <f>'RESUMEN TOTAL'!AF249</f>
        <v>0</v>
      </c>
      <c r="Z198" s="70">
        <f>'RESUMEN TOTAL'!AG249</f>
        <v>0</v>
      </c>
      <c r="AA198" s="70">
        <f>'RESUMEN TOTAL'!AH249</f>
        <v>0</v>
      </c>
      <c r="AB198" s="70">
        <f>'RESUMEN TOTAL'!AI249</f>
        <v>0</v>
      </c>
      <c r="AC198" s="70">
        <f>'RESUMEN TOTAL'!AJ249</f>
        <v>0</v>
      </c>
      <c r="AD198" s="70">
        <f>'RESUMEN TOTAL'!AK249</f>
        <v>0</v>
      </c>
      <c r="AE198" s="70">
        <f>'RESUMEN TOTAL'!AL249</f>
        <v>0</v>
      </c>
      <c r="AF198" s="70">
        <f>'RESUMEN TOTAL'!AM249</f>
        <v>0</v>
      </c>
      <c r="AG198" s="70">
        <f>'RESUMEN TOTAL'!AN249</f>
        <v>0</v>
      </c>
      <c r="AH198" s="70">
        <f>'RESUMEN TOTAL'!AO249</f>
        <v>0</v>
      </c>
      <c r="AI198" s="70">
        <f>'RESUMEN TOTAL'!AP249</f>
        <v>0</v>
      </c>
      <c r="AJ198" s="70">
        <f>'RESUMEN TOTAL'!AQ249</f>
        <v>0</v>
      </c>
    </row>
    <row r="199" spans="1:36" x14ac:dyDescent="0.25">
      <c r="A199" t="str">
        <f>'RESUMEN TOTAL'!A250</f>
        <v>LAS MARGARITAS</v>
      </c>
      <c r="B199" t="str">
        <f>'RESUMEN TOTAL'!B250</f>
        <v>MAR 03(FIJA 2)</v>
      </c>
      <c r="C199" t="str">
        <f>'RESUMEN TOTAL'!D250</f>
        <v>LUJAN Y PATAGONES</v>
      </c>
      <c r="D199" s="30" t="str">
        <f>'RESUMEN TOTAL'!E250</f>
        <v>Fija</v>
      </c>
      <c r="E199" s="30" t="str">
        <f>'RESUMEN TOTAL'!F250</f>
        <v>Fibra Optica</v>
      </c>
      <c r="F199" s="70">
        <f>'RESUMEN TOTAL'!M250</f>
        <v>0</v>
      </c>
      <c r="G199" s="70">
        <f>'RESUMEN TOTAL'!N250</f>
        <v>0</v>
      </c>
      <c r="H199" s="70">
        <f>'RESUMEN TOTAL'!O250</f>
        <v>0</v>
      </c>
      <c r="I199" s="70">
        <f>'RESUMEN TOTAL'!P250</f>
        <v>0</v>
      </c>
      <c r="J199" s="70">
        <f>'RESUMEN TOTAL'!Q250</f>
        <v>0</v>
      </c>
      <c r="K199" s="70">
        <f>'RESUMEN TOTAL'!R250</f>
        <v>0</v>
      </c>
      <c r="L199" s="70">
        <f>'RESUMEN TOTAL'!S250</f>
        <v>0</v>
      </c>
      <c r="M199" s="70">
        <f>'RESUMEN TOTAL'!T250</f>
        <v>0</v>
      </c>
      <c r="N199" s="70">
        <f>'RESUMEN TOTAL'!U250</f>
        <v>0</v>
      </c>
      <c r="O199" s="70">
        <f>'RESUMEN TOTAL'!V250</f>
        <v>0</v>
      </c>
      <c r="P199" s="70">
        <f>'RESUMEN TOTAL'!W250</f>
        <v>0</v>
      </c>
      <c r="Q199" s="70">
        <f>'RESUMEN TOTAL'!X250</f>
        <v>0</v>
      </c>
      <c r="R199" s="70">
        <f>'RESUMEN TOTAL'!Y250</f>
        <v>0</v>
      </c>
      <c r="S199" s="70">
        <f>'RESUMEN TOTAL'!Z250</f>
        <v>0</v>
      </c>
      <c r="T199" s="70">
        <f>'RESUMEN TOTAL'!AA250</f>
        <v>0</v>
      </c>
      <c r="U199" s="70">
        <f>'RESUMEN TOTAL'!AB250</f>
        <v>0</v>
      </c>
      <c r="V199" s="70">
        <f>'RESUMEN TOTAL'!AC250</f>
        <v>0</v>
      </c>
      <c r="W199" s="70">
        <f>'RESUMEN TOTAL'!AD250</f>
        <v>0</v>
      </c>
      <c r="X199" s="70">
        <f>'RESUMEN TOTAL'!AE250</f>
        <v>0</v>
      </c>
      <c r="Y199" s="70">
        <f>'RESUMEN TOTAL'!AF250</f>
        <v>0</v>
      </c>
      <c r="Z199" s="70">
        <f>'RESUMEN TOTAL'!AG250</f>
        <v>0</v>
      </c>
      <c r="AA199" s="70">
        <f>'RESUMEN TOTAL'!AH250</f>
        <v>0</v>
      </c>
      <c r="AB199" s="70">
        <f>'RESUMEN TOTAL'!AI250</f>
        <v>0</v>
      </c>
      <c r="AC199" s="70">
        <f>'RESUMEN TOTAL'!AJ250</f>
        <v>0</v>
      </c>
      <c r="AD199" s="70">
        <f>'RESUMEN TOTAL'!AK250</f>
        <v>0</v>
      </c>
      <c r="AE199" s="70">
        <f>'RESUMEN TOTAL'!AL250</f>
        <v>0</v>
      </c>
      <c r="AF199" s="70">
        <f>'RESUMEN TOTAL'!AM250</f>
        <v>0</v>
      </c>
      <c r="AG199" s="70">
        <f>'RESUMEN TOTAL'!AN250</f>
        <v>0</v>
      </c>
      <c r="AH199" s="70">
        <f>'RESUMEN TOTAL'!AO250</f>
        <v>0</v>
      </c>
      <c r="AI199" s="70">
        <f>'RESUMEN TOTAL'!AP250</f>
        <v>0</v>
      </c>
      <c r="AJ199" s="70">
        <f>'RESUMEN TOTAL'!AQ250</f>
        <v>0</v>
      </c>
    </row>
    <row r="200" spans="1:36" x14ac:dyDescent="0.25">
      <c r="A200" t="str">
        <f>'RESUMEN TOTAL'!A251</f>
        <v>MAYOL</v>
      </c>
      <c r="B200" t="str">
        <f>'RESUMEN TOTAL'!B251</f>
        <v>MAY 01</v>
      </c>
      <c r="C200" t="str">
        <f>'RESUMEN TOTAL'!D251</f>
        <v>Eva Peron y Cabildo</v>
      </c>
      <c r="D200" s="30" t="str">
        <f>'RESUMEN TOTAL'!E251</f>
        <v>Domo</v>
      </c>
      <c r="E200" s="30" t="str">
        <f>'RESUMEN TOTAL'!F251</f>
        <v>GPON</v>
      </c>
      <c r="F200" s="70">
        <f>'RESUMEN TOTAL'!M251</f>
        <v>0</v>
      </c>
      <c r="G200" s="70">
        <f>'RESUMEN TOTAL'!N251</f>
        <v>0</v>
      </c>
      <c r="H200" s="70">
        <f>'RESUMEN TOTAL'!O251</f>
        <v>0</v>
      </c>
      <c r="I200" s="70">
        <f>'RESUMEN TOTAL'!P251</f>
        <v>0</v>
      </c>
      <c r="J200" s="70">
        <f>'RESUMEN TOTAL'!Q251</f>
        <v>0</v>
      </c>
      <c r="K200" s="70">
        <f>'RESUMEN TOTAL'!R251</f>
        <v>0</v>
      </c>
      <c r="L200" s="70">
        <f>'RESUMEN TOTAL'!S251</f>
        <v>0</v>
      </c>
      <c r="M200" s="70">
        <f>'RESUMEN TOTAL'!T251</f>
        <v>0</v>
      </c>
      <c r="N200" s="70">
        <f>'RESUMEN TOTAL'!U251</f>
        <v>0</v>
      </c>
      <c r="O200" s="70">
        <f>'RESUMEN TOTAL'!V251</f>
        <v>0</v>
      </c>
      <c r="P200" s="70">
        <f>'RESUMEN TOTAL'!W251</f>
        <v>0</v>
      </c>
      <c r="Q200" s="70">
        <f>'RESUMEN TOTAL'!X251</f>
        <v>0</v>
      </c>
      <c r="R200" s="70">
        <f>'RESUMEN TOTAL'!Y251</f>
        <v>0</v>
      </c>
      <c r="S200" s="70">
        <f>'RESUMEN TOTAL'!Z251</f>
        <v>0</v>
      </c>
      <c r="T200" s="70">
        <f>'RESUMEN TOTAL'!AA251</f>
        <v>0</v>
      </c>
      <c r="U200" s="70">
        <f>'RESUMEN TOTAL'!AB251</f>
        <v>0</v>
      </c>
      <c r="V200" s="70">
        <f>'RESUMEN TOTAL'!AC251</f>
        <v>0</v>
      </c>
      <c r="W200" s="70">
        <f>'RESUMEN TOTAL'!AD251</f>
        <v>0</v>
      </c>
      <c r="X200" s="70">
        <f>'RESUMEN TOTAL'!AE251</f>
        <v>0</v>
      </c>
      <c r="Y200" s="70">
        <f>'RESUMEN TOTAL'!AF251</f>
        <v>0</v>
      </c>
      <c r="Z200" s="70">
        <f>'RESUMEN TOTAL'!AG251</f>
        <v>0</v>
      </c>
      <c r="AA200" s="70">
        <f>'RESUMEN TOTAL'!AH251</f>
        <v>0</v>
      </c>
      <c r="AB200" s="70">
        <f>'RESUMEN TOTAL'!AI251</f>
        <v>0</v>
      </c>
      <c r="AC200" s="70">
        <f>'RESUMEN TOTAL'!AJ251</f>
        <v>0</v>
      </c>
      <c r="AD200" s="70">
        <f>'RESUMEN TOTAL'!AK251</f>
        <v>0</v>
      </c>
      <c r="AE200" s="70">
        <f>'RESUMEN TOTAL'!AL251</f>
        <v>0</v>
      </c>
      <c r="AF200" s="70">
        <f>'RESUMEN TOTAL'!AM251</f>
        <v>0</v>
      </c>
      <c r="AG200" s="70">
        <f>'RESUMEN TOTAL'!AN251</f>
        <v>0</v>
      </c>
      <c r="AH200" s="70">
        <f>'RESUMEN TOTAL'!AO251</f>
        <v>0</v>
      </c>
      <c r="AI200" s="70">
        <f>'RESUMEN TOTAL'!AP251</f>
        <v>0</v>
      </c>
      <c r="AJ200" s="70">
        <f>'RESUMEN TOTAL'!AQ251</f>
        <v>0</v>
      </c>
    </row>
    <row r="201" spans="1:36" x14ac:dyDescent="0.25">
      <c r="A201" t="str">
        <f>'RESUMEN TOTAL'!A252</f>
        <v>MAYOL</v>
      </c>
      <c r="B201" t="str">
        <f>'RESUMEN TOTAL'!B252</f>
        <v>MAY 02</v>
      </c>
      <c r="C201" t="str">
        <f>'RESUMEN TOTAL'!D252</f>
        <v>EVA PERON Y MONTEVIDEO</v>
      </c>
      <c r="D201" s="30" t="str">
        <f>'RESUMEN TOTAL'!E252</f>
        <v>Domo</v>
      </c>
      <c r="E201" s="30" t="str">
        <f>'RESUMEN TOTAL'!F252</f>
        <v>GPON</v>
      </c>
      <c r="F201" s="70">
        <f>'RESUMEN TOTAL'!M252</f>
        <v>0</v>
      </c>
      <c r="G201" s="70">
        <f>'RESUMEN TOTAL'!N252</f>
        <v>0</v>
      </c>
      <c r="H201" s="70">
        <f>'RESUMEN TOTAL'!O252</f>
        <v>0</v>
      </c>
      <c r="I201" s="70">
        <f>'RESUMEN TOTAL'!P252</f>
        <v>0</v>
      </c>
      <c r="J201" s="70">
        <f>'RESUMEN TOTAL'!Q252</f>
        <v>0</v>
      </c>
      <c r="K201" s="70">
        <f>'RESUMEN TOTAL'!R252</f>
        <v>0</v>
      </c>
      <c r="L201" s="70">
        <f>'RESUMEN TOTAL'!S252</f>
        <v>0</v>
      </c>
      <c r="M201" s="70">
        <f>'RESUMEN TOTAL'!T252</f>
        <v>0</v>
      </c>
      <c r="N201" s="70">
        <f>'RESUMEN TOTAL'!U252</f>
        <v>0</v>
      </c>
      <c r="O201" s="70">
        <f>'RESUMEN TOTAL'!V252</f>
        <v>0</v>
      </c>
      <c r="P201" s="70">
        <f>'RESUMEN TOTAL'!W252</f>
        <v>0</v>
      </c>
      <c r="Q201" s="70">
        <f>'RESUMEN TOTAL'!X252</f>
        <v>0</v>
      </c>
      <c r="R201" s="70">
        <f>'RESUMEN TOTAL'!Y252</f>
        <v>0</v>
      </c>
      <c r="S201" s="70">
        <f>'RESUMEN TOTAL'!Z252</f>
        <v>0</v>
      </c>
      <c r="T201" s="70">
        <f>'RESUMEN TOTAL'!AA252</f>
        <v>0</v>
      </c>
      <c r="U201" s="70">
        <f>'RESUMEN TOTAL'!AB252</f>
        <v>0</v>
      </c>
      <c r="V201" s="70">
        <f>'RESUMEN TOTAL'!AC252</f>
        <v>0</v>
      </c>
      <c r="W201" s="70">
        <f>'RESUMEN TOTAL'!AD252</f>
        <v>0</v>
      </c>
      <c r="X201" s="70">
        <f>'RESUMEN TOTAL'!AE252</f>
        <v>0</v>
      </c>
      <c r="Y201" s="70">
        <f>'RESUMEN TOTAL'!AF252</f>
        <v>0</v>
      </c>
      <c r="Z201" s="70">
        <f>'RESUMEN TOTAL'!AG252</f>
        <v>0</v>
      </c>
      <c r="AA201" s="70">
        <f>'RESUMEN TOTAL'!AH252</f>
        <v>0</v>
      </c>
      <c r="AB201" s="70">
        <f>'RESUMEN TOTAL'!AI252</f>
        <v>0</v>
      </c>
      <c r="AC201" s="70">
        <f>'RESUMEN TOTAL'!AJ252</f>
        <v>0</v>
      </c>
      <c r="AD201" s="70">
        <f>'RESUMEN TOTAL'!AK252</f>
        <v>0</v>
      </c>
      <c r="AE201" s="70">
        <f>'RESUMEN TOTAL'!AL252</f>
        <v>0</v>
      </c>
      <c r="AF201" s="70">
        <f>'RESUMEN TOTAL'!AM252</f>
        <v>0</v>
      </c>
      <c r="AG201" s="70">
        <f>'RESUMEN TOTAL'!AN252</f>
        <v>0</v>
      </c>
      <c r="AH201" s="70">
        <f>'RESUMEN TOTAL'!AO252</f>
        <v>0</v>
      </c>
      <c r="AI201" s="70">
        <f>'RESUMEN TOTAL'!AP252</f>
        <v>0</v>
      </c>
      <c r="AJ201" s="70">
        <f>'RESUMEN TOTAL'!AQ252</f>
        <v>0</v>
      </c>
    </row>
    <row r="202" spans="1:36" x14ac:dyDescent="0.25">
      <c r="A202" t="str">
        <f>'RESUMEN TOTAL'!A253</f>
        <v>MAYOL</v>
      </c>
      <c r="B202" t="str">
        <f>'RESUMEN TOTAL'!B253</f>
        <v>MAY 03</v>
      </c>
      <c r="C202" t="str">
        <f>'RESUMEN TOTAL'!D253</f>
        <v>CHAÑAR Y SAN NICOLAS</v>
      </c>
      <c r="D202" s="30" t="str">
        <f>'RESUMEN TOTAL'!E253</f>
        <v>DOMO</v>
      </c>
      <c r="E202" s="30" t="str">
        <f>'RESUMEN TOTAL'!F253</f>
        <v>PTO A FO</v>
      </c>
      <c r="F202" s="70">
        <f>'RESUMEN TOTAL'!M253</f>
        <v>0</v>
      </c>
      <c r="G202" s="70">
        <f>'RESUMEN TOTAL'!N253</f>
        <v>0</v>
      </c>
      <c r="H202" s="70">
        <f>'RESUMEN TOTAL'!O253</f>
        <v>0</v>
      </c>
      <c r="I202" s="70">
        <f>'RESUMEN TOTAL'!P253</f>
        <v>0</v>
      </c>
      <c r="J202" s="70">
        <f>'RESUMEN TOTAL'!Q253</f>
        <v>0</v>
      </c>
      <c r="K202" s="70">
        <f>'RESUMEN TOTAL'!R253</f>
        <v>0</v>
      </c>
      <c r="L202" s="70">
        <f>'RESUMEN TOTAL'!S253</f>
        <v>0</v>
      </c>
      <c r="M202" s="70">
        <f>'RESUMEN TOTAL'!T253</f>
        <v>0</v>
      </c>
      <c r="N202" s="70">
        <f>'RESUMEN TOTAL'!U253</f>
        <v>0</v>
      </c>
      <c r="O202" s="70">
        <f>'RESUMEN TOTAL'!V253</f>
        <v>0</v>
      </c>
      <c r="P202" s="70">
        <f>'RESUMEN TOTAL'!W253</f>
        <v>0</v>
      </c>
      <c r="Q202" s="70">
        <f>'RESUMEN TOTAL'!X253</f>
        <v>0</v>
      </c>
      <c r="R202" s="70">
        <f>'RESUMEN TOTAL'!Y253</f>
        <v>0</v>
      </c>
      <c r="S202" s="70">
        <f>'RESUMEN TOTAL'!Z253</f>
        <v>0</v>
      </c>
      <c r="T202" s="70">
        <f>'RESUMEN TOTAL'!AA253</f>
        <v>0</v>
      </c>
      <c r="U202" s="70">
        <f>'RESUMEN TOTAL'!AB253</f>
        <v>0</v>
      </c>
      <c r="V202" s="70">
        <f>'RESUMEN TOTAL'!AC253</f>
        <v>0</v>
      </c>
      <c r="W202" s="70">
        <f>'RESUMEN TOTAL'!AD253</f>
        <v>0</v>
      </c>
      <c r="X202" s="70">
        <f>'RESUMEN TOTAL'!AE253</f>
        <v>0</v>
      </c>
      <c r="Y202" s="70">
        <f>'RESUMEN TOTAL'!AF253</f>
        <v>0</v>
      </c>
      <c r="Z202" s="70">
        <f>'RESUMEN TOTAL'!AG253</f>
        <v>0</v>
      </c>
      <c r="AA202" s="70">
        <f>'RESUMEN TOTAL'!AH253</f>
        <v>0</v>
      </c>
      <c r="AB202" s="70">
        <f>'RESUMEN TOTAL'!AI253</f>
        <v>0</v>
      </c>
      <c r="AC202" s="70">
        <f>'RESUMEN TOTAL'!AJ253</f>
        <v>0</v>
      </c>
      <c r="AD202" s="70">
        <f>'RESUMEN TOTAL'!AK253</f>
        <v>0</v>
      </c>
      <c r="AE202" s="70">
        <f>'RESUMEN TOTAL'!AL253</f>
        <v>0</v>
      </c>
      <c r="AF202" s="70">
        <f>'RESUMEN TOTAL'!AM253</f>
        <v>0</v>
      </c>
      <c r="AG202" s="70">
        <f>'RESUMEN TOTAL'!AN253</f>
        <v>0</v>
      </c>
      <c r="AH202" s="70">
        <f>'RESUMEN TOTAL'!AO253</f>
        <v>0</v>
      </c>
      <c r="AI202" s="70">
        <f>'RESUMEN TOTAL'!AP253</f>
        <v>0</v>
      </c>
      <c r="AJ202" s="70">
        <f>'RESUMEN TOTAL'!AQ253</f>
        <v>0</v>
      </c>
    </row>
    <row r="203" spans="1:36" x14ac:dyDescent="0.25">
      <c r="A203" t="str">
        <f>'RESUMEN TOTAL'!A254</f>
        <v>MAYOL</v>
      </c>
      <c r="B203" t="str">
        <f>'RESUMEN TOTAL'!B254</f>
        <v>MAY 04</v>
      </c>
      <c r="C203" t="str">
        <f>'RESUMEN TOTAL'!D254</f>
        <v>MAR CHIQUITA Y RIO JACHAL</v>
      </c>
      <c r="D203" s="30" t="str">
        <f>'RESUMEN TOTAL'!E254</f>
        <v>DOMO</v>
      </c>
      <c r="E203" s="30" t="str">
        <f>'RESUMEN TOTAL'!F254</f>
        <v>Radio</v>
      </c>
      <c r="F203" s="70">
        <f>'RESUMEN TOTAL'!M254</f>
        <v>0</v>
      </c>
      <c r="G203" s="70">
        <f>'RESUMEN TOTAL'!N254</f>
        <v>0</v>
      </c>
      <c r="H203" s="70">
        <f>'RESUMEN TOTAL'!O254</f>
        <v>0</v>
      </c>
      <c r="I203" s="70">
        <f>'RESUMEN TOTAL'!P254</f>
        <v>0</v>
      </c>
      <c r="J203" s="70">
        <f>'RESUMEN TOTAL'!Q254</f>
        <v>0</v>
      </c>
      <c r="K203" s="70">
        <f>'RESUMEN TOTAL'!R254</f>
        <v>0</v>
      </c>
      <c r="L203" s="70">
        <f>'RESUMEN TOTAL'!S254</f>
        <v>0</v>
      </c>
      <c r="M203" s="70">
        <f>'RESUMEN TOTAL'!T254</f>
        <v>0</v>
      </c>
      <c r="N203" s="70">
        <f>'RESUMEN TOTAL'!U254</f>
        <v>0</v>
      </c>
      <c r="O203" s="70">
        <f>'RESUMEN TOTAL'!V254</f>
        <v>0</v>
      </c>
      <c r="P203" s="70">
        <f>'RESUMEN TOTAL'!W254</f>
        <v>0</v>
      </c>
      <c r="Q203" s="70">
        <f>'RESUMEN TOTAL'!X254</f>
        <v>0</v>
      </c>
      <c r="R203" s="70">
        <f>'RESUMEN TOTAL'!Y254</f>
        <v>0</v>
      </c>
      <c r="S203" s="70">
        <f>'RESUMEN TOTAL'!Z254</f>
        <v>0</v>
      </c>
      <c r="T203" s="70">
        <f>'RESUMEN TOTAL'!AA254</f>
        <v>0</v>
      </c>
      <c r="U203" s="70">
        <f>'RESUMEN TOTAL'!AB254</f>
        <v>0</v>
      </c>
      <c r="V203" s="70">
        <f>'RESUMEN TOTAL'!AC254</f>
        <v>0</v>
      </c>
      <c r="W203" s="70">
        <f>'RESUMEN TOTAL'!AD254</f>
        <v>0</v>
      </c>
      <c r="X203" s="70">
        <f>'RESUMEN TOTAL'!AE254</f>
        <v>0</v>
      </c>
      <c r="Y203" s="70">
        <f>'RESUMEN TOTAL'!AF254</f>
        <v>0</v>
      </c>
      <c r="Z203" s="70">
        <f>'RESUMEN TOTAL'!AG254</f>
        <v>0</v>
      </c>
      <c r="AA203" s="70">
        <f>'RESUMEN TOTAL'!AH254</f>
        <v>0</v>
      </c>
      <c r="AB203" s="70">
        <f>'RESUMEN TOTAL'!AI254</f>
        <v>0</v>
      </c>
      <c r="AC203" s="70">
        <f>'RESUMEN TOTAL'!AJ254</f>
        <v>0</v>
      </c>
      <c r="AD203" s="70">
        <f>'RESUMEN TOTAL'!AK254</f>
        <v>0</v>
      </c>
      <c r="AE203" s="70">
        <f>'RESUMEN TOTAL'!AL254</f>
        <v>0</v>
      </c>
      <c r="AF203" s="70">
        <f>'RESUMEN TOTAL'!AM254</f>
        <v>0</v>
      </c>
      <c r="AG203" s="70">
        <f>'RESUMEN TOTAL'!AN254</f>
        <v>0</v>
      </c>
      <c r="AH203" s="70">
        <f>'RESUMEN TOTAL'!AO254</f>
        <v>0</v>
      </c>
      <c r="AI203" s="70">
        <f>'RESUMEN TOTAL'!AP254</f>
        <v>0</v>
      </c>
      <c r="AJ203" s="70">
        <f>'RESUMEN TOTAL'!AQ254</f>
        <v>0</v>
      </c>
    </row>
    <row r="204" spans="1:36" x14ac:dyDescent="0.25">
      <c r="A204">
        <f>'RESUMEN TOTAL'!A255</f>
        <v>0</v>
      </c>
      <c r="B204" t="str">
        <f>'RESUMEN TOTAL'!B255</f>
        <v>MCUD 01</v>
      </c>
      <c r="C204" t="str">
        <f>'RESUMEN TOTAL'!D255</f>
        <v>TINOGASTA Y SAN LORENZO</v>
      </c>
      <c r="D204" s="30" t="str">
        <f>'RESUMEN TOTAL'!E255</f>
        <v>Domo</v>
      </c>
      <c r="E204" s="30" t="str">
        <f>'RESUMEN TOTAL'!F255</f>
        <v>Fibra Optica</v>
      </c>
      <c r="F204" s="70">
        <f>'RESUMEN TOTAL'!M255</f>
        <v>0</v>
      </c>
      <c r="G204" s="70">
        <f>'RESUMEN TOTAL'!N255</f>
        <v>0</v>
      </c>
      <c r="H204" s="70">
        <f>'RESUMEN TOTAL'!O255</f>
        <v>0</v>
      </c>
      <c r="I204" s="70">
        <f>'RESUMEN TOTAL'!P255</f>
        <v>0</v>
      </c>
      <c r="J204" s="70">
        <f>'RESUMEN TOTAL'!Q255</f>
        <v>0</v>
      </c>
      <c r="K204" s="70">
        <f>'RESUMEN TOTAL'!R255</f>
        <v>0</v>
      </c>
      <c r="L204" s="70">
        <f>'RESUMEN TOTAL'!S255</f>
        <v>0</v>
      </c>
      <c r="M204" s="70">
        <f>'RESUMEN TOTAL'!T255</f>
        <v>0</v>
      </c>
      <c r="N204" s="70">
        <f>'RESUMEN TOTAL'!U255</f>
        <v>0</v>
      </c>
      <c r="O204" s="70">
        <f>'RESUMEN TOTAL'!V255</f>
        <v>0</v>
      </c>
      <c r="P204" s="70">
        <f>'RESUMEN TOTAL'!W255</f>
        <v>0</v>
      </c>
      <c r="Q204" s="70">
        <f>'RESUMEN TOTAL'!X255</f>
        <v>0</v>
      </c>
      <c r="R204" s="70">
        <f>'RESUMEN TOTAL'!Y255</f>
        <v>0</v>
      </c>
      <c r="S204" s="70">
        <f>'RESUMEN TOTAL'!Z255</f>
        <v>0</v>
      </c>
      <c r="T204" s="70">
        <f>'RESUMEN TOTAL'!AA255</f>
        <v>0</v>
      </c>
      <c r="U204" s="70">
        <f>'RESUMEN TOTAL'!AB255</f>
        <v>0</v>
      </c>
      <c r="V204" s="70">
        <f>'RESUMEN TOTAL'!AC255</f>
        <v>0</v>
      </c>
      <c r="W204" s="70">
        <f>'RESUMEN TOTAL'!AD255</f>
        <v>0</v>
      </c>
      <c r="X204" s="70">
        <f>'RESUMEN TOTAL'!AE255</f>
        <v>0</v>
      </c>
      <c r="Y204" s="70">
        <f>'RESUMEN TOTAL'!AF255</f>
        <v>0</v>
      </c>
      <c r="Z204" s="70">
        <f>'RESUMEN TOTAL'!AG255</f>
        <v>0</v>
      </c>
      <c r="AA204" s="70">
        <f>'RESUMEN TOTAL'!AH255</f>
        <v>0</v>
      </c>
      <c r="AB204" s="70">
        <f>'RESUMEN TOTAL'!AI255</f>
        <v>0</v>
      </c>
      <c r="AC204" s="70">
        <f>'RESUMEN TOTAL'!AJ255</f>
        <v>0</v>
      </c>
      <c r="AD204" s="70">
        <f>'RESUMEN TOTAL'!AK255</f>
        <v>0</v>
      </c>
      <c r="AE204" s="70">
        <f>'RESUMEN TOTAL'!AL255</f>
        <v>0</v>
      </c>
      <c r="AF204" s="70">
        <f>'RESUMEN TOTAL'!AM255</f>
        <v>0</v>
      </c>
      <c r="AG204" s="70">
        <f>'RESUMEN TOTAL'!AN255</f>
        <v>0</v>
      </c>
      <c r="AH204" s="70">
        <f>'RESUMEN TOTAL'!AO255</f>
        <v>0</v>
      </c>
      <c r="AI204" s="70">
        <f>'RESUMEN TOTAL'!AP255</f>
        <v>0</v>
      </c>
      <c r="AJ204" s="70">
        <f>'RESUMEN TOTAL'!AQ255</f>
        <v>0</v>
      </c>
    </row>
    <row r="205" spans="1:36" x14ac:dyDescent="0.25">
      <c r="A205">
        <f>'RESUMEN TOTAL'!A256</f>
        <v>0</v>
      </c>
      <c r="B205" t="str">
        <f>'RESUMEN TOTAL'!B256</f>
        <v>MCUD 02</v>
      </c>
      <c r="C205" t="str">
        <f>'RESUMEN TOTAL'!D256</f>
        <v>CALLE 115 A Y 158</v>
      </c>
      <c r="D205" s="30" t="str">
        <f>'RESUMEN TOTAL'!E256</f>
        <v>DOMO</v>
      </c>
      <c r="E205" s="30" t="str">
        <f>'RESUMEN TOTAL'!F256</f>
        <v>Fibra Optica</v>
      </c>
      <c r="F205" s="70">
        <f>'RESUMEN TOTAL'!M256</f>
        <v>0</v>
      </c>
      <c r="G205" s="70">
        <f>'RESUMEN TOTAL'!N256</f>
        <v>0</v>
      </c>
      <c r="H205" s="70">
        <f>'RESUMEN TOTAL'!O256</f>
        <v>0</v>
      </c>
      <c r="I205" s="70">
        <f>'RESUMEN TOTAL'!P256</f>
        <v>0</v>
      </c>
      <c r="J205" s="70">
        <f>'RESUMEN TOTAL'!Q256</f>
        <v>0</v>
      </c>
      <c r="K205" s="70">
        <f>'RESUMEN TOTAL'!R256</f>
        <v>0</v>
      </c>
      <c r="L205" s="70">
        <f>'RESUMEN TOTAL'!S256</f>
        <v>0</v>
      </c>
      <c r="M205" s="70">
        <f>'RESUMEN TOTAL'!T256</f>
        <v>0</v>
      </c>
      <c r="N205" s="70">
        <f>'RESUMEN TOTAL'!U256</f>
        <v>0</v>
      </c>
      <c r="O205" s="70">
        <f>'RESUMEN TOTAL'!V256</f>
        <v>0</v>
      </c>
      <c r="P205" s="70">
        <f>'RESUMEN TOTAL'!W256</f>
        <v>0</v>
      </c>
      <c r="Q205" s="70">
        <f>'RESUMEN TOTAL'!X256</f>
        <v>0</v>
      </c>
      <c r="R205" s="70">
        <f>'RESUMEN TOTAL'!Y256</f>
        <v>0</v>
      </c>
      <c r="S205" s="70">
        <f>'RESUMEN TOTAL'!Z256</f>
        <v>0</v>
      </c>
      <c r="T205" s="70">
        <f>'RESUMEN TOTAL'!AA256</f>
        <v>0</v>
      </c>
      <c r="U205" s="70">
        <f>'RESUMEN TOTAL'!AB256</f>
        <v>0</v>
      </c>
      <c r="V205" s="70">
        <f>'RESUMEN TOTAL'!AC256</f>
        <v>0</v>
      </c>
      <c r="W205" s="70">
        <f>'RESUMEN TOTAL'!AD256</f>
        <v>0</v>
      </c>
      <c r="X205" s="70">
        <f>'RESUMEN TOTAL'!AE256</f>
        <v>0</v>
      </c>
      <c r="Y205" s="70">
        <f>'RESUMEN TOTAL'!AF256</f>
        <v>0</v>
      </c>
      <c r="Z205" s="70">
        <f>'RESUMEN TOTAL'!AG256</f>
        <v>0</v>
      </c>
      <c r="AA205" s="70">
        <f>'RESUMEN TOTAL'!AH256</f>
        <v>0</v>
      </c>
      <c r="AB205" s="70">
        <f>'RESUMEN TOTAL'!AI256</f>
        <v>0</v>
      </c>
      <c r="AC205" s="70">
        <f>'RESUMEN TOTAL'!AJ256</f>
        <v>0</v>
      </c>
      <c r="AD205" s="70">
        <f>'RESUMEN TOTAL'!AK256</f>
        <v>0</v>
      </c>
      <c r="AE205" s="70">
        <f>'RESUMEN TOTAL'!AL256</f>
        <v>0</v>
      </c>
      <c r="AF205" s="70">
        <f>'RESUMEN TOTAL'!AM256</f>
        <v>0</v>
      </c>
      <c r="AG205" s="70">
        <f>'RESUMEN TOTAL'!AN256</f>
        <v>0</v>
      </c>
      <c r="AH205" s="70">
        <f>'RESUMEN TOTAL'!AO256</f>
        <v>0</v>
      </c>
      <c r="AI205" s="70">
        <f>'RESUMEN TOTAL'!AP256</f>
        <v>0</v>
      </c>
      <c r="AJ205" s="70">
        <f>'RESUMEN TOTAL'!AQ256</f>
        <v>0</v>
      </c>
    </row>
    <row r="206" spans="1:36" x14ac:dyDescent="0.25">
      <c r="A206" t="str">
        <f>'RESUMEN TOTAL'!A257</f>
        <v>MARTIN FIERRO</v>
      </c>
      <c r="B206" t="str">
        <f>'RESUMEN TOTAL'!B257</f>
        <v>MFI 01</v>
      </c>
      <c r="C206" t="str">
        <f>'RESUMEN TOTAL'!D257</f>
        <v>Belgrano y Sgto. Cabral</v>
      </c>
      <c r="D206" s="30" t="str">
        <f>'RESUMEN TOTAL'!E257</f>
        <v>Fija</v>
      </c>
      <c r="E206" s="30" t="str">
        <f>'RESUMEN TOTAL'!F257</f>
        <v>GPON</v>
      </c>
      <c r="F206" s="70">
        <f>'RESUMEN TOTAL'!M257</f>
        <v>0</v>
      </c>
      <c r="G206" s="70">
        <f>'RESUMEN TOTAL'!N257</f>
        <v>0</v>
      </c>
      <c r="H206" s="70">
        <f>'RESUMEN TOTAL'!O257</f>
        <v>0</v>
      </c>
      <c r="I206" s="70">
        <f>'RESUMEN TOTAL'!P257</f>
        <v>0</v>
      </c>
      <c r="J206" s="70">
        <f>'RESUMEN TOTAL'!Q257</f>
        <v>0</v>
      </c>
      <c r="K206" s="70">
        <f>'RESUMEN TOTAL'!R257</f>
        <v>0</v>
      </c>
      <c r="L206" s="70">
        <f>'RESUMEN TOTAL'!S257</f>
        <v>0</v>
      </c>
      <c r="M206" s="70">
        <f>'RESUMEN TOTAL'!T257</f>
        <v>0</v>
      </c>
      <c r="N206" s="70">
        <f>'RESUMEN TOTAL'!U257</f>
        <v>0</v>
      </c>
      <c r="O206" s="70">
        <f>'RESUMEN TOTAL'!V257</f>
        <v>0</v>
      </c>
      <c r="P206" s="70">
        <f>'RESUMEN TOTAL'!W257</f>
        <v>0</v>
      </c>
      <c r="Q206" s="70">
        <f>'RESUMEN TOTAL'!X257</f>
        <v>0</v>
      </c>
      <c r="R206" s="70">
        <f>'RESUMEN TOTAL'!Y257</f>
        <v>0</v>
      </c>
      <c r="S206" s="70">
        <f>'RESUMEN TOTAL'!Z257</f>
        <v>0</v>
      </c>
      <c r="T206" s="70">
        <f>'RESUMEN TOTAL'!AA257</f>
        <v>0</v>
      </c>
      <c r="U206" s="70">
        <f>'RESUMEN TOTAL'!AB257</f>
        <v>0</v>
      </c>
      <c r="V206" s="70">
        <f>'RESUMEN TOTAL'!AC257</f>
        <v>0</v>
      </c>
      <c r="W206" s="70">
        <f>'RESUMEN TOTAL'!AD257</f>
        <v>0</v>
      </c>
      <c r="X206" s="70">
        <f>'RESUMEN TOTAL'!AE257</f>
        <v>0</v>
      </c>
      <c r="Y206" s="70">
        <f>'RESUMEN TOTAL'!AF257</f>
        <v>0</v>
      </c>
      <c r="Z206" s="70">
        <f>'RESUMEN TOTAL'!AG257</f>
        <v>0</v>
      </c>
      <c r="AA206" s="70">
        <f>'RESUMEN TOTAL'!AH257</f>
        <v>0</v>
      </c>
      <c r="AB206" s="70">
        <f>'RESUMEN TOTAL'!AI257</f>
        <v>0</v>
      </c>
      <c r="AC206" s="70">
        <f>'RESUMEN TOTAL'!AJ257</f>
        <v>0</v>
      </c>
      <c r="AD206" s="70">
        <f>'RESUMEN TOTAL'!AK257</f>
        <v>0</v>
      </c>
      <c r="AE206" s="70">
        <f>'RESUMEN TOTAL'!AL257</f>
        <v>0</v>
      </c>
      <c r="AF206" s="70">
        <f>'RESUMEN TOTAL'!AM257</f>
        <v>0</v>
      </c>
      <c r="AG206" s="70">
        <f>'RESUMEN TOTAL'!AN257</f>
        <v>0</v>
      </c>
      <c r="AH206" s="70">
        <f>'RESUMEN TOTAL'!AO257</f>
        <v>0</v>
      </c>
      <c r="AI206" s="70">
        <f>'RESUMEN TOTAL'!AP257</f>
        <v>0</v>
      </c>
      <c r="AJ206" s="70">
        <f>'RESUMEN TOTAL'!AQ257</f>
        <v>0</v>
      </c>
    </row>
    <row r="207" spans="1:36" x14ac:dyDescent="0.25">
      <c r="A207" t="str">
        <f>'RESUMEN TOTAL'!A258</f>
        <v>LOPEZ ROMERO</v>
      </c>
      <c r="B207" t="str">
        <f>'RESUMEN TOTAL'!B258</f>
        <v>MFI02</v>
      </c>
      <c r="C207" t="str">
        <f>'RESUMEN TOTAL'!D258</f>
        <v>Calchaqui y Balcarce</v>
      </c>
      <c r="D207" s="30" t="str">
        <f>'RESUMEN TOTAL'!E258</f>
        <v>Fija</v>
      </c>
      <c r="E207" s="30" t="str">
        <f>'RESUMEN TOTAL'!F258</f>
        <v>Fibra Optica</v>
      </c>
      <c r="F207" s="70">
        <f>'RESUMEN TOTAL'!M258</f>
        <v>0</v>
      </c>
      <c r="G207" s="70">
        <f>'RESUMEN TOTAL'!N258</f>
        <v>0</v>
      </c>
      <c r="H207" s="70">
        <f>'RESUMEN TOTAL'!O258</f>
        <v>0</v>
      </c>
      <c r="I207" s="70">
        <f>'RESUMEN TOTAL'!P258</f>
        <v>0</v>
      </c>
      <c r="J207" s="70">
        <f>'RESUMEN TOTAL'!Q258</f>
        <v>0</v>
      </c>
      <c r="K207" s="70">
        <f>'RESUMEN TOTAL'!R258</f>
        <v>0</v>
      </c>
      <c r="L207" s="70">
        <f>'RESUMEN TOTAL'!S258</f>
        <v>0</v>
      </c>
      <c r="M207" s="70">
        <f>'RESUMEN TOTAL'!T258</f>
        <v>0</v>
      </c>
      <c r="N207" s="70">
        <f>'RESUMEN TOTAL'!U258</f>
        <v>0</v>
      </c>
      <c r="O207" s="70">
        <f>'RESUMEN TOTAL'!V258</f>
        <v>0</v>
      </c>
      <c r="P207" s="70">
        <f>'RESUMEN TOTAL'!W258</f>
        <v>0</v>
      </c>
      <c r="Q207" s="70">
        <f>'RESUMEN TOTAL'!X258</f>
        <v>0</v>
      </c>
      <c r="R207" s="70">
        <f>'RESUMEN TOTAL'!Y258</f>
        <v>0</v>
      </c>
      <c r="S207" s="70">
        <f>'RESUMEN TOTAL'!Z258</f>
        <v>0</v>
      </c>
      <c r="T207" s="70">
        <f>'RESUMEN TOTAL'!AA258</f>
        <v>0</v>
      </c>
      <c r="U207" s="70">
        <f>'RESUMEN TOTAL'!AB258</f>
        <v>0</v>
      </c>
      <c r="V207" s="70">
        <f>'RESUMEN TOTAL'!AC258</f>
        <v>0</v>
      </c>
      <c r="W207" s="70">
        <f>'RESUMEN TOTAL'!AD258</f>
        <v>0</v>
      </c>
      <c r="X207" s="70">
        <f>'RESUMEN TOTAL'!AE258</f>
        <v>0</v>
      </c>
      <c r="Y207" s="70">
        <f>'RESUMEN TOTAL'!AF258</f>
        <v>0</v>
      </c>
      <c r="Z207" s="70">
        <f>'RESUMEN TOTAL'!AG258</f>
        <v>0</v>
      </c>
      <c r="AA207" s="70">
        <f>'RESUMEN TOTAL'!AH258</f>
        <v>0</v>
      </c>
      <c r="AB207" s="70">
        <f>'RESUMEN TOTAL'!AI258</f>
        <v>0</v>
      </c>
      <c r="AC207" s="70">
        <f>'RESUMEN TOTAL'!AJ258</f>
        <v>0</v>
      </c>
      <c r="AD207" s="70">
        <f>'RESUMEN TOTAL'!AK258</f>
        <v>0</v>
      </c>
      <c r="AE207" s="70">
        <f>'RESUMEN TOTAL'!AL258</f>
        <v>0</v>
      </c>
      <c r="AF207" s="70">
        <f>'RESUMEN TOTAL'!AM258</f>
        <v>0</v>
      </c>
      <c r="AG207" s="70">
        <f>'RESUMEN TOTAL'!AN258</f>
        <v>0</v>
      </c>
      <c r="AH207" s="70">
        <f>'RESUMEN TOTAL'!AO258</f>
        <v>0</v>
      </c>
      <c r="AI207" s="70">
        <f>'RESUMEN TOTAL'!AP258</f>
        <v>0</v>
      </c>
      <c r="AJ207" s="70">
        <f>'RESUMEN TOTAL'!AQ258</f>
        <v>0</v>
      </c>
    </row>
    <row r="208" spans="1:36" x14ac:dyDescent="0.25">
      <c r="A208" t="str">
        <f>'RESUMEN TOTAL'!A259</f>
        <v>SAN EMILIO</v>
      </c>
      <c r="B208" t="str">
        <f>'RESUMEN TOTAL'!B259</f>
        <v>MFI 03</v>
      </c>
      <c r="C208" t="str">
        <f>'RESUMEN TOTAL'!D259</f>
        <v>Cno. Gral. Belgrano y Av. del Trabajo</v>
      </c>
      <c r="D208" s="30" t="str">
        <f>'RESUMEN TOTAL'!E259</f>
        <v>Domo</v>
      </c>
      <c r="E208" s="30" t="str">
        <f>'RESUMEN TOTAL'!F259</f>
        <v>Fibra Optica</v>
      </c>
      <c r="F208" s="70">
        <f>'RESUMEN TOTAL'!M259</f>
        <v>0</v>
      </c>
      <c r="G208" s="70">
        <f>'RESUMEN TOTAL'!N259</f>
        <v>0</v>
      </c>
      <c r="H208" s="70">
        <f>'RESUMEN TOTAL'!O259</f>
        <v>0</v>
      </c>
      <c r="I208" s="70">
        <f>'RESUMEN TOTAL'!P259</f>
        <v>0</v>
      </c>
      <c r="J208" s="70">
        <f>'RESUMEN TOTAL'!Q259</f>
        <v>0</v>
      </c>
      <c r="K208" s="70">
        <f>'RESUMEN TOTAL'!R259</f>
        <v>0</v>
      </c>
      <c r="L208" s="70">
        <f>'RESUMEN TOTAL'!S259</f>
        <v>0</v>
      </c>
      <c r="M208" s="70">
        <f>'RESUMEN TOTAL'!T259</f>
        <v>0</v>
      </c>
      <c r="N208" s="70">
        <f>'RESUMEN TOTAL'!U259</f>
        <v>0</v>
      </c>
      <c r="O208" s="70">
        <f>'RESUMEN TOTAL'!V259</f>
        <v>0</v>
      </c>
      <c r="P208" s="70">
        <f>'RESUMEN TOTAL'!W259</f>
        <v>0</v>
      </c>
      <c r="Q208" s="70">
        <f>'RESUMEN TOTAL'!X259</f>
        <v>0</v>
      </c>
      <c r="R208" s="70">
        <f>'RESUMEN TOTAL'!Y259</f>
        <v>0</v>
      </c>
      <c r="S208" s="70">
        <f>'RESUMEN TOTAL'!Z259</f>
        <v>0</v>
      </c>
      <c r="T208" s="70">
        <f>'RESUMEN TOTAL'!AA259</f>
        <v>0</v>
      </c>
      <c r="U208" s="70">
        <f>'RESUMEN TOTAL'!AB259</f>
        <v>0</v>
      </c>
      <c r="V208" s="70">
        <f>'RESUMEN TOTAL'!AC259</f>
        <v>0</v>
      </c>
      <c r="W208" s="70">
        <f>'RESUMEN TOTAL'!AD259</f>
        <v>0</v>
      </c>
      <c r="X208" s="70">
        <f>'RESUMEN TOTAL'!AE259</f>
        <v>0</v>
      </c>
      <c r="Y208" s="70">
        <f>'RESUMEN TOTAL'!AF259</f>
        <v>0</v>
      </c>
      <c r="Z208" s="70">
        <f>'RESUMEN TOTAL'!AG259</f>
        <v>0</v>
      </c>
      <c r="AA208" s="70">
        <f>'RESUMEN TOTAL'!AH259</f>
        <v>0</v>
      </c>
      <c r="AB208" s="70">
        <f>'RESUMEN TOTAL'!AI259</f>
        <v>0</v>
      </c>
      <c r="AC208" s="70">
        <f>'RESUMEN TOTAL'!AJ259</f>
        <v>0</v>
      </c>
      <c r="AD208" s="70">
        <f>'RESUMEN TOTAL'!AK259</f>
        <v>0</v>
      </c>
      <c r="AE208" s="70">
        <f>'RESUMEN TOTAL'!AL259</f>
        <v>0</v>
      </c>
      <c r="AF208" s="70">
        <f>'RESUMEN TOTAL'!AM259</f>
        <v>0</v>
      </c>
      <c r="AG208" s="70">
        <f>'RESUMEN TOTAL'!AN259</f>
        <v>0</v>
      </c>
      <c r="AH208" s="70">
        <f>'RESUMEN TOTAL'!AO259</f>
        <v>0</v>
      </c>
      <c r="AI208" s="70">
        <f>'RESUMEN TOTAL'!AP259</f>
        <v>0</v>
      </c>
      <c r="AJ208" s="70">
        <f>'RESUMEN TOTAL'!AQ259</f>
        <v>0</v>
      </c>
    </row>
    <row r="209" spans="1:36" x14ac:dyDescent="0.25">
      <c r="A209" t="str">
        <f>'RESUMEN TOTAL'!A260</f>
        <v>MARTIN FIERRO</v>
      </c>
      <c r="B209" t="str">
        <f>'RESUMEN TOTAL'!B260</f>
        <v>MFI04</v>
      </c>
      <c r="C209" t="str">
        <f>'RESUMEN TOTAL'!D260</f>
        <v>Calchaqui y balcarce</v>
      </c>
      <c r="D209" s="30" t="str">
        <f>'RESUMEN TOTAL'!E260</f>
        <v>Domo</v>
      </c>
      <c r="E209" s="30" t="str">
        <f>'RESUMEN TOTAL'!F260</f>
        <v>Fibra Optica</v>
      </c>
      <c r="F209" s="70">
        <f>'RESUMEN TOTAL'!M260</f>
        <v>0</v>
      </c>
      <c r="G209" s="70">
        <f>'RESUMEN TOTAL'!N260</f>
        <v>0</v>
      </c>
      <c r="H209" s="70">
        <f>'RESUMEN TOTAL'!O260</f>
        <v>0</v>
      </c>
      <c r="I209" s="70">
        <f>'RESUMEN TOTAL'!P260</f>
        <v>0</v>
      </c>
      <c r="J209" s="70">
        <f>'RESUMEN TOTAL'!Q260</f>
        <v>0</v>
      </c>
      <c r="K209" s="70">
        <f>'RESUMEN TOTAL'!R260</f>
        <v>0</v>
      </c>
      <c r="L209" s="70">
        <f>'RESUMEN TOTAL'!S260</f>
        <v>0</v>
      </c>
      <c r="M209" s="70">
        <f>'RESUMEN TOTAL'!T260</f>
        <v>0</v>
      </c>
      <c r="N209" s="70">
        <f>'RESUMEN TOTAL'!U260</f>
        <v>0</v>
      </c>
      <c r="O209" s="70">
        <f>'RESUMEN TOTAL'!V260</f>
        <v>0</v>
      </c>
      <c r="P209" s="70">
        <f>'RESUMEN TOTAL'!W260</f>
        <v>0</v>
      </c>
      <c r="Q209" s="70">
        <f>'RESUMEN TOTAL'!X260</f>
        <v>0</v>
      </c>
      <c r="R209" s="70">
        <f>'RESUMEN TOTAL'!Y260</f>
        <v>0</v>
      </c>
      <c r="S209" s="70">
        <f>'RESUMEN TOTAL'!Z260</f>
        <v>0</v>
      </c>
      <c r="T209" s="70">
        <f>'RESUMEN TOTAL'!AA260</f>
        <v>0</v>
      </c>
      <c r="U209" s="70">
        <f>'RESUMEN TOTAL'!AB260</f>
        <v>0</v>
      </c>
      <c r="V209" s="70">
        <f>'RESUMEN TOTAL'!AC260</f>
        <v>0</v>
      </c>
      <c r="W209" s="70">
        <f>'RESUMEN TOTAL'!AD260</f>
        <v>0</v>
      </c>
      <c r="X209" s="70">
        <f>'RESUMEN TOTAL'!AE260</f>
        <v>0</v>
      </c>
      <c r="Y209" s="70">
        <f>'RESUMEN TOTAL'!AF260</f>
        <v>0</v>
      </c>
      <c r="Z209" s="70">
        <f>'RESUMEN TOTAL'!AG260</f>
        <v>0</v>
      </c>
      <c r="AA209" s="70">
        <f>'RESUMEN TOTAL'!AH260</f>
        <v>0</v>
      </c>
      <c r="AB209" s="70">
        <f>'RESUMEN TOTAL'!AI260</f>
        <v>0</v>
      </c>
      <c r="AC209" s="70">
        <f>'RESUMEN TOTAL'!AJ260</f>
        <v>0</v>
      </c>
      <c r="AD209" s="70">
        <f>'RESUMEN TOTAL'!AK260</f>
        <v>0</v>
      </c>
      <c r="AE209" s="70">
        <f>'RESUMEN TOTAL'!AL260</f>
        <v>0</v>
      </c>
      <c r="AF209" s="70">
        <f>'RESUMEN TOTAL'!AM260</f>
        <v>0</v>
      </c>
      <c r="AG209" s="70">
        <f>'RESUMEN TOTAL'!AN260</f>
        <v>0</v>
      </c>
      <c r="AH209" s="70">
        <f>'RESUMEN TOTAL'!AO260</f>
        <v>0</v>
      </c>
      <c r="AI209" s="70">
        <f>'RESUMEN TOTAL'!AP260</f>
        <v>0</v>
      </c>
      <c r="AJ209" s="70">
        <f>'RESUMEN TOTAL'!AQ260</f>
        <v>0</v>
      </c>
    </row>
    <row r="210" spans="1:36" x14ac:dyDescent="0.25">
      <c r="A210" t="str">
        <f>'RESUMEN TOTAL'!A261</f>
        <v>SAN EMILIO</v>
      </c>
      <c r="B210" t="str">
        <f>'RESUMEN TOTAL'!B261</f>
        <v>MFI 05</v>
      </c>
      <c r="C210" t="str">
        <f>'RESUMEN TOTAL'!D261</f>
        <v>Cno. Gral. Belgrano y Guayaquil</v>
      </c>
      <c r="D210" s="30" t="str">
        <f>'RESUMEN TOTAL'!E261</f>
        <v>Domo</v>
      </c>
      <c r="E210" s="30" t="str">
        <f>'RESUMEN TOTAL'!F261</f>
        <v>Fibra Optica</v>
      </c>
      <c r="F210" s="70">
        <f>'RESUMEN TOTAL'!M261</f>
        <v>0</v>
      </c>
      <c r="G210" s="70">
        <f>'RESUMEN TOTAL'!N261</f>
        <v>0</v>
      </c>
      <c r="H210" s="70">
        <f>'RESUMEN TOTAL'!O261</f>
        <v>0</v>
      </c>
      <c r="I210" s="70">
        <f>'RESUMEN TOTAL'!P261</f>
        <v>0</v>
      </c>
      <c r="J210" s="70">
        <f>'RESUMEN TOTAL'!Q261</f>
        <v>0</v>
      </c>
      <c r="K210" s="70">
        <f>'RESUMEN TOTAL'!R261</f>
        <v>0</v>
      </c>
      <c r="L210" s="70">
        <f>'RESUMEN TOTAL'!S261</f>
        <v>0</v>
      </c>
      <c r="M210" s="70">
        <f>'RESUMEN TOTAL'!T261</f>
        <v>0</v>
      </c>
      <c r="N210" s="70">
        <f>'RESUMEN TOTAL'!U261</f>
        <v>0</v>
      </c>
      <c r="O210" s="70">
        <f>'RESUMEN TOTAL'!V261</f>
        <v>0</v>
      </c>
      <c r="P210" s="70">
        <f>'RESUMEN TOTAL'!W261</f>
        <v>0</v>
      </c>
      <c r="Q210" s="70">
        <f>'RESUMEN TOTAL'!X261</f>
        <v>0</v>
      </c>
      <c r="R210" s="70">
        <f>'RESUMEN TOTAL'!Y261</f>
        <v>0</v>
      </c>
      <c r="S210" s="70">
        <f>'RESUMEN TOTAL'!Z261</f>
        <v>0</v>
      </c>
      <c r="T210" s="70">
        <f>'RESUMEN TOTAL'!AA261</f>
        <v>0</v>
      </c>
      <c r="U210" s="70">
        <f>'RESUMEN TOTAL'!AB261</f>
        <v>0</v>
      </c>
      <c r="V210" s="70">
        <f>'RESUMEN TOTAL'!AC261</f>
        <v>0</v>
      </c>
      <c r="W210" s="70">
        <f>'RESUMEN TOTAL'!AD261</f>
        <v>0</v>
      </c>
      <c r="X210" s="70">
        <f>'RESUMEN TOTAL'!AE261</f>
        <v>0</v>
      </c>
      <c r="Y210" s="70">
        <f>'RESUMEN TOTAL'!AF261</f>
        <v>0</v>
      </c>
      <c r="Z210" s="70">
        <f>'RESUMEN TOTAL'!AG261</f>
        <v>0</v>
      </c>
      <c r="AA210" s="70">
        <f>'RESUMEN TOTAL'!AH261</f>
        <v>0</v>
      </c>
      <c r="AB210" s="70">
        <f>'RESUMEN TOTAL'!AI261</f>
        <v>0</v>
      </c>
      <c r="AC210" s="70">
        <f>'RESUMEN TOTAL'!AJ261</f>
        <v>0</v>
      </c>
      <c r="AD210" s="70">
        <f>'RESUMEN TOTAL'!AK261</f>
        <v>0</v>
      </c>
      <c r="AE210" s="70">
        <f>'RESUMEN TOTAL'!AL261</f>
        <v>0</v>
      </c>
      <c r="AF210" s="70">
        <f>'RESUMEN TOTAL'!AM261</f>
        <v>0</v>
      </c>
      <c r="AG210" s="70">
        <f>'RESUMEN TOTAL'!AN261</f>
        <v>0</v>
      </c>
      <c r="AH210" s="70">
        <f>'RESUMEN TOTAL'!AO261</f>
        <v>0</v>
      </c>
      <c r="AI210" s="70">
        <f>'RESUMEN TOTAL'!AP261</f>
        <v>0</v>
      </c>
      <c r="AJ210" s="70">
        <f>'RESUMEN TOTAL'!AQ261</f>
        <v>0</v>
      </c>
    </row>
    <row r="211" spans="1:36" x14ac:dyDescent="0.25">
      <c r="A211" t="str">
        <f>'RESUMEN TOTAL'!A262</f>
        <v>SAN EMILIO</v>
      </c>
      <c r="B211" t="str">
        <f>'RESUMEN TOTAL'!B262</f>
        <v>MFI06</v>
      </c>
      <c r="C211" t="str">
        <f>'RESUMEN TOTAL'!D262</f>
        <v>Con. Gral. Belgrano y Bombero Galarza</v>
      </c>
      <c r="D211" s="30" t="str">
        <f>'RESUMEN TOTAL'!E262</f>
        <v>DOMO</v>
      </c>
      <c r="E211" s="30" t="str">
        <f>'RESUMEN TOTAL'!F262</f>
        <v>PTO A FO</v>
      </c>
      <c r="F211" s="70">
        <f>'RESUMEN TOTAL'!M262</f>
        <v>0</v>
      </c>
      <c r="G211" s="70">
        <f>'RESUMEN TOTAL'!N262</f>
        <v>0</v>
      </c>
      <c r="H211" s="70">
        <f>'RESUMEN TOTAL'!O262</f>
        <v>0</v>
      </c>
      <c r="I211" s="70">
        <f>'RESUMEN TOTAL'!P262</f>
        <v>0</v>
      </c>
      <c r="J211" s="70">
        <f>'RESUMEN TOTAL'!Q262</f>
        <v>0</v>
      </c>
      <c r="K211" s="70">
        <f>'RESUMEN TOTAL'!R262</f>
        <v>0</v>
      </c>
      <c r="L211" s="70">
        <f>'RESUMEN TOTAL'!S262</f>
        <v>0</v>
      </c>
      <c r="M211" s="70">
        <f>'RESUMEN TOTAL'!T262</f>
        <v>0</v>
      </c>
      <c r="N211" s="70">
        <f>'RESUMEN TOTAL'!U262</f>
        <v>0</v>
      </c>
      <c r="O211" s="70">
        <f>'RESUMEN TOTAL'!V262</f>
        <v>0</v>
      </c>
      <c r="P211" s="70">
        <f>'RESUMEN TOTAL'!W262</f>
        <v>0</v>
      </c>
      <c r="Q211" s="70">
        <f>'RESUMEN TOTAL'!X262</f>
        <v>0</v>
      </c>
      <c r="R211" s="70">
        <f>'RESUMEN TOTAL'!Y262</f>
        <v>0</v>
      </c>
      <c r="S211" s="70">
        <f>'RESUMEN TOTAL'!Z262</f>
        <v>0</v>
      </c>
      <c r="T211" s="70">
        <f>'RESUMEN TOTAL'!AA262</f>
        <v>0</v>
      </c>
      <c r="U211" s="70">
        <f>'RESUMEN TOTAL'!AB262</f>
        <v>0</v>
      </c>
      <c r="V211" s="70">
        <f>'RESUMEN TOTAL'!AC262</f>
        <v>0</v>
      </c>
      <c r="W211" s="70">
        <f>'RESUMEN TOTAL'!AD262</f>
        <v>0</v>
      </c>
      <c r="X211" s="70">
        <f>'RESUMEN TOTAL'!AE262</f>
        <v>0</v>
      </c>
      <c r="Y211" s="70">
        <f>'RESUMEN TOTAL'!AF262</f>
        <v>0</v>
      </c>
      <c r="Z211" s="70">
        <f>'RESUMEN TOTAL'!AG262</f>
        <v>0</v>
      </c>
      <c r="AA211" s="70">
        <f>'RESUMEN TOTAL'!AH262</f>
        <v>0</v>
      </c>
      <c r="AB211" s="70">
        <f>'RESUMEN TOTAL'!AI262</f>
        <v>0</v>
      </c>
      <c r="AC211" s="70">
        <f>'RESUMEN TOTAL'!AJ262</f>
        <v>0</v>
      </c>
      <c r="AD211" s="70">
        <f>'RESUMEN TOTAL'!AK262</f>
        <v>0</v>
      </c>
      <c r="AE211" s="70">
        <f>'RESUMEN TOTAL'!AL262</f>
        <v>0</v>
      </c>
      <c r="AF211" s="70">
        <f>'RESUMEN TOTAL'!AM262</f>
        <v>0</v>
      </c>
      <c r="AG211" s="70">
        <f>'RESUMEN TOTAL'!AN262</f>
        <v>0</v>
      </c>
      <c r="AH211" s="70">
        <f>'RESUMEN TOTAL'!AO262</f>
        <v>0</v>
      </c>
      <c r="AI211" s="70">
        <f>'RESUMEN TOTAL'!AP262</f>
        <v>0</v>
      </c>
      <c r="AJ211" s="70">
        <f>'RESUMEN TOTAL'!AQ262</f>
        <v>0</v>
      </c>
    </row>
    <row r="212" spans="1:36" x14ac:dyDescent="0.25">
      <c r="A212" t="str">
        <f>'RESUMEN TOTAL'!A263</f>
        <v>MARTIN FIERRO</v>
      </c>
      <c r="B212" t="str">
        <f>'RESUMEN TOTAL'!B263</f>
        <v>MFI 07</v>
      </c>
      <c r="C212" t="str">
        <f>'RESUMEN TOTAL'!D263</f>
        <v>Sargento Cabral y Carlos Gardel</v>
      </c>
      <c r="D212" s="30" t="str">
        <f>'RESUMEN TOTAL'!E263</f>
        <v>Domo</v>
      </c>
      <c r="E212" s="30" t="str">
        <f>'RESUMEN TOTAL'!F263</f>
        <v>GPON</v>
      </c>
      <c r="F212" s="70">
        <f>'RESUMEN TOTAL'!M263</f>
        <v>0</v>
      </c>
      <c r="G212" s="70">
        <f>'RESUMEN TOTAL'!N263</f>
        <v>0</v>
      </c>
      <c r="H212" s="70">
        <f>'RESUMEN TOTAL'!O263</f>
        <v>0</v>
      </c>
      <c r="I212" s="70">
        <f>'RESUMEN TOTAL'!P263</f>
        <v>0</v>
      </c>
      <c r="J212" s="70">
        <f>'RESUMEN TOTAL'!Q263</f>
        <v>0</v>
      </c>
      <c r="K212" s="70">
        <f>'RESUMEN TOTAL'!R263</f>
        <v>0</v>
      </c>
      <c r="L212" s="70">
        <f>'RESUMEN TOTAL'!S263</f>
        <v>0</v>
      </c>
      <c r="M212" s="70">
        <f>'RESUMEN TOTAL'!T263</f>
        <v>0</v>
      </c>
      <c r="N212" s="70">
        <f>'RESUMEN TOTAL'!U263</f>
        <v>0</v>
      </c>
      <c r="O212" s="70">
        <f>'RESUMEN TOTAL'!V263</f>
        <v>0</v>
      </c>
      <c r="P212" s="70">
        <f>'RESUMEN TOTAL'!W263</f>
        <v>0</v>
      </c>
      <c r="Q212" s="70">
        <f>'RESUMEN TOTAL'!X263</f>
        <v>0</v>
      </c>
      <c r="R212" s="70">
        <f>'RESUMEN TOTAL'!Y263</f>
        <v>0</v>
      </c>
      <c r="S212" s="70">
        <f>'RESUMEN TOTAL'!Z263</f>
        <v>0</v>
      </c>
      <c r="T212" s="70">
        <f>'RESUMEN TOTAL'!AA263</f>
        <v>0</v>
      </c>
      <c r="U212" s="70">
        <f>'RESUMEN TOTAL'!AB263</f>
        <v>0</v>
      </c>
      <c r="V212" s="70">
        <f>'RESUMEN TOTAL'!AC263</f>
        <v>0</v>
      </c>
      <c r="W212" s="70">
        <f>'RESUMEN TOTAL'!AD263</f>
        <v>0</v>
      </c>
      <c r="X212" s="70">
        <f>'RESUMEN TOTAL'!AE263</f>
        <v>0</v>
      </c>
      <c r="Y212" s="70">
        <f>'RESUMEN TOTAL'!AF263</f>
        <v>0</v>
      </c>
      <c r="Z212" s="70">
        <f>'RESUMEN TOTAL'!AG263</f>
        <v>0</v>
      </c>
      <c r="AA212" s="70">
        <f>'RESUMEN TOTAL'!AH263</f>
        <v>0</v>
      </c>
      <c r="AB212" s="70">
        <f>'RESUMEN TOTAL'!AI263</f>
        <v>0</v>
      </c>
      <c r="AC212" s="70">
        <f>'RESUMEN TOTAL'!AJ263</f>
        <v>0</v>
      </c>
      <c r="AD212" s="70">
        <f>'RESUMEN TOTAL'!AK263</f>
        <v>0</v>
      </c>
      <c r="AE212" s="70">
        <f>'RESUMEN TOTAL'!AL263</f>
        <v>0</v>
      </c>
      <c r="AF212" s="70">
        <f>'RESUMEN TOTAL'!AM263</f>
        <v>0</v>
      </c>
      <c r="AG212" s="70">
        <f>'RESUMEN TOTAL'!AN263</f>
        <v>0</v>
      </c>
      <c r="AH212" s="70">
        <f>'RESUMEN TOTAL'!AO263</f>
        <v>0</v>
      </c>
      <c r="AI212" s="70">
        <f>'RESUMEN TOTAL'!AP263</f>
        <v>0</v>
      </c>
      <c r="AJ212" s="70">
        <f>'RESUMEN TOTAL'!AQ263</f>
        <v>0</v>
      </c>
    </row>
    <row r="213" spans="1:36" x14ac:dyDescent="0.25">
      <c r="A213" t="str">
        <f>'RESUMEN TOTAL'!A264</f>
        <v>MARTIN FIERRO</v>
      </c>
      <c r="B213" t="str">
        <f>'RESUMEN TOTAL'!B264</f>
        <v>MFI 08</v>
      </c>
      <c r="C213" t="str">
        <f>'RESUMEN TOTAL'!D264</f>
        <v>Braile y Batalla de Callao</v>
      </c>
      <c r="D213" s="30" t="str">
        <f>'RESUMEN TOTAL'!E264</f>
        <v>Domo</v>
      </c>
      <c r="E213" s="30" t="str">
        <f>'RESUMEN TOTAL'!F264</f>
        <v>PTO A FO</v>
      </c>
      <c r="F213" s="70">
        <f>'RESUMEN TOTAL'!M264</f>
        <v>0</v>
      </c>
      <c r="G213" s="70">
        <f>'RESUMEN TOTAL'!N264</f>
        <v>0</v>
      </c>
      <c r="H213" s="70">
        <f>'RESUMEN TOTAL'!O264</f>
        <v>0</v>
      </c>
      <c r="I213" s="70">
        <f>'RESUMEN TOTAL'!P264</f>
        <v>0</v>
      </c>
      <c r="J213" s="70">
        <f>'RESUMEN TOTAL'!Q264</f>
        <v>0</v>
      </c>
      <c r="K213" s="70">
        <f>'RESUMEN TOTAL'!R264</f>
        <v>0</v>
      </c>
      <c r="L213" s="70">
        <f>'RESUMEN TOTAL'!S264</f>
        <v>0</v>
      </c>
      <c r="M213" s="70">
        <f>'RESUMEN TOTAL'!T264</f>
        <v>0</v>
      </c>
      <c r="N213" s="70">
        <f>'RESUMEN TOTAL'!U264</f>
        <v>0</v>
      </c>
      <c r="O213" s="70">
        <f>'RESUMEN TOTAL'!V264</f>
        <v>0</v>
      </c>
      <c r="P213" s="70">
        <f>'RESUMEN TOTAL'!W264</f>
        <v>0</v>
      </c>
      <c r="Q213" s="70">
        <f>'RESUMEN TOTAL'!X264</f>
        <v>0</v>
      </c>
      <c r="R213" s="70">
        <f>'RESUMEN TOTAL'!Y264</f>
        <v>0</v>
      </c>
      <c r="S213" s="70">
        <f>'RESUMEN TOTAL'!Z264</f>
        <v>0</v>
      </c>
      <c r="T213" s="70">
        <f>'RESUMEN TOTAL'!AA264</f>
        <v>0</v>
      </c>
      <c r="U213" s="70">
        <f>'RESUMEN TOTAL'!AB264</f>
        <v>0</v>
      </c>
      <c r="V213" s="70">
        <f>'RESUMEN TOTAL'!AC264</f>
        <v>0</v>
      </c>
      <c r="W213" s="70">
        <f>'RESUMEN TOTAL'!AD264</f>
        <v>0</v>
      </c>
      <c r="X213" s="70">
        <f>'RESUMEN TOTAL'!AE264</f>
        <v>0</v>
      </c>
      <c r="Y213" s="70">
        <f>'RESUMEN TOTAL'!AF264</f>
        <v>0</v>
      </c>
      <c r="Z213" s="70">
        <f>'RESUMEN TOTAL'!AG264</f>
        <v>0</v>
      </c>
      <c r="AA213" s="70">
        <f>'RESUMEN TOTAL'!AH264</f>
        <v>0</v>
      </c>
      <c r="AB213" s="70">
        <f>'RESUMEN TOTAL'!AI264</f>
        <v>0</v>
      </c>
      <c r="AC213" s="70">
        <f>'RESUMEN TOTAL'!AJ264</f>
        <v>0</v>
      </c>
      <c r="AD213" s="70">
        <f>'RESUMEN TOTAL'!AK264</f>
        <v>0</v>
      </c>
      <c r="AE213" s="70">
        <f>'RESUMEN TOTAL'!AL264</f>
        <v>0</v>
      </c>
      <c r="AF213" s="70">
        <f>'RESUMEN TOTAL'!AM264</f>
        <v>0</v>
      </c>
      <c r="AG213" s="70">
        <f>'RESUMEN TOTAL'!AN264</f>
        <v>0</v>
      </c>
      <c r="AH213" s="70">
        <f>'RESUMEN TOTAL'!AO264</f>
        <v>0</v>
      </c>
      <c r="AI213" s="70">
        <f>'RESUMEN TOTAL'!AP264</f>
        <v>0</v>
      </c>
      <c r="AJ213" s="70">
        <f>'RESUMEN TOTAL'!AQ264</f>
        <v>0</v>
      </c>
    </row>
    <row r="214" spans="1:36" x14ac:dyDescent="0.25">
      <c r="A214" t="str">
        <f>'RESUMEN TOTAL'!A265</f>
        <v>GOBERNADOR MONTEVERDE</v>
      </c>
      <c r="B214" t="str">
        <f>'RESUMEN TOTAL'!B265</f>
        <v>MON01</v>
      </c>
      <c r="C214" t="str">
        <f>'RESUMEN TOTAL'!D265</f>
        <v>San Martin y Patricias Argentinas</v>
      </c>
      <c r="D214" s="30" t="str">
        <f>'RESUMEN TOTAL'!E265</f>
        <v>Fija</v>
      </c>
      <c r="E214" s="30" t="str">
        <f>'RESUMEN TOTAL'!F265</f>
        <v>Fibra Optica</v>
      </c>
      <c r="F214" s="70">
        <f>'RESUMEN TOTAL'!M265</f>
        <v>0</v>
      </c>
      <c r="G214" s="70">
        <f>'RESUMEN TOTAL'!N265</f>
        <v>0</v>
      </c>
      <c r="H214" s="70">
        <f>'RESUMEN TOTAL'!O265</f>
        <v>0</v>
      </c>
      <c r="I214" s="70">
        <f>'RESUMEN TOTAL'!P265</f>
        <v>0</v>
      </c>
      <c r="J214" s="70">
        <f>'RESUMEN TOTAL'!Q265</f>
        <v>0</v>
      </c>
      <c r="K214" s="70">
        <f>'RESUMEN TOTAL'!R265</f>
        <v>0</v>
      </c>
      <c r="L214" s="70">
        <f>'RESUMEN TOTAL'!S265</f>
        <v>0</v>
      </c>
      <c r="M214" s="70">
        <f>'RESUMEN TOTAL'!T265</f>
        <v>0</v>
      </c>
      <c r="N214" s="70">
        <f>'RESUMEN TOTAL'!U265</f>
        <v>0</v>
      </c>
      <c r="O214" s="70">
        <f>'RESUMEN TOTAL'!V265</f>
        <v>0</v>
      </c>
      <c r="P214" s="70">
        <f>'RESUMEN TOTAL'!W265</f>
        <v>0</v>
      </c>
      <c r="Q214" s="70">
        <f>'RESUMEN TOTAL'!X265</f>
        <v>0</v>
      </c>
      <c r="R214" s="70">
        <f>'RESUMEN TOTAL'!Y265</f>
        <v>0</v>
      </c>
      <c r="S214" s="70">
        <f>'RESUMEN TOTAL'!Z265</f>
        <v>0</v>
      </c>
      <c r="T214" s="70">
        <f>'RESUMEN TOTAL'!AA265</f>
        <v>0</v>
      </c>
      <c r="U214" s="70">
        <f>'RESUMEN TOTAL'!AB265</f>
        <v>0</v>
      </c>
      <c r="V214" s="70">
        <f>'RESUMEN TOTAL'!AC265</f>
        <v>0</v>
      </c>
      <c r="W214" s="70">
        <f>'RESUMEN TOTAL'!AD265</f>
        <v>0</v>
      </c>
      <c r="X214" s="70">
        <f>'RESUMEN TOTAL'!AE265</f>
        <v>0</v>
      </c>
      <c r="Y214" s="70">
        <f>'RESUMEN TOTAL'!AF265</f>
        <v>0</v>
      </c>
      <c r="Z214" s="70">
        <f>'RESUMEN TOTAL'!AG265</f>
        <v>0</v>
      </c>
      <c r="AA214" s="70">
        <f>'RESUMEN TOTAL'!AH265</f>
        <v>0</v>
      </c>
      <c r="AB214" s="70">
        <f>'RESUMEN TOTAL'!AI265</f>
        <v>0</v>
      </c>
      <c r="AC214" s="70">
        <f>'RESUMEN TOTAL'!AJ265</f>
        <v>0</v>
      </c>
      <c r="AD214" s="70">
        <f>'RESUMEN TOTAL'!AK265</f>
        <v>0</v>
      </c>
      <c r="AE214" s="70">
        <f>'RESUMEN TOTAL'!AL265</f>
        <v>0</v>
      </c>
      <c r="AF214" s="70">
        <f>'RESUMEN TOTAL'!AM265</f>
        <v>0</v>
      </c>
      <c r="AG214" s="70">
        <f>'RESUMEN TOTAL'!AN265</f>
        <v>0</v>
      </c>
      <c r="AH214" s="70">
        <f>'RESUMEN TOTAL'!AO265</f>
        <v>0</v>
      </c>
      <c r="AI214" s="70">
        <f>'RESUMEN TOTAL'!AP265</f>
        <v>0</v>
      </c>
      <c r="AJ214" s="70">
        <f>'RESUMEN TOTAL'!AQ265</f>
        <v>0</v>
      </c>
    </row>
    <row r="215" spans="1:36" x14ac:dyDescent="0.25">
      <c r="A215" t="str">
        <f>'RESUMEN TOTAL'!A266</f>
        <v>GOBERNADOR MONTEVERDE</v>
      </c>
      <c r="B215" t="str">
        <f>'RESUMEN TOTAL'!B266</f>
        <v>MON02</v>
      </c>
      <c r="C215" t="str">
        <f>'RESUMEN TOTAL'!D266</f>
        <v>Senzabello y Famatina</v>
      </c>
      <c r="D215" s="30" t="str">
        <f>'RESUMEN TOTAL'!E266</f>
        <v>Domo</v>
      </c>
      <c r="E215" s="30" t="str">
        <f>'RESUMEN TOTAL'!F266</f>
        <v>Fibra Optica</v>
      </c>
      <c r="F215" s="70">
        <f>'RESUMEN TOTAL'!M266</f>
        <v>0</v>
      </c>
      <c r="G215" s="70">
        <f>'RESUMEN TOTAL'!N266</f>
        <v>0</v>
      </c>
      <c r="H215" s="70">
        <f>'RESUMEN TOTAL'!O266</f>
        <v>0</v>
      </c>
      <c r="I215" s="70">
        <f>'RESUMEN TOTAL'!P266</f>
        <v>0</v>
      </c>
      <c r="J215" s="70">
        <f>'RESUMEN TOTAL'!Q266</f>
        <v>0</v>
      </c>
      <c r="K215" s="70">
        <f>'RESUMEN TOTAL'!R266</f>
        <v>0</v>
      </c>
      <c r="L215" s="70">
        <f>'RESUMEN TOTAL'!S266</f>
        <v>0</v>
      </c>
      <c r="M215" s="70">
        <f>'RESUMEN TOTAL'!T266</f>
        <v>0</v>
      </c>
      <c r="N215" s="70">
        <f>'RESUMEN TOTAL'!U266</f>
        <v>0</v>
      </c>
      <c r="O215" s="70">
        <f>'RESUMEN TOTAL'!V266</f>
        <v>0</v>
      </c>
      <c r="P215" s="70">
        <f>'RESUMEN TOTAL'!W266</f>
        <v>0</v>
      </c>
      <c r="Q215" s="70">
        <f>'RESUMEN TOTAL'!X266</f>
        <v>0</v>
      </c>
      <c r="R215" s="70">
        <f>'RESUMEN TOTAL'!Y266</f>
        <v>0</v>
      </c>
      <c r="S215" s="70">
        <f>'RESUMEN TOTAL'!Z266</f>
        <v>0</v>
      </c>
      <c r="T215" s="70">
        <f>'RESUMEN TOTAL'!AA266</f>
        <v>0</v>
      </c>
      <c r="U215" s="70">
        <f>'RESUMEN TOTAL'!AB266</f>
        <v>0</v>
      </c>
      <c r="V215" s="70">
        <f>'RESUMEN TOTAL'!AC266</f>
        <v>0</v>
      </c>
      <c r="W215" s="70">
        <f>'RESUMEN TOTAL'!AD266</f>
        <v>0</v>
      </c>
      <c r="X215" s="70">
        <f>'RESUMEN TOTAL'!AE266</f>
        <v>0</v>
      </c>
      <c r="Y215" s="70">
        <f>'RESUMEN TOTAL'!AF266</f>
        <v>0</v>
      </c>
      <c r="Z215" s="70">
        <f>'RESUMEN TOTAL'!AG266</f>
        <v>0</v>
      </c>
      <c r="AA215" s="70">
        <f>'RESUMEN TOTAL'!AH266</f>
        <v>0</v>
      </c>
      <c r="AB215" s="70">
        <f>'RESUMEN TOTAL'!AI266</f>
        <v>0</v>
      </c>
      <c r="AC215" s="70">
        <f>'RESUMEN TOTAL'!AJ266</f>
        <v>0</v>
      </c>
      <c r="AD215" s="70">
        <f>'RESUMEN TOTAL'!AK266</f>
        <v>0</v>
      </c>
      <c r="AE215" s="70">
        <f>'RESUMEN TOTAL'!AL266</f>
        <v>0</v>
      </c>
      <c r="AF215" s="70">
        <f>'RESUMEN TOTAL'!AM266</f>
        <v>0</v>
      </c>
      <c r="AG215" s="70">
        <f>'RESUMEN TOTAL'!AN266</f>
        <v>0</v>
      </c>
      <c r="AH215" s="70">
        <f>'RESUMEN TOTAL'!AO266</f>
        <v>0</v>
      </c>
      <c r="AI215" s="70">
        <f>'RESUMEN TOTAL'!AP266</f>
        <v>0</v>
      </c>
      <c r="AJ215" s="70">
        <f>'RESUMEN TOTAL'!AQ266</f>
        <v>0</v>
      </c>
    </row>
    <row r="216" spans="1:36" x14ac:dyDescent="0.25">
      <c r="A216" t="str">
        <f>'RESUMEN TOTAL'!A267</f>
        <v>GOBERNADOR MONTEVERDE</v>
      </c>
      <c r="B216" t="str">
        <f>'RESUMEN TOTAL'!B267</f>
        <v>MON03</v>
      </c>
      <c r="C216" t="str">
        <f>'RESUMEN TOTAL'!D267</f>
        <v>Senzabello y Guemes</v>
      </c>
      <c r="D216" s="30" t="str">
        <f>'RESUMEN TOTAL'!E267</f>
        <v>Domo</v>
      </c>
      <c r="E216" s="30" t="str">
        <f>'RESUMEN TOTAL'!F267</f>
        <v>PTO A FO</v>
      </c>
      <c r="F216" s="70">
        <f>'RESUMEN TOTAL'!M267</f>
        <v>0</v>
      </c>
      <c r="G216" s="70">
        <f>'RESUMEN TOTAL'!N267</f>
        <v>0</v>
      </c>
      <c r="H216" s="70">
        <f>'RESUMEN TOTAL'!O267</f>
        <v>0</v>
      </c>
      <c r="I216" s="70">
        <f>'RESUMEN TOTAL'!P267</f>
        <v>0</v>
      </c>
      <c r="J216" s="70">
        <f>'RESUMEN TOTAL'!Q267</f>
        <v>0</v>
      </c>
      <c r="K216" s="70">
        <f>'RESUMEN TOTAL'!R267</f>
        <v>0</v>
      </c>
      <c r="L216" s="70">
        <f>'RESUMEN TOTAL'!S267</f>
        <v>0</v>
      </c>
      <c r="M216" s="70">
        <f>'RESUMEN TOTAL'!T267</f>
        <v>0</v>
      </c>
      <c r="N216" s="70">
        <f>'RESUMEN TOTAL'!U267</f>
        <v>0</v>
      </c>
      <c r="O216" s="70">
        <f>'RESUMEN TOTAL'!V267</f>
        <v>0</v>
      </c>
      <c r="P216" s="70">
        <f>'RESUMEN TOTAL'!W267</f>
        <v>0</v>
      </c>
      <c r="Q216" s="70">
        <f>'RESUMEN TOTAL'!X267</f>
        <v>0</v>
      </c>
      <c r="R216" s="70">
        <f>'RESUMEN TOTAL'!Y267</f>
        <v>0</v>
      </c>
      <c r="S216" s="70">
        <f>'RESUMEN TOTAL'!Z267</f>
        <v>0</v>
      </c>
      <c r="T216" s="70">
        <f>'RESUMEN TOTAL'!AA267</f>
        <v>0</v>
      </c>
      <c r="U216" s="70">
        <f>'RESUMEN TOTAL'!AB267</f>
        <v>0</v>
      </c>
      <c r="V216" s="70">
        <f>'RESUMEN TOTAL'!AC267</f>
        <v>0</v>
      </c>
      <c r="W216" s="70">
        <f>'RESUMEN TOTAL'!AD267</f>
        <v>0</v>
      </c>
      <c r="X216" s="70">
        <f>'RESUMEN TOTAL'!AE267</f>
        <v>0</v>
      </c>
      <c r="Y216" s="70">
        <f>'RESUMEN TOTAL'!AF267</f>
        <v>0</v>
      </c>
      <c r="Z216" s="70">
        <f>'RESUMEN TOTAL'!AG267</f>
        <v>0</v>
      </c>
      <c r="AA216" s="70">
        <f>'RESUMEN TOTAL'!AH267</f>
        <v>0</v>
      </c>
      <c r="AB216" s="70">
        <f>'RESUMEN TOTAL'!AI267</f>
        <v>0</v>
      </c>
      <c r="AC216" s="70">
        <f>'RESUMEN TOTAL'!AJ267</f>
        <v>0</v>
      </c>
      <c r="AD216" s="70">
        <f>'RESUMEN TOTAL'!AK267</f>
        <v>0</v>
      </c>
      <c r="AE216" s="70">
        <f>'RESUMEN TOTAL'!AL267</f>
        <v>0</v>
      </c>
      <c r="AF216" s="70">
        <f>'RESUMEN TOTAL'!AM267</f>
        <v>0</v>
      </c>
      <c r="AG216" s="70">
        <f>'RESUMEN TOTAL'!AN267</f>
        <v>0</v>
      </c>
      <c r="AH216" s="70">
        <f>'RESUMEN TOTAL'!AO267</f>
        <v>0</v>
      </c>
      <c r="AI216" s="70">
        <f>'RESUMEN TOTAL'!AP267</f>
        <v>0</v>
      </c>
      <c r="AJ216" s="70">
        <f>'RESUMEN TOTAL'!AQ267</f>
        <v>0</v>
      </c>
    </row>
    <row r="217" spans="1:36" x14ac:dyDescent="0.25">
      <c r="A217" t="str">
        <f>'RESUMEN TOTAL'!A268</f>
        <v>GOBERNADOR MONTEVERDE</v>
      </c>
      <c r="B217" t="str">
        <f>'RESUMEN TOTAL'!B268</f>
        <v>MON04</v>
      </c>
      <c r="C217" t="str">
        <f>'RESUMEN TOTAL'!D268</f>
        <v>Av. Yrigoyen y San Lorenzo</v>
      </c>
      <c r="D217" s="30" t="str">
        <f>'RESUMEN TOTAL'!E268</f>
        <v>Domo</v>
      </c>
      <c r="E217" s="30" t="str">
        <f>'RESUMEN TOTAL'!F268</f>
        <v>GPON</v>
      </c>
      <c r="F217" s="70">
        <f>'RESUMEN TOTAL'!M268</f>
        <v>0</v>
      </c>
      <c r="G217" s="70">
        <f>'RESUMEN TOTAL'!N268</f>
        <v>0</v>
      </c>
      <c r="H217" s="70">
        <f>'RESUMEN TOTAL'!O268</f>
        <v>0</v>
      </c>
      <c r="I217" s="70">
        <f>'RESUMEN TOTAL'!P268</f>
        <v>0</v>
      </c>
      <c r="J217" s="70">
        <f>'RESUMEN TOTAL'!Q268</f>
        <v>0</v>
      </c>
      <c r="K217" s="70">
        <f>'RESUMEN TOTAL'!R268</f>
        <v>0</v>
      </c>
      <c r="L217" s="70">
        <f>'RESUMEN TOTAL'!S268</f>
        <v>0</v>
      </c>
      <c r="M217" s="70">
        <f>'RESUMEN TOTAL'!T268</f>
        <v>0</v>
      </c>
      <c r="N217" s="70">
        <f>'RESUMEN TOTAL'!U268</f>
        <v>0</v>
      </c>
      <c r="O217" s="70">
        <f>'RESUMEN TOTAL'!V268</f>
        <v>0</v>
      </c>
      <c r="P217" s="70">
        <f>'RESUMEN TOTAL'!W268</f>
        <v>0</v>
      </c>
      <c r="Q217" s="70">
        <f>'RESUMEN TOTAL'!X268</f>
        <v>0</v>
      </c>
      <c r="R217" s="70">
        <f>'RESUMEN TOTAL'!Y268</f>
        <v>0</v>
      </c>
      <c r="S217" s="70">
        <f>'RESUMEN TOTAL'!Z268</f>
        <v>0</v>
      </c>
      <c r="T217" s="70">
        <f>'RESUMEN TOTAL'!AA268</f>
        <v>0</v>
      </c>
      <c r="U217" s="70">
        <f>'RESUMEN TOTAL'!AB268</f>
        <v>0</v>
      </c>
      <c r="V217" s="70">
        <f>'RESUMEN TOTAL'!AC268</f>
        <v>0</v>
      </c>
      <c r="W217" s="70">
        <f>'RESUMEN TOTAL'!AD268</f>
        <v>0</v>
      </c>
      <c r="X217" s="70">
        <f>'RESUMEN TOTAL'!AE268</f>
        <v>0</v>
      </c>
      <c r="Y217" s="70">
        <f>'RESUMEN TOTAL'!AF268</f>
        <v>0</v>
      </c>
      <c r="Z217" s="70">
        <f>'RESUMEN TOTAL'!AG268</f>
        <v>0</v>
      </c>
      <c r="AA217" s="70">
        <f>'RESUMEN TOTAL'!AH268</f>
        <v>0</v>
      </c>
      <c r="AB217" s="70">
        <f>'RESUMEN TOTAL'!AI268</f>
        <v>0</v>
      </c>
      <c r="AC217" s="70">
        <f>'RESUMEN TOTAL'!AJ268</f>
        <v>0</v>
      </c>
      <c r="AD217" s="70">
        <f>'RESUMEN TOTAL'!AK268</f>
        <v>0</v>
      </c>
      <c r="AE217" s="70">
        <f>'RESUMEN TOTAL'!AL268</f>
        <v>0</v>
      </c>
      <c r="AF217" s="70">
        <f>'RESUMEN TOTAL'!AM268</f>
        <v>0</v>
      </c>
      <c r="AG217" s="70">
        <f>'RESUMEN TOTAL'!AN268</f>
        <v>0</v>
      </c>
      <c r="AH217" s="70">
        <f>'RESUMEN TOTAL'!AO268</f>
        <v>0</v>
      </c>
      <c r="AI217" s="70">
        <f>'RESUMEN TOTAL'!AP268</f>
        <v>0</v>
      </c>
      <c r="AJ217" s="70">
        <f>'RESUMEN TOTAL'!AQ268</f>
        <v>0</v>
      </c>
    </row>
    <row r="218" spans="1:36" x14ac:dyDescent="0.25">
      <c r="A218" t="str">
        <f>'RESUMEN TOTAL'!A273</f>
        <v>9 DE JULIO</v>
      </c>
      <c r="B218" t="str">
        <f>'RESUMEN TOTAL'!B273</f>
        <v>NJU 01</v>
      </c>
      <c r="C218" t="str">
        <f>'RESUMEN TOTAL'!D273</f>
        <v>Sallares y Parrillo</v>
      </c>
      <c r="D218" s="30" t="str">
        <f>'RESUMEN TOTAL'!E273</f>
        <v>Domo</v>
      </c>
      <c r="E218" s="30" t="str">
        <f>'RESUMEN TOTAL'!F273</f>
        <v>Fibra Optica</v>
      </c>
      <c r="F218" s="70">
        <f>'RESUMEN TOTAL'!M273</f>
        <v>0</v>
      </c>
      <c r="G218" s="70">
        <f>'RESUMEN TOTAL'!N273</f>
        <v>0</v>
      </c>
      <c r="H218" s="70">
        <f>'RESUMEN TOTAL'!O273</f>
        <v>0</v>
      </c>
      <c r="I218" s="70">
        <f>'RESUMEN TOTAL'!P273</f>
        <v>0</v>
      </c>
      <c r="J218" s="70">
        <f>'RESUMEN TOTAL'!Q273</f>
        <v>0</v>
      </c>
      <c r="K218" s="70">
        <f>'RESUMEN TOTAL'!R273</f>
        <v>0</v>
      </c>
      <c r="L218" s="70">
        <f>'RESUMEN TOTAL'!S273</f>
        <v>0</v>
      </c>
      <c r="M218" s="70">
        <f>'RESUMEN TOTAL'!T273</f>
        <v>0</v>
      </c>
      <c r="N218" s="70">
        <f>'RESUMEN TOTAL'!U273</f>
        <v>0</v>
      </c>
      <c r="O218" s="70">
        <f>'RESUMEN TOTAL'!V273</f>
        <v>0</v>
      </c>
      <c r="P218" s="70">
        <f>'RESUMEN TOTAL'!W273</f>
        <v>0</v>
      </c>
      <c r="Q218" s="70">
        <f>'RESUMEN TOTAL'!X273</f>
        <v>0</v>
      </c>
      <c r="R218" s="70">
        <f>'RESUMEN TOTAL'!Y273</f>
        <v>0</v>
      </c>
      <c r="S218" s="70">
        <f>'RESUMEN TOTAL'!Z273</f>
        <v>0</v>
      </c>
      <c r="T218" s="70">
        <f>'RESUMEN TOTAL'!AA273</f>
        <v>0</v>
      </c>
      <c r="U218" s="70">
        <f>'RESUMEN TOTAL'!AB273</f>
        <v>0</v>
      </c>
      <c r="V218" s="70">
        <f>'RESUMEN TOTAL'!AC273</f>
        <v>0</v>
      </c>
      <c r="W218" s="70">
        <f>'RESUMEN TOTAL'!AD273</f>
        <v>0</v>
      </c>
      <c r="X218" s="70">
        <f>'RESUMEN TOTAL'!AE273</f>
        <v>0</v>
      </c>
      <c r="Y218" s="70">
        <f>'RESUMEN TOTAL'!AF273</f>
        <v>0</v>
      </c>
      <c r="Z218" s="70">
        <f>'RESUMEN TOTAL'!AG273</f>
        <v>0</v>
      </c>
      <c r="AA218" s="70">
        <f>'RESUMEN TOTAL'!AH273</f>
        <v>0</v>
      </c>
      <c r="AB218" s="70">
        <f>'RESUMEN TOTAL'!AI273</f>
        <v>0</v>
      </c>
      <c r="AC218" s="70">
        <f>'RESUMEN TOTAL'!AJ273</f>
        <v>0</v>
      </c>
      <c r="AD218" s="70">
        <f>'RESUMEN TOTAL'!AK273</f>
        <v>0</v>
      </c>
      <c r="AE218" s="70">
        <f>'RESUMEN TOTAL'!AL273</f>
        <v>0</v>
      </c>
      <c r="AF218" s="70">
        <f>'RESUMEN TOTAL'!AM273</f>
        <v>0</v>
      </c>
      <c r="AG218" s="70">
        <f>'RESUMEN TOTAL'!AN273</f>
        <v>0</v>
      </c>
      <c r="AH218" s="70">
        <f>'RESUMEN TOTAL'!AO273</f>
        <v>0</v>
      </c>
      <c r="AI218" s="70">
        <f>'RESUMEN TOTAL'!AP273</f>
        <v>0</v>
      </c>
      <c r="AJ218" s="70">
        <f>'RESUMEN TOTAL'!AQ273</f>
        <v>0</v>
      </c>
    </row>
    <row r="219" spans="1:36" x14ac:dyDescent="0.25">
      <c r="A219" t="str">
        <f>'RESUMEN TOTAL'!A274</f>
        <v>9 DE JULIO</v>
      </c>
      <c r="B219" t="str">
        <f>'RESUMEN TOTAL'!B274</f>
        <v>NJU02</v>
      </c>
      <c r="C219" t="str">
        <f>'RESUMEN TOTAL'!D274</f>
        <v>Ituzaingo y Boccuzzi</v>
      </c>
      <c r="D219" s="30" t="str">
        <f>'RESUMEN TOTAL'!E274</f>
        <v>Domo</v>
      </c>
      <c r="E219" s="30" t="str">
        <f>'RESUMEN TOTAL'!F274</f>
        <v>GPON</v>
      </c>
      <c r="F219" s="70">
        <f>'RESUMEN TOTAL'!M274</f>
        <v>0</v>
      </c>
      <c r="G219" s="70">
        <f>'RESUMEN TOTAL'!N274</f>
        <v>0</v>
      </c>
      <c r="H219" s="70">
        <f>'RESUMEN TOTAL'!O274</f>
        <v>0</v>
      </c>
      <c r="I219" s="70">
        <f>'RESUMEN TOTAL'!P274</f>
        <v>0</v>
      </c>
      <c r="J219" s="70">
        <f>'RESUMEN TOTAL'!Q274</f>
        <v>0</v>
      </c>
      <c r="K219" s="70">
        <f>'RESUMEN TOTAL'!R274</f>
        <v>0</v>
      </c>
      <c r="L219" s="70">
        <f>'RESUMEN TOTAL'!S274</f>
        <v>0</v>
      </c>
      <c r="M219" s="70">
        <f>'RESUMEN TOTAL'!T274</f>
        <v>0</v>
      </c>
      <c r="N219" s="70">
        <f>'RESUMEN TOTAL'!U274</f>
        <v>0</v>
      </c>
      <c r="O219" s="70">
        <f>'RESUMEN TOTAL'!V274</f>
        <v>0</v>
      </c>
      <c r="P219" s="70">
        <f>'RESUMEN TOTAL'!W274</f>
        <v>0</v>
      </c>
      <c r="Q219" s="70">
        <f>'RESUMEN TOTAL'!X274</f>
        <v>0</v>
      </c>
      <c r="R219" s="70">
        <f>'RESUMEN TOTAL'!Y274</f>
        <v>0</v>
      </c>
      <c r="S219" s="70">
        <f>'RESUMEN TOTAL'!Z274</f>
        <v>0</v>
      </c>
      <c r="T219" s="70">
        <f>'RESUMEN TOTAL'!AA274</f>
        <v>0</v>
      </c>
      <c r="U219" s="70">
        <f>'RESUMEN TOTAL'!AB274</f>
        <v>0</v>
      </c>
      <c r="V219" s="70">
        <f>'RESUMEN TOTAL'!AC274</f>
        <v>0</v>
      </c>
      <c r="W219" s="70">
        <f>'RESUMEN TOTAL'!AD274</f>
        <v>0</v>
      </c>
      <c r="X219" s="70">
        <f>'RESUMEN TOTAL'!AE274</f>
        <v>0</v>
      </c>
      <c r="Y219" s="70">
        <f>'RESUMEN TOTAL'!AF274</f>
        <v>0</v>
      </c>
      <c r="Z219" s="70">
        <f>'RESUMEN TOTAL'!AG274</f>
        <v>0</v>
      </c>
      <c r="AA219" s="70">
        <f>'RESUMEN TOTAL'!AH274</f>
        <v>0</v>
      </c>
      <c r="AB219" s="70">
        <f>'RESUMEN TOTAL'!AI274</f>
        <v>0</v>
      </c>
      <c r="AC219" s="70">
        <f>'RESUMEN TOTAL'!AJ274</f>
        <v>0</v>
      </c>
      <c r="AD219" s="70">
        <f>'RESUMEN TOTAL'!AK274</f>
        <v>0</v>
      </c>
      <c r="AE219" s="70">
        <f>'RESUMEN TOTAL'!AL274</f>
        <v>0</v>
      </c>
      <c r="AF219" s="70">
        <f>'RESUMEN TOTAL'!AM274</f>
        <v>0</v>
      </c>
      <c r="AG219" s="70">
        <f>'RESUMEN TOTAL'!AN274</f>
        <v>0</v>
      </c>
      <c r="AH219" s="70">
        <f>'RESUMEN TOTAL'!AO274</f>
        <v>0</v>
      </c>
      <c r="AI219" s="70">
        <f>'RESUMEN TOTAL'!AP274</f>
        <v>0</v>
      </c>
      <c r="AJ219" s="70">
        <f>'RESUMEN TOTAL'!AQ274</f>
        <v>0</v>
      </c>
    </row>
    <row r="220" spans="1:36" x14ac:dyDescent="0.25">
      <c r="A220" t="str">
        <f>'RESUMEN TOTAL'!A275</f>
        <v>9 DE JULIO</v>
      </c>
      <c r="B220" t="str">
        <f>'RESUMEN TOTAL'!B275</f>
        <v>NJU03</v>
      </c>
      <c r="C220" t="str">
        <f>'RESUMEN TOTAL'!D275</f>
        <v>San Juan y Parrillo</v>
      </c>
      <c r="D220" s="30" t="str">
        <f>'RESUMEN TOTAL'!E275</f>
        <v>Domo</v>
      </c>
      <c r="E220" s="30" t="str">
        <f>'RESUMEN TOTAL'!F275</f>
        <v>PTO A FO</v>
      </c>
      <c r="F220" s="70">
        <f>'RESUMEN TOTAL'!M275</f>
        <v>0</v>
      </c>
      <c r="G220" s="70">
        <f>'RESUMEN TOTAL'!N275</f>
        <v>0</v>
      </c>
      <c r="H220" s="70">
        <f>'RESUMEN TOTAL'!O275</f>
        <v>0</v>
      </c>
      <c r="I220" s="70">
        <f>'RESUMEN TOTAL'!P275</f>
        <v>0</v>
      </c>
      <c r="J220" s="70">
        <f>'RESUMEN TOTAL'!Q275</f>
        <v>0</v>
      </c>
      <c r="K220" s="70">
        <f>'RESUMEN TOTAL'!R275</f>
        <v>0</v>
      </c>
      <c r="L220" s="70">
        <f>'RESUMEN TOTAL'!S275</f>
        <v>0</v>
      </c>
      <c r="M220" s="70">
        <f>'RESUMEN TOTAL'!T275</f>
        <v>0</v>
      </c>
      <c r="N220" s="70">
        <f>'RESUMEN TOTAL'!U275</f>
        <v>0</v>
      </c>
      <c r="O220" s="70">
        <f>'RESUMEN TOTAL'!V275</f>
        <v>0</v>
      </c>
      <c r="P220" s="70">
        <f>'RESUMEN TOTAL'!W275</f>
        <v>0</v>
      </c>
      <c r="Q220" s="70">
        <f>'RESUMEN TOTAL'!X275</f>
        <v>0</v>
      </c>
      <c r="R220" s="70">
        <f>'RESUMEN TOTAL'!Y275</f>
        <v>0</v>
      </c>
      <c r="S220" s="70">
        <f>'RESUMEN TOTAL'!Z275</f>
        <v>0</v>
      </c>
      <c r="T220" s="70">
        <f>'RESUMEN TOTAL'!AA275</f>
        <v>0</v>
      </c>
      <c r="U220" s="70">
        <f>'RESUMEN TOTAL'!AB275</f>
        <v>0</v>
      </c>
      <c r="V220" s="70">
        <f>'RESUMEN TOTAL'!AC275</f>
        <v>0</v>
      </c>
      <c r="W220" s="70">
        <f>'RESUMEN TOTAL'!AD275</f>
        <v>0</v>
      </c>
      <c r="X220" s="70">
        <f>'RESUMEN TOTAL'!AE275</f>
        <v>0</v>
      </c>
      <c r="Y220" s="70">
        <f>'RESUMEN TOTAL'!AF275</f>
        <v>0</v>
      </c>
      <c r="Z220" s="70">
        <f>'RESUMEN TOTAL'!AG275</f>
        <v>0</v>
      </c>
      <c r="AA220" s="70">
        <f>'RESUMEN TOTAL'!AH275</f>
        <v>0</v>
      </c>
      <c r="AB220" s="70">
        <f>'RESUMEN TOTAL'!AI275</f>
        <v>0</v>
      </c>
      <c r="AC220" s="70">
        <f>'RESUMEN TOTAL'!AJ275</f>
        <v>0</v>
      </c>
      <c r="AD220" s="70">
        <f>'RESUMEN TOTAL'!AK275</f>
        <v>0</v>
      </c>
      <c r="AE220" s="70">
        <f>'RESUMEN TOTAL'!AL275</f>
        <v>0</v>
      </c>
      <c r="AF220" s="70">
        <f>'RESUMEN TOTAL'!AM275</f>
        <v>0</v>
      </c>
      <c r="AG220" s="70">
        <f>'RESUMEN TOTAL'!AN275</f>
        <v>0</v>
      </c>
      <c r="AH220" s="70">
        <f>'RESUMEN TOTAL'!AO275</f>
        <v>0</v>
      </c>
      <c r="AI220" s="70">
        <f>'RESUMEN TOTAL'!AP275</f>
        <v>0</v>
      </c>
      <c r="AJ220" s="70">
        <f>'RESUMEN TOTAL'!AQ275</f>
        <v>0</v>
      </c>
    </row>
    <row r="221" spans="1:36" x14ac:dyDescent="0.25">
      <c r="A221" t="str">
        <f>'RESUMEN TOTAL'!A276</f>
        <v>9 DE JULIO</v>
      </c>
      <c r="B221" t="str">
        <f>'RESUMEN TOTAL'!B276</f>
        <v>NJU04</v>
      </c>
      <c r="C221" t="str">
        <f>'RESUMEN TOTAL'!D276</f>
        <v>Ituzaingo y 214 A</v>
      </c>
      <c r="D221" s="30" t="str">
        <f>'RESUMEN TOTAL'!E276</f>
        <v>Domo</v>
      </c>
      <c r="E221" s="30" t="str">
        <f>'RESUMEN TOTAL'!F276</f>
        <v>GPON</v>
      </c>
      <c r="F221" s="70">
        <f>'RESUMEN TOTAL'!M276</f>
        <v>0</v>
      </c>
      <c r="G221" s="70">
        <f>'RESUMEN TOTAL'!N276</f>
        <v>0</v>
      </c>
      <c r="H221" s="70">
        <f>'RESUMEN TOTAL'!O276</f>
        <v>0</v>
      </c>
      <c r="I221" s="70">
        <f>'RESUMEN TOTAL'!P276</f>
        <v>0</v>
      </c>
      <c r="J221" s="70">
        <f>'RESUMEN TOTAL'!Q276</f>
        <v>0</v>
      </c>
      <c r="K221" s="70">
        <f>'RESUMEN TOTAL'!R276</f>
        <v>0</v>
      </c>
      <c r="L221" s="70">
        <f>'RESUMEN TOTAL'!S276</f>
        <v>0</v>
      </c>
      <c r="M221" s="70">
        <f>'RESUMEN TOTAL'!T276</f>
        <v>0</v>
      </c>
      <c r="N221" s="70">
        <f>'RESUMEN TOTAL'!U276</f>
        <v>0</v>
      </c>
      <c r="O221" s="70">
        <f>'RESUMEN TOTAL'!V276</f>
        <v>0</v>
      </c>
      <c r="P221" s="70">
        <f>'RESUMEN TOTAL'!W276</f>
        <v>0</v>
      </c>
      <c r="Q221" s="70">
        <f>'RESUMEN TOTAL'!X276</f>
        <v>0</v>
      </c>
      <c r="R221" s="70">
        <f>'RESUMEN TOTAL'!Y276</f>
        <v>0</v>
      </c>
      <c r="S221" s="70">
        <f>'RESUMEN TOTAL'!Z276</f>
        <v>0</v>
      </c>
      <c r="T221" s="70">
        <f>'RESUMEN TOTAL'!AA276</f>
        <v>0</v>
      </c>
      <c r="U221" s="70">
        <f>'RESUMEN TOTAL'!AB276</f>
        <v>0</v>
      </c>
      <c r="V221" s="70">
        <f>'RESUMEN TOTAL'!AC276</f>
        <v>0</v>
      </c>
      <c r="W221" s="70">
        <f>'RESUMEN TOTAL'!AD276</f>
        <v>0</v>
      </c>
      <c r="X221" s="70">
        <f>'RESUMEN TOTAL'!AE276</f>
        <v>0</v>
      </c>
      <c r="Y221" s="70">
        <f>'RESUMEN TOTAL'!AF276</f>
        <v>0</v>
      </c>
      <c r="Z221" s="70">
        <f>'RESUMEN TOTAL'!AG276</f>
        <v>0</v>
      </c>
      <c r="AA221" s="70">
        <f>'RESUMEN TOTAL'!AH276</f>
        <v>0</v>
      </c>
      <c r="AB221" s="70">
        <f>'RESUMEN TOTAL'!AI276</f>
        <v>0</v>
      </c>
      <c r="AC221" s="70">
        <f>'RESUMEN TOTAL'!AJ276</f>
        <v>0</v>
      </c>
      <c r="AD221" s="70">
        <f>'RESUMEN TOTAL'!AK276</f>
        <v>0</v>
      </c>
      <c r="AE221" s="70">
        <f>'RESUMEN TOTAL'!AL276</f>
        <v>0</v>
      </c>
      <c r="AF221" s="70">
        <f>'RESUMEN TOTAL'!AM276</f>
        <v>0</v>
      </c>
      <c r="AG221" s="70">
        <f>'RESUMEN TOTAL'!AN276</f>
        <v>0</v>
      </c>
      <c r="AH221" s="70">
        <f>'RESUMEN TOTAL'!AO276</f>
        <v>0</v>
      </c>
      <c r="AI221" s="70">
        <f>'RESUMEN TOTAL'!AP276</f>
        <v>0</v>
      </c>
      <c r="AJ221" s="70">
        <f>'RESUMEN TOTAL'!AQ276</f>
        <v>0</v>
      </c>
    </row>
    <row r="222" spans="1:36" x14ac:dyDescent="0.25">
      <c r="A222" t="str">
        <f>'RESUMEN TOTAL'!A277</f>
        <v>ZEBALLOS CENTRO</v>
      </c>
      <c r="B222" t="str">
        <f>'RESUMEN TOTAL'!B277</f>
        <v>NJU05</v>
      </c>
      <c r="C222" t="str">
        <f>'RESUMEN TOTAL'!D277</f>
        <v>Ituzaingo y Alem</v>
      </c>
      <c r="D222" s="30" t="str">
        <f>'RESUMEN TOTAL'!E277</f>
        <v>Domo</v>
      </c>
      <c r="E222" s="30" t="str">
        <f>'RESUMEN TOTAL'!F277</f>
        <v>GPON</v>
      </c>
      <c r="F222" s="70">
        <f>'RESUMEN TOTAL'!M277</f>
        <v>0</v>
      </c>
      <c r="G222" s="70">
        <f>'RESUMEN TOTAL'!N277</f>
        <v>0</v>
      </c>
      <c r="H222" s="70">
        <f>'RESUMEN TOTAL'!O277</f>
        <v>0</v>
      </c>
      <c r="I222" s="70">
        <f>'RESUMEN TOTAL'!P277</f>
        <v>0</v>
      </c>
      <c r="J222" s="70">
        <f>'RESUMEN TOTAL'!Q277</f>
        <v>0</v>
      </c>
      <c r="K222" s="70">
        <f>'RESUMEN TOTAL'!R277</f>
        <v>0</v>
      </c>
      <c r="L222" s="70">
        <f>'RESUMEN TOTAL'!S277</f>
        <v>0</v>
      </c>
      <c r="M222" s="70">
        <f>'RESUMEN TOTAL'!T277</f>
        <v>0</v>
      </c>
      <c r="N222" s="70">
        <f>'RESUMEN TOTAL'!U277</f>
        <v>0</v>
      </c>
      <c r="O222" s="70">
        <f>'RESUMEN TOTAL'!V277</f>
        <v>0</v>
      </c>
      <c r="P222" s="70">
        <f>'RESUMEN TOTAL'!W277</f>
        <v>0</v>
      </c>
      <c r="Q222" s="70">
        <f>'RESUMEN TOTAL'!X277</f>
        <v>0</v>
      </c>
      <c r="R222" s="70">
        <f>'RESUMEN TOTAL'!Y277</f>
        <v>0</v>
      </c>
      <c r="S222" s="70">
        <f>'RESUMEN TOTAL'!Z277</f>
        <v>0</v>
      </c>
      <c r="T222" s="70">
        <f>'RESUMEN TOTAL'!AA277</f>
        <v>0</v>
      </c>
      <c r="U222" s="70">
        <f>'RESUMEN TOTAL'!AB277</f>
        <v>0</v>
      </c>
      <c r="V222" s="70">
        <f>'RESUMEN TOTAL'!AC277</f>
        <v>0</v>
      </c>
      <c r="W222" s="70">
        <f>'RESUMEN TOTAL'!AD277</f>
        <v>0</v>
      </c>
      <c r="X222" s="70">
        <f>'RESUMEN TOTAL'!AE277</f>
        <v>0</v>
      </c>
      <c r="Y222" s="70">
        <f>'RESUMEN TOTAL'!AF277</f>
        <v>0</v>
      </c>
      <c r="Z222" s="70">
        <f>'RESUMEN TOTAL'!AG277</f>
        <v>0</v>
      </c>
      <c r="AA222" s="70">
        <f>'RESUMEN TOTAL'!AH277</f>
        <v>0</v>
      </c>
      <c r="AB222" s="70">
        <f>'RESUMEN TOTAL'!AI277</f>
        <v>0</v>
      </c>
      <c r="AC222" s="70">
        <f>'RESUMEN TOTAL'!AJ277</f>
        <v>0</v>
      </c>
      <c r="AD222" s="70">
        <f>'RESUMEN TOTAL'!AK277</f>
        <v>0</v>
      </c>
      <c r="AE222" s="70">
        <f>'RESUMEN TOTAL'!AL277</f>
        <v>0</v>
      </c>
      <c r="AF222" s="70">
        <f>'RESUMEN TOTAL'!AM277</f>
        <v>0</v>
      </c>
      <c r="AG222" s="70">
        <f>'RESUMEN TOTAL'!AN277</f>
        <v>0</v>
      </c>
      <c r="AH222" s="70">
        <f>'RESUMEN TOTAL'!AO277</f>
        <v>0</v>
      </c>
      <c r="AI222" s="70">
        <f>'RESUMEN TOTAL'!AP277</f>
        <v>0</v>
      </c>
      <c r="AJ222" s="70">
        <f>'RESUMEN TOTAL'!AQ277</f>
        <v>0</v>
      </c>
    </row>
    <row r="223" spans="1:36" x14ac:dyDescent="0.25">
      <c r="A223" t="str">
        <f>'RESUMEN TOTAL'!A278</f>
        <v>CENTRO</v>
      </c>
      <c r="B223" t="str">
        <f>'RESUMEN TOTAL'!B278</f>
        <v>NJU06</v>
      </c>
      <c r="C223" t="str">
        <f>'RESUMEN TOTAL'!D278</f>
        <v>Sallares y Rodo</v>
      </c>
      <c r="D223" s="30" t="str">
        <f>'RESUMEN TOTAL'!E278</f>
        <v>Domo</v>
      </c>
      <c r="E223" s="30" t="str">
        <f>'RESUMEN TOTAL'!F278</f>
        <v>Fibra Optica</v>
      </c>
      <c r="F223" s="70">
        <f>'RESUMEN TOTAL'!M278</f>
        <v>0</v>
      </c>
      <c r="G223" s="70">
        <f>'RESUMEN TOTAL'!N278</f>
        <v>0</v>
      </c>
      <c r="H223" s="70">
        <f>'RESUMEN TOTAL'!O278</f>
        <v>0</v>
      </c>
      <c r="I223" s="70">
        <f>'RESUMEN TOTAL'!P278</f>
        <v>0</v>
      </c>
      <c r="J223" s="70">
        <f>'RESUMEN TOTAL'!Q278</f>
        <v>0</v>
      </c>
      <c r="K223" s="70">
        <f>'RESUMEN TOTAL'!R278</f>
        <v>0</v>
      </c>
      <c r="L223" s="70">
        <f>'RESUMEN TOTAL'!S278</f>
        <v>0</v>
      </c>
      <c r="M223" s="70">
        <f>'RESUMEN TOTAL'!T278</f>
        <v>0</v>
      </c>
      <c r="N223" s="70">
        <f>'RESUMEN TOTAL'!U278</f>
        <v>0</v>
      </c>
      <c r="O223" s="70">
        <f>'RESUMEN TOTAL'!V278</f>
        <v>0</v>
      </c>
      <c r="P223" s="70">
        <f>'RESUMEN TOTAL'!W278</f>
        <v>0</v>
      </c>
      <c r="Q223" s="70">
        <f>'RESUMEN TOTAL'!X278</f>
        <v>0</v>
      </c>
      <c r="R223" s="70">
        <f>'RESUMEN TOTAL'!Y278</f>
        <v>0</v>
      </c>
      <c r="S223" s="70">
        <f>'RESUMEN TOTAL'!Z278</f>
        <v>0</v>
      </c>
      <c r="T223" s="70">
        <f>'RESUMEN TOTAL'!AA278</f>
        <v>0</v>
      </c>
      <c r="U223" s="70">
        <f>'RESUMEN TOTAL'!AB278</f>
        <v>0</v>
      </c>
      <c r="V223" s="70">
        <f>'RESUMEN TOTAL'!AC278</f>
        <v>0</v>
      </c>
      <c r="W223" s="70">
        <f>'RESUMEN TOTAL'!AD278</f>
        <v>0</v>
      </c>
      <c r="X223" s="70">
        <f>'RESUMEN TOTAL'!AE278</f>
        <v>0</v>
      </c>
      <c r="Y223" s="70">
        <f>'RESUMEN TOTAL'!AF278</f>
        <v>0</v>
      </c>
      <c r="Z223" s="70">
        <f>'RESUMEN TOTAL'!AG278</f>
        <v>0</v>
      </c>
      <c r="AA223" s="70">
        <f>'RESUMEN TOTAL'!AH278</f>
        <v>0</v>
      </c>
      <c r="AB223" s="70">
        <f>'RESUMEN TOTAL'!AI278</f>
        <v>0</v>
      </c>
      <c r="AC223" s="70">
        <f>'RESUMEN TOTAL'!AJ278</f>
        <v>0</v>
      </c>
      <c r="AD223" s="70">
        <f>'RESUMEN TOTAL'!AK278</f>
        <v>0</v>
      </c>
      <c r="AE223" s="70">
        <f>'RESUMEN TOTAL'!AL278</f>
        <v>0</v>
      </c>
      <c r="AF223" s="70">
        <f>'RESUMEN TOTAL'!AM278</f>
        <v>0</v>
      </c>
      <c r="AG223" s="70">
        <f>'RESUMEN TOTAL'!AN278</f>
        <v>0</v>
      </c>
      <c r="AH223" s="70">
        <f>'RESUMEN TOTAL'!AO278</f>
        <v>0</v>
      </c>
      <c r="AI223" s="70">
        <f>'RESUMEN TOTAL'!AP278</f>
        <v>0</v>
      </c>
      <c r="AJ223" s="70">
        <f>'RESUMEN TOTAL'!AQ278</f>
        <v>0</v>
      </c>
    </row>
    <row r="224" spans="1:36" x14ac:dyDescent="0.25">
      <c r="A224" t="str">
        <f>'RESUMEN TOTAL'!A279</f>
        <v>9 DE JULIO</v>
      </c>
      <c r="B224" t="str">
        <f>'RESUMEN TOTAL'!B279</f>
        <v>NJU07</v>
      </c>
      <c r="C224" t="str">
        <f>'RESUMEN TOTAL'!D279</f>
        <v>Gral. Juan Domingo Peron y Parrillo</v>
      </c>
      <c r="D224" s="30" t="str">
        <f>'RESUMEN TOTAL'!E279</f>
        <v>Domo</v>
      </c>
      <c r="E224" s="30" t="str">
        <f>'RESUMEN TOTAL'!F279</f>
        <v>Fibra Optica</v>
      </c>
      <c r="F224" s="70">
        <f>'RESUMEN TOTAL'!M279</f>
        <v>0</v>
      </c>
      <c r="G224" s="70">
        <f>'RESUMEN TOTAL'!N279</f>
        <v>0</v>
      </c>
      <c r="H224" s="70">
        <f>'RESUMEN TOTAL'!O279</f>
        <v>0</v>
      </c>
      <c r="I224" s="70">
        <f>'RESUMEN TOTAL'!P279</f>
        <v>0</v>
      </c>
      <c r="J224" s="70">
        <f>'RESUMEN TOTAL'!Q279</f>
        <v>0</v>
      </c>
      <c r="K224" s="70">
        <f>'RESUMEN TOTAL'!R279</f>
        <v>0</v>
      </c>
      <c r="L224" s="70">
        <f>'RESUMEN TOTAL'!S279</f>
        <v>0</v>
      </c>
      <c r="M224" s="70">
        <f>'RESUMEN TOTAL'!T279</f>
        <v>0</v>
      </c>
      <c r="N224" s="70">
        <f>'RESUMEN TOTAL'!U279</f>
        <v>0</v>
      </c>
      <c r="O224" s="70">
        <f>'RESUMEN TOTAL'!V279</f>
        <v>0</v>
      </c>
      <c r="P224" s="70">
        <f>'RESUMEN TOTAL'!W279</f>
        <v>0</v>
      </c>
      <c r="Q224" s="70">
        <f>'RESUMEN TOTAL'!X279</f>
        <v>0</v>
      </c>
      <c r="R224" s="70">
        <f>'RESUMEN TOTAL'!Y279</f>
        <v>0</v>
      </c>
      <c r="S224" s="70">
        <f>'RESUMEN TOTAL'!Z279</f>
        <v>0</v>
      </c>
      <c r="T224" s="70">
        <f>'RESUMEN TOTAL'!AA279</f>
        <v>0</v>
      </c>
      <c r="U224" s="70">
        <f>'RESUMEN TOTAL'!AB279</f>
        <v>0</v>
      </c>
      <c r="V224" s="70">
        <f>'RESUMEN TOTAL'!AC279</f>
        <v>0</v>
      </c>
      <c r="W224" s="70">
        <f>'RESUMEN TOTAL'!AD279</f>
        <v>0</v>
      </c>
      <c r="X224" s="70">
        <f>'RESUMEN TOTAL'!AE279</f>
        <v>0</v>
      </c>
      <c r="Y224" s="70">
        <f>'RESUMEN TOTAL'!AF279</f>
        <v>0</v>
      </c>
      <c r="Z224" s="70">
        <f>'RESUMEN TOTAL'!AG279</f>
        <v>0</v>
      </c>
      <c r="AA224" s="70">
        <f>'RESUMEN TOTAL'!AH279</f>
        <v>0</v>
      </c>
      <c r="AB224" s="70">
        <f>'RESUMEN TOTAL'!AI279</f>
        <v>0</v>
      </c>
      <c r="AC224" s="70">
        <f>'RESUMEN TOTAL'!AJ279</f>
        <v>0</v>
      </c>
      <c r="AD224" s="70">
        <f>'RESUMEN TOTAL'!AK279</f>
        <v>0</v>
      </c>
      <c r="AE224" s="70">
        <f>'RESUMEN TOTAL'!AL279</f>
        <v>0</v>
      </c>
      <c r="AF224" s="70">
        <f>'RESUMEN TOTAL'!AM279</f>
        <v>0</v>
      </c>
      <c r="AG224" s="70">
        <f>'RESUMEN TOTAL'!AN279</f>
        <v>0</v>
      </c>
      <c r="AH224" s="70">
        <f>'RESUMEN TOTAL'!AO279</f>
        <v>0</v>
      </c>
      <c r="AI224" s="70">
        <f>'RESUMEN TOTAL'!AP279</f>
        <v>0</v>
      </c>
      <c r="AJ224" s="70">
        <f>'RESUMEN TOTAL'!AQ279</f>
        <v>0</v>
      </c>
    </row>
    <row r="225" spans="1:36" x14ac:dyDescent="0.25">
      <c r="A225" t="str">
        <f>'RESUMEN TOTAL'!A280</f>
        <v>9 DE JULIO</v>
      </c>
      <c r="B225" t="str">
        <f>'RESUMEN TOTAL'!B280</f>
        <v>NJU 08</v>
      </c>
      <c r="C225" t="str">
        <f>'RESUMEN TOTAL'!D280</f>
        <v>BOCCUZZI Y O HIGGINS</v>
      </c>
      <c r="D225" s="30" t="str">
        <f>'RESUMEN TOTAL'!E280</f>
        <v>DOMO</v>
      </c>
      <c r="E225" s="30" t="str">
        <f>'RESUMEN TOTAL'!F280</f>
        <v>GPON</v>
      </c>
      <c r="F225" s="70">
        <f>'RESUMEN TOTAL'!M280</f>
        <v>0</v>
      </c>
      <c r="G225" s="70">
        <f>'RESUMEN TOTAL'!N280</f>
        <v>0</v>
      </c>
      <c r="H225" s="70">
        <f>'RESUMEN TOTAL'!O280</f>
        <v>0</v>
      </c>
      <c r="I225" s="70">
        <f>'RESUMEN TOTAL'!P280</f>
        <v>0</v>
      </c>
      <c r="J225" s="70">
        <f>'RESUMEN TOTAL'!Q280</f>
        <v>0</v>
      </c>
      <c r="K225" s="70">
        <f>'RESUMEN TOTAL'!R280</f>
        <v>0</v>
      </c>
      <c r="L225" s="70">
        <f>'RESUMEN TOTAL'!S280</f>
        <v>0</v>
      </c>
      <c r="M225" s="70">
        <f>'RESUMEN TOTAL'!T280</f>
        <v>0</v>
      </c>
      <c r="N225" s="70">
        <f>'RESUMEN TOTAL'!U280</f>
        <v>0</v>
      </c>
      <c r="O225" s="70">
        <f>'RESUMEN TOTAL'!V280</f>
        <v>0</v>
      </c>
      <c r="P225" s="70">
        <f>'RESUMEN TOTAL'!W280</f>
        <v>0</v>
      </c>
      <c r="Q225" s="70">
        <f>'RESUMEN TOTAL'!X280</f>
        <v>0</v>
      </c>
      <c r="R225" s="70">
        <f>'RESUMEN TOTAL'!Y280</f>
        <v>0</v>
      </c>
      <c r="S225" s="70">
        <f>'RESUMEN TOTAL'!Z280</f>
        <v>0</v>
      </c>
      <c r="T225" s="70">
        <f>'RESUMEN TOTAL'!AA280</f>
        <v>0</v>
      </c>
      <c r="U225" s="70">
        <f>'RESUMEN TOTAL'!AB280</f>
        <v>0</v>
      </c>
      <c r="V225" s="70">
        <f>'RESUMEN TOTAL'!AC280</f>
        <v>0</v>
      </c>
      <c r="W225" s="70">
        <f>'RESUMEN TOTAL'!AD280</f>
        <v>0</v>
      </c>
      <c r="X225" s="70">
        <f>'RESUMEN TOTAL'!AE280</f>
        <v>0</v>
      </c>
      <c r="Y225" s="70">
        <f>'RESUMEN TOTAL'!AF280</f>
        <v>0</v>
      </c>
      <c r="Z225" s="70">
        <f>'RESUMEN TOTAL'!AG280</f>
        <v>0</v>
      </c>
      <c r="AA225" s="70">
        <f>'RESUMEN TOTAL'!AH280</f>
        <v>0</v>
      </c>
      <c r="AB225" s="70">
        <f>'RESUMEN TOTAL'!AI280</f>
        <v>0</v>
      </c>
      <c r="AC225" s="70">
        <f>'RESUMEN TOTAL'!AJ280</f>
        <v>0</v>
      </c>
      <c r="AD225" s="70">
        <f>'RESUMEN TOTAL'!AK280</f>
        <v>0</v>
      </c>
      <c r="AE225" s="70">
        <f>'RESUMEN TOTAL'!AL280</f>
        <v>0</v>
      </c>
      <c r="AF225" s="70">
        <f>'RESUMEN TOTAL'!AM280</f>
        <v>0</v>
      </c>
      <c r="AG225" s="70">
        <f>'RESUMEN TOTAL'!AN280</f>
        <v>0</v>
      </c>
      <c r="AH225" s="70">
        <f>'RESUMEN TOTAL'!AO280</f>
        <v>0</v>
      </c>
      <c r="AI225" s="70">
        <f>'RESUMEN TOTAL'!AP280</f>
        <v>0</v>
      </c>
      <c r="AJ225" s="70">
        <f>'RESUMEN TOTAL'!AQ280</f>
        <v>0</v>
      </c>
    </row>
    <row r="226" spans="1:36" x14ac:dyDescent="0.25">
      <c r="A226" t="str">
        <f>'RESUMEN TOTAL'!A281</f>
        <v>9 DE JULIO</v>
      </c>
      <c r="B226" t="str">
        <f>'RESUMEN TOTAL'!B281</f>
        <v>NJU09</v>
      </c>
      <c r="C226" t="str">
        <f>'RESUMEN TOTAL'!D281</f>
        <v>PARRILLO Y CONTRERAS</v>
      </c>
      <c r="D226" s="30" t="str">
        <f>'RESUMEN TOTAL'!E281</f>
        <v>DOMO</v>
      </c>
      <c r="E226" s="30" t="str">
        <f>'RESUMEN TOTAL'!F281</f>
        <v>GPON</v>
      </c>
      <c r="F226" s="70">
        <f>'RESUMEN TOTAL'!M281</f>
        <v>0</v>
      </c>
      <c r="G226" s="70">
        <f>'RESUMEN TOTAL'!N281</f>
        <v>0</v>
      </c>
      <c r="H226" s="70">
        <f>'RESUMEN TOTAL'!O281</f>
        <v>0</v>
      </c>
      <c r="I226" s="70">
        <f>'RESUMEN TOTAL'!P281</f>
        <v>0</v>
      </c>
      <c r="J226" s="70">
        <f>'RESUMEN TOTAL'!Q281</f>
        <v>0</v>
      </c>
      <c r="K226" s="70">
        <f>'RESUMEN TOTAL'!R281</f>
        <v>0</v>
      </c>
      <c r="L226" s="70">
        <f>'RESUMEN TOTAL'!S281</f>
        <v>0</v>
      </c>
      <c r="M226" s="70">
        <f>'RESUMEN TOTAL'!T281</f>
        <v>0</v>
      </c>
      <c r="N226" s="70">
        <f>'RESUMEN TOTAL'!U281</f>
        <v>0</v>
      </c>
      <c r="O226" s="70">
        <f>'RESUMEN TOTAL'!V281</f>
        <v>0</v>
      </c>
      <c r="P226" s="70">
        <f>'RESUMEN TOTAL'!W281</f>
        <v>0</v>
      </c>
      <c r="Q226" s="70">
        <f>'RESUMEN TOTAL'!X281</f>
        <v>0</v>
      </c>
      <c r="R226" s="70">
        <f>'RESUMEN TOTAL'!Y281</f>
        <v>0</v>
      </c>
      <c r="S226" s="70">
        <f>'RESUMEN TOTAL'!Z281</f>
        <v>0</v>
      </c>
      <c r="T226" s="70">
        <f>'RESUMEN TOTAL'!AA281</f>
        <v>0</v>
      </c>
      <c r="U226" s="70">
        <f>'RESUMEN TOTAL'!AB281</f>
        <v>0</v>
      </c>
      <c r="V226" s="70">
        <f>'RESUMEN TOTAL'!AC281</f>
        <v>0</v>
      </c>
      <c r="W226" s="70">
        <f>'RESUMEN TOTAL'!AD281</f>
        <v>0</v>
      </c>
      <c r="X226" s="70">
        <f>'RESUMEN TOTAL'!AE281</f>
        <v>0</v>
      </c>
      <c r="Y226" s="70">
        <f>'RESUMEN TOTAL'!AF281</f>
        <v>0</v>
      </c>
      <c r="Z226" s="70">
        <f>'RESUMEN TOTAL'!AG281</f>
        <v>0</v>
      </c>
      <c r="AA226" s="70">
        <f>'RESUMEN TOTAL'!AH281</f>
        <v>0</v>
      </c>
      <c r="AB226" s="70">
        <f>'RESUMEN TOTAL'!AI281</f>
        <v>0</v>
      </c>
      <c r="AC226" s="70">
        <f>'RESUMEN TOTAL'!AJ281</f>
        <v>0</v>
      </c>
      <c r="AD226" s="70">
        <f>'RESUMEN TOTAL'!AK281</f>
        <v>0</v>
      </c>
      <c r="AE226" s="70">
        <f>'RESUMEN TOTAL'!AL281</f>
        <v>0</v>
      </c>
      <c r="AF226" s="70">
        <f>'RESUMEN TOTAL'!AM281</f>
        <v>0</v>
      </c>
      <c r="AG226" s="70">
        <f>'RESUMEN TOTAL'!AN281</f>
        <v>0</v>
      </c>
      <c r="AH226" s="70">
        <f>'RESUMEN TOTAL'!AO281</f>
        <v>0</v>
      </c>
      <c r="AI226" s="70">
        <f>'RESUMEN TOTAL'!AP281</f>
        <v>0</v>
      </c>
      <c r="AJ226" s="70">
        <f>'RESUMEN TOTAL'!AQ281</f>
        <v>0</v>
      </c>
    </row>
    <row r="227" spans="1:36" x14ac:dyDescent="0.25">
      <c r="A227" t="str">
        <f>'RESUMEN TOTAL'!A285</f>
        <v>PICO DE ORO</v>
      </c>
      <c r="B227" t="str">
        <f>'RESUMEN TOTAL'!B285</f>
        <v>PCO 01</v>
      </c>
      <c r="C227" t="str">
        <f>'RESUMEN TOTAL'!D285</f>
        <v>CEMENTERIO</v>
      </c>
      <c r="D227" s="30" t="str">
        <f>'RESUMEN TOTAL'!E285</f>
        <v>DOMO</v>
      </c>
      <c r="E227" s="30" t="str">
        <f>'RESUMEN TOTAL'!F285</f>
        <v>Fibra Optica</v>
      </c>
      <c r="F227" s="70">
        <f>'RESUMEN TOTAL'!M285</f>
        <v>0</v>
      </c>
      <c r="G227" s="70">
        <f>'RESUMEN TOTAL'!N285</f>
        <v>0</v>
      </c>
      <c r="H227" s="70">
        <f>'RESUMEN TOTAL'!O285</f>
        <v>0</v>
      </c>
      <c r="I227" s="70">
        <f>'RESUMEN TOTAL'!P285</f>
        <v>0</v>
      </c>
      <c r="J227" s="70">
        <f>'RESUMEN TOTAL'!Q285</f>
        <v>0</v>
      </c>
      <c r="K227" s="70">
        <f>'RESUMEN TOTAL'!R285</f>
        <v>0</v>
      </c>
      <c r="L227" s="70">
        <f>'RESUMEN TOTAL'!S285</f>
        <v>0</v>
      </c>
      <c r="M227" s="70">
        <f>'RESUMEN TOTAL'!T285</f>
        <v>0</v>
      </c>
      <c r="N227" s="70">
        <f>'RESUMEN TOTAL'!U285</f>
        <v>0</v>
      </c>
      <c r="O227" s="70">
        <f>'RESUMEN TOTAL'!V285</f>
        <v>0</v>
      </c>
      <c r="P227" s="70">
        <f>'RESUMEN TOTAL'!W285</f>
        <v>0</v>
      </c>
      <c r="Q227" s="70">
        <f>'RESUMEN TOTAL'!X285</f>
        <v>0</v>
      </c>
      <c r="R227" s="70">
        <f>'RESUMEN TOTAL'!Y285</f>
        <v>0</v>
      </c>
      <c r="S227" s="70">
        <f>'RESUMEN TOTAL'!Z285</f>
        <v>0</v>
      </c>
      <c r="T227" s="70">
        <f>'RESUMEN TOTAL'!AA285</f>
        <v>0</v>
      </c>
      <c r="U227" s="70">
        <f>'RESUMEN TOTAL'!AB285</f>
        <v>0</v>
      </c>
      <c r="V227" s="70">
        <f>'RESUMEN TOTAL'!AC285</f>
        <v>0</v>
      </c>
      <c r="W227" s="70">
        <f>'RESUMEN TOTAL'!AD285</f>
        <v>0</v>
      </c>
      <c r="X227" s="70">
        <f>'RESUMEN TOTAL'!AE285</f>
        <v>0</v>
      </c>
      <c r="Y227" s="70">
        <f>'RESUMEN TOTAL'!AF285</f>
        <v>0</v>
      </c>
      <c r="Z227" s="70">
        <f>'RESUMEN TOTAL'!AG285</f>
        <v>0</v>
      </c>
      <c r="AA227" s="70">
        <f>'RESUMEN TOTAL'!AH285</f>
        <v>0</v>
      </c>
      <c r="AB227" s="70">
        <f>'RESUMEN TOTAL'!AI285</f>
        <v>0</v>
      </c>
      <c r="AC227" s="70">
        <f>'RESUMEN TOTAL'!AJ285</f>
        <v>0</v>
      </c>
      <c r="AD227" s="70">
        <f>'RESUMEN TOTAL'!AK285</f>
        <v>0</v>
      </c>
      <c r="AE227" s="70">
        <f>'RESUMEN TOTAL'!AL285</f>
        <v>0</v>
      </c>
      <c r="AF227" s="70">
        <f>'RESUMEN TOTAL'!AM285</f>
        <v>0</v>
      </c>
      <c r="AG227" s="70">
        <f>'RESUMEN TOTAL'!AN285</f>
        <v>0</v>
      </c>
      <c r="AH227" s="70">
        <f>'RESUMEN TOTAL'!AO285</f>
        <v>0</v>
      </c>
      <c r="AI227" s="70">
        <f>'RESUMEN TOTAL'!AP285</f>
        <v>0</v>
      </c>
      <c r="AJ227" s="70">
        <f>'RESUMEN TOTAL'!AQ285</f>
        <v>0</v>
      </c>
    </row>
    <row r="228" spans="1:36" x14ac:dyDescent="0.25">
      <c r="A228" t="str">
        <f>'RESUMEN TOTAL'!A286</f>
        <v>PICO DE ORO</v>
      </c>
      <c r="B228" t="str">
        <f>'RESUMEN TOTAL'!B286</f>
        <v>PCO02 (fija 1)</v>
      </c>
      <c r="C228" t="str">
        <f>'RESUMEN TOTAL'!D286</f>
        <v>SICILIA E/ VIENA Y VARSOVIA</v>
      </c>
      <c r="D228" s="30" t="str">
        <f>'RESUMEN TOTAL'!E286</f>
        <v>Fija</v>
      </c>
      <c r="E228" s="30" t="str">
        <f>'RESUMEN TOTAL'!F286</f>
        <v>Fibra Optica</v>
      </c>
      <c r="F228" s="70">
        <f>'RESUMEN TOTAL'!M286</f>
        <v>0</v>
      </c>
      <c r="G228" s="70">
        <f>'RESUMEN TOTAL'!N286</f>
        <v>0</v>
      </c>
      <c r="H228" s="70">
        <f>'RESUMEN TOTAL'!O286</f>
        <v>0</v>
      </c>
      <c r="I228" s="70">
        <f>'RESUMEN TOTAL'!P286</f>
        <v>0</v>
      </c>
      <c r="J228" s="70">
        <f>'RESUMEN TOTAL'!Q286</f>
        <v>0</v>
      </c>
      <c r="K228" s="70">
        <f>'RESUMEN TOTAL'!R286</f>
        <v>0</v>
      </c>
      <c r="L228" s="70">
        <f>'RESUMEN TOTAL'!S286</f>
        <v>0</v>
      </c>
      <c r="M228" s="70">
        <f>'RESUMEN TOTAL'!T286</f>
        <v>0</v>
      </c>
      <c r="N228" s="70">
        <f>'RESUMEN TOTAL'!U286</f>
        <v>0</v>
      </c>
      <c r="O228" s="70">
        <f>'RESUMEN TOTAL'!V286</f>
        <v>0</v>
      </c>
      <c r="P228" s="70">
        <f>'RESUMEN TOTAL'!W286</f>
        <v>0</v>
      </c>
      <c r="Q228" s="70">
        <f>'RESUMEN TOTAL'!X286</f>
        <v>0</v>
      </c>
      <c r="R228" s="70">
        <f>'RESUMEN TOTAL'!Y286</f>
        <v>0</v>
      </c>
      <c r="S228" s="70">
        <f>'RESUMEN TOTAL'!Z286</f>
        <v>0</v>
      </c>
      <c r="T228" s="70">
        <f>'RESUMEN TOTAL'!AA286</f>
        <v>0</v>
      </c>
      <c r="U228" s="70">
        <f>'RESUMEN TOTAL'!AB286</f>
        <v>0</v>
      </c>
      <c r="V228" s="70">
        <f>'RESUMEN TOTAL'!AC286</f>
        <v>0</v>
      </c>
      <c r="W228" s="70">
        <f>'RESUMEN TOTAL'!AD286</f>
        <v>0</v>
      </c>
      <c r="X228" s="70">
        <f>'RESUMEN TOTAL'!AE286</f>
        <v>0</v>
      </c>
      <c r="Y228" s="70">
        <f>'RESUMEN TOTAL'!AF286</f>
        <v>0</v>
      </c>
      <c r="Z228" s="70">
        <f>'RESUMEN TOTAL'!AG286</f>
        <v>0</v>
      </c>
      <c r="AA228" s="70">
        <f>'RESUMEN TOTAL'!AH286</f>
        <v>0</v>
      </c>
      <c r="AB228" s="70">
        <f>'RESUMEN TOTAL'!AI286</f>
        <v>0</v>
      </c>
      <c r="AC228" s="70">
        <f>'RESUMEN TOTAL'!AJ286</f>
        <v>0</v>
      </c>
      <c r="AD228" s="70">
        <f>'RESUMEN TOTAL'!AK286</f>
        <v>0</v>
      </c>
      <c r="AE228" s="70">
        <f>'RESUMEN TOTAL'!AL286</f>
        <v>0</v>
      </c>
      <c r="AF228" s="70">
        <f>'RESUMEN TOTAL'!AM286</f>
        <v>0</v>
      </c>
      <c r="AG228" s="70">
        <f>'RESUMEN TOTAL'!AN286</f>
        <v>0</v>
      </c>
      <c r="AH228" s="70">
        <f>'RESUMEN TOTAL'!AO286</f>
        <v>0</v>
      </c>
      <c r="AI228" s="70">
        <f>'RESUMEN TOTAL'!AP286</f>
        <v>0</v>
      </c>
      <c r="AJ228" s="70">
        <f>'RESUMEN TOTAL'!AQ286</f>
        <v>0</v>
      </c>
    </row>
    <row r="229" spans="1:36" x14ac:dyDescent="0.25">
      <c r="A229" t="str">
        <f>'RESUMEN TOTAL'!A287</f>
        <v>PICO DE ORO</v>
      </c>
      <c r="B229" t="str">
        <f>'RESUMEN TOTAL'!B287</f>
        <v>PCO03 (fija 2)</v>
      </c>
      <c r="C229" t="str">
        <f>'RESUMEN TOTAL'!D287</f>
        <v>SICILIA E/ VIENA Y VARSOVIA</v>
      </c>
      <c r="D229" s="30" t="str">
        <f>'RESUMEN TOTAL'!E287</f>
        <v>Fija</v>
      </c>
      <c r="E229" s="30" t="str">
        <f>'RESUMEN TOTAL'!F287</f>
        <v>Fibra Optica</v>
      </c>
      <c r="F229" s="70">
        <f>'RESUMEN TOTAL'!M287</f>
        <v>0</v>
      </c>
      <c r="G229" s="70">
        <f>'RESUMEN TOTAL'!N287</f>
        <v>0</v>
      </c>
      <c r="H229" s="70">
        <f>'RESUMEN TOTAL'!O287</f>
        <v>0</v>
      </c>
      <c r="I229" s="70">
        <f>'RESUMEN TOTAL'!P287</f>
        <v>0</v>
      </c>
      <c r="J229" s="70">
        <f>'RESUMEN TOTAL'!Q287</f>
        <v>0</v>
      </c>
      <c r="K229" s="70">
        <f>'RESUMEN TOTAL'!R287</f>
        <v>0</v>
      </c>
      <c r="L229" s="70">
        <f>'RESUMEN TOTAL'!S287</f>
        <v>0</v>
      </c>
      <c r="M229" s="70">
        <f>'RESUMEN TOTAL'!T287</f>
        <v>0</v>
      </c>
      <c r="N229" s="70">
        <f>'RESUMEN TOTAL'!U287</f>
        <v>0</v>
      </c>
      <c r="O229" s="70">
        <f>'RESUMEN TOTAL'!V287</f>
        <v>0</v>
      </c>
      <c r="P229" s="70">
        <f>'RESUMEN TOTAL'!W287</f>
        <v>0</v>
      </c>
      <c r="Q229" s="70">
        <f>'RESUMEN TOTAL'!X287</f>
        <v>0</v>
      </c>
      <c r="R229" s="70">
        <f>'RESUMEN TOTAL'!Y287</f>
        <v>0</v>
      </c>
      <c r="S229" s="70">
        <f>'RESUMEN TOTAL'!Z287</f>
        <v>0</v>
      </c>
      <c r="T229" s="70">
        <f>'RESUMEN TOTAL'!AA287</f>
        <v>0</v>
      </c>
      <c r="U229" s="70">
        <f>'RESUMEN TOTAL'!AB287</f>
        <v>0</v>
      </c>
      <c r="V229" s="70">
        <f>'RESUMEN TOTAL'!AC287</f>
        <v>0</v>
      </c>
      <c r="W229" s="70">
        <f>'RESUMEN TOTAL'!AD287</f>
        <v>0</v>
      </c>
      <c r="X229" s="70">
        <f>'RESUMEN TOTAL'!AE287</f>
        <v>0</v>
      </c>
      <c r="Y229" s="70">
        <f>'RESUMEN TOTAL'!AF287</f>
        <v>0</v>
      </c>
      <c r="Z229" s="70">
        <f>'RESUMEN TOTAL'!AG287</f>
        <v>0</v>
      </c>
      <c r="AA229" s="70">
        <f>'RESUMEN TOTAL'!AH287</f>
        <v>0</v>
      </c>
      <c r="AB229" s="70">
        <f>'RESUMEN TOTAL'!AI287</f>
        <v>0</v>
      </c>
      <c r="AC229" s="70">
        <f>'RESUMEN TOTAL'!AJ287</f>
        <v>0</v>
      </c>
      <c r="AD229" s="70">
        <f>'RESUMEN TOTAL'!AK287</f>
        <v>0</v>
      </c>
      <c r="AE229" s="70">
        <f>'RESUMEN TOTAL'!AL287</f>
        <v>0</v>
      </c>
      <c r="AF229" s="70">
        <f>'RESUMEN TOTAL'!AM287</f>
        <v>0</v>
      </c>
      <c r="AG229" s="70">
        <f>'RESUMEN TOTAL'!AN287</f>
        <v>0</v>
      </c>
      <c r="AH229" s="70">
        <f>'RESUMEN TOTAL'!AO287</f>
        <v>0</v>
      </c>
      <c r="AI229" s="70">
        <f>'RESUMEN TOTAL'!AP287</f>
        <v>0</v>
      </c>
      <c r="AJ229" s="70">
        <f>'RESUMEN TOTAL'!AQ287</f>
        <v>0</v>
      </c>
    </row>
    <row r="230" spans="1:36" x14ac:dyDescent="0.25">
      <c r="A230" t="str">
        <f>'RESUMEN TOTAL'!A288</f>
        <v>PICO DE ORO</v>
      </c>
      <c r="B230" t="str">
        <f>'RESUMEN TOTAL'!B288</f>
        <v>PCO04 (fija 1)</v>
      </c>
      <c r="C230" t="str">
        <f>'RESUMEN TOTAL'!D288</f>
        <v>BERNA Y POLONIA</v>
      </c>
      <c r="D230" s="30" t="str">
        <f>'RESUMEN TOTAL'!E288</f>
        <v>Fija</v>
      </c>
      <c r="E230" s="30" t="str">
        <f>'RESUMEN TOTAL'!F288</f>
        <v>Fibra Optica</v>
      </c>
      <c r="F230" s="70">
        <f>'RESUMEN TOTAL'!M288</f>
        <v>0</v>
      </c>
      <c r="G230" s="70">
        <f>'RESUMEN TOTAL'!N288</f>
        <v>0</v>
      </c>
      <c r="H230" s="70">
        <f>'RESUMEN TOTAL'!O288</f>
        <v>0</v>
      </c>
      <c r="I230" s="70">
        <f>'RESUMEN TOTAL'!P288</f>
        <v>0</v>
      </c>
      <c r="J230" s="70">
        <f>'RESUMEN TOTAL'!Q288</f>
        <v>0</v>
      </c>
      <c r="K230" s="70">
        <f>'RESUMEN TOTAL'!R288</f>
        <v>0</v>
      </c>
      <c r="L230" s="70">
        <f>'RESUMEN TOTAL'!S288</f>
        <v>0</v>
      </c>
      <c r="M230" s="70">
        <f>'RESUMEN TOTAL'!T288</f>
        <v>0</v>
      </c>
      <c r="N230" s="70">
        <f>'RESUMEN TOTAL'!U288</f>
        <v>0</v>
      </c>
      <c r="O230" s="70">
        <f>'RESUMEN TOTAL'!V288</f>
        <v>0</v>
      </c>
      <c r="P230" s="70">
        <f>'RESUMEN TOTAL'!W288</f>
        <v>0</v>
      </c>
      <c r="Q230" s="70">
        <f>'RESUMEN TOTAL'!X288</f>
        <v>0</v>
      </c>
      <c r="R230" s="70">
        <f>'RESUMEN TOTAL'!Y288</f>
        <v>0</v>
      </c>
      <c r="S230" s="70">
        <f>'RESUMEN TOTAL'!Z288</f>
        <v>0</v>
      </c>
      <c r="T230" s="70">
        <f>'RESUMEN TOTAL'!AA288</f>
        <v>0</v>
      </c>
      <c r="U230" s="70">
        <f>'RESUMEN TOTAL'!AB288</f>
        <v>0</v>
      </c>
      <c r="V230" s="70">
        <f>'RESUMEN TOTAL'!AC288</f>
        <v>0</v>
      </c>
      <c r="W230" s="70">
        <f>'RESUMEN TOTAL'!AD288</f>
        <v>0</v>
      </c>
      <c r="X230" s="70">
        <f>'RESUMEN TOTAL'!AE288</f>
        <v>0</v>
      </c>
      <c r="Y230" s="70">
        <f>'RESUMEN TOTAL'!AF288</f>
        <v>0</v>
      </c>
      <c r="Z230" s="70">
        <f>'RESUMEN TOTAL'!AG288</f>
        <v>0</v>
      </c>
      <c r="AA230" s="70">
        <f>'RESUMEN TOTAL'!AH288</f>
        <v>0</v>
      </c>
      <c r="AB230" s="70">
        <f>'RESUMEN TOTAL'!AI288</f>
        <v>0</v>
      </c>
      <c r="AC230" s="70">
        <f>'RESUMEN TOTAL'!AJ288</f>
        <v>0</v>
      </c>
      <c r="AD230" s="70">
        <f>'RESUMEN TOTAL'!AK288</f>
        <v>0</v>
      </c>
      <c r="AE230" s="70">
        <f>'RESUMEN TOTAL'!AL288</f>
        <v>0</v>
      </c>
      <c r="AF230" s="70">
        <f>'RESUMEN TOTAL'!AM288</f>
        <v>0</v>
      </c>
      <c r="AG230" s="70">
        <f>'RESUMEN TOTAL'!AN288</f>
        <v>0</v>
      </c>
      <c r="AH230" s="70">
        <f>'RESUMEN TOTAL'!AO288</f>
        <v>0</v>
      </c>
      <c r="AI230" s="70">
        <f>'RESUMEN TOTAL'!AP288</f>
        <v>0</v>
      </c>
      <c r="AJ230" s="70">
        <f>'RESUMEN TOTAL'!AQ288</f>
        <v>0</v>
      </c>
    </row>
    <row r="231" spans="1:36" x14ac:dyDescent="0.25">
      <c r="A231" t="str">
        <f>'RESUMEN TOTAL'!A289</f>
        <v>PICO DE ORO</v>
      </c>
      <c r="B231" t="str">
        <f>'RESUMEN TOTAL'!B289</f>
        <v>PCO05 (fija 2)</v>
      </c>
      <c r="C231" t="str">
        <f>'RESUMEN TOTAL'!D289</f>
        <v>BERNA Y POLONIA</v>
      </c>
      <c r="D231" s="30" t="str">
        <f>'RESUMEN TOTAL'!E289</f>
        <v>Fija</v>
      </c>
      <c r="E231" s="30" t="str">
        <f>'RESUMEN TOTAL'!F289</f>
        <v>Fibra Optica</v>
      </c>
      <c r="F231" s="70">
        <f>'RESUMEN TOTAL'!M289</f>
        <v>0</v>
      </c>
      <c r="G231" s="70">
        <f>'RESUMEN TOTAL'!N289</f>
        <v>0</v>
      </c>
      <c r="H231" s="70">
        <f>'RESUMEN TOTAL'!O289</f>
        <v>0</v>
      </c>
      <c r="I231" s="70">
        <f>'RESUMEN TOTAL'!P289</f>
        <v>0</v>
      </c>
      <c r="J231" s="70">
        <f>'RESUMEN TOTAL'!Q289</f>
        <v>0</v>
      </c>
      <c r="K231" s="70">
        <f>'RESUMEN TOTAL'!R289</f>
        <v>0</v>
      </c>
      <c r="L231" s="70">
        <f>'RESUMEN TOTAL'!S289</f>
        <v>0</v>
      </c>
      <c r="M231" s="70">
        <f>'RESUMEN TOTAL'!T289</f>
        <v>0</v>
      </c>
      <c r="N231" s="70">
        <f>'RESUMEN TOTAL'!U289</f>
        <v>0</v>
      </c>
      <c r="O231" s="70">
        <f>'RESUMEN TOTAL'!V289</f>
        <v>0</v>
      </c>
      <c r="P231" s="70">
        <f>'RESUMEN TOTAL'!W289</f>
        <v>0</v>
      </c>
      <c r="Q231" s="70">
        <f>'RESUMEN TOTAL'!X289</f>
        <v>0</v>
      </c>
      <c r="R231" s="70">
        <f>'RESUMEN TOTAL'!Y289</f>
        <v>0</v>
      </c>
      <c r="S231" s="70">
        <f>'RESUMEN TOTAL'!Z289</f>
        <v>0</v>
      </c>
      <c r="T231" s="70">
        <f>'RESUMEN TOTAL'!AA289</f>
        <v>0</v>
      </c>
      <c r="U231" s="70">
        <f>'RESUMEN TOTAL'!AB289</f>
        <v>0</v>
      </c>
      <c r="V231" s="70">
        <f>'RESUMEN TOTAL'!AC289</f>
        <v>0</v>
      </c>
      <c r="W231" s="70">
        <f>'RESUMEN TOTAL'!AD289</f>
        <v>0</v>
      </c>
      <c r="X231" s="70">
        <f>'RESUMEN TOTAL'!AE289</f>
        <v>0</v>
      </c>
      <c r="Y231" s="70">
        <f>'RESUMEN TOTAL'!AF289</f>
        <v>0</v>
      </c>
      <c r="Z231" s="70">
        <f>'RESUMEN TOTAL'!AG289</f>
        <v>0</v>
      </c>
      <c r="AA231" s="70">
        <f>'RESUMEN TOTAL'!AH289</f>
        <v>0</v>
      </c>
      <c r="AB231" s="70">
        <f>'RESUMEN TOTAL'!AI289</f>
        <v>0</v>
      </c>
      <c r="AC231" s="70">
        <f>'RESUMEN TOTAL'!AJ289</f>
        <v>0</v>
      </c>
      <c r="AD231" s="70">
        <f>'RESUMEN TOTAL'!AK289</f>
        <v>0</v>
      </c>
      <c r="AE231" s="70">
        <f>'RESUMEN TOTAL'!AL289</f>
        <v>0</v>
      </c>
      <c r="AF231" s="70">
        <f>'RESUMEN TOTAL'!AM289</f>
        <v>0</v>
      </c>
      <c r="AG231" s="70">
        <f>'RESUMEN TOTAL'!AN289</f>
        <v>0</v>
      </c>
      <c r="AH231" s="70">
        <f>'RESUMEN TOTAL'!AO289</f>
        <v>0</v>
      </c>
      <c r="AI231" s="70">
        <f>'RESUMEN TOTAL'!AP289</f>
        <v>0</v>
      </c>
      <c r="AJ231" s="70">
        <f>'RESUMEN TOTAL'!AQ289</f>
        <v>0</v>
      </c>
    </row>
    <row r="232" spans="1:36" x14ac:dyDescent="0.25">
      <c r="A232" t="str">
        <f>'RESUMEN TOTAL'!A290</f>
        <v>AGUSTIN RAMIREZ</v>
      </c>
      <c r="B232" t="str">
        <f>'RESUMEN TOTAL'!B290</f>
        <v>PUNTO SEGURO - AGUSTIN RAMIREZ (domo)</v>
      </c>
      <c r="C232" t="str">
        <f>'RESUMEN TOTAL'!D290</f>
        <v>EL MALAMBO Y LA TRANQUERA</v>
      </c>
      <c r="D232" s="30" t="str">
        <f>'RESUMEN TOTAL'!E290</f>
        <v>DOMO</v>
      </c>
      <c r="E232" s="30" t="str">
        <f>'RESUMEN TOTAL'!F290</f>
        <v>Fibra Optica</v>
      </c>
      <c r="F232" s="70">
        <f>'RESUMEN TOTAL'!M290</f>
        <v>0</v>
      </c>
      <c r="G232" s="70">
        <f>'RESUMEN TOTAL'!N290</f>
        <v>0</v>
      </c>
      <c r="H232" s="70">
        <f>'RESUMEN TOTAL'!O290</f>
        <v>0</v>
      </c>
      <c r="I232" s="70">
        <f>'RESUMEN TOTAL'!P290</f>
        <v>0</v>
      </c>
      <c r="J232" s="70">
        <f>'RESUMEN TOTAL'!Q290</f>
        <v>0</v>
      </c>
      <c r="K232" s="70">
        <f>'RESUMEN TOTAL'!R290</f>
        <v>0</v>
      </c>
      <c r="L232" s="70">
        <f>'RESUMEN TOTAL'!S290</f>
        <v>0</v>
      </c>
      <c r="M232" s="70">
        <f>'RESUMEN TOTAL'!T290</f>
        <v>0</v>
      </c>
      <c r="N232" s="70">
        <f>'RESUMEN TOTAL'!U290</f>
        <v>0</v>
      </c>
      <c r="O232" s="70">
        <f>'RESUMEN TOTAL'!V290</f>
        <v>0</v>
      </c>
      <c r="P232" s="70">
        <f>'RESUMEN TOTAL'!W290</f>
        <v>0</v>
      </c>
      <c r="Q232" s="70">
        <f>'RESUMEN TOTAL'!X290</f>
        <v>0</v>
      </c>
      <c r="R232" s="70">
        <f>'RESUMEN TOTAL'!Y290</f>
        <v>0</v>
      </c>
      <c r="S232" s="70">
        <f>'RESUMEN TOTAL'!Z290</f>
        <v>0</v>
      </c>
      <c r="T232" s="70">
        <f>'RESUMEN TOTAL'!AA290</f>
        <v>0</v>
      </c>
      <c r="U232" s="70">
        <f>'RESUMEN TOTAL'!AB290</f>
        <v>0</v>
      </c>
      <c r="V232" s="70">
        <f>'RESUMEN TOTAL'!AC290</f>
        <v>0</v>
      </c>
      <c r="W232" s="70">
        <f>'RESUMEN TOTAL'!AD290</f>
        <v>0</v>
      </c>
      <c r="X232" s="70">
        <f>'RESUMEN TOTAL'!AE290</f>
        <v>0</v>
      </c>
      <c r="Y232" s="70">
        <f>'RESUMEN TOTAL'!AF290</f>
        <v>0</v>
      </c>
      <c r="Z232" s="70">
        <f>'RESUMEN TOTAL'!AG290</f>
        <v>0</v>
      </c>
      <c r="AA232" s="70">
        <f>'RESUMEN TOTAL'!AH290</f>
        <v>0</v>
      </c>
      <c r="AB232" s="70">
        <f>'RESUMEN TOTAL'!AI290</f>
        <v>0</v>
      </c>
      <c r="AC232" s="70">
        <f>'RESUMEN TOTAL'!AJ290</f>
        <v>0</v>
      </c>
      <c r="AD232" s="70">
        <f>'RESUMEN TOTAL'!AK290</f>
        <v>0</v>
      </c>
      <c r="AE232" s="70">
        <f>'RESUMEN TOTAL'!AL290</f>
        <v>0</v>
      </c>
      <c r="AF232" s="70">
        <f>'RESUMEN TOTAL'!AM290</f>
        <v>0</v>
      </c>
      <c r="AG232" s="70">
        <f>'RESUMEN TOTAL'!AN290</f>
        <v>0</v>
      </c>
      <c r="AH232" s="70">
        <f>'RESUMEN TOTAL'!AO290</f>
        <v>0</v>
      </c>
      <c r="AI232" s="70">
        <f>'RESUMEN TOTAL'!AP290</f>
        <v>0</v>
      </c>
      <c r="AJ232" s="70">
        <f>'RESUMEN TOTAL'!AQ290</f>
        <v>0</v>
      </c>
    </row>
    <row r="233" spans="1:36" x14ac:dyDescent="0.25">
      <c r="A233" t="str">
        <f>'RESUMEN TOTAL'!A291</f>
        <v>AGUSTIN RAMIREZ</v>
      </c>
      <c r="B233" t="str">
        <f>'RESUMEN TOTAL'!B291</f>
        <v>PUNTO SEGURO - AGUSTIN RAMIREZ (fija)</v>
      </c>
      <c r="C233" t="str">
        <f>'RESUMEN TOTAL'!D291</f>
        <v>EL MALAMBO Y LA TRANQUERA</v>
      </c>
      <c r="D233" s="30" t="str">
        <f>'RESUMEN TOTAL'!E291</f>
        <v>Fija</v>
      </c>
      <c r="E233" s="30" t="str">
        <f>'RESUMEN TOTAL'!F291</f>
        <v>Fibra Optica</v>
      </c>
      <c r="F233" s="70">
        <f>'RESUMEN TOTAL'!M291</f>
        <v>0</v>
      </c>
      <c r="G233" s="70">
        <f>'RESUMEN TOTAL'!N291</f>
        <v>0</v>
      </c>
      <c r="H233" s="70">
        <f>'RESUMEN TOTAL'!O291</f>
        <v>0</v>
      </c>
      <c r="I233" s="70">
        <f>'RESUMEN TOTAL'!P291</f>
        <v>0</v>
      </c>
      <c r="J233" s="70">
        <f>'RESUMEN TOTAL'!Q291</f>
        <v>0</v>
      </c>
      <c r="K233" s="70">
        <f>'RESUMEN TOTAL'!R291</f>
        <v>0</v>
      </c>
      <c r="L233" s="70">
        <f>'RESUMEN TOTAL'!S291</f>
        <v>0</v>
      </c>
      <c r="M233" s="70">
        <f>'RESUMEN TOTAL'!T291</f>
        <v>0</v>
      </c>
      <c r="N233" s="70">
        <f>'RESUMEN TOTAL'!U291</f>
        <v>0</v>
      </c>
      <c r="O233" s="70">
        <f>'RESUMEN TOTAL'!V291</f>
        <v>0</v>
      </c>
      <c r="P233" s="70">
        <f>'RESUMEN TOTAL'!W291</f>
        <v>0</v>
      </c>
      <c r="Q233" s="70">
        <f>'RESUMEN TOTAL'!X291</f>
        <v>0</v>
      </c>
      <c r="R233" s="70">
        <f>'RESUMEN TOTAL'!Y291</f>
        <v>0</v>
      </c>
      <c r="S233" s="70">
        <f>'RESUMEN TOTAL'!Z291</f>
        <v>0</v>
      </c>
      <c r="T233" s="70">
        <f>'RESUMEN TOTAL'!AA291</f>
        <v>0</v>
      </c>
      <c r="U233" s="70">
        <f>'RESUMEN TOTAL'!AB291</f>
        <v>0</v>
      </c>
      <c r="V233" s="70">
        <f>'RESUMEN TOTAL'!AC291</f>
        <v>0</v>
      </c>
      <c r="W233" s="70">
        <f>'RESUMEN TOTAL'!AD291</f>
        <v>0</v>
      </c>
      <c r="X233" s="70">
        <f>'RESUMEN TOTAL'!AE291</f>
        <v>0</v>
      </c>
      <c r="Y233" s="70">
        <f>'RESUMEN TOTAL'!AF291</f>
        <v>0</v>
      </c>
      <c r="Z233" s="70">
        <f>'RESUMEN TOTAL'!AG291</f>
        <v>0</v>
      </c>
      <c r="AA233" s="70">
        <f>'RESUMEN TOTAL'!AH291</f>
        <v>0</v>
      </c>
      <c r="AB233" s="70">
        <f>'RESUMEN TOTAL'!AI291</f>
        <v>0</v>
      </c>
      <c r="AC233" s="70">
        <f>'RESUMEN TOTAL'!AJ291</f>
        <v>0</v>
      </c>
      <c r="AD233" s="70">
        <f>'RESUMEN TOTAL'!AK291</f>
        <v>0</v>
      </c>
      <c r="AE233" s="70">
        <f>'RESUMEN TOTAL'!AL291</f>
        <v>0</v>
      </c>
      <c r="AF233" s="70">
        <f>'RESUMEN TOTAL'!AM291</f>
        <v>0</v>
      </c>
      <c r="AG233" s="70">
        <f>'RESUMEN TOTAL'!AN291</f>
        <v>0</v>
      </c>
      <c r="AH233" s="70">
        <f>'RESUMEN TOTAL'!AO291</f>
        <v>0</v>
      </c>
      <c r="AI233" s="70">
        <f>'RESUMEN TOTAL'!AP291</f>
        <v>0</v>
      </c>
      <c r="AJ233" s="70">
        <f>'RESUMEN TOTAL'!AQ291</f>
        <v>0</v>
      </c>
    </row>
    <row r="234" spans="1:36" x14ac:dyDescent="0.25">
      <c r="A234" t="str">
        <f>'RESUMEN TOTAL'!A292</f>
        <v>AGUSTIN RAMIREZ</v>
      </c>
      <c r="B234" t="str">
        <f>'RESUMEN TOTAL'!B292</f>
        <v>PUNTO SEGURO AGUSTIN RAMIREZ INTERCOMUNICADOR</v>
      </c>
      <c r="C234" t="str">
        <f>'RESUMEN TOTAL'!D292</f>
        <v>MALAMBO Y LA TRANQUERA</v>
      </c>
      <c r="D234" s="30" t="str">
        <f>'RESUMEN TOTAL'!E292</f>
        <v>Fija</v>
      </c>
      <c r="E234" s="30" t="str">
        <f>'RESUMEN TOTAL'!F292</f>
        <v>Fibra Optica</v>
      </c>
      <c r="F234" s="70">
        <f>'RESUMEN TOTAL'!M292</f>
        <v>0</v>
      </c>
      <c r="G234" s="70">
        <f>'RESUMEN TOTAL'!N292</f>
        <v>0</v>
      </c>
      <c r="H234" s="70">
        <f>'RESUMEN TOTAL'!O292</f>
        <v>0</v>
      </c>
      <c r="I234" s="70">
        <f>'RESUMEN TOTAL'!P292</f>
        <v>0</v>
      </c>
      <c r="J234" s="70">
        <f>'RESUMEN TOTAL'!Q292</f>
        <v>0</v>
      </c>
      <c r="K234" s="70">
        <f>'RESUMEN TOTAL'!R292</f>
        <v>0</v>
      </c>
      <c r="L234" s="70">
        <f>'RESUMEN TOTAL'!S292</f>
        <v>0</v>
      </c>
      <c r="M234" s="70">
        <f>'RESUMEN TOTAL'!T292</f>
        <v>0</v>
      </c>
      <c r="N234" s="70">
        <f>'RESUMEN TOTAL'!U292</f>
        <v>0</v>
      </c>
      <c r="O234" s="70">
        <f>'RESUMEN TOTAL'!V292</f>
        <v>0</v>
      </c>
      <c r="P234" s="70">
        <f>'RESUMEN TOTAL'!W292</f>
        <v>0</v>
      </c>
      <c r="Q234" s="70">
        <f>'RESUMEN TOTAL'!X292</f>
        <v>0</v>
      </c>
      <c r="R234" s="70">
        <f>'RESUMEN TOTAL'!Y292</f>
        <v>0</v>
      </c>
      <c r="S234" s="70">
        <f>'RESUMEN TOTAL'!Z292</f>
        <v>0</v>
      </c>
      <c r="T234" s="70">
        <f>'RESUMEN TOTAL'!AA292</f>
        <v>0</v>
      </c>
      <c r="U234" s="70">
        <f>'RESUMEN TOTAL'!AB292</f>
        <v>0</v>
      </c>
      <c r="V234" s="70">
        <f>'RESUMEN TOTAL'!AC292</f>
        <v>0</v>
      </c>
      <c r="W234" s="70">
        <f>'RESUMEN TOTAL'!AD292</f>
        <v>0</v>
      </c>
      <c r="X234" s="70">
        <f>'RESUMEN TOTAL'!AE292</f>
        <v>0</v>
      </c>
      <c r="Y234" s="70">
        <f>'RESUMEN TOTAL'!AF292</f>
        <v>0</v>
      </c>
      <c r="Z234" s="70">
        <f>'RESUMEN TOTAL'!AG292</f>
        <v>0</v>
      </c>
      <c r="AA234" s="70">
        <f>'RESUMEN TOTAL'!AH292</f>
        <v>0</v>
      </c>
      <c r="AB234" s="70">
        <f>'RESUMEN TOTAL'!AI292</f>
        <v>0</v>
      </c>
      <c r="AC234" s="70">
        <f>'RESUMEN TOTAL'!AJ292</f>
        <v>0</v>
      </c>
      <c r="AD234" s="70">
        <f>'RESUMEN TOTAL'!AK292</f>
        <v>0</v>
      </c>
      <c r="AE234" s="70">
        <f>'RESUMEN TOTAL'!AL292</f>
        <v>0</v>
      </c>
      <c r="AF234" s="70">
        <f>'RESUMEN TOTAL'!AM292</f>
        <v>0</v>
      </c>
      <c r="AG234" s="70">
        <f>'RESUMEN TOTAL'!AN292</f>
        <v>0</v>
      </c>
      <c r="AH234" s="70">
        <f>'RESUMEN TOTAL'!AO292</f>
        <v>0</v>
      </c>
      <c r="AI234" s="70">
        <f>'RESUMEN TOTAL'!AP292</f>
        <v>0</v>
      </c>
      <c r="AJ234" s="70">
        <f>'RESUMEN TOTAL'!AQ292</f>
        <v>0</v>
      </c>
    </row>
    <row r="235" spans="1:36" x14ac:dyDescent="0.25">
      <c r="A235" t="str">
        <f>'RESUMEN TOTAL'!A293</f>
        <v>EL PARQUE</v>
      </c>
      <c r="B235" t="str">
        <f>'RESUMEN TOTAL'!B293</f>
        <v>PUNTO SEGURO - EL PARQUE (domo)</v>
      </c>
      <c r="C235" t="str">
        <f>'RESUMEN TOTAL'!D293</f>
        <v>CALLE 1282 Y 1201</v>
      </c>
      <c r="D235" s="30" t="str">
        <f>'RESUMEN TOTAL'!E293</f>
        <v>DOMO</v>
      </c>
      <c r="E235" s="30" t="str">
        <f>'RESUMEN TOTAL'!F293</f>
        <v>Fibra Optica</v>
      </c>
      <c r="F235" s="70">
        <f>'RESUMEN TOTAL'!M293</f>
        <v>0</v>
      </c>
      <c r="G235" s="70">
        <f>'RESUMEN TOTAL'!N293</f>
        <v>0</v>
      </c>
      <c r="H235" s="70">
        <f>'RESUMEN TOTAL'!O293</f>
        <v>0</v>
      </c>
      <c r="I235" s="70">
        <f>'RESUMEN TOTAL'!P293</f>
        <v>0</v>
      </c>
      <c r="J235" s="70">
        <f>'RESUMEN TOTAL'!Q293</f>
        <v>0</v>
      </c>
      <c r="K235" s="70">
        <f>'RESUMEN TOTAL'!R293</f>
        <v>0</v>
      </c>
      <c r="L235" s="70">
        <f>'RESUMEN TOTAL'!S293</f>
        <v>0</v>
      </c>
      <c r="M235" s="70">
        <f>'RESUMEN TOTAL'!T293</f>
        <v>0</v>
      </c>
      <c r="N235" s="70">
        <f>'RESUMEN TOTAL'!U293</f>
        <v>0</v>
      </c>
      <c r="O235" s="70">
        <f>'RESUMEN TOTAL'!V293</f>
        <v>0</v>
      </c>
      <c r="P235" s="70">
        <f>'RESUMEN TOTAL'!W293</f>
        <v>0</v>
      </c>
      <c r="Q235" s="70">
        <f>'RESUMEN TOTAL'!X293</f>
        <v>0</v>
      </c>
      <c r="R235" s="70">
        <f>'RESUMEN TOTAL'!Y293</f>
        <v>0</v>
      </c>
      <c r="S235" s="70">
        <f>'RESUMEN TOTAL'!Z293</f>
        <v>0</v>
      </c>
      <c r="T235" s="70">
        <f>'RESUMEN TOTAL'!AA293</f>
        <v>0</v>
      </c>
      <c r="U235" s="70">
        <f>'RESUMEN TOTAL'!AB293</f>
        <v>0</v>
      </c>
      <c r="V235" s="70">
        <f>'RESUMEN TOTAL'!AC293</f>
        <v>0</v>
      </c>
      <c r="W235" s="70">
        <f>'RESUMEN TOTAL'!AD293</f>
        <v>0</v>
      </c>
      <c r="X235" s="70">
        <f>'RESUMEN TOTAL'!AE293</f>
        <v>0</v>
      </c>
      <c r="Y235" s="70">
        <f>'RESUMEN TOTAL'!AF293</f>
        <v>0</v>
      </c>
      <c r="Z235" s="70">
        <f>'RESUMEN TOTAL'!AG293</f>
        <v>0</v>
      </c>
      <c r="AA235" s="70">
        <f>'RESUMEN TOTAL'!AH293</f>
        <v>0</v>
      </c>
      <c r="AB235" s="70">
        <f>'RESUMEN TOTAL'!AI293</f>
        <v>0</v>
      </c>
      <c r="AC235" s="70">
        <f>'RESUMEN TOTAL'!AJ293</f>
        <v>0</v>
      </c>
      <c r="AD235" s="70">
        <f>'RESUMEN TOTAL'!AK293</f>
        <v>0</v>
      </c>
      <c r="AE235" s="70">
        <f>'RESUMEN TOTAL'!AL293</f>
        <v>0</v>
      </c>
      <c r="AF235" s="70">
        <f>'RESUMEN TOTAL'!AM293</f>
        <v>0</v>
      </c>
      <c r="AG235" s="70">
        <f>'RESUMEN TOTAL'!AN293</f>
        <v>0</v>
      </c>
      <c r="AH235" s="70">
        <f>'RESUMEN TOTAL'!AO293</f>
        <v>0</v>
      </c>
      <c r="AI235" s="70">
        <f>'RESUMEN TOTAL'!AP293</f>
        <v>0</v>
      </c>
      <c r="AJ235" s="70">
        <f>'RESUMEN TOTAL'!AQ293</f>
        <v>0</v>
      </c>
    </row>
    <row r="236" spans="1:36" x14ac:dyDescent="0.25">
      <c r="A236" t="str">
        <f>'RESUMEN TOTAL'!A294</f>
        <v>EL PARQUE</v>
      </c>
      <c r="B236" t="str">
        <f>'RESUMEN TOTAL'!B294</f>
        <v>PUNTO SEGURO - EL PARQUE (fija)</v>
      </c>
      <c r="C236" t="str">
        <f>'RESUMEN TOTAL'!D294</f>
        <v>CALLE 1282 Y 1201</v>
      </c>
      <c r="D236" s="30" t="str">
        <f>'RESUMEN TOTAL'!E294</f>
        <v>Fija</v>
      </c>
      <c r="E236" s="30" t="str">
        <f>'RESUMEN TOTAL'!F294</f>
        <v>Fibra Optica</v>
      </c>
      <c r="F236" s="70">
        <f>'RESUMEN TOTAL'!M294</f>
        <v>0</v>
      </c>
      <c r="G236" s="70">
        <f>'RESUMEN TOTAL'!N294</f>
        <v>0</v>
      </c>
      <c r="H236" s="70">
        <f>'RESUMEN TOTAL'!O294</f>
        <v>0</v>
      </c>
      <c r="I236" s="70">
        <f>'RESUMEN TOTAL'!P294</f>
        <v>0</v>
      </c>
      <c r="J236" s="70">
        <f>'RESUMEN TOTAL'!Q294</f>
        <v>0</v>
      </c>
      <c r="K236" s="70">
        <f>'RESUMEN TOTAL'!R294</f>
        <v>0</v>
      </c>
      <c r="L236" s="70">
        <f>'RESUMEN TOTAL'!S294</f>
        <v>0</v>
      </c>
      <c r="M236" s="70">
        <f>'RESUMEN TOTAL'!T294</f>
        <v>0</v>
      </c>
      <c r="N236" s="70">
        <f>'RESUMEN TOTAL'!U294</f>
        <v>0</v>
      </c>
      <c r="O236" s="70">
        <f>'RESUMEN TOTAL'!V294</f>
        <v>0</v>
      </c>
      <c r="P236" s="70">
        <f>'RESUMEN TOTAL'!W294</f>
        <v>0</v>
      </c>
      <c r="Q236" s="70">
        <f>'RESUMEN TOTAL'!X294</f>
        <v>0</v>
      </c>
      <c r="R236" s="70">
        <f>'RESUMEN TOTAL'!Y294</f>
        <v>0</v>
      </c>
      <c r="S236" s="70">
        <f>'RESUMEN TOTAL'!Z294</f>
        <v>0</v>
      </c>
      <c r="T236" s="70">
        <f>'RESUMEN TOTAL'!AA294</f>
        <v>0</v>
      </c>
      <c r="U236" s="70">
        <f>'RESUMEN TOTAL'!AB294</f>
        <v>0</v>
      </c>
      <c r="V236" s="70">
        <f>'RESUMEN TOTAL'!AC294</f>
        <v>0</v>
      </c>
      <c r="W236" s="70">
        <f>'RESUMEN TOTAL'!AD294</f>
        <v>0</v>
      </c>
      <c r="X236" s="70">
        <f>'RESUMEN TOTAL'!AE294</f>
        <v>0</v>
      </c>
      <c r="Y236" s="70">
        <f>'RESUMEN TOTAL'!AF294</f>
        <v>0</v>
      </c>
      <c r="Z236" s="70">
        <f>'RESUMEN TOTAL'!AG294</f>
        <v>0</v>
      </c>
      <c r="AA236" s="70">
        <f>'RESUMEN TOTAL'!AH294</f>
        <v>0</v>
      </c>
      <c r="AB236" s="70">
        <f>'RESUMEN TOTAL'!AI294</f>
        <v>0</v>
      </c>
      <c r="AC236" s="70">
        <f>'RESUMEN TOTAL'!AJ294</f>
        <v>0</v>
      </c>
      <c r="AD236" s="70">
        <f>'RESUMEN TOTAL'!AK294</f>
        <v>0</v>
      </c>
      <c r="AE236" s="70">
        <f>'RESUMEN TOTAL'!AL294</f>
        <v>0</v>
      </c>
      <c r="AF236" s="70">
        <f>'RESUMEN TOTAL'!AM294</f>
        <v>0</v>
      </c>
      <c r="AG236" s="70">
        <f>'RESUMEN TOTAL'!AN294</f>
        <v>0</v>
      </c>
      <c r="AH236" s="70">
        <f>'RESUMEN TOTAL'!AO294</f>
        <v>0</v>
      </c>
      <c r="AI236" s="70">
        <f>'RESUMEN TOTAL'!AP294</f>
        <v>0</v>
      </c>
      <c r="AJ236" s="70">
        <f>'RESUMEN TOTAL'!AQ294</f>
        <v>0</v>
      </c>
    </row>
    <row r="237" spans="1:36" x14ac:dyDescent="0.25">
      <c r="A237" t="str">
        <f>'RESUMEN TOTAL'!A295</f>
        <v>EL PARQUE</v>
      </c>
      <c r="B237" t="str">
        <f>'RESUMEN TOTAL'!B295</f>
        <v>PUNTO SEGURO - EL PARQUE INTERCOMUNICADOR</v>
      </c>
      <c r="C237" t="str">
        <f>'RESUMEN TOTAL'!D295</f>
        <v>1282 Y 1201</v>
      </c>
      <c r="D237" s="30" t="str">
        <f>'RESUMEN TOTAL'!E295</f>
        <v>Fija</v>
      </c>
      <c r="E237" s="30" t="str">
        <f>'RESUMEN TOTAL'!F295</f>
        <v>Fibra Optica</v>
      </c>
      <c r="F237" s="70">
        <f>'RESUMEN TOTAL'!M295</f>
        <v>0</v>
      </c>
      <c r="G237" s="70">
        <f>'RESUMEN TOTAL'!N295</f>
        <v>0</v>
      </c>
      <c r="H237" s="70">
        <f>'RESUMEN TOTAL'!O295</f>
        <v>0</v>
      </c>
      <c r="I237" s="70">
        <f>'RESUMEN TOTAL'!P295</f>
        <v>0</v>
      </c>
      <c r="J237" s="70">
        <f>'RESUMEN TOTAL'!Q295</f>
        <v>0</v>
      </c>
      <c r="K237" s="70">
        <f>'RESUMEN TOTAL'!R295</f>
        <v>0</v>
      </c>
      <c r="L237" s="70">
        <f>'RESUMEN TOTAL'!S295</f>
        <v>0</v>
      </c>
      <c r="M237" s="70">
        <f>'RESUMEN TOTAL'!T295</f>
        <v>0</v>
      </c>
      <c r="N237" s="70">
        <f>'RESUMEN TOTAL'!U295</f>
        <v>0</v>
      </c>
      <c r="O237" s="70">
        <f>'RESUMEN TOTAL'!V295</f>
        <v>0</v>
      </c>
      <c r="P237" s="70">
        <f>'RESUMEN TOTAL'!W295</f>
        <v>0</v>
      </c>
      <c r="Q237" s="70">
        <f>'RESUMEN TOTAL'!X295</f>
        <v>0</v>
      </c>
      <c r="R237" s="70">
        <f>'RESUMEN TOTAL'!Y295</f>
        <v>0</v>
      </c>
      <c r="S237" s="70">
        <f>'RESUMEN TOTAL'!Z295</f>
        <v>0</v>
      </c>
      <c r="T237" s="70">
        <f>'RESUMEN TOTAL'!AA295</f>
        <v>0</v>
      </c>
      <c r="U237" s="70">
        <f>'RESUMEN TOTAL'!AB295</f>
        <v>0</v>
      </c>
      <c r="V237" s="70">
        <f>'RESUMEN TOTAL'!AC295</f>
        <v>0</v>
      </c>
      <c r="W237" s="70">
        <f>'RESUMEN TOTAL'!AD295</f>
        <v>0</v>
      </c>
      <c r="X237" s="70">
        <f>'RESUMEN TOTAL'!AE295</f>
        <v>0</v>
      </c>
      <c r="Y237" s="70">
        <f>'RESUMEN TOTAL'!AF295</f>
        <v>0</v>
      </c>
      <c r="Z237" s="70">
        <f>'RESUMEN TOTAL'!AG295</f>
        <v>0</v>
      </c>
      <c r="AA237" s="70">
        <f>'RESUMEN TOTAL'!AH295</f>
        <v>0</v>
      </c>
      <c r="AB237" s="70">
        <f>'RESUMEN TOTAL'!AI295</f>
        <v>0</v>
      </c>
      <c r="AC237" s="70">
        <f>'RESUMEN TOTAL'!AJ295</f>
        <v>0</v>
      </c>
      <c r="AD237" s="70">
        <f>'RESUMEN TOTAL'!AK295</f>
        <v>0</v>
      </c>
      <c r="AE237" s="70">
        <f>'RESUMEN TOTAL'!AL295</f>
        <v>0</v>
      </c>
      <c r="AF237" s="70">
        <f>'RESUMEN TOTAL'!AM295</f>
        <v>0</v>
      </c>
      <c r="AG237" s="70">
        <f>'RESUMEN TOTAL'!AN295</f>
        <v>0</v>
      </c>
      <c r="AH237" s="70">
        <f>'RESUMEN TOTAL'!AO295</f>
        <v>0</v>
      </c>
      <c r="AI237" s="70">
        <f>'RESUMEN TOTAL'!AP295</f>
        <v>0</v>
      </c>
      <c r="AJ237" s="70">
        <f>'RESUMEN TOTAL'!AQ295</f>
        <v>0</v>
      </c>
    </row>
    <row r="238" spans="1:36" x14ac:dyDescent="0.25">
      <c r="A238" t="str">
        <f>'RESUMEN TOTAL'!A296</f>
        <v>INGENIERO ALLAN</v>
      </c>
      <c r="B238" t="str">
        <f>'RESUMEN TOTAL'!B296</f>
        <v>PUNTO SEGURO - ING. ALLAN (domo)</v>
      </c>
      <c r="C238" t="str">
        <f>'RESUMEN TOTAL'!D296</f>
        <v>DIAG. LOS YAGANES Y 1148</v>
      </c>
      <c r="D238" s="30" t="str">
        <f>'RESUMEN TOTAL'!E296</f>
        <v>DOMO</v>
      </c>
      <c r="E238" s="30" t="str">
        <f>'RESUMEN TOTAL'!F296</f>
        <v>Fibra Optica</v>
      </c>
      <c r="F238" s="70">
        <f>'RESUMEN TOTAL'!M296</f>
        <v>0</v>
      </c>
      <c r="G238" s="70">
        <f>'RESUMEN TOTAL'!N296</f>
        <v>0</v>
      </c>
      <c r="H238" s="70">
        <f>'RESUMEN TOTAL'!O296</f>
        <v>0</v>
      </c>
      <c r="I238" s="70">
        <f>'RESUMEN TOTAL'!P296</f>
        <v>0</v>
      </c>
      <c r="J238" s="70">
        <f>'RESUMEN TOTAL'!Q296</f>
        <v>0</v>
      </c>
      <c r="K238" s="70">
        <f>'RESUMEN TOTAL'!R296</f>
        <v>0</v>
      </c>
      <c r="L238" s="70">
        <f>'RESUMEN TOTAL'!S296</f>
        <v>0</v>
      </c>
      <c r="M238" s="70">
        <f>'RESUMEN TOTAL'!T296</f>
        <v>0</v>
      </c>
      <c r="N238" s="70">
        <f>'RESUMEN TOTAL'!U296</f>
        <v>0</v>
      </c>
      <c r="O238" s="70">
        <f>'RESUMEN TOTAL'!V296</f>
        <v>0</v>
      </c>
      <c r="P238" s="70">
        <f>'RESUMEN TOTAL'!W296</f>
        <v>0</v>
      </c>
      <c r="Q238" s="70">
        <f>'RESUMEN TOTAL'!X296</f>
        <v>0</v>
      </c>
      <c r="R238" s="70">
        <f>'RESUMEN TOTAL'!Y296</f>
        <v>0</v>
      </c>
      <c r="S238" s="70">
        <f>'RESUMEN TOTAL'!Z296</f>
        <v>0</v>
      </c>
      <c r="T238" s="70">
        <f>'RESUMEN TOTAL'!AA296</f>
        <v>0</v>
      </c>
      <c r="U238" s="70">
        <f>'RESUMEN TOTAL'!AB296</f>
        <v>0</v>
      </c>
      <c r="V238" s="70">
        <f>'RESUMEN TOTAL'!AC296</f>
        <v>0</v>
      </c>
      <c r="W238" s="70">
        <f>'RESUMEN TOTAL'!AD296</f>
        <v>0</v>
      </c>
      <c r="X238" s="70">
        <f>'RESUMEN TOTAL'!AE296</f>
        <v>0</v>
      </c>
      <c r="Y238" s="70">
        <f>'RESUMEN TOTAL'!AF296</f>
        <v>0</v>
      </c>
      <c r="Z238" s="70">
        <f>'RESUMEN TOTAL'!AG296</f>
        <v>0</v>
      </c>
      <c r="AA238" s="70">
        <f>'RESUMEN TOTAL'!AH296</f>
        <v>0</v>
      </c>
      <c r="AB238" s="70">
        <f>'RESUMEN TOTAL'!AI296</f>
        <v>0</v>
      </c>
      <c r="AC238" s="70">
        <f>'RESUMEN TOTAL'!AJ296</f>
        <v>0</v>
      </c>
      <c r="AD238" s="70">
        <f>'RESUMEN TOTAL'!AK296</f>
        <v>0</v>
      </c>
      <c r="AE238" s="70">
        <f>'RESUMEN TOTAL'!AL296</f>
        <v>0</v>
      </c>
      <c r="AF238" s="70">
        <f>'RESUMEN TOTAL'!AM296</f>
        <v>0</v>
      </c>
      <c r="AG238" s="70">
        <f>'RESUMEN TOTAL'!AN296</f>
        <v>0</v>
      </c>
      <c r="AH238" s="70">
        <f>'RESUMEN TOTAL'!AO296</f>
        <v>0</v>
      </c>
      <c r="AI238" s="70">
        <f>'RESUMEN TOTAL'!AP296</f>
        <v>0</v>
      </c>
      <c r="AJ238" s="70">
        <f>'RESUMEN TOTAL'!AQ296</f>
        <v>0</v>
      </c>
    </row>
    <row r="239" spans="1:36" x14ac:dyDescent="0.25">
      <c r="A239" t="str">
        <f>'RESUMEN TOTAL'!A297</f>
        <v>INGENIERO ALLAN</v>
      </c>
      <c r="B239" t="str">
        <f>'RESUMEN TOTAL'!B297</f>
        <v>PUNTO SEGURO - ING. ALLAN (fija)</v>
      </c>
      <c r="C239" t="str">
        <f>'RESUMEN TOTAL'!D297</f>
        <v>DIAG. LOS YAGANES Y 1148</v>
      </c>
      <c r="D239" s="30" t="str">
        <f>'RESUMEN TOTAL'!E297</f>
        <v>Fija</v>
      </c>
      <c r="E239" s="30" t="str">
        <f>'RESUMEN TOTAL'!F297</f>
        <v>Fibra Optica</v>
      </c>
      <c r="F239" s="70">
        <f>'RESUMEN TOTAL'!M297</f>
        <v>0</v>
      </c>
      <c r="G239" s="70">
        <f>'RESUMEN TOTAL'!N297</f>
        <v>0</v>
      </c>
      <c r="H239" s="70">
        <f>'RESUMEN TOTAL'!O297</f>
        <v>0</v>
      </c>
      <c r="I239" s="70">
        <f>'RESUMEN TOTAL'!P297</f>
        <v>0</v>
      </c>
      <c r="J239" s="70">
        <f>'RESUMEN TOTAL'!Q297</f>
        <v>0</v>
      </c>
      <c r="K239" s="70">
        <f>'RESUMEN TOTAL'!R297</f>
        <v>0</v>
      </c>
      <c r="L239" s="70">
        <f>'RESUMEN TOTAL'!S297</f>
        <v>0</v>
      </c>
      <c r="M239" s="70">
        <f>'RESUMEN TOTAL'!T297</f>
        <v>0</v>
      </c>
      <c r="N239" s="70">
        <f>'RESUMEN TOTAL'!U297</f>
        <v>0</v>
      </c>
      <c r="O239" s="70">
        <f>'RESUMEN TOTAL'!V297</f>
        <v>0</v>
      </c>
      <c r="P239" s="70">
        <f>'RESUMEN TOTAL'!W297</f>
        <v>0</v>
      </c>
      <c r="Q239" s="70">
        <f>'RESUMEN TOTAL'!X297</f>
        <v>0</v>
      </c>
      <c r="R239" s="70">
        <f>'RESUMEN TOTAL'!Y297</f>
        <v>0</v>
      </c>
      <c r="S239" s="70">
        <f>'RESUMEN TOTAL'!Z297</f>
        <v>0</v>
      </c>
      <c r="T239" s="70">
        <f>'RESUMEN TOTAL'!AA297</f>
        <v>0</v>
      </c>
      <c r="U239" s="70">
        <f>'RESUMEN TOTAL'!AB297</f>
        <v>0</v>
      </c>
      <c r="V239" s="70">
        <f>'RESUMEN TOTAL'!AC297</f>
        <v>0</v>
      </c>
      <c r="W239" s="70">
        <f>'RESUMEN TOTAL'!AD297</f>
        <v>0</v>
      </c>
      <c r="X239" s="70">
        <f>'RESUMEN TOTAL'!AE297</f>
        <v>0</v>
      </c>
      <c r="Y239" s="70">
        <f>'RESUMEN TOTAL'!AF297</f>
        <v>0</v>
      </c>
      <c r="Z239" s="70">
        <f>'RESUMEN TOTAL'!AG297</f>
        <v>0</v>
      </c>
      <c r="AA239" s="70">
        <f>'RESUMEN TOTAL'!AH297</f>
        <v>0</v>
      </c>
      <c r="AB239" s="70">
        <f>'RESUMEN TOTAL'!AI297</f>
        <v>0</v>
      </c>
      <c r="AC239" s="70">
        <f>'RESUMEN TOTAL'!AJ297</f>
        <v>0</v>
      </c>
      <c r="AD239" s="70">
        <f>'RESUMEN TOTAL'!AK297</f>
        <v>0</v>
      </c>
      <c r="AE239" s="70">
        <f>'RESUMEN TOTAL'!AL297</f>
        <v>0</v>
      </c>
      <c r="AF239" s="70">
        <f>'RESUMEN TOTAL'!AM297</f>
        <v>0</v>
      </c>
      <c r="AG239" s="70">
        <f>'RESUMEN TOTAL'!AN297</f>
        <v>0</v>
      </c>
      <c r="AH239" s="70">
        <f>'RESUMEN TOTAL'!AO297</f>
        <v>0</v>
      </c>
      <c r="AI239" s="70">
        <f>'RESUMEN TOTAL'!AP297</f>
        <v>0</v>
      </c>
      <c r="AJ239" s="70">
        <f>'RESUMEN TOTAL'!AQ297</f>
        <v>0</v>
      </c>
    </row>
    <row r="240" spans="1:36" x14ac:dyDescent="0.25">
      <c r="A240" t="str">
        <f>'RESUMEN TOTAL'!A298</f>
        <v>INGENIERO ALLAN</v>
      </c>
      <c r="B240" t="str">
        <f>'RESUMEN TOTAL'!B298</f>
        <v>PUNTO SEGURO - ING ALLAN INTERCOMUNICADOR</v>
      </c>
      <c r="C240" t="str">
        <f>'RESUMEN TOTAL'!D298</f>
        <v>DIAG LOS YAGANES Y 1148</v>
      </c>
      <c r="D240" s="30" t="str">
        <f>'RESUMEN TOTAL'!E298</f>
        <v>Domo</v>
      </c>
      <c r="E240" s="30" t="str">
        <f>'RESUMEN TOTAL'!F298</f>
        <v>Fibra Optica</v>
      </c>
      <c r="F240" s="70">
        <f>'RESUMEN TOTAL'!M298</f>
        <v>0</v>
      </c>
      <c r="G240" s="70">
        <f>'RESUMEN TOTAL'!N298</f>
        <v>0</v>
      </c>
      <c r="H240" s="70">
        <f>'RESUMEN TOTAL'!O298</f>
        <v>0</v>
      </c>
      <c r="I240" s="70">
        <f>'RESUMEN TOTAL'!P298</f>
        <v>0</v>
      </c>
      <c r="J240" s="70">
        <f>'RESUMEN TOTAL'!Q298</f>
        <v>0</v>
      </c>
      <c r="K240" s="70">
        <f>'RESUMEN TOTAL'!R298</f>
        <v>0</v>
      </c>
      <c r="L240" s="70">
        <f>'RESUMEN TOTAL'!S298</f>
        <v>0</v>
      </c>
      <c r="M240" s="70">
        <f>'RESUMEN TOTAL'!T298</f>
        <v>0</v>
      </c>
      <c r="N240" s="70">
        <f>'RESUMEN TOTAL'!U298</f>
        <v>0</v>
      </c>
      <c r="O240" s="70">
        <f>'RESUMEN TOTAL'!V298</f>
        <v>0</v>
      </c>
      <c r="P240" s="70">
        <f>'RESUMEN TOTAL'!W298</f>
        <v>0</v>
      </c>
      <c r="Q240" s="70">
        <f>'RESUMEN TOTAL'!X298</f>
        <v>0</v>
      </c>
      <c r="R240" s="70">
        <f>'RESUMEN TOTAL'!Y298</f>
        <v>0</v>
      </c>
      <c r="S240" s="70">
        <f>'RESUMEN TOTAL'!Z298</f>
        <v>0</v>
      </c>
      <c r="T240" s="70">
        <f>'RESUMEN TOTAL'!AA298</f>
        <v>0</v>
      </c>
      <c r="U240" s="70">
        <f>'RESUMEN TOTAL'!AB298</f>
        <v>0</v>
      </c>
      <c r="V240" s="70">
        <f>'RESUMEN TOTAL'!AC298</f>
        <v>0</v>
      </c>
      <c r="W240" s="70">
        <f>'RESUMEN TOTAL'!AD298</f>
        <v>0</v>
      </c>
      <c r="X240" s="70">
        <f>'RESUMEN TOTAL'!AE298</f>
        <v>0</v>
      </c>
      <c r="Y240" s="70">
        <f>'RESUMEN TOTAL'!AF298</f>
        <v>0</v>
      </c>
      <c r="Z240" s="70">
        <f>'RESUMEN TOTAL'!AG298</f>
        <v>0</v>
      </c>
      <c r="AA240" s="70">
        <f>'RESUMEN TOTAL'!AH298</f>
        <v>0</v>
      </c>
      <c r="AB240" s="70">
        <f>'RESUMEN TOTAL'!AI298</f>
        <v>0</v>
      </c>
      <c r="AC240" s="70">
        <f>'RESUMEN TOTAL'!AJ298</f>
        <v>0</v>
      </c>
      <c r="AD240" s="70">
        <f>'RESUMEN TOTAL'!AK298</f>
        <v>0</v>
      </c>
      <c r="AE240" s="70">
        <f>'RESUMEN TOTAL'!AL298</f>
        <v>0</v>
      </c>
      <c r="AF240" s="70">
        <f>'RESUMEN TOTAL'!AM298</f>
        <v>0</v>
      </c>
      <c r="AG240" s="70">
        <f>'RESUMEN TOTAL'!AN298</f>
        <v>0</v>
      </c>
      <c r="AH240" s="70">
        <f>'RESUMEN TOTAL'!AO298</f>
        <v>0</v>
      </c>
      <c r="AI240" s="70">
        <f>'RESUMEN TOTAL'!AP298</f>
        <v>0</v>
      </c>
      <c r="AJ240" s="70">
        <f>'RESUMEN TOTAL'!AQ298</f>
        <v>0</v>
      </c>
    </row>
    <row r="241" spans="1:36" x14ac:dyDescent="0.25">
      <c r="A241" t="str">
        <f>'RESUMEN TOTAL'!A299</f>
        <v>LUJAN</v>
      </c>
      <c r="B241" t="str">
        <f>'RESUMEN TOTAL'!B299</f>
        <v>PUNTO SEGURO - LUJAN (fija)</v>
      </c>
      <c r="C241" t="str">
        <f>'RESUMEN TOTAL'!D299</f>
        <v>DIAG. LOS TILOS Y LOS ALGARROBOS</v>
      </c>
      <c r="D241" s="30" t="str">
        <f>'RESUMEN TOTAL'!E299</f>
        <v>Fija</v>
      </c>
      <c r="E241" s="30" t="str">
        <f>'RESUMEN TOTAL'!F299</f>
        <v>Fibra Optica</v>
      </c>
      <c r="F241" s="70">
        <f>'RESUMEN TOTAL'!M299</f>
        <v>0</v>
      </c>
      <c r="G241" s="70">
        <f>'RESUMEN TOTAL'!N299</f>
        <v>0</v>
      </c>
      <c r="H241" s="70">
        <f>'RESUMEN TOTAL'!O299</f>
        <v>0</v>
      </c>
      <c r="I241" s="70">
        <f>'RESUMEN TOTAL'!P299</f>
        <v>0</v>
      </c>
      <c r="J241" s="70">
        <f>'RESUMEN TOTAL'!Q299</f>
        <v>0</v>
      </c>
      <c r="K241" s="70">
        <f>'RESUMEN TOTAL'!R299</f>
        <v>0</v>
      </c>
      <c r="L241" s="70">
        <f>'RESUMEN TOTAL'!S299</f>
        <v>0</v>
      </c>
      <c r="M241" s="70">
        <f>'RESUMEN TOTAL'!T299</f>
        <v>0</v>
      </c>
      <c r="N241" s="70">
        <f>'RESUMEN TOTAL'!U299</f>
        <v>0</v>
      </c>
      <c r="O241" s="70">
        <f>'RESUMEN TOTAL'!V299</f>
        <v>0</v>
      </c>
      <c r="P241" s="70">
        <f>'RESUMEN TOTAL'!W299</f>
        <v>0</v>
      </c>
      <c r="Q241" s="70">
        <f>'RESUMEN TOTAL'!X299</f>
        <v>0</v>
      </c>
      <c r="R241" s="70">
        <f>'RESUMEN TOTAL'!Y299</f>
        <v>0</v>
      </c>
      <c r="S241" s="70">
        <f>'RESUMEN TOTAL'!Z299</f>
        <v>0</v>
      </c>
      <c r="T241" s="70">
        <f>'RESUMEN TOTAL'!AA299</f>
        <v>0</v>
      </c>
      <c r="U241" s="70">
        <f>'RESUMEN TOTAL'!AB299</f>
        <v>0</v>
      </c>
      <c r="V241" s="70">
        <f>'RESUMEN TOTAL'!AC299</f>
        <v>0</v>
      </c>
      <c r="W241" s="70">
        <f>'RESUMEN TOTAL'!AD299</f>
        <v>0</v>
      </c>
      <c r="X241" s="70">
        <f>'RESUMEN TOTAL'!AE299</f>
        <v>0</v>
      </c>
      <c r="Y241" s="70">
        <f>'RESUMEN TOTAL'!AF299</f>
        <v>0</v>
      </c>
      <c r="Z241" s="70">
        <f>'RESUMEN TOTAL'!AG299</f>
        <v>0</v>
      </c>
      <c r="AA241" s="70">
        <f>'RESUMEN TOTAL'!AH299</f>
        <v>0</v>
      </c>
      <c r="AB241" s="70">
        <f>'RESUMEN TOTAL'!AI299</f>
        <v>0</v>
      </c>
      <c r="AC241" s="70">
        <f>'RESUMEN TOTAL'!AJ299</f>
        <v>0</v>
      </c>
      <c r="AD241" s="70">
        <f>'RESUMEN TOTAL'!AK299</f>
        <v>0</v>
      </c>
      <c r="AE241" s="70">
        <f>'RESUMEN TOTAL'!AL299</f>
        <v>0</v>
      </c>
      <c r="AF241" s="70">
        <f>'RESUMEN TOTAL'!AM299</f>
        <v>0</v>
      </c>
      <c r="AG241" s="70">
        <f>'RESUMEN TOTAL'!AN299</f>
        <v>0</v>
      </c>
      <c r="AH241" s="70">
        <f>'RESUMEN TOTAL'!AO299</f>
        <v>0</v>
      </c>
      <c r="AI241" s="70">
        <f>'RESUMEN TOTAL'!AP299</f>
        <v>0</v>
      </c>
      <c r="AJ241" s="70">
        <f>'RESUMEN TOTAL'!AQ299</f>
        <v>0</v>
      </c>
    </row>
    <row r="242" spans="1:36" x14ac:dyDescent="0.25">
      <c r="A242" t="str">
        <f>'RESUMEN TOTAL'!A300</f>
        <v>LUJAN</v>
      </c>
      <c r="B242" t="str">
        <f>'RESUMEN TOTAL'!B300</f>
        <v>PUNTO SEGURO LUJAN (domo)</v>
      </c>
      <c r="C242" t="str">
        <f>'RESUMEN TOTAL'!D300</f>
        <v>DIAG. LOS TILOS Y LOS ALGARROBOS</v>
      </c>
      <c r="D242" s="30" t="str">
        <f>'RESUMEN TOTAL'!E300</f>
        <v>DOMO</v>
      </c>
      <c r="E242" s="30" t="str">
        <f>'RESUMEN TOTAL'!F300</f>
        <v>Fibra Optica</v>
      </c>
      <c r="F242" s="70">
        <f>'RESUMEN TOTAL'!M300</f>
        <v>0</v>
      </c>
      <c r="G242" s="70">
        <f>'RESUMEN TOTAL'!N300</f>
        <v>0</v>
      </c>
      <c r="H242" s="70">
        <f>'RESUMEN TOTAL'!O300</f>
        <v>0</v>
      </c>
      <c r="I242" s="70">
        <f>'RESUMEN TOTAL'!P300</f>
        <v>0</v>
      </c>
      <c r="J242" s="70">
        <f>'RESUMEN TOTAL'!Q300</f>
        <v>0</v>
      </c>
      <c r="K242" s="70">
        <f>'RESUMEN TOTAL'!R300</f>
        <v>0</v>
      </c>
      <c r="L242" s="70">
        <f>'RESUMEN TOTAL'!S300</f>
        <v>0</v>
      </c>
      <c r="M242" s="70">
        <f>'RESUMEN TOTAL'!T300</f>
        <v>0</v>
      </c>
      <c r="N242" s="70">
        <f>'RESUMEN TOTAL'!U300</f>
        <v>0</v>
      </c>
      <c r="O242" s="70">
        <f>'RESUMEN TOTAL'!V300</f>
        <v>0</v>
      </c>
      <c r="P242" s="70">
        <f>'RESUMEN TOTAL'!W300</f>
        <v>0</v>
      </c>
      <c r="Q242" s="70">
        <f>'RESUMEN TOTAL'!X300</f>
        <v>0</v>
      </c>
      <c r="R242" s="70">
        <f>'RESUMEN TOTAL'!Y300</f>
        <v>0</v>
      </c>
      <c r="S242" s="70">
        <f>'RESUMEN TOTAL'!Z300</f>
        <v>0</v>
      </c>
      <c r="T242" s="70">
        <f>'RESUMEN TOTAL'!AA300</f>
        <v>0</v>
      </c>
      <c r="U242" s="70">
        <f>'RESUMEN TOTAL'!AB300</f>
        <v>0</v>
      </c>
      <c r="V242" s="70">
        <f>'RESUMEN TOTAL'!AC300</f>
        <v>0</v>
      </c>
      <c r="W242" s="70">
        <f>'RESUMEN TOTAL'!AD300</f>
        <v>0</v>
      </c>
      <c r="X242" s="70">
        <f>'RESUMEN TOTAL'!AE300</f>
        <v>0</v>
      </c>
      <c r="Y242" s="70">
        <f>'RESUMEN TOTAL'!AF300</f>
        <v>0</v>
      </c>
      <c r="Z242" s="70">
        <f>'RESUMEN TOTAL'!AG300</f>
        <v>0</v>
      </c>
      <c r="AA242" s="70">
        <f>'RESUMEN TOTAL'!AH300</f>
        <v>0</v>
      </c>
      <c r="AB242" s="70">
        <f>'RESUMEN TOTAL'!AI300</f>
        <v>0</v>
      </c>
      <c r="AC242" s="70">
        <f>'RESUMEN TOTAL'!AJ300</f>
        <v>0</v>
      </c>
      <c r="AD242" s="70">
        <f>'RESUMEN TOTAL'!AK300</f>
        <v>0</v>
      </c>
      <c r="AE242" s="70">
        <f>'RESUMEN TOTAL'!AL300</f>
        <v>0</v>
      </c>
      <c r="AF242" s="70">
        <f>'RESUMEN TOTAL'!AM300</f>
        <v>0</v>
      </c>
      <c r="AG242" s="70">
        <f>'RESUMEN TOTAL'!AN300</f>
        <v>0</v>
      </c>
      <c r="AH242" s="70">
        <f>'RESUMEN TOTAL'!AO300</f>
        <v>0</v>
      </c>
      <c r="AI242" s="70">
        <f>'RESUMEN TOTAL'!AP300</f>
        <v>0</v>
      </c>
      <c r="AJ242" s="70">
        <f>'RESUMEN TOTAL'!AQ300</f>
        <v>0</v>
      </c>
    </row>
    <row r="243" spans="1:36" x14ac:dyDescent="0.25">
      <c r="A243" t="str">
        <f>'RESUMEN TOTAL'!A301</f>
        <v>LUJAN</v>
      </c>
      <c r="B243" t="str">
        <f>'RESUMEN TOTAL'!B301</f>
        <v>PUNTO SEGURO LUJAN INTERCOMUNICADOR</v>
      </c>
      <c r="C243" t="str">
        <f>'RESUMEN TOTAL'!D301</f>
        <v>DIAG LOS TILOS Y LOS ALGARROBOS</v>
      </c>
      <c r="D243" s="30" t="str">
        <f>'RESUMEN TOTAL'!E301</f>
        <v>Fija</v>
      </c>
      <c r="E243" s="30" t="str">
        <f>'RESUMEN TOTAL'!F301</f>
        <v>Fibra Optica</v>
      </c>
      <c r="F243" s="70">
        <f>'RESUMEN TOTAL'!M301</f>
        <v>0</v>
      </c>
      <c r="G243" s="70">
        <f>'RESUMEN TOTAL'!N301</f>
        <v>0</v>
      </c>
      <c r="H243" s="70">
        <f>'RESUMEN TOTAL'!O301</f>
        <v>0</v>
      </c>
      <c r="I243" s="70">
        <f>'RESUMEN TOTAL'!P301</f>
        <v>0</v>
      </c>
      <c r="J243" s="70">
        <f>'RESUMEN TOTAL'!Q301</f>
        <v>0</v>
      </c>
      <c r="K243" s="70">
        <f>'RESUMEN TOTAL'!R301</f>
        <v>0</v>
      </c>
      <c r="L243" s="70">
        <f>'RESUMEN TOTAL'!S301</f>
        <v>0</v>
      </c>
      <c r="M243" s="70">
        <f>'RESUMEN TOTAL'!T301</f>
        <v>0</v>
      </c>
      <c r="N243" s="70">
        <f>'RESUMEN TOTAL'!U301</f>
        <v>0</v>
      </c>
      <c r="O243" s="70">
        <f>'RESUMEN TOTAL'!V301</f>
        <v>0</v>
      </c>
      <c r="P243" s="70">
        <f>'RESUMEN TOTAL'!W301</f>
        <v>0</v>
      </c>
      <c r="Q243" s="70">
        <f>'RESUMEN TOTAL'!X301</f>
        <v>0</v>
      </c>
      <c r="R243" s="70">
        <f>'RESUMEN TOTAL'!Y301</f>
        <v>0</v>
      </c>
      <c r="S243" s="70">
        <f>'RESUMEN TOTAL'!Z301</f>
        <v>0</v>
      </c>
      <c r="T243" s="70">
        <f>'RESUMEN TOTAL'!AA301</f>
        <v>0</v>
      </c>
      <c r="U243" s="70">
        <f>'RESUMEN TOTAL'!AB301</f>
        <v>0</v>
      </c>
      <c r="V243" s="70">
        <f>'RESUMEN TOTAL'!AC301</f>
        <v>0</v>
      </c>
      <c r="W243" s="70">
        <f>'RESUMEN TOTAL'!AD301</f>
        <v>0</v>
      </c>
      <c r="X243" s="70">
        <f>'RESUMEN TOTAL'!AE301</f>
        <v>0</v>
      </c>
      <c r="Y243" s="70">
        <f>'RESUMEN TOTAL'!AF301</f>
        <v>0</v>
      </c>
      <c r="Z243" s="70">
        <f>'RESUMEN TOTAL'!AG301</f>
        <v>0</v>
      </c>
      <c r="AA243" s="70">
        <f>'RESUMEN TOTAL'!AH301</f>
        <v>0</v>
      </c>
      <c r="AB243" s="70">
        <f>'RESUMEN TOTAL'!AI301</f>
        <v>0</v>
      </c>
      <c r="AC243" s="70">
        <f>'RESUMEN TOTAL'!AJ301</f>
        <v>0</v>
      </c>
      <c r="AD243" s="70">
        <f>'RESUMEN TOTAL'!AK301</f>
        <v>0</v>
      </c>
      <c r="AE243" s="70">
        <f>'RESUMEN TOTAL'!AL301</f>
        <v>0</v>
      </c>
      <c r="AF243" s="70">
        <f>'RESUMEN TOTAL'!AM301</f>
        <v>0</v>
      </c>
      <c r="AG243" s="70">
        <f>'RESUMEN TOTAL'!AN301</f>
        <v>0</v>
      </c>
      <c r="AH243" s="70">
        <f>'RESUMEN TOTAL'!AO301</f>
        <v>0</v>
      </c>
      <c r="AI243" s="70">
        <f>'RESUMEN TOTAL'!AP301</f>
        <v>0</v>
      </c>
      <c r="AJ243" s="70">
        <f>'RESUMEN TOTAL'!AQ301</f>
        <v>0</v>
      </c>
    </row>
    <row r="244" spans="1:36" x14ac:dyDescent="0.25">
      <c r="A244" t="str">
        <f>'RESUMEN TOTAL'!A302</f>
        <v>ZONA RURAL SANTA ROSA</v>
      </c>
      <c r="B244" t="str">
        <f>'RESUMEN TOTAL'!B302</f>
        <v>PUNTO SEGURO - PICO DE ORO (domo)</v>
      </c>
      <c r="C244" t="str">
        <f>'RESUMEN TOTAL'!D302</f>
        <v>PISANI Y BULGARIA</v>
      </c>
      <c r="D244" s="30" t="str">
        <f>'RESUMEN TOTAL'!E302</f>
        <v>DOMO</v>
      </c>
      <c r="E244" s="30" t="str">
        <f>'RESUMEN TOTAL'!F302</f>
        <v>Fibra Optica</v>
      </c>
      <c r="F244" s="70">
        <f>'RESUMEN TOTAL'!M302</f>
        <v>0</v>
      </c>
      <c r="G244" s="70">
        <f>'RESUMEN TOTAL'!N302</f>
        <v>0</v>
      </c>
      <c r="H244" s="70">
        <f>'RESUMEN TOTAL'!O302</f>
        <v>0</v>
      </c>
      <c r="I244" s="70">
        <f>'RESUMEN TOTAL'!P302</f>
        <v>0</v>
      </c>
      <c r="J244" s="70">
        <f>'RESUMEN TOTAL'!Q302</f>
        <v>0</v>
      </c>
      <c r="K244" s="70">
        <f>'RESUMEN TOTAL'!R302</f>
        <v>0</v>
      </c>
      <c r="L244" s="70">
        <f>'RESUMEN TOTAL'!S302</f>
        <v>0</v>
      </c>
      <c r="M244" s="70">
        <f>'RESUMEN TOTAL'!T302</f>
        <v>0</v>
      </c>
      <c r="N244" s="70">
        <f>'RESUMEN TOTAL'!U302</f>
        <v>0</v>
      </c>
      <c r="O244" s="70">
        <f>'RESUMEN TOTAL'!V302</f>
        <v>0</v>
      </c>
      <c r="P244" s="70">
        <f>'RESUMEN TOTAL'!W302</f>
        <v>0</v>
      </c>
      <c r="Q244" s="70">
        <f>'RESUMEN TOTAL'!X302</f>
        <v>0</v>
      </c>
      <c r="R244" s="70">
        <f>'RESUMEN TOTAL'!Y302</f>
        <v>0</v>
      </c>
      <c r="S244" s="70">
        <f>'RESUMEN TOTAL'!Z302</f>
        <v>0</v>
      </c>
      <c r="T244" s="70">
        <f>'RESUMEN TOTAL'!AA302</f>
        <v>0</v>
      </c>
      <c r="U244" s="70">
        <f>'RESUMEN TOTAL'!AB302</f>
        <v>0</v>
      </c>
      <c r="V244" s="70">
        <f>'RESUMEN TOTAL'!AC302</f>
        <v>0</v>
      </c>
      <c r="W244" s="70">
        <f>'RESUMEN TOTAL'!AD302</f>
        <v>0</v>
      </c>
      <c r="X244" s="70">
        <f>'RESUMEN TOTAL'!AE302</f>
        <v>0</v>
      </c>
      <c r="Y244" s="70">
        <f>'RESUMEN TOTAL'!AF302</f>
        <v>0</v>
      </c>
      <c r="Z244" s="70">
        <f>'RESUMEN TOTAL'!AG302</f>
        <v>0</v>
      </c>
      <c r="AA244" s="70">
        <f>'RESUMEN TOTAL'!AH302</f>
        <v>0</v>
      </c>
      <c r="AB244" s="70">
        <f>'RESUMEN TOTAL'!AI302</f>
        <v>0</v>
      </c>
      <c r="AC244" s="70">
        <f>'RESUMEN TOTAL'!AJ302</f>
        <v>0</v>
      </c>
      <c r="AD244" s="70">
        <f>'RESUMEN TOTAL'!AK302</f>
        <v>0</v>
      </c>
      <c r="AE244" s="70">
        <f>'RESUMEN TOTAL'!AL302</f>
        <v>0</v>
      </c>
      <c r="AF244" s="70">
        <f>'RESUMEN TOTAL'!AM302</f>
        <v>0</v>
      </c>
      <c r="AG244" s="70">
        <f>'RESUMEN TOTAL'!AN302</f>
        <v>0</v>
      </c>
      <c r="AH244" s="70">
        <f>'RESUMEN TOTAL'!AO302</f>
        <v>0</v>
      </c>
      <c r="AI244" s="70">
        <f>'RESUMEN TOTAL'!AP302</f>
        <v>0</v>
      </c>
      <c r="AJ244" s="70">
        <f>'RESUMEN TOTAL'!AQ302</f>
        <v>0</v>
      </c>
    </row>
    <row r="245" spans="1:36" x14ac:dyDescent="0.25">
      <c r="A245" t="str">
        <f>'RESUMEN TOTAL'!A303</f>
        <v>ZONA RURAL SANTA ROSA</v>
      </c>
      <c r="B245" t="str">
        <f>'RESUMEN TOTAL'!B303</f>
        <v>PUNTO SEGURO - PICO DE ORO (fija)</v>
      </c>
      <c r="C245" t="str">
        <f>'RESUMEN TOTAL'!D303</f>
        <v>PISANI Y BULGARIA</v>
      </c>
      <c r="D245" s="30" t="str">
        <f>'RESUMEN TOTAL'!E303</f>
        <v>Fija</v>
      </c>
      <c r="E245" s="30" t="str">
        <f>'RESUMEN TOTAL'!F303</f>
        <v>Fibra Optica</v>
      </c>
      <c r="F245" s="70">
        <f>'RESUMEN TOTAL'!M303</f>
        <v>0</v>
      </c>
      <c r="G245" s="70">
        <f>'RESUMEN TOTAL'!N303</f>
        <v>0</v>
      </c>
      <c r="H245" s="70">
        <f>'RESUMEN TOTAL'!O303</f>
        <v>0</v>
      </c>
      <c r="I245" s="70">
        <f>'RESUMEN TOTAL'!P303</f>
        <v>0</v>
      </c>
      <c r="J245" s="70">
        <f>'RESUMEN TOTAL'!Q303</f>
        <v>0</v>
      </c>
      <c r="K245" s="70">
        <f>'RESUMEN TOTAL'!R303</f>
        <v>0</v>
      </c>
      <c r="L245" s="70">
        <f>'RESUMEN TOTAL'!S303</f>
        <v>0</v>
      </c>
      <c r="M245" s="70">
        <f>'RESUMEN TOTAL'!T303</f>
        <v>0</v>
      </c>
      <c r="N245" s="70">
        <f>'RESUMEN TOTAL'!U303</f>
        <v>0</v>
      </c>
      <c r="O245" s="70">
        <f>'RESUMEN TOTAL'!V303</f>
        <v>0</v>
      </c>
      <c r="P245" s="70">
        <f>'RESUMEN TOTAL'!W303</f>
        <v>0</v>
      </c>
      <c r="Q245" s="70">
        <f>'RESUMEN TOTAL'!X303</f>
        <v>0</v>
      </c>
      <c r="R245" s="70">
        <f>'RESUMEN TOTAL'!Y303</f>
        <v>0</v>
      </c>
      <c r="S245" s="70">
        <f>'RESUMEN TOTAL'!Z303</f>
        <v>0</v>
      </c>
      <c r="T245" s="70">
        <f>'RESUMEN TOTAL'!AA303</f>
        <v>0</v>
      </c>
      <c r="U245" s="70">
        <f>'RESUMEN TOTAL'!AB303</f>
        <v>0</v>
      </c>
      <c r="V245" s="70">
        <f>'RESUMEN TOTAL'!AC303</f>
        <v>0</v>
      </c>
      <c r="W245" s="70">
        <f>'RESUMEN TOTAL'!AD303</f>
        <v>0</v>
      </c>
      <c r="X245" s="70">
        <f>'RESUMEN TOTAL'!AE303</f>
        <v>0</v>
      </c>
      <c r="Y245" s="70">
        <f>'RESUMEN TOTAL'!AF303</f>
        <v>0</v>
      </c>
      <c r="Z245" s="70">
        <f>'RESUMEN TOTAL'!AG303</f>
        <v>0</v>
      </c>
      <c r="AA245" s="70">
        <f>'RESUMEN TOTAL'!AH303</f>
        <v>0</v>
      </c>
      <c r="AB245" s="70">
        <f>'RESUMEN TOTAL'!AI303</f>
        <v>0</v>
      </c>
      <c r="AC245" s="70">
        <f>'RESUMEN TOTAL'!AJ303</f>
        <v>0</v>
      </c>
      <c r="AD245" s="70">
        <f>'RESUMEN TOTAL'!AK303</f>
        <v>0</v>
      </c>
      <c r="AE245" s="70">
        <f>'RESUMEN TOTAL'!AL303</f>
        <v>0</v>
      </c>
      <c r="AF245" s="70">
        <f>'RESUMEN TOTAL'!AM303</f>
        <v>0</v>
      </c>
      <c r="AG245" s="70">
        <f>'RESUMEN TOTAL'!AN303</f>
        <v>0</v>
      </c>
      <c r="AH245" s="70">
        <f>'RESUMEN TOTAL'!AO303</f>
        <v>0</v>
      </c>
      <c r="AI245" s="70">
        <f>'RESUMEN TOTAL'!AP303</f>
        <v>0</v>
      </c>
      <c r="AJ245" s="70">
        <f>'RESUMEN TOTAL'!AQ303</f>
        <v>0</v>
      </c>
    </row>
    <row r="246" spans="1:36" x14ac:dyDescent="0.25">
      <c r="A246" t="str">
        <f>'RESUMEN TOTAL'!A304</f>
        <v>ZONA RURAL SANTA ROSA</v>
      </c>
      <c r="B246" t="str">
        <f>'RESUMEN TOTAL'!B304</f>
        <v>PUNTO SEGURO PICO DE ORO INTERCOMUNICADOR</v>
      </c>
      <c r="C246" t="str">
        <f>'RESUMEN TOTAL'!D304</f>
        <v>PISANI Y BULGARIA</v>
      </c>
      <c r="D246" s="30" t="str">
        <f>'RESUMEN TOTAL'!E304</f>
        <v>Domo</v>
      </c>
      <c r="E246" s="30" t="str">
        <f>'RESUMEN TOTAL'!F304</f>
        <v>Fibra Optica</v>
      </c>
      <c r="F246" s="70">
        <f>'RESUMEN TOTAL'!M304</f>
        <v>0</v>
      </c>
      <c r="G246" s="70">
        <f>'RESUMEN TOTAL'!N304</f>
        <v>0</v>
      </c>
      <c r="H246" s="70">
        <f>'RESUMEN TOTAL'!O304</f>
        <v>0</v>
      </c>
      <c r="I246" s="70">
        <f>'RESUMEN TOTAL'!P304</f>
        <v>0</v>
      </c>
      <c r="J246" s="70">
        <f>'RESUMEN TOTAL'!Q304</f>
        <v>0</v>
      </c>
      <c r="K246" s="70">
        <f>'RESUMEN TOTAL'!R304</f>
        <v>0</v>
      </c>
      <c r="L246" s="70">
        <f>'RESUMEN TOTAL'!S304</f>
        <v>0</v>
      </c>
      <c r="M246" s="70">
        <f>'RESUMEN TOTAL'!T304</f>
        <v>0</v>
      </c>
      <c r="N246" s="70">
        <f>'RESUMEN TOTAL'!U304</f>
        <v>0</v>
      </c>
      <c r="O246" s="70">
        <f>'RESUMEN TOTAL'!V304</f>
        <v>0</v>
      </c>
      <c r="P246" s="70">
        <f>'RESUMEN TOTAL'!W304</f>
        <v>0</v>
      </c>
      <c r="Q246" s="70">
        <f>'RESUMEN TOTAL'!X304</f>
        <v>0</v>
      </c>
      <c r="R246" s="70">
        <f>'RESUMEN TOTAL'!Y304</f>
        <v>0</v>
      </c>
      <c r="S246" s="70">
        <f>'RESUMEN TOTAL'!Z304</f>
        <v>0</v>
      </c>
      <c r="T246" s="70">
        <f>'RESUMEN TOTAL'!AA304</f>
        <v>0</v>
      </c>
      <c r="U246" s="70">
        <f>'RESUMEN TOTAL'!AB304</f>
        <v>0</v>
      </c>
      <c r="V246" s="70">
        <f>'RESUMEN TOTAL'!AC304</f>
        <v>0</v>
      </c>
      <c r="W246" s="70">
        <f>'RESUMEN TOTAL'!AD304</f>
        <v>0</v>
      </c>
      <c r="X246" s="70">
        <f>'RESUMEN TOTAL'!AE304</f>
        <v>0</v>
      </c>
      <c r="Y246" s="70">
        <f>'RESUMEN TOTAL'!AF304</f>
        <v>0</v>
      </c>
      <c r="Z246" s="70">
        <f>'RESUMEN TOTAL'!AG304</f>
        <v>0</v>
      </c>
      <c r="AA246" s="70">
        <f>'RESUMEN TOTAL'!AH304</f>
        <v>0</v>
      </c>
      <c r="AB246" s="70">
        <f>'RESUMEN TOTAL'!AI304</f>
        <v>0</v>
      </c>
      <c r="AC246" s="70">
        <f>'RESUMEN TOTAL'!AJ304</f>
        <v>0</v>
      </c>
      <c r="AD246" s="70">
        <f>'RESUMEN TOTAL'!AK304</f>
        <v>0</v>
      </c>
      <c r="AE246" s="70">
        <f>'RESUMEN TOTAL'!AL304</f>
        <v>0</v>
      </c>
      <c r="AF246" s="70">
        <f>'RESUMEN TOTAL'!AM304</f>
        <v>0</v>
      </c>
      <c r="AG246" s="70">
        <f>'RESUMEN TOTAL'!AN304</f>
        <v>0</v>
      </c>
      <c r="AH246" s="70">
        <f>'RESUMEN TOTAL'!AO304</f>
        <v>0</v>
      </c>
      <c r="AI246" s="70">
        <f>'RESUMEN TOTAL'!AP304</f>
        <v>0</v>
      </c>
      <c r="AJ246" s="70">
        <f>'RESUMEN TOTAL'!AQ304</f>
        <v>0</v>
      </c>
    </row>
    <row r="247" spans="1:36" x14ac:dyDescent="0.25">
      <c r="A247" t="str">
        <f>'RESUMEN TOTAL'!A305</f>
        <v>SAN FRANCISCO ESTE (CHICO)</v>
      </c>
      <c r="B247" t="str">
        <f>'RESUMEN TOTAL'!B305</f>
        <v>PUNTO SEGURO - SAN FRANCISCO (domo)</v>
      </c>
      <c r="C247" t="str">
        <f>'RESUMEN TOTAL'!D305</f>
        <v>RP 53 Y 1332</v>
      </c>
      <c r="D247" s="30" t="str">
        <f>'RESUMEN TOTAL'!E305</f>
        <v>DOMO</v>
      </c>
      <c r="E247" s="30" t="str">
        <f>'RESUMEN TOTAL'!F305</f>
        <v>Fibra Optica</v>
      </c>
      <c r="F247" s="70">
        <f>'RESUMEN TOTAL'!M305</f>
        <v>0</v>
      </c>
      <c r="G247" s="70">
        <f>'RESUMEN TOTAL'!N305</f>
        <v>0</v>
      </c>
      <c r="H247" s="70">
        <f>'RESUMEN TOTAL'!O305</f>
        <v>0</v>
      </c>
      <c r="I247" s="70">
        <f>'RESUMEN TOTAL'!P305</f>
        <v>0</v>
      </c>
      <c r="J247" s="70">
        <f>'RESUMEN TOTAL'!Q305</f>
        <v>0</v>
      </c>
      <c r="K247" s="70">
        <f>'RESUMEN TOTAL'!R305</f>
        <v>0</v>
      </c>
      <c r="L247" s="70">
        <f>'RESUMEN TOTAL'!S305</f>
        <v>0</v>
      </c>
      <c r="M247" s="70">
        <f>'RESUMEN TOTAL'!T305</f>
        <v>0</v>
      </c>
      <c r="N247" s="70">
        <f>'RESUMEN TOTAL'!U305</f>
        <v>0</v>
      </c>
      <c r="O247" s="70">
        <f>'RESUMEN TOTAL'!V305</f>
        <v>0</v>
      </c>
      <c r="P247" s="70">
        <f>'RESUMEN TOTAL'!W305</f>
        <v>0</v>
      </c>
      <c r="Q247" s="70">
        <f>'RESUMEN TOTAL'!X305</f>
        <v>0</v>
      </c>
      <c r="R247" s="70">
        <f>'RESUMEN TOTAL'!Y305</f>
        <v>0</v>
      </c>
      <c r="S247" s="70">
        <f>'RESUMEN TOTAL'!Z305</f>
        <v>0</v>
      </c>
      <c r="T247" s="70">
        <f>'RESUMEN TOTAL'!AA305</f>
        <v>0</v>
      </c>
      <c r="U247" s="70">
        <f>'RESUMEN TOTAL'!AB305</f>
        <v>0</v>
      </c>
      <c r="V247" s="70">
        <f>'RESUMEN TOTAL'!AC305</f>
        <v>0</v>
      </c>
      <c r="W247" s="70">
        <f>'RESUMEN TOTAL'!AD305</f>
        <v>0</v>
      </c>
      <c r="X247" s="70">
        <f>'RESUMEN TOTAL'!AE305</f>
        <v>0</v>
      </c>
      <c r="Y247" s="70">
        <f>'RESUMEN TOTAL'!AF305</f>
        <v>0</v>
      </c>
      <c r="Z247" s="70">
        <f>'RESUMEN TOTAL'!AG305</f>
        <v>0</v>
      </c>
      <c r="AA247" s="70">
        <f>'RESUMEN TOTAL'!AH305</f>
        <v>0</v>
      </c>
      <c r="AB247" s="70">
        <f>'RESUMEN TOTAL'!AI305</f>
        <v>0</v>
      </c>
      <c r="AC247" s="70">
        <f>'RESUMEN TOTAL'!AJ305</f>
        <v>0</v>
      </c>
      <c r="AD247" s="70">
        <f>'RESUMEN TOTAL'!AK305</f>
        <v>0</v>
      </c>
      <c r="AE247" s="70">
        <f>'RESUMEN TOTAL'!AL305</f>
        <v>0</v>
      </c>
      <c r="AF247" s="70">
        <f>'RESUMEN TOTAL'!AM305</f>
        <v>0</v>
      </c>
      <c r="AG247" s="70">
        <f>'RESUMEN TOTAL'!AN305</f>
        <v>0</v>
      </c>
      <c r="AH247" s="70">
        <f>'RESUMEN TOTAL'!AO305</f>
        <v>0</v>
      </c>
      <c r="AI247" s="70">
        <f>'RESUMEN TOTAL'!AP305</f>
        <v>0</v>
      </c>
      <c r="AJ247" s="70">
        <f>'RESUMEN TOTAL'!AQ305</f>
        <v>0</v>
      </c>
    </row>
    <row r="248" spans="1:36" x14ac:dyDescent="0.25">
      <c r="A248" t="str">
        <f>'RESUMEN TOTAL'!A306</f>
        <v>SAN JORGE</v>
      </c>
      <c r="B248" t="str">
        <f>'RESUMEN TOTAL'!B306</f>
        <v>Punto Seguro - San Jorge (Domo)</v>
      </c>
      <c r="C248" t="str">
        <f>'RESUMEN TOTAL'!D306</f>
        <v>CALLE 523 E/ 554 Y 556</v>
      </c>
      <c r="D248" s="30" t="str">
        <f>'RESUMEN TOTAL'!E306</f>
        <v>DOMO</v>
      </c>
      <c r="E248" s="30" t="str">
        <f>'RESUMEN TOTAL'!F306</f>
        <v>GPON</v>
      </c>
      <c r="F248" s="70">
        <f>'RESUMEN TOTAL'!M306</f>
        <v>0</v>
      </c>
      <c r="G248" s="70">
        <f>'RESUMEN TOTAL'!N306</f>
        <v>0</v>
      </c>
      <c r="H248" s="70">
        <f>'RESUMEN TOTAL'!O306</f>
        <v>0</v>
      </c>
      <c r="I248" s="70">
        <f>'RESUMEN TOTAL'!P306</f>
        <v>0</v>
      </c>
      <c r="J248" s="70">
        <f>'RESUMEN TOTAL'!Q306</f>
        <v>0</v>
      </c>
      <c r="K248" s="70">
        <f>'RESUMEN TOTAL'!R306</f>
        <v>0</v>
      </c>
      <c r="L248" s="70">
        <f>'RESUMEN TOTAL'!S306</f>
        <v>0</v>
      </c>
      <c r="M248" s="70">
        <f>'RESUMEN TOTAL'!T306</f>
        <v>0</v>
      </c>
      <c r="N248" s="70">
        <f>'RESUMEN TOTAL'!U306</f>
        <v>0</v>
      </c>
      <c r="O248" s="70">
        <f>'RESUMEN TOTAL'!V306</f>
        <v>0</v>
      </c>
      <c r="P248" s="70">
        <f>'RESUMEN TOTAL'!W306</f>
        <v>0</v>
      </c>
      <c r="Q248" s="70">
        <f>'RESUMEN TOTAL'!X306</f>
        <v>0</v>
      </c>
      <c r="R248" s="70">
        <f>'RESUMEN TOTAL'!Y306</f>
        <v>0</v>
      </c>
      <c r="S248" s="70">
        <f>'RESUMEN TOTAL'!Z306</f>
        <v>0</v>
      </c>
      <c r="T248" s="70">
        <f>'RESUMEN TOTAL'!AA306</f>
        <v>0</v>
      </c>
      <c r="U248" s="70">
        <f>'RESUMEN TOTAL'!AB306</f>
        <v>0</v>
      </c>
      <c r="V248" s="70">
        <f>'RESUMEN TOTAL'!AC306</f>
        <v>0</v>
      </c>
      <c r="W248" s="70">
        <f>'RESUMEN TOTAL'!AD306</f>
        <v>0</v>
      </c>
      <c r="X248" s="70">
        <f>'RESUMEN TOTAL'!AE306</f>
        <v>0</v>
      </c>
      <c r="Y248" s="70">
        <f>'RESUMEN TOTAL'!AF306</f>
        <v>0</v>
      </c>
      <c r="Z248" s="70">
        <f>'RESUMEN TOTAL'!AG306</f>
        <v>0</v>
      </c>
      <c r="AA248" s="70">
        <f>'RESUMEN TOTAL'!AH306</f>
        <v>0</v>
      </c>
      <c r="AB248" s="70">
        <f>'RESUMEN TOTAL'!AI306</f>
        <v>0</v>
      </c>
      <c r="AC248" s="70">
        <f>'RESUMEN TOTAL'!AJ306</f>
        <v>0</v>
      </c>
      <c r="AD248" s="70">
        <f>'RESUMEN TOTAL'!AK306</f>
        <v>0</v>
      </c>
      <c r="AE248" s="70">
        <f>'RESUMEN TOTAL'!AL306</f>
        <v>0</v>
      </c>
      <c r="AF248" s="70">
        <f>'RESUMEN TOTAL'!AM306</f>
        <v>0</v>
      </c>
      <c r="AG248" s="70">
        <f>'RESUMEN TOTAL'!AN306</f>
        <v>0</v>
      </c>
      <c r="AH248" s="70">
        <f>'RESUMEN TOTAL'!AO306</f>
        <v>0</v>
      </c>
      <c r="AI248" s="70">
        <f>'RESUMEN TOTAL'!AP306</f>
        <v>0</v>
      </c>
      <c r="AJ248" s="70">
        <f>'RESUMEN TOTAL'!AQ306</f>
        <v>0</v>
      </c>
    </row>
    <row r="249" spans="1:36" x14ac:dyDescent="0.25">
      <c r="A249" t="str">
        <f>'RESUMEN TOTAL'!A307</f>
        <v>SAN JORGE</v>
      </c>
      <c r="B249" t="str">
        <f>'RESUMEN TOTAL'!B307</f>
        <v>Punto Seguro - San Jorge (Fija)</v>
      </c>
      <c r="C249" t="str">
        <f>'RESUMEN TOTAL'!D307</f>
        <v>CALLE 523 E/ 554 Y 556</v>
      </c>
      <c r="D249" s="30" t="str">
        <f>'RESUMEN TOTAL'!E307</f>
        <v>Fija</v>
      </c>
      <c r="E249" s="30" t="str">
        <f>'RESUMEN TOTAL'!F307</f>
        <v>GPON</v>
      </c>
      <c r="F249" s="70">
        <f>'RESUMEN TOTAL'!M307</f>
        <v>0</v>
      </c>
      <c r="G249" s="70">
        <f>'RESUMEN TOTAL'!N307</f>
        <v>0</v>
      </c>
      <c r="H249" s="70">
        <f>'RESUMEN TOTAL'!O307</f>
        <v>0</v>
      </c>
      <c r="I249" s="70">
        <f>'RESUMEN TOTAL'!P307</f>
        <v>0</v>
      </c>
      <c r="J249" s="70">
        <f>'RESUMEN TOTAL'!Q307</f>
        <v>0</v>
      </c>
      <c r="K249" s="70">
        <f>'RESUMEN TOTAL'!R307</f>
        <v>0</v>
      </c>
      <c r="L249" s="70">
        <f>'RESUMEN TOTAL'!S307</f>
        <v>0</v>
      </c>
      <c r="M249" s="70">
        <f>'RESUMEN TOTAL'!T307</f>
        <v>0</v>
      </c>
      <c r="N249" s="70">
        <f>'RESUMEN TOTAL'!U307</f>
        <v>0</v>
      </c>
      <c r="O249" s="70">
        <f>'RESUMEN TOTAL'!V307</f>
        <v>0</v>
      </c>
      <c r="P249" s="70">
        <f>'RESUMEN TOTAL'!W307</f>
        <v>0</v>
      </c>
      <c r="Q249" s="70">
        <f>'RESUMEN TOTAL'!X307</f>
        <v>0</v>
      </c>
      <c r="R249" s="70">
        <f>'RESUMEN TOTAL'!Y307</f>
        <v>0</v>
      </c>
      <c r="S249" s="70">
        <f>'RESUMEN TOTAL'!Z307</f>
        <v>0</v>
      </c>
      <c r="T249" s="70">
        <f>'RESUMEN TOTAL'!AA307</f>
        <v>0</v>
      </c>
      <c r="U249" s="70">
        <f>'RESUMEN TOTAL'!AB307</f>
        <v>0</v>
      </c>
      <c r="V249" s="70">
        <f>'RESUMEN TOTAL'!AC307</f>
        <v>0</v>
      </c>
      <c r="W249" s="70">
        <f>'RESUMEN TOTAL'!AD307</f>
        <v>0</v>
      </c>
      <c r="X249" s="70">
        <f>'RESUMEN TOTAL'!AE307</f>
        <v>0</v>
      </c>
      <c r="Y249" s="70">
        <f>'RESUMEN TOTAL'!AF307</f>
        <v>0</v>
      </c>
      <c r="Z249" s="70">
        <f>'RESUMEN TOTAL'!AG307</f>
        <v>0</v>
      </c>
      <c r="AA249" s="70">
        <f>'RESUMEN TOTAL'!AH307</f>
        <v>0</v>
      </c>
      <c r="AB249" s="70">
        <f>'RESUMEN TOTAL'!AI307</f>
        <v>0</v>
      </c>
      <c r="AC249" s="70">
        <f>'RESUMEN TOTAL'!AJ307</f>
        <v>0</v>
      </c>
      <c r="AD249" s="70">
        <f>'RESUMEN TOTAL'!AK307</f>
        <v>0</v>
      </c>
      <c r="AE249" s="70">
        <f>'RESUMEN TOTAL'!AL307</f>
        <v>0</v>
      </c>
      <c r="AF249" s="70">
        <f>'RESUMEN TOTAL'!AM307</f>
        <v>0</v>
      </c>
      <c r="AG249" s="70">
        <f>'RESUMEN TOTAL'!AN307</f>
        <v>0</v>
      </c>
      <c r="AH249" s="70">
        <f>'RESUMEN TOTAL'!AO307</f>
        <v>0</v>
      </c>
      <c r="AI249" s="70">
        <f>'RESUMEN TOTAL'!AP307</f>
        <v>0</v>
      </c>
      <c r="AJ249" s="70">
        <f>'RESUMEN TOTAL'!AQ307</f>
        <v>0</v>
      </c>
    </row>
    <row r="250" spans="1:36" x14ac:dyDescent="0.25">
      <c r="A250" t="str">
        <f>'RESUMEN TOTAL'!A308</f>
        <v>SAN JORGE</v>
      </c>
      <c r="B250" t="str">
        <f>'RESUMEN TOTAL'!B308</f>
        <v>PUNTO SEGURO SAN JORGE INTERCOMUNICADOR</v>
      </c>
      <c r="C250" t="str">
        <f>'RESUMEN TOTAL'!D308</f>
        <v>CALLE 554 Y 523</v>
      </c>
      <c r="D250" s="30" t="str">
        <f>'RESUMEN TOTAL'!E308</f>
        <v>Fija</v>
      </c>
      <c r="E250" s="30" t="str">
        <f>'RESUMEN TOTAL'!F308</f>
        <v>GPON</v>
      </c>
      <c r="F250" s="70">
        <f>'RESUMEN TOTAL'!M308</f>
        <v>0</v>
      </c>
      <c r="G250" s="70">
        <f>'RESUMEN TOTAL'!N308</f>
        <v>0</v>
      </c>
      <c r="H250" s="70">
        <f>'RESUMEN TOTAL'!O308</f>
        <v>0</v>
      </c>
      <c r="I250" s="70">
        <f>'RESUMEN TOTAL'!P308</f>
        <v>0</v>
      </c>
      <c r="J250" s="70">
        <f>'RESUMEN TOTAL'!Q308</f>
        <v>0</v>
      </c>
      <c r="K250" s="70">
        <f>'RESUMEN TOTAL'!R308</f>
        <v>0</v>
      </c>
      <c r="L250" s="70">
        <f>'RESUMEN TOTAL'!S308</f>
        <v>0</v>
      </c>
      <c r="M250" s="70">
        <f>'RESUMEN TOTAL'!T308</f>
        <v>0</v>
      </c>
      <c r="N250" s="70">
        <f>'RESUMEN TOTAL'!U308</f>
        <v>0</v>
      </c>
      <c r="O250" s="70">
        <f>'RESUMEN TOTAL'!V308</f>
        <v>0</v>
      </c>
      <c r="P250" s="70">
        <f>'RESUMEN TOTAL'!W308</f>
        <v>0</v>
      </c>
      <c r="Q250" s="70">
        <f>'RESUMEN TOTAL'!X308</f>
        <v>0</v>
      </c>
      <c r="R250" s="70">
        <f>'RESUMEN TOTAL'!Y308</f>
        <v>0</v>
      </c>
      <c r="S250" s="70">
        <f>'RESUMEN TOTAL'!Z308</f>
        <v>0</v>
      </c>
      <c r="T250" s="70">
        <f>'RESUMEN TOTAL'!AA308</f>
        <v>0</v>
      </c>
      <c r="U250" s="70">
        <f>'RESUMEN TOTAL'!AB308</f>
        <v>0</v>
      </c>
      <c r="V250" s="70">
        <f>'RESUMEN TOTAL'!AC308</f>
        <v>0</v>
      </c>
      <c r="W250" s="70">
        <f>'RESUMEN TOTAL'!AD308</f>
        <v>0</v>
      </c>
      <c r="X250" s="70">
        <f>'RESUMEN TOTAL'!AE308</f>
        <v>0</v>
      </c>
      <c r="Y250" s="70">
        <f>'RESUMEN TOTAL'!AF308</f>
        <v>0</v>
      </c>
      <c r="Z250" s="70">
        <f>'RESUMEN TOTAL'!AG308</f>
        <v>0</v>
      </c>
      <c r="AA250" s="70">
        <f>'RESUMEN TOTAL'!AH308</f>
        <v>0</v>
      </c>
      <c r="AB250" s="70">
        <f>'RESUMEN TOTAL'!AI308</f>
        <v>0</v>
      </c>
      <c r="AC250" s="70">
        <f>'RESUMEN TOTAL'!AJ308</f>
        <v>0</v>
      </c>
      <c r="AD250" s="70">
        <f>'RESUMEN TOTAL'!AK308</f>
        <v>0</v>
      </c>
      <c r="AE250" s="70">
        <f>'RESUMEN TOTAL'!AL308</f>
        <v>0</v>
      </c>
      <c r="AF250" s="70">
        <f>'RESUMEN TOTAL'!AM308</f>
        <v>0</v>
      </c>
      <c r="AG250" s="70">
        <f>'RESUMEN TOTAL'!AN308</f>
        <v>0</v>
      </c>
      <c r="AH250" s="70">
        <f>'RESUMEN TOTAL'!AO308</f>
        <v>0</v>
      </c>
      <c r="AI250" s="70">
        <f>'RESUMEN TOTAL'!AP308</f>
        <v>0</v>
      </c>
      <c r="AJ250" s="70">
        <f>'RESUMEN TOTAL'!AQ308</f>
        <v>0</v>
      </c>
    </row>
    <row r="251" spans="1:36" x14ac:dyDescent="0.25">
      <c r="A251" t="str">
        <f>'RESUMEN TOTAL'!A309</f>
        <v>SAN RUDECINDO</v>
      </c>
      <c r="B251" t="str">
        <f>'RESUMEN TOTAL'!B309</f>
        <v>PUNTO SEGURO- SAN RUDECINDO (domo)</v>
      </c>
      <c r="C251" t="str">
        <f>'RESUMEN TOTAL'!D309</f>
        <v>SANTA SOFIA Y ALVAR NUÑEZ</v>
      </c>
      <c r="D251" s="30" t="str">
        <f>'RESUMEN TOTAL'!E309</f>
        <v>DOMO</v>
      </c>
      <c r="E251" s="30" t="str">
        <f>'RESUMEN TOTAL'!F309</f>
        <v>GPON</v>
      </c>
      <c r="F251" s="70">
        <f>'RESUMEN TOTAL'!M309</f>
        <v>0</v>
      </c>
      <c r="G251" s="70">
        <f>'RESUMEN TOTAL'!N309</f>
        <v>0</v>
      </c>
      <c r="H251" s="70">
        <f>'RESUMEN TOTAL'!O309</f>
        <v>0</v>
      </c>
      <c r="I251" s="70">
        <f>'RESUMEN TOTAL'!P309</f>
        <v>0</v>
      </c>
      <c r="J251" s="70">
        <f>'RESUMEN TOTAL'!Q309</f>
        <v>0</v>
      </c>
      <c r="K251" s="70">
        <f>'RESUMEN TOTAL'!R309</f>
        <v>0</v>
      </c>
      <c r="L251" s="70">
        <f>'RESUMEN TOTAL'!S309</f>
        <v>0</v>
      </c>
      <c r="M251" s="70">
        <f>'RESUMEN TOTAL'!T309</f>
        <v>0</v>
      </c>
      <c r="N251" s="70">
        <f>'RESUMEN TOTAL'!U309</f>
        <v>0</v>
      </c>
      <c r="O251" s="70">
        <f>'RESUMEN TOTAL'!V309</f>
        <v>0</v>
      </c>
      <c r="P251" s="70">
        <f>'RESUMEN TOTAL'!W309</f>
        <v>0</v>
      </c>
      <c r="Q251" s="70">
        <f>'RESUMEN TOTAL'!X309</f>
        <v>0</v>
      </c>
      <c r="R251" s="70">
        <f>'RESUMEN TOTAL'!Y309</f>
        <v>0</v>
      </c>
      <c r="S251" s="70">
        <f>'RESUMEN TOTAL'!Z309</f>
        <v>0</v>
      </c>
      <c r="T251" s="70">
        <f>'RESUMEN TOTAL'!AA309</f>
        <v>0</v>
      </c>
      <c r="U251" s="70">
        <f>'RESUMEN TOTAL'!AB309</f>
        <v>0</v>
      </c>
      <c r="V251" s="70">
        <f>'RESUMEN TOTAL'!AC309</f>
        <v>0</v>
      </c>
      <c r="W251" s="70">
        <f>'RESUMEN TOTAL'!AD309</f>
        <v>0</v>
      </c>
      <c r="X251" s="70">
        <f>'RESUMEN TOTAL'!AE309</f>
        <v>0</v>
      </c>
      <c r="Y251" s="70">
        <f>'RESUMEN TOTAL'!AF309</f>
        <v>0</v>
      </c>
      <c r="Z251" s="70">
        <f>'RESUMEN TOTAL'!AG309</f>
        <v>0</v>
      </c>
      <c r="AA251" s="70">
        <f>'RESUMEN TOTAL'!AH309</f>
        <v>0</v>
      </c>
      <c r="AB251" s="70">
        <f>'RESUMEN TOTAL'!AI309</f>
        <v>0</v>
      </c>
      <c r="AC251" s="70">
        <f>'RESUMEN TOTAL'!AJ309</f>
        <v>0</v>
      </c>
      <c r="AD251" s="70">
        <f>'RESUMEN TOTAL'!AK309</f>
        <v>0</v>
      </c>
      <c r="AE251" s="70">
        <f>'RESUMEN TOTAL'!AL309</f>
        <v>0</v>
      </c>
      <c r="AF251" s="70">
        <f>'RESUMEN TOTAL'!AM309</f>
        <v>0</v>
      </c>
      <c r="AG251" s="70">
        <f>'RESUMEN TOTAL'!AN309</f>
        <v>0</v>
      </c>
      <c r="AH251" s="70">
        <f>'RESUMEN TOTAL'!AO309</f>
        <v>0</v>
      </c>
      <c r="AI251" s="70">
        <f>'RESUMEN TOTAL'!AP309</f>
        <v>0</v>
      </c>
      <c r="AJ251" s="70">
        <f>'RESUMEN TOTAL'!AQ309</f>
        <v>0</v>
      </c>
    </row>
    <row r="252" spans="1:36" x14ac:dyDescent="0.25">
      <c r="A252" t="str">
        <f>'RESUMEN TOTAL'!A310</f>
        <v>SAN RUDECINDO</v>
      </c>
      <c r="B252" t="str">
        <f>'RESUMEN TOTAL'!B310</f>
        <v>PUNTO SEGURO - SAN RUDECINDO (fija)</v>
      </c>
      <c r="C252" t="str">
        <f>'RESUMEN TOTAL'!D310</f>
        <v>SANTA SOFIA Y ALVAR NUÑEZ</v>
      </c>
      <c r="D252" s="30" t="str">
        <f>'RESUMEN TOTAL'!E310</f>
        <v>Fija</v>
      </c>
      <c r="E252" s="30" t="str">
        <f>'RESUMEN TOTAL'!F310</f>
        <v>GPON</v>
      </c>
      <c r="F252" s="70">
        <f>'RESUMEN TOTAL'!M310</f>
        <v>0</v>
      </c>
      <c r="G252" s="70">
        <f>'RESUMEN TOTAL'!N310</f>
        <v>0</v>
      </c>
      <c r="H252" s="70">
        <f>'RESUMEN TOTAL'!O310</f>
        <v>0</v>
      </c>
      <c r="I252" s="70">
        <f>'RESUMEN TOTAL'!P310</f>
        <v>0</v>
      </c>
      <c r="J252" s="70">
        <f>'RESUMEN TOTAL'!Q310</f>
        <v>0</v>
      </c>
      <c r="K252" s="70">
        <f>'RESUMEN TOTAL'!R310</f>
        <v>0</v>
      </c>
      <c r="L252" s="70">
        <f>'RESUMEN TOTAL'!S310</f>
        <v>0</v>
      </c>
      <c r="M252" s="70">
        <f>'RESUMEN TOTAL'!T310</f>
        <v>0</v>
      </c>
      <c r="N252" s="70">
        <f>'RESUMEN TOTAL'!U310</f>
        <v>0</v>
      </c>
      <c r="O252" s="70">
        <f>'RESUMEN TOTAL'!V310</f>
        <v>0</v>
      </c>
      <c r="P252" s="70">
        <f>'RESUMEN TOTAL'!W310</f>
        <v>0</v>
      </c>
      <c r="Q252" s="70">
        <f>'RESUMEN TOTAL'!X310</f>
        <v>0</v>
      </c>
      <c r="R252" s="70">
        <f>'RESUMEN TOTAL'!Y310</f>
        <v>0</v>
      </c>
      <c r="S252" s="70">
        <f>'RESUMEN TOTAL'!Z310</f>
        <v>0</v>
      </c>
      <c r="T252" s="70">
        <f>'RESUMEN TOTAL'!AA310</f>
        <v>0</v>
      </c>
      <c r="U252" s="70">
        <f>'RESUMEN TOTAL'!AB310</f>
        <v>0</v>
      </c>
      <c r="V252" s="70">
        <f>'RESUMEN TOTAL'!AC310</f>
        <v>0</v>
      </c>
      <c r="W252" s="70">
        <f>'RESUMEN TOTAL'!AD310</f>
        <v>0</v>
      </c>
      <c r="X252" s="70">
        <f>'RESUMEN TOTAL'!AE310</f>
        <v>0</v>
      </c>
      <c r="Y252" s="70">
        <f>'RESUMEN TOTAL'!AF310</f>
        <v>0</v>
      </c>
      <c r="Z252" s="70">
        <f>'RESUMEN TOTAL'!AG310</f>
        <v>0</v>
      </c>
      <c r="AA252" s="70">
        <f>'RESUMEN TOTAL'!AH310</f>
        <v>0</v>
      </c>
      <c r="AB252" s="70">
        <f>'RESUMEN TOTAL'!AI310</f>
        <v>0</v>
      </c>
      <c r="AC252" s="70">
        <f>'RESUMEN TOTAL'!AJ310</f>
        <v>0</v>
      </c>
      <c r="AD252" s="70">
        <f>'RESUMEN TOTAL'!AK310</f>
        <v>0</v>
      </c>
      <c r="AE252" s="70">
        <f>'RESUMEN TOTAL'!AL310</f>
        <v>0</v>
      </c>
      <c r="AF252" s="70">
        <f>'RESUMEN TOTAL'!AM310</f>
        <v>0</v>
      </c>
      <c r="AG252" s="70">
        <f>'RESUMEN TOTAL'!AN310</f>
        <v>0</v>
      </c>
      <c r="AH252" s="70">
        <f>'RESUMEN TOTAL'!AO310</f>
        <v>0</v>
      </c>
      <c r="AI252" s="70">
        <f>'RESUMEN TOTAL'!AP310</f>
        <v>0</v>
      </c>
      <c r="AJ252" s="70">
        <f>'RESUMEN TOTAL'!AQ310</f>
        <v>0</v>
      </c>
    </row>
    <row r="253" spans="1:36" x14ac:dyDescent="0.25">
      <c r="A253" t="str">
        <f>'RESUMEN TOTAL'!A311</f>
        <v>SAN RUDECINDO</v>
      </c>
      <c r="B253" t="str">
        <f>'RESUMEN TOTAL'!B311</f>
        <v>PUNTO SEGURO SAN RUDECINDO INTERCOMUNICADOR</v>
      </c>
      <c r="C253" t="str">
        <f>'RESUMEN TOTAL'!D311</f>
        <v>SABTA SOFIA Y ALVAR NUÃ‘EZ</v>
      </c>
      <c r="D253" s="30" t="str">
        <f>'RESUMEN TOTAL'!E311</f>
        <v>Domo</v>
      </c>
      <c r="E253" s="30" t="str">
        <f>'RESUMEN TOTAL'!F311</f>
        <v>GPON</v>
      </c>
      <c r="F253" s="70">
        <f>'RESUMEN TOTAL'!M311</f>
        <v>0</v>
      </c>
      <c r="G253" s="70">
        <f>'RESUMEN TOTAL'!N311</f>
        <v>0</v>
      </c>
      <c r="H253" s="70">
        <f>'RESUMEN TOTAL'!O311</f>
        <v>0</v>
      </c>
      <c r="I253" s="70">
        <f>'RESUMEN TOTAL'!P311</f>
        <v>0</v>
      </c>
      <c r="J253" s="70">
        <f>'RESUMEN TOTAL'!Q311</f>
        <v>0</v>
      </c>
      <c r="K253" s="70">
        <f>'RESUMEN TOTAL'!R311</f>
        <v>0</v>
      </c>
      <c r="L253" s="70">
        <f>'RESUMEN TOTAL'!S311</f>
        <v>0</v>
      </c>
      <c r="M253" s="70">
        <f>'RESUMEN TOTAL'!T311</f>
        <v>0</v>
      </c>
      <c r="N253" s="70">
        <f>'RESUMEN TOTAL'!U311</f>
        <v>0</v>
      </c>
      <c r="O253" s="70">
        <f>'RESUMEN TOTAL'!V311</f>
        <v>0</v>
      </c>
      <c r="P253" s="70">
        <f>'RESUMEN TOTAL'!W311</f>
        <v>0</v>
      </c>
      <c r="Q253" s="70">
        <f>'RESUMEN TOTAL'!X311</f>
        <v>0</v>
      </c>
      <c r="R253" s="70">
        <f>'RESUMEN TOTAL'!Y311</f>
        <v>0</v>
      </c>
      <c r="S253" s="70">
        <f>'RESUMEN TOTAL'!Z311</f>
        <v>0</v>
      </c>
      <c r="T253" s="70">
        <f>'RESUMEN TOTAL'!AA311</f>
        <v>0</v>
      </c>
      <c r="U253" s="70">
        <f>'RESUMEN TOTAL'!AB311</f>
        <v>0</v>
      </c>
      <c r="V253" s="70">
        <f>'RESUMEN TOTAL'!AC311</f>
        <v>0</v>
      </c>
      <c r="W253" s="70">
        <f>'RESUMEN TOTAL'!AD311</f>
        <v>0</v>
      </c>
      <c r="X253" s="70">
        <f>'RESUMEN TOTAL'!AE311</f>
        <v>0</v>
      </c>
      <c r="Y253" s="70">
        <f>'RESUMEN TOTAL'!AF311</f>
        <v>0</v>
      </c>
      <c r="Z253" s="70">
        <f>'RESUMEN TOTAL'!AG311</f>
        <v>0</v>
      </c>
      <c r="AA253" s="70">
        <f>'RESUMEN TOTAL'!AH311</f>
        <v>0</v>
      </c>
      <c r="AB253" s="70">
        <f>'RESUMEN TOTAL'!AI311</f>
        <v>0</v>
      </c>
      <c r="AC253" s="70">
        <f>'RESUMEN TOTAL'!AJ311</f>
        <v>0</v>
      </c>
      <c r="AD253" s="70">
        <f>'RESUMEN TOTAL'!AK311</f>
        <v>0</v>
      </c>
      <c r="AE253" s="70">
        <f>'RESUMEN TOTAL'!AL311</f>
        <v>0</v>
      </c>
      <c r="AF253" s="70">
        <f>'RESUMEN TOTAL'!AM311</f>
        <v>0</v>
      </c>
      <c r="AG253" s="70">
        <f>'RESUMEN TOTAL'!AN311</f>
        <v>0</v>
      </c>
      <c r="AH253" s="70">
        <f>'RESUMEN TOTAL'!AO311</f>
        <v>0</v>
      </c>
      <c r="AI253" s="70">
        <f>'RESUMEN TOTAL'!AP311</f>
        <v>0</v>
      </c>
      <c r="AJ253" s="70">
        <f>'RESUMEN TOTAL'!AQ311</f>
        <v>0</v>
      </c>
    </row>
    <row r="254" spans="1:36" x14ac:dyDescent="0.25">
      <c r="A254" t="str">
        <f>'RESUMEN TOTAL'!A312</f>
        <v>ZONA RURAL SANTA ROSA</v>
      </c>
      <c r="B254" t="str">
        <f>'RESUMEN TOTAL'!B312</f>
        <v>PUNTO SEGURO - SANTA ROSA (domo)</v>
      </c>
      <c r="C254" t="str">
        <f>'RESUMEN TOTAL'!D312</f>
        <v>BRUSELAS Y SICILIA</v>
      </c>
      <c r="D254" s="30" t="str">
        <f>'RESUMEN TOTAL'!E312</f>
        <v>DOMO</v>
      </c>
      <c r="E254" s="30" t="str">
        <f>'RESUMEN TOTAL'!F312</f>
        <v>Fibra Optica</v>
      </c>
      <c r="F254" s="70">
        <f>'RESUMEN TOTAL'!M312</f>
        <v>0</v>
      </c>
      <c r="G254" s="70">
        <f>'RESUMEN TOTAL'!N312</f>
        <v>0</v>
      </c>
      <c r="H254" s="70">
        <f>'RESUMEN TOTAL'!O312</f>
        <v>0</v>
      </c>
      <c r="I254" s="70">
        <f>'RESUMEN TOTAL'!P312</f>
        <v>0</v>
      </c>
      <c r="J254" s="70">
        <f>'RESUMEN TOTAL'!Q312</f>
        <v>0</v>
      </c>
      <c r="K254" s="70">
        <f>'RESUMEN TOTAL'!R312</f>
        <v>0</v>
      </c>
      <c r="L254" s="70">
        <f>'RESUMEN TOTAL'!S312</f>
        <v>0</v>
      </c>
      <c r="M254" s="70">
        <f>'RESUMEN TOTAL'!T312</f>
        <v>0</v>
      </c>
      <c r="N254" s="70">
        <f>'RESUMEN TOTAL'!U312</f>
        <v>0</v>
      </c>
      <c r="O254" s="70">
        <f>'RESUMEN TOTAL'!V312</f>
        <v>0</v>
      </c>
      <c r="P254" s="70">
        <f>'RESUMEN TOTAL'!W312</f>
        <v>0</v>
      </c>
      <c r="Q254" s="70">
        <f>'RESUMEN TOTAL'!X312</f>
        <v>0</v>
      </c>
      <c r="R254" s="70">
        <f>'RESUMEN TOTAL'!Y312</f>
        <v>0</v>
      </c>
      <c r="S254" s="70">
        <f>'RESUMEN TOTAL'!Z312</f>
        <v>0</v>
      </c>
      <c r="T254" s="70">
        <f>'RESUMEN TOTAL'!AA312</f>
        <v>0</v>
      </c>
      <c r="U254" s="70">
        <f>'RESUMEN TOTAL'!AB312</f>
        <v>0</v>
      </c>
      <c r="V254" s="70">
        <f>'RESUMEN TOTAL'!AC312</f>
        <v>0</v>
      </c>
      <c r="W254" s="70">
        <f>'RESUMEN TOTAL'!AD312</f>
        <v>0</v>
      </c>
      <c r="X254" s="70">
        <f>'RESUMEN TOTAL'!AE312</f>
        <v>0</v>
      </c>
      <c r="Y254" s="70">
        <f>'RESUMEN TOTAL'!AF312</f>
        <v>0</v>
      </c>
      <c r="Z254" s="70">
        <f>'RESUMEN TOTAL'!AG312</f>
        <v>0</v>
      </c>
      <c r="AA254" s="70">
        <f>'RESUMEN TOTAL'!AH312</f>
        <v>0</v>
      </c>
      <c r="AB254" s="70">
        <f>'RESUMEN TOTAL'!AI312</f>
        <v>0</v>
      </c>
      <c r="AC254" s="70">
        <f>'RESUMEN TOTAL'!AJ312</f>
        <v>0</v>
      </c>
      <c r="AD254" s="70">
        <f>'RESUMEN TOTAL'!AK312</f>
        <v>0</v>
      </c>
      <c r="AE254" s="70">
        <f>'RESUMEN TOTAL'!AL312</f>
        <v>0</v>
      </c>
      <c r="AF254" s="70">
        <f>'RESUMEN TOTAL'!AM312</f>
        <v>0</v>
      </c>
      <c r="AG254" s="70">
        <f>'RESUMEN TOTAL'!AN312</f>
        <v>0</v>
      </c>
      <c r="AH254" s="70">
        <f>'RESUMEN TOTAL'!AO312</f>
        <v>0</v>
      </c>
      <c r="AI254" s="70">
        <f>'RESUMEN TOTAL'!AP312</f>
        <v>0</v>
      </c>
      <c r="AJ254" s="70">
        <f>'RESUMEN TOTAL'!AQ312</f>
        <v>0</v>
      </c>
    </row>
    <row r="255" spans="1:36" x14ac:dyDescent="0.25">
      <c r="A255" t="str">
        <f>'RESUMEN TOTAL'!A313</f>
        <v>ZONA RURAL SANTA ROSA</v>
      </c>
      <c r="B255" t="str">
        <f>'RESUMEN TOTAL'!B313</f>
        <v>PUNTO SEGURO - SANTA ROSA (fija)</v>
      </c>
      <c r="C255" t="str">
        <f>'RESUMEN TOTAL'!D313</f>
        <v>BRUSELAS Y SICILIA</v>
      </c>
      <c r="D255" s="30" t="str">
        <f>'RESUMEN TOTAL'!E313</f>
        <v>Fija</v>
      </c>
      <c r="E255" s="30" t="str">
        <f>'RESUMEN TOTAL'!F313</f>
        <v>Fibra Optica</v>
      </c>
      <c r="F255" s="70">
        <f>'RESUMEN TOTAL'!M313</f>
        <v>0</v>
      </c>
      <c r="G255" s="70">
        <f>'RESUMEN TOTAL'!N313</f>
        <v>0</v>
      </c>
      <c r="H255" s="70">
        <f>'RESUMEN TOTAL'!O313</f>
        <v>0</v>
      </c>
      <c r="I255" s="70">
        <f>'RESUMEN TOTAL'!P313</f>
        <v>0</v>
      </c>
      <c r="J255" s="70">
        <f>'RESUMEN TOTAL'!Q313</f>
        <v>0</v>
      </c>
      <c r="K255" s="70">
        <f>'RESUMEN TOTAL'!R313</f>
        <v>0</v>
      </c>
      <c r="L255" s="70">
        <f>'RESUMEN TOTAL'!S313</f>
        <v>0</v>
      </c>
      <c r="M255" s="70">
        <f>'RESUMEN TOTAL'!T313</f>
        <v>0</v>
      </c>
      <c r="N255" s="70">
        <f>'RESUMEN TOTAL'!U313</f>
        <v>0</v>
      </c>
      <c r="O255" s="70">
        <f>'RESUMEN TOTAL'!V313</f>
        <v>0</v>
      </c>
      <c r="P255" s="70">
        <f>'RESUMEN TOTAL'!W313</f>
        <v>0</v>
      </c>
      <c r="Q255" s="70">
        <f>'RESUMEN TOTAL'!X313</f>
        <v>0</v>
      </c>
      <c r="R255" s="70">
        <f>'RESUMEN TOTAL'!Y313</f>
        <v>0</v>
      </c>
      <c r="S255" s="70">
        <f>'RESUMEN TOTAL'!Z313</f>
        <v>0</v>
      </c>
      <c r="T255" s="70">
        <f>'RESUMEN TOTAL'!AA313</f>
        <v>0</v>
      </c>
      <c r="U255" s="70">
        <f>'RESUMEN TOTAL'!AB313</f>
        <v>0</v>
      </c>
      <c r="V255" s="70">
        <f>'RESUMEN TOTAL'!AC313</f>
        <v>0</v>
      </c>
      <c r="W255" s="70">
        <f>'RESUMEN TOTAL'!AD313</f>
        <v>0</v>
      </c>
      <c r="X255" s="70">
        <f>'RESUMEN TOTAL'!AE313</f>
        <v>0</v>
      </c>
      <c r="Y255" s="70">
        <f>'RESUMEN TOTAL'!AF313</f>
        <v>0</v>
      </c>
      <c r="Z255" s="70">
        <f>'RESUMEN TOTAL'!AG313</f>
        <v>0</v>
      </c>
      <c r="AA255" s="70">
        <f>'RESUMEN TOTAL'!AH313</f>
        <v>0</v>
      </c>
      <c r="AB255" s="70">
        <f>'RESUMEN TOTAL'!AI313</f>
        <v>0</v>
      </c>
      <c r="AC255" s="70">
        <f>'RESUMEN TOTAL'!AJ313</f>
        <v>0</v>
      </c>
      <c r="AD255" s="70">
        <f>'RESUMEN TOTAL'!AK313</f>
        <v>0</v>
      </c>
      <c r="AE255" s="70">
        <f>'RESUMEN TOTAL'!AL313</f>
        <v>0</v>
      </c>
      <c r="AF255" s="70">
        <f>'RESUMEN TOTAL'!AM313</f>
        <v>0</v>
      </c>
      <c r="AG255" s="70">
        <f>'RESUMEN TOTAL'!AN313</f>
        <v>0</v>
      </c>
      <c r="AH255" s="70">
        <f>'RESUMEN TOTAL'!AO313</f>
        <v>0</v>
      </c>
      <c r="AI255" s="70">
        <f>'RESUMEN TOTAL'!AP313</f>
        <v>0</v>
      </c>
      <c r="AJ255" s="70">
        <f>'RESUMEN TOTAL'!AQ313</f>
        <v>0</v>
      </c>
    </row>
    <row r="256" spans="1:36" x14ac:dyDescent="0.25">
      <c r="A256" t="str">
        <f>'RESUMEN TOTAL'!A314</f>
        <v>ZONA RURAL SANTA ROSA</v>
      </c>
      <c r="B256" t="str">
        <f>'RESUMEN TOTAL'!B314</f>
        <v>PUNTO SEGURO SANTA ROSA INTERCOMUNICADOR</v>
      </c>
      <c r="C256" t="str">
        <f>'RESUMEN TOTAL'!D314</f>
        <v>Bruselas y sicilia</v>
      </c>
      <c r="D256" s="30" t="str">
        <f>'RESUMEN TOTAL'!E314</f>
        <v>Fija</v>
      </c>
      <c r="E256" s="30" t="str">
        <f>'RESUMEN TOTAL'!F314</f>
        <v>Fibra Optica</v>
      </c>
      <c r="F256" s="70">
        <f>'RESUMEN TOTAL'!M314</f>
        <v>0</v>
      </c>
      <c r="G256" s="70">
        <f>'RESUMEN TOTAL'!N314</f>
        <v>0</v>
      </c>
      <c r="H256" s="70">
        <f>'RESUMEN TOTAL'!O314</f>
        <v>0</v>
      </c>
      <c r="I256" s="70">
        <f>'RESUMEN TOTAL'!P314</f>
        <v>0</v>
      </c>
      <c r="J256" s="70">
        <f>'RESUMEN TOTAL'!Q314</f>
        <v>0</v>
      </c>
      <c r="K256" s="70">
        <f>'RESUMEN TOTAL'!R314</f>
        <v>0</v>
      </c>
      <c r="L256" s="70">
        <f>'RESUMEN TOTAL'!S314</f>
        <v>0</v>
      </c>
      <c r="M256" s="70">
        <f>'RESUMEN TOTAL'!T314</f>
        <v>0</v>
      </c>
      <c r="N256" s="70">
        <f>'RESUMEN TOTAL'!U314</f>
        <v>0</v>
      </c>
      <c r="O256" s="70">
        <f>'RESUMEN TOTAL'!V314</f>
        <v>0</v>
      </c>
      <c r="P256" s="70">
        <f>'RESUMEN TOTAL'!W314</f>
        <v>0</v>
      </c>
      <c r="Q256" s="70">
        <f>'RESUMEN TOTAL'!X314</f>
        <v>0</v>
      </c>
      <c r="R256" s="70">
        <f>'RESUMEN TOTAL'!Y314</f>
        <v>0</v>
      </c>
      <c r="S256" s="70">
        <f>'RESUMEN TOTAL'!Z314</f>
        <v>0</v>
      </c>
      <c r="T256" s="70">
        <f>'RESUMEN TOTAL'!AA314</f>
        <v>0</v>
      </c>
      <c r="U256" s="70">
        <f>'RESUMEN TOTAL'!AB314</f>
        <v>0</v>
      </c>
      <c r="V256" s="70">
        <f>'RESUMEN TOTAL'!AC314</f>
        <v>0</v>
      </c>
      <c r="W256" s="70">
        <f>'RESUMEN TOTAL'!AD314</f>
        <v>0</v>
      </c>
      <c r="X256" s="70">
        <f>'RESUMEN TOTAL'!AE314</f>
        <v>0</v>
      </c>
      <c r="Y256" s="70">
        <f>'RESUMEN TOTAL'!AF314</f>
        <v>0</v>
      </c>
      <c r="Z256" s="70">
        <f>'RESUMEN TOTAL'!AG314</f>
        <v>0</v>
      </c>
      <c r="AA256" s="70">
        <f>'RESUMEN TOTAL'!AH314</f>
        <v>0</v>
      </c>
      <c r="AB256" s="70">
        <f>'RESUMEN TOTAL'!AI314</f>
        <v>0</v>
      </c>
      <c r="AC256" s="70">
        <f>'RESUMEN TOTAL'!AJ314</f>
        <v>0</v>
      </c>
      <c r="AD256" s="70">
        <f>'RESUMEN TOTAL'!AK314</f>
        <v>0</v>
      </c>
      <c r="AE256" s="70">
        <f>'RESUMEN TOTAL'!AL314</f>
        <v>0</v>
      </c>
      <c r="AF256" s="70">
        <f>'RESUMEN TOTAL'!AM314</f>
        <v>0</v>
      </c>
      <c r="AG256" s="70">
        <f>'RESUMEN TOTAL'!AN314</f>
        <v>0</v>
      </c>
      <c r="AH256" s="70">
        <f>'RESUMEN TOTAL'!AO314</f>
        <v>0</v>
      </c>
      <c r="AI256" s="70">
        <f>'RESUMEN TOTAL'!AP314</f>
        <v>0</v>
      </c>
      <c r="AJ256" s="70">
        <f>'RESUMEN TOTAL'!AQ314</f>
        <v>0</v>
      </c>
    </row>
    <row r="257" spans="1:36" x14ac:dyDescent="0.25">
      <c r="A257" t="str">
        <f>'RESUMEN TOTAL'!A315</f>
        <v>VILLA ARGENTINA</v>
      </c>
      <c r="B257" t="str">
        <f>'RESUMEN TOTAL'!B315</f>
        <v>PUNTO SEGURO VILLA ARGENTINA domo</v>
      </c>
      <c r="C257" t="str">
        <f>'RESUMEN TOTAL'!D315</f>
        <v>CALLE 513 Y DIAG PORTELA</v>
      </c>
      <c r="D257" s="30" t="str">
        <f>'RESUMEN TOTAL'!E315</f>
        <v>Fija</v>
      </c>
      <c r="E257" s="30" t="str">
        <f>'RESUMEN TOTAL'!F315</f>
        <v>Fibra Optica</v>
      </c>
      <c r="F257" s="70">
        <f>'RESUMEN TOTAL'!M315</f>
        <v>0</v>
      </c>
      <c r="G257" s="70">
        <f>'RESUMEN TOTAL'!N315</f>
        <v>0</v>
      </c>
      <c r="H257" s="70">
        <f>'RESUMEN TOTAL'!O315</f>
        <v>0</v>
      </c>
      <c r="I257" s="70">
        <f>'RESUMEN TOTAL'!P315</f>
        <v>0</v>
      </c>
      <c r="J257" s="70">
        <f>'RESUMEN TOTAL'!Q315</f>
        <v>0</v>
      </c>
      <c r="K257" s="70">
        <f>'RESUMEN TOTAL'!R315</f>
        <v>0</v>
      </c>
      <c r="L257" s="70">
        <f>'RESUMEN TOTAL'!S315</f>
        <v>0</v>
      </c>
      <c r="M257" s="70">
        <f>'RESUMEN TOTAL'!T315</f>
        <v>0</v>
      </c>
      <c r="N257" s="70">
        <f>'RESUMEN TOTAL'!U315</f>
        <v>0</v>
      </c>
      <c r="O257" s="70">
        <f>'RESUMEN TOTAL'!V315</f>
        <v>0</v>
      </c>
      <c r="P257" s="70">
        <f>'RESUMEN TOTAL'!W315</f>
        <v>0</v>
      </c>
      <c r="Q257" s="70">
        <f>'RESUMEN TOTAL'!X315</f>
        <v>0</v>
      </c>
      <c r="R257" s="70">
        <f>'RESUMEN TOTAL'!Y315</f>
        <v>0</v>
      </c>
      <c r="S257" s="70">
        <f>'RESUMEN TOTAL'!Z315</f>
        <v>0</v>
      </c>
      <c r="T257" s="70">
        <f>'RESUMEN TOTAL'!AA315</f>
        <v>0</v>
      </c>
      <c r="U257" s="70">
        <f>'RESUMEN TOTAL'!AB315</f>
        <v>0</v>
      </c>
      <c r="V257" s="70">
        <f>'RESUMEN TOTAL'!AC315</f>
        <v>0</v>
      </c>
      <c r="W257" s="70">
        <f>'RESUMEN TOTAL'!AD315</f>
        <v>0</v>
      </c>
      <c r="X257" s="70">
        <f>'RESUMEN TOTAL'!AE315</f>
        <v>0</v>
      </c>
      <c r="Y257" s="70">
        <f>'RESUMEN TOTAL'!AF315</f>
        <v>0</v>
      </c>
      <c r="Z257" s="70">
        <f>'RESUMEN TOTAL'!AG315</f>
        <v>0</v>
      </c>
      <c r="AA257" s="70">
        <f>'RESUMEN TOTAL'!AH315</f>
        <v>0</v>
      </c>
      <c r="AB257" s="70">
        <f>'RESUMEN TOTAL'!AI315</f>
        <v>0</v>
      </c>
      <c r="AC257" s="70">
        <f>'RESUMEN TOTAL'!AJ315</f>
        <v>0</v>
      </c>
      <c r="AD257" s="70">
        <f>'RESUMEN TOTAL'!AK315</f>
        <v>0</v>
      </c>
      <c r="AE257" s="70">
        <f>'RESUMEN TOTAL'!AL315</f>
        <v>0</v>
      </c>
      <c r="AF257" s="70">
        <f>'RESUMEN TOTAL'!AM315</f>
        <v>0</v>
      </c>
      <c r="AG257" s="70">
        <f>'RESUMEN TOTAL'!AN315</f>
        <v>0</v>
      </c>
      <c r="AH257" s="70">
        <f>'RESUMEN TOTAL'!AO315</f>
        <v>0</v>
      </c>
      <c r="AI257" s="70">
        <f>'RESUMEN TOTAL'!AP315</f>
        <v>0</v>
      </c>
      <c r="AJ257" s="70">
        <f>'RESUMEN TOTAL'!AQ315</f>
        <v>0</v>
      </c>
    </row>
    <row r="258" spans="1:36" x14ac:dyDescent="0.25">
      <c r="A258" t="str">
        <f>'RESUMEN TOTAL'!A316</f>
        <v>VILLA ARGENTINA</v>
      </c>
      <c r="B258" t="str">
        <f>'RESUMEN TOTAL'!B316</f>
        <v>PUNTO SEGURO VILLA ARGENTINA fija</v>
      </c>
      <c r="C258" t="str">
        <f>'RESUMEN TOTAL'!D316</f>
        <v>CALLE 513 Y DIAG PORTELA</v>
      </c>
      <c r="D258" s="30" t="str">
        <f>'RESUMEN TOTAL'!E316</f>
        <v>Fija</v>
      </c>
      <c r="E258" s="30" t="str">
        <f>'RESUMEN TOTAL'!F316</f>
        <v>Fibra Optica</v>
      </c>
      <c r="F258" s="70">
        <f>'RESUMEN TOTAL'!M316</f>
        <v>0</v>
      </c>
      <c r="G258" s="70">
        <f>'RESUMEN TOTAL'!N316</f>
        <v>0</v>
      </c>
      <c r="H258" s="70">
        <f>'RESUMEN TOTAL'!O316</f>
        <v>0</v>
      </c>
      <c r="I258" s="70">
        <f>'RESUMEN TOTAL'!P316</f>
        <v>0</v>
      </c>
      <c r="J258" s="70">
        <f>'RESUMEN TOTAL'!Q316</f>
        <v>0</v>
      </c>
      <c r="K258" s="70">
        <f>'RESUMEN TOTAL'!R316</f>
        <v>0</v>
      </c>
      <c r="L258" s="70">
        <f>'RESUMEN TOTAL'!S316</f>
        <v>0</v>
      </c>
      <c r="M258" s="70">
        <f>'RESUMEN TOTAL'!T316</f>
        <v>0</v>
      </c>
      <c r="N258" s="70">
        <f>'RESUMEN TOTAL'!U316</f>
        <v>0</v>
      </c>
      <c r="O258" s="70">
        <f>'RESUMEN TOTAL'!V316</f>
        <v>0</v>
      </c>
      <c r="P258" s="70">
        <f>'RESUMEN TOTAL'!W316</f>
        <v>0</v>
      </c>
      <c r="Q258" s="70">
        <f>'RESUMEN TOTAL'!X316</f>
        <v>0</v>
      </c>
      <c r="R258" s="70">
        <f>'RESUMEN TOTAL'!Y316</f>
        <v>0</v>
      </c>
      <c r="S258" s="70">
        <f>'RESUMEN TOTAL'!Z316</f>
        <v>0</v>
      </c>
      <c r="T258" s="70">
        <f>'RESUMEN TOTAL'!AA316</f>
        <v>0</v>
      </c>
      <c r="U258" s="70">
        <f>'RESUMEN TOTAL'!AB316</f>
        <v>0</v>
      </c>
      <c r="V258" s="70">
        <f>'RESUMEN TOTAL'!AC316</f>
        <v>0</v>
      </c>
      <c r="W258" s="70">
        <f>'RESUMEN TOTAL'!AD316</f>
        <v>0</v>
      </c>
      <c r="X258" s="70">
        <f>'RESUMEN TOTAL'!AE316</f>
        <v>0</v>
      </c>
      <c r="Y258" s="70">
        <f>'RESUMEN TOTAL'!AF316</f>
        <v>0</v>
      </c>
      <c r="Z258" s="70">
        <f>'RESUMEN TOTAL'!AG316</f>
        <v>0</v>
      </c>
      <c r="AA258" s="70">
        <f>'RESUMEN TOTAL'!AH316</f>
        <v>0</v>
      </c>
      <c r="AB258" s="70">
        <f>'RESUMEN TOTAL'!AI316</f>
        <v>0</v>
      </c>
      <c r="AC258" s="70">
        <f>'RESUMEN TOTAL'!AJ316</f>
        <v>0</v>
      </c>
      <c r="AD258" s="70">
        <f>'RESUMEN TOTAL'!AK316</f>
        <v>0</v>
      </c>
      <c r="AE258" s="70">
        <f>'RESUMEN TOTAL'!AL316</f>
        <v>0</v>
      </c>
      <c r="AF258" s="70">
        <f>'RESUMEN TOTAL'!AM316</f>
        <v>0</v>
      </c>
      <c r="AG258" s="70">
        <f>'RESUMEN TOTAL'!AN316</f>
        <v>0</v>
      </c>
      <c r="AH258" s="70">
        <f>'RESUMEN TOTAL'!AO316</f>
        <v>0</v>
      </c>
      <c r="AI258" s="70">
        <f>'RESUMEN TOTAL'!AP316</f>
        <v>0</v>
      </c>
      <c r="AJ258" s="70">
        <f>'RESUMEN TOTAL'!AQ316</f>
        <v>0</v>
      </c>
    </row>
    <row r="259" spans="1:36" x14ac:dyDescent="0.25">
      <c r="A259" t="str">
        <f>'RESUMEN TOTAL'!A317</f>
        <v>VILLA ARGENTINA</v>
      </c>
      <c r="B259" t="str">
        <f>'RESUMEN TOTAL'!B317</f>
        <v>PUNTO SEGURO VILLA ARGENTINA INTERCOMUNICADOR</v>
      </c>
      <c r="C259" t="str">
        <f>'RESUMEN TOTAL'!D317</f>
        <v>CALLE 513 Y DIAG PORTELA</v>
      </c>
      <c r="D259" s="30" t="str">
        <f>'RESUMEN TOTAL'!E317</f>
        <v>Fija</v>
      </c>
      <c r="E259" s="30" t="str">
        <f>'RESUMEN TOTAL'!F317</f>
        <v>Fibra Optica</v>
      </c>
      <c r="F259" s="70">
        <f>'RESUMEN TOTAL'!M317</f>
        <v>0</v>
      </c>
      <c r="G259" s="70">
        <f>'RESUMEN TOTAL'!N317</f>
        <v>0</v>
      </c>
      <c r="H259" s="70">
        <f>'RESUMEN TOTAL'!O317</f>
        <v>0</v>
      </c>
      <c r="I259" s="70">
        <f>'RESUMEN TOTAL'!P317</f>
        <v>0</v>
      </c>
      <c r="J259" s="70">
        <f>'RESUMEN TOTAL'!Q317</f>
        <v>0</v>
      </c>
      <c r="K259" s="70">
        <f>'RESUMEN TOTAL'!R317</f>
        <v>0</v>
      </c>
      <c r="L259" s="70">
        <f>'RESUMEN TOTAL'!S317</f>
        <v>0</v>
      </c>
      <c r="M259" s="70">
        <f>'RESUMEN TOTAL'!T317</f>
        <v>0</v>
      </c>
      <c r="N259" s="70">
        <f>'RESUMEN TOTAL'!U317</f>
        <v>0</v>
      </c>
      <c r="O259" s="70">
        <f>'RESUMEN TOTAL'!V317</f>
        <v>0</v>
      </c>
      <c r="P259" s="70">
        <f>'RESUMEN TOTAL'!W317</f>
        <v>0</v>
      </c>
      <c r="Q259" s="70">
        <f>'RESUMEN TOTAL'!X317</f>
        <v>0</v>
      </c>
      <c r="R259" s="70">
        <f>'RESUMEN TOTAL'!Y317</f>
        <v>0</v>
      </c>
      <c r="S259" s="70">
        <f>'RESUMEN TOTAL'!Z317</f>
        <v>0</v>
      </c>
      <c r="T259" s="70">
        <f>'RESUMEN TOTAL'!AA317</f>
        <v>0</v>
      </c>
      <c r="U259" s="70">
        <f>'RESUMEN TOTAL'!AB317</f>
        <v>0</v>
      </c>
      <c r="V259" s="70">
        <f>'RESUMEN TOTAL'!AC317</f>
        <v>0</v>
      </c>
      <c r="W259" s="70">
        <f>'RESUMEN TOTAL'!AD317</f>
        <v>0</v>
      </c>
      <c r="X259" s="70">
        <f>'RESUMEN TOTAL'!AE317</f>
        <v>0</v>
      </c>
      <c r="Y259" s="70">
        <f>'RESUMEN TOTAL'!AF317</f>
        <v>0</v>
      </c>
      <c r="Z259" s="70">
        <f>'RESUMEN TOTAL'!AG317</f>
        <v>0</v>
      </c>
      <c r="AA259" s="70">
        <f>'RESUMEN TOTAL'!AH317</f>
        <v>0</v>
      </c>
      <c r="AB259" s="70">
        <f>'RESUMEN TOTAL'!AI317</f>
        <v>0</v>
      </c>
      <c r="AC259" s="70">
        <f>'RESUMEN TOTAL'!AJ317</f>
        <v>0</v>
      </c>
      <c r="AD259" s="70">
        <f>'RESUMEN TOTAL'!AK317</f>
        <v>0</v>
      </c>
      <c r="AE259" s="70">
        <f>'RESUMEN TOTAL'!AL317</f>
        <v>0</v>
      </c>
      <c r="AF259" s="70">
        <f>'RESUMEN TOTAL'!AM317</f>
        <v>0</v>
      </c>
      <c r="AG259" s="70">
        <f>'RESUMEN TOTAL'!AN317</f>
        <v>0</v>
      </c>
      <c r="AH259" s="70">
        <f>'RESUMEN TOTAL'!AO317</f>
        <v>0</v>
      </c>
      <c r="AI259" s="70">
        <f>'RESUMEN TOTAL'!AP317</f>
        <v>0</v>
      </c>
      <c r="AJ259" s="70">
        <f>'RESUMEN TOTAL'!AQ317</f>
        <v>0</v>
      </c>
    </row>
    <row r="260" spans="1:36" x14ac:dyDescent="0.25">
      <c r="A260" t="str">
        <f>'RESUMEN TOTAL'!A318</f>
        <v>EL ROCIO</v>
      </c>
      <c r="B260" t="str">
        <f>'RESUMEN TOTAL'!B318</f>
        <v>RCO 01</v>
      </c>
      <c r="C260" t="str">
        <f>'RESUMEN TOTAL'!D318</f>
        <v>AV. LUJAN Y LOBOS</v>
      </c>
      <c r="D260" s="30" t="str">
        <f>'RESUMEN TOTAL'!E318</f>
        <v>DOMO</v>
      </c>
      <c r="E260" s="30" t="str">
        <f>'RESUMEN TOTAL'!F318</f>
        <v>Fibra Optica</v>
      </c>
      <c r="F260" s="70">
        <f>'RESUMEN TOTAL'!M318</f>
        <v>0</v>
      </c>
      <c r="G260" s="70">
        <f>'RESUMEN TOTAL'!N318</f>
        <v>0</v>
      </c>
      <c r="H260" s="70">
        <f>'RESUMEN TOTAL'!O318</f>
        <v>0</v>
      </c>
      <c r="I260" s="70">
        <f>'RESUMEN TOTAL'!P318</f>
        <v>0</v>
      </c>
      <c r="J260" s="70">
        <f>'RESUMEN TOTAL'!Q318</f>
        <v>0</v>
      </c>
      <c r="K260" s="70">
        <f>'RESUMEN TOTAL'!R318</f>
        <v>0</v>
      </c>
      <c r="L260" s="70">
        <f>'RESUMEN TOTAL'!S318</f>
        <v>0</v>
      </c>
      <c r="M260" s="70">
        <f>'RESUMEN TOTAL'!T318</f>
        <v>0</v>
      </c>
      <c r="N260" s="70">
        <f>'RESUMEN TOTAL'!U318</f>
        <v>0</v>
      </c>
      <c r="O260" s="70">
        <f>'RESUMEN TOTAL'!V318</f>
        <v>0</v>
      </c>
      <c r="P260" s="70">
        <f>'RESUMEN TOTAL'!W318</f>
        <v>0</v>
      </c>
      <c r="Q260" s="70">
        <f>'RESUMEN TOTAL'!X318</f>
        <v>0</v>
      </c>
      <c r="R260" s="70">
        <f>'RESUMEN TOTAL'!Y318</f>
        <v>0</v>
      </c>
      <c r="S260" s="70">
        <f>'RESUMEN TOTAL'!Z318</f>
        <v>0</v>
      </c>
      <c r="T260" s="70">
        <f>'RESUMEN TOTAL'!AA318</f>
        <v>0</v>
      </c>
      <c r="U260" s="70">
        <f>'RESUMEN TOTAL'!AB318</f>
        <v>0</v>
      </c>
      <c r="V260" s="70">
        <f>'RESUMEN TOTAL'!AC318</f>
        <v>0</v>
      </c>
      <c r="W260" s="70">
        <f>'RESUMEN TOTAL'!AD318</f>
        <v>0</v>
      </c>
      <c r="X260" s="70">
        <f>'RESUMEN TOTAL'!AE318</f>
        <v>0</v>
      </c>
      <c r="Y260" s="70">
        <f>'RESUMEN TOTAL'!AF318</f>
        <v>0</v>
      </c>
      <c r="Z260" s="70">
        <f>'RESUMEN TOTAL'!AG318</f>
        <v>0</v>
      </c>
      <c r="AA260" s="70">
        <f>'RESUMEN TOTAL'!AH318</f>
        <v>0</v>
      </c>
      <c r="AB260" s="70">
        <f>'RESUMEN TOTAL'!AI318</f>
        <v>0</v>
      </c>
      <c r="AC260" s="70">
        <f>'RESUMEN TOTAL'!AJ318</f>
        <v>0</v>
      </c>
      <c r="AD260" s="70">
        <f>'RESUMEN TOTAL'!AK318</f>
        <v>0</v>
      </c>
      <c r="AE260" s="70">
        <f>'RESUMEN TOTAL'!AL318</f>
        <v>0</v>
      </c>
      <c r="AF260" s="70">
        <f>'RESUMEN TOTAL'!AM318</f>
        <v>0</v>
      </c>
      <c r="AG260" s="70">
        <f>'RESUMEN TOTAL'!AN318</f>
        <v>0</v>
      </c>
      <c r="AH260" s="70">
        <f>'RESUMEN TOTAL'!AO318</f>
        <v>0</v>
      </c>
      <c r="AI260" s="70">
        <f>'RESUMEN TOTAL'!AP318</f>
        <v>0</v>
      </c>
      <c r="AJ260" s="70">
        <f>'RESUMEN TOTAL'!AQ318</f>
        <v>0</v>
      </c>
    </row>
    <row r="261" spans="1:36" x14ac:dyDescent="0.25">
      <c r="A261" t="str">
        <f>'RESUMEN TOTAL'!A319</f>
        <v>EL ROCIO</v>
      </c>
      <c r="B261" t="str">
        <f>'RESUMEN TOTAL'!B319</f>
        <v>RCO02</v>
      </c>
      <c r="C261" t="str">
        <f>'RESUMEN TOTAL'!D319</f>
        <v>AV. LUJAN Y BRANDSEN</v>
      </c>
      <c r="D261" s="30" t="str">
        <f>'RESUMEN TOTAL'!E319</f>
        <v>DOMO</v>
      </c>
      <c r="E261" s="30" t="str">
        <f>'RESUMEN TOTAL'!F319</f>
        <v>Fibra Optica</v>
      </c>
      <c r="F261" s="70">
        <f>'RESUMEN TOTAL'!M319</f>
        <v>0</v>
      </c>
      <c r="G261" s="70">
        <f>'RESUMEN TOTAL'!N319</f>
        <v>0</v>
      </c>
      <c r="H261" s="70">
        <f>'RESUMEN TOTAL'!O319</f>
        <v>0</v>
      </c>
      <c r="I261" s="70">
        <f>'RESUMEN TOTAL'!P319</f>
        <v>0</v>
      </c>
      <c r="J261" s="70">
        <f>'RESUMEN TOTAL'!Q319</f>
        <v>0</v>
      </c>
      <c r="K261" s="70">
        <f>'RESUMEN TOTAL'!R319</f>
        <v>0</v>
      </c>
      <c r="L261" s="70">
        <f>'RESUMEN TOTAL'!S319</f>
        <v>0</v>
      </c>
      <c r="M261" s="70">
        <f>'RESUMEN TOTAL'!T319</f>
        <v>0</v>
      </c>
      <c r="N261" s="70">
        <f>'RESUMEN TOTAL'!U319</f>
        <v>0</v>
      </c>
      <c r="O261" s="70">
        <f>'RESUMEN TOTAL'!V319</f>
        <v>0</v>
      </c>
      <c r="P261" s="70">
        <f>'RESUMEN TOTAL'!W319</f>
        <v>0</v>
      </c>
      <c r="Q261" s="70">
        <f>'RESUMEN TOTAL'!X319</f>
        <v>0</v>
      </c>
      <c r="R261" s="70">
        <f>'RESUMEN TOTAL'!Y319</f>
        <v>0</v>
      </c>
      <c r="S261" s="70">
        <f>'RESUMEN TOTAL'!Z319</f>
        <v>0</v>
      </c>
      <c r="T261" s="70">
        <f>'RESUMEN TOTAL'!AA319</f>
        <v>0</v>
      </c>
      <c r="U261" s="70">
        <f>'RESUMEN TOTAL'!AB319</f>
        <v>0</v>
      </c>
      <c r="V261" s="70">
        <f>'RESUMEN TOTAL'!AC319</f>
        <v>0</v>
      </c>
      <c r="W261" s="70">
        <f>'RESUMEN TOTAL'!AD319</f>
        <v>0</v>
      </c>
      <c r="X261" s="70">
        <f>'RESUMEN TOTAL'!AE319</f>
        <v>0</v>
      </c>
      <c r="Y261" s="70">
        <f>'RESUMEN TOTAL'!AF319</f>
        <v>0</v>
      </c>
      <c r="Z261" s="70">
        <f>'RESUMEN TOTAL'!AG319</f>
        <v>0</v>
      </c>
      <c r="AA261" s="70">
        <f>'RESUMEN TOTAL'!AH319</f>
        <v>0</v>
      </c>
      <c r="AB261" s="70">
        <f>'RESUMEN TOTAL'!AI319</f>
        <v>0</v>
      </c>
      <c r="AC261" s="70">
        <f>'RESUMEN TOTAL'!AJ319</f>
        <v>0</v>
      </c>
      <c r="AD261" s="70">
        <f>'RESUMEN TOTAL'!AK319</f>
        <v>0</v>
      </c>
      <c r="AE261" s="70">
        <f>'RESUMEN TOTAL'!AL319</f>
        <v>0</v>
      </c>
      <c r="AF261" s="70">
        <f>'RESUMEN TOTAL'!AM319</f>
        <v>0</v>
      </c>
      <c r="AG261" s="70">
        <f>'RESUMEN TOTAL'!AN319</f>
        <v>0</v>
      </c>
      <c r="AH261" s="70">
        <f>'RESUMEN TOTAL'!AO319</f>
        <v>0</v>
      </c>
      <c r="AI261" s="70">
        <f>'RESUMEN TOTAL'!AP319</f>
        <v>0</v>
      </c>
      <c r="AJ261" s="70">
        <f>'RESUMEN TOTAL'!AQ319</f>
        <v>0</v>
      </c>
    </row>
    <row r="262" spans="1:36" x14ac:dyDescent="0.25">
      <c r="A262" t="str">
        <f>'RESUMEN TOTAL'!A320</f>
        <v>EL ROCIO</v>
      </c>
      <c r="B262" t="str">
        <f>'RESUMEN TOTAL'!B320</f>
        <v>RCO03 (fija 1)</v>
      </c>
      <c r="C262" t="str">
        <f>'RESUMEN TOTAL'!D320</f>
        <v>OLAVARRIA Y CONCORDIA</v>
      </c>
      <c r="D262" s="30" t="str">
        <f>'RESUMEN TOTAL'!E320</f>
        <v>Fija</v>
      </c>
      <c r="E262" s="30" t="str">
        <f>'RESUMEN TOTAL'!F320</f>
        <v>Fibra Optica</v>
      </c>
      <c r="F262" s="70">
        <f>'RESUMEN TOTAL'!M320</f>
        <v>0</v>
      </c>
      <c r="G262" s="70">
        <f>'RESUMEN TOTAL'!N320</f>
        <v>0</v>
      </c>
      <c r="H262" s="70">
        <f>'RESUMEN TOTAL'!O320</f>
        <v>0</v>
      </c>
      <c r="I262" s="70">
        <f>'RESUMEN TOTAL'!P320</f>
        <v>0</v>
      </c>
      <c r="J262" s="70">
        <f>'RESUMEN TOTAL'!Q320</f>
        <v>0</v>
      </c>
      <c r="K262" s="70">
        <f>'RESUMEN TOTAL'!R320</f>
        <v>0</v>
      </c>
      <c r="L262" s="70">
        <f>'RESUMEN TOTAL'!S320</f>
        <v>0</v>
      </c>
      <c r="M262" s="70">
        <f>'RESUMEN TOTAL'!T320</f>
        <v>0</v>
      </c>
      <c r="N262" s="70">
        <f>'RESUMEN TOTAL'!U320</f>
        <v>0</v>
      </c>
      <c r="O262" s="70">
        <f>'RESUMEN TOTAL'!V320</f>
        <v>0</v>
      </c>
      <c r="P262" s="70">
        <f>'RESUMEN TOTAL'!W320</f>
        <v>0</v>
      </c>
      <c r="Q262" s="70">
        <f>'RESUMEN TOTAL'!X320</f>
        <v>0</v>
      </c>
      <c r="R262" s="70">
        <f>'RESUMEN TOTAL'!Y320</f>
        <v>0</v>
      </c>
      <c r="S262" s="70">
        <f>'RESUMEN TOTAL'!Z320</f>
        <v>0</v>
      </c>
      <c r="T262" s="70">
        <f>'RESUMEN TOTAL'!AA320</f>
        <v>0</v>
      </c>
      <c r="U262" s="70">
        <f>'RESUMEN TOTAL'!AB320</f>
        <v>0</v>
      </c>
      <c r="V262" s="70">
        <f>'RESUMEN TOTAL'!AC320</f>
        <v>0</v>
      </c>
      <c r="W262" s="70">
        <f>'RESUMEN TOTAL'!AD320</f>
        <v>0</v>
      </c>
      <c r="X262" s="70">
        <f>'RESUMEN TOTAL'!AE320</f>
        <v>0</v>
      </c>
      <c r="Y262" s="70">
        <f>'RESUMEN TOTAL'!AF320</f>
        <v>0</v>
      </c>
      <c r="Z262" s="70">
        <f>'RESUMEN TOTAL'!AG320</f>
        <v>0</v>
      </c>
      <c r="AA262" s="70">
        <f>'RESUMEN TOTAL'!AH320</f>
        <v>0</v>
      </c>
      <c r="AB262" s="70">
        <f>'RESUMEN TOTAL'!AI320</f>
        <v>0</v>
      </c>
      <c r="AC262" s="70">
        <f>'RESUMEN TOTAL'!AJ320</f>
        <v>0</v>
      </c>
      <c r="AD262" s="70">
        <f>'RESUMEN TOTAL'!AK320</f>
        <v>0</v>
      </c>
      <c r="AE262" s="70">
        <f>'RESUMEN TOTAL'!AL320</f>
        <v>0</v>
      </c>
      <c r="AF262" s="70">
        <f>'RESUMEN TOTAL'!AM320</f>
        <v>0</v>
      </c>
      <c r="AG262" s="70">
        <f>'RESUMEN TOTAL'!AN320</f>
        <v>0</v>
      </c>
      <c r="AH262" s="70">
        <f>'RESUMEN TOTAL'!AO320</f>
        <v>0</v>
      </c>
      <c r="AI262" s="70">
        <f>'RESUMEN TOTAL'!AP320</f>
        <v>0</v>
      </c>
      <c r="AJ262" s="70">
        <f>'RESUMEN TOTAL'!AQ320</f>
        <v>0</v>
      </c>
    </row>
    <row r="263" spans="1:36" x14ac:dyDescent="0.25">
      <c r="A263" t="str">
        <f>'RESUMEN TOTAL'!A321</f>
        <v>EL ROCIO</v>
      </c>
      <c r="B263" t="str">
        <f>'RESUMEN TOTAL'!B321</f>
        <v>RCO04 (fija 2)</v>
      </c>
      <c r="C263" t="str">
        <f>'RESUMEN TOTAL'!D321</f>
        <v>OLAVARRIA Y CONCORDIA</v>
      </c>
      <c r="D263" s="30" t="str">
        <f>'RESUMEN TOTAL'!E321</f>
        <v>Fija</v>
      </c>
      <c r="E263" s="30" t="str">
        <f>'RESUMEN TOTAL'!F321</f>
        <v>Fibra Optica</v>
      </c>
      <c r="F263" s="70">
        <f>'RESUMEN TOTAL'!M321</f>
        <v>0</v>
      </c>
      <c r="G263" s="70">
        <f>'RESUMEN TOTAL'!N321</f>
        <v>0</v>
      </c>
      <c r="H263" s="70">
        <f>'RESUMEN TOTAL'!O321</f>
        <v>0</v>
      </c>
      <c r="I263" s="70">
        <f>'RESUMEN TOTAL'!P321</f>
        <v>0</v>
      </c>
      <c r="J263" s="70">
        <f>'RESUMEN TOTAL'!Q321</f>
        <v>0</v>
      </c>
      <c r="K263" s="70">
        <f>'RESUMEN TOTAL'!R321</f>
        <v>0</v>
      </c>
      <c r="L263" s="70">
        <f>'RESUMEN TOTAL'!S321</f>
        <v>0</v>
      </c>
      <c r="M263" s="70">
        <f>'RESUMEN TOTAL'!T321</f>
        <v>0</v>
      </c>
      <c r="N263" s="70">
        <f>'RESUMEN TOTAL'!U321</f>
        <v>0</v>
      </c>
      <c r="O263" s="70">
        <f>'RESUMEN TOTAL'!V321</f>
        <v>0</v>
      </c>
      <c r="P263" s="70">
        <f>'RESUMEN TOTAL'!W321</f>
        <v>0</v>
      </c>
      <c r="Q263" s="70">
        <f>'RESUMEN TOTAL'!X321</f>
        <v>0</v>
      </c>
      <c r="R263" s="70">
        <f>'RESUMEN TOTAL'!Y321</f>
        <v>0</v>
      </c>
      <c r="S263" s="70">
        <f>'RESUMEN TOTAL'!Z321</f>
        <v>0</v>
      </c>
      <c r="T263" s="70">
        <f>'RESUMEN TOTAL'!AA321</f>
        <v>0</v>
      </c>
      <c r="U263" s="70">
        <f>'RESUMEN TOTAL'!AB321</f>
        <v>0</v>
      </c>
      <c r="V263" s="70">
        <f>'RESUMEN TOTAL'!AC321</f>
        <v>0</v>
      </c>
      <c r="W263" s="70">
        <f>'RESUMEN TOTAL'!AD321</f>
        <v>0</v>
      </c>
      <c r="X263" s="70">
        <f>'RESUMEN TOTAL'!AE321</f>
        <v>0</v>
      </c>
      <c r="Y263" s="70">
        <f>'RESUMEN TOTAL'!AF321</f>
        <v>0</v>
      </c>
      <c r="Z263" s="70">
        <f>'RESUMEN TOTAL'!AG321</f>
        <v>0</v>
      </c>
      <c r="AA263" s="70">
        <f>'RESUMEN TOTAL'!AH321</f>
        <v>0</v>
      </c>
      <c r="AB263" s="70">
        <f>'RESUMEN TOTAL'!AI321</f>
        <v>0</v>
      </c>
      <c r="AC263" s="70">
        <f>'RESUMEN TOTAL'!AJ321</f>
        <v>0</v>
      </c>
      <c r="AD263" s="70">
        <f>'RESUMEN TOTAL'!AK321</f>
        <v>0</v>
      </c>
      <c r="AE263" s="70">
        <f>'RESUMEN TOTAL'!AL321</f>
        <v>0</v>
      </c>
      <c r="AF263" s="70">
        <f>'RESUMEN TOTAL'!AM321</f>
        <v>0</v>
      </c>
      <c r="AG263" s="70">
        <f>'RESUMEN TOTAL'!AN321</f>
        <v>0</v>
      </c>
      <c r="AH263" s="70">
        <f>'RESUMEN TOTAL'!AO321</f>
        <v>0</v>
      </c>
      <c r="AI263" s="70">
        <f>'RESUMEN TOTAL'!AP321</f>
        <v>0</v>
      </c>
      <c r="AJ263" s="70">
        <f>'RESUMEN TOTAL'!AQ321</f>
        <v>0</v>
      </c>
    </row>
    <row r="264" spans="1:36" x14ac:dyDescent="0.25">
      <c r="A264" t="str">
        <f>'RESUMEN TOTAL'!A322</f>
        <v>EL ROCIO</v>
      </c>
      <c r="B264" t="str">
        <f>'RESUMEN TOTAL'!B322</f>
        <v>RCO05 (fija 1)</v>
      </c>
      <c r="C264" t="str">
        <f>'RESUMEN TOTAL'!D322</f>
        <v>LOBOS Y CHASCOMUS</v>
      </c>
      <c r="D264" s="30" t="str">
        <f>'RESUMEN TOTAL'!E322</f>
        <v>Fija</v>
      </c>
      <c r="E264" s="30" t="str">
        <f>'RESUMEN TOTAL'!F322</f>
        <v>Fibra Optica</v>
      </c>
      <c r="F264" s="70">
        <f>'RESUMEN TOTAL'!M322</f>
        <v>0</v>
      </c>
      <c r="G264" s="70">
        <f>'RESUMEN TOTAL'!N322</f>
        <v>0</v>
      </c>
      <c r="H264" s="70">
        <f>'RESUMEN TOTAL'!O322</f>
        <v>0</v>
      </c>
      <c r="I264" s="70">
        <f>'RESUMEN TOTAL'!P322</f>
        <v>0</v>
      </c>
      <c r="J264" s="70">
        <f>'RESUMEN TOTAL'!Q322</f>
        <v>0</v>
      </c>
      <c r="K264" s="70">
        <f>'RESUMEN TOTAL'!R322</f>
        <v>0</v>
      </c>
      <c r="L264" s="70">
        <f>'RESUMEN TOTAL'!S322</f>
        <v>0</v>
      </c>
      <c r="M264" s="70">
        <f>'RESUMEN TOTAL'!T322</f>
        <v>0</v>
      </c>
      <c r="N264" s="70">
        <f>'RESUMEN TOTAL'!U322</f>
        <v>0</v>
      </c>
      <c r="O264" s="70">
        <f>'RESUMEN TOTAL'!V322</f>
        <v>0</v>
      </c>
      <c r="P264" s="70">
        <f>'RESUMEN TOTAL'!W322</f>
        <v>0</v>
      </c>
      <c r="Q264" s="70">
        <f>'RESUMEN TOTAL'!X322</f>
        <v>0</v>
      </c>
      <c r="R264" s="70">
        <f>'RESUMEN TOTAL'!Y322</f>
        <v>0</v>
      </c>
      <c r="S264" s="70">
        <f>'RESUMEN TOTAL'!Z322</f>
        <v>0</v>
      </c>
      <c r="T264" s="70">
        <f>'RESUMEN TOTAL'!AA322</f>
        <v>0</v>
      </c>
      <c r="U264" s="70">
        <f>'RESUMEN TOTAL'!AB322</f>
        <v>0</v>
      </c>
      <c r="V264" s="70">
        <f>'RESUMEN TOTAL'!AC322</f>
        <v>0</v>
      </c>
      <c r="W264" s="70">
        <f>'RESUMEN TOTAL'!AD322</f>
        <v>0</v>
      </c>
      <c r="X264" s="70">
        <f>'RESUMEN TOTAL'!AE322</f>
        <v>0</v>
      </c>
      <c r="Y264" s="70">
        <f>'RESUMEN TOTAL'!AF322</f>
        <v>0</v>
      </c>
      <c r="Z264" s="70">
        <f>'RESUMEN TOTAL'!AG322</f>
        <v>0</v>
      </c>
      <c r="AA264" s="70">
        <f>'RESUMEN TOTAL'!AH322</f>
        <v>0</v>
      </c>
      <c r="AB264" s="70">
        <f>'RESUMEN TOTAL'!AI322</f>
        <v>0</v>
      </c>
      <c r="AC264" s="70">
        <f>'RESUMEN TOTAL'!AJ322</f>
        <v>0</v>
      </c>
      <c r="AD264" s="70">
        <f>'RESUMEN TOTAL'!AK322</f>
        <v>0</v>
      </c>
      <c r="AE264" s="70">
        <f>'RESUMEN TOTAL'!AL322</f>
        <v>0</v>
      </c>
      <c r="AF264" s="70">
        <f>'RESUMEN TOTAL'!AM322</f>
        <v>0</v>
      </c>
      <c r="AG264" s="70">
        <f>'RESUMEN TOTAL'!AN322</f>
        <v>0</v>
      </c>
      <c r="AH264" s="70">
        <f>'RESUMEN TOTAL'!AO322</f>
        <v>0</v>
      </c>
      <c r="AI264" s="70">
        <f>'RESUMEN TOTAL'!AP322</f>
        <v>0</v>
      </c>
      <c r="AJ264" s="70">
        <f>'RESUMEN TOTAL'!AQ322</f>
        <v>0</v>
      </c>
    </row>
    <row r="265" spans="1:36" x14ac:dyDescent="0.25">
      <c r="A265" t="str">
        <f>'RESUMEN TOTAL'!A325</f>
        <v>EL ROCIO</v>
      </c>
      <c r="B265" t="str">
        <f>'RESUMEN TOTAL'!B323</f>
        <v>RCO06 (fija 2)</v>
      </c>
      <c r="C265" t="str">
        <f>'RESUMEN TOTAL'!D323</f>
        <v>LOBOS Y CHASCOMUS</v>
      </c>
      <c r="D265" s="30" t="str">
        <f>'RESUMEN TOTAL'!E323</f>
        <v>FIJA</v>
      </c>
      <c r="E265" s="30" t="str">
        <f>'RESUMEN TOTAL'!F323</f>
        <v>Fibra Optica</v>
      </c>
      <c r="F265" s="70">
        <f>'RESUMEN TOTAL'!M323</f>
        <v>0</v>
      </c>
      <c r="G265" s="70">
        <f>'RESUMEN TOTAL'!N323</f>
        <v>0</v>
      </c>
      <c r="H265" s="70">
        <f>'RESUMEN TOTAL'!O323</f>
        <v>0</v>
      </c>
      <c r="I265" s="70">
        <f>'RESUMEN TOTAL'!P323</f>
        <v>0</v>
      </c>
      <c r="J265" s="70">
        <f>'RESUMEN TOTAL'!Q323</f>
        <v>0</v>
      </c>
      <c r="K265" s="70">
        <f>'RESUMEN TOTAL'!R323</f>
        <v>0</v>
      </c>
      <c r="L265" s="70">
        <f>'RESUMEN TOTAL'!S323</f>
        <v>0</v>
      </c>
      <c r="M265" s="70">
        <f>'RESUMEN TOTAL'!T323</f>
        <v>0</v>
      </c>
      <c r="N265" s="70">
        <f>'RESUMEN TOTAL'!U323</f>
        <v>0</v>
      </c>
      <c r="O265" s="70">
        <f>'RESUMEN TOTAL'!V323</f>
        <v>0</v>
      </c>
      <c r="P265" s="70">
        <f>'RESUMEN TOTAL'!W323</f>
        <v>0</v>
      </c>
      <c r="Q265" s="70">
        <f>'RESUMEN TOTAL'!X323</f>
        <v>0</v>
      </c>
      <c r="R265" s="70">
        <f>'RESUMEN TOTAL'!Y323</f>
        <v>0</v>
      </c>
      <c r="S265" s="70">
        <f>'RESUMEN TOTAL'!Z323</f>
        <v>0</v>
      </c>
      <c r="T265" s="70">
        <f>'RESUMEN TOTAL'!AA323</f>
        <v>0</v>
      </c>
      <c r="U265" s="70">
        <f>'RESUMEN TOTAL'!AB323</f>
        <v>0</v>
      </c>
      <c r="V265" s="70">
        <f>'RESUMEN TOTAL'!AC323</f>
        <v>0</v>
      </c>
      <c r="W265" s="70">
        <f>'RESUMEN TOTAL'!AD323</f>
        <v>0</v>
      </c>
      <c r="X265" s="70">
        <f>'RESUMEN TOTAL'!AE323</f>
        <v>0</v>
      </c>
      <c r="Y265" s="70">
        <f>'RESUMEN TOTAL'!AF323</f>
        <v>0</v>
      </c>
      <c r="Z265" s="70">
        <f>'RESUMEN TOTAL'!AG323</f>
        <v>0</v>
      </c>
      <c r="AA265" s="70">
        <f>'RESUMEN TOTAL'!AH323</f>
        <v>0</v>
      </c>
      <c r="AB265" s="70">
        <f>'RESUMEN TOTAL'!AI323</f>
        <v>0</v>
      </c>
      <c r="AC265" s="70">
        <f>'RESUMEN TOTAL'!AJ323</f>
        <v>0</v>
      </c>
      <c r="AD265" s="70">
        <f>'RESUMEN TOTAL'!AK323</f>
        <v>0</v>
      </c>
      <c r="AE265" s="70">
        <f>'RESUMEN TOTAL'!AL323</f>
        <v>0</v>
      </c>
      <c r="AF265" s="70">
        <f>'RESUMEN TOTAL'!AM323</f>
        <v>0</v>
      </c>
      <c r="AG265" s="70">
        <f>'RESUMEN TOTAL'!AN323</f>
        <v>0</v>
      </c>
      <c r="AH265" s="70">
        <f>'RESUMEN TOTAL'!AO323</f>
        <v>0</v>
      </c>
      <c r="AI265" s="70">
        <f>'RESUMEN TOTAL'!AP323</f>
        <v>0</v>
      </c>
      <c r="AJ265" s="70">
        <f>'RESUMEN TOTAL'!AQ323</f>
        <v>0</v>
      </c>
    </row>
    <row r="266" spans="1:36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>
        <f>'RESUMEN TOTAL'!Y329</f>
        <v>0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  <c r="AJ266" s="70">
        <f>'RESUMEN TOTAL'!AQ329</f>
        <v>0</v>
      </c>
    </row>
    <row r="267" spans="1:36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>
        <f>'RESUMEN TOTAL'!M330</f>
        <v>0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>
        <f>'RESUMEN TOTAL'!Y330</f>
        <v>0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  <c r="AJ267" s="70">
        <f>'RESUMEN TOTAL'!AQ330</f>
        <v>0</v>
      </c>
    </row>
    <row r="268" spans="1:36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>
        <f>'RESUMEN TOTAL'!Y331</f>
        <v>0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  <c r="AJ268" s="70">
        <f>'RESUMEN TOTAL'!AQ331</f>
        <v>0</v>
      </c>
    </row>
    <row r="269" spans="1:36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>
        <f>'RESUMEN TOTAL'!Y332</f>
        <v>0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  <c r="AJ269" s="70">
        <f>'RESUMEN TOTAL'!AQ332</f>
        <v>0</v>
      </c>
    </row>
    <row r="270" spans="1:36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>
        <f>'RESUMEN TOTAL'!Y333</f>
        <v>0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  <c r="AJ270" s="70">
        <f>'RESUMEN TOTAL'!AQ333</f>
        <v>0</v>
      </c>
    </row>
    <row r="271" spans="1:36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  <c r="AJ271" s="70">
        <f>'RESUMEN TOTAL'!AQ334</f>
        <v>0</v>
      </c>
    </row>
    <row r="272" spans="1:36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  <c r="AJ272" s="70">
        <f>'RESUMEN TOTAL'!AQ335</f>
        <v>0</v>
      </c>
    </row>
    <row r="273" spans="1:36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  <c r="AJ273" s="70">
        <f>'RESUMEN TOTAL'!AQ336</f>
        <v>0</v>
      </c>
    </row>
    <row r="274" spans="1:36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  <c r="AJ274" s="70">
        <f>'RESUMEN TOTAL'!AQ337</f>
        <v>0</v>
      </c>
    </row>
    <row r="275" spans="1:36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  <c r="AJ275" s="70">
        <f>'RESUMEN TOTAL'!AQ338</f>
        <v>0</v>
      </c>
    </row>
    <row r="276" spans="1:36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  <c r="AJ276" s="70">
        <f>'RESUMEN TOTAL'!AQ339</f>
        <v>0</v>
      </c>
    </row>
    <row r="277" spans="1:36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  <c r="AJ277" s="70">
        <f>'RESUMEN TOTAL'!AQ340</f>
        <v>0</v>
      </c>
    </row>
    <row r="278" spans="1:36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>
        <f>'RESUMEN TOTAL'!Y341</f>
        <v>0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  <c r="AJ278" s="70">
        <f>'RESUMEN TOTAL'!AQ341</f>
        <v>0</v>
      </c>
    </row>
    <row r="279" spans="1:36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>
        <f>'RESUMEN TOTAL'!P345</f>
        <v>0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  <c r="AJ279" s="70">
        <f>'RESUMEN TOTAL'!AQ345</f>
        <v>0</v>
      </c>
    </row>
    <row r="280" spans="1:36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>
        <f>'RESUMEN TOTAL'!P346</f>
        <v>0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  <c r="AJ280" s="70">
        <f>'RESUMEN TOTAL'!AQ346</f>
        <v>0</v>
      </c>
    </row>
    <row r="281" spans="1:36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>
        <f>'RESUMEN TOTAL'!Y347</f>
        <v>0</v>
      </c>
      <c r="S281" s="70">
        <f>'RESUMEN TOTAL'!Z347</f>
        <v>0</v>
      </c>
      <c r="T281" s="70">
        <f>'RESUMEN TOTAL'!AA347</f>
        <v>0</v>
      </c>
      <c r="U281" s="70">
        <f>'RESUMEN TOTAL'!AB347</f>
        <v>0</v>
      </c>
      <c r="V281" s="70">
        <f>'RESUMEN TOTAL'!AC347</f>
        <v>0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  <c r="AJ281" s="70">
        <f>'RESUMEN TOTAL'!AQ347</f>
        <v>0</v>
      </c>
    </row>
    <row r="282" spans="1:36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>
        <f>'RESUMEN TOTAL'!M348</f>
        <v>0</v>
      </c>
      <c r="G282" s="70">
        <f>'RESUMEN TOTAL'!N348</f>
        <v>0</v>
      </c>
      <c r="H282" s="70">
        <f>'RESUMEN TOTAL'!O348</f>
        <v>0</v>
      </c>
      <c r="I282" s="70">
        <f>'RESUMEN TOTAL'!P348</f>
        <v>0</v>
      </c>
      <c r="J282" s="70">
        <f>'RESUMEN TOTAL'!Q348</f>
        <v>0</v>
      </c>
      <c r="K282" s="70">
        <f>'RESUMEN TOTAL'!R348</f>
        <v>0</v>
      </c>
      <c r="L282" s="70">
        <f>'RESUMEN TOTAL'!S348</f>
        <v>0</v>
      </c>
      <c r="M282" s="70">
        <f>'RESUMEN TOTAL'!T348</f>
        <v>0</v>
      </c>
      <c r="N282" s="70">
        <f>'RESUMEN TOTAL'!U348</f>
        <v>0</v>
      </c>
      <c r="O282" s="70">
        <f>'RESUMEN TOTAL'!V348</f>
        <v>0</v>
      </c>
      <c r="P282" s="70">
        <f>'RESUMEN TOTAL'!W348</f>
        <v>0</v>
      </c>
      <c r="Q282" s="70">
        <f>'RESUMEN TOTAL'!X348</f>
        <v>0</v>
      </c>
      <c r="R282" s="70">
        <f>'RESUMEN TOTAL'!Y348</f>
        <v>0</v>
      </c>
      <c r="S282" s="70">
        <f>'RESUMEN TOTAL'!Z348</f>
        <v>0</v>
      </c>
      <c r="T282" s="70">
        <f>'RESUMEN TOTAL'!AA348</f>
        <v>0</v>
      </c>
      <c r="U282" s="70">
        <f>'RESUMEN TOTAL'!AB348</f>
        <v>0</v>
      </c>
      <c r="V282" s="70">
        <f>'RESUMEN TOTAL'!AC348</f>
        <v>0</v>
      </c>
      <c r="W282" s="70">
        <f>'RESUMEN TOTAL'!AD348</f>
        <v>0</v>
      </c>
      <c r="X282" s="70">
        <f>'RESUMEN TOTAL'!AE348</f>
        <v>0</v>
      </c>
      <c r="Y282" s="70">
        <f>'RESUMEN TOTAL'!AF348</f>
        <v>0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  <c r="AJ282" s="70">
        <f>'RESUMEN TOTAL'!AQ348</f>
        <v>0</v>
      </c>
    </row>
    <row r="283" spans="1:36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>
        <f>'RESUMEN TOTAL'!M349</f>
        <v>0</v>
      </c>
      <c r="G283" s="70">
        <f>'RESUMEN TOTAL'!N349</f>
        <v>0</v>
      </c>
      <c r="H283" s="70">
        <f>'RESUMEN TOTAL'!O349</f>
        <v>0</v>
      </c>
      <c r="I283" s="70">
        <f>'RESUMEN TOTAL'!P349</f>
        <v>0</v>
      </c>
      <c r="J283" s="70">
        <f>'RESUMEN TOTAL'!Q349</f>
        <v>0</v>
      </c>
      <c r="K283" s="70">
        <f>'RESUMEN TOTAL'!R349</f>
        <v>0</v>
      </c>
      <c r="L283" s="70">
        <f>'RESUMEN TOTAL'!S349</f>
        <v>0</v>
      </c>
      <c r="M283" s="70">
        <f>'RESUMEN TOTAL'!T349</f>
        <v>0</v>
      </c>
      <c r="N283" s="70">
        <f>'RESUMEN TOTAL'!U349</f>
        <v>0</v>
      </c>
      <c r="O283" s="70">
        <f>'RESUMEN TOTAL'!V349</f>
        <v>0</v>
      </c>
      <c r="P283" s="70">
        <f>'RESUMEN TOTAL'!W349</f>
        <v>0</v>
      </c>
      <c r="Q283" s="70">
        <f>'RESUMEN TOTAL'!X349</f>
        <v>0</v>
      </c>
      <c r="R283" s="70">
        <f>'RESUMEN TOTAL'!Y349</f>
        <v>0</v>
      </c>
      <c r="S283" s="70">
        <f>'RESUMEN TOTAL'!Z349</f>
        <v>0</v>
      </c>
      <c r="T283" s="70">
        <f>'RESUMEN TOTAL'!AA349</f>
        <v>0</v>
      </c>
      <c r="U283" s="70">
        <f>'RESUMEN TOTAL'!AB349</f>
        <v>0</v>
      </c>
      <c r="V283" s="70">
        <f>'RESUMEN TOTAL'!AC349</f>
        <v>0</v>
      </c>
      <c r="W283" s="70">
        <f>'RESUMEN TOTAL'!AD349</f>
        <v>0</v>
      </c>
      <c r="X283" s="70">
        <f>'RESUMEN TOTAL'!AE349</f>
        <v>0</v>
      </c>
      <c r="Y283" s="70">
        <f>'RESUMEN TOTAL'!AF349</f>
        <v>0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  <c r="AJ283" s="70">
        <f>'RESUMEN TOTAL'!AQ349</f>
        <v>0</v>
      </c>
    </row>
    <row r="284" spans="1:36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  <c r="AJ284" s="70">
        <f>'RESUMEN TOTAL'!AQ350</f>
        <v>0</v>
      </c>
    </row>
    <row r="285" spans="1:36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>
        <f>'RESUMEN TOTAL'!M351</f>
        <v>0</v>
      </c>
      <c r="G285" s="70">
        <f>'RESUMEN TOTAL'!N351</f>
        <v>0</v>
      </c>
      <c r="H285" s="70">
        <f>'RESUMEN TOTAL'!O351</f>
        <v>0</v>
      </c>
      <c r="I285" s="70">
        <f>'RESUMEN TOTAL'!P351</f>
        <v>0</v>
      </c>
      <c r="J285" s="70">
        <f>'RESUMEN TOTAL'!Q351</f>
        <v>0</v>
      </c>
      <c r="K285" s="70">
        <f>'RESUMEN TOTAL'!R351</f>
        <v>0</v>
      </c>
      <c r="L285" s="70">
        <f>'RESUMEN TOTAL'!S351</f>
        <v>0</v>
      </c>
      <c r="M285" s="70">
        <f>'RESUMEN TOTAL'!T351</f>
        <v>0</v>
      </c>
      <c r="N285" s="70">
        <f>'RESUMEN TOTAL'!U351</f>
        <v>0</v>
      </c>
      <c r="O285" s="70">
        <f>'RESUMEN TOTAL'!V351</f>
        <v>0</v>
      </c>
      <c r="P285" s="70">
        <f>'RESUMEN TOTAL'!W351</f>
        <v>0</v>
      </c>
      <c r="Q285" s="70">
        <f>'RESUMEN TOTAL'!X351</f>
        <v>0</v>
      </c>
      <c r="R285" s="70">
        <f>'RESUMEN TOTAL'!Y351</f>
        <v>0</v>
      </c>
      <c r="S285" s="70">
        <f>'RESUMEN TOTAL'!Z351</f>
        <v>0</v>
      </c>
      <c r="T285" s="70">
        <f>'RESUMEN TOTAL'!AA351</f>
        <v>0</v>
      </c>
      <c r="U285" s="70">
        <f>'RESUMEN TOTAL'!AB351</f>
        <v>0</v>
      </c>
      <c r="V285" s="70">
        <f>'RESUMEN TOTAL'!AC351</f>
        <v>0</v>
      </c>
      <c r="W285" s="70">
        <f>'RESUMEN TOTAL'!AD351</f>
        <v>0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  <c r="AJ285" s="70">
        <f>'RESUMEN TOTAL'!AQ351</f>
        <v>0</v>
      </c>
    </row>
    <row r="286" spans="1:36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>
        <f>'RESUMEN TOTAL'!AB352</f>
        <v>0</v>
      </c>
      <c r="V286" s="70">
        <f>'RESUMEN TOTAL'!AC352</f>
        <v>0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  <c r="AJ286" s="70">
        <f>'RESUMEN TOTAL'!AQ352</f>
        <v>0</v>
      </c>
    </row>
    <row r="287" spans="1:36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>
        <f>'RESUMEN TOTAL'!AB353</f>
        <v>0</v>
      </c>
      <c r="V287" s="70">
        <f>'RESUMEN TOTAL'!AC353</f>
        <v>0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  <c r="AJ287" s="70">
        <f>'RESUMEN TOTAL'!AQ353</f>
        <v>0</v>
      </c>
    </row>
    <row r="288" spans="1:36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>
        <f>'RESUMEN TOTAL'!AB354</f>
        <v>0</v>
      </c>
      <c r="V288" s="70">
        <f>'RESUMEN TOTAL'!AC354</f>
        <v>0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  <c r="AJ288" s="70">
        <f>'RESUMEN TOTAL'!AQ354</f>
        <v>0</v>
      </c>
    </row>
    <row r="289" spans="1:36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>
        <f>'RESUMEN TOTAL'!AB355</f>
        <v>0</v>
      </c>
      <c r="V289" s="70">
        <f>'RESUMEN TOTAL'!AC355</f>
        <v>0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  <c r="AJ289" s="70">
        <f>'RESUMEN TOTAL'!AQ355</f>
        <v>0</v>
      </c>
    </row>
    <row r="290" spans="1:36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  <c r="AJ290" s="70">
        <f>'RESUMEN TOTAL'!AQ356</f>
        <v>0</v>
      </c>
    </row>
    <row r="291" spans="1:36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  <c r="AJ291" s="70">
        <f>'RESUMEN TOTAL'!AQ357</f>
        <v>0</v>
      </c>
    </row>
    <row r="292" spans="1:36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  <c r="AJ292" s="70">
        <f>'RESUMEN TOTAL'!AQ362</f>
        <v>0</v>
      </c>
    </row>
    <row r="293" spans="1:36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  <c r="AJ293" s="70">
        <f>'RESUMEN TOTAL'!AQ363</f>
        <v>0</v>
      </c>
    </row>
    <row r="294" spans="1:36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  <c r="AJ294" s="70">
        <f>'RESUMEN TOTAL'!AQ364</f>
        <v>0</v>
      </c>
    </row>
    <row r="295" spans="1:36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>
        <f>'RESUMEN TOTAL'!M366</f>
        <v>0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  <c r="AJ295" s="70">
        <f>'RESUMEN TOTAL'!AQ366</f>
        <v>0</v>
      </c>
    </row>
    <row r="296" spans="1:36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>
        <f>'RESUMEN TOTAL'!N367</f>
        <v>0</v>
      </c>
      <c r="H296" s="70">
        <f>'RESUMEN TOTAL'!O367</f>
        <v>0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  <c r="AJ296" s="70">
        <f>'RESUMEN TOTAL'!AQ367</f>
        <v>0</v>
      </c>
    </row>
    <row r="297" spans="1:36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>
        <f>'RESUMEN TOTAL'!O368</f>
        <v>0</v>
      </c>
      <c r="I297" s="70">
        <f>'RESUMEN TOTAL'!P368</f>
        <v>0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>
        <f>'RESUMEN TOTAL'!X368</f>
        <v>0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  <c r="AJ297" s="70">
        <f>'RESUMEN TOTAL'!AQ368</f>
        <v>0</v>
      </c>
    </row>
    <row r="298" spans="1:36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>
        <f>'RESUMEN TOTAL'!O369</f>
        <v>0</v>
      </c>
      <c r="I298" s="70">
        <f>'RESUMEN TOTAL'!P369</f>
        <v>0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>
        <f>'RESUMEN TOTAL'!X369</f>
        <v>0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  <c r="AJ298" s="70">
        <f>'RESUMEN TOTAL'!AQ369</f>
        <v>0</v>
      </c>
    </row>
    <row r="299" spans="1:36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>
        <f>'RESUMEN TOTAL'!M370</f>
        <v>0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  <c r="AJ299" s="70">
        <f>'RESUMEN TOTAL'!AQ370</f>
        <v>0</v>
      </c>
    </row>
    <row r="300" spans="1:36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>
        <f>'RESUMEN TOTAL'!M371</f>
        <v>0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  <c r="AJ300" s="70">
        <f>'RESUMEN TOTAL'!AQ371</f>
        <v>0</v>
      </c>
    </row>
    <row r="301" spans="1:36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>
        <f>'RESUMEN TOTAL'!M372</f>
        <v>0</v>
      </c>
      <c r="G301" s="70">
        <f>'RESUMEN TOTAL'!N372</f>
        <v>0</v>
      </c>
      <c r="H301" s="70">
        <f>'RESUMEN TOTAL'!O372</f>
        <v>0</v>
      </c>
      <c r="I301" s="70">
        <f>'RESUMEN TOTAL'!P372</f>
        <v>0</v>
      </c>
      <c r="J301" s="70">
        <f>'RESUMEN TOTAL'!Q372</f>
        <v>0</v>
      </c>
      <c r="K301" s="70">
        <f>'RESUMEN TOTAL'!R372</f>
        <v>0</v>
      </c>
      <c r="L301" s="70">
        <f>'RESUMEN TOTAL'!S372</f>
        <v>0</v>
      </c>
      <c r="M301" s="70">
        <f>'RESUMEN TOTAL'!T372</f>
        <v>0</v>
      </c>
      <c r="N301" s="70">
        <f>'RESUMEN TOTAL'!U372</f>
        <v>0</v>
      </c>
      <c r="O301" s="70">
        <f>'RESUMEN TOTAL'!V372</f>
        <v>0</v>
      </c>
      <c r="P301" s="70">
        <f>'RESUMEN TOTAL'!W372</f>
        <v>0</v>
      </c>
      <c r="Q301" s="70">
        <f>'RESUMEN TOTAL'!X372</f>
        <v>0</v>
      </c>
      <c r="R301" s="70">
        <f>'RESUMEN TOTAL'!Y372</f>
        <v>0</v>
      </c>
      <c r="S301" s="70">
        <f>'RESUMEN TOTAL'!Z372</f>
        <v>0</v>
      </c>
      <c r="T301" s="70">
        <f>'RESUMEN TOTAL'!AA372</f>
        <v>0</v>
      </c>
      <c r="U301" s="70">
        <f>'RESUMEN TOTAL'!AB372</f>
        <v>0</v>
      </c>
      <c r="V301" s="70">
        <f>'RESUMEN TOTAL'!AC372</f>
        <v>0</v>
      </c>
      <c r="W301" s="70">
        <f>'RESUMEN TOTAL'!AD372</f>
        <v>0</v>
      </c>
      <c r="X301" s="70">
        <f>'RESUMEN TOTAL'!AE372</f>
        <v>0</v>
      </c>
      <c r="Y301" s="70">
        <f>'RESUMEN TOTAL'!AF372</f>
        <v>0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  <c r="AJ301" s="70">
        <f>'RESUMEN TOTAL'!AQ372</f>
        <v>0</v>
      </c>
    </row>
    <row r="302" spans="1:36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  <c r="AJ302" s="70">
        <f>'RESUMEN TOTAL'!AQ373</f>
        <v>0</v>
      </c>
    </row>
    <row r="303" spans="1:36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  <c r="AJ303" s="70">
        <f>'RESUMEN TOTAL'!AQ374</f>
        <v>0</v>
      </c>
    </row>
    <row r="304" spans="1:36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>
        <f>'RESUMEN TOTAL'!O375</f>
        <v>0</v>
      </c>
      <c r="I304" s="70">
        <f>'RESUMEN TOTAL'!P375</f>
        <v>0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>
        <f>'RESUMEN TOTAL'!AD375</f>
        <v>0</v>
      </c>
      <c r="X304" s="70">
        <f>'RESUMEN TOTAL'!AE375</f>
        <v>0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  <c r="AJ304" s="70">
        <f>'RESUMEN TOTAL'!AQ375</f>
        <v>0</v>
      </c>
    </row>
    <row r="305" spans="1:36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>
        <f>'RESUMEN TOTAL'!O376</f>
        <v>0</v>
      </c>
      <c r="I305" s="70">
        <f>'RESUMEN TOTAL'!P376</f>
        <v>0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>
        <f>'RESUMEN TOTAL'!AD376</f>
        <v>0</v>
      </c>
      <c r="X305" s="70">
        <f>'RESUMEN TOTAL'!AE376</f>
        <v>0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  <c r="AJ305" s="70">
        <f>'RESUMEN TOTAL'!AQ376</f>
        <v>0</v>
      </c>
    </row>
    <row r="306" spans="1:36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>
        <f>'RESUMEN TOTAL'!O377</f>
        <v>0</v>
      </c>
      <c r="I306" s="70">
        <f>'RESUMEN TOTAL'!P377</f>
        <v>0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>
        <f>'RESUMEN TOTAL'!AD377</f>
        <v>0</v>
      </c>
      <c r="X306" s="70">
        <f>'RESUMEN TOTAL'!AE377</f>
        <v>0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  <c r="AJ306" s="70">
        <f>'RESUMEN TOTAL'!AQ377</f>
        <v>0</v>
      </c>
    </row>
    <row r="307" spans="1:36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>
        <f>'RESUMEN TOTAL'!O378</f>
        <v>0</v>
      </c>
      <c r="I307" s="70">
        <f>'RESUMEN TOTAL'!P378</f>
        <v>0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>
        <f>'RESUMEN TOTAL'!AD378</f>
        <v>0</v>
      </c>
      <c r="X307" s="70">
        <f>'RESUMEN TOTAL'!AE378</f>
        <v>0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  <c r="AJ307" s="70">
        <f>'RESUMEN TOTAL'!AQ378</f>
        <v>0</v>
      </c>
    </row>
    <row r="308" spans="1:36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>
        <f>'RESUMEN TOTAL'!O379</f>
        <v>0</v>
      </c>
      <c r="I308" s="70">
        <f>'RESUMEN TOTAL'!P379</f>
        <v>0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>
        <f>'RESUMEN TOTAL'!AD379</f>
        <v>0</v>
      </c>
      <c r="X308" s="70">
        <f>'RESUMEN TOTAL'!AE379</f>
        <v>0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  <c r="AJ308" s="70">
        <f>'RESUMEN TOTAL'!AQ379</f>
        <v>0</v>
      </c>
    </row>
    <row r="309" spans="1:36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>
        <f>'RESUMEN TOTAL'!O380</f>
        <v>0</v>
      </c>
      <c r="I309" s="70">
        <f>'RESUMEN TOTAL'!P380</f>
        <v>0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>
        <f>'RESUMEN TOTAL'!AB380</f>
        <v>0</v>
      </c>
      <c r="V309" s="70">
        <f>'RESUMEN TOTAL'!AC380</f>
        <v>0</v>
      </c>
      <c r="W309" s="70">
        <f>'RESUMEN TOTAL'!AD380</f>
        <v>0</v>
      </c>
      <c r="X309" s="70">
        <f>'RESUMEN TOTAL'!AE380</f>
        <v>0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  <c r="AJ309" s="70">
        <f>'RESUMEN TOTAL'!AQ380</f>
        <v>0</v>
      </c>
    </row>
    <row r="310" spans="1:36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>
        <f>'RESUMEN TOTAL'!O381</f>
        <v>0</v>
      </c>
      <c r="I310" s="70">
        <f>'RESUMEN TOTAL'!P381</f>
        <v>0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>
        <f>'RESUMEN TOTAL'!AB381</f>
        <v>0</v>
      </c>
      <c r="V310" s="70">
        <f>'RESUMEN TOTAL'!AC381</f>
        <v>0</v>
      </c>
      <c r="W310" s="70">
        <f>'RESUMEN TOTAL'!AD381</f>
        <v>0</v>
      </c>
      <c r="X310" s="70">
        <f>'RESUMEN TOTAL'!AE381</f>
        <v>0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  <c r="AJ310" s="70">
        <f>'RESUMEN TOTAL'!AQ381</f>
        <v>0</v>
      </c>
    </row>
    <row r="311" spans="1:36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>
        <f>'RESUMEN TOTAL'!O382</f>
        <v>0</v>
      </c>
      <c r="I311" s="70">
        <f>'RESUMEN TOTAL'!P382</f>
        <v>0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>
        <f>'RESUMEN TOTAL'!AD382</f>
        <v>0</v>
      </c>
      <c r="X311" s="70">
        <f>'RESUMEN TOTAL'!AE382</f>
        <v>0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  <c r="AJ311" s="70">
        <f>'RESUMEN TOTAL'!AQ382</f>
        <v>0</v>
      </c>
    </row>
    <row r="312" spans="1:36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>
        <f>'RESUMEN TOTAL'!O383</f>
        <v>0</v>
      </c>
      <c r="I312" s="70">
        <f>'RESUMEN TOTAL'!P383</f>
        <v>0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>
        <f>'RESUMEN TOTAL'!AD383</f>
        <v>0</v>
      </c>
      <c r="X312" s="70">
        <f>'RESUMEN TOTAL'!AE383</f>
        <v>0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  <c r="AJ312" s="70">
        <f>'RESUMEN TOTAL'!AQ383</f>
        <v>0</v>
      </c>
    </row>
    <row r="313" spans="1:36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>
        <f>'RESUMEN TOTAL'!O384</f>
        <v>0</v>
      </c>
      <c r="I313" s="70">
        <f>'RESUMEN TOTAL'!P384</f>
        <v>0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>
        <f>'RESUMEN TOTAL'!AD384</f>
        <v>0</v>
      </c>
      <c r="X313" s="70">
        <f>'RESUMEN TOTAL'!AE384</f>
        <v>0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  <c r="AJ313" s="70">
        <f>'RESUMEN TOTAL'!AQ384</f>
        <v>0</v>
      </c>
    </row>
    <row r="314" spans="1:36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>
        <f>'RESUMEN TOTAL'!M385</f>
        <v>0</v>
      </c>
      <c r="G314" s="70">
        <f>'RESUMEN TOTAL'!N385</f>
        <v>0</v>
      </c>
      <c r="H314" s="70">
        <f>'RESUMEN TOTAL'!O385</f>
        <v>0</v>
      </c>
      <c r="I314" s="70">
        <f>'RESUMEN TOTAL'!P385</f>
        <v>0</v>
      </c>
      <c r="J314" s="70">
        <f>'RESUMEN TOTAL'!Q385</f>
        <v>0</v>
      </c>
      <c r="K314" s="70">
        <f>'RESUMEN TOTAL'!R385</f>
        <v>0</v>
      </c>
      <c r="L314" s="70">
        <f>'RESUMEN TOTAL'!S385</f>
        <v>0</v>
      </c>
      <c r="M314" s="70">
        <f>'RESUMEN TOTAL'!T385</f>
        <v>0</v>
      </c>
      <c r="N314" s="70">
        <f>'RESUMEN TOTAL'!U385</f>
        <v>0</v>
      </c>
      <c r="O314" s="70">
        <f>'RESUMEN TOTAL'!V385</f>
        <v>0</v>
      </c>
      <c r="P314" s="70">
        <f>'RESUMEN TOTAL'!W385</f>
        <v>0</v>
      </c>
      <c r="Q314" s="70">
        <f>'RESUMEN TOTAL'!X385</f>
        <v>0</v>
      </c>
      <c r="R314" s="70">
        <f>'RESUMEN TOTAL'!Y385</f>
        <v>0</v>
      </c>
      <c r="S314" s="70">
        <f>'RESUMEN TOTAL'!Z385</f>
        <v>0</v>
      </c>
      <c r="T314" s="70">
        <f>'RESUMEN TOTAL'!AA385</f>
        <v>0</v>
      </c>
      <c r="U314" s="70">
        <f>'RESUMEN TOTAL'!AB385</f>
        <v>0</v>
      </c>
      <c r="V314" s="70">
        <f>'RESUMEN TOTAL'!AC385</f>
        <v>0</v>
      </c>
      <c r="W314" s="70">
        <f>'RESUMEN TOTAL'!AD385</f>
        <v>0</v>
      </c>
      <c r="X314" s="70">
        <f>'RESUMEN TOTAL'!AE385</f>
        <v>0</v>
      </c>
      <c r="Y314" s="70">
        <f>'RESUMEN TOTAL'!AF385</f>
        <v>0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  <c r="AJ314" s="70">
        <f>'RESUMEN TOTAL'!AQ385</f>
        <v>0</v>
      </c>
    </row>
    <row r="315" spans="1:36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>
        <f>'RESUMEN TOTAL'!M386</f>
        <v>0</v>
      </c>
      <c r="G315" s="70">
        <f>'RESUMEN TOTAL'!N386</f>
        <v>0</v>
      </c>
      <c r="H315" s="70">
        <f>'RESUMEN TOTAL'!O386</f>
        <v>0</v>
      </c>
      <c r="I315" s="70">
        <f>'RESUMEN TOTAL'!P386</f>
        <v>0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>
        <f>'RESUMEN TOTAL'!AD386</f>
        <v>0</v>
      </c>
      <c r="X315" s="70">
        <f>'RESUMEN TOTAL'!AE386</f>
        <v>0</v>
      </c>
      <c r="Y315" s="70">
        <f>'RESUMEN TOTAL'!AF386</f>
        <v>0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  <c r="AJ315" s="70">
        <f>'RESUMEN TOTAL'!AQ386</f>
        <v>0</v>
      </c>
    </row>
    <row r="316" spans="1:36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>
        <f>'RESUMEN TOTAL'!M391</f>
        <v>0</v>
      </c>
      <c r="G316" s="70">
        <f>'RESUMEN TOTAL'!N391</f>
        <v>0</v>
      </c>
      <c r="H316" s="70">
        <f>'RESUMEN TOTAL'!O391</f>
        <v>0</v>
      </c>
      <c r="I316" s="70">
        <f>'RESUMEN TOTAL'!P391</f>
        <v>0</v>
      </c>
      <c r="J316" s="70">
        <f>'RESUMEN TOTAL'!Q391</f>
        <v>0</v>
      </c>
      <c r="K316" s="70">
        <f>'RESUMEN TOTAL'!R391</f>
        <v>0</v>
      </c>
      <c r="L316" s="70">
        <f>'RESUMEN TOTAL'!S391</f>
        <v>0</v>
      </c>
      <c r="M316" s="70">
        <f>'RESUMEN TOTAL'!T391</f>
        <v>0</v>
      </c>
      <c r="N316" s="70">
        <f>'RESUMEN TOTAL'!U391</f>
        <v>0</v>
      </c>
      <c r="O316" s="70">
        <f>'RESUMEN TOTAL'!V391</f>
        <v>0</v>
      </c>
      <c r="P316" s="70">
        <f>'RESUMEN TOTAL'!W391</f>
        <v>0</v>
      </c>
      <c r="Q316" s="70">
        <f>'RESUMEN TOTAL'!X391</f>
        <v>0</v>
      </c>
      <c r="R316" s="70">
        <f>'RESUMEN TOTAL'!Y391</f>
        <v>0</v>
      </c>
      <c r="S316" s="70">
        <f>'RESUMEN TOTAL'!Z391</f>
        <v>0</v>
      </c>
      <c r="T316" s="70">
        <f>'RESUMEN TOTAL'!AA391</f>
        <v>0</v>
      </c>
      <c r="U316" s="70">
        <f>'RESUMEN TOTAL'!AB391</f>
        <v>0</v>
      </c>
      <c r="V316" s="70">
        <f>'RESUMEN TOTAL'!AC391</f>
        <v>0</v>
      </c>
      <c r="W316" s="70">
        <f>'RESUMEN TOTAL'!AD391</f>
        <v>0</v>
      </c>
      <c r="X316" s="70">
        <f>'RESUMEN TOTAL'!AE391</f>
        <v>0</v>
      </c>
      <c r="Y316" s="70">
        <f>'RESUMEN TOTAL'!AF391</f>
        <v>0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  <c r="AJ316" s="70">
        <f>'RESUMEN TOTAL'!AQ391</f>
        <v>0</v>
      </c>
    </row>
    <row r="317" spans="1:36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  <c r="AJ317" s="70">
        <f>'RESUMEN TOTAL'!AQ392</f>
        <v>0</v>
      </c>
    </row>
    <row r="318" spans="1:36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>
        <f>'RESUMEN TOTAL'!P393</f>
        <v>0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  <c r="AJ318" s="70">
        <f>'RESUMEN TOTAL'!AQ393</f>
        <v>0</v>
      </c>
    </row>
    <row r="319" spans="1:36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  <c r="AJ319" s="70">
        <f>'RESUMEN TOTAL'!AQ394</f>
        <v>0</v>
      </c>
    </row>
    <row r="320" spans="1:36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>
        <f>'RESUMEN TOTAL'!M395</f>
        <v>0</v>
      </c>
      <c r="G320" s="70">
        <f>'RESUMEN TOTAL'!N395</f>
        <v>0</v>
      </c>
      <c r="H320" s="70">
        <f>'RESUMEN TOTAL'!O395</f>
        <v>0</v>
      </c>
      <c r="I320" s="70">
        <f>'RESUMEN TOTAL'!P395</f>
        <v>0</v>
      </c>
      <c r="J320" s="70">
        <f>'RESUMEN TOTAL'!Q395</f>
        <v>0</v>
      </c>
      <c r="K320" s="70">
        <f>'RESUMEN TOTAL'!R395</f>
        <v>0</v>
      </c>
      <c r="L320" s="70">
        <f>'RESUMEN TOTAL'!S395</f>
        <v>0</v>
      </c>
      <c r="M320" s="70">
        <f>'RESUMEN TOTAL'!T395</f>
        <v>0</v>
      </c>
      <c r="N320" s="70">
        <f>'RESUMEN TOTAL'!U395</f>
        <v>0</v>
      </c>
      <c r="O320" s="70">
        <f>'RESUMEN TOTAL'!V395</f>
        <v>0</v>
      </c>
      <c r="P320" s="70">
        <f>'RESUMEN TOTAL'!W395</f>
        <v>0</v>
      </c>
      <c r="Q320" s="70">
        <f>'RESUMEN TOTAL'!X395</f>
        <v>0</v>
      </c>
      <c r="R320" s="70">
        <f>'RESUMEN TOTAL'!Y395</f>
        <v>0</v>
      </c>
      <c r="S320" s="70">
        <f>'RESUMEN TOTAL'!Z395</f>
        <v>0</v>
      </c>
      <c r="T320" s="70">
        <f>'RESUMEN TOTAL'!AA395</f>
        <v>0</v>
      </c>
      <c r="U320" s="70">
        <f>'RESUMEN TOTAL'!AB395</f>
        <v>0</v>
      </c>
      <c r="V320" s="70">
        <f>'RESUMEN TOTAL'!AC395</f>
        <v>0</v>
      </c>
      <c r="W320" s="70">
        <f>'RESUMEN TOTAL'!AD395</f>
        <v>0</v>
      </c>
      <c r="X320" s="70">
        <f>'RESUMEN TOTAL'!AE395</f>
        <v>0</v>
      </c>
      <c r="Y320" s="70">
        <f>'RESUMEN TOTAL'!AF395</f>
        <v>0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  <c r="AJ320" s="70">
        <f>'RESUMEN TOTAL'!AQ395</f>
        <v>0</v>
      </c>
    </row>
    <row r="321" spans="1:36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>
        <f>'RESUMEN TOTAL'!M396</f>
        <v>0</v>
      </c>
      <c r="G321" s="70">
        <f>'RESUMEN TOTAL'!N396</f>
        <v>0</v>
      </c>
      <c r="H321" s="70">
        <f>'RESUMEN TOTAL'!P396</f>
        <v>0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>
        <f>'RESUMEN TOTAL'!Y396</f>
        <v>0</v>
      </c>
      <c r="S321" s="70">
        <f>'RESUMEN TOTAL'!Z396</f>
        <v>0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  <c r="AJ321" s="70">
        <f>'RESUMEN TOTAL'!AQ396</f>
        <v>0</v>
      </c>
    </row>
    <row r="322" spans="1:36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>
        <f>'RESUMEN TOTAL'!M397</f>
        <v>0</v>
      </c>
      <c r="G322" s="70">
        <f>'RESUMEN TOTAL'!N397</f>
        <v>0</v>
      </c>
      <c r="H322" s="70">
        <f>'RESUMEN TOTAL'!P397</f>
        <v>0</v>
      </c>
      <c r="I322" s="70">
        <v>0</v>
      </c>
      <c r="J322" s="70">
        <f>'RESUMEN TOTAL'!Q397</f>
        <v>0</v>
      </c>
      <c r="K322" s="70">
        <f>'RESUMEN TOTAL'!R397</f>
        <v>0</v>
      </c>
      <c r="L322" s="70">
        <f>'RESUMEN TOTAL'!S397</f>
        <v>0</v>
      </c>
      <c r="M322" s="70">
        <f>'RESUMEN TOTAL'!T397</f>
        <v>0</v>
      </c>
      <c r="N322" s="70">
        <f>'RESUMEN TOTAL'!U397</f>
        <v>0</v>
      </c>
      <c r="O322" s="70">
        <f>'RESUMEN TOTAL'!V397</f>
        <v>0</v>
      </c>
      <c r="P322" s="70">
        <f>'RESUMEN TOTAL'!W397</f>
        <v>0</v>
      </c>
      <c r="Q322" s="70">
        <f>'RESUMEN TOTAL'!X397</f>
        <v>0</v>
      </c>
      <c r="R322" s="70">
        <f>'RESUMEN TOTAL'!Y397</f>
        <v>0</v>
      </c>
      <c r="S322" s="70">
        <f>'RESUMEN TOTAL'!Z397</f>
        <v>0</v>
      </c>
      <c r="T322" s="70">
        <f>'RESUMEN TOTAL'!AA397</f>
        <v>0</v>
      </c>
      <c r="U322" s="70">
        <f>'RESUMEN TOTAL'!AB397</f>
        <v>0</v>
      </c>
      <c r="V322" s="70">
        <f>'RESUMEN TOTAL'!AC397</f>
        <v>0</v>
      </c>
      <c r="W322" s="70">
        <f>'RESUMEN TOTAL'!AD397</f>
        <v>0</v>
      </c>
      <c r="X322" s="70">
        <f>'RESUMEN TOTAL'!AE397</f>
        <v>0</v>
      </c>
      <c r="Y322" s="70">
        <f>'RESUMEN TOTAL'!AF397</f>
        <v>0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  <c r="AJ322" s="70">
        <f>'RESUMEN TOTAL'!AQ397</f>
        <v>0</v>
      </c>
    </row>
    <row r="323" spans="1:36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>
        <f>'RESUMEN TOTAL'!M398</f>
        <v>0</v>
      </c>
      <c r="G323" s="70">
        <f>'RESUMEN TOTAL'!N398</f>
        <v>0</v>
      </c>
      <c r="H323" s="70">
        <f>'RESUMEN TOTAL'!P398</f>
        <v>0</v>
      </c>
      <c r="I323" s="70">
        <v>0</v>
      </c>
      <c r="J323" s="70">
        <f>'RESUMEN TOTAL'!Q398</f>
        <v>0</v>
      </c>
      <c r="K323" s="70">
        <f>'RESUMEN TOTAL'!R398</f>
        <v>0</v>
      </c>
      <c r="L323" s="70">
        <f>'RESUMEN TOTAL'!S398</f>
        <v>0</v>
      </c>
      <c r="M323" s="70">
        <f>'RESUMEN TOTAL'!T398</f>
        <v>0</v>
      </c>
      <c r="N323" s="70">
        <f>'RESUMEN TOTAL'!U398</f>
        <v>0</v>
      </c>
      <c r="O323" s="70">
        <f>'RESUMEN TOTAL'!V398</f>
        <v>0</v>
      </c>
      <c r="P323" s="70">
        <f>'RESUMEN TOTAL'!W398</f>
        <v>0</v>
      </c>
      <c r="Q323" s="70">
        <f>'RESUMEN TOTAL'!X398</f>
        <v>0</v>
      </c>
      <c r="R323" s="70">
        <f>'RESUMEN TOTAL'!Y398</f>
        <v>0</v>
      </c>
      <c r="S323" s="70">
        <f>'RESUMEN TOTAL'!Z398</f>
        <v>0</v>
      </c>
      <c r="T323" s="70">
        <f>'RESUMEN TOTAL'!AA398</f>
        <v>0</v>
      </c>
      <c r="U323" s="70">
        <f>'RESUMEN TOTAL'!AB398</f>
        <v>0</v>
      </c>
      <c r="V323" s="70">
        <f>'RESUMEN TOTAL'!AC398</f>
        <v>0</v>
      </c>
      <c r="W323" s="70">
        <f>'RESUMEN TOTAL'!AD398</f>
        <v>0</v>
      </c>
      <c r="X323" s="70">
        <f>'RESUMEN TOTAL'!AE398</f>
        <v>0</v>
      </c>
      <c r="Y323" s="70">
        <f>'RESUMEN TOTAL'!AF398</f>
        <v>0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  <c r="AJ323" s="70">
        <f>'RESUMEN TOTAL'!AQ398</f>
        <v>0</v>
      </c>
    </row>
    <row r="324" spans="1:36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  <c r="AJ324" s="70">
        <f>'RESUMEN TOTAL'!AQ399</f>
        <v>0</v>
      </c>
    </row>
    <row r="325" spans="1:36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  <c r="AJ325" s="70">
        <f>'RESUMEN TOTAL'!AQ400</f>
        <v>0</v>
      </c>
    </row>
    <row r="326" spans="1:36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  <c r="AJ326" s="70">
        <f>'RESUMEN TOTAL'!AQ405</f>
        <v>0</v>
      </c>
    </row>
    <row r="327" spans="1:36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>
        <f>'RESUMEN TOTAL'!P408</f>
        <v>0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  <c r="AJ327" s="70">
        <f>'RESUMEN TOTAL'!AQ408</f>
        <v>0</v>
      </c>
    </row>
    <row r="328" spans="1:36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>
        <f>'RESUMEN TOTAL'!P409</f>
        <v>0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  <c r="AJ328" s="70">
        <f>'RESUMEN TOTAL'!AQ409</f>
        <v>0</v>
      </c>
    </row>
    <row r="329" spans="1:36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>
        <f>'RESUMEN TOTAL'!M410</f>
        <v>0</v>
      </c>
      <c r="G329" s="70">
        <f>'RESUMEN TOTAL'!N410</f>
        <v>0</v>
      </c>
      <c r="H329" s="70">
        <f>'RESUMEN TOTAL'!O410</f>
        <v>0</v>
      </c>
      <c r="I329" s="70">
        <f>'RESUMEN TOTAL'!P410</f>
        <v>0</v>
      </c>
      <c r="J329" s="70">
        <f>'RESUMEN TOTAL'!Q410</f>
        <v>0</v>
      </c>
      <c r="K329" s="70">
        <f>'RESUMEN TOTAL'!R410</f>
        <v>0</v>
      </c>
      <c r="L329" s="70">
        <f>'RESUMEN TOTAL'!S410</f>
        <v>0</v>
      </c>
      <c r="M329" s="70">
        <f>'RESUMEN TOTAL'!T410</f>
        <v>0</v>
      </c>
      <c r="N329" s="70">
        <f>'RESUMEN TOTAL'!U410</f>
        <v>0</v>
      </c>
      <c r="O329" s="70">
        <f>'RESUMEN TOTAL'!V410</f>
        <v>0</v>
      </c>
      <c r="P329" s="70">
        <f>'RESUMEN TOTAL'!W410</f>
        <v>0</v>
      </c>
      <c r="Q329" s="70">
        <f>'RESUMEN TOTAL'!X410</f>
        <v>0</v>
      </c>
      <c r="R329" s="70">
        <f>'RESUMEN TOTAL'!Y410</f>
        <v>0</v>
      </c>
      <c r="S329" s="70">
        <f>'RESUMEN TOTAL'!Z410</f>
        <v>0</v>
      </c>
      <c r="T329" s="70">
        <f>'RESUMEN TOTAL'!AA410</f>
        <v>0</v>
      </c>
      <c r="U329" s="70">
        <f>'RESUMEN TOTAL'!AB410</f>
        <v>0</v>
      </c>
      <c r="V329" s="70">
        <f>'RESUMEN TOTAL'!AC410</f>
        <v>0</v>
      </c>
      <c r="W329" s="70">
        <f>'RESUMEN TOTAL'!AD410</f>
        <v>0</v>
      </c>
      <c r="X329" s="70">
        <f>'RESUMEN TOTAL'!AE410</f>
        <v>0</v>
      </c>
      <c r="Y329" s="70">
        <f>'RESUMEN TOTAL'!AF410</f>
        <v>0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  <c r="AJ329" s="70">
        <f>'RESUMEN TOTAL'!AQ410</f>
        <v>0</v>
      </c>
    </row>
    <row r="330" spans="1:36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  <c r="AJ330" s="70">
        <f>'RESUMEN TOTAL'!AQ411</f>
        <v>0</v>
      </c>
    </row>
    <row r="331" spans="1:36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  <c r="AJ331" s="70">
        <f>'RESUMEN TOTAL'!AQ412</f>
        <v>0</v>
      </c>
    </row>
    <row r="332" spans="1:36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>
        <f>'RESUMEN TOTAL'!P413</f>
        <v>0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  <c r="AJ332" s="70">
        <f>'RESUMEN TOTAL'!AQ413</f>
        <v>0</v>
      </c>
    </row>
    <row r="333" spans="1:36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>
        <f>'RESUMEN TOTAL'!P414</f>
        <v>0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  <c r="AJ333" s="70">
        <f>'RESUMEN TOTAL'!AQ414</f>
        <v>0</v>
      </c>
    </row>
    <row r="334" spans="1:36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>
        <f>'RESUMEN TOTAL'!M415</f>
        <v>0</v>
      </c>
      <c r="G334" s="70">
        <f>'RESUMEN TOTAL'!N415</f>
        <v>0</v>
      </c>
      <c r="H334" s="70">
        <f>'RESUMEN TOTAL'!P415</f>
        <v>0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  <c r="AJ334" s="70">
        <f>'RESUMEN TOTAL'!AQ415</f>
        <v>0</v>
      </c>
    </row>
    <row r="335" spans="1:36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>
        <f>'RESUMEN TOTAL'!M416</f>
        <v>0</v>
      </c>
      <c r="G335" s="70">
        <f>'RESUMEN TOTAL'!N416</f>
        <v>0</v>
      </c>
      <c r="H335" s="70">
        <f>'RESUMEN TOTAL'!P416</f>
        <v>0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  <c r="AJ335" s="70">
        <f>'RESUMEN TOTAL'!AQ416</f>
        <v>0</v>
      </c>
    </row>
    <row r="336" spans="1:36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  <c r="AJ336" s="70">
        <f>'RESUMEN TOTAL'!AQ420</f>
        <v>0</v>
      </c>
    </row>
    <row r="337" spans="1:36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  <c r="AJ337" s="70">
        <f>'RESUMEN TOTAL'!AQ421</f>
        <v>0</v>
      </c>
    </row>
    <row r="338" spans="1:36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>
        <f>'RESUMEN TOTAL'!P422</f>
        <v>0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>
        <f>'RESUMEN TOTAL'!AE422</f>
        <v>0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  <c r="AJ338" s="70">
        <f>'RESUMEN TOTAL'!AQ422</f>
        <v>0</v>
      </c>
    </row>
    <row r="339" spans="1:36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>
        <f>'RESUMEN TOTAL'!P423</f>
        <v>0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>
        <f>'RESUMEN TOTAL'!AE423</f>
        <v>0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  <c r="AJ339" s="70">
        <f>'RESUMEN TOTAL'!AQ423</f>
        <v>0</v>
      </c>
    </row>
    <row r="340" spans="1:36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>
        <f>'RESUMEN TOTAL'!P424</f>
        <v>0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  <c r="AJ340" s="70">
        <f>'RESUMEN TOTAL'!AQ424</f>
        <v>0</v>
      </c>
    </row>
    <row r="341" spans="1:36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>
        <f>'RESUMEN TOTAL'!N425</f>
        <v>0</v>
      </c>
      <c r="H341" s="70">
        <f>'RESUMEN TOTAL'!O425</f>
        <v>0</v>
      </c>
      <c r="I341" s="70">
        <f>'RESUMEN TOTAL'!P425</f>
        <v>0</v>
      </c>
      <c r="J341" s="70">
        <f>'RESUMEN TOTAL'!Q425</f>
        <v>0</v>
      </c>
      <c r="K341" s="70">
        <f>'RESUMEN TOTAL'!R425</f>
        <v>0</v>
      </c>
      <c r="L341" s="70">
        <f>'RESUMEN TOTAL'!S425</f>
        <v>0</v>
      </c>
      <c r="M341" s="70">
        <f>'RESUMEN TOTAL'!T425</f>
        <v>0</v>
      </c>
      <c r="N341" s="70">
        <f>'RESUMEN TOTAL'!U425</f>
        <v>0</v>
      </c>
      <c r="O341" s="70">
        <f>'RESUMEN TOTAL'!V425</f>
        <v>0</v>
      </c>
      <c r="P341" s="70">
        <f>'RESUMEN TOTAL'!W425</f>
        <v>0</v>
      </c>
      <c r="Q341" s="70">
        <f>'RESUMEN TOTAL'!X425</f>
        <v>0</v>
      </c>
      <c r="R341" s="70">
        <f>'RESUMEN TOTAL'!Y425</f>
        <v>0</v>
      </c>
      <c r="S341" s="70">
        <f>'RESUMEN TOTAL'!Z425</f>
        <v>0</v>
      </c>
      <c r="T341" s="70">
        <f>'RESUMEN TOTAL'!AA425</f>
        <v>0</v>
      </c>
      <c r="U341" s="70">
        <f>'RESUMEN TOTAL'!AB425</f>
        <v>0</v>
      </c>
      <c r="V341" s="70">
        <f>'RESUMEN TOTAL'!AC425</f>
        <v>0</v>
      </c>
      <c r="W341" s="70">
        <f>'RESUMEN TOTAL'!AD425</f>
        <v>0</v>
      </c>
      <c r="X341" s="70">
        <f>'RESUMEN TOTAL'!AE425</f>
        <v>0</v>
      </c>
      <c r="Y341" s="70">
        <f>'RESUMEN TOTAL'!AF425</f>
        <v>0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  <c r="AJ341" s="70">
        <f>'RESUMEN TOTAL'!AQ425</f>
        <v>0</v>
      </c>
    </row>
    <row r="342" spans="1:36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  <c r="AJ342" s="70">
        <f>'RESUMEN TOTAL'!AQ426</f>
        <v>0</v>
      </c>
    </row>
    <row r="343" spans="1:36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  <c r="AJ343" s="70">
        <f>'RESUMEN TOTAL'!AQ427</f>
        <v>0</v>
      </c>
    </row>
    <row r="344" spans="1:36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  <c r="AJ344" s="70">
        <f>'RESUMEN TOTAL'!AQ428</f>
        <v>0</v>
      </c>
    </row>
    <row r="345" spans="1:36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>
        <f>'RESUMEN TOTAL'!M429</f>
        <v>0</v>
      </c>
      <c r="G345" s="70">
        <f>'RESUMEN TOTAL'!N429</f>
        <v>0</v>
      </c>
      <c r="H345" s="70">
        <f>'RESUMEN TOTAL'!O429</f>
        <v>0</v>
      </c>
      <c r="I345" s="70">
        <f>'RESUMEN TOTAL'!P429</f>
        <v>0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>
        <f>'RESUMEN TOTAL'!Y429</f>
        <v>0</v>
      </c>
      <c r="S345" s="70">
        <f>'RESUMEN TOTAL'!Z429</f>
        <v>0</v>
      </c>
      <c r="T345" s="70">
        <f>'RESUMEN TOTAL'!AA429</f>
        <v>0</v>
      </c>
      <c r="U345" s="70">
        <f>'RESUMEN TOTAL'!AB429</f>
        <v>0</v>
      </c>
      <c r="V345" s="70">
        <f>'RESUMEN TOTAL'!AC429</f>
        <v>0</v>
      </c>
      <c r="W345" s="70">
        <f>'RESUMEN TOTAL'!AD429</f>
        <v>0</v>
      </c>
      <c r="X345" s="70">
        <f>'RESUMEN TOTAL'!AE429</f>
        <v>0</v>
      </c>
      <c r="Y345" s="70">
        <f>'RESUMEN TOTAL'!AF429</f>
        <v>0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  <c r="AJ345" s="70">
        <f>'RESUMEN TOTAL'!AQ429</f>
        <v>0</v>
      </c>
    </row>
    <row r="346" spans="1:36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  <c r="AJ346" s="70">
        <f>'RESUMEN TOTAL'!AQ430</f>
        <v>0</v>
      </c>
    </row>
    <row r="347" spans="1:36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>
        <f>'RESUMEN TOTAL'!M431</f>
        <v>0</v>
      </c>
      <c r="G347" s="70">
        <f>'RESUMEN TOTAL'!N431</f>
        <v>0</v>
      </c>
      <c r="H347" s="70">
        <f>'RESUMEN TOTAL'!O431</f>
        <v>0</v>
      </c>
      <c r="I347" s="70">
        <f>'RESUMEN TOTAL'!P431</f>
        <v>0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>
        <f>'RESUMEN TOTAL'!Y431</f>
        <v>0</v>
      </c>
      <c r="S347" s="70">
        <f>'RESUMEN TOTAL'!Z431</f>
        <v>0</v>
      </c>
      <c r="T347" s="70">
        <f>'RESUMEN TOTAL'!AA431</f>
        <v>0</v>
      </c>
      <c r="U347" s="70">
        <f>'RESUMEN TOTAL'!AB431</f>
        <v>0</v>
      </c>
      <c r="V347" s="70">
        <f>'RESUMEN TOTAL'!AC431</f>
        <v>0</v>
      </c>
      <c r="W347" s="70">
        <f>'RESUMEN TOTAL'!AD431</f>
        <v>0</v>
      </c>
      <c r="X347" s="70">
        <f>'RESUMEN TOTAL'!AE431</f>
        <v>0</v>
      </c>
      <c r="Y347" s="70">
        <f>'RESUMEN TOTAL'!AF431</f>
        <v>0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  <c r="AJ347" s="70">
        <f>'RESUMEN TOTAL'!AQ431</f>
        <v>0</v>
      </c>
    </row>
    <row r="348" spans="1:36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>
        <f>'RESUMEN TOTAL'!M432</f>
        <v>0</v>
      </c>
      <c r="G348" s="70">
        <f>'RESUMEN TOTAL'!N432</f>
        <v>0</v>
      </c>
      <c r="H348" s="70">
        <f>'RESUMEN TOTAL'!O432</f>
        <v>0</v>
      </c>
      <c r="I348" s="70">
        <f>'RESUMEN TOTAL'!P432</f>
        <v>0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>
        <f>'RESUMEN TOTAL'!Y432</f>
        <v>0</v>
      </c>
      <c r="S348" s="70">
        <f>'RESUMEN TOTAL'!Z432</f>
        <v>0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  <c r="AJ348" s="70">
        <f>'RESUMEN TOTAL'!AQ432</f>
        <v>0</v>
      </c>
    </row>
    <row r="349" spans="1:36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>
        <f>'RESUMEN TOTAL'!P433</f>
        <v>0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>
        <f>'RESUMEN TOTAL'!Y433</f>
        <v>0</v>
      </c>
      <c r="S349" s="70">
        <f>'RESUMEN TOTAL'!Z433</f>
        <v>0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  <c r="AJ349" s="70">
        <f>'RESUMEN TOTAL'!AQ433</f>
        <v>0</v>
      </c>
    </row>
    <row r="350" spans="1:36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  <c r="AJ350" s="70">
        <f>'RESUMEN TOTAL'!AQ434</f>
        <v>0</v>
      </c>
    </row>
    <row r="351" spans="1:36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>
        <f>'RESUMEN TOTAL'!M435</f>
        <v>0</v>
      </c>
      <c r="G351" s="70">
        <f>'RESUMEN TOTAL'!N435</f>
        <v>0</v>
      </c>
      <c r="H351" s="70">
        <f>'RESUMEN TOTAL'!O435</f>
        <v>0</v>
      </c>
      <c r="I351" s="70">
        <f>'RESUMEN TOTAL'!P435</f>
        <v>0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>
        <f>'RESUMEN TOTAL'!Y435</f>
        <v>0</v>
      </c>
      <c r="S351" s="70">
        <f>'RESUMEN TOTAL'!Z435</f>
        <v>0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  <c r="AJ351" s="70">
        <f>'RESUMEN TOTAL'!AQ435</f>
        <v>0</v>
      </c>
    </row>
    <row r="352" spans="1:36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>
        <f>'RESUMEN TOTAL'!P436</f>
        <v>0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  <c r="AJ352" s="70">
        <f>'RESUMEN TOTAL'!AQ436</f>
        <v>0</v>
      </c>
    </row>
    <row r="353" spans="1:36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>
        <f>'RESUMEN TOTAL'!M437</f>
        <v>0</v>
      </c>
      <c r="G353" s="70">
        <f>'RESUMEN TOTAL'!N437</f>
        <v>0</v>
      </c>
      <c r="H353" s="70">
        <f>'RESUMEN TOTAL'!O437</f>
        <v>0</v>
      </c>
      <c r="I353" s="70">
        <f>'RESUMEN TOTAL'!P437</f>
        <v>0</v>
      </c>
      <c r="J353" s="70">
        <f>'RESUMEN TOTAL'!Q437</f>
        <v>0</v>
      </c>
      <c r="K353" s="70">
        <f>'RESUMEN TOTAL'!R437</f>
        <v>0</v>
      </c>
      <c r="L353" s="70">
        <f>'RESUMEN TOTAL'!S437</f>
        <v>0</v>
      </c>
      <c r="M353" s="70">
        <f>'RESUMEN TOTAL'!T437</f>
        <v>0</v>
      </c>
      <c r="N353" s="70">
        <f>'RESUMEN TOTAL'!U437</f>
        <v>0</v>
      </c>
      <c r="O353" s="70">
        <f>'RESUMEN TOTAL'!V437</f>
        <v>0</v>
      </c>
      <c r="P353" s="70">
        <f>'RESUMEN TOTAL'!W437</f>
        <v>0</v>
      </c>
      <c r="Q353" s="70">
        <f>'RESUMEN TOTAL'!X437</f>
        <v>0</v>
      </c>
      <c r="R353" s="70">
        <f>'RESUMEN TOTAL'!Y437</f>
        <v>0</v>
      </c>
      <c r="S353" s="70">
        <f>'RESUMEN TOTAL'!Z437</f>
        <v>0</v>
      </c>
      <c r="T353" s="70">
        <f>'RESUMEN TOTAL'!AA437</f>
        <v>0</v>
      </c>
      <c r="U353" s="70">
        <f>'RESUMEN TOTAL'!AB437</f>
        <v>0</v>
      </c>
      <c r="V353" s="70">
        <f>'RESUMEN TOTAL'!AC437</f>
        <v>0</v>
      </c>
      <c r="W353" s="70">
        <f>'RESUMEN TOTAL'!AD437</f>
        <v>0</v>
      </c>
      <c r="X353" s="70">
        <f>'RESUMEN TOTAL'!AE437</f>
        <v>0</v>
      </c>
      <c r="Y353" s="70">
        <f>'RESUMEN TOTAL'!AF437</f>
        <v>0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  <c r="AJ353" s="70">
        <f>'RESUMEN TOTAL'!AQ437</f>
        <v>0</v>
      </c>
    </row>
    <row r="354" spans="1:36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>
        <f>'RESUMEN TOTAL'!M438</f>
        <v>0</v>
      </c>
      <c r="G354" s="70">
        <f>'RESUMEN TOTAL'!N438</f>
        <v>0</v>
      </c>
      <c r="H354" s="70">
        <f>'RESUMEN TOTAL'!O438</f>
        <v>0</v>
      </c>
      <c r="I354" s="70">
        <f>'RESUMEN TOTAL'!P438</f>
        <v>0</v>
      </c>
      <c r="J354" s="70">
        <f>'RESUMEN TOTAL'!Q438</f>
        <v>0</v>
      </c>
      <c r="K354" s="70">
        <f>'RESUMEN TOTAL'!R438</f>
        <v>0</v>
      </c>
      <c r="L354" s="70">
        <f>'RESUMEN TOTAL'!S438</f>
        <v>0</v>
      </c>
      <c r="M354" s="70">
        <f>'RESUMEN TOTAL'!T438</f>
        <v>0</v>
      </c>
      <c r="N354" s="70">
        <f>'RESUMEN TOTAL'!U438</f>
        <v>0</v>
      </c>
      <c r="O354" s="70">
        <f>'RESUMEN TOTAL'!V438</f>
        <v>0</v>
      </c>
      <c r="P354" s="70">
        <f>'RESUMEN TOTAL'!W438</f>
        <v>0</v>
      </c>
      <c r="Q354" s="70">
        <f>'RESUMEN TOTAL'!X438</f>
        <v>0</v>
      </c>
      <c r="R354" s="70">
        <f>'RESUMEN TOTAL'!Y438</f>
        <v>0</v>
      </c>
      <c r="S354" s="70">
        <f>'RESUMEN TOTAL'!Z438</f>
        <v>0</v>
      </c>
      <c r="T354" s="70">
        <f>'RESUMEN TOTAL'!AA438</f>
        <v>0</v>
      </c>
      <c r="U354" s="70">
        <f>'RESUMEN TOTAL'!AB438</f>
        <v>0</v>
      </c>
      <c r="V354" s="70">
        <f>'RESUMEN TOTAL'!AC438</f>
        <v>0</v>
      </c>
      <c r="W354" s="70">
        <f>'RESUMEN TOTAL'!AD438</f>
        <v>0</v>
      </c>
      <c r="X354" s="70">
        <f>'RESUMEN TOTAL'!AE438</f>
        <v>0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  <c r="AJ354" s="70">
        <f>'RESUMEN TOTAL'!AQ438</f>
        <v>0</v>
      </c>
    </row>
    <row r="355" spans="1:36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>
        <f>'RESUMEN TOTAL'!T439</f>
        <v>0</v>
      </c>
      <c r="N355" s="70">
        <f>'RESUMEN TOTAL'!U439</f>
        <v>0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  <c r="AJ355" s="70">
        <f>'RESUMEN TOTAL'!AQ439</f>
        <v>0</v>
      </c>
    </row>
    <row r="356" spans="1:36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>
        <f>'RESUMEN TOTAL'!T440</f>
        <v>0</v>
      </c>
      <c r="N356" s="70">
        <f>'RESUMEN TOTAL'!U440</f>
        <v>0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  <c r="AJ356" s="70">
        <f>'RESUMEN TOTAL'!AQ440</f>
        <v>0</v>
      </c>
    </row>
    <row r="357" spans="1:36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>
        <f>'RESUMEN TOTAL'!P441</f>
        <v>0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  <c r="AJ357" s="70">
        <f>'RESUMEN TOTAL'!AQ441</f>
        <v>0</v>
      </c>
    </row>
    <row r="358" spans="1:36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>
        <f>'RESUMEN TOTAL'!P442</f>
        <v>0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  <c r="AJ358" s="70">
        <f>'RESUMEN TOTAL'!AQ442</f>
        <v>0</v>
      </c>
    </row>
    <row r="359" spans="1:36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>
        <f>'RESUMEN TOTAL'!M443</f>
        <v>0</v>
      </c>
      <c r="G359" s="70">
        <f>'RESUMEN TOTAL'!N443</f>
        <v>0</v>
      </c>
      <c r="H359" s="70">
        <f>'RESUMEN TOTAL'!O443</f>
        <v>0</v>
      </c>
      <c r="I359" s="70">
        <f>'RESUMEN TOTAL'!P443</f>
        <v>0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>
        <f>'RESUMEN TOTAL'!Y443</f>
        <v>0</v>
      </c>
      <c r="S359" s="70">
        <f>'RESUMEN TOTAL'!Z443</f>
        <v>0</v>
      </c>
      <c r="T359" s="70">
        <f>'RESUMEN TOTAL'!AA443</f>
        <v>0</v>
      </c>
      <c r="U359" s="70">
        <f>'RESUMEN TOTAL'!AB443</f>
        <v>0</v>
      </c>
      <c r="V359" s="70">
        <f>'RESUMEN TOTAL'!AC443</f>
        <v>0</v>
      </c>
      <c r="W359" s="70">
        <f>'RESUMEN TOTAL'!AD443</f>
        <v>0</v>
      </c>
      <c r="X359" s="70">
        <f>'RESUMEN TOTAL'!AE443</f>
        <v>0</v>
      </c>
      <c r="Y359" s="70">
        <f>'RESUMEN TOTAL'!AF443</f>
        <v>0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  <c r="AJ359" s="70">
        <f>'RESUMEN TOTAL'!AQ443</f>
        <v>0</v>
      </c>
    </row>
    <row r="360" spans="1:36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>
        <f>'RESUMEN TOTAL'!M444</f>
        <v>0</v>
      </c>
      <c r="G360" s="70">
        <f>'RESUMEN TOTAL'!N444</f>
        <v>0</v>
      </c>
      <c r="H360" s="70">
        <f>'RESUMEN TOTAL'!O444</f>
        <v>0</v>
      </c>
      <c r="I360" s="70">
        <f>'RESUMEN TOTAL'!P444</f>
        <v>0</v>
      </c>
      <c r="J360" s="70">
        <f>'RESUMEN TOTAL'!Q444</f>
        <v>0</v>
      </c>
      <c r="K360" s="70">
        <f>'RESUMEN TOTAL'!R444</f>
        <v>0</v>
      </c>
      <c r="L360" s="70">
        <f>'RESUMEN TOTAL'!S444</f>
        <v>0</v>
      </c>
      <c r="M360" s="70">
        <f>'RESUMEN TOTAL'!T444</f>
        <v>0</v>
      </c>
      <c r="N360" s="70">
        <f>'RESUMEN TOTAL'!U444</f>
        <v>0</v>
      </c>
      <c r="O360" s="70">
        <f>'RESUMEN TOTAL'!V444</f>
        <v>0</v>
      </c>
      <c r="P360" s="70">
        <f>'RESUMEN TOTAL'!W444</f>
        <v>0</v>
      </c>
      <c r="Q360" s="70">
        <f>'RESUMEN TOTAL'!X444</f>
        <v>0</v>
      </c>
      <c r="R360" s="70">
        <f>'RESUMEN TOTAL'!Y444</f>
        <v>0</v>
      </c>
      <c r="S360" s="70">
        <f>'RESUMEN TOTAL'!Z444</f>
        <v>0</v>
      </c>
      <c r="T360" s="70">
        <f>'RESUMEN TOTAL'!AA444</f>
        <v>0</v>
      </c>
      <c r="U360" s="70">
        <f>'RESUMEN TOTAL'!AB444</f>
        <v>0</v>
      </c>
      <c r="V360" s="70">
        <f>'RESUMEN TOTAL'!AC444</f>
        <v>0</v>
      </c>
      <c r="W360" s="70">
        <f>'RESUMEN TOTAL'!AD444</f>
        <v>0</v>
      </c>
      <c r="X360" s="70">
        <f>'RESUMEN TOTAL'!AE444</f>
        <v>0</v>
      </c>
      <c r="Y360" s="70">
        <f>'RESUMEN TOTAL'!AF444</f>
        <v>0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  <c r="AJ360" s="70">
        <f>'RESUMEN TOTAL'!AQ444</f>
        <v>0</v>
      </c>
    </row>
    <row r="361" spans="1:36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>
        <f>'RESUMEN TOTAL'!M451</f>
        <v>0</v>
      </c>
      <c r="G361" s="70">
        <f>'RESUMEN TOTAL'!N451</f>
        <v>0</v>
      </c>
      <c r="H361" s="70">
        <f>'RESUMEN TOTAL'!O451</f>
        <v>0</v>
      </c>
      <c r="I361" s="70">
        <f>'RESUMEN TOTAL'!P451</f>
        <v>0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>
        <f>'RESUMEN TOTAL'!Y451</f>
        <v>0</v>
      </c>
      <c r="S361" s="70">
        <f>'RESUMEN TOTAL'!Z451</f>
        <v>0</v>
      </c>
      <c r="T361" s="70">
        <f>'RESUMEN TOTAL'!AA451</f>
        <v>0</v>
      </c>
      <c r="U361" s="70">
        <f>'RESUMEN TOTAL'!AB451</f>
        <v>0</v>
      </c>
      <c r="V361" s="70">
        <f>'RESUMEN TOTAL'!AC451</f>
        <v>0</v>
      </c>
      <c r="W361" s="70">
        <f>'RESUMEN TOTAL'!AD451</f>
        <v>0</v>
      </c>
      <c r="X361" s="70">
        <f>'RESUMEN TOTAL'!AE451</f>
        <v>0</v>
      </c>
      <c r="Y361" s="70">
        <f>'RESUMEN TOTAL'!AF451</f>
        <v>0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  <c r="AJ361" s="70">
        <f>'RESUMEN TOTAL'!AQ451</f>
        <v>0</v>
      </c>
    </row>
    <row r="362" spans="1:36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>
        <f>'RESUMEN TOTAL'!M452</f>
        <v>0</v>
      </c>
      <c r="G362" s="70">
        <f>'RESUMEN TOTAL'!N452</f>
        <v>0</v>
      </c>
      <c r="H362" s="70">
        <f>'RESUMEN TOTAL'!O452</f>
        <v>0</v>
      </c>
      <c r="I362" s="70">
        <f>'RESUMEN TOTAL'!P452</f>
        <v>0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>
        <f>'RESUMEN TOTAL'!Y452</f>
        <v>0</v>
      </c>
      <c r="S362" s="70">
        <f>'RESUMEN TOTAL'!Z452</f>
        <v>0</v>
      </c>
      <c r="T362" s="70">
        <f>'RESUMEN TOTAL'!AA452</f>
        <v>0</v>
      </c>
      <c r="U362" s="70">
        <f>'RESUMEN TOTAL'!AB452</f>
        <v>0</v>
      </c>
      <c r="V362" s="70">
        <f>'RESUMEN TOTAL'!AC452</f>
        <v>0</v>
      </c>
      <c r="W362" s="70">
        <f>'RESUMEN TOTAL'!AD452</f>
        <v>0</v>
      </c>
      <c r="X362" s="70">
        <f>'RESUMEN TOTAL'!AE452</f>
        <v>0</v>
      </c>
      <c r="Y362" s="70">
        <f>'RESUMEN TOTAL'!AF452</f>
        <v>0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  <c r="AJ362" s="70">
        <f>'RESUMEN TOTAL'!AQ452</f>
        <v>0</v>
      </c>
    </row>
    <row r="363" spans="1:36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>
        <f>'RESUMEN TOTAL'!M453</f>
        <v>0</v>
      </c>
      <c r="G363" s="70">
        <f>'RESUMEN TOTAL'!N453</f>
        <v>0</v>
      </c>
      <c r="H363" s="70">
        <f>'RESUMEN TOTAL'!O453</f>
        <v>0</v>
      </c>
      <c r="I363" s="70">
        <f>'RESUMEN TOTAL'!P453</f>
        <v>0</v>
      </c>
      <c r="J363" s="70">
        <f>'RESUMEN TOTAL'!Q453</f>
        <v>0</v>
      </c>
      <c r="K363" s="70">
        <f>'RESUMEN TOTAL'!R453</f>
        <v>0</v>
      </c>
      <c r="L363" s="70">
        <f>'RESUMEN TOTAL'!S453</f>
        <v>0</v>
      </c>
      <c r="M363" s="70">
        <f>'RESUMEN TOTAL'!T453</f>
        <v>0</v>
      </c>
      <c r="N363" s="70">
        <f>'RESUMEN TOTAL'!U453</f>
        <v>0</v>
      </c>
      <c r="O363" s="70">
        <f>'RESUMEN TOTAL'!V453</f>
        <v>0</v>
      </c>
      <c r="P363" s="70">
        <f>'RESUMEN TOTAL'!W453</f>
        <v>0</v>
      </c>
      <c r="Q363" s="70">
        <f>'RESUMEN TOTAL'!X453</f>
        <v>0</v>
      </c>
      <c r="R363" s="70">
        <f>'RESUMEN TOTAL'!Y453</f>
        <v>0</v>
      </c>
      <c r="S363" s="70">
        <f>'RESUMEN TOTAL'!Z453</f>
        <v>0</v>
      </c>
      <c r="T363" s="70">
        <f>'RESUMEN TOTAL'!AA453</f>
        <v>0</v>
      </c>
      <c r="U363" s="70">
        <f>'RESUMEN TOTAL'!AB453</f>
        <v>0</v>
      </c>
      <c r="V363" s="70">
        <f>'RESUMEN TOTAL'!AC453</f>
        <v>0</v>
      </c>
      <c r="W363" s="70">
        <f>'RESUMEN TOTAL'!AD453</f>
        <v>0</v>
      </c>
      <c r="X363" s="70">
        <f>'RESUMEN TOTAL'!AE453</f>
        <v>0</v>
      </c>
      <c r="Y363" s="70">
        <f>'RESUMEN TOTAL'!AF453</f>
        <v>0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  <c r="AJ363" s="70">
        <f>'RESUMEN TOTAL'!AQ453</f>
        <v>0</v>
      </c>
    </row>
    <row r="364" spans="1:36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>
        <f>'RESUMEN TOTAL'!M455</f>
        <v>0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>
        <f>'RESUMEN TOTAL'!AB455</f>
        <v>0</v>
      </c>
      <c r="V364" s="70">
        <f>'RESUMEN TOTAL'!AC455</f>
        <v>0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  <c r="AJ364" s="70">
        <f>'RESUMEN TOTAL'!AQ455</f>
        <v>0</v>
      </c>
    </row>
    <row r="365" spans="1:36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>
        <f>'RESUMEN TOTAL'!M456</f>
        <v>0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>
        <f>'RESUMEN TOTAL'!AB456</f>
        <v>0</v>
      </c>
      <c r="V365" s="70">
        <f>'RESUMEN TOTAL'!AC456</f>
        <v>0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  <c r="AJ365" s="70">
        <f>'RESUMEN TOTAL'!AQ456</f>
        <v>0</v>
      </c>
    </row>
    <row r="366" spans="1:36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  <c r="AJ366" s="70">
        <f>'RESUMEN TOTAL'!AQ457</f>
        <v>0</v>
      </c>
    </row>
    <row r="367" spans="1:36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  <c r="AJ367" s="70">
        <f>'RESUMEN TOTAL'!AQ458</f>
        <v>0</v>
      </c>
    </row>
    <row r="368" spans="1:36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  <c r="AJ368" s="70">
        <f>'RESUMEN TOTAL'!AQ459</f>
        <v>0</v>
      </c>
    </row>
    <row r="369" spans="1:36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  <c r="AJ369" s="70">
        <f>'RESUMEN TOTAL'!AQ460</f>
        <v>0</v>
      </c>
    </row>
    <row r="370" spans="1:36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  <c r="AJ370" s="70">
        <f>'RESUMEN TOTAL'!AQ461</f>
        <v>0</v>
      </c>
    </row>
    <row r="371" spans="1:36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  <c r="AJ371" s="70">
        <f>'RESUMEN TOTAL'!AQ462</f>
        <v>0</v>
      </c>
    </row>
    <row r="372" spans="1:36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  <c r="AJ372" s="70">
        <f>'RESUMEN TOTAL'!AQ463</f>
        <v>0</v>
      </c>
    </row>
    <row r="373" spans="1:36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  <c r="AJ373" s="70">
        <f>'RESUMEN TOTAL'!AQ464</f>
        <v>0</v>
      </c>
    </row>
    <row r="374" spans="1:36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  <c r="AJ374" s="70">
        <f>'RESUMEN TOTAL'!AQ465</f>
        <v>0</v>
      </c>
    </row>
    <row r="375" spans="1:36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  <c r="AJ375" s="70">
        <f>'RESUMEN TOTAL'!AQ466</f>
        <v>0</v>
      </c>
    </row>
    <row r="376" spans="1:36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  <c r="AJ376" s="70">
        <f>'RESUMEN TOTAL'!AQ467</f>
        <v>0</v>
      </c>
    </row>
    <row r="377" spans="1:36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  <c r="AJ377" s="70">
        <f>'RESUMEN TOTAL'!AQ474</f>
        <v>0</v>
      </c>
    </row>
    <row r="378" spans="1:36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>
        <f>'RESUMEN TOTAL'!M475</f>
        <v>0</v>
      </c>
      <c r="G378" s="70">
        <f>'RESUMEN TOTAL'!N475</f>
        <v>0</v>
      </c>
      <c r="H378" s="70">
        <f>'RESUMEN TOTAL'!O475</f>
        <v>0</v>
      </c>
      <c r="I378" s="70">
        <f>'RESUMEN TOTAL'!P475</f>
        <v>0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>
        <f>'RESUMEN TOTAL'!Y475</f>
        <v>0</v>
      </c>
      <c r="S378" s="70">
        <f>'RESUMEN TOTAL'!Z475</f>
        <v>0</v>
      </c>
      <c r="T378" s="70">
        <f>'RESUMEN TOTAL'!AA475</f>
        <v>0</v>
      </c>
      <c r="U378" s="70">
        <f>'RESUMEN TOTAL'!AB475</f>
        <v>0</v>
      </c>
      <c r="V378" s="70">
        <f>'RESUMEN TOTAL'!AC475</f>
        <v>0</v>
      </c>
      <c r="W378" s="70">
        <f>'RESUMEN TOTAL'!AD475</f>
        <v>0</v>
      </c>
      <c r="X378" s="70">
        <f>'RESUMEN TOTAL'!AE475</f>
        <v>0</v>
      </c>
      <c r="Y378" s="70">
        <f>'RESUMEN TOTAL'!AF475</f>
        <v>0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  <c r="AJ378" s="70">
        <f>'RESUMEN TOTAL'!AQ475</f>
        <v>0</v>
      </c>
    </row>
    <row r="379" spans="1:36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>
        <f>'RESUMEN TOTAL'!P476</f>
        <v>0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  <c r="AJ379" s="70">
        <f>'RESUMEN TOTAL'!AQ476</f>
        <v>0</v>
      </c>
    </row>
    <row r="380" spans="1:36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>
        <f>'RESUMEN TOTAL'!P477</f>
        <v>0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  <c r="AJ380" s="70">
        <f>'RESUMEN TOTAL'!AQ477</f>
        <v>0</v>
      </c>
    </row>
    <row r="381" spans="1:36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>
        <f>'RESUMEN TOTAL'!P478</f>
        <v>0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  <c r="AJ381" s="70">
        <f>'RESUMEN TOTAL'!AQ478</f>
        <v>0</v>
      </c>
    </row>
    <row r="382" spans="1:36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>
        <f>'RESUMEN TOTAL'!P479</f>
        <v>0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  <c r="AJ382" s="70">
        <f>'RESUMEN TOTAL'!AQ479</f>
        <v>0</v>
      </c>
    </row>
    <row r="383" spans="1:36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>
        <f>'RESUMEN TOTAL'!M480</f>
        <v>0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  <c r="AJ383" s="70">
        <f>'RESUMEN TOTAL'!AQ480</f>
        <v>0</v>
      </c>
    </row>
    <row r="384" spans="1:36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  <c r="AJ384" s="70">
        <f>'RESUMEN TOTAL'!AQ481</f>
        <v>0</v>
      </c>
    </row>
    <row r="385" spans="1:36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  <c r="AJ385" s="70">
        <f>'RESUMEN TOTAL'!AQ482</f>
        <v>0</v>
      </c>
    </row>
    <row r="386" spans="1:36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  <c r="AJ386" s="70">
        <f>'RESUMEN TOTAL'!AQ483</f>
        <v>0</v>
      </c>
    </row>
    <row r="387" spans="1:36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  <c r="AJ387" s="70">
        <f>'RESUMEN TOTAL'!AQ484</f>
        <v>0</v>
      </c>
    </row>
    <row r="388" spans="1:36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>
        <f>'RESUMEN TOTAL'!M485</f>
        <v>0</v>
      </c>
      <c r="G388" s="70">
        <f>'RESUMEN TOTAL'!N485</f>
        <v>0</v>
      </c>
      <c r="H388" s="70">
        <f>'RESUMEN TOTAL'!O485</f>
        <v>0</v>
      </c>
      <c r="I388" s="70">
        <f>'RESUMEN TOTAL'!P485</f>
        <v>0</v>
      </c>
      <c r="J388" s="70">
        <f>'RESUMEN TOTAL'!Q485</f>
        <v>0</v>
      </c>
      <c r="K388" s="70">
        <f>'RESUMEN TOTAL'!R485</f>
        <v>0</v>
      </c>
      <c r="L388" s="70">
        <f>'RESUMEN TOTAL'!S485</f>
        <v>0</v>
      </c>
      <c r="M388" s="70">
        <f>'RESUMEN TOTAL'!T485</f>
        <v>0</v>
      </c>
      <c r="N388" s="70">
        <f>'RESUMEN TOTAL'!U485</f>
        <v>0</v>
      </c>
      <c r="O388" s="70">
        <f>'RESUMEN TOTAL'!V485</f>
        <v>0</v>
      </c>
      <c r="P388" s="70">
        <f>'RESUMEN TOTAL'!W485</f>
        <v>0</v>
      </c>
      <c r="Q388" s="70">
        <f>'RESUMEN TOTAL'!X485</f>
        <v>0</v>
      </c>
      <c r="R388" s="70">
        <f>'RESUMEN TOTAL'!Y485</f>
        <v>0</v>
      </c>
      <c r="S388" s="70">
        <f>'RESUMEN TOTAL'!Z485</f>
        <v>0</v>
      </c>
      <c r="T388" s="70">
        <f>'RESUMEN TOTAL'!AA485</f>
        <v>0</v>
      </c>
      <c r="U388" s="70">
        <f>'RESUMEN TOTAL'!AB485</f>
        <v>0</v>
      </c>
      <c r="V388" s="70">
        <f>'RESUMEN TOTAL'!AC485</f>
        <v>0</v>
      </c>
      <c r="W388" s="70">
        <f>'RESUMEN TOTAL'!AD485</f>
        <v>0</v>
      </c>
      <c r="X388" s="70">
        <f>'RESUMEN TOTAL'!AE485</f>
        <v>0</v>
      </c>
      <c r="Y388" s="70">
        <f>'RESUMEN TOTAL'!AF485</f>
        <v>0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  <c r="AJ388" s="70">
        <f>'RESUMEN TOTAL'!AQ485</f>
        <v>0</v>
      </c>
    </row>
    <row r="389" spans="1:36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  <c r="AJ389" s="70">
        <f>'RESUMEN TOTAL'!AQ486</f>
        <v>0</v>
      </c>
    </row>
    <row r="390" spans="1:36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>
        <f>'RESUMEN TOTAL'!M487</f>
        <v>0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  <c r="AJ390" s="70">
        <f>'RESUMEN TOTAL'!AQ487</f>
        <v>0</v>
      </c>
    </row>
    <row r="391" spans="1:36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>
        <f>'RESUMEN TOTAL'!AE488</f>
        <v>0</v>
      </c>
      <c r="Y391" s="70">
        <f>'RESUMEN TOTAL'!AF488</f>
        <v>0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  <c r="AJ391" s="70">
        <f>'RESUMEN TOTAL'!AQ488</f>
        <v>0</v>
      </c>
    </row>
    <row r="392" spans="1:36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  <c r="AJ392" s="70">
        <f>'RESUMEN TOTAL'!AQ489</f>
        <v>0</v>
      </c>
    </row>
    <row r="393" spans="1:36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  <c r="AJ393" s="70">
        <f>'RESUMEN TOTAL'!AQ490</f>
        <v>0</v>
      </c>
    </row>
    <row r="394" spans="1:36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  <c r="AJ394" s="70">
        <f>'RESUMEN TOTAL'!AQ491</f>
        <v>0</v>
      </c>
    </row>
    <row r="395" spans="1:36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  <c r="AJ395" s="70">
        <f>'RESUMEN TOTAL'!AQ492</f>
        <v>0</v>
      </c>
    </row>
    <row r="396" spans="1:36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  <c r="AJ396" s="70">
        <f>'RESUMEN TOTAL'!AQ493</f>
        <v>0</v>
      </c>
    </row>
    <row r="397" spans="1:36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  <c r="AJ397" s="70">
        <f>'RESUMEN TOTAL'!AQ494</f>
        <v>0</v>
      </c>
    </row>
    <row r="398" spans="1:36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  <c r="AJ398" s="70">
        <f>'RESUMEN TOTAL'!AQ495</f>
        <v>0</v>
      </c>
    </row>
    <row r="399" spans="1:36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  <c r="AJ399" s="70">
        <f>'RESUMEN TOTAL'!AQ496</f>
        <v>0</v>
      </c>
    </row>
    <row r="400" spans="1:36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  <c r="AJ400" s="70">
        <f>'RESUMEN TOTAL'!AQ497</f>
        <v>0</v>
      </c>
    </row>
    <row r="401" spans="1:36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  <c r="AJ401" s="70">
        <f>'RESUMEN TOTAL'!AQ498</f>
        <v>0</v>
      </c>
    </row>
    <row r="402" spans="1:36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>
        <f>'RESUMEN TOTAL'!M499</f>
        <v>0</v>
      </c>
      <c r="G402" s="70">
        <f>'RESUMEN TOTAL'!N499</f>
        <v>0</v>
      </c>
      <c r="H402" s="70">
        <f>'RESUMEN TOTAL'!O499</f>
        <v>0</v>
      </c>
      <c r="I402" s="70">
        <f>'RESUMEN TOTAL'!P499</f>
        <v>0</v>
      </c>
      <c r="J402" s="70">
        <f>'RESUMEN TOTAL'!Q499</f>
        <v>0</v>
      </c>
      <c r="K402" s="70">
        <f>'RESUMEN TOTAL'!R499</f>
        <v>0</v>
      </c>
      <c r="L402" s="70">
        <f>'RESUMEN TOTAL'!S499</f>
        <v>0</v>
      </c>
      <c r="M402" s="70">
        <f>'RESUMEN TOTAL'!T499</f>
        <v>0</v>
      </c>
      <c r="N402" s="70">
        <f>'RESUMEN TOTAL'!U499</f>
        <v>0</v>
      </c>
      <c r="O402" s="70">
        <f>'RESUMEN TOTAL'!V499</f>
        <v>0</v>
      </c>
      <c r="P402" s="70">
        <f>'RESUMEN TOTAL'!W499</f>
        <v>0</v>
      </c>
      <c r="Q402" s="70">
        <f>'RESUMEN TOTAL'!X499</f>
        <v>0</v>
      </c>
      <c r="R402" s="70">
        <f>'RESUMEN TOTAL'!Y499</f>
        <v>0</v>
      </c>
      <c r="S402" s="70">
        <f>'RESUMEN TOTAL'!Z499</f>
        <v>0</v>
      </c>
      <c r="T402" s="70">
        <f>'RESUMEN TOTAL'!AA499</f>
        <v>0</v>
      </c>
      <c r="U402" s="70">
        <f>'RESUMEN TOTAL'!AB499</f>
        <v>0</v>
      </c>
      <c r="V402" s="70">
        <f>'RESUMEN TOTAL'!AC499</f>
        <v>0</v>
      </c>
      <c r="W402" s="70">
        <f>'RESUMEN TOTAL'!AD499</f>
        <v>0</v>
      </c>
      <c r="X402" s="70">
        <f>'RESUMEN TOTAL'!AE499</f>
        <v>0</v>
      </c>
      <c r="Y402" s="70">
        <f>'RESUMEN TOTAL'!AF499</f>
        <v>0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  <c r="AJ402" s="70">
        <f>'RESUMEN TOTAL'!AQ499</f>
        <v>0</v>
      </c>
    </row>
    <row r="403" spans="1:36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>
        <f>'RESUMEN TOTAL'!M500</f>
        <v>0</v>
      </c>
      <c r="G403" s="70">
        <f>'RESUMEN TOTAL'!N500</f>
        <v>0</v>
      </c>
      <c r="H403" s="70">
        <f>'RESUMEN TOTAL'!O500</f>
        <v>0</v>
      </c>
      <c r="I403" s="70">
        <f>'RESUMEN TOTAL'!P500</f>
        <v>0</v>
      </c>
      <c r="J403" s="70">
        <f>'RESUMEN TOTAL'!Q500</f>
        <v>0</v>
      </c>
      <c r="K403" s="70">
        <f>'RESUMEN TOTAL'!R500</f>
        <v>0</v>
      </c>
      <c r="L403" s="70">
        <f>'RESUMEN TOTAL'!S500</f>
        <v>0</v>
      </c>
      <c r="M403" s="70">
        <f>'RESUMEN TOTAL'!T500</f>
        <v>0</v>
      </c>
      <c r="N403" s="70">
        <f>'RESUMEN TOTAL'!U500</f>
        <v>0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>
        <f>'RESUMEN TOTAL'!AB500</f>
        <v>0</v>
      </c>
      <c r="V403" s="70">
        <f>'RESUMEN TOTAL'!AC500</f>
        <v>0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  <c r="AJ403" s="70">
        <f>'RESUMEN TOTAL'!AQ500</f>
        <v>0</v>
      </c>
    </row>
    <row r="404" spans="1:36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  <c r="AJ404" s="70">
        <f>'RESUMEN TOTAL'!AQ501</f>
        <v>0</v>
      </c>
    </row>
    <row r="405" spans="1:36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  <c r="AJ405" s="70">
        <f>'RESUMEN TOTAL'!AQ502</f>
        <v>0</v>
      </c>
    </row>
    <row r="406" spans="1:36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  <c r="AJ406" s="70">
        <f>'RESUMEN TOTAL'!AQ503</f>
        <v>0</v>
      </c>
    </row>
    <row r="407" spans="1:36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>
        <f>'RESUMEN TOTAL'!M504</f>
        <v>0</v>
      </c>
      <c r="G407" s="70">
        <f>'RESUMEN TOTAL'!N504</f>
        <v>0</v>
      </c>
      <c r="H407" s="70">
        <f>'RESUMEN TOTAL'!O504</f>
        <v>0</v>
      </c>
      <c r="I407" s="70">
        <f>'RESUMEN TOTAL'!P504</f>
        <v>0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>
        <f>'RESUMEN TOTAL'!Y504</f>
        <v>0</v>
      </c>
      <c r="S407" s="70">
        <f>'RESUMEN TOTAL'!Z504</f>
        <v>0</v>
      </c>
      <c r="T407" s="70">
        <f>'RESUMEN TOTAL'!AA504</f>
        <v>0</v>
      </c>
      <c r="U407" s="70">
        <f>'RESUMEN TOTAL'!AB504</f>
        <v>0</v>
      </c>
      <c r="V407" s="70">
        <f>'RESUMEN TOTAL'!AC504</f>
        <v>0</v>
      </c>
      <c r="W407" s="70">
        <f>'RESUMEN TOTAL'!AD504</f>
        <v>0</v>
      </c>
      <c r="X407" s="70">
        <f>'RESUMEN TOTAL'!AE504</f>
        <v>0</v>
      </c>
      <c r="Y407" s="70">
        <f>'RESUMEN TOTAL'!AF504</f>
        <v>0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  <c r="AJ407" s="70">
        <f>'RESUMEN TOTAL'!AQ504</f>
        <v>0</v>
      </c>
    </row>
    <row r="408" spans="1:36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  <c r="AJ408" s="70">
        <f>'RESUMEN TOTAL'!AQ505</f>
        <v>0</v>
      </c>
    </row>
    <row r="409" spans="1:36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>
        <f>'RESUMEN TOTAL'!Y506</f>
        <v>0</v>
      </c>
      <c r="S409" s="70">
        <f>'RESUMEN TOTAL'!Z506</f>
        <v>0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  <c r="AJ409" s="70">
        <f>'RESUMEN TOTAL'!AQ506</f>
        <v>0</v>
      </c>
    </row>
    <row r="410" spans="1:36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  <c r="AJ410" s="70">
        <f>'RESUMEN TOTAL'!AQ507</f>
        <v>0</v>
      </c>
    </row>
    <row r="411" spans="1:36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  <c r="AJ411" s="70">
        <f>'RESUMEN TOTAL'!AQ508</f>
        <v>0</v>
      </c>
    </row>
    <row r="412" spans="1:36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  <c r="AJ412" s="70">
        <f>'RESUMEN TOTAL'!AQ509</f>
        <v>0</v>
      </c>
    </row>
    <row r="413" spans="1:36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  <c r="AJ413" s="70">
        <f>'RESUMEN TOTAL'!AQ510</f>
        <v>0</v>
      </c>
    </row>
    <row r="414" spans="1:36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  <c r="AJ414" s="70">
        <f>'RESUMEN TOTAL'!AQ511</f>
        <v>0</v>
      </c>
    </row>
    <row r="415" spans="1:36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  <c r="AJ415" s="70">
        <f>'RESUMEN TOTAL'!AQ512</f>
        <v>0</v>
      </c>
    </row>
    <row r="416" spans="1:36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  <c r="AJ416" s="70">
        <f>'RESUMEN TOTAL'!AQ513</f>
        <v>0</v>
      </c>
    </row>
    <row r="417" spans="1:36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>
        <f>'RESUMEN TOTAL'!M514</f>
        <v>0</v>
      </c>
      <c r="G417" s="70">
        <f>'RESUMEN TOTAL'!N514</f>
        <v>0</v>
      </c>
      <c r="H417" s="70">
        <f>'RESUMEN TOTAL'!O514</f>
        <v>0</v>
      </c>
      <c r="I417" s="70">
        <f>'RESUMEN TOTAL'!P514</f>
        <v>0</v>
      </c>
      <c r="J417" s="70">
        <f>'RESUMEN TOTAL'!Q514</f>
        <v>0</v>
      </c>
      <c r="K417" s="70">
        <f>'RESUMEN TOTAL'!R514</f>
        <v>0</v>
      </c>
      <c r="L417" s="70">
        <f>'RESUMEN TOTAL'!S514</f>
        <v>0</v>
      </c>
      <c r="M417" s="70">
        <f>'RESUMEN TOTAL'!T514</f>
        <v>0</v>
      </c>
      <c r="N417" s="70">
        <f>'RESUMEN TOTAL'!U514</f>
        <v>0</v>
      </c>
      <c r="O417" s="70">
        <f>'RESUMEN TOTAL'!V514</f>
        <v>0</v>
      </c>
      <c r="P417" s="70">
        <f>'RESUMEN TOTAL'!W514</f>
        <v>0</v>
      </c>
      <c r="Q417" s="70">
        <f>'RESUMEN TOTAL'!X514</f>
        <v>0</v>
      </c>
      <c r="R417" s="70">
        <f>'RESUMEN TOTAL'!Y514</f>
        <v>0</v>
      </c>
      <c r="S417" s="70">
        <f>'RESUMEN TOTAL'!Z514</f>
        <v>0</v>
      </c>
      <c r="T417" s="70">
        <f>'RESUMEN TOTAL'!AA514</f>
        <v>0</v>
      </c>
      <c r="U417" s="70">
        <f>'RESUMEN TOTAL'!AB514</f>
        <v>0</v>
      </c>
      <c r="V417" s="70">
        <f>'RESUMEN TOTAL'!AC514</f>
        <v>0</v>
      </c>
      <c r="W417" s="70">
        <f>'RESUMEN TOTAL'!AD514</f>
        <v>0</v>
      </c>
      <c r="X417" s="70">
        <f>'RESUMEN TOTAL'!AE514</f>
        <v>0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  <c r="AJ417" s="70">
        <f>'RESUMEN TOTAL'!AQ514</f>
        <v>0</v>
      </c>
    </row>
    <row r="418" spans="1:36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>
        <f>'RESUMEN TOTAL'!O520</f>
        <v>0</v>
      </c>
      <c r="I418" s="70">
        <f>'RESUMEN TOTAL'!P520</f>
        <v>0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  <c r="AJ418" s="70">
        <f>'RESUMEN TOTAL'!AQ520</f>
        <v>0</v>
      </c>
    </row>
    <row r="419" spans="1:36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>
        <f>'RESUMEN TOTAL'!O521</f>
        <v>0</v>
      </c>
      <c r="I419" s="70">
        <f>'RESUMEN TOTAL'!P521</f>
        <v>0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  <c r="AJ419" s="70">
        <f>'RESUMEN TOTAL'!AQ521</f>
        <v>0</v>
      </c>
    </row>
    <row r="420" spans="1:36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  <c r="AJ420" s="70">
        <f>'RESUMEN TOTAL'!AQ522</f>
        <v>0</v>
      </c>
    </row>
    <row r="421" spans="1:36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  <c r="AJ421" s="70">
        <f>'RESUMEN TOTAL'!AQ523</f>
        <v>0</v>
      </c>
    </row>
    <row r="422" spans="1:36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>
        <f>'RESUMEN TOTAL'!N524</f>
        <v>0</v>
      </c>
      <c r="H422" s="70">
        <f>'RESUMEN TOTAL'!O524</f>
        <v>0</v>
      </c>
      <c r="I422" s="70">
        <f>'RESUMEN TOTAL'!P524</f>
        <v>0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  <c r="AJ422" s="70">
        <f>'RESUMEN TOTAL'!AQ524</f>
        <v>0</v>
      </c>
    </row>
    <row r="423" spans="1:36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>
        <f>'RESUMEN TOTAL'!N525</f>
        <v>0</v>
      </c>
      <c r="H423" s="70">
        <f>'RESUMEN TOTAL'!O525</f>
        <v>0</v>
      </c>
      <c r="I423" s="70">
        <f>'RESUMEN TOTAL'!P525</f>
        <v>0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  <c r="AJ423" s="70">
        <f>'RESUMEN TOTAL'!AQ525</f>
        <v>0</v>
      </c>
    </row>
    <row r="424" spans="1:36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>
        <f>'RESUMEN TOTAL'!O526</f>
        <v>0</v>
      </c>
      <c r="I424" s="70">
        <f>'RESUMEN TOTAL'!P526</f>
        <v>0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>
        <f>'RESUMEN TOTAL'!AB526</f>
        <v>0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  <c r="AJ424" s="70">
        <f>'RESUMEN TOTAL'!AQ526</f>
        <v>0</v>
      </c>
    </row>
    <row r="425" spans="1:36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>
        <f>'RESUMEN TOTAL'!N527</f>
        <v>0</v>
      </c>
      <c r="H425" s="70">
        <f>'RESUMEN TOTAL'!O527</f>
        <v>0</v>
      </c>
      <c r="I425" s="70">
        <f>'RESUMEN TOTAL'!P527</f>
        <v>0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  <c r="AJ425" s="70">
        <f>'RESUMEN TOTAL'!AQ527</f>
        <v>0</v>
      </c>
    </row>
    <row r="426" spans="1:36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  <c r="AJ426" s="70">
        <f>'RESUMEN TOTAL'!AQ529</f>
        <v>0</v>
      </c>
    </row>
    <row r="427" spans="1:36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  <c r="AJ427" s="70">
        <f>'RESUMEN TOTAL'!AQ530</f>
        <v>0</v>
      </c>
    </row>
    <row r="428" spans="1:36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  <c r="AJ428" s="70">
        <f>'RESUMEN TOTAL'!AQ531</f>
        <v>0</v>
      </c>
    </row>
    <row r="429" spans="1:36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  <c r="AJ429" s="70">
        <f>'RESUMEN TOTAL'!AQ532</f>
        <v>0</v>
      </c>
    </row>
    <row r="430" spans="1:36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>
        <f>'RESUMEN TOTAL'!M533</f>
        <v>0</v>
      </c>
      <c r="G430" s="70">
        <f>'RESUMEN TOTAL'!N533</f>
        <v>0</v>
      </c>
      <c r="H430" s="70">
        <f>'RESUMEN TOTAL'!O533</f>
        <v>0</v>
      </c>
      <c r="I430" s="70">
        <f>'RESUMEN TOTAL'!P533</f>
        <v>0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>
        <f>'RESUMEN TOTAL'!U533</f>
        <v>0</v>
      </c>
      <c r="O430" s="70">
        <f>'RESUMEN TOTAL'!V533</f>
        <v>0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  <c r="AJ430" s="70">
        <f>'RESUMEN TOTAL'!AQ533</f>
        <v>0</v>
      </c>
    </row>
    <row r="431" spans="1:36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  <c r="AJ431" s="70">
        <f>'RESUMEN TOTAL'!AQ534</f>
        <v>0</v>
      </c>
    </row>
    <row r="432" spans="1:36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>
        <f>'RESUMEN TOTAL'!P536</f>
        <v>0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>
        <f>'RESUMEN TOTAL'!X536</f>
        <v>0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  <c r="AJ432" s="70">
        <f>'RESUMEN TOTAL'!AQ536</f>
        <v>0</v>
      </c>
    </row>
    <row r="433" spans="1:36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>
        <f>'RESUMEN TOTAL'!P537</f>
        <v>0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  <c r="AJ433" s="70">
        <f>'RESUMEN TOTAL'!AQ537</f>
        <v>0</v>
      </c>
    </row>
    <row r="434" spans="1:36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>
        <f>'RESUMEN TOTAL'!P538</f>
        <v>0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  <c r="AJ434" s="70">
        <f>'RESUMEN TOTAL'!AQ538</f>
        <v>0</v>
      </c>
    </row>
    <row r="435" spans="1:36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>
        <f>'RESUMEN TOTAL'!P539</f>
        <v>0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  <c r="AJ435" s="70">
        <f>'RESUMEN TOTAL'!AQ539</f>
        <v>0</v>
      </c>
    </row>
    <row r="436" spans="1:36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>
        <f>'RESUMEN TOTAL'!P543</f>
        <v>0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  <c r="AJ436" s="70">
        <f>'RESUMEN TOTAL'!AQ543</f>
        <v>0</v>
      </c>
    </row>
    <row r="437" spans="1:36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>
        <f>'RESUMEN TOTAL'!P544</f>
        <v>0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  <c r="AJ437" s="70">
        <f>'RESUMEN TOTAL'!AQ544</f>
        <v>0</v>
      </c>
    </row>
    <row r="438" spans="1:36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>
        <f>'RESUMEN TOTAL'!M545</f>
        <v>0</v>
      </c>
      <c r="G438" s="70">
        <f>'RESUMEN TOTAL'!N545</f>
        <v>0</v>
      </c>
      <c r="H438" s="70">
        <f>'RESUMEN TOTAL'!O545</f>
        <v>0</v>
      </c>
      <c r="I438" s="70">
        <f>'RESUMEN TOTAL'!P545</f>
        <v>0</v>
      </c>
      <c r="J438" s="70">
        <f>'RESUMEN TOTAL'!Q545</f>
        <v>0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  <c r="AJ438" s="70">
        <f>'RESUMEN TOTAL'!AQ545</f>
        <v>0</v>
      </c>
    </row>
    <row r="439" spans="1:36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>
        <f>'RESUMEN TOTAL'!P546</f>
        <v>0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  <c r="AJ439" s="70">
        <f>'RESUMEN TOTAL'!AQ546</f>
        <v>0</v>
      </c>
    </row>
    <row r="440" spans="1:36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>
        <f>'RESUMEN TOTAL'!P547</f>
        <v>0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  <c r="AJ440" s="70">
        <f>'RESUMEN TOTAL'!AQ547</f>
        <v>0</v>
      </c>
    </row>
    <row r="441" spans="1:36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  <c r="AJ441" s="70">
        <f>'RESUMEN TOTAL'!AQ549</f>
        <v>0</v>
      </c>
    </row>
    <row r="442" spans="1:36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  <c r="AJ442" s="70">
        <f>'RESUMEN TOTAL'!AQ550</f>
        <v>0</v>
      </c>
    </row>
    <row r="443" spans="1:36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>
        <f>'RESUMEN TOTAL'!S551</f>
        <v>0</v>
      </c>
      <c r="M443" s="70">
        <f>'RESUMEN TOTAL'!T551</f>
        <v>0</v>
      </c>
      <c r="N443" s="70">
        <f>'RESUMEN TOTAL'!U551</f>
        <v>0</v>
      </c>
      <c r="O443" s="70">
        <f>'RESUMEN TOTAL'!V551</f>
        <v>0</v>
      </c>
      <c r="P443" s="70">
        <f>'RESUMEN TOTAL'!W551</f>
        <v>0</v>
      </c>
      <c r="Q443" s="70">
        <f>'RESUMEN TOTAL'!X551</f>
        <v>0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  <c r="AJ443" s="70">
        <f>'RESUMEN TOTAL'!AQ551</f>
        <v>0</v>
      </c>
    </row>
    <row r="444" spans="1:36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  <c r="AJ444" s="70">
        <f>'RESUMEN TOTAL'!AQ552</f>
        <v>0</v>
      </c>
    </row>
    <row r="445" spans="1:36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>
        <f>'RESUMEN TOTAL'!M553</f>
        <v>0</v>
      </c>
      <c r="G445" s="70">
        <f>'RESUMEN TOTAL'!N553</f>
        <v>0</v>
      </c>
      <c r="H445" s="70">
        <f>'RESUMEN TOTAL'!O553</f>
        <v>0</v>
      </c>
      <c r="I445" s="70">
        <f>'RESUMEN TOTAL'!P553</f>
        <v>0</v>
      </c>
      <c r="J445" s="70">
        <f>'RESUMEN TOTAL'!Q553</f>
        <v>0</v>
      </c>
      <c r="K445" s="70">
        <f>'RESUMEN TOTAL'!R553</f>
        <v>0</v>
      </c>
      <c r="L445" s="70">
        <f>'RESUMEN TOTAL'!S553</f>
        <v>0</v>
      </c>
      <c r="M445" s="70">
        <f>'RESUMEN TOTAL'!T553</f>
        <v>0</v>
      </c>
      <c r="N445" s="70">
        <f>'RESUMEN TOTAL'!U553</f>
        <v>0</v>
      </c>
      <c r="O445" s="70">
        <f>'RESUMEN TOTAL'!V553</f>
        <v>0</v>
      </c>
      <c r="P445" s="70">
        <f>'RESUMEN TOTAL'!W553</f>
        <v>0</v>
      </c>
      <c r="Q445" s="70">
        <f>'RESUMEN TOTAL'!X553</f>
        <v>0</v>
      </c>
      <c r="R445" s="70">
        <f>'RESUMEN TOTAL'!Y553</f>
        <v>0</v>
      </c>
      <c r="S445" s="70">
        <f>'RESUMEN TOTAL'!Z553</f>
        <v>0</v>
      </c>
      <c r="T445" s="70">
        <f>'RESUMEN TOTAL'!AA553</f>
        <v>0</v>
      </c>
      <c r="U445" s="70">
        <f>'RESUMEN TOTAL'!AB553</f>
        <v>0</v>
      </c>
      <c r="V445" s="70">
        <f>'RESUMEN TOTAL'!AC553</f>
        <v>0</v>
      </c>
      <c r="W445" s="70">
        <f>'RESUMEN TOTAL'!AD553</f>
        <v>0</v>
      </c>
      <c r="X445" s="70">
        <f>'RESUMEN TOTAL'!AE553</f>
        <v>0</v>
      </c>
      <c r="Y445" s="70">
        <f>'RESUMEN TOTAL'!AF553</f>
        <v>0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  <c r="AJ445" s="70">
        <f>'RESUMEN TOTAL'!AQ553</f>
        <v>0</v>
      </c>
    </row>
    <row r="446" spans="1:36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>
        <f>'RESUMEN TOTAL'!X554</f>
        <v>0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  <c r="AJ446" s="70">
        <f>'RESUMEN TOTAL'!AQ554</f>
        <v>0</v>
      </c>
    </row>
    <row r="447" spans="1:36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>
        <f>'RESUMEN TOTAL'!X555</f>
        <v>0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  <c r="AJ447" s="70">
        <f>'RESUMEN TOTAL'!AQ555</f>
        <v>0</v>
      </c>
    </row>
    <row r="448" spans="1:36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>
        <f>'RESUMEN TOTAL'!N556</f>
        <v>0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>
        <f>'RESUMEN TOTAL'!X556</f>
        <v>0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  <c r="AJ448" s="70">
        <f>'RESUMEN TOTAL'!AQ556</f>
        <v>0</v>
      </c>
    </row>
    <row r="449" spans="1:36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>
        <f>'RESUMEN TOTAL'!N557</f>
        <v>0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>
        <f>'RESUMEN TOTAL'!X557</f>
        <v>0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  <c r="AJ449" s="70">
        <f>'RESUMEN TOTAL'!AQ557</f>
        <v>0</v>
      </c>
    </row>
    <row r="450" spans="1:36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>
        <f>'RESUMEN TOTAL'!M558</f>
        <v>0</v>
      </c>
      <c r="G450" s="70">
        <f>'RESUMEN TOTAL'!N558</f>
        <v>0</v>
      </c>
      <c r="H450" s="70">
        <f>'RESUMEN TOTAL'!O558</f>
        <v>0</v>
      </c>
      <c r="I450" s="70">
        <f>'RESUMEN TOTAL'!P558</f>
        <v>0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>
        <f>'RESUMEN TOTAL'!AB558</f>
        <v>0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  <c r="AJ450" s="70">
        <f>'RESUMEN TOTAL'!AQ558</f>
        <v>0</v>
      </c>
    </row>
    <row r="451" spans="1:36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>
        <f>'RESUMEN TOTAL'!Y559</f>
        <v>0</v>
      </c>
      <c r="S451" s="70">
        <f>'RESUMEN TOTAL'!Z559</f>
        <v>0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  <c r="AJ451" s="70">
        <f>'RESUMEN TOTAL'!AQ559</f>
        <v>0</v>
      </c>
    </row>
    <row r="452" spans="1:36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>
        <f>'RESUMEN TOTAL'!Y560</f>
        <v>0</v>
      </c>
      <c r="S452" s="70">
        <f>'RESUMEN TOTAL'!Z560</f>
        <v>0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  <c r="AJ452" s="70">
        <f>'RESUMEN TOTAL'!AQ560</f>
        <v>0</v>
      </c>
    </row>
    <row r="453" spans="1:36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  <c r="AJ453" s="70">
        <f>'RESUMEN TOTAL'!AQ561</f>
        <v>0</v>
      </c>
    </row>
    <row r="454" spans="1:36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  <c r="AJ454" s="70">
        <f>'RESUMEN TOTAL'!AQ562</f>
        <v>0</v>
      </c>
    </row>
    <row r="455" spans="1:36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  <c r="AJ455" s="70">
        <f>'RESUMEN TOTAL'!AQ563</f>
        <v>0</v>
      </c>
    </row>
    <row r="456" spans="1:36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  <c r="AJ456" s="70">
        <f>'RESUMEN TOTAL'!AQ564</f>
        <v>0</v>
      </c>
    </row>
    <row r="457" spans="1:36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  <c r="AJ457" s="70">
        <f>'RESUMEN TOTAL'!AQ566</f>
        <v>0</v>
      </c>
    </row>
    <row r="458" spans="1:36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  <c r="AJ458" s="70">
        <f>'RESUMEN TOTAL'!AQ567</f>
        <v>0</v>
      </c>
    </row>
    <row r="459" spans="1:36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  <c r="AJ459" s="70">
        <f>'RESUMEN TOTAL'!AQ568</f>
        <v>0</v>
      </c>
    </row>
    <row r="460" spans="1:36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>
        <f>'RESUMEN TOTAL'!M569</f>
        <v>0</v>
      </c>
      <c r="G460" s="70">
        <f>'RESUMEN TOTAL'!N569</f>
        <v>0</v>
      </c>
      <c r="H460" s="70">
        <f>'RESUMEN TOTAL'!O569</f>
        <v>0</v>
      </c>
      <c r="I460" s="70">
        <f>'RESUMEN TOTAL'!P569</f>
        <v>0</v>
      </c>
      <c r="J460" s="70">
        <f>'RESUMEN TOTAL'!Q569</f>
        <v>0</v>
      </c>
      <c r="K460" s="70">
        <f>'RESUMEN TOTAL'!R569</f>
        <v>0</v>
      </c>
      <c r="L460" s="70">
        <f>'RESUMEN TOTAL'!S569</f>
        <v>0</v>
      </c>
      <c r="M460" s="70">
        <f>'RESUMEN TOTAL'!T569</f>
        <v>0</v>
      </c>
      <c r="N460" s="70">
        <f>'RESUMEN TOTAL'!U569</f>
        <v>0</v>
      </c>
      <c r="O460" s="70">
        <f>'RESUMEN TOTAL'!V569</f>
        <v>0</v>
      </c>
      <c r="P460" s="70">
        <f>'RESUMEN TOTAL'!W569</f>
        <v>0</v>
      </c>
      <c r="Q460" s="70">
        <f>'RESUMEN TOTAL'!X569</f>
        <v>0</v>
      </c>
      <c r="R460" s="70">
        <f>'RESUMEN TOTAL'!Y569</f>
        <v>0</v>
      </c>
      <c r="S460" s="70">
        <f>'RESUMEN TOTAL'!Z569</f>
        <v>0</v>
      </c>
      <c r="T460" s="70">
        <f>'RESUMEN TOTAL'!AA569</f>
        <v>0</v>
      </c>
      <c r="U460" s="70">
        <f>'RESUMEN TOTAL'!AB569</f>
        <v>0</v>
      </c>
      <c r="V460" s="70">
        <f>'RESUMEN TOTAL'!AC569</f>
        <v>0</v>
      </c>
      <c r="W460" s="70">
        <f>'RESUMEN TOTAL'!AD569</f>
        <v>0</v>
      </c>
      <c r="X460" s="70">
        <f>'RESUMEN TOTAL'!AE569</f>
        <v>0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  <c r="AJ460" s="70">
        <f>'RESUMEN TOTAL'!AQ569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  <c r="AJ549" s="70">
        <f>'RESUMEN TOTAL'!AQ656</f>
        <v>0</v>
      </c>
    </row>
    <row r="550" spans="1:36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  <c r="AJ550" s="70">
        <f>'RESUMEN TOTAL'!AQ657</f>
        <v>0</v>
      </c>
    </row>
    <row r="551" spans="1:36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  <c r="AJ551" s="70">
        <f>'RESUMEN TOTAL'!AQ658</f>
        <v>0</v>
      </c>
    </row>
    <row r="552" spans="1:36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  <c r="AJ552" s="70">
        <f>'RESUMEN TOTAL'!AQ659</f>
        <v>0</v>
      </c>
    </row>
    <row r="553" spans="1:36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  <c r="AJ553" s="70">
        <f>'RESUMEN TOTAL'!AQ660</f>
        <v>0</v>
      </c>
    </row>
    <row r="554" spans="1:36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  <c r="AJ554" s="70">
        <f>'RESUMEN TOTAL'!AQ661</f>
        <v>0</v>
      </c>
    </row>
    <row r="555" spans="1:36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  <c r="AJ555" s="70">
        <f>'RESUMEN TOTAL'!AQ662</f>
        <v>0</v>
      </c>
    </row>
    <row r="556" spans="1:36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  <c r="AJ556" s="70">
        <f>'RESUMEN TOTAL'!AQ663</f>
        <v>0</v>
      </c>
    </row>
    <row r="557" spans="1:36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  <c r="AJ557" s="70">
        <f>'RESUMEN TOTAL'!AQ664</f>
        <v>0</v>
      </c>
    </row>
    <row r="558" spans="1:36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  <c r="AJ558" s="70">
        <f>'RESUMEN TOTAL'!AQ665</f>
        <v>0</v>
      </c>
    </row>
    <row r="559" spans="1:36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  <c r="AJ559" s="70">
        <f>'RESUMEN TOTAL'!AQ666</f>
        <v>0</v>
      </c>
    </row>
    <row r="560" spans="1:36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  <c r="AJ560" s="70">
        <f>'RESUMEN TOTAL'!AQ667</f>
        <v>0</v>
      </c>
    </row>
    <row r="561" spans="1:36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  <c r="AJ561" s="70">
        <f>'RESUMEN TOTAL'!AQ668</f>
        <v>0</v>
      </c>
    </row>
    <row r="562" spans="1:36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  <c r="AJ562" s="70">
        <f>'RESUMEN TOTAL'!AQ669</f>
        <v>0</v>
      </c>
    </row>
    <row r="563" spans="1:36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  <c r="AJ563" s="70">
        <f>'RESUMEN TOTAL'!AQ670</f>
        <v>0</v>
      </c>
    </row>
    <row r="564" spans="1:36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  <c r="AJ564" s="70">
        <f>'RESUMEN TOTAL'!AQ671</f>
        <v>0</v>
      </c>
    </row>
    <row r="565" spans="1:36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  <c r="AJ565" s="70">
        <f>'RESUMEN TOTAL'!AQ672</f>
        <v>0</v>
      </c>
    </row>
    <row r="566" spans="1:36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  <c r="AJ566" s="70">
        <f>'RESUMEN TOTAL'!AQ673</f>
        <v>0</v>
      </c>
    </row>
    <row r="567" spans="1:36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  <c r="AJ567" s="70">
        <f>'RESUMEN TOTAL'!AQ674</f>
        <v>0</v>
      </c>
    </row>
    <row r="568" spans="1:36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  <c r="AJ568" s="70">
        <f>'RESUMEN TOTAL'!AQ675</f>
        <v>0</v>
      </c>
    </row>
    <row r="569" spans="1:36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  <c r="AJ569" s="70">
        <f>'RESUMEN TOTAL'!AQ676</f>
        <v>0</v>
      </c>
    </row>
    <row r="570" spans="1:36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  <c r="AJ570" s="70">
        <f>'RESUMEN TOTAL'!AQ677</f>
        <v>0</v>
      </c>
    </row>
    <row r="571" spans="1:36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  <c r="AJ571" s="70">
        <f>'RESUMEN TOTAL'!AQ678</f>
        <v>0</v>
      </c>
    </row>
    <row r="572" spans="1:36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  <c r="AJ572" s="70">
        <f>'RESUMEN TOTAL'!AQ679</f>
        <v>0</v>
      </c>
    </row>
    <row r="573" spans="1:36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  <c r="AJ573" s="70">
        <f>'RESUMEN TOTAL'!AQ680</f>
        <v>0</v>
      </c>
    </row>
    <row r="574" spans="1:36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  <c r="AJ574" s="70">
        <f>'RESUMEN TOTAL'!AQ681</f>
        <v>0</v>
      </c>
    </row>
    <row r="575" spans="1:36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  <c r="AJ575" s="70">
        <f>'RESUMEN TOTAL'!AQ682</f>
        <v>0</v>
      </c>
    </row>
    <row r="576" spans="1:36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  <c r="AJ576" s="70">
        <f>'RESUMEN TOTAL'!AQ683</f>
        <v>0</v>
      </c>
    </row>
    <row r="577" spans="1:36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  <c r="AJ577" s="70">
        <f>'RESUMEN TOTAL'!AQ684</f>
        <v>0</v>
      </c>
    </row>
    <row r="578" spans="1:36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  <c r="AJ578" s="70">
        <f>'RESUMEN TOTAL'!AQ685</f>
        <v>0</v>
      </c>
    </row>
    <row r="579" spans="1:36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  <c r="AJ579" s="70">
        <f>'RESUMEN TOTAL'!AQ686</f>
        <v>0</v>
      </c>
    </row>
    <row r="580" spans="1:36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  <c r="AJ580" s="70">
        <f>'RESUMEN TOTAL'!AQ687</f>
        <v>0</v>
      </c>
    </row>
    <row r="581" spans="1:36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  <c r="AJ581" s="70">
        <f>'RESUMEN TOTAL'!AQ688</f>
        <v>0</v>
      </c>
    </row>
    <row r="582" spans="1:36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  <c r="AJ582" s="70">
        <f>'RESUMEN TOTAL'!AQ689</f>
        <v>0</v>
      </c>
    </row>
    <row r="583" spans="1:36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  <c r="AJ583" s="70">
        <f>'RESUMEN TOTAL'!AQ690</f>
        <v>0</v>
      </c>
    </row>
    <row r="584" spans="1:36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  <c r="AJ584" s="70">
        <f>'RESUMEN TOTAL'!AQ691</f>
        <v>0</v>
      </c>
    </row>
    <row r="585" spans="1:36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  <c r="AJ585" s="70">
        <f>'RESUMEN TOTAL'!AQ692</f>
        <v>0</v>
      </c>
    </row>
    <row r="586" spans="1:36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  <c r="AJ586" s="70">
        <f>'RESUMEN TOTAL'!AQ693</f>
        <v>0</v>
      </c>
    </row>
    <row r="587" spans="1:36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  <c r="AJ587" s="70">
        <f>'RESUMEN TOTAL'!AQ694</f>
        <v>0</v>
      </c>
    </row>
    <row r="588" spans="1:36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  <c r="AJ588" s="70">
        <f>'RESUMEN TOTAL'!AQ695</f>
        <v>0</v>
      </c>
    </row>
    <row r="589" spans="1:36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  <c r="AJ589" s="70">
        <f>'RESUMEN TOTAL'!AQ696</f>
        <v>0</v>
      </c>
    </row>
    <row r="590" spans="1:36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  <c r="AJ590" s="70">
        <f>'RESUMEN TOTAL'!AQ697</f>
        <v>0</v>
      </c>
    </row>
    <row r="591" spans="1:36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  <c r="AJ591" s="70">
        <f>'RESUMEN TOTAL'!AQ698</f>
        <v>0</v>
      </c>
    </row>
    <row r="592" spans="1:36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  <c r="AJ592" s="70">
        <f>'RESUMEN TOTAL'!AQ699</f>
        <v>0</v>
      </c>
    </row>
    <row r="593" spans="1:36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  <c r="AJ593" s="70">
        <f>'RESUMEN TOTAL'!AQ700</f>
        <v>0</v>
      </c>
    </row>
    <row r="594" spans="1:36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  <c r="AJ594" s="70">
        <f>'RESUMEN TOTAL'!AQ701</f>
        <v>0</v>
      </c>
    </row>
    <row r="595" spans="1:36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  <c r="AJ595" s="70">
        <f>'RESUMEN TOTAL'!AQ702</f>
        <v>0</v>
      </c>
    </row>
    <row r="596" spans="1:36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  <c r="AJ596" s="70">
        <f>'RESUMEN TOTAL'!AQ703</f>
        <v>0</v>
      </c>
    </row>
    <row r="597" spans="1:36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  <c r="AJ597" s="70">
        <f>'RESUMEN TOTAL'!AQ704</f>
        <v>0</v>
      </c>
    </row>
    <row r="598" spans="1:36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  <c r="AJ598" s="70">
        <f>'RESUMEN TOTAL'!AQ705</f>
        <v>0</v>
      </c>
    </row>
    <row r="599" spans="1:36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  <c r="AJ599" s="70">
        <f>'RESUMEN TOTAL'!AQ706</f>
        <v>0</v>
      </c>
    </row>
    <row r="600" spans="1:36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  <c r="AJ600" s="70">
        <f>'RESUMEN TOTAL'!AQ707</f>
        <v>0</v>
      </c>
    </row>
    <row r="601" spans="1:36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  <c r="AJ601" s="70">
        <f>'RESUMEN TOTAL'!AQ708</f>
        <v>0</v>
      </c>
    </row>
    <row r="602" spans="1:36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  <c r="AJ602" s="70">
        <f>'RESUMEN TOTAL'!AQ709</f>
        <v>0</v>
      </c>
    </row>
    <row r="603" spans="1:36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  <c r="AJ603" s="70">
        <f>'RESUMEN TOTAL'!AQ710</f>
        <v>0</v>
      </c>
    </row>
    <row r="604" spans="1:36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  <c r="AJ604" s="70">
        <f>'RESUMEN TOTAL'!AQ711</f>
        <v>0</v>
      </c>
    </row>
    <row r="605" spans="1:36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  <c r="AJ605" s="70">
        <f>'RESUMEN TOTAL'!AQ712</f>
        <v>0</v>
      </c>
    </row>
    <row r="606" spans="1:36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  <c r="AJ606" s="70">
        <f>'RESUMEN TOTAL'!AQ713</f>
        <v>0</v>
      </c>
    </row>
    <row r="607" spans="1:36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  <c r="AJ607" s="70">
        <f>'RESUMEN TOTAL'!AQ714</f>
        <v>0</v>
      </c>
    </row>
    <row r="608" spans="1:36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  <c r="AJ608" s="70">
        <f>'RESUMEN TOTAL'!AQ715</f>
        <v>0</v>
      </c>
    </row>
    <row r="609" spans="1:36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  <c r="AJ609" s="70">
        <f>'RESUMEN TOTAL'!AQ716</f>
        <v>0</v>
      </c>
    </row>
    <row r="610" spans="1:36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  <c r="AJ610" s="70">
        <f>'RESUMEN TOTAL'!AQ717</f>
        <v>0</v>
      </c>
    </row>
    <row r="611" spans="1:36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  <c r="AJ611" s="70">
        <f>'RESUMEN TOTAL'!AQ718</f>
        <v>0</v>
      </c>
    </row>
    <row r="612" spans="1:36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  <c r="AJ612" s="70">
        <f>'RESUMEN TOTAL'!AQ719</f>
        <v>0</v>
      </c>
    </row>
    <row r="613" spans="1:36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  <c r="AJ613" s="70">
        <f>'RESUMEN TOTAL'!AQ720</f>
        <v>0</v>
      </c>
    </row>
    <row r="614" spans="1:36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  <c r="AJ614" s="70">
        <f>'RESUMEN TOTAL'!AQ721</f>
        <v>0</v>
      </c>
    </row>
    <row r="615" spans="1:36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  <c r="AJ615" s="70">
        <f>'RESUMEN TOTAL'!AQ722</f>
        <v>0</v>
      </c>
    </row>
    <row r="616" spans="1:36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  <c r="AJ616" s="70">
        <f>'RESUMEN TOTAL'!AQ723</f>
        <v>0</v>
      </c>
    </row>
    <row r="617" spans="1:36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  <c r="AJ617" s="70">
        <f>'RESUMEN TOTAL'!AQ724</f>
        <v>0</v>
      </c>
    </row>
    <row r="618" spans="1:36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  <c r="AJ618" s="70">
        <f>'RESUMEN TOTAL'!AQ725</f>
        <v>0</v>
      </c>
    </row>
    <row r="619" spans="1:36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  <c r="AJ619" s="70">
        <f>'RESUMEN TOTAL'!AQ726</f>
        <v>0</v>
      </c>
    </row>
    <row r="620" spans="1:36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  <c r="AJ620" s="70">
        <f>'RESUMEN TOTAL'!AQ727</f>
        <v>0</v>
      </c>
    </row>
    <row r="621" spans="1:36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  <c r="AJ621" s="70">
        <f>'RESUMEN TOTAL'!AQ728</f>
        <v>0</v>
      </c>
    </row>
    <row r="622" spans="1:36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  <c r="AJ622" s="70">
        <f>'RESUMEN TOTAL'!AQ729</f>
        <v>0</v>
      </c>
    </row>
    <row r="623" spans="1:36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  <c r="AJ623" s="70">
        <f>'RESUMEN TOTAL'!AQ730</f>
        <v>0</v>
      </c>
    </row>
    <row r="624" spans="1:36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  <c r="AJ624" s="70">
        <f>'RESUMEN TOTAL'!AQ731</f>
        <v>0</v>
      </c>
    </row>
    <row r="625" spans="1:36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  <c r="AJ625" s="70">
        <f>'RESUMEN TOTAL'!AQ732</f>
        <v>0</v>
      </c>
    </row>
    <row r="626" spans="1:36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  <c r="AJ626" s="70">
        <f>'RESUMEN TOTAL'!AQ733</f>
        <v>0</v>
      </c>
    </row>
    <row r="627" spans="1:36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  <c r="AJ627" s="70">
        <f>'RESUMEN TOTAL'!AQ734</f>
        <v>0</v>
      </c>
    </row>
    <row r="628" spans="1:36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  <c r="AJ628" s="70">
        <f>'RESUMEN TOTAL'!AQ735</f>
        <v>0</v>
      </c>
    </row>
    <row r="629" spans="1:36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  <c r="AJ629" s="70">
        <f>'RESUMEN TOTAL'!AQ736</f>
        <v>0</v>
      </c>
    </row>
    <row r="630" spans="1:36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  <c r="AJ630" s="70">
        <f>'RESUMEN TOTAL'!AQ737</f>
        <v>0</v>
      </c>
    </row>
    <row r="631" spans="1:36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  <c r="AJ631" s="70">
        <f>'RESUMEN TOTAL'!AQ738</f>
        <v>0</v>
      </c>
    </row>
    <row r="632" spans="1:36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  <c r="AJ632" s="70">
        <f>'RESUMEN TOTAL'!AQ739</f>
        <v>0</v>
      </c>
    </row>
    <row r="633" spans="1:36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  <c r="AJ633" s="70">
        <f>'RESUMEN TOTAL'!AQ740</f>
        <v>0</v>
      </c>
    </row>
    <row r="634" spans="1:36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  <c r="AJ634" s="70">
        <f>'RESUMEN TOTAL'!AQ741</f>
        <v>0</v>
      </c>
    </row>
    <row r="635" spans="1:36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  <c r="AJ635" s="70">
        <f>'RESUMEN TOTAL'!AQ742</f>
        <v>0</v>
      </c>
    </row>
    <row r="636" spans="1:36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  <c r="AJ636" s="70">
        <f>'RESUMEN TOTAL'!AQ743</f>
        <v>0</v>
      </c>
    </row>
    <row r="637" spans="1:36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  <c r="AJ637" s="70">
        <f>'RESUMEN TOTAL'!AQ744</f>
        <v>0</v>
      </c>
    </row>
    <row r="638" spans="1:36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  <c r="AJ638" s="70">
        <f>'RESUMEN TOTAL'!AQ745</f>
        <v>0</v>
      </c>
    </row>
    <row r="639" spans="1:36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  <c r="AJ639" s="70">
        <f>'RESUMEN TOTAL'!AQ746</f>
        <v>0</v>
      </c>
    </row>
    <row r="640" spans="1:36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  <c r="AJ640" s="70">
        <f>'RESUMEN TOTAL'!AQ747</f>
        <v>0</v>
      </c>
    </row>
    <row r="641" spans="1:36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  <c r="AJ641" s="70">
        <f>'RESUMEN TOTAL'!AQ748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  <c r="AJ642" s="70">
        <f>'RESUMEN TOTAL'!AQ749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  <c r="AJ643" s="70">
        <f>'RESUMEN TOTAL'!AQ750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3" sqref="D2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TOTAL'!C8:C572,"=BONOMO")</f>
        <v>299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TOTAL'!N8:N681,"=APAGADO",'RESUMEN TOTAL'!C8:C681,"=BONOMO")</f>
        <v>0</v>
      </c>
      <c r="H3" s="46">
        <f>COUNTIFS('RESUMEN TOTAL'!O8:O681,"=APAGADO",'RESUMEN TOTAL'!C8:C681,"=BONOMO")</f>
        <v>0</v>
      </c>
      <c r="I3" s="46">
        <v>0</v>
      </c>
      <c r="J3" s="46">
        <f>COUNTIFS('RESUMEN TOTAL'!Q8:Q681,"=APAGADO",'RESUMEN TOTAL'!C8:C681,"=BONOMO")</f>
        <v>0</v>
      </c>
      <c r="K3" s="46">
        <f>COUNTIFS('RESUMEN TOTAL'!R8:R681,"=APAGADO",'RESUMEN TOTAL'!C8:C681,"=BONOMO")</f>
        <v>0</v>
      </c>
      <c r="L3" s="46">
        <f>COUNTIFS('RESUMEN TOTAL'!S8:S681,"=APAGADO",'RESUMEN TOTAL'!C8:C681,"=BONOMO")</f>
        <v>0</v>
      </c>
      <c r="M3" s="46">
        <v>0</v>
      </c>
      <c r="N3" s="46">
        <f>COUNTIFS('RESUMEN TOTAL'!U8:U681,"=APAGADO",'RESUMEN TOTAL'!C8:C681,"=BONOMO")</f>
        <v>0</v>
      </c>
      <c r="O3" s="46">
        <f>COUNTIFS('RESUMEN TOTAL'!V8:V681,"=APAGADO",'RESUMEN TOTAL'!C8:C681,"=BONOMO")</f>
        <v>0</v>
      </c>
      <c r="P3" s="46">
        <f>COUNTIFS('RESUMEN TOTAL'!W8:W681,"=APAGADO",'RESUMEN TOTAL'!C8:C681,"=BONOMO")</f>
        <v>0</v>
      </c>
      <c r="Q3" s="46">
        <f>COUNTIFS('RESUMEN TOTAL'!X8:X681,"=APAGADO",'RESUMEN TOTAL'!C8:C681,"=BONOMO")</f>
        <v>0</v>
      </c>
      <c r="R3" s="46">
        <f>COUNTIFS('RESUMEN TOTAL'!Y8:Y681,"=APAGADO",'RESUMEN TOTAL'!C8:C681,"=BONOMO")</f>
        <v>0</v>
      </c>
      <c r="S3" s="46">
        <f>COUNTIFS('RESUMEN TOTAL'!Z8:Z681,"=APAGADO",'RESUMEN TOTAL'!C8:C681,"=BONOMO")</f>
        <v>0</v>
      </c>
      <c r="T3" s="46">
        <f>COUNTIFS('RESUMEN TOTAL'!AA8:AA681,"=APAGADO",'RESUMEN TOTAL'!C8:C681,"=BONOMO")</f>
        <v>0</v>
      </c>
      <c r="U3" s="46">
        <f>COUNTIFS('RESUMEN TOTAL'!AB8:AB681,"=APAGADO",'RESUMEN TOTAL'!C8:C681,"=BONOMO")</f>
        <v>0</v>
      </c>
      <c r="V3" s="46">
        <f>COUNTIFS('RESUMEN TOTAL'!AC8:AC681,"=APAGADO",'RESUMEN TOTAL'!C8:C681,"=BONOMO")</f>
        <v>0</v>
      </c>
      <c r="W3" s="46">
        <f>COUNTIFS('RESUMEN TOTAL'!AD8:AD681,"=APAGADO",'RESUMEN TOTAL'!C8:C681,"=BONOMO")</f>
        <v>0</v>
      </c>
      <c r="X3" s="46">
        <f>COUNTIFS('RESUMEN TOTAL'!AE8:AE681,"=APAGADO",'RESUMEN TOTAL'!C8:C681,"=BONOMO")</f>
        <v>0</v>
      </c>
      <c r="Y3" s="46">
        <f>COUNTIFS('RESUMEN TOTAL'!AF8:AF681,"=APAGADO",'RESUMEN TOTAL'!C8:C681,"=BONOMO")</f>
        <v>0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TOTAL'!C8:C572,"=COSEIDI")</f>
        <v>266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TOTAL'!M8:M683,"=APAGADO",'RESUMEN TOTAL'!C8:C683,"=COSEIDI")</f>
        <v>0</v>
      </c>
      <c r="G5" s="46">
        <f>COUNTIFS('RESUMEN TOTAL'!N8:N681,"=APAGADO",'RESUMEN TOTAL'!C8:C681,"=COSEIDI")</f>
        <v>0</v>
      </c>
      <c r="H5" s="46">
        <v>0</v>
      </c>
      <c r="I5" s="46">
        <f>COUNTIFS('RESUMEN TOTAL'!P10:P683,"=APAGADO",'RESUMEN TOTAL'!C10:C683,"=COSEIDI")</f>
        <v>0</v>
      </c>
      <c r="J5" s="46">
        <f>COUNTIFS('RESUMEN TOTAL'!Q10:Q683,"=APAGADO",'RESUMEN TOTAL'!C10:C683,"=COSEIDI")</f>
        <v>0</v>
      </c>
      <c r="K5" s="46">
        <f>COUNTIFS('RESUMEN TOTAL'!R10:R683,"=APAGADO",'RESUMEN TOTAL'!C10:C683,"=COSEIDI")</f>
        <v>0</v>
      </c>
      <c r="L5" s="46">
        <f>COUNTIFS('RESUMEN TOTAL'!S10:S683,"=APAGADO",'RESUMEN TOTAL'!C10:C683,"=COSEIDI")</f>
        <v>0</v>
      </c>
      <c r="M5" s="46">
        <v>0</v>
      </c>
      <c r="N5" s="46">
        <f>COUNTIFS('RESUMEN TOTAL'!U10:U683,"=APAGADO",'RESUMEN TOTAL'!C10:C683,"=COSEIDI")</f>
        <v>0</v>
      </c>
      <c r="O5" s="46">
        <f>COUNTIFS('RESUMEN TOTAL'!V10:V683,"=APAGADO",'RESUMEN TOTAL'!C10:C683,"=COSEIDI")</f>
        <v>0</v>
      </c>
      <c r="P5" s="46">
        <f>COUNTIFS('RESUMEN TOTAL'!W10:W683,"=APAGADO",'RESUMEN TOTAL'!C10:C683,"=COSEIDI")</f>
        <v>0</v>
      </c>
      <c r="Q5" s="46">
        <f>COUNTIFS('RESUMEN TOTAL'!X10:X683,"=APAGADO",'RESUMEN TOTAL'!C10:C683,"=COSEIDI")</f>
        <v>0</v>
      </c>
      <c r="R5" s="46">
        <f>COUNTIFS('RESUMEN TOTAL'!Y10:Y683,"=APAGADO",'RESUMEN TOTAL'!C10:C683,"=COSEIDI")</f>
        <v>0</v>
      </c>
      <c r="S5" s="46">
        <f>COUNTIFS('RESUMEN TOTAL'!Z10:Z683,"=APAGADO",'RESUMEN TOTAL'!C10:C683,"=COSEIDI")</f>
        <v>0</v>
      </c>
      <c r="T5" s="46">
        <f>COUNTIFS('RESUMEN TOTAL'!AA10:AA683,"=APAGADO",'RESUMEN TOTAL'!C10:C683,"=COSEIDI")</f>
        <v>0</v>
      </c>
      <c r="U5" s="46">
        <v>0</v>
      </c>
      <c r="V5" s="46">
        <f>COUNTIFS('RESUMEN TOTAL'!AC10:AC683,"=APAGADO",'RESUMEN TOTAL'!C10:C683,"=COSEIDI")</f>
        <v>0</v>
      </c>
      <c r="W5" s="46">
        <f>COUNTIFS('RESUMEN TOTAL'!AD10:AD683,"=APAGADO",'RESUMEN TOTAL'!C10:C683,"=COSEIDI")</f>
        <v>0</v>
      </c>
      <c r="X5" s="46">
        <f>COUNTIFS('RESUMEN TOTAL'!AE10:AE683,"=APAGADO",'RESUMEN TOTAL'!C10:C683,"=COSEIDI")</f>
        <v>0</v>
      </c>
      <c r="Y5" s="46">
        <f>COUNTIFS('RESUMEN TOTAL'!AF10:AF683,"=APAGADO",'RESUMEN TOTAL'!C10:C683,"=COSEIDI")</f>
        <v>0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</v>
      </c>
      <c r="H6" s="50">
        <v>0</v>
      </c>
      <c r="I6" s="50">
        <v>0</v>
      </c>
      <c r="J6" s="50">
        <v>0</v>
      </c>
      <c r="K6" s="50">
        <f t="shared" ref="H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2025-12-02T10:35:00Z</dcterms:modified>
</cp:coreProperties>
</file>