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62F20FDC-CDFE-46B3-AF97-9923CF0CCF63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R342" i="2" l="1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<sst xmlns="http://schemas.openxmlformats.org/spreadsheetml/2006/main" count="6322" uniqueCount="2504">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</sst>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S8" activePane="bottomRight" state="frozen"/>
      <selection activeCell="G1" sqref="G1"/>
      <selection pane="topRight" activeCell="S1" sqref="S1"/>
      <selection pane="bottomLeft" activeCell="G8" sqref="G8"/>
      <selection pane="bottomRight" activeCell="K614" sqref="K614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2.570312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13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0.10075187969924812</v>
      </c>
      <c r="Y1" s="3">
        <f t="shared" si="0"/>
        <v>0.12058823529411765</v>
      </c>
      <c r="Z1" s="3">
        <f t="shared" si="0"/>
        <v>0.1282798833819242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67</v>
      </c>
      <c r="Y3" s="123">
        <f t="shared" si="3"/>
        <v>82</v>
      </c>
      <c r="Z3" s="123">
        <f t="shared" si="3"/>
        <v>88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0</v>
      </c>
      <c r="AF4" s="10">
        <f>COUNTIFS(AF8:AF713, "=APAGADO",K8:K713,"=Fibra Optica")</f>
        <v>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0</v>
      </c>
      <c r="AF5" s="127">
        <f>COUNTIFS(AF8:AF713, "=APAGADO",K8:K713,"=RADIO")</f>
        <v>0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0</v>
      </c>
      <c r="AF6" s="10">
        <f>COUNTIFS(AF8:AF713, "=APAGADO",K8:K713,"=PTO A FO")</f>
        <v>0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1625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2215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27</v>
      </c>
      <c r="P16" s="136" t="s">
        <v>1626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2215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27</v>
      </c>
      <c r="P18" s="136" t="s">
        <v>1631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2215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24</v>
      </c>
      <c r="P30" s="136" t="s">
        <v>1639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2215</v>
      </c>
      <c r="V30" s="70"/>
      <c r="W30" s="70"/>
      <c r="X30" s="70" t="s">
        <v>2215</v>
      </c>
      <c r="Y30" s="70" t="s">
        <v>2215</v>
      </c>
      <c r="Z30" s="70" t="s">
        <v>2215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24</v>
      </c>
      <c r="P31" s="136" t="s">
        <v>1640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2215</v>
      </c>
      <c r="V31" s="70"/>
      <c r="W31" s="70"/>
      <c r="X31" s="70" t="s">
        <v>2215</v>
      </c>
      <c r="Y31" s="70" t="s">
        <v>2215</v>
      </c>
      <c r="Z31" s="70" t="s">
        <v>2215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23</v>
      </c>
      <c r="P32" s="136" t="s">
        <v>1641</v>
      </c>
      <c r="Q32" s="31">
        <f t="shared" si="8"/>
        <v>5</v>
      </c>
      <c r="R32" s="32">
        <f t="shared" si="9"/>
        <v>0.8214285714285714</v>
      </c>
      <c r="S32" s="70"/>
      <c r="T32" s="70" t="s">
        <v>2215</v>
      </c>
      <c r="U32" s="70" t="s">
        <v>2215</v>
      </c>
      <c r="V32" s="70"/>
      <c r="W32" s="70"/>
      <c r="X32" s="70" t="s">
        <v>2215</v>
      </c>
      <c r="Y32" s="70" t="s">
        <v>2215</v>
      </c>
      <c r="Z32" s="70" t="s">
        <v>2215</v>
      </c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23</v>
      </c>
      <c r="P33" s="136" t="s">
        <v>1642</v>
      </c>
      <c r="Q33" s="31">
        <f t="shared" si="8"/>
        <v>5</v>
      </c>
      <c r="R33" s="32">
        <f t="shared" si="9"/>
        <v>0.8214285714285714</v>
      </c>
      <c r="S33" s="70"/>
      <c r="T33" s="70" t="s">
        <v>2215</v>
      </c>
      <c r="U33" s="70" t="s">
        <v>2215</v>
      </c>
      <c r="V33" s="70"/>
      <c r="W33" s="70"/>
      <c r="X33" s="70" t="s">
        <v>2215</v>
      </c>
      <c r="Y33" s="70" t="s">
        <v>2215</v>
      </c>
      <c r="Z33" s="70" t="s">
        <v>2215</v>
      </c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26</v>
      </c>
      <c r="P34" s="136" t="s">
        <v>1643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2215</v>
      </c>
      <c r="V34" s="70"/>
      <c r="W34" s="70"/>
      <c r="X34" s="70" t="s">
        <v>2215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23</v>
      </c>
      <c r="P42" s="136" t="s">
        <v>2179</v>
      </c>
      <c r="Q42" s="31">
        <f t="shared" si="8"/>
        <v>5</v>
      </c>
      <c r="R42" s="32">
        <f t="shared" si="9"/>
        <v>0.8214285714285714</v>
      </c>
      <c r="S42" s="70"/>
      <c r="T42" s="70" t="s">
        <v>2215</v>
      </c>
      <c r="U42" s="70" t="s">
        <v>2215</v>
      </c>
      <c r="V42" s="70"/>
      <c r="W42" s="70"/>
      <c r="X42" s="70" t="s">
        <v>2215</v>
      </c>
      <c r="Y42" s="70" t="s">
        <v>2215</v>
      </c>
      <c r="Z42" s="70" t="s">
        <v>2215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23</v>
      </c>
      <c r="P43" s="136" t="s">
        <v>2183</v>
      </c>
      <c r="Q43" s="31">
        <f t="shared" si="8"/>
        <v>5</v>
      </c>
      <c r="R43" s="32">
        <f t="shared" si="9"/>
        <v>0.8214285714285714</v>
      </c>
      <c r="S43" s="70"/>
      <c r="T43" s="70" t="s">
        <v>2215</v>
      </c>
      <c r="U43" s="70" t="s">
        <v>2215</v>
      </c>
      <c r="V43" s="70"/>
      <c r="W43" s="70"/>
      <c r="X43" s="70" t="s">
        <v>2215</v>
      </c>
      <c r="Y43" s="70" t="s">
        <v>2215</v>
      </c>
      <c r="Z43" s="70" t="s">
        <v>2215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28</v>
      </c>
      <c r="P57" s="136" t="s">
        <v>1706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28</v>
      </c>
      <c r="P64" s="136" t="s">
        <v>1721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28</v>
      </c>
      <c r="P66" s="136" t="s">
        <v>1723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28</v>
      </c>
      <c r="P67" s="136" t="s">
        <v>1724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28</v>
      </c>
      <c r="P68" s="136" t="s">
        <v>1725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27</v>
      </c>
      <c r="P71" s="136" t="s">
        <v>1729</v>
      </c>
      <c r="Q71" s="31">
        <f t="shared" si="11"/>
        <v>1</v>
      </c>
      <c r="R71" s="32">
        <f t="shared" si="12"/>
        <v>0.9642857142857143</v>
      </c>
      <c r="S71" s="70"/>
      <c r="T71" s="70"/>
      <c r="U71" s="70"/>
      <c r="V71" s="70"/>
      <c r="W71" s="70"/>
      <c r="X71" s="70"/>
      <c r="Y71" s="70"/>
      <c r="Z71" s="70" t="s">
        <v>2215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22</v>
      </c>
      <c r="P77" s="136" t="s">
        <v>2421</v>
      </c>
      <c r="Q77" s="31">
        <f t="shared" si="11"/>
        <v>6</v>
      </c>
      <c r="R77" s="32">
        <f t="shared" si="12"/>
        <v>0.7857142857142857</v>
      </c>
      <c r="S77" s="70" t="s">
        <v>2215</v>
      </c>
      <c r="T77" s="70" t="s">
        <v>2215</v>
      </c>
      <c r="U77" s="70" t="s">
        <v>2215</v>
      </c>
      <c r="V77" s="70"/>
      <c r="W77" s="70"/>
      <c r="X77" s="70" t="s">
        <v>2215</v>
      </c>
      <c r="Y77" s="70" t="s">
        <v>2215</v>
      </c>
      <c r="Z77" s="70" t="s">
        <v>2215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1676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28</v>
      </c>
      <c r="P104" s="136" t="s">
        <v>1679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28</v>
      </c>
      <c r="P105" s="136" t="s">
        <v>1680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24</v>
      </c>
      <c r="P110" s="136" t="s">
        <v>1686</v>
      </c>
      <c r="Q110" s="31">
        <f t="shared" si="14"/>
        <v>4</v>
      </c>
      <c r="R110" s="32">
        <f t="shared" si="15"/>
        <v>0.8571428571428571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 t="s">
        <v>2215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25</v>
      </c>
      <c r="P111" s="136" t="s">
        <v>1687</v>
      </c>
      <c r="Q111" s="131">
        <f t="shared" si="14"/>
        <v>3</v>
      </c>
      <c r="R111" s="132">
        <f t="shared" si="15"/>
        <v>0.8928571428571429</v>
      </c>
      <c r="S111" s="70"/>
      <c r="T111" s="70"/>
      <c r="U111" s="70"/>
      <c r="V111" s="70"/>
      <c r="W111" s="70"/>
      <c r="X111" s="70" t="s">
        <v>2215</v>
      </c>
      <c r="Y111" s="70" t="s">
        <v>2215</v>
      </c>
      <c r="Z111" s="70" t="s">
        <v>2215</v>
      </c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28</v>
      </c>
      <c r="P118" s="136" t="s">
        <v>1694</v>
      </c>
      <c r="Q118" s="31">
        <f t="shared" si="14"/>
        <v>0</v>
      </c>
      <c r="R118" s="32">
        <f t="shared" si="15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22</v>
      </c>
      <c r="P131" s="136" t="s">
        <v>1731</v>
      </c>
      <c r="Q131" s="131">
        <f t="shared" si="17"/>
        <v>6</v>
      </c>
      <c r="R131" s="132">
        <f t="shared" si="18"/>
        <v>0.7857142857142857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 t="s">
        <v>2215</v>
      </c>
      <c r="Y131" s="70" t="s">
        <v>2215</v>
      </c>
      <c r="Z131" s="70" t="s">
        <v>2215</v>
      </c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28</v>
      </c>
      <c r="P145" s="136"/>
      <c r="Q145" s="31">
        <f t="shared" si="17"/>
        <v>0</v>
      </c>
      <c r="R145" s="32">
        <f t="shared" si="18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28</v>
      </c>
      <c r="P146" s="136" t="s">
        <v>1741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26</v>
      </c>
      <c r="P148" s="136" t="s">
        <v>1743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2215</v>
      </c>
      <c r="Z148" s="70" t="s">
        <v>2215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23</v>
      </c>
      <c r="P149" s="136" t="s">
        <v>1744</v>
      </c>
      <c r="Q149" s="31">
        <f t="shared" si="17"/>
        <v>5</v>
      </c>
      <c r="R149" s="32">
        <f t="shared" si="18"/>
        <v>0.8214285714285714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 t="s">
        <v>2215</v>
      </c>
      <c r="Z149" s="70" t="s">
        <v>2215</v>
      </c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24</v>
      </c>
      <c r="P150" s="136" t="s">
        <v>1743</v>
      </c>
      <c r="Q150" s="31">
        <f t="shared" si="17"/>
        <v>4</v>
      </c>
      <c r="R150" s="32">
        <f t="shared" si="18"/>
        <v>0.8571428571428571</v>
      </c>
      <c r="S150" s="70"/>
      <c r="T150" s="70"/>
      <c r="U150" s="70" t="s">
        <v>2215</v>
      </c>
      <c r="V150" s="70"/>
      <c r="W150" s="70"/>
      <c r="X150" s="70" t="s">
        <v>2215</v>
      </c>
      <c r="Y150" s="70" t="s">
        <v>2215</v>
      </c>
      <c r="Z150" s="70" t="s">
        <v>2215</v>
      </c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26</v>
      </c>
      <c r="P151" s="136" t="s">
        <v>1745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2215</v>
      </c>
      <c r="Z151" s="70" t="s">
        <v>2215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27</v>
      </c>
      <c r="P163" s="136" t="s">
        <v>1751</v>
      </c>
      <c r="Q163" s="131">
        <f t="shared" si="20"/>
        <v>1</v>
      </c>
      <c r="R163" s="132">
        <f t="shared" si="21"/>
        <v>0.9642857142857143</v>
      </c>
      <c r="S163" s="70"/>
      <c r="T163" s="70"/>
      <c r="U163" s="70"/>
      <c r="V163" s="70"/>
      <c r="W163" s="70"/>
      <c r="X163" s="70"/>
      <c r="Y163" s="70" t="s">
        <v>2215</v>
      </c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27</v>
      </c>
      <c r="P165" s="136" t="s">
        <v>1750</v>
      </c>
      <c r="Q165" s="131">
        <f t="shared" si="20"/>
        <v>1</v>
      </c>
      <c r="R165" s="132">
        <f t="shared" si="21"/>
        <v>0.9642857142857143</v>
      </c>
      <c r="S165" s="70"/>
      <c r="T165" s="70"/>
      <c r="U165" s="70"/>
      <c r="V165" s="70"/>
      <c r="W165" s="70"/>
      <c r="X165" s="70"/>
      <c r="Y165" s="70" t="s">
        <v>2215</v>
      </c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25</v>
      </c>
      <c r="P166" s="136" t="s">
        <v>1752</v>
      </c>
      <c r="Q166" s="31">
        <f t="shared" si="20"/>
        <v>3</v>
      </c>
      <c r="R166" s="32">
        <f t="shared" si="21"/>
        <v>0.8928571428571429</v>
      </c>
      <c r="S166" s="70"/>
      <c r="T166" s="70" t="s">
        <v>2215</v>
      </c>
      <c r="U166" s="70" t="s">
        <v>2215</v>
      </c>
      <c r="V166" s="70"/>
      <c r="W166" s="70"/>
      <c r="X166" s="70" t="s">
        <v>2215</v>
      </c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22</v>
      </c>
      <c r="P171" s="140" t="s">
        <v>1757</v>
      </c>
      <c r="Q171" s="139">
        <f t="shared" si="20"/>
        <v>6</v>
      </c>
      <c r="R171" s="141">
        <f t="shared" si="21"/>
        <v>0.7857142857142857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 t="s">
        <v>2215</v>
      </c>
      <c r="Y171" s="70" t="s">
        <v>2215</v>
      </c>
      <c r="Z171" s="70" t="s">
        <v>2215</v>
      </c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27</v>
      </c>
      <c r="P173" s="136" t="s">
        <v>1769</v>
      </c>
      <c r="Q173" s="31">
        <f t="shared" si="20"/>
        <v>1</v>
      </c>
      <c r="R173" s="32">
        <f t="shared" si="21"/>
        <v>0.9642857142857143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27</v>
      </c>
      <c r="P174" s="136" t="s">
        <v>2440</v>
      </c>
      <c r="Q174" s="31">
        <f t="shared" si="20"/>
        <v>1</v>
      </c>
      <c r="R174" s="32">
        <f t="shared" si="21"/>
        <v>0.9642857142857143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27</v>
      </c>
      <c r="P176" s="136" t="s">
        <v>1770</v>
      </c>
      <c r="Q176" s="31">
        <f t="shared" si="20"/>
        <v>1</v>
      </c>
      <c r="R176" s="32">
        <f t="shared" si="21"/>
        <v>0.9642857142857143</v>
      </c>
      <c r="S176" s="70"/>
      <c r="T176" s="70"/>
      <c r="U176" s="70"/>
      <c r="V176" s="70"/>
      <c r="W176" s="70"/>
      <c r="X176" s="70"/>
      <c r="Y176" s="70" t="s">
        <v>2215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27</v>
      </c>
      <c r="P177" s="136" t="s">
        <v>1771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2215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27</v>
      </c>
      <c r="P178" s="136" t="s">
        <v>2370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2215</v>
      </c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27</v>
      </c>
      <c r="P181" s="136" t="s">
        <v>1758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 t="s">
        <v>2215</v>
      </c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22</v>
      </c>
      <c r="P182" s="136" t="s">
        <v>1759</v>
      </c>
      <c r="Q182" s="31">
        <f t="shared" si="20"/>
        <v>6</v>
      </c>
      <c r="R182" s="32">
        <f t="shared" si="21"/>
        <v>0.7857142857142857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 t="s">
        <v>2215</v>
      </c>
      <c r="Y182" s="70" t="s">
        <v>2215</v>
      </c>
      <c r="Z182" s="70" t="s">
        <v>2215</v>
      </c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1761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 t="s">
        <v>2215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27</v>
      </c>
      <c r="P185" s="136" t="s">
        <v>1762</v>
      </c>
      <c r="Q185" s="31">
        <f t="shared" si="20"/>
        <v>1</v>
      </c>
      <c r="R185" s="32">
        <f t="shared" si="21"/>
        <v>0.9642857142857143</v>
      </c>
      <c r="S185" s="70"/>
      <c r="T185" s="70"/>
      <c r="U185" s="70"/>
      <c r="V185" s="70"/>
      <c r="W185" s="70"/>
      <c r="X185" s="70"/>
      <c r="Y185" s="70" t="s">
        <v>2215</v>
      </c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1764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 t="s">
        <v>2215</v>
      </c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27</v>
      </c>
      <c r="P188" s="136" t="s">
        <v>1765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 t="s">
        <v>2215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1766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2215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27</v>
      </c>
      <c r="P193" s="136" t="s">
        <v>2117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 t="s">
        <v>2215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22</v>
      </c>
      <c r="P197" s="140"/>
      <c r="Q197" s="139">
        <f t="shared" si="23"/>
        <v>6</v>
      </c>
      <c r="R197" s="141">
        <f t="shared" si="24"/>
        <v>0.7857142857142857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 t="s">
        <v>2215</v>
      </c>
      <c r="Y197" s="70" t="s">
        <v>2215</v>
      </c>
      <c r="Z197" s="70" t="s">
        <v>2215</v>
      </c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 t="s">
        <v>2215</v>
      </c>
      <c r="Y207" s="70" t="s">
        <v>2215</v>
      </c>
      <c r="Z207" s="70" t="s">
        <v>2215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28</v>
      </c>
      <c r="P208" s="136" t="s">
        <v>1776</v>
      </c>
      <c r="Q208" s="131">
        <f t="shared" ref="Q208:Q239" si="26">COUNTIF(S208:AT208,"APAGADO")</f>
        <v>0</v>
      </c>
      <c r="R208" s="132">
        <f t="shared" ref="R208:R239" si="27">(O208)/(Q208+O208)</f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22</v>
      </c>
      <c r="P209" s="136" t="s">
        <v>1777</v>
      </c>
      <c r="Q209" s="131">
        <f t="shared" si="26"/>
        <v>6</v>
      </c>
      <c r="R209" s="132">
        <f t="shared" si="27"/>
        <v>0.7857142857142857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 t="s">
        <v>2215</v>
      </c>
      <c r="Y209" s="70" t="s">
        <v>2215</v>
      </c>
      <c r="Z209" s="70" t="s">
        <v>2215</v>
      </c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27</v>
      </c>
      <c r="P211" s="136" t="s">
        <v>1779</v>
      </c>
      <c r="Q211" s="31">
        <f t="shared" si="26"/>
        <v>1</v>
      </c>
      <c r="R211" s="32">
        <f t="shared" si="27"/>
        <v>0.9642857142857143</v>
      </c>
      <c r="S211" s="70"/>
      <c r="T211" s="70"/>
      <c r="U211" s="70"/>
      <c r="V211" s="70"/>
      <c r="W211" s="70"/>
      <c r="X211" s="70" t="s">
        <v>2215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27</v>
      </c>
      <c r="P212" s="136" t="s">
        <v>1780</v>
      </c>
      <c r="Q212" s="31">
        <f t="shared" si="26"/>
        <v>1</v>
      </c>
      <c r="R212" s="32">
        <f t="shared" si="27"/>
        <v>0.9642857142857143</v>
      </c>
      <c r="S212" s="70"/>
      <c r="T212" s="70"/>
      <c r="U212" s="70"/>
      <c r="V212" s="70"/>
      <c r="W212" s="70"/>
      <c r="X212" s="70" t="s">
        <v>2215</v>
      </c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22</v>
      </c>
      <c r="P214" s="136" t="s">
        <v>1782</v>
      </c>
      <c r="Q214" s="31">
        <f t="shared" si="26"/>
        <v>6</v>
      </c>
      <c r="R214" s="32">
        <f t="shared" si="27"/>
        <v>0.7857142857142857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 t="s">
        <v>2215</v>
      </c>
      <c r="Y214" s="70" t="s">
        <v>2215</v>
      </c>
      <c r="Z214" s="70" t="s">
        <v>2215</v>
      </c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22</v>
      </c>
      <c r="P219" s="136" t="s">
        <v>1793</v>
      </c>
      <c r="Q219" s="31">
        <f t="shared" si="26"/>
        <v>6</v>
      </c>
      <c r="R219" s="32">
        <f t="shared" si="27"/>
        <v>0.7857142857142857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 t="s">
        <v>2215</v>
      </c>
      <c r="Y219" s="70" t="s">
        <v>2215</v>
      </c>
      <c r="Z219" s="70" t="s">
        <v>2215</v>
      </c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28</v>
      </c>
      <c r="P226" s="136" t="s">
        <v>1797</v>
      </c>
      <c r="Q226" s="31">
        <f t="shared" si="26"/>
        <v>0</v>
      </c>
      <c r="R226" s="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1812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22</v>
      </c>
      <c r="P252" s="136" t="s">
        <v>1819</v>
      </c>
      <c r="Q252" s="31">
        <f t="shared" si="29"/>
        <v>6</v>
      </c>
      <c r="R252" s="32">
        <f t="shared" si="30"/>
        <v>0.7857142857142857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 t="s">
        <v>2215</v>
      </c>
      <c r="Y252" s="70" t="s">
        <v>2215</v>
      </c>
      <c r="Z252" s="70" t="s">
        <v>2215</v>
      </c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25</v>
      </c>
      <c r="P254" s="136" t="s">
        <v>1776</v>
      </c>
      <c r="Q254" s="31">
        <f t="shared" si="29"/>
        <v>3</v>
      </c>
      <c r="R254" s="32">
        <f t="shared" si="30"/>
        <v>0.8928571428571429</v>
      </c>
      <c r="S254" s="70"/>
      <c r="T254" s="70"/>
      <c r="U254" s="70"/>
      <c r="V254" s="70"/>
      <c r="W254" s="70"/>
      <c r="X254" s="70" t="s">
        <v>2215</v>
      </c>
      <c r="Y254" s="70" t="s">
        <v>2215</v>
      </c>
      <c r="Z254" s="70" t="s">
        <v>2215</v>
      </c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22</v>
      </c>
      <c r="P255" s="140" t="s">
        <v>1820</v>
      </c>
      <c r="Q255" s="139">
        <f t="shared" si="29"/>
        <v>6</v>
      </c>
      <c r="R255" s="141">
        <f t="shared" si="30"/>
        <v>0.7857142857142857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 t="s">
        <v>2215</v>
      </c>
      <c r="Y255" s="70" t="s">
        <v>2215</v>
      </c>
      <c r="Z255" s="70" t="s">
        <v>2215</v>
      </c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22</v>
      </c>
      <c r="P256" s="140" t="s">
        <v>2229</v>
      </c>
      <c r="Q256" s="139">
        <f t="shared" si="29"/>
        <v>6</v>
      </c>
      <c r="R256" s="141">
        <f t="shared" si="30"/>
        <v>0.7857142857142857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 t="s">
        <v>2215</v>
      </c>
      <c r="Y256" s="70" t="s">
        <v>2215</v>
      </c>
      <c r="Z256" s="70" t="s">
        <v>2215</v>
      </c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27</v>
      </c>
      <c r="P274" s="136" t="s">
        <v>1831</v>
      </c>
      <c r="Q274" s="31">
        <f t="shared" si="32"/>
        <v>1</v>
      </c>
      <c r="R274" s="32">
        <f t="shared" si="33"/>
        <v>0.9642857142857143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27</v>
      </c>
      <c r="P279" s="136" t="s">
        <v>1832</v>
      </c>
      <c r="Q279" s="31">
        <f t="shared" si="32"/>
        <v>1</v>
      </c>
      <c r="R279" s="32">
        <f t="shared" si="33"/>
        <v>0.9642857142857143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28</v>
      </c>
      <c r="P283" s="136" t="s">
        <v>1838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2498</v>
      </c>
      <c r="J286" s="30" t="s">
        <v>2500</v>
      </c>
      <c r="K286" s="30" t="s">
        <v>27</v>
      </c>
      <c r="L286" s="30"/>
      <c r="M286" s="30" t="s">
        <v>2497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2499</v>
      </c>
      <c r="J287" s="30" t="s">
        <v>2500</v>
      </c>
      <c r="K287" s="30" t="s">
        <v>27</v>
      </c>
      <c r="L287" s="30"/>
      <c r="M287" s="30" t="s">
        <v>2502</v>
      </c>
      <c r="N287" s="30"/>
      <c r="O287" s="131"/>
      <c r="P287" s="136" t="s">
        <v>2501</v>
      </c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28</v>
      </c>
      <c r="P292" s="136" t="s">
        <v>1844</v>
      </c>
      <c r="Q292" s="131">
        <f t="shared" si="32"/>
        <v>0</v>
      </c>
      <c r="R292" s="1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28</v>
      </c>
      <c r="P293" s="136" t="s">
        <v>1845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28</v>
      </c>
      <c r="P294" s="136" t="s">
        <v>1651</v>
      </c>
      <c r="Q294" s="31">
        <f t="shared" si="32"/>
        <v>0</v>
      </c>
      <c r="R294" s="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28</v>
      </c>
      <c r="P295" s="136" t="s">
        <v>1846</v>
      </c>
      <c r="Q295" s="31">
        <f t="shared" si="32"/>
        <v>0</v>
      </c>
      <c r="R295" s="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22</v>
      </c>
      <c r="P301" s="136" t="s">
        <v>2107</v>
      </c>
      <c r="Q301" s="131">
        <f t="shared" si="32"/>
        <v>6</v>
      </c>
      <c r="R301" s="132">
        <f t="shared" si="33"/>
        <v>0.7857142857142857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 t="s">
        <v>2215</v>
      </c>
      <c r="Y301" s="70" t="s">
        <v>2215</v>
      </c>
      <c r="Z301" s="70" t="s">
        <v>2215</v>
      </c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22</v>
      </c>
      <c r="P302" s="136" t="s">
        <v>2101</v>
      </c>
      <c r="Q302" s="131">
        <f t="shared" si="32"/>
        <v>6</v>
      </c>
      <c r="R302" s="132">
        <f t="shared" si="33"/>
        <v>0.7857142857142857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 t="s">
        <v>2215</v>
      </c>
      <c r="Y302" s="70" t="s">
        <v>2215</v>
      </c>
      <c r="Z302" s="70" t="s">
        <v>2215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26</v>
      </c>
      <c r="P303" s="136" t="s">
        <v>1851</v>
      </c>
      <c r="Q303" s="31">
        <f t="shared" si="32"/>
        <v>2</v>
      </c>
      <c r="R303" s="32">
        <f t="shared" si="33"/>
        <v>0.9285714285714286</v>
      </c>
      <c r="S303" s="70"/>
      <c r="T303" s="70"/>
      <c r="U303" s="70"/>
      <c r="V303" s="70"/>
      <c r="W303" s="70"/>
      <c r="X303" s="70"/>
      <c r="Y303" s="70" t="s">
        <v>2215</v>
      </c>
      <c r="Z303" s="70" t="s">
        <v>2215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26</v>
      </c>
      <c r="P304" s="136" t="s">
        <v>1852</v>
      </c>
      <c r="Q304" s="31">
        <f t="shared" si="32"/>
        <v>2</v>
      </c>
      <c r="R304" s="32">
        <f t="shared" si="33"/>
        <v>0.9285714285714286</v>
      </c>
      <c r="S304" s="70"/>
      <c r="T304" s="70"/>
      <c r="U304" s="70"/>
      <c r="V304" s="70"/>
      <c r="W304" s="70"/>
      <c r="X304" s="70"/>
      <c r="Y304" s="70" t="s">
        <v>2215</v>
      </c>
      <c r="Z304" s="70" t="s">
        <v>2215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26</v>
      </c>
      <c r="P305" s="136" t="s">
        <v>1853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2215</v>
      </c>
      <c r="Z305" s="70" t="s">
        <v>2215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26</v>
      </c>
      <c r="P306" s="136" t="s">
        <v>1854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2215</v>
      </c>
      <c r="Z306" s="70" t="s">
        <v>2215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26</v>
      </c>
      <c r="P307" s="136" t="s">
        <v>1855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2215</v>
      </c>
      <c r="Z307" s="70" t="s">
        <v>2215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28</v>
      </c>
      <c r="P309" s="136" t="s">
        <v>1857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26</v>
      </c>
      <c r="P310" s="136" t="s">
        <v>1859</v>
      </c>
      <c r="Q310" s="31">
        <f t="shared" si="32"/>
        <v>2</v>
      </c>
      <c r="R310" s="32">
        <f t="shared" si="33"/>
        <v>0.9285714285714286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28</v>
      </c>
      <c r="P317" s="136" t="s">
        <v>1868</v>
      </c>
      <c r="Q317" s="31">
        <f t="shared" si="32"/>
        <v>0</v>
      </c>
      <c r="R317" s="32">
        <f t="shared" si="33"/>
        <v>1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70" t="s">
        <v>2215</v>
      </c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22</v>
      </c>
      <c r="P321" s="136" t="s">
        <v>1871</v>
      </c>
      <c r="Q321" s="131">
        <f t="shared" si="32"/>
        <v>6</v>
      </c>
      <c r="R321" s="132">
        <f t="shared" si="33"/>
        <v>0.7857142857142857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70" t="s">
        <v>2215</v>
      </c>
      <c r="Y321" s="70" t="s">
        <v>2215</v>
      </c>
      <c r="Z321" s="70" t="s">
        <v>2215</v>
      </c>
      <c r="AA321" s="70"/>
      <c r="AB321" s="70"/>
      <c r="AC321" s="70"/>
      <c r="AD321" s="70"/>
      <c r="AE321" s="142"/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22</v>
      </c>
      <c r="P323" s="136" t="s">
        <v>2140</v>
      </c>
      <c r="Q323" s="131">
        <f t="shared" si="32"/>
        <v>6</v>
      </c>
      <c r="R323" s="132">
        <f t="shared" si="33"/>
        <v>0.7857142857142857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70" t="s">
        <v>2215</v>
      </c>
      <c r="Y323" s="70" t="s">
        <v>2215</v>
      </c>
      <c r="Z323" s="70" t="s">
        <v>2215</v>
      </c>
      <c r="AA323" s="70"/>
      <c r="AB323" s="70"/>
      <c r="AC323" s="70"/>
      <c r="AD323" s="70"/>
      <c r="AE323" s="142"/>
      <c r="AF323" s="142"/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22</v>
      </c>
      <c r="P324" s="136" t="s">
        <v>1875</v>
      </c>
      <c r="Q324" s="31">
        <f t="shared" si="32"/>
        <v>6</v>
      </c>
      <c r="R324" s="32">
        <f t="shared" si="33"/>
        <v>0.7857142857142857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 t="s">
        <v>2215</v>
      </c>
      <c r="Y324" s="70" t="s">
        <v>2215</v>
      </c>
      <c r="Z324" s="70" t="s">
        <v>2215</v>
      </c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22</v>
      </c>
      <c r="P330" s="136" t="s">
        <v>1872</v>
      </c>
      <c r="Q330" s="31">
        <f t="shared" si="32"/>
        <v>6</v>
      </c>
      <c r="R330" s="32">
        <f t="shared" si="33"/>
        <v>0.7857142857142857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70" t="s">
        <v>2215</v>
      </c>
      <c r="Y330" s="70" t="s">
        <v>2215</v>
      </c>
      <c r="Z330" s="70" t="s">
        <v>2215</v>
      </c>
      <c r="AA330" s="70"/>
      <c r="AB330" s="70"/>
      <c r="AC330" s="70"/>
      <c r="AD330" s="70"/>
      <c r="AE330" s="142"/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22</v>
      </c>
      <c r="P331" s="136" t="s">
        <v>1873</v>
      </c>
      <c r="Q331" s="131">
        <f t="shared" si="32"/>
        <v>6</v>
      </c>
      <c r="R331" s="132">
        <f t="shared" si="33"/>
        <v>0.7857142857142857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70" t="s">
        <v>2215</v>
      </c>
      <c r="Y331" s="70" t="s">
        <v>2215</v>
      </c>
      <c r="Z331" s="70" t="s">
        <v>2215</v>
      </c>
      <c r="AA331" s="70"/>
      <c r="AB331" s="70"/>
      <c r="AC331" s="70"/>
      <c r="AD331" s="70"/>
      <c r="AE331" s="142"/>
      <c r="AF331" s="142"/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22</v>
      </c>
      <c r="P332" s="136" t="s">
        <v>1874</v>
      </c>
      <c r="Q332" s="131">
        <f t="shared" si="32"/>
        <v>6</v>
      </c>
      <c r="R332" s="132">
        <f t="shared" si="33"/>
        <v>0.7857142857142857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70" t="s">
        <v>2215</v>
      </c>
      <c r="Y332" s="70" t="s">
        <v>2215</v>
      </c>
      <c r="Z332" s="70" t="s">
        <v>2215</v>
      </c>
      <c r="AA332" s="70"/>
      <c r="AB332" s="70"/>
      <c r="AC332" s="70"/>
      <c r="AD332" s="70"/>
      <c r="AE332" s="142"/>
      <c r="AF332" s="142"/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24</v>
      </c>
      <c r="P335" s="136" t="s">
        <v>1879</v>
      </c>
      <c r="Q335" s="31">
        <f t="shared" si="35"/>
        <v>4</v>
      </c>
      <c r="R335" s="32">
        <f t="shared" si="36"/>
        <v>0.8571428571428571</v>
      </c>
      <c r="S335" s="70"/>
      <c r="T335" s="70" t="s">
        <v>2215</v>
      </c>
      <c r="U335" s="70" t="s">
        <v>2215</v>
      </c>
      <c r="V335" s="70"/>
      <c r="W335" s="70"/>
      <c r="X335" s="70" t="s">
        <v>2215</v>
      </c>
      <c r="Y335" s="70"/>
      <c r="Z335" s="70" t="s">
        <v>2215</v>
      </c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26</v>
      </c>
      <c r="P341" s="136" t="s">
        <v>1885</v>
      </c>
      <c r="Q341" s="31">
        <f t="shared" si="35"/>
        <v>2</v>
      </c>
      <c r="R341" s="32">
        <f t="shared" si="36"/>
        <v>0.9285714285714286</v>
      </c>
      <c r="S341" s="70"/>
      <c r="T341" s="70"/>
      <c r="U341" s="70" t="s">
        <v>2215</v>
      </c>
      <c r="V341" s="70"/>
      <c r="W341" s="70"/>
      <c r="X341" s="70"/>
      <c r="Y341" s="70"/>
      <c r="Z341" s="70" t="s">
        <v>2215</v>
      </c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26</v>
      </c>
      <c r="P342" s="136" t="s">
        <v>1886</v>
      </c>
      <c r="Q342" s="31">
        <f t="shared" si="35"/>
        <v>2</v>
      </c>
      <c r="R342" s="32">
        <f t="shared" si="36"/>
        <v>0.9285714285714286</v>
      </c>
      <c r="S342" s="70"/>
      <c r="T342" s="70"/>
      <c r="U342" s="70" t="s">
        <v>2215</v>
      </c>
      <c r="V342" s="70"/>
      <c r="W342" s="70"/>
      <c r="X342" s="70"/>
      <c r="Y342" s="70"/>
      <c r="Z342" s="70" t="s">
        <v>2215</v>
      </c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 t="s">
        <v>2503</v>
      </c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22</v>
      </c>
      <c r="P344" s="136" t="s">
        <v>1887</v>
      </c>
      <c r="Q344" s="31">
        <f t="shared" si="35"/>
        <v>6</v>
      </c>
      <c r="R344" s="32">
        <f t="shared" si="36"/>
        <v>0.7857142857142857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 t="s">
        <v>2215</v>
      </c>
      <c r="Y344" s="70" t="s">
        <v>2215</v>
      </c>
      <c r="Z344" s="70" t="s">
        <v>2215</v>
      </c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24</v>
      </c>
      <c r="P351" s="136" t="s">
        <v>1896</v>
      </c>
      <c r="Q351" s="31">
        <f t="shared" si="35"/>
        <v>4</v>
      </c>
      <c r="R351" s="32">
        <f t="shared" si="36"/>
        <v>0.8571428571428571</v>
      </c>
      <c r="S351" s="70"/>
      <c r="T351" s="70"/>
      <c r="U351" s="70" t="s">
        <v>2215</v>
      </c>
      <c r="V351" s="70"/>
      <c r="W351" s="70"/>
      <c r="X351" s="70" t="s">
        <v>2215</v>
      </c>
      <c r="Y351" s="70" t="s">
        <v>2215</v>
      </c>
      <c r="Z351" s="70" t="s">
        <v>2215</v>
      </c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24</v>
      </c>
      <c r="P354" s="136" t="s">
        <v>1899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2215</v>
      </c>
      <c r="V354" s="70"/>
      <c r="W354" s="70"/>
      <c r="X354" s="70" t="s">
        <v>2215</v>
      </c>
      <c r="Y354" s="70" t="s">
        <v>2215</v>
      </c>
      <c r="Z354" s="70" t="s">
        <v>2215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28</v>
      </c>
      <c r="P369" s="136" t="s">
        <v>1906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28</v>
      </c>
      <c r="P370" s="136" t="s">
        <v>1907</v>
      </c>
      <c r="Q370" s="131">
        <f t="shared" si="35"/>
        <v>0</v>
      </c>
      <c r="R370" s="1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28</v>
      </c>
      <c r="P371" s="136" t="s">
        <v>1908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28</v>
      </c>
      <c r="P372" s="136" t="s">
        <v>1909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28</v>
      </c>
      <c r="P375" s="136" t="s">
        <v>1912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28</v>
      </c>
      <c r="P376" s="136" t="s">
        <v>1913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27</v>
      </c>
      <c r="P382" s="136" t="s">
        <v>2093</v>
      </c>
      <c r="Q382" s="31">
        <f t="shared" si="35"/>
        <v>1</v>
      </c>
      <c r="R382" s="32">
        <f t="shared" si="36"/>
        <v>0.9642857142857143</v>
      </c>
      <c r="S382" s="70"/>
      <c r="T382" s="70"/>
      <c r="U382" s="70"/>
      <c r="V382" s="70"/>
      <c r="W382" s="70"/>
      <c r="X382" s="70"/>
      <c r="Y382" s="70"/>
      <c r="Z382" s="70" t="s">
        <v>2215</v>
      </c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28</v>
      </c>
      <c r="P384" s="136" t="s">
        <v>1919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28</v>
      </c>
      <c r="P388" s="136" t="s">
        <v>2395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28</v>
      </c>
      <c r="P393" s="136" t="s">
        <v>2260</v>
      </c>
      <c r="Q393" s="131">
        <f t="shared" si="35"/>
        <v>0</v>
      </c>
      <c r="R393" s="1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22</v>
      </c>
      <c r="P413" s="140"/>
      <c r="Q413" s="139">
        <f t="shared" si="38"/>
        <v>6</v>
      </c>
      <c r="R413" s="141">
        <f t="shared" si="39"/>
        <v>0.7857142857142857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 t="s">
        <v>2215</v>
      </c>
      <c r="Y413" s="70" t="s">
        <v>2215</v>
      </c>
      <c r="Z413" s="70" t="s">
        <v>2215</v>
      </c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25</v>
      </c>
      <c r="P414" s="136" t="s">
        <v>1942</v>
      </c>
      <c r="Q414" s="131">
        <f t="shared" si="38"/>
        <v>3</v>
      </c>
      <c r="R414" s="132">
        <f t="shared" si="39"/>
        <v>0.8928571428571429</v>
      </c>
      <c r="S414" s="70"/>
      <c r="T414" s="70"/>
      <c r="U414" s="70"/>
      <c r="V414" s="70"/>
      <c r="W414" s="70"/>
      <c r="X414" s="70" t="s">
        <v>2215</v>
      </c>
      <c r="Y414" s="70" t="s">
        <v>2215</v>
      </c>
      <c r="Z414" s="70" t="s">
        <v>2215</v>
      </c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28</v>
      </c>
      <c r="P415" s="136" t="s">
        <v>2400</v>
      </c>
      <c r="Q415" s="31">
        <f t="shared" si="38"/>
        <v>0</v>
      </c>
      <c r="R415" s="32">
        <f t="shared" si="39"/>
        <v>1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22</v>
      </c>
      <c r="P417" s="136" t="s">
        <v>1943</v>
      </c>
      <c r="Q417" s="85">
        <f t="shared" si="38"/>
        <v>6</v>
      </c>
      <c r="R417" s="86">
        <f t="shared" si="39"/>
        <v>0.7857142857142857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70" t="s">
        <v>2215</v>
      </c>
      <c r="Y417" s="70" t="s">
        <v>2215</v>
      </c>
      <c r="Z417" s="70" t="s">
        <v>2215</v>
      </c>
      <c r="AA417" s="70"/>
      <c r="AB417" s="70"/>
      <c r="AC417" s="70"/>
      <c r="AD417" s="70"/>
      <c r="AE417" s="87"/>
      <c r="AF417" s="87"/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22</v>
      </c>
      <c r="P419" s="136" t="s">
        <v>1944</v>
      </c>
      <c r="Q419" s="31">
        <f t="shared" si="38"/>
        <v>6</v>
      </c>
      <c r="R419" s="32">
        <f t="shared" si="39"/>
        <v>0.7857142857142857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 t="s">
        <v>2215</v>
      </c>
      <c r="Y419" s="70" t="s">
        <v>2215</v>
      </c>
      <c r="Z419" s="70" t="s">
        <v>2215</v>
      </c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22</v>
      </c>
      <c r="P420" s="136" t="s">
        <v>1945</v>
      </c>
      <c r="Q420" s="31">
        <f t="shared" si="38"/>
        <v>6</v>
      </c>
      <c r="R420" s="32">
        <f t="shared" si="39"/>
        <v>0.7857142857142857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 t="s">
        <v>2215</v>
      </c>
      <c r="Y420" s="70" t="s">
        <v>2215</v>
      </c>
      <c r="Z420" s="70" t="s">
        <v>2215</v>
      </c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25</v>
      </c>
      <c r="P421" s="136" t="s">
        <v>1946</v>
      </c>
      <c r="Q421" s="131">
        <f t="shared" si="38"/>
        <v>3</v>
      </c>
      <c r="R421" s="132">
        <f t="shared" si="39"/>
        <v>0.8928571428571429</v>
      </c>
      <c r="S421" s="70"/>
      <c r="T421" s="70"/>
      <c r="U421" s="70"/>
      <c r="V421" s="70"/>
      <c r="W421" s="70"/>
      <c r="X421" s="70" t="s">
        <v>2215</v>
      </c>
      <c r="Y421" s="70" t="s">
        <v>2215</v>
      </c>
      <c r="Z421" s="70" t="s">
        <v>2215</v>
      </c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25</v>
      </c>
      <c r="P422" s="136" t="s">
        <v>1947</v>
      </c>
      <c r="Q422" s="131">
        <f t="shared" si="38"/>
        <v>3</v>
      </c>
      <c r="R422" s="132">
        <f t="shared" si="39"/>
        <v>0.8928571428571429</v>
      </c>
      <c r="S422" s="70"/>
      <c r="T422" s="70"/>
      <c r="U422" s="70"/>
      <c r="V422" s="70"/>
      <c r="W422" s="70"/>
      <c r="X422" s="70" t="s">
        <v>2215</v>
      </c>
      <c r="Y422" s="70" t="s">
        <v>2215</v>
      </c>
      <c r="Z422" s="70" t="s">
        <v>2215</v>
      </c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25</v>
      </c>
      <c r="P426" s="136" t="s">
        <v>2096</v>
      </c>
      <c r="Q426" s="131">
        <f t="shared" si="38"/>
        <v>3</v>
      </c>
      <c r="R426" s="132">
        <f t="shared" si="39"/>
        <v>0.8928571428571429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 t="s">
        <v>2215</v>
      </c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28</v>
      </c>
      <c r="P432" s="136" t="s">
        <v>1952</v>
      </c>
      <c r="Q432" s="131">
        <f t="shared" si="38"/>
        <v>0</v>
      </c>
      <c r="R432" s="1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28</v>
      </c>
      <c r="P433" s="136" t="s">
        <v>2402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22</v>
      </c>
      <c r="P434" s="136" t="s">
        <v>1954</v>
      </c>
      <c r="Q434" s="131">
        <f t="shared" si="38"/>
        <v>6</v>
      </c>
      <c r="R434" s="132">
        <f t="shared" si="39"/>
        <v>0.7857142857142857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 t="s">
        <v>2215</v>
      </c>
      <c r="Y434" s="70" t="s">
        <v>2215</v>
      </c>
      <c r="Z434" s="70" t="s">
        <v>2215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28</v>
      </c>
      <c r="P437" s="136" t="s">
        <v>1950</v>
      </c>
      <c r="Q437" s="131">
        <f t="shared" si="38"/>
        <v>0</v>
      </c>
      <c r="R437" s="1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22</v>
      </c>
      <c r="P438" s="136" t="s">
        <v>1951</v>
      </c>
      <c r="Q438" s="131">
        <f t="shared" si="38"/>
        <v>6</v>
      </c>
      <c r="R438" s="132">
        <f t="shared" si="39"/>
        <v>0.7857142857142857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 t="s">
        <v>2215</v>
      </c>
      <c r="Y438" s="70" t="s">
        <v>2215</v>
      </c>
      <c r="Z438" s="70" t="s">
        <v>2215</v>
      </c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25</v>
      </c>
      <c r="P440" s="136" t="s">
        <v>1925</v>
      </c>
      <c r="Q440" s="31">
        <f t="shared" si="38"/>
        <v>3</v>
      </c>
      <c r="R440" s="32">
        <f t="shared" si="39"/>
        <v>0.8928571428571429</v>
      </c>
      <c r="S440" s="70"/>
      <c r="T440" s="70"/>
      <c r="U440" s="70"/>
      <c r="V440" s="70"/>
      <c r="W440" s="70"/>
      <c r="X440" s="70" t="s">
        <v>2215</v>
      </c>
      <c r="Y440" s="70" t="s">
        <v>2215</v>
      </c>
      <c r="Z440" s="70" t="s">
        <v>2215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27</v>
      </c>
      <c r="P450" s="143"/>
      <c r="Q450" s="139">
        <f t="shared" si="38"/>
        <v>1</v>
      </c>
      <c r="R450" s="141">
        <f t="shared" si="39"/>
        <v>0.9642857142857143</v>
      </c>
      <c r="S450" s="138"/>
      <c r="T450" s="138"/>
      <c r="U450" s="138"/>
      <c r="V450" s="138"/>
      <c r="W450" s="138"/>
      <c r="X450" s="70" t="s">
        <v>2215</v>
      </c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27</v>
      </c>
      <c r="P458" s="136" t="s">
        <v>2403</v>
      </c>
      <c r="Q458" s="31">
        <f t="shared" si="38"/>
        <v>1</v>
      </c>
      <c r="R458" s="32">
        <f t="shared" si="39"/>
        <v>0.9642857142857143</v>
      </c>
      <c r="S458" s="70"/>
      <c r="T458" s="70"/>
      <c r="U458" s="70"/>
      <c r="V458" s="70"/>
      <c r="W458" s="70"/>
      <c r="X458" s="70"/>
      <c r="Y458" s="70"/>
      <c r="Z458" s="70" t="s">
        <v>2215</v>
      </c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28</v>
      </c>
      <c r="P461" s="136" t="s">
        <v>2404</v>
      </c>
      <c r="Q461" s="31">
        <f t="shared" si="38"/>
        <v>0</v>
      </c>
      <c r="R461" s="32">
        <f t="shared" si="39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22</v>
      </c>
      <c r="P462" s="140"/>
      <c r="Q462" s="139">
        <f t="shared" si="38"/>
        <v>6</v>
      </c>
      <c r="R462" s="141">
        <f t="shared" si="39"/>
        <v>0.7857142857142857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70" t="s">
        <v>2215</v>
      </c>
      <c r="Y462" s="70" t="s">
        <v>2215</v>
      </c>
      <c r="Z462" s="70" t="s">
        <v>2215</v>
      </c>
      <c r="AA462" s="142"/>
      <c r="AB462" s="142"/>
      <c r="AC462" s="142"/>
      <c r="AD462" s="142"/>
      <c r="AE462" s="142"/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22</v>
      </c>
      <c r="P465" s="136" t="s">
        <v>1973</v>
      </c>
      <c r="Q465" s="131">
        <f t="shared" si="41"/>
        <v>6</v>
      </c>
      <c r="R465" s="132">
        <f t="shared" si="42"/>
        <v>0.7857142857142857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 t="s">
        <v>2215</v>
      </c>
      <c r="Y465" s="70" t="s">
        <v>2215</v>
      </c>
      <c r="Z465" s="70" t="s">
        <v>2215</v>
      </c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22</v>
      </c>
      <c r="P466" s="136" t="s">
        <v>1974</v>
      </c>
      <c r="Q466" s="131">
        <f t="shared" si="41"/>
        <v>6</v>
      </c>
      <c r="R466" s="132">
        <f t="shared" si="42"/>
        <v>0.7857142857142857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 t="s">
        <v>2215</v>
      </c>
      <c r="Y466" s="70" t="s">
        <v>2215</v>
      </c>
      <c r="Z466" s="70" t="s">
        <v>2215</v>
      </c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27</v>
      </c>
      <c r="P470" s="136" t="s">
        <v>2407</v>
      </c>
      <c r="Q470" s="31">
        <f t="shared" si="41"/>
        <v>1</v>
      </c>
      <c r="R470" s="32">
        <f t="shared" si="42"/>
        <v>0.9642857142857143</v>
      </c>
      <c r="S470" s="70"/>
      <c r="T470" s="70"/>
      <c r="U470" s="70"/>
      <c r="V470" s="70"/>
      <c r="W470" s="70"/>
      <c r="X470" s="70"/>
      <c r="Y470" s="70"/>
      <c r="Z470" s="70" t="s">
        <v>2215</v>
      </c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27</v>
      </c>
      <c r="P471" s="136" t="s">
        <v>2410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2215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22</v>
      </c>
      <c r="P476" s="136" t="s">
        <v>1979</v>
      </c>
      <c r="Q476" s="131">
        <f t="shared" si="41"/>
        <v>6</v>
      </c>
      <c r="R476" s="132">
        <f t="shared" si="42"/>
        <v>0.7857142857142857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 t="s">
        <v>2215</v>
      </c>
      <c r="Y476" s="70" t="s">
        <v>2215</v>
      </c>
      <c r="Z476" s="70" t="s">
        <v>2215</v>
      </c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22</v>
      </c>
      <c r="P477" s="136" t="s">
        <v>1980</v>
      </c>
      <c r="Q477" s="131">
        <f t="shared" si="41"/>
        <v>6</v>
      </c>
      <c r="R477" s="132">
        <f t="shared" si="42"/>
        <v>0.7857142857142857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 t="s">
        <v>2215</v>
      </c>
      <c r="Y477" s="70" t="s">
        <v>2215</v>
      </c>
      <c r="Z477" s="70" t="s">
        <v>2215</v>
      </c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22</v>
      </c>
      <c r="P478" s="136"/>
      <c r="Q478" s="131">
        <f t="shared" si="41"/>
        <v>6</v>
      </c>
      <c r="R478" s="132">
        <f t="shared" si="42"/>
        <v>0.7857142857142857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 t="s">
        <v>2215</v>
      </c>
      <c r="Y478" s="70" t="s">
        <v>2215</v>
      </c>
      <c r="Z478" s="70" t="s">
        <v>2215</v>
      </c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22</v>
      </c>
      <c r="P480" s="136"/>
      <c r="Q480" s="131">
        <f t="shared" si="41"/>
        <v>6</v>
      </c>
      <c r="R480" s="132">
        <f t="shared" si="42"/>
        <v>0.7857142857142857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 t="s">
        <v>2215</v>
      </c>
      <c r="Y480" s="70" t="s">
        <v>2215</v>
      </c>
      <c r="Z480" s="70" t="s">
        <v>2215</v>
      </c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27</v>
      </c>
      <c r="P481" s="136" t="s">
        <v>1981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2215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25</v>
      </c>
      <c r="P482" s="136" t="s">
        <v>1982</v>
      </c>
      <c r="Q482" s="31">
        <f t="shared" si="41"/>
        <v>3</v>
      </c>
      <c r="R482" s="32">
        <f t="shared" si="42"/>
        <v>0.8928571428571429</v>
      </c>
      <c r="S482" s="70"/>
      <c r="T482" s="70"/>
      <c r="U482" s="70"/>
      <c r="V482" s="70"/>
      <c r="W482" s="70"/>
      <c r="X482" s="70" t="s">
        <v>2215</v>
      </c>
      <c r="Y482" s="70" t="s">
        <v>2215</v>
      </c>
      <c r="Z482" s="70" t="s">
        <v>2215</v>
      </c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28</v>
      </c>
      <c r="P484" s="136" t="s">
        <v>1984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28</v>
      </c>
      <c r="P485" s="136" t="s">
        <v>1985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27</v>
      </c>
      <c r="P501" s="136" t="s">
        <v>1996</v>
      </c>
      <c r="Q501" s="131">
        <f t="shared" si="41"/>
        <v>1</v>
      </c>
      <c r="R501" s="132">
        <f t="shared" si="42"/>
        <v>0.9642857142857143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2415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2215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2416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2215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2417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2215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2418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2215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27</v>
      </c>
      <c r="P509" s="136" t="s">
        <v>1997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 t="s">
        <v>2215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28</v>
      </c>
      <c r="P523" s="136" t="s">
        <v>2028</v>
      </c>
      <c r="Q523" s="31">
        <f t="shared" si="41"/>
        <v>0</v>
      </c>
      <c r="R523" s="32">
        <f t="shared" si="42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28</v>
      </c>
      <c r="P524" s="136" t="s">
        <v>2029</v>
      </c>
      <c r="Q524" s="31">
        <f t="shared" si="41"/>
        <v>0</v>
      </c>
      <c r="R524" s="32">
        <f t="shared" si="42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22</v>
      </c>
      <c r="P535" s="136" t="s">
        <v>2012</v>
      </c>
      <c r="Q535" s="131">
        <f t="shared" si="44"/>
        <v>6</v>
      </c>
      <c r="R535" s="132">
        <f t="shared" si="45"/>
        <v>0.7857142857142857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 t="s">
        <v>2215</v>
      </c>
      <c r="Y535" s="70" t="s">
        <v>2215</v>
      </c>
      <c r="Z535" s="70" t="s">
        <v>2215</v>
      </c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22</v>
      </c>
      <c r="P538" s="136" t="s">
        <v>2016</v>
      </c>
      <c r="Q538" s="31">
        <f t="shared" si="44"/>
        <v>6</v>
      </c>
      <c r="R538" s="32">
        <f t="shared" si="45"/>
        <v>0.7857142857142857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 t="s">
        <v>2215</v>
      </c>
      <c r="Y538" s="70" t="s">
        <v>2215</v>
      </c>
      <c r="Z538" s="70" t="s">
        <v>2215</v>
      </c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22</v>
      </c>
      <c r="P539" s="136" t="s">
        <v>2017</v>
      </c>
      <c r="Q539" s="31">
        <f t="shared" si="44"/>
        <v>6</v>
      </c>
      <c r="R539" s="32">
        <f t="shared" si="45"/>
        <v>0.7857142857142857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 t="s">
        <v>2215</v>
      </c>
      <c r="Y539" s="70" t="s">
        <v>2215</v>
      </c>
      <c r="Z539" s="70" t="s">
        <v>2215</v>
      </c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22</v>
      </c>
      <c r="P545" s="136" t="s">
        <v>2166</v>
      </c>
      <c r="Q545" s="131">
        <f t="shared" si="44"/>
        <v>6</v>
      </c>
      <c r="R545" s="132">
        <f t="shared" si="45"/>
        <v>0.7857142857142857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 t="s">
        <v>2215</v>
      </c>
      <c r="Y545" s="70" t="s">
        <v>2215</v>
      </c>
      <c r="Z545" s="70" t="s">
        <v>2215</v>
      </c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22</v>
      </c>
      <c r="P546" s="136" t="s">
        <v>2169</v>
      </c>
      <c r="Q546" s="131">
        <f t="shared" si="44"/>
        <v>6</v>
      </c>
      <c r="R546" s="132">
        <f t="shared" si="45"/>
        <v>0.7857142857142857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 t="s">
        <v>2215</v>
      </c>
      <c r="Y546" s="70" t="s">
        <v>2215</v>
      </c>
      <c r="Z546" s="70" t="s">
        <v>2215</v>
      </c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28</v>
      </c>
      <c r="P549" s="136" t="s">
        <v>2467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28</v>
      </c>
      <c r="P557" s="136" t="s">
        <v>2042</v>
      </c>
      <c r="Q557" s="31">
        <f t="shared" si="44"/>
        <v>0</v>
      </c>
      <c r="R557" s="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22</v>
      </c>
      <c r="P558" s="136" t="s">
        <v>2043</v>
      </c>
      <c r="Q558" s="131">
        <f t="shared" si="44"/>
        <v>6</v>
      </c>
      <c r="R558" s="132">
        <f t="shared" si="45"/>
        <v>0.7857142857142857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 t="s">
        <v>2215</v>
      </c>
      <c r="Y558" s="70" t="s">
        <v>2215</v>
      </c>
      <c r="Z558" s="70" t="s">
        <v>2215</v>
      </c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22</v>
      </c>
      <c r="P566" s="136" t="s">
        <v>2048</v>
      </c>
      <c r="Q566" s="131">
        <f t="shared" si="44"/>
        <v>6</v>
      </c>
      <c r="R566" s="132">
        <f t="shared" si="45"/>
        <v>0.7857142857142857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 t="s">
        <v>2215</v>
      </c>
      <c r="Y566" s="70" t="s">
        <v>2215</v>
      </c>
      <c r="Z566" s="70" t="s">
        <v>2215</v>
      </c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22</v>
      </c>
      <c r="P570" s="136"/>
      <c r="Q570" s="131">
        <f t="shared" si="44"/>
        <v>6</v>
      </c>
      <c r="R570" s="132">
        <f t="shared" si="45"/>
        <v>0.7857142857142857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 t="s">
        <v>2215</v>
      </c>
      <c r="Y570" s="70" t="s">
        <v>2215</v>
      </c>
      <c r="Z570" s="70" t="s">
        <v>2215</v>
      </c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26</v>
      </c>
      <c r="P579" s="136" t="s">
        <v>2054</v>
      </c>
      <c r="Q579" s="31">
        <f t="shared" si="44"/>
        <v>2</v>
      </c>
      <c r="R579" s="32">
        <f t="shared" si="45"/>
        <v>0.9285714285714286</v>
      </c>
      <c r="S579" s="70"/>
      <c r="T579" s="70"/>
      <c r="U579" s="70"/>
      <c r="V579" s="70"/>
      <c r="W579" s="70"/>
      <c r="X579" s="70"/>
      <c r="Y579" s="70" t="s">
        <v>2215</v>
      </c>
      <c r="Z579" s="70" t="s">
        <v>2215</v>
      </c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26</v>
      </c>
      <c r="P580" s="136" t="s">
        <v>2055</v>
      </c>
      <c r="Q580" s="31">
        <f t="shared" si="44"/>
        <v>2</v>
      </c>
      <c r="R580" s="32">
        <f t="shared" si="45"/>
        <v>0.9285714285714286</v>
      </c>
      <c r="S580" s="70"/>
      <c r="T580" s="70"/>
      <c r="U580" s="70"/>
      <c r="V580" s="70"/>
      <c r="W580" s="70"/>
      <c r="X580" s="70"/>
      <c r="Y580" s="70" t="s">
        <v>2215</v>
      </c>
      <c r="Z580" s="70" t="s">
        <v>2215</v>
      </c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2056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2215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22</v>
      </c>
      <c r="P582" s="136" t="s">
        <v>2057</v>
      </c>
      <c r="Q582" s="31">
        <f t="shared" si="44"/>
        <v>6</v>
      </c>
      <c r="R582" s="32">
        <f t="shared" si="45"/>
        <v>0.7857142857142857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 t="s">
        <v>2215</v>
      </c>
      <c r="Y582" s="70" t="s">
        <v>2215</v>
      </c>
      <c r="Z582" s="70" t="s">
        <v>2215</v>
      </c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28</v>
      </c>
      <c r="P588" s="136" t="s">
        <v>2145</v>
      </c>
      <c r="Q588" s="131">
        <f t="shared" si="44"/>
        <v>0</v>
      </c>
      <c r="R588" s="132">
        <f t="shared" si="45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27</v>
      </c>
      <c r="P591" s="136" t="s">
        <v>2147</v>
      </c>
      <c r="Q591" s="31">
        <f t="shared" si="44"/>
        <v>1</v>
      </c>
      <c r="R591" s="32">
        <f t="shared" si="45"/>
        <v>0.9642857142857143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27</v>
      </c>
      <c r="P604" s="136" t="s">
        <v>2066</v>
      </c>
      <c r="Q604" s="131">
        <f t="shared" si="47"/>
        <v>1</v>
      </c>
      <c r="R604" s="132">
        <f t="shared" si="48"/>
        <v>0.9642857142857143</v>
      </c>
      <c r="S604" s="71"/>
      <c r="T604" s="71"/>
      <c r="U604" s="71"/>
      <c r="V604" s="71"/>
      <c r="W604" s="71"/>
      <c r="X604" s="71"/>
      <c r="Y604" s="71"/>
      <c r="Z604" s="70" t="s">
        <v>2215</v>
      </c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193" priority="2244" operator="equal">
      <formula>$H$303</formula>
    </cfRule>
  </conditionalFormatting>
  <conditionalFormatting sqref="H1:H606">
    <cfRule type="cellIs" dxfId="192" priority="2241" operator="equal">
      <formula>"IPCOMS"</formula>
    </cfRule>
  </conditionalFormatting>
  <conditionalFormatting sqref="H281:H606">
    <cfRule type="cellIs" dxfId="191" priority="2245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190" priority="4908" operator="equal">
      <formula>$H$282</formula>
    </cfRule>
  </conditionalFormatting>
  <conditionalFormatting sqref="I20:I21">
    <cfRule type="cellIs" dxfId="189" priority="4907" operator="equal">
      <formula>$H$303</formula>
    </cfRule>
  </conditionalFormatting>
  <conditionalFormatting sqref="I164:I165 I225:I226 I261 I285:I290 I300:I302 I409:I413 I425:I427 I430:I431 H688:H1048576 I20:I21">
    <cfRule type="cellIs" dxfId="188" priority="4453" operator="equal">
      <formula>"IPCOMS"</formula>
    </cfRule>
  </conditionalFormatting>
  <conditionalFormatting sqref="J1:J576 J592:J606 J688:J1048576">
    <cfRule type="containsText" dxfId="187" priority="4914" operator="containsText" text="domo">
      <formula>NOT(ISERROR(SEARCH("domo",J1)))</formula>
    </cfRule>
    <cfRule type="containsText" dxfId="186" priority="4913" operator="containsText" text="fija">
      <formula>NOT(ISERROR(SEARCH("fija",J1)))</formula>
    </cfRule>
  </conditionalFormatting>
  <conditionalFormatting sqref="J34:J35 J162:N233 J237:N407">
    <cfRule type="containsText" dxfId="185" priority="4381" operator="containsText" text="Radio">
      <formula>NOT(ISERROR(SEARCH("Radio",J34)))</formula>
    </cfRule>
  </conditionalFormatting>
  <conditionalFormatting sqref="J135:J148 L148:N148">
    <cfRule type="containsText" dxfId="184" priority="4395" operator="containsText" text="Radio">
      <formula>NOT(ISERROR(SEARCH("Radio",J135)))</formula>
    </cfRule>
  </conditionalFormatting>
  <conditionalFormatting sqref="J409:J413">
    <cfRule type="containsText" dxfId="183" priority="4414" operator="containsText" text="Radio">
      <formula>NOT(ISERROR(SEARCH("Radio",J409)))</formula>
    </cfRule>
  </conditionalFormatting>
  <conditionalFormatting sqref="J578">
    <cfRule type="containsText" dxfId="182" priority="4854" operator="containsText" text="fija">
      <formula>NOT(ISERROR(SEARCH("fija",J578)))</formula>
    </cfRule>
    <cfRule type="containsText" dxfId="181" priority="4856" operator="containsText" text="Radio">
      <formula>NOT(ISERROR(SEARCH("Radio",J578)))</formula>
    </cfRule>
    <cfRule type="containsText" dxfId="180" priority="4855" operator="containsText" text="domo">
      <formula>NOT(ISERROR(SEARCH("domo",J578)))</formula>
    </cfRule>
  </conditionalFormatting>
  <conditionalFormatting sqref="J578:J579">
    <cfRule type="containsText" dxfId="179" priority="4850" operator="containsText" text="domo">
      <formula>NOT(ISERROR(SEARCH("domo",J578)))</formula>
    </cfRule>
    <cfRule type="containsText" dxfId="178" priority="4849" operator="containsText" text="fija">
      <formula>NOT(ISERROR(SEARCH("fija",J578)))</formula>
    </cfRule>
  </conditionalFormatting>
  <conditionalFormatting sqref="J579">
    <cfRule type="containsText" dxfId="177" priority="4848" operator="containsText" text="domo">
      <formula>NOT(ISERROR(SEARCH("domo",J579)))</formula>
    </cfRule>
    <cfRule type="containsText" dxfId="176" priority="4847" operator="containsText" text="fija">
      <formula>NOT(ISERROR(SEARCH("fija",J579)))</formula>
    </cfRule>
    <cfRule type="containsText" dxfId="175" priority="4851" operator="containsText" text="Radio">
      <formula>NOT(ISERROR(SEARCH("Radio",J579)))</formula>
    </cfRule>
  </conditionalFormatting>
  <conditionalFormatting sqref="J582">
    <cfRule type="containsText" dxfId="174" priority="4844" operator="containsText" text="fija">
      <formula>NOT(ISERROR(SEARCH("fija",J582)))</formula>
    </cfRule>
    <cfRule type="containsText" dxfId="173" priority="4845" operator="containsText" text="domo">
      <formula>NOT(ISERROR(SEARCH("domo",J582)))</formula>
    </cfRule>
    <cfRule type="containsText" dxfId="172" priority="4846" operator="containsText" text="Radio">
      <formula>NOT(ISERROR(SEARCH("Radio",J582)))</formula>
    </cfRule>
  </conditionalFormatting>
  <conditionalFormatting sqref="J582:J583">
    <cfRule type="containsText" dxfId="171" priority="4839" operator="containsText" text="fija">
      <formula>NOT(ISERROR(SEARCH("fija",J582)))</formula>
    </cfRule>
    <cfRule type="containsText" dxfId="170" priority="4840" operator="containsText" text="domo">
      <formula>NOT(ISERROR(SEARCH("domo",J582)))</formula>
    </cfRule>
  </conditionalFormatting>
  <conditionalFormatting sqref="J583 J48:N134 K135:K136 J235:K236 J408:K408 K409:K413 J414:N429 J430:K431 J432:N576 J688:N1048576 J592:N606 M408:N408 L408:L413">
    <cfRule type="containsText" dxfId="169" priority="4841" operator="containsText" text="Radio">
      <formula>NOT(ISERROR(SEARCH("Radio",J48)))</formula>
    </cfRule>
  </conditionalFormatting>
  <conditionalFormatting sqref="J583:J584">
    <cfRule type="containsText" dxfId="168" priority="4835" operator="containsText" text="domo">
      <formula>NOT(ISERROR(SEARCH("domo",J583)))</formula>
    </cfRule>
    <cfRule type="containsText" dxfId="167" priority="4834" operator="containsText" text="fija">
      <formula>NOT(ISERROR(SEARCH("fija",J583)))</formula>
    </cfRule>
  </conditionalFormatting>
  <conditionalFormatting sqref="J584">
    <cfRule type="containsText" dxfId="166" priority="4836" operator="containsText" text="Radio">
      <formula>NOT(ISERROR(SEARCH("Radio",J584)))</formula>
    </cfRule>
  </conditionalFormatting>
  <conditionalFormatting sqref="J584:J585">
    <cfRule type="containsText" dxfId="165" priority="4830" operator="containsText" text="domo">
      <formula>NOT(ISERROR(SEARCH("domo",J584)))</formula>
    </cfRule>
    <cfRule type="containsText" dxfId="164" priority="4829" operator="containsText" text="fija">
      <formula>NOT(ISERROR(SEARCH("fija",J584)))</formula>
    </cfRule>
  </conditionalFormatting>
  <conditionalFormatting sqref="J585">
    <cfRule type="containsText" dxfId="163" priority="4828" operator="containsText" text="domo">
      <formula>NOT(ISERROR(SEARCH("domo",J585)))</formula>
    </cfRule>
    <cfRule type="containsText" dxfId="162" priority="4827" operator="containsText" text="fija">
      <formula>NOT(ISERROR(SEARCH("fija",J585)))</formula>
    </cfRule>
    <cfRule type="containsText" dxfId="161" priority="4831" operator="containsText" text="Radio">
      <formula>NOT(ISERROR(SEARCH("Radio",J585)))</formula>
    </cfRule>
  </conditionalFormatting>
  <conditionalFormatting sqref="J587">
    <cfRule type="cellIs" dxfId="160" priority="2246" operator="equal">
      <formula>$J$10</formula>
    </cfRule>
  </conditionalFormatting>
  <conditionalFormatting sqref="J588:J606 J1:J586 J688:J1048576">
    <cfRule type="cellIs" dxfId="159" priority="4909" operator="equal">
      <formula>$J$10</formula>
    </cfRule>
  </conditionalFormatting>
  <conditionalFormatting sqref="J590">
    <cfRule type="containsText" dxfId="158" priority="5126" operator="containsText" text="domo">
      <formula>NOT(ISERROR(SEARCH("domo",J590)))</formula>
    </cfRule>
    <cfRule type="containsText" dxfId="157" priority="5125" operator="containsText" text="fija">
      <formula>NOT(ISERROR(SEARCH("fija",J590)))</formula>
    </cfRule>
  </conditionalFormatting>
  <conditionalFormatting sqref="J593:J596">
    <cfRule type="containsText" dxfId="156" priority="4858" operator="containsText" text="domo">
      <formula>NOT(ISERROR(SEARCH("domo",J593)))</formula>
    </cfRule>
    <cfRule type="containsText" dxfId="155" priority="4857" operator="containsText" text="fija">
      <formula>NOT(ISERROR(SEARCH("fija",J593)))</formula>
    </cfRule>
  </conditionalFormatting>
  <conditionalFormatting sqref="J234:K234">
    <cfRule type="containsText" dxfId="154" priority="4416" operator="containsText" text="Radio">
      <formula>NOT(ISERROR(SEARCH("Radio",J234)))</formula>
    </cfRule>
  </conditionalFormatting>
  <conditionalFormatting sqref="J37:L47">
    <cfRule type="containsText" dxfId="153" priority="4386" operator="containsText" text="Radio">
      <formula>NOT(ISERROR(SEARCH("Radio",J37)))</formula>
    </cfRule>
  </conditionalFormatting>
  <conditionalFormatting sqref="J1:N36">
    <cfRule type="containsText" dxfId="152" priority="4451" operator="containsText" text="Radio">
      <formula>NOT(ISERROR(SEARCH("Radio",J1)))</formula>
    </cfRule>
  </conditionalFormatting>
  <conditionalFormatting sqref="J149:N161">
    <cfRule type="containsText" dxfId="151" priority="4389" operator="containsText" text="Radio">
      <formula>NOT(ISERROR(SEARCH("Radio",J149)))</formula>
    </cfRule>
  </conditionalFormatting>
  <conditionalFormatting sqref="J590:N590 K591">
    <cfRule type="containsText" dxfId="150" priority="5382" operator="containsText" text="Radio">
      <formula>NOT(ISERROR(SEARCH("Radio",J590)))</formula>
    </cfRule>
  </conditionalFormatting>
  <conditionalFormatting sqref="K1:K136 K162:K586 K688:K1048576">
    <cfRule type="cellIs" dxfId="149" priority="4455" operator="equal">
      <formula>"GPON"</formula>
    </cfRule>
    <cfRule type="cellIs" dxfId="148" priority="4454" operator="equal">
      <formula>"GPON"</formula>
    </cfRule>
  </conditionalFormatting>
  <conditionalFormatting sqref="K139">
    <cfRule type="cellIs" dxfId="147" priority="4447" operator="equal">
      <formula>"PTP A FO"</formula>
    </cfRule>
    <cfRule type="cellIs" dxfId="146" priority="4443" operator="equal">
      <formula>"GPON"</formula>
    </cfRule>
    <cfRule type="containsText" dxfId="145" priority="4444" operator="containsText" text="Radio">
      <formula>NOT(ISERROR(SEARCH("Radio",K139)))</formula>
    </cfRule>
    <cfRule type="cellIs" dxfId="144" priority="4445" operator="equal">
      <formula>$K$13</formula>
    </cfRule>
    <cfRule type="cellIs" dxfId="143" priority="4446" operator="equal">
      <formula>"PTP A FO"</formula>
    </cfRule>
    <cfRule type="cellIs" dxfId="142" priority="4442" operator="equal">
      <formula>"GPON"</formula>
    </cfRule>
  </conditionalFormatting>
  <conditionalFormatting sqref="K142:K149">
    <cfRule type="cellIs" dxfId="141" priority="4421" operator="equal">
      <formula>"PTP A FO"</formula>
    </cfRule>
    <cfRule type="cellIs" dxfId="140" priority="4422" operator="equal">
      <formula>"PTP A FO"</formula>
    </cfRule>
    <cfRule type="containsText" dxfId="139" priority="4419" operator="containsText" text="Radio">
      <formula>NOT(ISERROR(SEARCH("Radio",K142)))</formula>
    </cfRule>
    <cfRule type="cellIs" dxfId="138" priority="4420" operator="equal">
      <formula>$K$13</formula>
    </cfRule>
  </conditionalFormatting>
  <conditionalFormatting sqref="K142:K161">
    <cfRule type="cellIs" dxfId="137" priority="4388" operator="equal">
      <formula>"GPON"</formula>
    </cfRule>
    <cfRule type="cellIs" dxfId="136" priority="4387" operator="equal">
      <formula>"GPON"</formula>
    </cfRule>
  </conditionalFormatting>
  <conditionalFormatting sqref="K146:K147">
    <cfRule type="cellIs" dxfId="135" priority="4383" operator="equal">
      <formula>$K$13</formula>
    </cfRule>
    <cfRule type="cellIs" dxfId="134" priority="4385" operator="equal">
      <formula>"PTP A FO"</formula>
    </cfRule>
    <cfRule type="containsText" dxfId="133" priority="4382" operator="containsText" text="Radio">
      <formula>NOT(ISERROR(SEARCH("Radio",K146)))</formula>
    </cfRule>
    <cfRule type="cellIs" dxfId="132" priority="4384" operator="equal">
      <formula>"PTP A FO"</formula>
    </cfRule>
  </conditionalFormatting>
  <conditionalFormatting sqref="K234:K236">
    <cfRule type="cellIs" dxfId="131" priority="4433" operator="equal">
      <formula>$K$13</formula>
    </cfRule>
    <cfRule type="cellIs" dxfId="130" priority="4435" operator="equal">
      <formula>"PTP A FO"</formula>
    </cfRule>
    <cfRule type="cellIs" dxfId="129" priority="4434" operator="equal">
      <formula>"PTP A FO"</formula>
    </cfRule>
  </conditionalFormatting>
  <conditionalFormatting sqref="K235:K236">
    <cfRule type="cellIs" dxfId="128" priority="4431" operator="equal">
      <formula>"PTP A FO"</formula>
    </cfRule>
    <cfRule type="cellIs" dxfId="127" priority="4429" operator="equal">
      <formula>$K$13</formula>
    </cfRule>
    <cfRule type="cellIs" dxfId="126" priority="4430" operator="equal">
      <formula>"PTP A FO"</formula>
    </cfRule>
  </conditionalFormatting>
  <conditionalFormatting sqref="K430:K431">
    <cfRule type="containsText" dxfId="125" priority="4438" operator="containsText" text="Radio">
      <formula>NOT(ISERROR(SEARCH("Radio",K430)))</formula>
    </cfRule>
    <cfRule type="cellIs" dxfId="124" priority="4439" operator="equal">
      <formula>$K$13</formula>
    </cfRule>
    <cfRule type="cellIs" dxfId="123" priority="4440" operator="equal">
      <formula>"PTP A FO"</formula>
    </cfRule>
    <cfRule type="cellIs" dxfId="122" priority="4441" operator="equal">
      <formula>"PTP A FO"</formula>
    </cfRule>
  </conditionalFormatting>
  <conditionalFormatting sqref="K577">
    <cfRule type="containsText" dxfId="121" priority="4504" operator="containsText" text="Radio">
      <formula>NOT(ISERROR(SEARCH("Radio",K577)))</formula>
    </cfRule>
    <cfRule type="cellIs" dxfId="120" priority="4505" operator="equal">
      <formula>"PTP A FO"</formula>
    </cfRule>
  </conditionalFormatting>
  <conditionalFormatting sqref="K587:K606">
    <cfRule type="cellIs" dxfId="119" priority="2243" operator="equal">
      <formula>"GPON"</formula>
    </cfRule>
    <cfRule type="cellIs" dxfId="118" priority="2242" operator="equal">
      <formula>"GPON"</formula>
    </cfRule>
  </conditionalFormatting>
  <conditionalFormatting sqref="K1:L134 K135:K136 K162:L233 K237:L429 K430:K431 K432:L576 K590:L590 K591 K592:L606 K688:L1048576">
    <cfRule type="cellIs" dxfId="117" priority="5106" operator="equal">
      <formula>"PTP A FO"</formula>
    </cfRule>
  </conditionalFormatting>
  <conditionalFormatting sqref="K1:L134 K135:K136 K162:L233 K237:L429 K430:K431 K432:L586 K588:L606 K688:L1048576">
    <cfRule type="cellIs" dxfId="116" priority="4911" operator="equal">
      <formula>"PTP A FO"</formula>
    </cfRule>
  </conditionalFormatting>
  <conditionalFormatting sqref="K1:L134 K135:K136 K237:L429 K430:K431 K432:L586 K588:L606 K688:L1048576 K162:L233">
    <cfRule type="cellIs" dxfId="115" priority="4910" operator="equal">
      <formula>$K$13</formula>
    </cfRule>
  </conditionalFormatting>
  <conditionalFormatting sqref="K149:L161">
    <cfRule type="cellIs" dxfId="114" priority="4392" operator="equal">
      <formula>"PTP A FO"</formula>
    </cfRule>
    <cfRule type="cellIs" dxfId="113" priority="4391" operator="equal">
      <formula>"PTP A FO"</formula>
    </cfRule>
    <cfRule type="cellIs" dxfId="112" priority="4390" operator="equal">
      <formula>$K$13</formula>
    </cfRule>
  </conditionalFormatting>
  <conditionalFormatting sqref="K587:L587">
    <cfRule type="cellIs" dxfId="111" priority="2248" operator="equal">
      <formula>"PTP A FO"</formula>
    </cfRule>
    <cfRule type="cellIs" dxfId="110" priority="2247" operator="equal">
      <formula>$K$13</formula>
    </cfRule>
  </conditionalFormatting>
  <conditionalFormatting sqref="L148">
    <cfRule type="cellIs" dxfId="109" priority="4398" operator="equal">
      <formula>"PTP A FO"</formula>
    </cfRule>
    <cfRule type="cellIs" dxfId="108" priority="4397" operator="equal">
      <formula>"PTP A FO"</formula>
    </cfRule>
    <cfRule type="cellIs" dxfId="107" priority="4396" operator="equal">
      <formula>$K$13</formula>
    </cfRule>
  </conditionalFormatting>
  <conditionalFormatting sqref="R7:R403 R405:R606">
    <cfRule type="cellIs" dxfId="106" priority="5342" operator="greaterThan">
      <formula>0.8</formula>
    </cfRule>
    <cfRule type="cellIs" dxfId="105" priority="5341" operator="lessThan">
      <formula>0.8</formula>
    </cfRule>
  </conditionalFormatting>
  <conditionalFormatting sqref="S36:T43">
    <cfRule type="cellIs" dxfId="104" priority="341" operator="equal">
      <formula>"APAGADO"</formula>
    </cfRule>
  </conditionalFormatting>
  <conditionalFormatting sqref="S423:T431">
    <cfRule type="cellIs" dxfId="103" priority="299" operator="equal">
      <formula>"APAGADO"</formula>
    </cfRule>
  </conditionalFormatting>
  <conditionalFormatting sqref="S350:U366">
    <cfRule type="cellIs" dxfId="102" priority="216" operator="equal">
      <formula>"APAGADO"</formula>
    </cfRule>
  </conditionalFormatting>
  <conditionalFormatting sqref="S409:U412">
    <cfRule type="cellIs" dxfId="101" priority="1437" operator="equal">
      <formula>"APAGADO"</formula>
    </cfRule>
  </conditionalFormatting>
  <conditionalFormatting sqref="S432:W432 Y432:AV432">
    <cfRule type="cellIs" dxfId="100" priority="3139" operator="equal">
      <formula>"APAGADO"</formula>
    </cfRule>
  </conditionalFormatting>
  <conditionalFormatting sqref="S413:Z414">
    <cfRule type="cellIs" dxfId="99" priority="29" operator="equal">
      <formula>"APAGADO"</formula>
    </cfRule>
  </conditionalFormatting>
  <conditionalFormatting sqref="S121:AA121">
    <cfRule type="cellIs" dxfId="98" priority="3232" operator="equal">
      <formula>"APAGADO"</formula>
    </cfRule>
  </conditionalFormatting>
  <conditionalFormatting sqref="S333:AT349">
    <cfRule type="cellIs" dxfId="97" priority="1" operator="equal">
      <formula>"APAGADO"</formula>
    </cfRule>
  </conditionalFormatting>
  <conditionalFormatting sqref="S367:AT403">
    <cfRule type="cellIs" dxfId="96" priority="32" operator="equal">
      <formula>"APAGADO"</formula>
    </cfRule>
  </conditionalFormatting>
  <conditionalFormatting sqref="S405:AT408">
    <cfRule type="cellIs" dxfId="95" priority="784" operator="equal">
      <formula>"APAGADO"</formula>
    </cfRule>
  </conditionalFormatting>
  <conditionalFormatting sqref="S8:AV35">
    <cfRule type="cellIs" dxfId="94" priority="349" operator="equal">
      <formula>"APAGADO"</formula>
    </cfRule>
  </conditionalFormatting>
  <conditionalFormatting sqref="S44:AV120">
    <cfRule type="cellIs" dxfId="93" priority="57" operator="equal">
      <formula>"APAGADO"</formula>
    </cfRule>
  </conditionalFormatting>
  <conditionalFormatting sqref="S122:AV233">
    <cfRule type="cellIs" dxfId="92" priority="45" operator="equal">
      <formula>"APAGADO"</formula>
    </cfRule>
  </conditionalFormatting>
  <conditionalFormatting sqref="S237:AV332">
    <cfRule type="cellIs" dxfId="91" priority="2" operator="equal">
      <formula>"APAGADO"</formula>
    </cfRule>
  </conditionalFormatting>
  <conditionalFormatting sqref="S415:AV422">
    <cfRule type="cellIs" dxfId="90" priority="25" operator="equal">
      <formula>"APAGADO"</formula>
    </cfRule>
  </conditionalFormatting>
  <conditionalFormatting sqref="S433:AV606">
    <cfRule type="cellIs" dxfId="89" priority="9" operator="equal">
      <formula>"APAGADO"</formula>
    </cfRule>
  </conditionalFormatting>
  <conditionalFormatting sqref="S688:AV764 AC688:AN1048576">
    <cfRule type="cellIs" dxfId="88" priority="4488" operator="equal">
      <formula>"apagado"</formula>
    </cfRule>
  </conditionalFormatting>
  <conditionalFormatting sqref="S688:AV1048576">
    <cfRule type="containsText" dxfId="87" priority="5038" operator="containsText" text="Caida">
      <formula>NOT(ISERROR(SEARCH("Caida",S688)))</formula>
    </cfRule>
    <cfRule type="notContainsText" dxfId="86" priority="5371" operator="notContains" text="Caida">
      <formula>ISERROR(SEARCH("Caida",S688))</formula>
    </cfRule>
  </conditionalFormatting>
  <conditionalFormatting sqref="U688:U1207">
    <cfRule type="cellIs" dxfId="85" priority="4670" operator="greaterThan">
      <formula>0.8</formula>
    </cfRule>
    <cfRule type="cellIs" dxfId="84" priority="4693" operator="greaterThan">
      <formula>0.8</formula>
    </cfRule>
    <cfRule type="cellIs" dxfId="83" priority="4797" operator="equal">
      <formula>"APAGADO"</formula>
    </cfRule>
    <cfRule type="containsText" dxfId="82" priority="4668" operator="containsText" text="Caida">
      <formula>NOT(ISERROR(SEARCH("Caida",U688)))</formula>
    </cfRule>
    <cfRule type="notContainsText" dxfId="81" priority="4667" operator="notContains" text="Caida">
      <formula>ISERROR(SEARCH("Caida",U688))</formula>
    </cfRule>
    <cfRule type="cellIs" dxfId="80" priority="4669" operator="lessThan">
      <formula>0.8</formula>
    </cfRule>
  </conditionalFormatting>
  <conditionalFormatting sqref="U688:U1048576">
    <cfRule type="cellIs" dxfId="79" priority="4687" operator="equal">
      <formula>$U$16</formula>
    </cfRule>
  </conditionalFormatting>
  <conditionalFormatting sqref="U37:W38">
    <cfRule type="cellIs" dxfId="78" priority="3200" operator="equal">
      <formula>"APAGADO"</formula>
    </cfRule>
  </conditionalFormatting>
  <conditionalFormatting sqref="U431:W431">
    <cfRule type="cellIs" dxfId="77" priority="1316" operator="equal">
      <formula>"APAGADO"</formula>
    </cfRule>
  </conditionalFormatting>
  <conditionalFormatting sqref="U39:AG40">
    <cfRule type="cellIs" dxfId="76" priority="1047" operator="equal">
      <formula>"APAGADO"</formula>
    </cfRule>
  </conditionalFormatting>
  <conditionalFormatting sqref="U36:AV36">
    <cfRule type="cellIs" dxfId="75" priority="624" operator="equal">
      <formula>"APAGADO"</formula>
    </cfRule>
  </conditionalFormatting>
  <conditionalFormatting sqref="U41:AV43">
    <cfRule type="cellIs" dxfId="74" priority="61" operator="equal">
      <formula>"APAGADO"</formula>
    </cfRule>
  </conditionalFormatting>
  <conditionalFormatting sqref="U423:AV429">
    <cfRule type="cellIs" dxfId="73" priority="24" operator="equal">
      <formula>"APAGADO"</formula>
    </cfRule>
  </conditionalFormatting>
  <conditionalFormatting sqref="V235:W235">
    <cfRule type="cellIs" dxfId="72" priority="3212" operator="equal">
      <formula>"APAGADO"</formula>
    </cfRule>
  </conditionalFormatting>
  <conditionalFormatting sqref="V350:AT356">
    <cfRule type="cellIs" dxfId="71" priority="33" operator="equal">
      <formula>"APAGADO"</formula>
    </cfRule>
  </conditionalFormatting>
  <conditionalFormatting sqref="V358:AT366">
    <cfRule type="cellIs" dxfId="70" priority="592" operator="equal">
      <formula>"APAGADO"</formula>
    </cfRule>
  </conditionalFormatting>
  <conditionalFormatting sqref="X431:X432">
    <cfRule type="cellIs" dxfId="69" priority="3068" operator="equal">
      <formula>"APAGADO"</formula>
    </cfRule>
  </conditionalFormatting>
  <conditionalFormatting sqref="X412:Z412">
    <cfRule type="cellIs" dxfId="68" priority="2787" operator="equal">
      <formula>"APAGADO"</formula>
    </cfRule>
  </conditionalFormatting>
  <conditionalFormatting sqref="X38:AG38">
    <cfRule type="cellIs" dxfId="67" priority="4264" operator="equal">
      <formula>"APAGADO"</formula>
    </cfRule>
  </conditionalFormatting>
  <conditionalFormatting sqref="X37:AJ37 AF234:AF236 V357:AH357 AJ357:AT357 AO688:AV1048576">
    <cfRule type="cellIs" dxfId="66" priority="4487" operator="equal">
      <formula>"APAGADO"</formula>
    </cfRule>
  </conditionalFormatting>
  <conditionalFormatting sqref="Y431:AO431">
    <cfRule type="cellIs" dxfId="65" priority="710" operator="equal">
      <formula>"APAGADO"</formula>
    </cfRule>
  </conditionalFormatting>
  <conditionalFormatting sqref="Y404:AT404">
    <cfRule type="cellIs" dxfId="64" priority="2788" operator="equal">
      <formula>"APAGADO"</formula>
    </cfRule>
  </conditionalFormatting>
  <conditionalFormatting sqref="AA413:AP413">
    <cfRule type="cellIs" dxfId="63" priority="215" operator="equal">
      <formula>"APAGADO"</formula>
    </cfRule>
  </conditionalFormatting>
  <conditionalFormatting sqref="AA414:AU414">
    <cfRule type="cellIs" dxfId="62" priority="2028" operator="equal">
      <formula>"APAGADO"</formula>
    </cfRule>
  </conditionalFormatting>
  <conditionalFormatting sqref="AC121:AV121">
    <cfRule type="cellIs" dxfId="61" priority="3400" operator="equal">
      <formula>"APAGADO"</formula>
    </cfRule>
  </conditionalFormatting>
  <conditionalFormatting sqref="AD412:AI412">
    <cfRule type="cellIs" dxfId="60" priority="1141" operator="equal">
      <formula>"APAGADO"</formula>
    </cfRule>
  </conditionalFormatting>
  <conditionalFormatting sqref="AH235:AI235">
    <cfRule type="cellIs" dxfId="59" priority="4269" operator="equal">
      <formula>"APAGADO"</formula>
    </cfRule>
  </conditionalFormatting>
  <conditionalFormatting sqref="AH38:AV40">
    <cfRule type="cellIs" dxfId="58" priority="473" operator="equal">
      <formula>"APAGADO"</formula>
    </cfRule>
  </conditionalFormatting>
  <conditionalFormatting sqref="AL235:AP235">
    <cfRule type="cellIs" dxfId="57" priority="3810" operator="equal">
      <formula>"APAGADO"</formula>
    </cfRule>
  </conditionalFormatting>
  <conditionalFormatting sqref="AL412:AP412">
    <cfRule type="cellIs" dxfId="56" priority="834" operator="equal">
      <formula>"APAGADO"</formula>
    </cfRule>
  </conditionalFormatting>
  <conditionalFormatting sqref="AL37:AV37">
    <cfRule type="cellIs" dxfId="55" priority="3407" operator="equal">
      <formula>"APAGADO"</formula>
    </cfRule>
  </conditionalFormatting>
  <conditionalFormatting sqref="AR413:AU413">
    <cfRule type="cellIs" dxfId="54" priority="501" operator="equal">
      <formula>"APAGADO"</formula>
    </cfRule>
  </conditionalFormatting>
  <conditionalFormatting sqref="AR431:AU431">
    <cfRule type="cellIs" dxfId="53" priority="1602" operator="equal">
      <formula>"APAGADO"</formula>
    </cfRule>
  </conditionalFormatting>
  <conditionalFormatting sqref="AR235:AV235">
    <cfRule type="cellIs" dxfId="52" priority="3381" operator="equal">
      <formula>"APAGADO"</formula>
    </cfRule>
  </conditionalFormatting>
  <conditionalFormatting sqref="AU333:AV408">
    <cfRule type="cellIs" dxfId="51" priority="415" operator="equal">
      <formula>"APAGADO"</formula>
    </cfRule>
  </conditionalFormatting>
  <conditionalFormatting sqref="AV412:AV414">
    <cfRule type="cellIs" dxfId="50" priority="45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 t="str">
        <f>'RESUMEN TOTAL'!Y163</f>
        <v>APAGADO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 t="str">
        <f>'RESUMEN TOTAL'!Y176</f>
        <v>APAGADO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 t="str">
        <f>'RESUMEN TOTAL'!Y177</f>
        <v>APAGADO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 t="str">
        <f>'RESUMEN TOTAL'!Y178</f>
        <v>APAGADO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 t="str">
        <f>'RESUMEN TOTAL'!Y181</f>
        <v>APAGADO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 t="str">
        <f>'RESUMEN TOTAL'!X182</f>
        <v>APAGADO</v>
      </c>
      <c r="L136" s="70" t="str">
        <f>'RESUMEN TOTAL'!Y182</f>
        <v>APAGADO</v>
      </c>
      <c r="M136" s="70" t="str">
        <f>'RESUMEN TOTAL'!Z182</f>
        <v>APAGADO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 t="str">
        <f>'RESUMEN TOTAL'!Y184</f>
        <v>APAGADO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 t="str">
        <f>'RESUMEN TOTAL'!Y185</f>
        <v>APAGADO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 t="str">
        <f>'RESUMEN TOTAL'!Z187</f>
        <v>APAGADO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 t="str">
        <f>'RESUMEN TOTAL'!Y188</f>
        <v>APAGADO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 t="str">
        <f>'RESUMEN TOTAL'!Y189</f>
        <v>APAGADO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 t="str">
        <f>'RESUMEN TOTAL'!X207</f>
        <v>APAGADO</v>
      </c>
      <c r="L155" s="70" t="str">
        <f>'RESUMEN TOTAL'!Y207</f>
        <v>APAGADO</v>
      </c>
      <c r="M155" s="70" t="str">
        <f>'RESUMEN TOTAL'!Z207</f>
        <v>APAGADO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 t="str">
        <f>'RESUMEN TOTAL'!X209</f>
        <v>APAGADO</v>
      </c>
      <c r="L157" s="70" t="str">
        <f>'RESUMEN TOTAL'!Y209</f>
        <v>APAGADO</v>
      </c>
      <c r="M157" s="70" t="str">
        <f>'RESUMEN TOTAL'!Z209</f>
        <v>APAGADO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 t="str">
        <f>'RESUMEN TOTAL'!X211</f>
        <v>APAGADO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 t="str">
        <f>'RESUMEN TOTAL'!X212</f>
        <v>APAGADO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 t="str">
        <f>'RESUMEN TOTAL'!X214</f>
        <v>APAGADO</v>
      </c>
      <c r="L162" s="70" t="str">
        <f>'RESUMEN TOTAL'!Y214</f>
        <v>APAGADO</v>
      </c>
      <c r="M162" s="70" t="str">
        <f>'RESUMEN TOTAL'!Z214</f>
        <v>APAGADO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 t="str">
        <f>'RESUMEN TOTAL'!X252</f>
        <v>APAGADO</v>
      </c>
      <c r="L190" s="70" t="str">
        <f>'RESUMEN TOTAL'!Y252</f>
        <v>APAGADO</v>
      </c>
      <c r="M190" s="70" t="str">
        <f>'RESUMEN TOTAL'!Z252</f>
        <v>APAGADO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 t="str">
        <f>'RESUMEN TOTAL'!X254</f>
        <v>APAGADO</v>
      </c>
      <c r="L192" s="70" t="str">
        <f>'RESUMEN TOTAL'!Y254</f>
        <v>APAGADO</v>
      </c>
      <c r="M192" s="70" t="str">
        <f>'RESUMEN TOTAL'!Z254</f>
        <v>APAGADO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 t="str">
        <f>'RESUMEN TOTAL'!X255</f>
        <v>APAGADO</v>
      </c>
      <c r="L193" s="70" t="str">
        <f>'RESUMEN TOTAL'!Y255</f>
        <v>APAGADO</v>
      </c>
      <c r="M193" s="70" t="str">
        <f>'RESUMEN TOTAL'!Z255</f>
        <v>APAGADO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 t="str">
        <f>'RESUMEN TOTAL'!X256</f>
        <v>APAGADO</v>
      </c>
      <c r="L194" s="70" t="str">
        <f>'RESUMEN TOTAL'!Y256</f>
        <v>APAGADO</v>
      </c>
      <c r="M194" s="70" t="str">
        <f>'RESUMEN TOTAL'!Z256</f>
        <v>APAGADO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>
        <f>'RESUMEN TOTAL'!AE292</f>
        <v>0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>
        <f>'RESUMEN TOTAL'!AE293</f>
        <v>0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>
        <f>'RESUMEN TOTAL'!AE294</f>
        <v>0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>
        <f>'RESUMEN TOTAL'!AE295</f>
        <v>0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 t="str">
        <f>'RESUMEN TOTAL'!Y303</f>
        <v>APAGADO</v>
      </c>
      <c r="M227" s="70" t="str">
        <f>'RESUMEN TOTAL'!Z303</f>
        <v>APAGADO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>
        <f>'RESUMEN TOTAL'!AE303</f>
        <v>0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 t="str">
        <f>'RESUMEN TOTAL'!Y304</f>
        <v>APAGADO</v>
      </c>
      <c r="M228" s="70" t="str">
        <f>'RESUMEN TOTAL'!Z304</f>
        <v>APAGADO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 t="str">
        <f>'RESUMEN TOTAL'!Y305</f>
        <v>APAGADO</v>
      </c>
      <c r="M229" s="70" t="str">
        <f>'RESUMEN TOTAL'!Z305</f>
        <v>APAGADO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 t="str">
        <f>'RESUMEN TOTAL'!Y306</f>
        <v>APAGADO</v>
      </c>
      <c r="M230" s="70" t="str">
        <f>'RESUMEN TOTAL'!Z306</f>
        <v>APAGADO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 t="str">
        <f>'RESUMEN TOTAL'!Y307</f>
        <v>APAGADO</v>
      </c>
      <c r="M231" s="70" t="str">
        <f>'RESUMEN TOTAL'!Z307</f>
        <v>APAGADO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>
        <f>'RESUMEN TOTAL'!AE309</f>
        <v>0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>
        <f>'RESUMEN TOTAL'!AE310</f>
        <v>0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>
        <f>'RESUMEN TOTAL'!AE317</f>
        <v>0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 t="str">
        <f>'RESUMEN TOTAL'!X321</f>
        <v>APAGADO</v>
      </c>
      <c r="L244" s="70" t="str">
        <f>'RESUMEN TOTAL'!Y321</f>
        <v>APAGADO</v>
      </c>
      <c r="M244" s="70" t="str">
        <f>'RESUMEN TOTAL'!Z321</f>
        <v>APAGADO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>
        <f>'RESUMEN TOTAL'!AE321</f>
        <v>0</v>
      </c>
      <c r="S244" s="70">
        <f>'RESUMEN TOTAL'!AF321</f>
        <v>0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 t="str">
        <f>'RESUMEN TOTAL'!X323</f>
        <v>APAGADO</v>
      </c>
      <c r="L246" s="70" t="str">
        <f>'RESUMEN TOTAL'!Y323</f>
        <v>APAGADO</v>
      </c>
      <c r="M246" s="70" t="str">
        <f>'RESUMEN TOTAL'!Z323</f>
        <v>APAGADO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>
        <f>'RESUMEN TOTAL'!AE323</f>
        <v>0</v>
      </c>
      <c r="S246" s="70">
        <f>'RESUMEN TOTAL'!AF323</f>
        <v>0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 t="str">
        <f>'RESUMEN TOTAL'!X324</f>
        <v>APAGADO</v>
      </c>
      <c r="L247" s="70" t="str">
        <f>'RESUMEN TOTAL'!Y324</f>
        <v>APAGADO</v>
      </c>
      <c r="M247" s="70" t="str">
        <f>'RESUMEN TOTAL'!Z324</f>
        <v>APAGADO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>
        <f>'RESUMEN TOTAL'!AF324</f>
        <v>0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 t="str">
        <f>'RESUMEN TOTAL'!X330</f>
        <v>APAGADO</v>
      </c>
      <c r="L253" s="70" t="str">
        <f>'RESUMEN TOTAL'!Y330</f>
        <v>APAGADO</v>
      </c>
      <c r="M253" s="70" t="str">
        <f>'RESUMEN TOTAL'!Z330</f>
        <v>APAGADO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>
        <f>'RESUMEN TOTAL'!AE330</f>
        <v>0</v>
      </c>
      <c r="S253" s="70">
        <f>'RESUMEN TOTAL'!AF330</f>
        <v>0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 t="str">
        <f>'RESUMEN TOTAL'!X331</f>
        <v>APAGADO</v>
      </c>
      <c r="L254" s="70" t="str">
        <f>'RESUMEN TOTAL'!Y331</f>
        <v>APAGADO</v>
      </c>
      <c r="M254" s="70" t="str">
        <f>'RESUMEN TOTAL'!Z331</f>
        <v>APAGADO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>
        <f>'RESUMEN TOTAL'!AE331</f>
        <v>0</v>
      </c>
      <c r="S254" s="70">
        <f>'RESUMEN TOTAL'!AF331</f>
        <v>0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 t="str">
        <f>'RESUMEN TOTAL'!X332</f>
        <v>APAGADO</v>
      </c>
      <c r="L255" s="70" t="str">
        <f>'RESUMEN TOTAL'!Y332</f>
        <v>APAGADO</v>
      </c>
      <c r="M255" s="70" t="str">
        <f>'RESUMEN TOTAL'!Z332</f>
        <v>APAGADO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>
        <f>'RESUMEN TOTAL'!AE332</f>
        <v>0</v>
      </c>
      <c r="S255" s="70">
        <f>'RESUMEN TOTAL'!AF332</f>
        <v>0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 t="str">
        <f>'RESUMEN TOTAL'!X335</f>
        <v>APAGADO</v>
      </c>
      <c r="L258" s="70">
        <f>'RESUMEN TOTAL'!Y335</f>
        <v>0</v>
      </c>
      <c r="M258" s="70" t="str">
        <f>'RESUMEN TOTAL'!Z335</f>
        <v>APAGADO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>
        <f>'RESUMEN TOTAL'!AE335</f>
        <v>0</v>
      </c>
      <c r="S258" s="70">
        <f>'RESUMEN TOTAL'!AF335</f>
        <v>0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 t="str">
        <f>'RESUMEN TOTAL'!Z341</f>
        <v>APAGADO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>
        <f>'RESUMEN TOTAL'!AE341</f>
        <v>0</v>
      </c>
      <c r="S264" s="70">
        <f>'RESUMEN TOTAL'!AF341</f>
        <v>0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 t="str">
        <f>'RESUMEN TOTAL'!Z342</f>
        <v>APAGADO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>
        <f>'RESUMEN TOTAL'!AE342</f>
        <v>0</v>
      </c>
      <c r="S265" s="70">
        <f>'RESUMEN TOTAL'!AF342</f>
        <v>0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 t="str">
        <f>'RESUMEN TOTAL'!X351</f>
        <v>APAGADO</v>
      </c>
      <c r="L267" s="70" t="str">
        <f>'RESUMEN TOTAL'!Y351</f>
        <v>APAGADO</v>
      </c>
      <c r="M267" s="70" t="str">
        <f>'RESUMEN TOTAL'!Z351</f>
        <v>APAGADO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 t="str">
        <f>'RESUMEN TOTAL'!X354</f>
        <v>APAGADO</v>
      </c>
      <c r="L270" s="70" t="str">
        <f>'RESUMEN TOTAL'!Y354</f>
        <v>APAGADO</v>
      </c>
      <c r="M270" s="70" t="str">
        <f>'RESUMEN TOTAL'!Z354</f>
        <v>APAGADO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>
        <f>'RESUMEN TOTAL'!AF369</f>
        <v>0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>
        <f>'RESUMEN TOTAL'!AE370</f>
        <v>0</v>
      </c>
      <c r="S282" s="70">
        <f>'RESUMEN TOTAL'!AF370</f>
        <v>0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>
        <f>'RESUMEN TOTAL'!AE371</f>
        <v>0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>
        <f>'RESUMEN TOTAL'!AE372</f>
        <v>0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>
        <f>'RESUMEN TOTAL'!AE375</f>
        <v>0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>
        <f>'RESUMEN TOTAL'!AE376</f>
        <v>0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>
        <f>'RESUMEN TOTAL'!AE384</f>
        <v>0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>
        <f>'RESUMEN TOTAL'!AE388</f>
        <v>0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>
        <f>'RESUMEN TOTAL'!AE393</f>
        <v>0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 t="str">
        <f>'RESUMEN TOTAL'!X414</f>
        <v>APAGADO</v>
      </c>
      <c r="L316" s="70" t="str">
        <f>'RESUMEN TOTAL'!Y414</f>
        <v>APAGADO</v>
      </c>
      <c r="M316" s="70" t="str">
        <f>'RESUMEN TOTAL'!Z414</f>
        <v>APAGADO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>
        <f>'RESUMEN TOTAL'!AE415</f>
        <v>0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 t="str">
        <f>'RESUMEN TOTAL'!X417</f>
        <v>APAGADO</v>
      </c>
      <c r="L319" s="70" t="str">
        <f>'RESUMEN TOTAL'!Y417</f>
        <v>APAGADO</v>
      </c>
      <c r="M319" s="70" t="str">
        <f>'RESUMEN TOTAL'!Z417</f>
        <v>APAGADO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>
        <f>'RESUMEN TOTAL'!AE417</f>
        <v>0</v>
      </c>
      <c r="S319" s="70">
        <f>'RESUMEN TOTAL'!AF417</f>
        <v>0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 t="str">
        <f>'RESUMEN TOTAL'!X419</f>
        <v>APAGADO</v>
      </c>
      <c r="L321" s="70" t="str">
        <f>'RESUMEN TOTAL'!Y419</f>
        <v>APAGADO</v>
      </c>
      <c r="M321" s="70" t="str">
        <f>'RESUMEN TOTAL'!Z419</f>
        <v>APAGADO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>
        <f>'RESUMEN TOTAL'!AE419</f>
        <v>0</v>
      </c>
      <c r="S321" s="70">
        <f>'RESUMEN TOTAL'!AF419</f>
        <v>0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 t="str">
        <f>'RESUMEN TOTAL'!X420</f>
        <v>APAGADO</v>
      </c>
      <c r="L322" s="70" t="str">
        <f>'RESUMEN TOTAL'!Y420</f>
        <v>APAGADO</v>
      </c>
      <c r="M322" s="70" t="str">
        <f>'RESUMEN TOTAL'!Z420</f>
        <v>APAGADO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>
        <f>'RESUMEN TOTAL'!AE420</f>
        <v>0</v>
      </c>
      <c r="S322" s="70">
        <f>'RESUMEN TOTAL'!AF420</f>
        <v>0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 t="str">
        <f>'RESUMEN TOTAL'!X421</f>
        <v>APAGADO</v>
      </c>
      <c r="L323" s="70" t="str">
        <f>'RESUMEN TOTAL'!Y421</f>
        <v>APAGADO</v>
      </c>
      <c r="M323" s="70" t="str">
        <f>'RESUMEN TOTAL'!Z421</f>
        <v>APAGADO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>
        <f>'RESUMEN TOTAL'!AE421</f>
        <v>0</v>
      </c>
      <c r="S323" s="70">
        <f>'RESUMEN TOTAL'!AF421</f>
        <v>0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 t="str">
        <f>'RESUMEN TOTAL'!X422</f>
        <v>APAGADO</v>
      </c>
      <c r="L324" s="70" t="str">
        <f>'RESUMEN TOTAL'!Y422</f>
        <v>APAGADO</v>
      </c>
      <c r="M324" s="70" t="str">
        <f>'RESUMEN TOTAL'!Z422</f>
        <v>APAGADO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>
        <f>'RESUMEN TOTAL'!AE422</f>
        <v>0</v>
      </c>
      <c r="S324" s="70">
        <f>'RESUMEN TOTAL'!AF422</f>
        <v>0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>
        <f>'RESUMEN TOTAL'!AE432</f>
        <v>0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>
        <f>'RESUMEN TOTAL'!AE433</f>
        <v>0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 t="str">
        <f>'RESUMEN TOTAL'!X434</f>
        <v>APAGADO</v>
      </c>
      <c r="L329" s="70" t="str">
        <f>'RESUMEN TOTAL'!Y434</f>
        <v>APAGADO</v>
      </c>
      <c r="M329" s="70" t="str">
        <f>'RESUMEN TOTAL'!Z434</f>
        <v>APAGADO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>
        <f>'RESUMEN TOTAL'!AE437</f>
        <v>0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 t="str">
        <f>'RESUMEN TOTAL'!X438</f>
        <v>APAGADO</v>
      </c>
      <c r="L333" s="70" t="str">
        <f>'RESUMEN TOTAL'!Y438</f>
        <v>APAGADO</v>
      </c>
      <c r="M333" s="70" t="str">
        <f>'RESUMEN TOTAL'!Z438</f>
        <v>APAGADO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>
        <f>'RESUMEN TOTAL'!AE438</f>
        <v>0</v>
      </c>
      <c r="S333" s="70">
        <f>'RESUMEN TOTAL'!AF438</f>
        <v>0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 t="str">
        <f>'RESUMEN TOTAL'!X440</f>
        <v>APAGADO</v>
      </c>
      <c r="L335" s="70" t="str">
        <f>'RESUMEN TOTAL'!Y440</f>
        <v>APAGADO</v>
      </c>
      <c r="M335" s="70" t="str">
        <f>'RESUMEN TOTAL'!Z440</f>
        <v>APAGADO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 t="str">
        <f>'RESUMEN TOTAL'!X450</f>
        <v>APAGADO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 t="str">
        <f>'RESUMEN TOTAL'!Z458</f>
        <v>APAGADO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>
        <f>'RESUMEN TOTAL'!AE458</f>
        <v>0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>
        <f>'RESUMEN TOTAL'!AE461</f>
        <v>0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 t="str">
        <f>'RESUMEN TOTAL'!X462</f>
        <v>APAGADO</v>
      </c>
      <c r="L354" s="70" t="str">
        <f>'RESUMEN TOTAL'!Y462</f>
        <v>APAGADO</v>
      </c>
      <c r="M354" s="70" t="str">
        <f>'RESUMEN TOTAL'!Z462</f>
        <v>APAGADO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>
        <f>'RESUMEN TOTAL'!AE462</f>
        <v>0</v>
      </c>
      <c r="S354" s="70">
        <f>'RESUMEN TOTAL'!AF462</f>
        <v>0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 t="str">
        <f>'RESUMEN TOTAL'!X465</f>
        <v>APAGADO</v>
      </c>
      <c r="L357" s="70" t="str">
        <f>'RESUMEN TOTAL'!Y465</f>
        <v>APAGADO</v>
      </c>
      <c r="M357" s="70" t="str">
        <f>'RESUMEN TOTAL'!Z465</f>
        <v>APAGADO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>
        <f>'RESUMEN TOTAL'!AE465</f>
        <v>0</v>
      </c>
      <c r="S357" s="70">
        <f>'RESUMEN TOTAL'!AF465</f>
        <v>0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 t="str">
        <f>'RESUMEN TOTAL'!X466</f>
        <v>APAGADO</v>
      </c>
      <c r="L358" s="70" t="str">
        <f>'RESUMEN TOTAL'!Y466</f>
        <v>APAGADO</v>
      </c>
      <c r="M358" s="70" t="str">
        <f>'RESUMEN TOTAL'!Z466</f>
        <v>APAGADO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>
        <f>'RESUMEN TOTAL'!AE466</f>
        <v>0</v>
      </c>
      <c r="S358" s="70">
        <f>'RESUMEN TOTAL'!AF466</f>
        <v>0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 t="str">
        <f>'RESUMEN TOTAL'!X476</f>
        <v>APAGADO</v>
      </c>
      <c r="L361" s="70" t="str">
        <f>'RESUMEN TOTAL'!Y476</f>
        <v>APAGADO</v>
      </c>
      <c r="M361" s="70" t="str">
        <f>'RESUMEN TOTAL'!Z476</f>
        <v>APAGADO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>
        <f>'RESUMEN TOTAL'!AE476</f>
        <v>0</v>
      </c>
      <c r="S361" s="70">
        <f>'RESUMEN TOTAL'!AF476</f>
        <v>0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 t="str">
        <f>'RESUMEN TOTAL'!X477</f>
        <v>APAGADO</v>
      </c>
      <c r="L362" s="70" t="str">
        <f>'RESUMEN TOTAL'!Y477</f>
        <v>APAGADO</v>
      </c>
      <c r="M362" s="70" t="str">
        <f>'RESUMEN TOTAL'!Z477</f>
        <v>APAGADO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>
        <f>'RESUMEN TOTAL'!AE477</f>
        <v>0</v>
      </c>
      <c r="S362" s="70">
        <f>'RESUMEN TOTAL'!AF477</f>
        <v>0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 t="str">
        <f>'RESUMEN TOTAL'!X478</f>
        <v>APAGADO</v>
      </c>
      <c r="L363" s="70" t="str">
        <f>'RESUMEN TOTAL'!Y478</f>
        <v>APAGADO</v>
      </c>
      <c r="M363" s="70" t="str">
        <f>'RESUMEN TOTAL'!Z478</f>
        <v>APAGADO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>
        <f>'RESUMEN TOTAL'!AE478</f>
        <v>0</v>
      </c>
      <c r="S363" s="70">
        <f>'RESUMEN TOTAL'!AF478</f>
        <v>0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>
        <f>'RESUMEN TOTAL'!AE482</f>
        <v>0</v>
      </c>
      <c r="S365" s="70">
        <f>'RESUMEN TOTAL'!AF482</f>
        <v>0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>
        <f>'RESUMEN TOTAL'!AE484</f>
        <v>0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>
        <f>'RESUMEN TOTAL'!AE485</f>
        <v>0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>
        <f>'RESUMEN TOTAL'!AE501</f>
        <v>0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>
        <f>'RESUMEN TOTAL'!AF509</f>
        <v>0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>
        <f>'RESUMEN TOTAL'!AE523</f>
        <v>0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>
        <f>'RESUMEN TOTAL'!AE524</f>
        <v>0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>
        <f>'RESUMEN TOTAL'!AE535</f>
        <v>0</v>
      </c>
      <c r="S411" s="70">
        <f>'RESUMEN TOTAL'!AF535</f>
        <v>0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>
        <f>'RESUMEN TOTAL'!AE538</f>
        <v>0</v>
      </c>
      <c r="S414" s="70">
        <f>'RESUMEN TOTAL'!AF538</f>
        <v>0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>
        <f>'RESUMEN TOTAL'!AE539</f>
        <v>0</v>
      </c>
      <c r="S415" s="70">
        <f>'RESUMEN TOTAL'!AF539</f>
        <v>0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>
        <f>'RESUMEN TOTAL'!AE549</f>
        <v>0</v>
      </c>
      <c r="S420" s="70">
        <f>'RESUMEN TOTAL'!AF549</f>
        <v>0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>
        <f>'RESUMEN TOTAL'!AE557</f>
        <v>0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>
        <f>'RESUMEN TOTAL'!AE558</f>
        <v>0</v>
      </c>
      <c r="S428" s="70">
        <f>'RESUMEN TOTAL'!AF558</f>
        <v>0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>
        <f>'RESUMEN TOTAL'!AE566</f>
        <v>0</v>
      </c>
      <c r="S435" s="70">
        <f>'RESUMEN TOTAL'!AF566</f>
        <v>0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>
        <f>'RESUMEN TOTAL'!AE570</f>
        <v>0</v>
      </c>
      <c r="S436" s="70">
        <f>'RESUMEN TOTAL'!AF570</f>
        <v>0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>
        <f>'RESUMEN TOTAL'!AE582</f>
        <v>0</v>
      </c>
      <c r="S446" s="70">
        <f>'RESUMEN TOTAL'!AF582</f>
        <v>0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>
        <f>'RESUMEN TOTAL'!AE591</f>
        <v>0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68" zoomScaleNormal="100" workbookViewId="0">
      <selection activeCell="D88" sqref="D8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1439</v>
      </c>
      <c r="B58" s="53" t="s">
        <v>6</v>
      </c>
      <c r="C58" s="66">
        <f>'RESUMEN TOTAL'!X3</f>
        <v>67</v>
      </c>
      <c r="D58" s="54"/>
      <c r="E58" s="55">
        <f>C58/C57</f>
        <v>0.11204013377926421</v>
      </c>
      <c r="F58" s="159"/>
    </row>
    <row r="59" spans="1:6" x14ac:dyDescent="0.25">
      <c r="B59" s="53" t="s">
        <v>1217</v>
      </c>
      <c r="C59" s="67">
        <v>9</v>
      </c>
      <c r="D59" s="100">
        <f>C58-C59</f>
        <v>58</v>
      </c>
      <c r="E59" s="55">
        <f>D59/C57</f>
        <v>9.6989966555183951E-2</v>
      </c>
      <c r="F59" s="159"/>
    </row>
    <row r="60" spans="1:6" x14ac:dyDescent="0.25">
      <c r="B60" s="53" t="s">
        <v>1218</v>
      </c>
      <c r="C60" s="67">
        <v>8</v>
      </c>
      <c r="D60" s="100">
        <f>D59-C60</f>
        <v>50</v>
      </c>
      <c r="E60" s="55">
        <f>D60/C57</f>
        <v>8.3612040133779264E-2</v>
      </c>
      <c r="F60" s="159"/>
    </row>
    <row r="61" spans="1:6" x14ac:dyDescent="0.25">
      <c r="A61" t="s">
        <v>1439</v>
      </c>
      <c r="B61" s="53" t="s">
        <v>15</v>
      </c>
      <c r="C61" s="91">
        <v>2</v>
      </c>
      <c r="D61" s="100">
        <f>D60-C61</f>
        <v>48</v>
      </c>
      <c r="E61" s="55">
        <f>D61/C57</f>
        <v>8.0267558528428096E-2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1440</v>
      </c>
      <c r="B69" s="53" t="s">
        <v>6</v>
      </c>
      <c r="C69" s="66">
        <f>'RESUMEN TOTAL'!Y3</f>
        <v>82</v>
      </c>
      <c r="D69" s="54"/>
      <c r="E69" s="55">
        <f>C69/C68</f>
        <v>0.13712374581939799</v>
      </c>
      <c r="F69" s="159"/>
    </row>
    <row r="70" spans="1:6" x14ac:dyDescent="0.25">
      <c r="B70" s="53" t="s">
        <v>1217</v>
      </c>
      <c r="C70" s="67">
        <v>15</v>
      </c>
      <c r="D70" s="100">
        <f>C69-C70</f>
        <v>67</v>
      </c>
      <c r="E70" s="55">
        <f>D70/C68</f>
        <v>0.11204013377926421</v>
      </c>
      <c r="F70" s="159"/>
    </row>
    <row r="71" spans="1:6" x14ac:dyDescent="0.25">
      <c r="B71" s="53" t="s">
        <v>1218</v>
      </c>
      <c r="C71" s="67">
        <v>8</v>
      </c>
      <c r="D71" s="100">
        <f>D70-C71</f>
        <v>59</v>
      </c>
      <c r="E71" s="55">
        <f>D71/C68</f>
        <v>9.8662207357859535E-2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2</v>
      </c>
      <c r="D72" s="100">
        <f>D71-C72</f>
        <v>57</v>
      </c>
      <c r="E72" s="55">
        <f>D72/C68</f>
        <v>9.5317725752508367E-2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46211</v>
      </c>
    </row>
    <row r="80" spans="1:6" x14ac:dyDescent="0.25">
      <c r="A80" t="s">
        <v>1435</v>
      </c>
      <c r="B80" s="53" t="s">
        <v>6</v>
      </c>
      <c r="C80" s="66">
        <f>'RESUMEN TOTAL'!Z3</f>
        <v>88</v>
      </c>
      <c r="D80" s="54"/>
      <c r="E80" s="55">
        <f>C80/C79</f>
        <v>0.14715719063545152</v>
      </c>
      <c r="F80" s="159"/>
    </row>
    <row r="81" spans="1:6" x14ac:dyDescent="0.25">
      <c r="B81" s="53" t="s">
        <v>1217</v>
      </c>
      <c r="C81" s="67">
        <v>9</v>
      </c>
      <c r="D81" s="100">
        <f>C80-C81</f>
        <v>79</v>
      </c>
      <c r="E81" s="55">
        <f>D81/C79</f>
        <v>0.13210702341137123</v>
      </c>
      <c r="F81" s="159"/>
    </row>
    <row r="82" spans="1:6" x14ac:dyDescent="0.25">
      <c r="B82" s="53" t="s">
        <v>1218</v>
      </c>
      <c r="C82" s="67">
        <v>8</v>
      </c>
      <c r="D82" s="100">
        <f>D81-C82</f>
        <v>71</v>
      </c>
      <c r="E82" s="55">
        <f>D82/C79</f>
        <v>0.11872909698996656</v>
      </c>
      <c r="F82" s="159"/>
    </row>
    <row r="83" spans="1:6" x14ac:dyDescent="0.25">
      <c r="A83" t="s">
        <v>1435</v>
      </c>
      <c r="B83" s="53" t="s">
        <v>15</v>
      </c>
      <c r="C83" s="91">
        <v>7</v>
      </c>
      <c r="D83" s="100">
        <f>D82-C83</f>
        <v>64</v>
      </c>
      <c r="E83" s="55">
        <f>D83/C79</f>
        <v>0.10702341137123746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0.1939799331103679</v>
      </c>
      <c r="F135" s="159"/>
    </row>
    <row r="136" spans="2:6" x14ac:dyDescent="0.25">
      <c r="B136" s="53" t="s">
        <v>1217</v>
      </c>
      <c r="C136" s="67">
        <v>9</v>
      </c>
      <c r="D136" s="100">
        <f>C135-C136</f>
        <v>107</v>
      </c>
      <c r="E136" s="55">
        <f>D136/C134</f>
        <v>0.17892976588628762</v>
      </c>
      <c r="F136" s="159"/>
    </row>
    <row r="137" spans="2:6" x14ac:dyDescent="0.25">
      <c r="B137" s="53" t="s">
        <v>1218</v>
      </c>
      <c r="C137" s="67">
        <v>12</v>
      </c>
      <c r="D137" s="100">
        <f>D136-C137</f>
        <v>95</v>
      </c>
      <c r="E137" s="55">
        <f>D137/C134</f>
        <v>0.15886287625418061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0.1488294314381271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72</v>
      </c>
      <c r="E142" s="111">
        <f>D142/C142</f>
        <v>0.25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-1.1705685618729096E-2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-3.177257525083612E-2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-4.0133779264214048E-2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2026-07-08T19:29:21Z</dcterms:modified>
</cp:coreProperties>
</file>