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9FDF0B5E-2E09-4A72-B245-EB3198D76B21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2" l="1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<sst xmlns="http://schemas.openxmlformats.org/spreadsheetml/2006/main" count="4853" uniqueCount="1523">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</sst>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70" zoomScaleNormal="70" workbookViewId="0">
      <pane xSplit="11" ySplit="7" topLeftCell="AD242" activePane="bottomRight" state="frozen"/>
      <selection pane="topRight" activeCell="M1" sqref="M1"/>
      <selection pane="bottomLeft" activeCell="A5" sqref="A5"/>
      <selection pane="bottomRight" activeCell="AE264" sqref="AE264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0.10351201478743069</v>
      </c>
      <c r="AC1" s="3">
        <f t="shared" si="1"/>
        <v>0.12296564195298372</v>
      </c>
      <c r="AD1" s="3">
        <f t="shared" si="1"/>
        <v>8.3175803402646506E-2</v>
      </c>
      <c r="AE1" s="3">
        <f t="shared" si="1"/>
        <v>0.12296564195298372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29</v>
      </c>
      <c r="AC4" s="10">
        <f>COUNTIFS(AC8:AC600, "=APAGADO",F8:F600,"=Fibra Optica")</f>
        <v>47</v>
      </c>
      <c r="AD4" s="10">
        <f>COUNTIFS(AD8:AD600, "=APAGADO",F8:F600,"=Fibra Optica")</f>
        <v>28</v>
      </c>
      <c r="AE4" s="10">
        <f>COUNTIFS(AE8:AE600, "=APAGADO",F8:F600,"=Fibra Optica")</f>
        <v>52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20</v>
      </c>
      <c r="AC5" s="136">
        <f>COUNTIFS(AC8:AC600, "=APAGADO",F8:F600,"=RADIO")</f>
        <v>15</v>
      </c>
      <c r="AD5" s="136">
        <f>COUNTIFS(AD8:AD600, "=APAGADO",F8:F600,"=RADIO")</f>
        <v>10</v>
      </c>
      <c r="AE5" s="136">
        <f>COUNTIFS(AE8:AE600, "=APAGADO",F8:F600,"=RADIO")</f>
        <v>9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7</v>
      </c>
      <c r="AC6" s="10">
        <f>COUNTIFS(AC8:AC600, "=APAGADO",F8:F600,"=PTO A FO")</f>
        <v>6</v>
      </c>
      <c r="AD6" s="10">
        <f>COUNTIFS(AD8:AD600, "=APAGADO",F8:F600,"=PTO A FO")</f>
        <v>6</v>
      </c>
      <c r="AE6" s="10">
        <f>COUNTIFS(AE8:AE600, "=APAGADO",F8:F600,"=PTO A FO")</f>
        <v>7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11</v>
      </c>
      <c r="J10" s="31">
        <f t="shared" si="6"/>
        <v>17</v>
      </c>
      <c r="K10" s="32">
        <f t="shared" si="7"/>
        <v>0.39285714285714285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/>
      <c r="Z10" s="72"/>
      <c r="AA10" s="72"/>
      <c r="AB10" s="72" t="s">
        <v>1489</v>
      </c>
      <c r="AC10" s="72" t="s">
        <v>1489</v>
      </c>
      <c r="AD10" s="72" t="s">
        <v>1489</v>
      </c>
      <c r="AE10" s="72" t="s">
        <v>1489</v>
      </c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11</v>
      </c>
      <c r="J11" s="31">
        <f t="shared" si="6"/>
        <v>17</v>
      </c>
      <c r="K11" s="32">
        <f t="shared" si="7"/>
        <v>0.39285714285714285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/>
      <c r="Z11" s="72"/>
      <c r="AA11" s="72"/>
      <c r="AB11" s="72" t="s">
        <v>1489</v>
      </c>
      <c r="AC11" s="72" t="s">
        <v>1489</v>
      </c>
      <c r="AD11" s="72" t="s">
        <v>1489</v>
      </c>
      <c r="AE11" s="72" t="s">
        <v>1489</v>
      </c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11</v>
      </c>
      <c r="J13" s="31">
        <f t="shared" si="6"/>
        <v>17</v>
      </c>
      <c r="K13" s="32">
        <f t="shared" si="7"/>
        <v>0.39285714285714285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/>
      <c r="Z13" s="72"/>
      <c r="AA13" s="72"/>
      <c r="AB13" s="72" t="s">
        <v>1489</v>
      </c>
      <c r="AC13" s="72" t="s">
        <v>1489</v>
      </c>
      <c r="AD13" s="72" t="s">
        <v>1489</v>
      </c>
      <c r="AE13" s="72" t="s">
        <v>1489</v>
      </c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14</v>
      </c>
      <c r="J28" s="31">
        <f t="shared" si="6"/>
        <v>14</v>
      </c>
      <c r="K28" s="32">
        <f t="shared" si="7"/>
        <v>0.5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/>
      <c r="Z28" s="72"/>
      <c r="AA28" s="72"/>
      <c r="AB28" s="72" t="s">
        <v>1489</v>
      </c>
      <c r="AC28" s="72" t="s">
        <v>1489</v>
      </c>
      <c r="AD28" s="72" t="s">
        <v>1489</v>
      </c>
      <c r="AE28" s="72" t="s">
        <v>1489</v>
      </c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11</v>
      </c>
      <c r="J29" s="31">
        <f t="shared" si="6"/>
        <v>17</v>
      </c>
      <c r="K29" s="32">
        <f t="shared" si="7"/>
        <v>0.39285714285714285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/>
      <c r="Z29" s="72"/>
      <c r="AA29" s="72"/>
      <c r="AB29" s="72" t="s">
        <v>1489</v>
      </c>
      <c r="AC29" s="72" t="s">
        <v>1489</v>
      </c>
      <c r="AD29" s="72" t="s">
        <v>1489</v>
      </c>
      <c r="AE29" s="72" t="s">
        <v>1489</v>
      </c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12</v>
      </c>
      <c r="J30" s="31">
        <f t="shared" si="6"/>
        <v>16</v>
      </c>
      <c r="K30" s="32">
        <f t="shared" si="7"/>
        <v>0.42857142857142855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/>
      <c r="Z30" s="72"/>
      <c r="AA30" s="72"/>
      <c r="AB30" s="72" t="s">
        <v>1489</v>
      </c>
      <c r="AC30" s="72" t="s">
        <v>1489</v>
      </c>
      <c r="AD30" s="72" t="s">
        <v>1489</v>
      </c>
      <c r="AE30" s="72" t="s">
        <v>1489</v>
      </c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12</v>
      </c>
      <c r="J31" s="31">
        <f t="shared" si="6"/>
        <v>16</v>
      </c>
      <c r="K31" s="32">
        <f t="shared" si="7"/>
        <v>0.42857142857142855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/>
      <c r="Z31" s="72"/>
      <c r="AA31" s="72"/>
      <c r="AB31" s="72" t="s">
        <v>1489</v>
      </c>
      <c r="AC31" s="72" t="s">
        <v>1489</v>
      </c>
      <c r="AD31" s="72" t="s">
        <v>1489</v>
      </c>
      <c r="AE31" s="72" t="s">
        <v>1489</v>
      </c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11</v>
      </c>
      <c r="J37" s="31">
        <f t="shared" si="6"/>
        <v>17</v>
      </c>
      <c r="K37" s="32">
        <f t="shared" si="7"/>
        <v>0.39285714285714285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/>
      <c r="Z37" s="72"/>
      <c r="AA37" s="72"/>
      <c r="AB37" s="72" t="s">
        <v>1489</v>
      </c>
      <c r="AC37" s="72" t="s">
        <v>1489</v>
      </c>
      <c r="AD37" s="72" t="s">
        <v>1489</v>
      </c>
      <c r="AE37" s="72" t="s">
        <v>1489</v>
      </c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 t="s">
        <v>1489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23</v>
      </c>
      <c r="J49" s="31">
        <f t="shared" si="6"/>
        <v>5</v>
      </c>
      <c r="K49" s="32">
        <f t="shared" si="7"/>
        <v>0.8214285714285714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1489</v>
      </c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13</v>
      </c>
      <c r="J52" s="31">
        <f t="shared" si="6"/>
        <v>15</v>
      </c>
      <c r="K52" s="32">
        <f t="shared" si="7"/>
        <v>0.4642857142857143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/>
      <c r="Z52" s="72"/>
      <c r="AA52" s="72"/>
      <c r="AB52" s="72" t="s">
        <v>1489</v>
      </c>
      <c r="AC52" s="72" t="s">
        <v>1489</v>
      </c>
      <c r="AD52" s="99" t="s">
        <v>1489</v>
      </c>
      <c r="AE52" s="99" t="s">
        <v>1489</v>
      </c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23</v>
      </c>
      <c r="J54" s="31">
        <f t="shared" si="6"/>
        <v>5</v>
      </c>
      <c r="K54" s="32">
        <f t="shared" si="7"/>
        <v>0.8214285714285714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1489</v>
      </c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23</v>
      </c>
      <c r="J55" s="31">
        <f t="shared" si="6"/>
        <v>5</v>
      </c>
      <c r="K55" s="32">
        <f t="shared" si="7"/>
        <v>0.8214285714285714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1489</v>
      </c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11</v>
      </c>
      <c r="J56" s="31">
        <f t="shared" si="6"/>
        <v>17</v>
      </c>
      <c r="K56" s="32">
        <f t="shared" si="7"/>
        <v>0.39285714285714285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/>
      <c r="Z56" s="72"/>
      <c r="AA56" s="72"/>
      <c r="AB56" s="72" t="s">
        <v>1489</v>
      </c>
      <c r="AC56" s="72" t="s">
        <v>1489</v>
      </c>
      <c r="AD56" s="72" t="s">
        <v>1489</v>
      </c>
      <c r="AE56" s="72" t="s">
        <v>1489</v>
      </c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22</v>
      </c>
      <c r="J57" s="31">
        <f t="shared" si="6"/>
        <v>6</v>
      </c>
      <c r="K57" s="32">
        <f t="shared" si="7"/>
        <v>0.7857142857142857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 t="s">
        <v>1489</v>
      </c>
      <c r="AD57" s="72"/>
      <c r="AE57" s="72" t="s">
        <v>1489</v>
      </c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23</v>
      </c>
      <c r="J58" s="31">
        <f t="shared" si="6"/>
        <v>5</v>
      </c>
      <c r="K58" s="32">
        <f t="shared" si="7"/>
        <v>0.8214285714285714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1489</v>
      </c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23</v>
      </c>
      <c r="J59" s="31">
        <f t="shared" si="6"/>
        <v>5</v>
      </c>
      <c r="K59" s="32">
        <f t="shared" si="7"/>
        <v>0.8214285714285714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1489</v>
      </c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23</v>
      </c>
      <c r="J60" s="31">
        <f t="shared" si="6"/>
        <v>5</v>
      </c>
      <c r="K60" s="32">
        <f t="shared" si="7"/>
        <v>0.8214285714285714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1489</v>
      </c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23</v>
      </c>
      <c r="J61" s="31">
        <f t="shared" si="6"/>
        <v>5</v>
      </c>
      <c r="K61" s="32">
        <f t="shared" si="7"/>
        <v>0.8214285714285714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1489</v>
      </c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23</v>
      </c>
      <c r="J62" s="31">
        <f t="shared" si="6"/>
        <v>5</v>
      </c>
      <c r="K62" s="32">
        <f t="shared" si="7"/>
        <v>0.8214285714285714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1489</v>
      </c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23</v>
      </c>
      <c r="J63" s="31">
        <f t="shared" si="6"/>
        <v>5</v>
      </c>
      <c r="K63" s="32">
        <f t="shared" si="7"/>
        <v>0.8214285714285714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1489</v>
      </c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20</v>
      </c>
      <c r="J74" s="31">
        <f t="shared" si="9"/>
        <v>8</v>
      </c>
      <c r="K74" s="32">
        <f t="shared" si="10"/>
        <v>0.7142857142857143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 t="s">
        <v>1489</v>
      </c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21</v>
      </c>
      <c r="J75" s="31">
        <f t="shared" si="9"/>
        <v>7</v>
      </c>
      <c r="K75" s="32">
        <f t="shared" si="10"/>
        <v>0.75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 t="s">
        <v>1489</v>
      </c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21</v>
      </c>
      <c r="J78" s="31">
        <f t="shared" si="9"/>
        <v>7</v>
      </c>
      <c r="K78" s="32">
        <f t="shared" si="10"/>
        <v>0.75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1489</v>
      </c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1489</v>
      </c>
      <c r="AD90" s="72" t="s">
        <v>1489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1489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23</v>
      </c>
      <c r="J107" s="31">
        <f t="shared" si="9"/>
        <v>5</v>
      </c>
      <c r="K107" s="32">
        <f t="shared" si="10"/>
        <v>0.8214285714285714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1489</v>
      </c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23</v>
      </c>
      <c r="J108" s="31">
        <f t="shared" si="9"/>
        <v>5</v>
      </c>
      <c r="K108" s="32">
        <f t="shared" si="10"/>
        <v>0.8214285714285714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1489</v>
      </c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23</v>
      </c>
      <c r="J109" s="31">
        <f t="shared" si="9"/>
        <v>5</v>
      </c>
      <c r="K109" s="32">
        <f t="shared" si="10"/>
        <v>0.8214285714285714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1489</v>
      </c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12</v>
      </c>
      <c r="J113" s="31">
        <f t="shared" si="9"/>
        <v>16</v>
      </c>
      <c r="K113" s="32">
        <f t="shared" si="10"/>
        <v>0.42857142857142855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/>
      <c r="Z113" s="72"/>
      <c r="AA113" s="72"/>
      <c r="AB113" s="72" t="s">
        <v>1489</v>
      </c>
      <c r="AC113" s="72" t="s">
        <v>1489</v>
      </c>
      <c r="AD113" s="72" t="s">
        <v>1489</v>
      </c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11</v>
      </c>
      <c r="J121" s="31">
        <f t="shared" si="9"/>
        <v>17</v>
      </c>
      <c r="K121" s="32">
        <f t="shared" si="10"/>
        <v>0.39285714285714285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/>
      <c r="Z121" s="72"/>
      <c r="AA121" s="72"/>
      <c r="AB121" s="72" t="s">
        <v>1489</v>
      </c>
      <c r="AC121" s="72" t="s">
        <v>1489</v>
      </c>
      <c r="AD121" s="72" t="s">
        <v>1489</v>
      </c>
      <c r="AE121" s="72" t="s">
        <v>1489</v>
      </c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11</v>
      </c>
      <c r="J128" s="31">
        <f t="shared" si="9"/>
        <v>16</v>
      </c>
      <c r="K128" s="32">
        <f t="shared" si="10"/>
        <v>0.40740740740740738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/>
      <c r="Z128" s="72"/>
      <c r="AA128" s="72"/>
      <c r="AB128" s="72" t="s">
        <v>1489</v>
      </c>
      <c r="AC128" s="72" t="s">
        <v>1489</v>
      </c>
      <c r="AD128" s="99" t="s">
        <v>1489</v>
      </c>
      <c r="AE128" s="99" t="s">
        <v>1522</v>
      </c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11</v>
      </c>
      <c r="J131" s="31">
        <f t="shared" si="9"/>
        <v>17</v>
      </c>
      <c r="K131" s="32">
        <f t="shared" si="10"/>
        <v>0.39285714285714285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/>
      <c r="Z131" s="72"/>
      <c r="AA131" s="72"/>
      <c r="AB131" s="72" t="s">
        <v>1489</v>
      </c>
      <c r="AC131" s="72" t="s">
        <v>1489</v>
      </c>
      <c r="AD131" s="99" t="s">
        <v>1489</v>
      </c>
      <c r="AE131" s="99" t="s">
        <v>1489</v>
      </c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11</v>
      </c>
      <c r="J132" s="31">
        <f t="shared" si="9"/>
        <v>17</v>
      </c>
      <c r="K132" s="32">
        <f t="shared" si="10"/>
        <v>0.39285714285714285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/>
      <c r="Z132" s="72"/>
      <c r="AA132" s="72"/>
      <c r="AB132" s="72" t="s">
        <v>1489</v>
      </c>
      <c r="AC132" s="72" t="s">
        <v>1489</v>
      </c>
      <c r="AD132" s="99" t="s">
        <v>1489</v>
      </c>
      <c r="AE132" s="99" t="s">
        <v>1489</v>
      </c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25</v>
      </c>
      <c r="J142" s="31">
        <f t="shared" si="12"/>
        <v>3</v>
      </c>
      <c r="K142" s="32">
        <f t="shared" si="13"/>
        <v>0.8928571428571429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25</v>
      </c>
      <c r="J143" s="31">
        <f t="shared" si="12"/>
        <v>3</v>
      </c>
      <c r="K143" s="32">
        <f t="shared" si="13"/>
        <v>0.8928571428571429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26</v>
      </c>
      <c r="J147" s="31">
        <f t="shared" si="12"/>
        <v>2</v>
      </c>
      <c r="K147" s="32">
        <f t="shared" si="13"/>
        <v>0.9285714285714286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25</v>
      </c>
      <c r="J151" s="31">
        <f t="shared" si="12"/>
        <v>3</v>
      </c>
      <c r="K151" s="32">
        <f t="shared" si="13"/>
        <v>0.8928571428571429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25</v>
      </c>
      <c r="J152" s="31">
        <f t="shared" si="12"/>
        <v>3</v>
      </c>
      <c r="K152" s="32">
        <f t="shared" si="13"/>
        <v>0.8928571428571429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25</v>
      </c>
      <c r="J153" s="31">
        <f t="shared" si="12"/>
        <v>3</v>
      </c>
      <c r="K153" s="32">
        <f t="shared" si="13"/>
        <v>0.8928571428571429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26</v>
      </c>
      <c r="J154" s="31">
        <f t="shared" si="12"/>
        <v>2</v>
      </c>
      <c r="K154" s="32">
        <f t="shared" si="13"/>
        <v>0.9285714285714286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26</v>
      </c>
      <c r="J158" s="31">
        <f t="shared" si="12"/>
        <v>2</v>
      </c>
      <c r="K158" s="32">
        <f t="shared" si="13"/>
        <v>0.9285714285714286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1489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11</v>
      </c>
      <c r="J159" s="31">
        <f t="shared" si="12"/>
        <v>17</v>
      </c>
      <c r="K159" s="32">
        <f t="shared" si="13"/>
        <v>0.39285714285714285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/>
      <c r="Z159" s="72"/>
      <c r="AA159" s="72"/>
      <c r="AB159" s="72" t="s">
        <v>1489</v>
      </c>
      <c r="AC159" s="72" t="s">
        <v>1489</v>
      </c>
      <c r="AD159" s="99" t="s">
        <v>1489</v>
      </c>
      <c r="AE159" s="99" t="s">
        <v>1489</v>
      </c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 t="s">
        <v>1489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21</v>
      </c>
      <c r="J164" s="31">
        <f t="shared" si="12"/>
        <v>7</v>
      </c>
      <c r="K164" s="32">
        <f t="shared" si="13"/>
        <v>0.75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 t="s">
        <v>1489</v>
      </c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21</v>
      </c>
      <c r="J165" s="31">
        <f t="shared" si="12"/>
        <v>7</v>
      </c>
      <c r="K165" s="32">
        <f t="shared" si="13"/>
        <v>0.75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/>
      <c r="Z165" s="72"/>
      <c r="AA165" s="72"/>
      <c r="AB165" s="72" t="s">
        <v>1489</v>
      </c>
      <c r="AC165" s="72" t="s">
        <v>1489</v>
      </c>
      <c r="AD165" s="99"/>
      <c r="AE165" s="99" t="s">
        <v>1489</v>
      </c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23</v>
      </c>
      <c r="J169" s="31">
        <f t="shared" si="12"/>
        <v>5</v>
      </c>
      <c r="K169" s="32">
        <f t="shared" si="13"/>
        <v>0.8214285714285714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 t="s">
        <v>1489</v>
      </c>
      <c r="AC169" s="72" t="s">
        <v>1489</v>
      </c>
      <c r="AD169" s="72" t="s">
        <v>1489</v>
      </c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20</v>
      </c>
      <c r="J177" s="31">
        <f t="shared" si="12"/>
        <v>8</v>
      </c>
      <c r="K177" s="32">
        <f t="shared" si="13"/>
        <v>0.7142857142857143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/>
      <c r="Z177" s="72"/>
      <c r="AA177" s="72"/>
      <c r="AB177" s="72" t="s">
        <v>1489</v>
      </c>
      <c r="AC177" s="72"/>
      <c r="AD177" s="72"/>
      <c r="AE177" s="72" t="s">
        <v>1489</v>
      </c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20</v>
      </c>
      <c r="J181" s="31">
        <f t="shared" si="12"/>
        <v>8</v>
      </c>
      <c r="K181" s="32">
        <f t="shared" si="13"/>
        <v>0.7142857142857143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/>
      <c r="Z181" s="72"/>
      <c r="AA181" s="72"/>
      <c r="AB181" s="72" t="s">
        <v>1489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20</v>
      </c>
      <c r="J182" s="31">
        <f t="shared" si="12"/>
        <v>8</v>
      </c>
      <c r="K182" s="32">
        <f t="shared" si="13"/>
        <v>0.7142857142857143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/>
      <c r="Z182" s="72"/>
      <c r="AA182" s="72"/>
      <c r="AB182" s="72" t="s">
        <v>1489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12</v>
      </c>
      <c r="J207" s="31">
        <f t="shared" si="15"/>
        <v>16</v>
      </c>
      <c r="K207" s="32">
        <f t="shared" si="16"/>
        <v>0.42857142857142855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/>
      <c r="Z207" s="72"/>
      <c r="AA207" s="72"/>
      <c r="AB207" s="72" t="s">
        <v>1489</v>
      </c>
      <c r="AC207" s="72" t="s">
        <v>1489</v>
      </c>
      <c r="AD207" s="99" t="s">
        <v>1489</v>
      </c>
      <c r="AE207" s="99" t="s">
        <v>1489</v>
      </c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21</v>
      </c>
      <c r="J208" s="31">
        <f t="shared" si="15"/>
        <v>7</v>
      </c>
      <c r="K208" s="32">
        <f t="shared" si="16"/>
        <v>0.75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 t="s">
        <v>1489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26</v>
      </c>
      <c r="J209" s="31">
        <f t="shared" si="15"/>
        <v>2</v>
      </c>
      <c r="K209" s="32">
        <f t="shared" si="16"/>
        <v>0.9285714285714286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 t="s">
        <v>1489</v>
      </c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11</v>
      </c>
      <c r="J210" s="31">
        <f t="shared" si="15"/>
        <v>17</v>
      </c>
      <c r="K210" s="32">
        <f t="shared" si="16"/>
        <v>0.39285714285714285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/>
      <c r="Z210" s="72"/>
      <c r="AA210" s="72"/>
      <c r="AB210" s="72" t="s">
        <v>1489</v>
      </c>
      <c r="AC210" s="72" t="s">
        <v>1489</v>
      </c>
      <c r="AD210" s="72" t="s">
        <v>1489</v>
      </c>
      <c r="AE210" s="72" t="s">
        <v>1489</v>
      </c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23</v>
      </c>
      <c r="J231" s="31">
        <f t="shared" si="15"/>
        <v>5</v>
      </c>
      <c r="K231" s="32">
        <f t="shared" si="16"/>
        <v>0.8214285714285714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 t="s">
        <v>1489</v>
      </c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23</v>
      </c>
      <c r="J233" s="31">
        <f t="shared" si="15"/>
        <v>5</v>
      </c>
      <c r="K233" s="32">
        <f t="shared" si="16"/>
        <v>0.8214285714285714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 t="s">
        <v>1489</v>
      </c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23</v>
      </c>
      <c r="J236" s="31">
        <f t="shared" si="15"/>
        <v>5</v>
      </c>
      <c r="K236" s="32">
        <f t="shared" si="16"/>
        <v>0.8214285714285714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 t="s">
        <v>1489</v>
      </c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14</v>
      </c>
      <c r="J249" s="31">
        <f t="shared" si="15"/>
        <v>14</v>
      </c>
      <c r="K249" s="32">
        <f t="shared" si="16"/>
        <v>0.5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/>
      <c r="Z249" s="72"/>
      <c r="AA249" s="72"/>
      <c r="AB249" s="72" t="s">
        <v>1489</v>
      </c>
      <c r="AC249" s="72" t="s">
        <v>1489</v>
      </c>
      <c r="AD249" s="72" t="s">
        <v>1489</v>
      </c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26</v>
      </c>
      <c r="J255" s="31">
        <f t="shared" si="15"/>
        <v>2</v>
      </c>
      <c r="K255" s="32">
        <f t="shared" si="16"/>
        <v>0.9285714285714286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 t="s">
        <v>1489</v>
      </c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26</v>
      </c>
      <c r="J256" s="31">
        <f t="shared" si="15"/>
        <v>2</v>
      </c>
      <c r="K256" s="32">
        <f t="shared" si="16"/>
        <v>0.9285714285714286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 t="s">
        <v>1489</v>
      </c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 t="s">
        <v>1489</v>
      </c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12</v>
      </c>
      <c r="J263" s="31">
        <f t="shared" si="15"/>
        <v>16</v>
      </c>
      <c r="K263" s="32">
        <f t="shared" si="16"/>
        <v>0.42857142857142855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/>
      <c r="Z263" s="72"/>
      <c r="AA263" s="72"/>
      <c r="AB263" s="72" t="s">
        <v>1489</v>
      </c>
      <c r="AC263" s="72" t="s">
        <v>1489</v>
      </c>
      <c r="AD263" s="99" t="s">
        <v>1489</v>
      </c>
      <c r="AE263" s="99" t="s">
        <v>1489</v>
      </c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20</v>
      </c>
      <c r="J268" s="31">
        <f t="shared" si="18"/>
        <v>8</v>
      </c>
      <c r="K268" s="32">
        <f t="shared" si="19"/>
        <v>0.7142857142857143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 t="s">
        <v>1489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27</v>
      </c>
      <c r="J281" s="31">
        <f t="shared" si="18"/>
        <v>1</v>
      </c>
      <c r="K281" s="32">
        <f t="shared" si="19"/>
        <v>0.9642857142857143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 t="s">
        <v>1489</v>
      </c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27</v>
      </c>
      <c r="J282" s="31">
        <f t="shared" si="18"/>
        <v>1</v>
      </c>
      <c r="K282" s="32">
        <f t="shared" si="19"/>
        <v>0.9642857142857143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 t="s">
        <v>1489</v>
      </c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27</v>
      </c>
      <c r="J283" s="31">
        <f t="shared" si="18"/>
        <v>1</v>
      </c>
      <c r="K283" s="32">
        <f t="shared" si="19"/>
        <v>0.9642857142857143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 t="s">
        <v>1489</v>
      </c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11</v>
      </c>
      <c r="J297" s="31">
        <f t="shared" si="18"/>
        <v>17</v>
      </c>
      <c r="K297" s="32">
        <f t="shared" si="19"/>
        <v>0.39285714285714285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/>
      <c r="Z297" s="72"/>
      <c r="AA297" s="72"/>
      <c r="AB297" s="72" t="s">
        <v>1489</v>
      </c>
      <c r="AC297" s="72" t="s">
        <v>1489</v>
      </c>
      <c r="AD297" s="72" t="s">
        <v>1489</v>
      </c>
      <c r="AE297" s="72" t="s">
        <v>1489</v>
      </c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11</v>
      </c>
      <c r="J298" s="31">
        <f t="shared" si="18"/>
        <v>17</v>
      </c>
      <c r="K298" s="32">
        <f t="shared" si="19"/>
        <v>0.39285714285714285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/>
      <c r="Z298" s="72"/>
      <c r="AA298" s="72"/>
      <c r="AB298" s="72" t="s">
        <v>1489</v>
      </c>
      <c r="AC298" s="72" t="s">
        <v>1489</v>
      </c>
      <c r="AD298" s="72" t="s">
        <v>1489</v>
      </c>
      <c r="AE298" s="72" t="s">
        <v>1489</v>
      </c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11</v>
      </c>
      <c r="J299" s="31">
        <f t="shared" si="18"/>
        <v>17</v>
      </c>
      <c r="K299" s="32">
        <f t="shared" si="19"/>
        <v>0.39285714285714285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/>
      <c r="Z299" s="72"/>
      <c r="AA299" s="72"/>
      <c r="AB299" s="72" t="s">
        <v>1489</v>
      </c>
      <c r="AC299" s="72" t="s">
        <v>1489</v>
      </c>
      <c r="AD299" s="72" t="s">
        <v>1489</v>
      </c>
      <c r="AE299" s="72" t="s">
        <v>1489</v>
      </c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11</v>
      </c>
      <c r="J300" s="31">
        <f t="shared" si="18"/>
        <v>17</v>
      </c>
      <c r="K300" s="32">
        <f t="shared" si="19"/>
        <v>0.39285714285714285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/>
      <c r="Z300" s="72"/>
      <c r="AA300" s="72"/>
      <c r="AB300" s="72" t="s">
        <v>1489</v>
      </c>
      <c r="AC300" s="72" t="s">
        <v>1489</v>
      </c>
      <c r="AD300" s="72" t="s">
        <v>1489</v>
      </c>
      <c r="AE300" s="72" t="s">
        <v>1489</v>
      </c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11</v>
      </c>
      <c r="J301" s="31">
        <f t="shared" si="18"/>
        <v>17</v>
      </c>
      <c r="K301" s="32">
        <f t="shared" si="19"/>
        <v>0.39285714285714285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/>
      <c r="Z301" s="72"/>
      <c r="AA301" s="72"/>
      <c r="AB301" s="72" t="s">
        <v>1489</v>
      </c>
      <c r="AC301" s="72" t="s">
        <v>1489</v>
      </c>
      <c r="AD301" s="72" t="s">
        <v>1489</v>
      </c>
      <c r="AE301" s="72" t="s">
        <v>1489</v>
      </c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22</v>
      </c>
      <c r="J304" s="31">
        <f t="shared" si="18"/>
        <v>6</v>
      </c>
      <c r="K304" s="32">
        <f t="shared" si="19"/>
        <v>0.7857142857142857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/>
      <c r="Z306" s="72"/>
      <c r="AA306" s="72"/>
      <c r="AB306" s="72" t="s">
        <v>1489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11</v>
      </c>
      <c r="J317" s="31">
        <f t="shared" si="18"/>
        <v>17</v>
      </c>
      <c r="K317" s="32">
        <f t="shared" si="19"/>
        <v>0.39285714285714285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/>
      <c r="Z317" s="72"/>
      <c r="AA317" s="72"/>
      <c r="AB317" s="72" t="s">
        <v>1489</v>
      </c>
      <c r="AC317" s="72" t="s">
        <v>1489</v>
      </c>
      <c r="AD317" s="72" t="s">
        <v>1489</v>
      </c>
      <c r="AE317" s="72" t="s">
        <v>1489</v>
      </c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27</v>
      </c>
      <c r="J318" s="31">
        <f t="shared" si="18"/>
        <v>1</v>
      </c>
      <c r="K318" s="32">
        <f t="shared" si="19"/>
        <v>0.9642857142857143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 t="s">
        <v>1489</v>
      </c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 t="s">
        <v>1489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11</v>
      </c>
      <c r="J322" s="31">
        <f t="shared" si="18"/>
        <v>17</v>
      </c>
      <c r="K322" s="32">
        <f t="shared" si="19"/>
        <v>0.39285714285714285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/>
      <c r="Z322" s="72"/>
      <c r="AA322" s="72"/>
      <c r="AB322" s="72" t="s">
        <v>1489</v>
      </c>
      <c r="AC322" s="72" t="s">
        <v>1489</v>
      </c>
      <c r="AD322" s="99" t="s">
        <v>1489</v>
      </c>
      <c r="AE322" s="99" t="s">
        <v>1489</v>
      </c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13</v>
      </c>
      <c r="J323" s="31">
        <f t="shared" si="18"/>
        <v>15</v>
      </c>
      <c r="K323" s="32">
        <f t="shared" si="19"/>
        <v>0.4642857142857143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 t="s">
        <v>1489</v>
      </c>
      <c r="AC323" s="72" t="s">
        <v>1489</v>
      </c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27</v>
      </c>
      <c r="J325" s="31">
        <f t="shared" si="18"/>
        <v>1</v>
      </c>
      <c r="K325" s="32">
        <f t="shared" si="19"/>
        <v>0.9642857142857143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 t="s">
        <v>1489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27</v>
      </c>
      <c r="J326" s="31">
        <f t="shared" si="18"/>
        <v>1</v>
      </c>
      <c r="K326" s="32">
        <f t="shared" si="19"/>
        <v>0.9642857142857143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 t="s">
        <v>1489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27</v>
      </c>
      <c r="J327" s="31">
        <f t="shared" si="18"/>
        <v>1</v>
      </c>
      <c r="K327" s="32">
        <f t="shared" si="19"/>
        <v>0.9642857142857143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 t="s">
        <v>1489</v>
      </c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27</v>
      </c>
      <c r="J328" s="31">
        <f t="shared" ref="J328:J391" si="21">COUNTIF(L328:AM328,"APAGADO")</f>
        <v>1</v>
      </c>
      <c r="K328" s="32">
        <f t="shared" ref="K328:K391" si="22">(I328)/(J328+I328)</f>
        <v>0.9642857142857143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 t="s">
        <v>1489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27</v>
      </c>
      <c r="J329" s="31">
        <f t="shared" si="21"/>
        <v>1</v>
      </c>
      <c r="K329" s="32">
        <f t="shared" si="22"/>
        <v>0.9642857142857143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1489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26</v>
      </c>
      <c r="J330" s="31">
        <f t="shared" si="21"/>
        <v>2</v>
      </c>
      <c r="K330" s="32">
        <f t="shared" si="22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 t="s">
        <v>1489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26</v>
      </c>
      <c r="J331" s="31">
        <f t="shared" si="21"/>
        <v>2</v>
      </c>
      <c r="K331" s="32">
        <f t="shared" si="22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 t="s">
        <v>1489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26</v>
      </c>
      <c r="J332" s="31">
        <f t="shared" si="21"/>
        <v>2</v>
      </c>
      <c r="K332" s="32">
        <f t="shared" si="22"/>
        <v>0.9285714285714286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 t="s">
        <v>1489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26</v>
      </c>
      <c r="J333" s="31">
        <f t="shared" si="21"/>
        <v>2</v>
      </c>
      <c r="K333" s="32">
        <f t="shared" si="22"/>
        <v>0.9285714285714286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 t="s">
        <v>1489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27</v>
      </c>
      <c r="J334" s="31">
        <f t="shared" si="21"/>
        <v>1</v>
      </c>
      <c r="K334" s="32">
        <f t="shared" si="22"/>
        <v>0.9642857142857143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 t="s">
        <v>1489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26</v>
      </c>
      <c r="J335" s="31">
        <f t="shared" si="21"/>
        <v>2</v>
      </c>
      <c r="K335" s="32">
        <f t="shared" si="22"/>
        <v>0.9285714285714286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 t="s">
        <v>1489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27</v>
      </c>
      <c r="J336" s="31">
        <f t="shared" si="21"/>
        <v>1</v>
      </c>
      <c r="K336" s="32">
        <f t="shared" si="22"/>
        <v>0.9642857142857143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 t="s">
        <v>1489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20</v>
      </c>
      <c r="J340" s="31">
        <f t="shared" si="21"/>
        <v>8</v>
      </c>
      <c r="K340" s="32">
        <f t="shared" si="22"/>
        <v>0.7142857142857143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/>
      <c r="Z340" s="72"/>
      <c r="AA340" s="72"/>
      <c r="AB340" s="72" t="s">
        <v>1489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11</v>
      </c>
      <c r="J350" s="31">
        <f t="shared" si="21"/>
        <v>17</v>
      </c>
      <c r="K350" s="32">
        <f t="shared" si="22"/>
        <v>0.39285714285714285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/>
      <c r="Z350" s="72"/>
      <c r="AA350" s="72"/>
      <c r="AB350" s="72" t="s">
        <v>1489</v>
      </c>
      <c r="AC350" s="72" t="s">
        <v>1489</v>
      </c>
      <c r="AD350" s="99" t="s">
        <v>1489</v>
      </c>
      <c r="AE350" s="99" t="s">
        <v>1489</v>
      </c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11</v>
      </c>
      <c r="J355" s="31">
        <f t="shared" si="21"/>
        <v>17</v>
      </c>
      <c r="K355" s="32">
        <f t="shared" si="22"/>
        <v>0.39285714285714285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/>
      <c r="Z355" s="72"/>
      <c r="AA355" s="72"/>
      <c r="AB355" s="72" t="s">
        <v>1489</v>
      </c>
      <c r="AC355" s="72" t="s">
        <v>1489</v>
      </c>
      <c r="AD355" s="99" t="s">
        <v>1489</v>
      </c>
      <c r="AE355" s="99" t="s">
        <v>1489</v>
      </c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11</v>
      </c>
      <c r="J358" s="31">
        <f t="shared" si="21"/>
        <v>17</v>
      </c>
      <c r="K358" s="32">
        <f t="shared" si="22"/>
        <v>0.39285714285714285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/>
      <c r="Z358" s="72"/>
      <c r="AA358" s="72"/>
      <c r="AB358" s="72" t="s">
        <v>1489</v>
      </c>
      <c r="AC358" s="72" t="s">
        <v>1489</v>
      </c>
      <c r="AD358" s="72" t="s">
        <v>1489</v>
      </c>
      <c r="AE358" s="72" t="s">
        <v>1489</v>
      </c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11</v>
      </c>
      <c r="J359" s="31">
        <f t="shared" si="21"/>
        <v>17</v>
      </c>
      <c r="K359" s="32">
        <f t="shared" si="22"/>
        <v>0.39285714285714285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/>
      <c r="Z359" s="72"/>
      <c r="AA359" s="72"/>
      <c r="AB359" s="72" t="s">
        <v>1489</v>
      </c>
      <c r="AC359" s="72" t="s">
        <v>1489</v>
      </c>
      <c r="AD359" s="72" t="s">
        <v>1489</v>
      </c>
      <c r="AE359" s="72" t="s">
        <v>1489</v>
      </c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24</v>
      </c>
      <c r="J371" s="31">
        <f t="shared" si="21"/>
        <v>4</v>
      </c>
      <c r="K371" s="32">
        <f t="shared" si="22"/>
        <v>0.8571428571428571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25</v>
      </c>
      <c r="J372" s="31">
        <f t="shared" si="21"/>
        <v>3</v>
      </c>
      <c r="K372" s="32">
        <f t="shared" si="22"/>
        <v>0.8928571428571429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24</v>
      </c>
      <c r="J373" s="31">
        <f t="shared" si="21"/>
        <v>4</v>
      </c>
      <c r="K373" s="32">
        <f t="shared" si="22"/>
        <v>0.8571428571428571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19</v>
      </c>
      <c r="J376" s="31">
        <f t="shared" si="21"/>
        <v>9</v>
      </c>
      <c r="K376" s="32">
        <f t="shared" si="22"/>
        <v>0.6785714285714286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/>
      <c r="Z376" s="72"/>
      <c r="AA376" s="72"/>
      <c r="AB376" s="72" t="s">
        <v>1489</v>
      </c>
      <c r="AC376" s="72" t="s">
        <v>1489</v>
      </c>
      <c r="AD376" s="72" t="s">
        <v>1489</v>
      </c>
      <c r="AE376" s="72" t="s">
        <v>1489</v>
      </c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26</v>
      </c>
      <c r="J379" s="31">
        <f t="shared" si="21"/>
        <v>2</v>
      </c>
      <c r="K379" s="32">
        <f t="shared" si="22"/>
        <v>0.9285714285714286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 t="s">
        <v>1489</v>
      </c>
      <c r="AE379" s="72" t="s">
        <v>1489</v>
      </c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21</v>
      </c>
      <c r="J385" s="31">
        <f t="shared" si="21"/>
        <v>7</v>
      </c>
      <c r="K385" s="32">
        <f t="shared" si="22"/>
        <v>0.75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/>
      <c r="Z385" s="72"/>
      <c r="AA385" s="72"/>
      <c r="AB385" s="72" t="s">
        <v>1489</v>
      </c>
      <c r="AC385" s="72" t="s">
        <v>1489</v>
      </c>
      <c r="AD385" s="72"/>
      <c r="AE385" s="72" t="s">
        <v>1489</v>
      </c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24</v>
      </c>
      <c r="J386" s="31">
        <f t="shared" si="21"/>
        <v>4</v>
      </c>
      <c r="K386" s="32">
        <f t="shared" si="22"/>
        <v>0.8571428571428571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12</v>
      </c>
      <c r="J389" s="31">
        <f t="shared" si="21"/>
        <v>16</v>
      </c>
      <c r="K389" s="32">
        <f t="shared" si="22"/>
        <v>0.42857142857142855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/>
      <c r="Z389" s="72"/>
      <c r="AA389" s="72"/>
      <c r="AB389" s="72"/>
      <c r="AC389" s="72" t="s">
        <v>1489</v>
      </c>
      <c r="AD389" s="72" t="s">
        <v>1489</v>
      </c>
      <c r="AE389" s="72" t="s">
        <v>1489</v>
      </c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22</v>
      </c>
      <c r="J399" s="31">
        <f t="shared" si="24"/>
        <v>6</v>
      </c>
      <c r="K399" s="32">
        <f t="shared" si="25"/>
        <v>0.7857142857142857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/>
      <c r="Z399" s="72"/>
      <c r="AA399" s="72"/>
      <c r="AB399" s="72" t="s">
        <v>1489</v>
      </c>
      <c r="AC399" s="72" t="s">
        <v>1489</v>
      </c>
      <c r="AD399" s="72" t="s">
        <v>1489</v>
      </c>
      <c r="AE399" s="72" t="s">
        <v>1489</v>
      </c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22</v>
      </c>
      <c r="J400" s="31">
        <f t="shared" si="24"/>
        <v>6</v>
      </c>
      <c r="K400" s="32">
        <f t="shared" si="25"/>
        <v>0.7857142857142857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/>
      <c r="Z400" s="72"/>
      <c r="AA400" s="72"/>
      <c r="AB400" s="72" t="s">
        <v>1489</v>
      </c>
      <c r="AC400" s="72" t="s">
        <v>1489</v>
      </c>
      <c r="AD400" s="72" t="s">
        <v>1489</v>
      </c>
      <c r="AE400" s="72" t="s">
        <v>1489</v>
      </c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26</v>
      </c>
      <c r="J407" s="31">
        <f t="shared" si="24"/>
        <v>2</v>
      </c>
      <c r="K407" s="32">
        <f t="shared" si="25"/>
        <v>0.9285714285714286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 t="s">
        <v>1489</v>
      </c>
      <c r="AC407" s="72" t="s">
        <v>1489</v>
      </c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26</v>
      </c>
      <c r="J408" s="31">
        <f t="shared" si="24"/>
        <v>2</v>
      </c>
      <c r="K408" s="32">
        <f t="shared" si="25"/>
        <v>0.9285714285714286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 t="s">
        <v>1489</v>
      </c>
      <c r="AC408" s="72" t="s">
        <v>1489</v>
      </c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24</v>
      </c>
      <c r="J409" s="31">
        <f t="shared" si="24"/>
        <v>4</v>
      </c>
      <c r="K409" s="32">
        <f t="shared" si="25"/>
        <v>0.8571428571428571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 t="s">
        <v>1489</v>
      </c>
      <c r="AC409" s="72" t="s">
        <v>1489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24</v>
      </c>
      <c r="J410" s="31">
        <f t="shared" si="24"/>
        <v>4</v>
      </c>
      <c r="K410" s="32">
        <f t="shared" si="25"/>
        <v>0.8571428571428571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 t="s">
        <v>1489</v>
      </c>
      <c r="AC410" s="72" t="s">
        <v>1489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1489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27</v>
      </c>
      <c r="J412" s="31">
        <f t="shared" si="24"/>
        <v>1</v>
      </c>
      <c r="K412" s="32">
        <f t="shared" si="25"/>
        <v>0.9642857142857143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 t="s">
        <v>1489</v>
      </c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27</v>
      </c>
      <c r="J413" s="31">
        <f t="shared" si="24"/>
        <v>1</v>
      </c>
      <c r="K413" s="32">
        <f t="shared" si="25"/>
        <v>0.9642857142857143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 t="s">
        <v>1489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 t="s">
        <v>1489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27</v>
      </c>
      <c r="J447" s="31">
        <f t="shared" si="24"/>
        <v>1</v>
      </c>
      <c r="K447" s="32">
        <f t="shared" si="25"/>
        <v>0.9642857142857143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 t="s">
        <v>1489</v>
      </c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1489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1489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11</v>
      </c>
      <c r="J452" s="31">
        <f t="shared" si="24"/>
        <v>17</v>
      </c>
      <c r="K452" s="32">
        <f t="shared" si="25"/>
        <v>0.39285714285714285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/>
      <c r="Z452" s="72"/>
      <c r="AA452" s="72"/>
      <c r="AB452" s="72" t="s">
        <v>1489</v>
      </c>
      <c r="AC452" s="72" t="s">
        <v>1489</v>
      </c>
      <c r="AD452" s="99" t="s">
        <v>1489</v>
      </c>
      <c r="AE452" s="99" t="s">
        <v>1489</v>
      </c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11</v>
      </c>
      <c r="J453" s="31">
        <f t="shared" si="24"/>
        <v>17</v>
      </c>
      <c r="K453" s="32">
        <f t="shared" si="25"/>
        <v>0.39285714285714285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/>
      <c r="Z453" s="72"/>
      <c r="AA453" s="72"/>
      <c r="AB453" s="72" t="s">
        <v>1489</v>
      </c>
      <c r="AC453" s="72" t="s">
        <v>1489</v>
      </c>
      <c r="AD453" s="99" t="s">
        <v>1489</v>
      </c>
      <c r="AE453" s="99" t="s">
        <v>1489</v>
      </c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11</v>
      </c>
      <c r="J465" s="31">
        <f t="shared" si="27"/>
        <v>17</v>
      </c>
      <c r="K465" s="32">
        <f t="shared" si="28"/>
        <v>0.39285714285714285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/>
      <c r="Z465" s="72"/>
      <c r="AA465" s="72"/>
      <c r="AB465" s="72" t="s">
        <v>1489</v>
      </c>
      <c r="AC465" s="72" t="s">
        <v>1489</v>
      </c>
      <c r="AD465" s="72" t="s">
        <v>1489</v>
      </c>
      <c r="AE465" s="72" t="s">
        <v>1489</v>
      </c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11</v>
      </c>
      <c r="J467" s="31">
        <f t="shared" si="27"/>
        <v>17</v>
      </c>
      <c r="K467" s="32">
        <f t="shared" si="28"/>
        <v>0.39285714285714285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/>
      <c r="Z467" s="72"/>
      <c r="AA467" s="72"/>
      <c r="AB467" s="72" t="s">
        <v>1489</v>
      </c>
      <c r="AC467" s="72" t="s">
        <v>1489</v>
      </c>
      <c r="AD467" s="72" t="s">
        <v>1489</v>
      </c>
      <c r="AE467" s="72" t="s">
        <v>1489</v>
      </c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91" zoomScale="110" zoomScaleNormal="110" workbookViewId="0">
      <selection activeCell="G204" sqref="G20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0.1154639175257732</v>
      </c>
      <c r="F179" s="139"/>
    </row>
    <row r="180" spans="2:6" x14ac:dyDescent="0.25">
      <c r="B180" s="55" t="s">
        <v>1254</v>
      </c>
      <c r="C180" s="69">
        <v>8</v>
      </c>
      <c r="D180" s="109">
        <f>C179-C180</f>
        <v>48</v>
      </c>
      <c r="E180" s="57">
        <f>D180/C178</f>
        <v>9.8969072164948449E-2</v>
      </c>
      <c r="F180" s="139"/>
    </row>
    <row r="181" spans="2:6" x14ac:dyDescent="0.25">
      <c r="B181" s="55" t="s">
        <v>1255</v>
      </c>
      <c r="C181" s="69">
        <v>6</v>
      </c>
      <c r="D181" s="109">
        <f>D180-C181</f>
        <v>42</v>
      </c>
      <c r="E181" s="57">
        <f>D181/C178</f>
        <v>8.6597938144329895E-2</v>
      </c>
      <c r="F181" s="139"/>
    </row>
    <row r="182" spans="2:6" x14ac:dyDescent="0.25">
      <c r="B182" s="55" t="s">
        <v>16</v>
      </c>
      <c r="C182" s="100">
        <f>'RESUMEN TOTAL'!AB5</f>
        <v>20</v>
      </c>
      <c r="D182" s="109">
        <f>D181-C182</f>
        <v>22</v>
      </c>
      <c r="E182" s="57">
        <f>D182/C178</f>
        <v>4.536082474226804E-2</v>
      </c>
      <c r="F182" s="139"/>
    </row>
    <row r="183" spans="2:6" ht="15.75" thickBot="1" x14ac:dyDescent="0.3">
      <c r="B183" s="58" t="s">
        <v>1492</v>
      </c>
      <c r="C183" s="137">
        <v>10</v>
      </c>
      <c r="D183" s="110">
        <f>D182-C183</f>
        <v>12</v>
      </c>
      <c r="E183" s="76">
        <f>D183/C178</f>
        <v>2.4742268041237112E-2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24</v>
      </c>
      <c r="E185" s="111">
        <f>D185/C185</f>
        <v>9.125475285171103E-2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0.14020618556701031</v>
      </c>
      <c r="F190" s="139"/>
    </row>
    <row r="191" spans="2:6" x14ac:dyDescent="0.25">
      <c r="B191" s="55" t="s">
        <v>1254</v>
      </c>
      <c r="C191" s="69">
        <v>3</v>
      </c>
      <c r="D191" s="109">
        <f>C190-C191</f>
        <v>65</v>
      </c>
      <c r="E191" s="57">
        <f>D191/C189</f>
        <v>0.13402061855670103</v>
      </c>
      <c r="F191" s="139"/>
    </row>
    <row r="192" spans="2:6" x14ac:dyDescent="0.25">
      <c r="B192" s="55" t="s">
        <v>1255</v>
      </c>
      <c r="C192" s="69">
        <v>6</v>
      </c>
      <c r="D192" s="109">
        <f>D191-C192</f>
        <v>59</v>
      </c>
      <c r="E192" s="57">
        <f>D192/C189</f>
        <v>0.12164948453608247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9.0721649484536079E-2</v>
      </c>
      <c r="F193" s="139"/>
    </row>
    <row r="194" spans="2:6" ht="15.75" thickBot="1" x14ac:dyDescent="0.3">
      <c r="B194" s="58" t="s">
        <v>1492</v>
      </c>
      <c r="C194" s="137">
        <v>10</v>
      </c>
      <c r="D194" s="110">
        <f>D193-C194</f>
        <v>34</v>
      </c>
      <c r="E194" s="76">
        <f>D194/C189</f>
        <v>7.0103092783505155E-2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v>40</v>
      </c>
      <c r="E196" s="111">
        <f>D196/C196</f>
        <v>0.15209125475285171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9.0721649484536079E-2</v>
      </c>
      <c r="F201" s="139"/>
    </row>
    <row r="202" spans="2:6" x14ac:dyDescent="0.25">
      <c r="B202" s="55" t="s">
        <v>1254</v>
      </c>
      <c r="C202" s="69">
        <v>2</v>
      </c>
      <c r="D202" s="109">
        <f>C201-C202</f>
        <v>42</v>
      </c>
      <c r="E202" s="57">
        <f>D202/C200</f>
        <v>8.6597938144329895E-2</v>
      </c>
      <c r="F202" s="139"/>
    </row>
    <row r="203" spans="2:6" x14ac:dyDescent="0.25">
      <c r="B203" s="55" t="s">
        <v>1255</v>
      </c>
      <c r="C203" s="69">
        <v>6</v>
      </c>
      <c r="D203" s="109">
        <f>D202-C203</f>
        <v>36</v>
      </c>
      <c r="E203" s="57">
        <f>D203/C200</f>
        <v>7.422680412371134E-2</v>
      </c>
      <c r="F203" s="139"/>
    </row>
    <row r="204" spans="2:6" x14ac:dyDescent="0.25">
      <c r="B204" s="55" t="s">
        <v>16</v>
      </c>
      <c r="C204" s="100">
        <f>'RESUMEN TOTAL'!AC5</f>
        <v>15</v>
      </c>
      <c r="D204" s="109">
        <f>D203-C204</f>
        <v>21</v>
      </c>
      <c r="E204" s="57">
        <f>D204/C200</f>
        <v>4.3298969072164947E-2</v>
      </c>
      <c r="F204" s="139"/>
    </row>
    <row r="205" spans="2:6" ht="15.75" thickBot="1" x14ac:dyDescent="0.3">
      <c r="B205" s="58" t="s">
        <v>1492</v>
      </c>
      <c r="C205" s="137">
        <v>10</v>
      </c>
      <c r="D205" s="110">
        <f>D204-C205</f>
        <v>11</v>
      </c>
      <c r="E205" s="76">
        <f>D205/C200</f>
        <v>2.268041237113402E-2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v>19</v>
      </c>
      <c r="E207" s="111">
        <f>D207/C207</f>
        <v>7.2243346007604556E-2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68</v>
      </c>
      <c r="D212" s="56"/>
      <c r="E212" s="57">
        <f>C212/C211</f>
        <v>0.14020618556701031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68</v>
      </c>
      <c r="E213" s="57">
        <f>D213/C211</f>
        <v>0.14020618556701031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68</v>
      </c>
      <c r="E214" s="57">
        <f>D214/C211</f>
        <v>0.14020618556701031</v>
      </c>
      <c r="F214" s="139"/>
    </row>
    <row r="215" spans="2:6" x14ac:dyDescent="0.25">
      <c r="B215" s="55" t="s">
        <v>16</v>
      </c>
      <c r="C215" s="100">
        <f>'RESUMEN TOTAL'!AE5</f>
        <v>9</v>
      </c>
      <c r="D215" s="109">
        <f>D214-C215</f>
        <v>59</v>
      </c>
      <c r="E215" s="57">
        <f>D215/C211</f>
        <v>0.12164948453608247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59</v>
      </c>
      <c r="E216" s="76">
        <f>D216/C211</f>
        <v>0.12164948453608247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41</v>
      </c>
      <c r="E218" s="111">
        <f>D218/C218</f>
        <v>0.155893536121673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27</v>
      </c>
      <c r="E219" s="120">
        <f>D219/C219</f>
        <v>0.12162162162162163</v>
      </c>
      <c r="F219" s="140"/>
    </row>
    <row r="220" spans="2:6" ht="15.75" thickTop="1" x14ac:dyDescent="0.25"/>
  </sheetData>
  <sheetProtection selectLockedCells="1"/>
  <mergeCells count="20">
    <mergeCell ref="F189:F197"/>
    <mergeCell ref="F200:F208"/>
    <mergeCell ref="F211:F219"/>
    <mergeCell ref="F134:F142"/>
    <mergeCell ref="F145:F153"/>
    <mergeCell ref="F156:F164"/>
    <mergeCell ref="F167:F175"/>
    <mergeCell ref="F178:F186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120" zoomScaleNormal="120" workbookViewId="0">
      <selection activeCell="X6" sqref="X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24</v>
      </c>
      <c r="W3" s="47">
        <f>COUNTIFS('RESUMEN TOTAL'!AC8:AC600,"=APAGADO",'RESUMEN TOTAL'!C8:C600,"=BONOMO")</f>
        <v>40</v>
      </c>
      <c r="X3" s="47">
        <f>COUNTIFS('RESUMEN TOTAL'!AD8:AD600,"=APAGADO",'RESUMEN TOTAL'!C8:C600,"=BONOMO")</f>
        <v>19</v>
      </c>
      <c r="Y3" s="47">
        <f>COUNTIFS('RESUMEN TOTAL'!AE8:AE600,"=APAGADO",'RESUMEN TOTAL'!C8:C600,"=BONOMO")</f>
        <v>41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 t="s">
        <v>1518</v>
      </c>
      <c r="X4" s="52" t="s">
        <v>1520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32</v>
      </c>
      <c r="W5" s="47">
        <f>COUNTIFS('RESUMEN TOTAL'!AC10:AC602,"=APAGADO",'RESUMEN TOTAL'!C10:C602,"=COSEIDI")</f>
        <v>28</v>
      </c>
      <c r="X5" s="47">
        <f>COUNTIFS('RESUMEN TOTAL'!AD10:AD602,"=APAGADO",'RESUMEN TOTAL'!C10:C602,"=COSEIDI")</f>
        <v>25</v>
      </c>
      <c r="Y5" s="47">
        <f>COUNTIFS('RESUMEN TOTAL'!AE10:AE602,"=APAGADO",'RESUMEN TOTAL'!C10:C602,"=COSEIDI")</f>
        <v>27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 t="s">
        <v>1519</v>
      </c>
      <c r="X6" s="51" t="s">
        <v>1521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 t="str">
        <f>'RESUMEN TOTAL'!AB121</f>
        <v>APAGADO</v>
      </c>
      <c r="W111" s="72" t="str">
        <f>'RESUMEN TOTAL'!AC121</f>
        <v>APAGADO</v>
      </c>
      <c r="X111" s="72" t="str">
        <f>'RESUMEN TOTAL'!AD121</f>
        <v>APAGADO</v>
      </c>
      <c r="Y111" s="72" t="str">
        <f>'RESUMEN TOTAL'!AE121</f>
        <v>APAGADO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 t="str">
        <f>'RESUMEN TOTAL'!AB128</f>
        <v>APAGADO</v>
      </c>
      <c r="W118" s="72" t="str">
        <f>'RESUMEN TOTAL'!AC128</f>
        <v>APAGADO</v>
      </c>
      <c r="X118" s="72" t="str">
        <f>'RESUMEN TOTAL'!AD128</f>
        <v>APAGADO</v>
      </c>
      <c r="Y118" s="72" t="str">
        <f>'RESUMEN TOTAL'!AE128</f>
        <v>APÁGADO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 t="str">
        <f>'RESUMEN TOTAL'!AB131</f>
        <v>APAGADO</v>
      </c>
      <c r="W121" s="72" t="str">
        <f>'RESUMEN TOTAL'!AC131</f>
        <v>APAGADO</v>
      </c>
      <c r="X121" s="72" t="str">
        <f>'RESUMEN TOTAL'!AD131</f>
        <v>APAGADO</v>
      </c>
      <c r="Y121" s="72" t="str">
        <f>'RESUMEN TOTAL'!AE131</f>
        <v>APAGADO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 t="str">
        <f>'RESUMEN TOTAL'!AB132</f>
        <v>APAGADO</v>
      </c>
      <c r="W122" s="72" t="str">
        <f>'RESUMEN TOTAL'!AC132</f>
        <v>APAGADO</v>
      </c>
      <c r="X122" s="72" t="str">
        <f>'RESUMEN TOTAL'!AD132</f>
        <v>APAGADO</v>
      </c>
      <c r="Y122" s="72" t="str">
        <f>'RESUMEN TOTAL'!AE132</f>
        <v>APAGADO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 t="str">
        <f>'RESUMEN TOTAL'!AC158</f>
        <v>APAGADO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 t="str">
        <f>'RESUMEN TOTAL'!AB159</f>
        <v>APAGADO</v>
      </c>
      <c r="W147" s="72" t="str">
        <f>'RESUMEN TOTAL'!AC159</f>
        <v>APAGADO</v>
      </c>
      <c r="X147" s="72" t="str">
        <f>'RESUMEN TOTAL'!AD159</f>
        <v>APAGADO</v>
      </c>
      <c r="Y147" s="72" t="str">
        <f>'RESUMEN TOTAL'!AE159</f>
        <v>APAGADO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 t="str">
        <f>'RESUMEN TOTAL'!AB163</f>
        <v>APAGADO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 t="str">
        <f>'RESUMEN TOTAL'!AB164</f>
        <v>APAGADO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 t="str">
        <f>'RESUMEN TOTAL'!AB165</f>
        <v>APAGADO</v>
      </c>
      <c r="W153" s="72" t="str">
        <f>'RESUMEN TOTAL'!AC165</f>
        <v>APAGADO</v>
      </c>
      <c r="X153" s="72">
        <f>'RESUMEN TOTAL'!AD165</f>
        <v>0</v>
      </c>
      <c r="Y153" s="72" t="str">
        <f>'RESUMEN TOTAL'!AE165</f>
        <v>APAGADO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 t="str">
        <f>'RESUMEN TOTAL'!AB169</f>
        <v>APAGADO</v>
      </c>
      <c r="W157" s="72" t="str">
        <f>'RESUMEN TOTAL'!AC169</f>
        <v>APAGADO</v>
      </c>
      <c r="X157" s="72" t="str">
        <f>'RESUMEN TOTAL'!AD169</f>
        <v>APAGADO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 t="str">
        <f>'RESUMEN TOTAL'!AB177</f>
        <v>APAGADO</v>
      </c>
      <c r="W165" s="72">
        <f>'RESUMEN TOTAL'!AC177</f>
        <v>0</v>
      </c>
      <c r="X165" s="72">
        <f>'RESUMEN TOTAL'!AD177</f>
        <v>0</v>
      </c>
      <c r="Y165" s="72" t="str">
        <f>'RESUMEN TOTAL'!AE177</f>
        <v>APAGADO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 t="str">
        <f>'RESUMEN TOTAL'!AB181</f>
        <v>APAGADO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 t="str">
        <f>'RESUMEN TOTAL'!AB182</f>
        <v>APAGADO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 t="str">
        <f>'RESUMEN TOTAL'!AB207</f>
        <v>APAGADO</v>
      </c>
      <c r="W193" s="72" t="str">
        <f>'RESUMEN TOTAL'!AC207</f>
        <v>APAGADO</v>
      </c>
      <c r="X193" s="72" t="str">
        <f>'RESUMEN TOTAL'!AD207</f>
        <v>APAGADO</v>
      </c>
      <c r="Y193" s="72" t="str">
        <f>'RESUMEN TOTAL'!AE207</f>
        <v>APAGADO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 t="str">
        <f>'RESUMEN TOTAL'!AB208</f>
        <v>APAGADO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 t="str">
        <f>'RESUMEN TOTAL'!AE209</f>
        <v>APAGADO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 t="str">
        <f>'RESUMEN TOTAL'!AB210</f>
        <v>APAGADO</v>
      </c>
      <c r="W196" s="72" t="str">
        <f>'RESUMEN TOTAL'!AC210</f>
        <v>APAGADO</v>
      </c>
      <c r="X196" s="72" t="str">
        <f>'RESUMEN TOTAL'!AD210</f>
        <v>APAGADO</v>
      </c>
      <c r="Y196" s="72" t="str">
        <f>'RESUMEN TOTAL'!AE210</f>
        <v>APAGADO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 t="str">
        <f>'RESUMEN TOTAL'!AE231</f>
        <v>APAGADO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 t="str">
        <f>'RESUMEN TOTAL'!AE233</f>
        <v>APAGADO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 t="str">
        <f>'RESUMEN TOTAL'!AE236</f>
        <v>APAGADO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 t="str">
        <f>'RESUMEN TOTAL'!AB249</f>
        <v>APAGADO</v>
      </c>
      <c r="W234" s="72" t="str">
        <f>'RESUMEN TOTAL'!AC249</f>
        <v>APAGADO</v>
      </c>
      <c r="X234" s="72" t="str">
        <f>'RESUMEN TOTAL'!AD249</f>
        <v>APAGADO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 t="str">
        <f>'RESUMEN TOTAL'!AE255</f>
        <v>APAGADO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 t="str">
        <f>'RESUMEN TOTAL'!AE256</f>
        <v>APAGADO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 t="str">
        <f>'RESUMEN TOTAL'!AE257</f>
        <v>APAGADO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 t="str">
        <f>'RESUMEN TOTAL'!AB263</f>
        <v>APAGADO</v>
      </c>
      <c r="W248" s="72" t="str">
        <f>'RESUMEN TOTAL'!AC263</f>
        <v>APAGADO</v>
      </c>
      <c r="X248" s="72" t="str">
        <f>'RESUMEN TOTAL'!AD263</f>
        <v>APAGADO</v>
      </c>
      <c r="Y248" s="72" t="str">
        <f>'RESUMEN TOTAL'!AE263</f>
        <v>APAGADO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 t="str">
        <f>'RESUMEN TOTAL'!AB268</f>
        <v>APAGADO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 t="str">
        <f>'RESUMEN TOTAL'!AB300</f>
        <v>APAGADO</v>
      </c>
      <c r="W278" s="72" t="str">
        <f>'RESUMEN TOTAL'!AC300</f>
        <v>APAGADO</v>
      </c>
      <c r="X278" s="72" t="str">
        <f>'RESUMEN TOTAL'!AD300</f>
        <v>APAGADO</v>
      </c>
      <c r="Y278" s="72" t="str">
        <f>'RESUMEN TOTAL'!AE300</f>
        <v>APAGADO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 t="str">
        <f>'RESUMEN TOTAL'!AB301</f>
        <v>APAGADO</v>
      </c>
      <c r="W279" s="72" t="str">
        <f>'RESUMEN TOTAL'!AC301</f>
        <v>APAGADO</v>
      </c>
      <c r="X279" s="72" t="str">
        <f>'RESUMEN TOTAL'!AD301</f>
        <v>APAGADO</v>
      </c>
      <c r="Y279" s="72" t="str">
        <f>'RESUMEN TOTAL'!AE301</f>
        <v>APAGADO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 t="str">
        <f>'RESUMEN TOTAL'!AB306</f>
        <v>APAGADO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 t="str">
        <f>'RESUMEN TOTAL'!AB317</f>
        <v>APAGADO</v>
      </c>
      <c r="W295" s="72" t="str">
        <f>'RESUMEN TOTAL'!AC317</f>
        <v>APAGADO</v>
      </c>
      <c r="X295" s="72" t="str">
        <f>'RESUMEN TOTAL'!AD317</f>
        <v>APAGADO</v>
      </c>
      <c r="Y295" s="72" t="str">
        <f>'RESUMEN TOTAL'!AE317</f>
        <v>APAGADO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 t="str">
        <f>'RESUMEN TOTAL'!AC318</f>
        <v>APAGADO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 t="str">
        <f>'RESUMEN TOTAL'!AC319</f>
        <v>APAGADO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 t="str">
        <f>'RESUMEN TOTAL'!AB322</f>
        <v>APAGADO</v>
      </c>
      <c r="W300" s="72" t="str">
        <f>'RESUMEN TOTAL'!AC322</f>
        <v>APAGADO</v>
      </c>
      <c r="X300" s="72" t="str">
        <f>'RESUMEN TOTAL'!AD322</f>
        <v>APAGADO</v>
      </c>
      <c r="Y300" s="72" t="str">
        <f>'RESUMEN TOTAL'!AE322</f>
        <v>APAGADO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 t="str">
        <f>'RESUMEN TOTAL'!AB323</f>
        <v>APAGADO</v>
      </c>
      <c r="W301" s="72" t="str">
        <f>'RESUMEN TOTAL'!AC323</f>
        <v>APAGADO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 t="str">
        <f>'RESUMEN TOTAL'!AC325</f>
        <v>APAGADO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 t="str">
        <f>'RESUMEN TOTAL'!AC326</f>
        <v>APAGADO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 t="str">
        <f>'RESUMEN TOTAL'!AC327</f>
        <v>APAGADO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 t="str">
        <f>'RESUMEN TOTAL'!AC328</f>
        <v>APAGADO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 t="str">
        <f>'RESUMEN TOTAL'!AC329</f>
        <v>APAGADO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 t="str">
        <f>'RESUMEN TOTAL'!AC330</f>
        <v>APAGADO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 t="str">
        <f>'RESUMEN TOTAL'!AC331</f>
        <v>APAGADO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 t="str">
        <f>'RESUMEN TOTAL'!AC332</f>
        <v>APAGADO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 t="str">
        <f>'RESUMEN TOTAL'!AC333</f>
        <v>APAGADO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 t="str">
        <f>'RESUMEN TOTAL'!AC334</f>
        <v>APAGADO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 t="str">
        <f>'RESUMEN TOTAL'!AC335</f>
        <v>APAGADO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 t="str">
        <f>'RESUMEN TOTAL'!AC336</f>
        <v>APAGADO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 t="str">
        <f>'RESUMEN TOTAL'!AB340</f>
        <v>APAGADO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 t="str">
        <f>'RESUMEN TOTAL'!AB350</f>
        <v>APAGADO</v>
      </c>
      <c r="W325" s="72" t="str">
        <f>'RESUMEN TOTAL'!AC350</f>
        <v>APAGADO</v>
      </c>
      <c r="X325" s="72" t="str">
        <f>'RESUMEN TOTAL'!AD350</f>
        <v>APAGADO</v>
      </c>
      <c r="Y325" s="72" t="str">
        <f>'RESUMEN TOTAL'!AE350</f>
        <v>APAGADO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 t="str">
        <f>'RESUMEN TOTAL'!AB355</f>
        <v>APAGADO</v>
      </c>
      <c r="W328" s="72" t="str">
        <f>'RESUMEN TOTAL'!AC355</f>
        <v>APAGADO</v>
      </c>
      <c r="X328" s="72" t="str">
        <f>'RESUMEN TOTAL'!AD355</f>
        <v>APAGADO</v>
      </c>
      <c r="Y328" s="72" t="str">
        <f>'RESUMEN TOTAL'!AE355</f>
        <v>APAGADO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 t="str">
        <f>'RESUMEN TOTAL'!AB358</f>
        <v>APAGADO</v>
      </c>
      <c r="W331" s="72" t="str">
        <f>'RESUMEN TOTAL'!AC358</f>
        <v>APAGADO</v>
      </c>
      <c r="X331" s="72" t="str">
        <f>'RESUMEN TOTAL'!AD358</f>
        <v>APAGADO</v>
      </c>
      <c r="Y331" s="72" t="str">
        <f>'RESUMEN TOTAL'!AE358</f>
        <v>APAGADO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 t="str">
        <f>'RESUMEN TOTAL'!AB359</f>
        <v>APAGADO</v>
      </c>
      <c r="W332" s="72" t="str">
        <f>'RESUMEN TOTAL'!AC359</f>
        <v>APAGADO</v>
      </c>
      <c r="X332" s="72" t="str">
        <f>'RESUMEN TOTAL'!AD359</f>
        <v>APAGADO</v>
      </c>
      <c r="Y332" s="72" t="str">
        <f>'RESUMEN TOTAL'!AE359</f>
        <v>APAGADO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 t="str">
        <f>'RESUMEN TOTAL'!AB376</f>
        <v>APAGADO</v>
      </c>
      <c r="W349" s="72" t="str">
        <f>'RESUMEN TOTAL'!AC376</f>
        <v>APAGADO</v>
      </c>
      <c r="X349" s="72" t="str">
        <f>'RESUMEN TOTAL'!AD376</f>
        <v>APAGADO</v>
      </c>
      <c r="Y349" s="72" t="str">
        <f>'RESUMEN TOTAL'!AE376</f>
        <v>APAGADO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 t="str">
        <f>'RESUMEN TOTAL'!AD379</f>
        <v>APAGADO</v>
      </c>
      <c r="Y352" s="72" t="str">
        <f>'RESUMEN TOTAL'!AE379</f>
        <v>APAGADO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 t="str">
        <f>'RESUMEN TOTAL'!AB385</f>
        <v>APAGADO</v>
      </c>
      <c r="W358" s="72" t="str">
        <f>'RESUMEN TOTAL'!AC385</f>
        <v>APAGADO</v>
      </c>
      <c r="X358" s="72">
        <f>'RESUMEN TOTAL'!AD385</f>
        <v>0</v>
      </c>
      <c r="Y358" s="72" t="str">
        <f>'RESUMEN TOTAL'!AE385</f>
        <v>APAGADO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 t="str">
        <f>'RESUMEN TOTAL'!AC389</f>
        <v>APAGADO</v>
      </c>
      <c r="X362" s="72" t="str">
        <f>'RESUMEN TOTAL'!AD389</f>
        <v>APAGADO</v>
      </c>
      <c r="Y362" s="72" t="str">
        <f>'RESUMEN TOTAL'!AE389</f>
        <v>APAGADO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 t="str">
        <f>'RESUMEN TOTAL'!AB399</f>
        <v>APAGADO</v>
      </c>
      <c r="W372" s="72" t="str">
        <f>'RESUMEN TOTAL'!AC399</f>
        <v>APAGADO</v>
      </c>
      <c r="X372" s="72" t="str">
        <f>'RESUMEN TOTAL'!AD399</f>
        <v>APAGADO</v>
      </c>
      <c r="Y372" s="72" t="str">
        <f>'RESUMEN TOTAL'!AE399</f>
        <v>APAGADO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 t="str">
        <f>'RESUMEN TOTAL'!AB400</f>
        <v>APAGADO</v>
      </c>
      <c r="W373" s="72" t="str">
        <f>'RESUMEN TOTAL'!AC400</f>
        <v>APAGADO</v>
      </c>
      <c r="X373" s="72" t="str">
        <f>'RESUMEN TOTAL'!AD400</f>
        <v>APAGADO</v>
      </c>
      <c r="Y373" s="72" t="str">
        <f>'RESUMEN TOTAL'!AE400</f>
        <v>APAGADO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 t="str">
        <f>'RESUMEN TOTAL'!AB407</f>
        <v>APAGADO</v>
      </c>
      <c r="W378" s="72" t="str">
        <f>'RESUMEN TOTAL'!AC407</f>
        <v>APAGADO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 t="str">
        <f>'RESUMEN TOTAL'!AB408</f>
        <v>APAGADO</v>
      </c>
      <c r="W379" s="72" t="str">
        <f>'RESUMEN TOTAL'!AC408</f>
        <v>APAGADO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 t="str">
        <f>'RESUMEN TOTAL'!AB409</f>
        <v>APAGADO</v>
      </c>
      <c r="W380" s="72" t="str">
        <f>'RESUMEN TOTAL'!AC409</f>
        <v>APAGADO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 t="str">
        <f>'RESUMEN TOTAL'!AB410</f>
        <v>APAGADO</v>
      </c>
      <c r="W381" s="72" t="str">
        <f>'RESUMEN TOTAL'!AC410</f>
        <v>APAGADO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 t="str">
        <f>'RESUMEN TOTAL'!AB411</f>
        <v>APAGADO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 t="str">
        <f>'RESUMEN TOTAL'!AD412</f>
        <v>APAGADO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 t="str">
        <f>'RESUMEN TOTAL'!AD413</f>
        <v>APAGADO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 t="str">
        <f>'RESUMEN TOTAL'!AC446</f>
        <v>APAGADO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 t="str">
        <f>'RESUMEN TOTAL'!AC447</f>
        <v>APAGADO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 t="str">
        <f>'RESUMEN TOTAL'!AC450</f>
        <v>APAGADO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 t="str">
        <f>'RESUMEN TOTAL'!AC451</f>
        <v>APAGADO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 t="str">
        <f>'RESUMEN TOTAL'!AB452</f>
        <v>APAGADO</v>
      </c>
      <c r="W423" s="72" t="str">
        <f>'RESUMEN TOTAL'!AC452</f>
        <v>APAGADO</v>
      </c>
      <c r="X423" s="72" t="str">
        <f>'RESUMEN TOTAL'!AD452</f>
        <v>APAGADO</v>
      </c>
      <c r="Y423" s="72" t="str">
        <f>'RESUMEN TOTAL'!AE452</f>
        <v>APAGADO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 t="str">
        <f>'RESUMEN TOTAL'!AB453</f>
        <v>APAGADO</v>
      </c>
      <c r="W424" s="72" t="str">
        <f>'RESUMEN TOTAL'!AC453</f>
        <v>APAGADO</v>
      </c>
      <c r="X424" s="72" t="str">
        <f>'RESUMEN TOTAL'!AD453</f>
        <v>APAGADO</v>
      </c>
      <c r="Y424" s="72" t="str">
        <f>'RESUMEN TOTAL'!AE453</f>
        <v>APAGADO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 t="str">
        <f>'RESUMEN TOTAL'!AB465</f>
        <v>APAGADO</v>
      </c>
      <c r="W435" s="72" t="str">
        <f>'RESUMEN TOTAL'!AC465</f>
        <v>APAGADO</v>
      </c>
      <c r="X435" s="72" t="str">
        <f>'RESUMEN TOTAL'!AD465</f>
        <v>APAGADO</v>
      </c>
      <c r="Y435" s="72" t="str">
        <f>'RESUMEN TOTAL'!AE465</f>
        <v>APAGADO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 t="str">
        <f>'RESUMEN TOTAL'!AB467</f>
        <v>APAGADO</v>
      </c>
      <c r="W437" s="72" t="str">
        <f>'RESUMEN TOTAL'!AC467</f>
        <v>APAGADO</v>
      </c>
      <c r="X437" s="72" t="str">
        <f>'RESUMEN TOTAL'!AD467</f>
        <v>APAGADO</v>
      </c>
      <c r="Y437" s="72" t="str">
        <f>'RESUMEN TOTAL'!AE467</f>
        <v>APAGADO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2025-06-23T10:31:51Z</dcterms:modified>
</cp:coreProperties>
</file>