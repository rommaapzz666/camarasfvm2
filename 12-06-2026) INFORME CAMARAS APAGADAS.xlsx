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A27D319B-EBB1-46D9-8E95-2A8BFC76413A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<sst xmlns="http://schemas.openxmlformats.org/spreadsheetml/2006/main" count="6454" uniqueCount="2479">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</sst>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9"/>
  <sheetViews>
    <sheetView zoomScale="140" zoomScaleNormal="140" zoomScaleSheetLayoutView="100" workbookViewId="0">
      <pane xSplit="18" ySplit="7" topLeftCell="AC318" activePane="bottomRight" state="frozen"/>
      <selection activeCell="G1" sqref="G1"/>
      <selection pane="topRight" activeCell="S1" sqref="S1"/>
      <selection pane="bottomLeft" activeCell="G8" sqref="G8"/>
      <selection pane="bottomRight" activeCell="AD329" sqref="AD329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3.7109375" style="30" customWidth="1"/>
    <col min="8" max="8" width="10.42578125" style="30" hidden="1" customWidth="1"/>
    <col min="9" max="9" width="43.28515625" hidden="1" customWidth="1"/>
    <col min="10" max="10" width="21.85546875" style="61" hidden="1" customWidth="1"/>
    <col min="11" max="11" width="17.5703125" style="65" hidden="1" customWidth="1"/>
    <col min="12" max="12" width="21.85546875" style="65" hidden="1" customWidth="1"/>
    <col min="13" max="13" width="15" style="65" hidden="1" customWidth="1"/>
    <col min="14" max="14" width="21.85546875" style="65" hidden="1" customWidth="1"/>
    <col min="15" max="17" width="21.85546875" hidden="1" customWidth="1"/>
    <col min="18" max="18" width="17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6.5703125" style="14" customWidth="1"/>
    <col min="30" max="30" width="10.710937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9.480122324159021E-2</v>
      </c>
      <c r="V1" s="3">
        <f t="shared" si="0"/>
        <v>9.480122324159021E-2</v>
      </c>
      <c r="W1" s="3">
        <f t="shared" si="0"/>
        <v>9.0629800307219663E-2</v>
      </c>
      <c r="X1" s="3">
        <f t="shared" si="0"/>
        <v>0</v>
      </c>
      <c r="Y1" s="3">
        <f t="shared" si="0"/>
        <v>0</v>
      </c>
      <c r="Z1" s="3">
        <f t="shared" si="0"/>
        <v>9.8934550989345504E-2</v>
      </c>
      <c r="AA1" s="3">
        <f t="shared" si="0"/>
        <v>9.480122324159021E-2</v>
      </c>
      <c r="AB1" s="3">
        <f t="shared" si="0"/>
        <v>0.12941176470588237</v>
      </c>
      <c r="AC1" s="3">
        <f t="shared" si="0"/>
        <v>9.480122324159021E-2</v>
      </c>
      <c r="AD1" s="3">
        <f t="shared" si="0"/>
        <v>9.6183206106870228E-2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63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16</v>
      </c>
      <c r="V4" s="10">
        <f>COUNTIFS(V8:V707, "=APAGADO",K8:K707,"=Fibra Optica")</f>
        <v>16</v>
      </c>
      <c r="W4" s="10">
        <f>COUNTIFS(W8:W707, "=APAGADO",K8:K707,"=Fibra Optica")</f>
        <v>14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19</v>
      </c>
      <c r="AA4" s="10">
        <f>COUNTIFS(AA8:AA707, "=APAGADO",K8:K707,"=Fibra Optica")</f>
        <v>13</v>
      </c>
      <c r="AB4" s="10">
        <f>COUNTIFS(AB8:AB707, "=APAGADO",K8:K707,"=Fibra Optica")</f>
        <v>19</v>
      </c>
      <c r="AC4" s="10">
        <f>COUNTIFS(AC8:AC707, "=APAGADO",K8:K707,"=Fibra Optica")</f>
        <v>14</v>
      </c>
      <c r="AD4" s="10">
        <f>COUNTIFS(AD8:AD707, "=APAGADO",K8:K707,"=Fibra Optica")</f>
        <v>17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0</v>
      </c>
      <c r="AI4" s="10">
        <f>COUNTIFS(AI8:AI707, "=APAGADO",K8:K707,"=Fibra Optica")</f>
        <v>0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5</v>
      </c>
      <c r="T5" s="127">
        <f>COUNTIFS(T8:T707, "=APAGADO",K8:K707,"=RADIO")</f>
        <v>5</v>
      </c>
      <c r="U5" s="127">
        <f>COUNTIFS(U8:U707, "=APAGADO",K8:K707,"=RADIO")</f>
        <v>5</v>
      </c>
      <c r="V5" s="127">
        <f>COUNTIFS(V8:V707, "=APAGADO",K8:K707,"=RADIO")</f>
        <v>5</v>
      </c>
      <c r="W5" s="127">
        <f>COUNTIFS(W8:W707, "=APAGADO",K8:K707,"=RADIO")</f>
        <v>5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5</v>
      </c>
      <c r="AA5" s="127">
        <f>COUNTIFS(AA8:AA707, "=APAGADO",K8:K707,"=RADIO")</f>
        <v>5</v>
      </c>
      <c r="AB5" s="127">
        <f>COUNTIFS(AB8:AB707, "=APAGADO",K8:K707,"=RADIO")</f>
        <v>5</v>
      </c>
      <c r="AC5" s="127">
        <f>COUNTIFS(AC8:AC707, "=APAGADO",K8:K707,"=RADIO")</f>
        <v>5</v>
      </c>
      <c r="AD5" s="127">
        <f>COUNTIFS(AD8:AD707, "=APAGADO",K8:K707,"=RADIO")</f>
        <v>5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0</v>
      </c>
      <c r="AI5" s="127">
        <f>COUNTIFS(AI8:AI707, "=APAGADO",K8:K707,"=RADIO")</f>
        <v>0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7</v>
      </c>
      <c r="V6" s="10">
        <f>COUNTIFS(V8:V707, "=APAGADO",K8:K707,"=PTO A FO")</f>
        <v>7</v>
      </c>
      <c r="W6" s="10">
        <f>COUNTIFS(W8:W707, "=APAGADO",K8:K707,"=PTO A FO")</f>
        <v>5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9</v>
      </c>
      <c r="AA6" s="10">
        <f>COUNTIFS(AA8:AA707, "=APAGADO",K8:K707,"=PTO A FO")</f>
        <v>7</v>
      </c>
      <c r="AB6" s="10">
        <f>COUNTIFS(AB8:AB707, "=APAGADO",K8:K707,"=PTO A FO")</f>
        <v>10</v>
      </c>
      <c r="AC6" s="10">
        <f>COUNTIFS(AC8:AC707, "=APAGADO",K8:K707,"=PTO A FO")</f>
        <v>7</v>
      </c>
      <c r="AD6" s="10">
        <f>COUNTIFS(AD8:AD707, "=APAGADO",K8:K707,"=PTO A FO")</f>
        <v>6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0</v>
      </c>
      <c r="AI6" s="10">
        <f>COUNTIFS(AI8:AI707, "=APAGADO",K8:K707,"=PTO A FO")</f>
        <v>0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hidden="1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26</v>
      </c>
      <c r="P9" s="136" t="s">
        <v>1633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2221</v>
      </c>
      <c r="AA9" s="70" t="s">
        <v>2221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19</v>
      </c>
      <c r="P13" s="136" t="s">
        <v>1639</v>
      </c>
      <c r="Q13" s="131">
        <f t="shared" si="5"/>
        <v>9</v>
      </c>
      <c r="R13" s="132">
        <f t="shared" si="6"/>
        <v>0.6785714285714286</v>
      </c>
      <c r="S13" s="70"/>
      <c r="T13" s="70" t="s">
        <v>2221</v>
      </c>
      <c r="U13" s="70" t="s">
        <v>2221</v>
      </c>
      <c r="V13" s="70" t="s">
        <v>2221</v>
      </c>
      <c r="W13" s="70" t="s">
        <v>2221</v>
      </c>
      <c r="X13" s="70"/>
      <c r="Y13" s="70"/>
      <c r="Z13" s="70" t="s">
        <v>2221</v>
      </c>
      <c r="AA13" s="70" t="s">
        <v>2221</v>
      </c>
      <c r="AB13" s="70" t="s">
        <v>2221</v>
      </c>
      <c r="AC13" s="70" t="s">
        <v>2221</v>
      </c>
      <c r="AD13" s="70" t="s">
        <v>2221</v>
      </c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25</v>
      </c>
      <c r="P16" s="136" t="s">
        <v>1631</v>
      </c>
      <c r="Q16" s="31">
        <f t="shared" si="5"/>
        <v>3</v>
      </c>
      <c r="R16" s="32">
        <f t="shared" si="6"/>
        <v>0.8928571428571429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2221</v>
      </c>
      <c r="AC16" s="70" t="s">
        <v>2221</v>
      </c>
      <c r="AD16" s="70" t="s">
        <v>2221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27</v>
      </c>
      <c r="P19" s="136" t="s">
        <v>1640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2221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27</v>
      </c>
      <c r="P20" s="136" t="s">
        <v>1641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2221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27</v>
      </c>
      <c r="P21" s="136" t="s">
        <v>1642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2221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24</v>
      </c>
      <c r="P24" s="136" t="s">
        <v>1650</v>
      </c>
      <c r="Q24" s="131">
        <f t="shared" si="5"/>
        <v>4</v>
      </c>
      <c r="R24" s="132">
        <f t="shared" si="6"/>
        <v>0.8571428571428571</v>
      </c>
      <c r="S24" s="70"/>
      <c r="T24" s="70"/>
      <c r="U24" s="70"/>
      <c r="V24" s="70"/>
      <c r="W24" s="70"/>
      <c r="X24" s="70"/>
      <c r="Y24" s="70"/>
      <c r="Z24" s="70"/>
      <c r="AA24" s="70" t="s">
        <v>2221</v>
      </c>
      <c r="AB24" s="70" t="s">
        <v>2221</v>
      </c>
      <c r="AC24" s="70" t="s">
        <v>2221</v>
      </c>
      <c r="AD24" s="70" t="s">
        <v>2221</v>
      </c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28</v>
      </c>
      <c r="P30" s="136" t="s">
        <v>1644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28</v>
      </c>
      <c r="P31" s="136" t="s">
        <v>1645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28</v>
      </c>
      <c r="P32" s="136" t="s">
        <v>1646</v>
      </c>
      <c r="Q32" s="31">
        <f t="shared" si="8"/>
        <v>0</v>
      </c>
      <c r="R32" s="32">
        <f t="shared" si="9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28</v>
      </c>
      <c r="P33" s="136" t="s">
        <v>1647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27</v>
      </c>
      <c r="P41" s="136" t="s">
        <v>2141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2221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27</v>
      </c>
      <c r="P44" s="136" t="s">
        <v>1658</v>
      </c>
      <c r="Q44" s="31">
        <f t="shared" si="8"/>
        <v>1</v>
      </c>
      <c r="R44" s="32">
        <f t="shared" si="9"/>
        <v>0.9642857142857143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 t="s">
        <v>2221</v>
      </c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18</v>
      </c>
      <c r="P51" s="136" t="s">
        <v>1704</v>
      </c>
      <c r="Q51" s="131">
        <f t="shared" si="8"/>
        <v>10</v>
      </c>
      <c r="R51" s="132">
        <f t="shared" si="9"/>
        <v>0.6428571428571429</v>
      </c>
      <c r="S51" s="70" t="s">
        <v>2221</v>
      </c>
      <c r="T51" s="70" t="s">
        <v>2221</v>
      </c>
      <c r="U51" s="70" t="s">
        <v>2221</v>
      </c>
      <c r="V51" s="70" t="s">
        <v>2221</v>
      </c>
      <c r="W51" s="70" t="s">
        <v>2221</v>
      </c>
      <c r="X51" s="70"/>
      <c r="Y51" s="70"/>
      <c r="Z51" s="70" t="s">
        <v>2221</v>
      </c>
      <c r="AA51" s="70" t="s">
        <v>2221</v>
      </c>
      <c r="AB51" s="70" t="s">
        <v>2221</v>
      </c>
      <c r="AC51" s="70" t="s">
        <v>2221</v>
      </c>
      <c r="AD51" s="70" t="s">
        <v>2221</v>
      </c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27</v>
      </c>
      <c r="P53" s="136" t="s">
        <v>1706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2221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18</v>
      </c>
      <c r="P77" s="136" t="s">
        <v>2427</v>
      </c>
      <c r="Q77" s="31">
        <f t="shared" si="11"/>
        <v>10</v>
      </c>
      <c r="R77" s="32">
        <f t="shared" si="12"/>
        <v>0.6428571428571429</v>
      </c>
      <c r="S77" s="70" t="s">
        <v>2221</v>
      </c>
      <c r="T77" s="70" t="s">
        <v>2221</v>
      </c>
      <c r="U77" s="70" t="s">
        <v>2221</v>
      </c>
      <c r="V77" s="70" t="s">
        <v>2221</v>
      </c>
      <c r="W77" s="70" t="s">
        <v>2221</v>
      </c>
      <c r="X77" s="70"/>
      <c r="Y77" s="70"/>
      <c r="Z77" s="70" t="s">
        <v>2221</v>
      </c>
      <c r="AA77" s="70" t="s">
        <v>2221</v>
      </c>
      <c r="AB77" s="70" t="s">
        <v>2221</v>
      </c>
      <c r="AC77" s="70" t="s">
        <v>2221</v>
      </c>
      <c r="AD77" s="70" t="s">
        <v>2221</v>
      </c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1685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 t="s">
        <v>2221</v>
      </c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18</v>
      </c>
      <c r="P110" s="136" t="s">
        <v>1691</v>
      </c>
      <c r="Q110" s="31">
        <f t="shared" si="14"/>
        <v>10</v>
      </c>
      <c r="R110" s="32">
        <f t="shared" si="15"/>
        <v>0.6428571428571429</v>
      </c>
      <c r="S110" s="70" t="s">
        <v>2221</v>
      </c>
      <c r="T110" s="70" t="s">
        <v>2221</v>
      </c>
      <c r="U110" s="70" t="s">
        <v>2221</v>
      </c>
      <c r="V110" s="70" t="s">
        <v>2221</v>
      </c>
      <c r="W110" s="70" t="s">
        <v>2221</v>
      </c>
      <c r="X110" s="70"/>
      <c r="Y110" s="70"/>
      <c r="Z110" s="70" t="s">
        <v>2221</v>
      </c>
      <c r="AA110" s="70" t="s">
        <v>2221</v>
      </c>
      <c r="AB110" s="70" t="s">
        <v>2221</v>
      </c>
      <c r="AC110" s="70" t="s">
        <v>2221</v>
      </c>
      <c r="AD110" s="70" t="s">
        <v>2221</v>
      </c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1693</v>
      </c>
      <c r="Q112" s="31">
        <f t="shared" si="14"/>
        <v>5</v>
      </c>
      <c r="R112" s="32">
        <f t="shared" si="15"/>
        <v>0.8214285714285714</v>
      </c>
      <c r="S112" s="70" t="s">
        <v>2221</v>
      </c>
      <c r="T112" s="70" t="s">
        <v>2221</v>
      </c>
      <c r="U112" s="70" t="s">
        <v>2221</v>
      </c>
      <c r="V112" s="70" t="s">
        <v>2221</v>
      </c>
      <c r="W112" s="70" t="s">
        <v>2221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1694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2221</v>
      </c>
      <c r="V113" s="70" t="s">
        <v>2221</v>
      </c>
      <c r="W113" s="70" t="s">
        <v>2221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2221</v>
      </c>
      <c r="V116" s="70" t="s">
        <v>2221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21</v>
      </c>
      <c r="P118" s="136" t="s">
        <v>1699</v>
      </c>
      <c r="Q118" s="31">
        <f t="shared" si="14"/>
        <v>7</v>
      </c>
      <c r="R118" s="32">
        <f t="shared" si="15"/>
        <v>0.75</v>
      </c>
      <c r="S118" s="70" t="s">
        <v>2221</v>
      </c>
      <c r="T118" s="70" t="s">
        <v>2221</v>
      </c>
      <c r="U118" s="70" t="s">
        <v>2221</v>
      </c>
      <c r="V118" s="70" t="s">
        <v>2221</v>
      </c>
      <c r="W118" s="70" t="s">
        <v>2221</v>
      </c>
      <c r="X118" s="70"/>
      <c r="Y118" s="70"/>
      <c r="Z118" s="70"/>
      <c r="AA118" s="70"/>
      <c r="AB118" s="70"/>
      <c r="AC118" s="70" t="s">
        <v>2221</v>
      </c>
      <c r="AD118" s="70" t="s">
        <v>2221</v>
      </c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27</v>
      </c>
      <c r="P123" s="136" t="s">
        <v>1714</v>
      </c>
      <c r="Q123" s="31">
        <f t="shared" si="14"/>
        <v>1</v>
      </c>
      <c r="R123" s="32">
        <f t="shared" si="15"/>
        <v>0.9642857142857143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 t="s">
        <v>2221</v>
      </c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18</v>
      </c>
      <c r="P129" s="136" t="s">
        <v>1723</v>
      </c>
      <c r="Q129" s="31">
        <f t="shared" si="17"/>
        <v>10</v>
      </c>
      <c r="R129" s="32">
        <f t="shared" si="18"/>
        <v>0.6428571428571429</v>
      </c>
      <c r="S129" s="70" t="s">
        <v>2221</v>
      </c>
      <c r="T129" s="70" t="s">
        <v>2221</v>
      </c>
      <c r="U129" s="70" t="s">
        <v>2221</v>
      </c>
      <c r="V129" s="70" t="s">
        <v>2221</v>
      </c>
      <c r="W129" s="70" t="s">
        <v>2221</v>
      </c>
      <c r="X129" s="70"/>
      <c r="Y129" s="70"/>
      <c r="Z129" s="70" t="s">
        <v>2221</v>
      </c>
      <c r="AA129" s="70" t="s">
        <v>2221</v>
      </c>
      <c r="AB129" s="70" t="s">
        <v>2221</v>
      </c>
      <c r="AC129" s="70" t="s">
        <v>2221</v>
      </c>
      <c r="AD129" s="70" t="s">
        <v>2221</v>
      </c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27</v>
      </c>
      <c r="P144" s="136" t="s">
        <v>1745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2221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2221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18</v>
      </c>
      <c r="P149" s="136" t="s">
        <v>1749</v>
      </c>
      <c r="Q149" s="31">
        <f t="shared" si="17"/>
        <v>10</v>
      </c>
      <c r="R149" s="32">
        <f t="shared" si="18"/>
        <v>0.6428571428571429</v>
      </c>
      <c r="S149" s="70" t="s">
        <v>2221</v>
      </c>
      <c r="T149" s="70" t="s">
        <v>2221</v>
      </c>
      <c r="U149" s="70" t="s">
        <v>2221</v>
      </c>
      <c r="V149" s="70" t="s">
        <v>2221</v>
      </c>
      <c r="W149" s="70" t="s">
        <v>2221</v>
      </c>
      <c r="X149" s="70"/>
      <c r="Y149" s="70"/>
      <c r="Z149" s="70" t="s">
        <v>2221</v>
      </c>
      <c r="AA149" s="70" t="s">
        <v>2221</v>
      </c>
      <c r="AB149" s="70" t="s">
        <v>2221</v>
      </c>
      <c r="AC149" s="70" t="s">
        <v>2221</v>
      </c>
      <c r="AD149" s="70" t="s">
        <v>2221</v>
      </c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27</v>
      </c>
      <c r="P155" s="136" t="s">
        <v>2310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2221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27</v>
      </c>
      <c r="P156" s="136" t="s">
        <v>2311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2221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27</v>
      </c>
      <c r="P160" s="136" t="s">
        <v>2308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2221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27</v>
      </c>
      <c r="P162" s="136" t="s">
        <v>2307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2221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18</v>
      </c>
      <c r="P166" s="136" t="s">
        <v>1757</v>
      </c>
      <c r="Q166" s="31">
        <f t="shared" si="20"/>
        <v>10</v>
      </c>
      <c r="R166" s="32">
        <f t="shared" si="21"/>
        <v>0.6428571428571429</v>
      </c>
      <c r="S166" s="70" t="s">
        <v>2221</v>
      </c>
      <c r="T166" s="70" t="s">
        <v>2221</v>
      </c>
      <c r="U166" s="70" t="s">
        <v>2221</v>
      </c>
      <c r="V166" s="70" t="s">
        <v>2221</v>
      </c>
      <c r="W166" s="70" t="s">
        <v>2221</v>
      </c>
      <c r="X166" s="70"/>
      <c r="Y166" s="70"/>
      <c r="Z166" s="70" t="s">
        <v>2221</v>
      </c>
      <c r="AA166" s="70" t="s">
        <v>2221</v>
      </c>
      <c r="AB166" s="70" t="s">
        <v>2221</v>
      </c>
      <c r="AC166" s="70" t="s">
        <v>2221</v>
      </c>
      <c r="AD166" s="70" t="s">
        <v>2221</v>
      </c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1758</v>
      </c>
      <c r="Q167" s="31">
        <f t="shared" si="20"/>
        <v>1</v>
      </c>
      <c r="R167" s="32">
        <f t="shared" si="21"/>
        <v>0.9642857142857143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1760</v>
      </c>
      <c r="Q169" s="31">
        <f t="shared" si="20"/>
        <v>1</v>
      </c>
      <c r="R169" s="32">
        <f t="shared" si="21"/>
        <v>0.9642857142857143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18</v>
      </c>
      <c r="P171" s="140" t="s">
        <v>1762</v>
      </c>
      <c r="Q171" s="139">
        <f t="shared" si="20"/>
        <v>10</v>
      </c>
      <c r="R171" s="141">
        <f t="shared" si="21"/>
        <v>0.6428571428571429</v>
      </c>
      <c r="S171" s="70" t="s">
        <v>2221</v>
      </c>
      <c r="T171" s="70" t="s">
        <v>2221</v>
      </c>
      <c r="U171" s="70" t="s">
        <v>2221</v>
      </c>
      <c r="V171" s="70" t="s">
        <v>2221</v>
      </c>
      <c r="W171" s="70" t="s">
        <v>2221</v>
      </c>
      <c r="X171" s="70"/>
      <c r="Y171" s="70"/>
      <c r="Z171" s="70" t="s">
        <v>2221</v>
      </c>
      <c r="AA171" s="70" t="s">
        <v>2221</v>
      </c>
      <c r="AB171" s="70" t="s">
        <v>2221</v>
      </c>
      <c r="AC171" s="70" t="s">
        <v>2221</v>
      </c>
      <c r="AD171" s="70" t="s">
        <v>2221</v>
      </c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hidden="1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19</v>
      </c>
      <c r="P176" s="136" t="s">
        <v>1775</v>
      </c>
      <c r="Q176" s="31">
        <f t="shared" si="20"/>
        <v>9</v>
      </c>
      <c r="R176" s="32">
        <f t="shared" si="21"/>
        <v>0.6785714285714286</v>
      </c>
      <c r="S176" s="70" t="s">
        <v>2221</v>
      </c>
      <c r="T176" s="70" t="s">
        <v>2221</v>
      </c>
      <c r="U176" s="70" t="s">
        <v>2221</v>
      </c>
      <c r="V176" s="70" t="s">
        <v>2221</v>
      </c>
      <c r="W176" s="70"/>
      <c r="X176" s="70"/>
      <c r="Y176" s="70"/>
      <c r="Z176" s="70" t="s">
        <v>2221</v>
      </c>
      <c r="AA176" s="70" t="s">
        <v>2221</v>
      </c>
      <c r="AB176" s="70" t="s">
        <v>2221</v>
      </c>
      <c r="AC176" s="70" t="s">
        <v>2221</v>
      </c>
      <c r="AD176" s="70" t="s">
        <v>2221</v>
      </c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21</v>
      </c>
      <c r="P177" s="136" t="s">
        <v>1776</v>
      </c>
      <c r="Q177" s="31">
        <f t="shared" si="20"/>
        <v>7</v>
      </c>
      <c r="R177" s="32">
        <f t="shared" si="21"/>
        <v>0.75</v>
      </c>
      <c r="S177" s="70" t="s">
        <v>2221</v>
      </c>
      <c r="T177" s="70" t="s">
        <v>2221</v>
      </c>
      <c r="U177" s="70" t="s">
        <v>2221</v>
      </c>
      <c r="V177" s="70" t="s">
        <v>2221</v>
      </c>
      <c r="W177" s="70"/>
      <c r="X177" s="70"/>
      <c r="Y177" s="70"/>
      <c r="Z177" s="70"/>
      <c r="AA177" s="70"/>
      <c r="AB177" s="70" t="s">
        <v>2221</v>
      </c>
      <c r="AC177" s="70" t="s">
        <v>2221</v>
      </c>
      <c r="AD177" s="70" t="s">
        <v>2221</v>
      </c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hidden="1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hidden="1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27</v>
      </c>
      <c r="P181" s="136" t="s">
        <v>1763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/>
      <c r="Z181" s="70" t="s">
        <v>2221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hidden="1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hidden="1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hidden="1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1766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 t="s">
        <v>2221</v>
      </c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1771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2221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hidden="1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27</v>
      </c>
      <c r="P193" s="136" t="s">
        <v>2123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2221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hidden="1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18</v>
      </c>
      <c r="P197" s="140"/>
      <c r="Q197" s="139">
        <f t="shared" si="23"/>
        <v>10</v>
      </c>
      <c r="R197" s="141">
        <f t="shared" si="24"/>
        <v>0.6428571428571429</v>
      </c>
      <c r="S197" s="70" t="s">
        <v>2221</v>
      </c>
      <c r="T197" s="70" t="s">
        <v>2221</v>
      </c>
      <c r="U197" s="70" t="s">
        <v>2221</v>
      </c>
      <c r="V197" s="70" t="s">
        <v>2221</v>
      </c>
      <c r="W197" s="70" t="s">
        <v>2221</v>
      </c>
      <c r="X197" s="70"/>
      <c r="Y197" s="70"/>
      <c r="Z197" s="70" t="s">
        <v>2221</v>
      </c>
      <c r="AA197" s="70" t="s">
        <v>2221</v>
      </c>
      <c r="AB197" s="70" t="s">
        <v>2221</v>
      </c>
      <c r="AC197" s="70" t="s">
        <v>2221</v>
      </c>
      <c r="AD197" s="70" t="s">
        <v>2221</v>
      </c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24</v>
      </c>
      <c r="P198" s="136" t="s">
        <v>1786</v>
      </c>
      <c r="Q198" s="131">
        <f t="shared" si="23"/>
        <v>4</v>
      </c>
      <c r="R198" s="132">
        <f t="shared" si="24"/>
        <v>0.8571428571428571</v>
      </c>
      <c r="S198" s="70" t="s">
        <v>2221</v>
      </c>
      <c r="T198" s="70" t="s">
        <v>2221</v>
      </c>
      <c r="U198" s="70"/>
      <c r="V198" s="70"/>
      <c r="W198" s="70" t="s">
        <v>2221</v>
      </c>
      <c r="X198" s="70"/>
      <c r="Y198" s="70"/>
      <c r="Z198" s="70"/>
      <c r="AA198" s="70"/>
      <c r="AB198" s="70" t="s">
        <v>2221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27</v>
      </c>
      <c r="P199" s="136" t="s">
        <v>1789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2221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22</v>
      </c>
      <c r="P206" s="136" t="s">
        <v>1796</v>
      </c>
      <c r="Q206" s="131">
        <f t="shared" si="23"/>
        <v>6</v>
      </c>
      <c r="R206" s="132">
        <f t="shared" si="24"/>
        <v>0.7857142857142857</v>
      </c>
      <c r="S206" s="70" t="s">
        <v>2221</v>
      </c>
      <c r="T206" s="70" t="s">
        <v>2221</v>
      </c>
      <c r="U206" s="70" t="s">
        <v>2221</v>
      </c>
      <c r="V206" s="70" t="s">
        <v>2221</v>
      </c>
      <c r="W206" s="70" t="s">
        <v>2221</v>
      </c>
      <c r="X206" s="70"/>
      <c r="Y206" s="70"/>
      <c r="Z206" s="70"/>
      <c r="AA206" s="70"/>
      <c r="AB206" s="70" t="s">
        <v>2221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hidden="1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 t="s">
        <v>2221</v>
      </c>
      <c r="V207" s="70" t="s">
        <v>2221</v>
      </c>
      <c r="W207" s="70"/>
      <c r="X207" s="70"/>
      <c r="Y207" s="70"/>
      <c r="Z207" s="70"/>
      <c r="AA207" s="70"/>
      <c r="AB207" s="70" t="s">
        <v>2221</v>
      </c>
      <c r="AC207" s="70"/>
      <c r="AD207" s="70" t="s">
        <v>2221</v>
      </c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hidden="1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27</v>
      </c>
      <c r="P208" s="136" t="s">
        <v>1781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2221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hidden="1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24</v>
      </c>
      <c r="P209" s="136" t="s">
        <v>1782</v>
      </c>
      <c r="Q209" s="131">
        <f t="shared" si="26"/>
        <v>4</v>
      </c>
      <c r="R209" s="132">
        <f t="shared" si="27"/>
        <v>0.8571428571428571</v>
      </c>
      <c r="S209" s="70"/>
      <c r="T209" s="70"/>
      <c r="U209" s="70"/>
      <c r="V209" s="70"/>
      <c r="W209" s="70"/>
      <c r="X209" s="70"/>
      <c r="Y209" s="70"/>
      <c r="Z209" s="70"/>
      <c r="AA209" s="70" t="s">
        <v>2221</v>
      </c>
      <c r="AB209" s="70" t="s">
        <v>2221</v>
      </c>
      <c r="AC209" s="70" t="s">
        <v>2221</v>
      </c>
      <c r="AD209" s="70" t="s">
        <v>2221</v>
      </c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hidden="1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27</v>
      </c>
      <c r="P210" s="136" t="s">
        <v>1783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2221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hidden="1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hidden="1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27</v>
      </c>
      <c r="P212" s="136" t="s">
        <v>1785</v>
      </c>
      <c r="Q212" s="31">
        <f t="shared" si="26"/>
        <v>1</v>
      </c>
      <c r="R212" s="32">
        <f t="shared" si="27"/>
        <v>0.9642857142857143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 t="s">
        <v>2221</v>
      </c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hidden="1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hidden="1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27</v>
      </c>
      <c r="P214" s="136" t="s">
        <v>1787</v>
      </c>
      <c r="Q214" s="31">
        <f t="shared" si="26"/>
        <v>1</v>
      </c>
      <c r="R214" s="32">
        <f t="shared" si="27"/>
        <v>0.9642857142857143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2221</v>
      </c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hidden="1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27</v>
      </c>
      <c r="P215" s="136" t="s">
        <v>1788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2221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27</v>
      </c>
      <c r="P216" s="136" t="s">
        <v>1790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2221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27</v>
      </c>
      <c r="P217" s="136" t="s">
        <v>1797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2221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hidden="1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hidden="1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hidden="1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hidden="1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hidden="1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hidden="1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hidden="1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27</v>
      </c>
      <c r="P226" s="136" t="s">
        <v>1802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2221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27</v>
      </c>
      <c r="P227" s="136" t="s">
        <v>1803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2221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1804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2221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hidden="1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1805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2221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hidden="1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27</v>
      </c>
      <c r="P230" s="136" t="s">
        <v>1806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2221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27</v>
      </c>
      <c r="P231" s="136" t="s">
        <v>1807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2221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19</v>
      </c>
      <c r="P232" s="136" t="s">
        <v>2428</v>
      </c>
      <c r="Q232" s="131">
        <f t="shared" si="26"/>
        <v>9</v>
      </c>
      <c r="R232" s="132">
        <f t="shared" si="27"/>
        <v>0.6785714285714286</v>
      </c>
      <c r="S232" s="70"/>
      <c r="T232" s="70" t="s">
        <v>2221</v>
      </c>
      <c r="U232" s="70" t="s">
        <v>2221</v>
      </c>
      <c r="V232" s="70" t="s">
        <v>2221</v>
      </c>
      <c r="W232" s="70" t="s">
        <v>2221</v>
      </c>
      <c r="X232" s="70"/>
      <c r="Y232" s="70"/>
      <c r="Z232" s="70" t="s">
        <v>2221</v>
      </c>
      <c r="AA232" s="70" t="s">
        <v>2221</v>
      </c>
      <c r="AB232" s="70" t="s">
        <v>2221</v>
      </c>
      <c r="AC232" s="70" t="s">
        <v>2221</v>
      </c>
      <c r="AD232" s="70" t="s">
        <v>2221</v>
      </c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hidden="1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27</v>
      </c>
      <c r="P233" s="136" t="s">
        <v>2225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2221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hidden="1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hidden="1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hidden="1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18</v>
      </c>
      <c r="P251" s="136" t="s">
        <v>1824</v>
      </c>
      <c r="Q251" s="31">
        <f t="shared" si="29"/>
        <v>10</v>
      </c>
      <c r="R251" s="32">
        <f t="shared" si="30"/>
        <v>0.6428571428571429</v>
      </c>
      <c r="S251" s="70" t="s">
        <v>2221</v>
      </c>
      <c r="T251" s="70" t="s">
        <v>2221</v>
      </c>
      <c r="U251" s="70" t="s">
        <v>2221</v>
      </c>
      <c r="V251" s="70" t="s">
        <v>2221</v>
      </c>
      <c r="W251" s="70" t="s">
        <v>2221</v>
      </c>
      <c r="X251" s="70"/>
      <c r="Y251" s="70"/>
      <c r="Z251" s="70" t="s">
        <v>2221</v>
      </c>
      <c r="AA251" s="70" t="s">
        <v>2221</v>
      </c>
      <c r="AB251" s="70" t="s">
        <v>2221</v>
      </c>
      <c r="AC251" s="70" t="s">
        <v>2221</v>
      </c>
      <c r="AD251" s="70" t="s">
        <v>2221</v>
      </c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23</v>
      </c>
      <c r="P252" s="136" t="s">
        <v>1825</v>
      </c>
      <c r="Q252" s="31">
        <f t="shared" si="29"/>
        <v>5</v>
      </c>
      <c r="R252" s="32">
        <f t="shared" si="30"/>
        <v>0.8214285714285714</v>
      </c>
      <c r="S252" s="70" t="s">
        <v>2221</v>
      </c>
      <c r="T252" s="70" t="s">
        <v>2221</v>
      </c>
      <c r="U252" s="70"/>
      <c r="V252" s="70"/>
      <c r="W252" s="70" t="s">
        <v>2221</v>
      </c>
      <c r="X252" s="70"/>
      <c r="Y252" s="70"/>
      <c r="Z252" s="70"/>
      <c r="AA252" s="70"/>
      <c r="AB252" s="70"/>
      <c r="AC252" s="70" t="s">
        <v>2221</v>
      </c>
      <c r="AD252" s="70" t="s">
        <v>2221</v>
      </c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hidden="1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hidden="1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hidden="1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18</v>
      </c>
      <c r="P255" s="140" t="s">
        <v>1826</v>
      </c>
      <c r="Q255" s="139">
        <f t="shared" si="29"/>
        <v>10</v>
      </c>
      <c r="R255" s="141">
        <f t="shared" si="30"/>
        <v>0.6428571428571429</v>
      </c>
      <c r="S255" s="70" t="s">
        <v>2221</v>
      </c>
      <c r="T255" s="70" t="s">
        <v>2221</v>
      </c>
      <c r="U255" s="70" t="s">
        <v>2221</v>
      </c>
      <c r="V255" s="70" t="s">
        <v>2221</v>
      </c>
      <c r="W255" s="70" t="s">
        <v>2221</v>
      </c>
      <c r="X255" s="70"/>
      <c r="Y255" s="70"/>
      <c r="Z255" s="70" t="s">
        <v>2221</v>
      </c>
      <c r="AA255" s="70" t="s">
        <v>2221</v>
      </c>
      <c r="AB255" s="70" t="s">
        <v>2221</v>
      </c>
      <c r="AC255" s="70" t="s">
        <v>2221</v>
      </c>
      <c r="AD255" s="70" t="s">
        <v>2221</v>
      </c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hidden="1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18</v>
      </c>
      <c r="P256" s="140" t="s">
        <v>2235</v>
      </c>
      <c r="Q256" s="139">
        <f t="shared" si="29"/>
        <v>10</v>
      </c>
      <c r="R256" s="141">
        <f t="shared" si="30"/>
        <v>0.6428571428571429</v>
      </c>
      <c r="S256" s="70" t="s">
        <v>2221</v>
      </c>
      <c r="T256" s="70" t="s">
        <v>2221</v>
      </c>
      <c r="U256" s="70" t="s">
        <v>2221</v>
      </c>
      <c r="V256" s="70" t="s">
        <v>2221</v>
      </c>
      <c r="W256" s="70" t="s">
        <v>2221</v>
      </c>
      <c r="X256" s="70"/>
      <c r="Y256" s="70"/>
      <c r="Z256" s="70" t="s">
        <v>2221</v>
      </c>
      <c r="AA256" s="70" t="s">
        <v>2221</v>
      </c>
      <c r="AB256" s="70" t="s">
        <v>2221</v>
      </c>
      <c r="AC256" s="70" t="s">
        <v>2221</v>
      </c>
      <c r="AD256" s="70" t="s">
        <v>2221</v>
      </c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hidden="1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hidden="1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hidden="1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hidden="1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19</v>
      </c>
      <c r="P261" s="136" t="s">
        <v>2395</v>
      </c>
      <c r="Q261" s="31">
        <f t="shared" si="29"/>
        <v>9</v>
      </c>
      <c r="R261" s="32">
        <f t="shared" si="30"/>
        <v>0.6785714285714286</v>
      </c>
      <c r="S261" s="70"/>
      <c r="T261" s="70" t="s">
        <v>2221</v>
      </c>
      <c r="U261" s="70" t="s">
        <v>2221</v>
      </c>
      <c r="V261" s="70" t="s">
        <v>2221</v>
      </c>
      <c r="W261" s="70" t="s">
        <v>2221</v>
      </c>
      <c r="X261" s="70"/>
      <c r="Y261" s="70"/>
      <c r="Z261" s="70" t="s">
        <v>2221</v>
      </c>
      <c r="AA261" s="70" t="s">
        <v>2221</v>
      </c>
      <c r="AB261" s="70" t="s">
        <v>2221</v>
      </c>
      <c r="AC261" s="70" t="s">
        <v>2221</v>
      </c>
      <c r="AD261" s="70" t="s">
        <v>2221</v>
      </c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hidden="1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hidden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hidden="1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hidden="1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hidden="1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hidden="1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hidden="1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19</v>
      </c>
      <c r="P276" s="136" t="s">
        <v>1840</v>
      </c>
      <c r="Q276" s="31">
        <f t="shared" si="32"/>
        <v>9</v>
      </c>
      <c r="R276" s="32">
        <f t="shared" si="33"/>
        <v>0.6785714285714286</v>
      </c>
      <c r="S276" s="70" t="s">
        <v>2221</v>
      </c>
      <c r="T276" s="70" t="s">
        <v>2221</v>
      </c>
      <c r="U276" s="70" t="s">
        <v>2221</v>
      </c>
      <c r="V276" s="70" t="s">
        <v>2221</v>
      </c>
      <c r="W276" s="70" t="s">
        <v>2221</v>
      </c>
      <c r="X276" s="70"/>
      <c r="Y276" s="70"/>
      <c r="Z276" s="70" t="s">
        <v>2221</v>
      </c>
      <c r="AA276" s="70" t="s">
        <v>2221</v>
      </c>
      <c r="AB276" s="70" t="s">
        <v>2221</v>
      </c>
      <c r="AC276" s="70" t="s">
        <v>2221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hidden="1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hidden="1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hidden="1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hidden="1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hidden="1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hidden="1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1847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2221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hidden="1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27</v>
      </c>
      <c r="P289" s="136" t="s">
        <v>1849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2221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hidden="1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hidden="1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1656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2221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hidden="1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hidden="1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28</v>
      </c>
      <c r="P295" s="136" t="s">
        <v>1855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hidden="1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24</v>
      </c>
      <c r="P298" s="143" t="s">
        <v>1651</v>
      </c>
      <c r="Q298" s="139">
        <f t="shared" si="32"/>
        <v>4</v>
      </c>
      <c r="R298" s="141">
        <f t="shared" si="33"/>
        <v>0.8571428571428571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2221</v>
      </c>
      <c r="AB298" s="70" t="s">
        <v>2221</v>
      </c>
      <c r="AC298" s="70" t="s">
        <v>2221</v>
      </c>
      <c r="AD298" s="70" t="s">
        <v>2221</v>
      </c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hidden="1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18</v>
      </c>
      <c r="P299" s="136" t="s">
        <v>2113</v>
      </c>
      <c r="Q299" s="131">
        <f t="shared" si="32"/>
        <v>10</v>
      </c>
      <c r="R299" s="132">
        <f t="shared" si="33"/>
        <v>0.6428571428571429</v>
      </c>
      <c r="S299" s="70" t="s">
        <v>2221</v>
      </c>
      <c r="T299" s="70" t="s">
        <v>2221</v>
      </c>
      <c r="U299" s="70" t="s">
        <v>2221</v>
      </c>
      <c r="V299" s="70" t="s">
        <v>2221</v>
      </c>
      <c r="W299" s="70" t="s">
        <v>2221</v>
      </c>
      <c r="X299" s="70"/>
      <c r="Y299" s="70"/>
      <c r="Z299" s="70" t="s">
        <v>2221</v>
      </c>
      <c r="AA299" s="70" t="s">
        <v>2221</v>
      </c>
      <c r="AB299" s="70" t="s">
        <v>2221</v>
      </c>
      <c r="AC299" s="70" t="s">
        <v>2221</v>
      </c>
      <c r="AD299" s="70" t="s">
        <v>2221</v>
      </c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hidden="1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18</v>
      </c>
      <c r="P300" s="136" t="s">
        <v>2107</v>
      </c>
      <c r="Q300" s="131">
        <f t="shared" si="32"/>
        <v>10</v>
      </c>
      <c r="R300" s="132">
        <f t="shared" si="33"/>
        <v>0.6428571428571429</v>
      </c>
      <c r="S300" s="70" t="s">
        <v>2221</v>
      </c>
      <c r="T300" s="70" t="s">
        <v>2221</v>
      </c>
      <c r="U300" s="70" t="s">
        <v>2221</v>
      </c>
      <c r="V300" s="70" t="s">
        <v>2221</v>
      </c>
      <c r="W300" s="70" t="s">
        <v>2221</v>
      </c>
      <c r="X300" s="70"/>
      <c r="Y300" s="70"/>
      <c r="Z300" s="70" t="s">
        <v>2221</v>
      </c>
      <c r="AA300" s="70" t="s">
        <v>2221</v>
      </c>
      <c r="AB300" s="70" t="s">
        <v>2221</v>
      </c>
      <c r="AC300" s="70" t="s">
        <v>2221</v>
      </c>
      <c r="AD300" s="70" t="s">
        <v>2221</v>
      </c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hidden="1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27</v>
      </c>
      <c r="P306" s="136" t="s">
        <v>1862</v>
      </c>
      <c r="Q306" s="31">
        <f t="shared" si="32"/>
        <v>1</v>
      </c>
      <c r="R306" s="32">
        <f t="shared" si="33"/>
        <v>0.9642857142857143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2221</v>
      </c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27</v>
      </c>
      <c r="P307" s="136" t="s">
        <v>1863</v>
      </c>
      <c r="Q307" s="31">
        <f t="shared" si="32"/>
        <v>1</v>
      </c>
      <c r="R307" s="32">
        <f t="shared" si="33"/>
        <v>0.9642857142857143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2221</v>
      </c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1866</v>
      </c>
      <c r="Q309" s="31">
        <f t="shared" si="32"/>
        <v>2</v>
      </c>
      <c r="R309" s="158">
        <f t="shared" si="33"/>
        <v>0.9285714285714286</v>
      </c>
      <c r="S309" s="138" t="s">
        <v>2221</v>
      </c>
      <c r="T309" s="138" t="s">
        <v>2221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1874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s="69" customFormat="1" ht="15.75" thickBot="1" x14ac:dyDescent="0.3">
      <c r="A318"/>
      <c r="B318"/>
      <c r="C318"/>
      <c r="D318"/>
      <c r="E318" t="s">
        <v>2440</v>
      </c>
      <c r="F318" s="73" t="s">
        <v>183</v>
      </c>
      <c r="G318" s="69" t="s">
        <v>343</v>
      </c>
      <c r="H318" s="69" t="s">
        <v>1042</v>
      </c>
      <c r="I318" s="69" t="s">
        <v>344</v>
      </c>
      <c r="J318" s="137" t="s">
        <v>14</v>
      </c>
      <c r="K318" s="137" t="s">
        <v>1278</v>
      </c>
      <c r="L318" s="84"/>
      <c r="M318" s="137" t="s">
        <v>745</v>
      </c>
      <c r="N318" s="84"/>
      <c r="O318" s="131">
        <f t="shared" si="31"/>
        <v>18</v>
      </c>
      <c r="P318" s="136" t="s">
        <v>1877</v>
      </c>
      <c r="Q318" s="131">
        <f t="shared" si="32"/>
        <v>10</v>
      </c>
      <c r="R318" s="132">
        <f t="shared" si="33"/>
        <v>0.6428571428571429</v>
      </c>
      <c r="S318" s="142" t="s">
        <v>2221</v>
      </c>
      <c r="T318" s="142" t="s">
        <v>2221</v>
      </c>
      <c r="U318" s="142" t="s">
        <v>2221</v>
      </c>
      <c r="V318" s="70" t="s">
        <v>2221</v>
      </c>
      <c r="W318" s="70" t="s">
        <v>2221</v>
      </c>
      <c r="X318" s="142"/>
      <c r="Y318" s="142"/>
      <c r="Z318" s="70" t="s">
        <v>2221</v>
      </c>
      <c r="AA318" s="70" t="s">
        <v>2221</v>
      </c>
      <c r="AB318" s="70" t="s">
        <v>2221</v>
      </c>
      <c r="AC318" s="70" t="s">
        <v>2221</v>
      </c>
      <c r="AD318" s="70" t="s">
        <v>2221</v>
      </c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</row>
    <row r="319" spans="1:49" ht="15.75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/>
      <c r="F320" s="73" t="s">
        <v>346</v>
      </c>
      <c r="G320" s="69" t="s">
        <v>347</v>
      </c>
      <c r="H320" s="69" t="s">
        <v>1042</v>
      </c>
      <c r="I320" s="69" t="s">
        <v>1187</v>
      </c>
      <c r="J320" s="137" t="s">
        <v>71</v>
      </c>
      <c r="K320" s="137" t="s">
        <v>1278</v>
      </c>
      <c r="L320" s="84"/>
      <c r="M320" s="137" t="s">
        <v>751</v>
      </c>
      <c r="N320" s="84"/>
      <c r="O320" s="131">
        <f t="shared" si="31"/>
        <v>18</v>
      </c>
      <c r="P320" s="136" t="s">
        <v>2146</v>
      </c>
      <c r="Q320" s="131">
        <f t="shared" si="32"/>
        <v>10</v>
      </c>
      <c r="R320" s="132">
        <f t="shared" si="33"/>
        <v>0.6428571428571429</v>
      </c>
      <c r="S320" s="142" t="s">
        <v>2221</v>
      </c>
      <c r="T320" s="142" t="s">
        <v>2221</v>
      </c>
      <c r="U320" s="142" t="s">
        <v>2221</v>
      </c>
      <c r="V320" s="70" t="s">
        <v>2221</v>
      </c>
      <c r="W320" s="70" t="s">
        <v>2221</v>
      </c>
      <c r="X320" s="142"/>
      <c r="Y320" s="142"/>
      <c r="Z320" s="70" t="s">
        <v>2221</v>
      </c>
      <c r="AA320" s="70" t="s">
        <v>2221</v>
      </c>
      <c r="AB320" s="70" t="s">
        <v>2221</v>
      </c>
      <c r="AC320" s="70" t="s">
        <v>2221</v>
      </c>
      <c r="AD320" s="70" t="s">
        <v>2221</v>
      </c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</row>
    <row r="321" spans="1:49" s="69" customFormat="1" ht="15.75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27</v>
      </c>
      <c r="P321" s="136" t="s">
        <v>1881</v>
      </c>
      <c r="Q321" s="31">
        <f t="shared" si="32"/>
        <v>1</v>
      </c>
      <c r="R321" s="32">
        <f t="shared" si="33"/>
        <v>0.9642857142857143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 t="s">
        <v>2221</v>
      </c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27</v>
      </c>
      <c r="P323" s="136" t="s">
        <v>1864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 t="s">
        <v>2221</v>
      </c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69" customFormat="1" ht="15.75" thickBot="1" x14ac:dyDescent="0.3">
      <c r="A327"/>
      <c r="B327"/>
      <c r="C327"/>
      <c r="D327"/>
      <c r="E327" t="s">
        <v>2440</v>
      </c>
      <c r="F327" s="73" t="s">
        <v>183</v>
      </c>
      <c r="G327" s="69" t="s">
        <v>963</v>
      </c>
      <c r="H327" s="69" t="s">
        <v>1042</v>
      </c>
      <c r="I327" s="69" t="s">
        <v>964</v>
      </c>
      <c r="J327" s="137" t="s">
        <v>71</v>
      </c>
      <c r="K327" s="137" t="s">
        <v>1278</v>
      </c>
      <c r="L327" s="84"/>
      <c r="M327" s="137" t="s">
        <v>1255</v>
      </c>
      <c r="N327" s="84"/>
      <c r="O327" s="31">
        <f t="shared" si="31"/>
        <v>18</v>
      </c>
      <c r="P327" s="136" t="s">
        <v>1878</v>
      </c>
      <c r="Q327" s="31">
        <f t="shared" si="32"/>
        <v>10</v>
      </c>
      <c r="R327" s="32">
        <f t="shared" si="33"/>
        <v>0.6428571428571429</v>
      </c>
      <c r="S327" s="142" t="s">
        <v>2221</v>
      </c>
      <c r="T327" s="142" t="s">
        <v>2221</v>
      </c>
      <c r="U327" s="142" t="s">
        <v>2221</v>
      </c>
      <c r="V327" s="70" t="s">
        <v>2221</v>
      </c>
      <c r="W327" s="70" t="s">
        <v>2221</v>
      </c>
      <c r="X327" s="142"/>
      <c r="Y327" s="142"/>
      <c r="Z327" s="70" t="s">
        <v>2221</v>
      </c>
      <c r="AA327" s="70" t="s">
        <v>2221</v>
      </c>
      <c r="AB327" s="70" t="s">
        <v>2221</v>
      </c>
      <c r="AC327" s="70" t="s">
        <v>2221</v>
      </c>
      <c r="AD327" s="70" t="s">
        <v>2221</v>
      </c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</row>
    <row r="328" spans="1:49" s="69" customFormat="1" ht="15.75" thickBot="1" x14ac:dyDescent="0.3">
      <c r="A328"/>
      <c r="B328"/>
      <c r="C328"/>
      <c r="D328"/>
      <c r="E328"/>
      <c r="F328" s="73" t="s">
        <v>346</v>
      </c>
      <c r="G328" s="69" t="s">
        <v>1186</v>
      </c>
      <c r="H328" s="69" t="s">
        <v>1042</v>
      </c>
      <c r="I328" s="69" t="s">
        <v>1187</v>
      </c>
      <c r="J328" s="137" t="s">
        <v>14</v>
      </c>
      <c r="K328" s="137" t="s">
        <v>1278</v>
      </c>
      <c r="L328" s="84"/>
      <c r="M328" s="137" t="s">
        <v>750</v>
      </c>
      <c r="N328" s="84"/>
      <c r="O328" s="131">
        <f t="shared" si="31"/>
        <v>18</v>
      </c>
      <c r="P328" s="136" t="s">
        <v>1879</v>
      </c>
      <c r="Q328" s="131">
        <f t="shared" si="32"/>
        <v>10</v>
      </c>
      <c r="R328" s="132">
        <f t="shared" si="33"/>
        <v>0.6428571428571429</v>
      </c>
      <c r="S328" s="142" t="s">
        <v>2221</v>
      </c>
      <c r="T328" s="142" t="s">
        <v>2221</v>
      </c>
      <c r="U328" s="142" t="s">
        <v>2221</v>
      </c>
      <c r="V328" s="70" t="s">
        <v>2221</v>
      </c>
      <c r="W328" s="70" t="s">
        <v>2221</v>
      </c>
      <c r="X328" s="142"/>
      <c r="Y328" s="142"/>
      <c r="Z328" s="70" t="s">
        <v>2221</v>
      </c>
      <c r="AA328" s="70" t="s">
        <v>2221</v>
      </c>
      <c r="AB328" s="70" t="s">
        <v>2221</v>
      </c>
      <c r="AC328" s="70" t="s">
        <v>2221</v>
      </c>
      <c r="AD328" s="70" t="s">
        <v>2221</v>
      </c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965</v>
      </c>
      <c r="H329" s="69" t="s">
        <v>1042</v>
      </c>
      <c r="I329" s="69" t="s">
        <v>966</v>
      </c>
      <c r="J329" s="137" t="s">
        <v>18</v>
      </c>
      <c r="K329" s="137" t="s">
        <v>1278</v>
      </c>
      <c r="L329" s="84"/>
      <c r="M329" s="137" t="s">
        <v>1256</v>
      </c>
      <c r="N329" s="84"/>
      <c r="O329" s="131">
        <f t="shared" si="31"/>
        <v>18</v>
      </c>
      <c r="P329" s="136" t="s">
        <v>1880</v>
      </c>
      <c r="Q329" s="131">
        <f t="shared" si="32"/>
        <v>10</v>
      </c>
      <c r="R329" s="132">
        <f t="shared" si="33"/>
        <v>0.6428571428571429</v>
      </c>
      <c r="S329" s="142" t="s">
        <v>2221</v>
      </c>
      <c r="T329" s="142" t="s">
        <v>2221</v>
      </c>
      <c r="U329" s="142" t="s">
        <v>2221</v>
      </c>
      <c r="V329" s="70" t="s">
        <v>2221</v>
      </c>
      <c r="W329" s="70" t="s">
        <v>2221</v>
      </c>
      <c r="X329" s="142"/>
      <c r="Y329" s="142"/>
      <c r="Z329" s="70" t="s">
        <v>2221</v>
      </c>
      <c r="AA329" s="70" t="s">
        <v>2221</v>
      </c>
      <c r="AB329" s="70" t="s">
        <v>2221</v>
      </c>
      <c r="AC329" s="70" t="s">
        <v>2221</v>
      </c>
      <c r="AD329" s="70" t="s">
        <v>2221</v>
      </c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ht="15.75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hidden="1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hidden="1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hidden="1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18</v>
      </c>
      <c r="P340" s="136" t="s">
        <v>1893</v>
      </c>
      <c r="Q340" s="31">
        <f t="shared" si="35"/>
        <v>10</v>
      </c>
      <c r="R340" s="32">
        <f t="shared" si="36"/>
        <v>0.6428571428571429</v>
      </c>
      <c r="S340" s="70" t="s">
        <v>2221</v>
      </c>
      <c r="T340" s="70" t="s">
        <v>2221</v>
      </c>
      <c r="U340" s="70" t="s">
        <v>2221</v>
      </c>
      <c r="V340" s="70" t="s">
        <v>2221</v>
      </c>
      <c r="W340" s="70" t="s">
        <v>2221</v>
      </c>
      <c r="X340" s="70"/>
      <c r="Y340" s="70"/>
      <c r="Z340" s="70" t="s">
        <v>2221</v>
      </c>
      <c r="AA340" s="70" t="s">
        <v>2221</v>
      </c>
      <c r="AB340" s="70" t="s">
        <v>2221</v>
      </c>
      <c r="AC340" s="70" t="s">
        <v>2221</v>
      </c>
      <c r="AD340" s="70" t="s">
        <v>2221</v>
      </c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hidden="1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hidden="1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hidden="1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28</v>
      </c>
      <c r="P347" s="136" t="s">
        <v>1902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hidden="1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28</v>
      </c>
      <c r="P349" s="136" t="s">
        <v>1904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hidden="1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28</v>
      </c>
      <c r="P350" s="136" t="s">
        <v>1905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hidden="1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24</v>
      </c>
      <c r="P355" s="136"/>
      <c r="Q355" s="31">
        <f t="shared" si="35"/>
        <v>4</v>
      </c>
      <c r="R355" s="32">
        <f t="shared" si="36"/>
        <v>0.8571428571428571</v>
      </c>
      <c r="S355" s="70" t="s">
        <v>2221</v>
      </c>
      <c r="T355" s="70" t="s">
        <v>2221</v>
      </c>
      <c r="U355" s="70" t="s">
        <v>2221</v>
      </c>
      <c r="V355" s="70" t="s">
        <v>2221</v>
      </c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2221</v>
      </c>
      <c r="T356" s="70" t="s">
        <v>2221</v>
      </c>
      <c r="U356" s="70" t="s">
        <v>2221</v>
      </c>
      <c r="V356" s="70" t="s">
        <v>2221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24</v>
      </c>
      <c r="P357" s="136" t="s">
        <v>1910</v>
      </c>
      <c r="Q357" s="31">
        <f t="shared" si="35"/>
        <v>4</v>
      </c>
      <c r="R357" s="32">
        <f t="shared" si="36"/>
        <v>0.8571428571428571</v>
      </c>
      <c r="S357" s="70" t="s">
        <v>2221</v>
      </c>
      <c r="T357" s="70" t="s">
        <v>2221</v>
      </c>
      <c r="U357" s="70" t="s">
        <v>2221</v>
      </c>
      <c r="V357" s="70" t="s">
        <v>2221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18</v>
      </c>
      <c r="P360" s="136" t="s">
        <v>1899</v>
      </c>
      <c r="Q360" s="31">
        <f t="shared" si="35"/>
        <v>10</v>
      </c>
      <c r="R360" s="32">
        <f t="shared" si="36"/>
        <v>0.6428571428571429</v>
      </c>
      <c r="S360" s="70" t="s">
        <v>2221</v>
      </c>
      <c r="T360" s="70" t="s">
        <v>2221</v>
      </c>
      <c r="U360" s="70" t="s">
        <v>2221</v>
      </c>
      <c r="V360" s="70" t="s">
        <v>2221</v>
      </c>
      <c r="W360" s="70" t="s">
        <v>2221</v>
      </c>
      <c r="X360" s="70"/>
      <c r="Y360" s="70"/>
      <c r="Z360" s="70" t="s">
        <v>2221</v>
      </c>
      <c r="AA360" s="70" t="s">
        <v>2221</v>
      </c>
      <c r="AB360" s="70" t="s">
        <v>2221</v>
      </c>
      <c r="AC360" s="70" t="s">
        <v>2221</v>
      </c>
      <c r="AD360" s="70" t="s">
        <v>2221</v>
      </c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hidden="1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18</v>
      </c>
      <c r="P361" s="136" t="s">
        <v>1900</v>
      </c>
      <c r="Q361" s="31">
        <f t="shared" si="35"/>
        <v>10</v>
      </c>
      <c r="R361" s="32">
        <f t="shared" si="36"/>
        <v>0.6428571428571429</v>
      </c>
      <c r="S361" s="70" t="s">
        <v>2221</v>
      </c>
      <c r="T361" s="70" t="s">
        <v>2221</v>
      </c>
      <c r="U361" s="70" t="s">
        <v>2221</v>
      </c>
      <c r="V361" s="70" t="s">
        <v>2221</v>
      </c>
      <c r="W361" s="70" t="s">
        <v>2221</v>
      </c>
      <c r="X361" s="70"/>
      <c r="Y361" s="70"/>
      <c r="Z361" s="70" t="s">
        <v>2221</v>
      </c>
      <c r="AA361" s="70" t="s">
        <v>2221</v>
      </c>
      <c r="AB361" s="70" t="s">
        <v>2221</v>
      </c>
      <c r="AC361" s="70" t="s">
        <v>2221</v>
      </c>
      <c r="AD361" s="70" t="s">
        <v>2221</v>
      </c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hidden="1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hidden="1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hidden="1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hidden="1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hidden="1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hidden="1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hidden="1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hidden="1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hidden="1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hidden="1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hidden="1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hidden="1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hidden="1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27</v>
      </c>
      <c r="P383" s="136" t="s">
        <v>2401</v>
      </c>
      <c r="Q383" s="31">
        <f t="shared" si="35"/>
        <v>1</v>
      </c>
      <c r="R383" s="32">
        <f t="shared" si="36"/>
        <v>0.9642857142857143</v>
      </c>
      <c r="S383" s="70"/>
      <c r="T383" s="70"/>
      <c r="U383" s="70"/>
      <c r="V383" s="70"/>
      <c r="W383" s="70"/>
      <c r="X383" s="70"/>
      <c r="Y383" s="70"/>
      <c r="Z383" s="70"/>
      <c r="AA383" s="70" t="s">
        <v>2221</v>
      </c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hidden="1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hidden="1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hidden="1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hidden="1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hidden="1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hidden="1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hidden="1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hidden="1" thickBot="1" x14ac:dyDescent="0.3">
      <c r="A393">
        <v>1</v>
      </c>
      <c r="B393">
        <v>18</v>
      </c>
      <c r="C393"/>
      <c r="D393"/>
      <c r="E393" t="s">
        <v>2360</v>
      </c>
      <c r="F393" t="s">
        <v>389</v>
      </c>
      <c r="G393" t="s">
        <v>883</v>
      </c>
      <c r="H393" t="s">
        <v>1041</v>
      </c>
      <c r="I393" t="s">
        <v>884</v>
      </c>
      <c r="J393" s="30" t="s">
        <v>18</v>
      </c>
      <c r="K393" s="30" t="s">
        <v>27</v>
      </c>
      <c r="L393" s="137"/>
      <c r="M393" s="30" t="s">
        <v>891</v>
      </c>
      <c r="N393" s="137" t="s">
        <v>2265</v>
      </c>
      <c r="O393" s="139">
        <f t="shared" si="34"/>
        <v>19</v>
      </c>
      <c r="P393" s="140" t="s">
        <v>1942</v>
      </c>
      <c r="Q393" s="139">
        <f t="shared" si="35"/>
        <v>9</v>
      </c>
      <c r="R393" s="141">
        <f t="shared" si="36"/>
        <v>0.6785714285714286</v>
      </c>
      <c r="S393" s="138" t="s">
        <v>2221</v>
      </c>
      <c r="T393" s="138" t="s">
        <v>2221</v>
      </c>
      <c r="U393" s="138" t="s">
        <v>2221</v>
      </c>
      <c r="V393" s="138" t="s">
        <v>2221</v>
      </c>
      <c r="W393" s="138" t="s">
        <v>2221</v>
      </c>
      <c r="X393" s="138"/>
      <c r="Y393" s="138"/>
      <c r="Z393" s="138" t="s">
        <v>2221</v>
      </c>
      <c r="AA393" s="138" t="s">
        <v>2221</v>
      </c>
      <c r="AB393" s="138" t="s">
        <v>2221</v>
      </c>
      <c r="AC393" s="70" t="s">
        <v>2221</v>
      </c>
      <c r="AD393" s="70"/>
      <c r="AE393" s="138"/>
      <c r="AF393" s="138"/>
      <c r="AG393" s="138"/>
      <c r="AH393" s="138"/>
      <c r="AI393" s="138"/>
      <c r="AJ393" s="138"/>
      <c r="AK393" s="138"/>
      <c r="AL393" s="138"/>
      <c r="AM393" s="138"/>
      <c r="AN393" s="138"/>
      <c r="AO393" s="138"/>
      <c r="AP393" s="138"/>
      <c r="AQ393" s="138"/>
      <c r="AR393" s="138"/>
      <c r="AS393" s="138"/>
      <c r="AT393" s="138"/>
      <c r="AU393" s="138"/>
      <c r="AV393" s="138"/>
    </row>
    <row r="394" spans="1:49" ht="15.75" hidden="1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hidden="1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hidden="1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hidden="1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hidden="1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s="69" customFormat="1" ht="15.75" hidden="1" thickBot="1" x14ac:dyDescent="0.3">
      <c r="A401" s="88"/>
      <c r="B401" s="88"/>
      <c r="C401" s="88"/>
      <c r="D401" s="88"/>
      <c r="E401" s="88"/>
      <c r="F401" s="88" t="s">
        <v>389</v>
      </c>
      <c r="G401" s="88" t="s">
        <v>394</v>
      </c>
      <c r="H401" s="88" t="s">
        <v>1041</v>
      </c>
      <c r="I401" s="88" t="s">
        <v>395</v>
      </c>
      <c r="J401" s="89" t="s">
        <v>14</v>
      </c>
      <c r="K401" s="89" t="s">
        <v>19</v>
      </c>
      <c r="L401" s="89"/>
      <c r="M401" s="89" t="s">
        <v>770</v>
      </c>
      <c r="N401" s="89"/>
      <c r="O401" s="31">
        <f t="shared" si="37"/>
        <v>18</v>
      </c>
      <c r="P401" s="136"/>
      <c r="Q401" s="31">
        <f t="shared" si="38"/>
        <v>10</v>
      </c>
      <c r="R401" s="32">
        <f t="shared" si="39"/>
        <v>0.6428571428571429</v>
      </c>
      <c r="S401" s="70" t="s">
        <v>2221</v>
      </c>
      <c r="T401" s="70" t="s">
        <v>2221</v>
      </c>
      <c r="U401" s="70" t="s">
        <v>2221</v>
      </c>
      <c r="V401" s="70" t="s">
        <v>2221</v>
      </c>
      <c r="W401" s="70" t="s">
        <v>2221</v>
      </c>
      <c r="X401" s="70"/>
      <c r="Y401" s="70"/>
      <c r="Z401" s="70" t="s">
        <v>2221</v>
      </c>
      <c r="AA401" s="70" t="s">
        <v>2221</v>
      </c>
      <c r="AB401" s="70" t="s">
        <v>2221</v>
      </c>
      <c r="AC401" s="70" t="s">
        <v>2221</v>
      </c>
      <c r="AD401" s="70" t="s">
        <v>2221</v>
      </c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90"/>
      <c r="AR401" s="70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hidden="1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hidden="1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hidden="1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hidden="1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hidden="1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hidden="1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18</v>
      </c>
      <c r="P408" s="140"/>
      <c r="Q408" s="139">
        <f t="shared" si="38"/>
        <v>10</v>
      </c>
      <c r="R408" s="141">
        <f t="shared" si="39"/>
        <v>0.6428571428571429</v>
      </c>
      <c r="S408" s="70" t="s">
        <v>2221</v>
      </c>
      <c r="T408" s="70" t="s">
        <v>2221</v>
      </c>
      <c r="U408" s="70" t="s">
        <v>2221</v>
      </c>
      <c r="V408" s="70" t="s">
        <v>2221</v>
      </c>
      <c r="W408" s="70" t="s">
        <v>2221</v>
      </c>
      <c r="X408" s="70"/>
      <c r="Y408" s="70"/>
      <c r="Z408" s="70" t="s">
        <v>2221</v>
      </c>
      <c r="AA408" s="70" t="s">
        <v>2221</v>
      </c>
      <c r="AB408" s="70" t="s">
        <v>2221</v>
      </c>
      <c r="AC408" s="70" t="s">
        <v>2221</v>
      </c>
      <c r="AD408" s="70" t="s">
        <v>2221</v>
      </c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hidden="1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hidden="1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hidden="1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hidden="1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18</v>
      </c>
      <c r="P412" s="136" t="s">
        <v>1949</v>
      </c>
      <c r="Q412" s="85">
        <f t="shared" si="38"/>
        <v>10</v>
      </c>
      <c r="R412" s="86">
        <f t="shared" si="39"/>
        <v>0.6428571428571429</v>
      </c>
      <c r="S412" s="70" t="s">
        <v>2221</v>
      </c>
      <c r="T412" s="70" t="s">
        <v>2221</v>
      </c>
      <c r="U412" s="70" t="s">
        <v>2221</v>
      </c>
      <c r="V412" s="70" t="s">
        <v>2221</v>
      </c>
      <c r="W412" s="70" t="s">
        <v>2221</v>
      </c>
      <c r="X412" s="87"/>
      <c r="Y412" s="87"/>
      <c r="Z412" s="70" t="s">
        <v>2221</v>
      </c>
      <c r="AA412" s="70" t="s">
        <v>2221</v>
      </c>
      <c r="AB412" s="70" t="s">
        <v>2221</v>
      </c>
      <c r="AC412" s="70" t="s">
        <v>2221</v>
      </c>
      <c r="AD412" s="70" t="s">
        <v>2221</v>
      </c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hidden="1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18</v>
      </c>
      <c r="P414" s="136" t="s">
        <v>1950</v>
      </c>
      <c r="Q414" s="31">
        <f t="shared" si="38"/>
        <v>10</v>
      </c>
      <c r="R414" s="32">
        <f t="shared" si="39"/>
        <v>0.6428571428571429</v>
      </c>
      <c r="S414" s="70" t="s">
        <v>2221</v>
      </c>
      <c r="T414" s="70" t="s">
        <v>2221</v>
      </c>
      <c r="U414" s="70" t="s">
        <v>2221</v>
      </c>
      <c r="V414" s="70" t="s">
        <v>2221</v>
      </c>
      <c r="W414" s="70" t="s">
        <v>2221</v>
      </c>
      <c r="X414" s="70"/>
      <c r="Y414" s="70"/>
      <c r="Z414" s="70" t="s">
        <v>2221</v>
      </c>
      <c r="AA414" s="70" t="s">
        <v>2221</v>
      </c>
      <c r="AB414" s="70" t="s">
        <v>2221</v>
      </c>
      <c r="AC414" s="70" t="s">
        <v>2221</v>
      </c>
      <c r="AD414" s="70" t="s">
        <v>2221</v>
      </c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18</v>
      </c>
      <c r="P415" s="136" t="s">
        <v>1951</v>
      </c>
      <c r="Q415" s="31">
        <f t="shared" si="38"/>
        <v>10</v>
      </c>
      <c r="R415" s="32">
        <f t="shared" si="39"/>
        <v>0.6428571428571429</v>
      </c>
      <c r="S415" s="70" t="s">
        <v>2221</v>
      </c>
      <c r="T415" s="70" t="s">
        <v>2221</v>
      </c>
      <c r="U415" s="70" t="s">
        <v>2221</v>
      </c>
      <c r="V415" s="70" t="s">
        <v>2221</v>
      </c>
      <c r="W415" s="70" t="s">
        <v>2221</v>
      </c>
      <c r="X415" s="70"/>
      <c r="Y415" s="70"/>
      <c r="Z415" s="70" t="s">
        <v>2221</v>
      </c>
      <c r="AA415" s="70" t="s">
        <v>2221</v>
      </c>
      <c r="AB415" s="70" t="s">
        <v>2221</v>
      </c>
      <c r="AC415" s="70" t="s">
        <v>2221</v>
      </c>
      <c r="AD415" s="70" t="s">
        <v>2221</v>
      </c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hidden="1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hidden="1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hidden="1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hidden="1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hidden="1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hidden="1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hidden="1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18</v>
      </c>
      <c r="P426" s="136"/>
      <c r="Q426" s="31">
        <f t="shared" si="38"/>
        <v>10</v>
      </c>
      <c r="R426" s="32">
        <f t="shared" si="39"/>
        <v>0.6428571428571429</v>
      </c>
      <c r="S426" s="70" t="s">
        <v>2221</v>
      </c>
      <c r="T426" s="70" t="s">
        <v>2221</v>
      </c>
      <c r="U426" s="70" t="s">
        <v>2221</v>
      </c>
      <c r="V426" s="70" t="s">
        <v>2221</v>
      </c>
      <c r="W426" s="70" t="s">
        <v>2221</v>
      </c>
      <c r="X426" s="70"/>
      <c r="Y426" s="70"/>
      <c r="Z426" s="70" t="s">
        <v>2221</v>
      </c>
      <c r="AA426" s="70" t="s">
        <v>2221</v>
      </c>
      <c r="AB426" s="70" t="s">
        <v>2221</v>
      </c>
      <c r="AC426" s="70" t="s">
        <v>2221</v>
      </c>
      <c r="AD426" s="70" t="s">
        <v>2221</v>
      </c>
      <c r="AE426" s="70"/>
      <c r="AF426" s="70"/>
      <c r="AG426" s="70"/>
      <c r="AH426" s="71"/>
      <c r="AI426" s="71"/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hidden="1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hidden="1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25</v>
      </c>
      <c r="P429" s="136" t="s">
        <v>1960</v>
      </c>
      <c r="Q429" s="131">
        <f t="shared" si="38"/>
        <v>3</v>
      </c>
      <c r="R429" s="132">
        <f t="shared" si="39"/>
        <v>0.8928571428571429</v>
      </c>
      <c r="S429" s="70"/>
      <c r="T429" s="70"/>
      <c r="U429" s="70"/>
      <c r="V429" s="70"/>
      <c r="W429" s="70"/>
      <c r="X429" s="70"/>
      <c r="Y429" s="70"/>
      <c r="Z429" s="70"/>
      <c r="AA429" s="70" t="s">
        <v>2221</v>
      </c>
      <c r="AB429" s="70"/>
      <c r="AC429" s="70" t="s">
        <v>2221</v>
      </c>
      <c r="AD429" s="70" t="s">
        <v>2221</v>
      </c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hidden="1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hidden="1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hidden="1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hidden="1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18</v>
      </c>
      <c r="P433" s="136" t="s">
        <v>1957</v>
      </c>
      <c r="Q433" s="131">
        <f t="shared" si="38"/>
        <v>10</v>
      </c>
      <c r="R433" s="132">
        <f t="shared" si="39"/>
        <v>0.6428571428571429</v>
      </c>
      <c r="S433" s="70" t="s">
        <v>2221</v>
      </c>
      <c r="T433" s="70" t="s">
        <v>2221</v>
      </c>
      <c r="U433" s="70" t="s">
        <v>2221</v>
      </c>
      <c r="V433" s="70" t="s">
        <v>2221</v>
      </c>
      <c r="W433" s="70" t="s">
        <v>2221</v>
      </c>
      <c r="X433" s="70"/>
      <c r="Y433" s="70"/>
      <c r="Z433" s="70" t="s">
        <v>2221</v>
      </c>
      <c r="AA433" s="70" t="s">
        <v>2221</v>
      </c>
      <c r="AB433" s="70" t="s">
        <v>2221</v>
      </c>
      <c r="AC433" s="70" t="s">
        <v>2221</v>
      </c>
      <c r="AD433" s="70" t="s">
        <v>2221</v>
      </c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hidden="1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hidden="1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hidden="1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hidden="1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19</v>
      </c>
      <c r="P443" s="136" t="s">
        <v>1972</v>
      </c>
      <c r="Q443" s="131">
        <f t="shared" si="38"/>
        <v>9</v>
      </c>
      <c r="R443" s="132">
        <f t="shared" si="39"/>
        <v>0.6785714285714286</v>
      </c>
      <c r="S443" s="70" t="s">
        <v>2221</v>
      </c>
      <c r="T443" s="70" t="s">
        <v>2221</v>
      </c>
      <c r="U443" s="70" t="s">
        <v>2221</v>
      </c>
      <c r="V443" s="70" t="s">
        <v>2221</v>
      </c>
      <c r="W443" s="70" t="s">
        <v>2221</v>
      </c>
      <c r="X443" s="70"/>
      <c r="Y443" s="70"/>
      <c r="Z443" s="70" t="s">
        <v>2221</v>
      </c>
      <c r="AA443" s="70" t="s">
        <v>2221</v>
      </c>
      <c r="AB443" s="70" t="s">
        <v>2221</v>
      </c>
      <c r="AC443" s="70" t="s">
        <v>2221</v>
      </c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hidden="1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18</v>
      </c>
      <c r="P445" s="140"/>
      <c r="Q445" s="139">
        <f t="shared" si="38"/>
        <v>10</v>
      </c>
      <c r="R445" s="141">
        <f t="shared" si="39"/>
        <v>0.6428571428571429</v>
      </c>
      <c r="S445" s="70" t="s">
        <v>2221</v>
      </c>
      <c r="T445" s="70" t="s">
        <v>2221</v>
      </c>
      <c r="U445" s="70" t="s">
        <v>2221</v>
      </c>
      <c r="V445" s="70" t="s">
        <v>2221</v>
      </c>
      <c r="W445" s="70" t="s">
        <v>2221</v>
      </c>
      <c r="X445" s="70"/>
      <c r="Y445" s="70"/>
      <c r="Z445" s="70" t="s">
        <v>2221</v>
      </c>
      <c r="AA445" s="70" t="s">
        <v>2221</v>
      </c>
      <c r="AB445" s="70" t="s">
        <v>2221</v>
      </c>
      <c r="AC445" s="70" t="s">
        <v>2221</v>
      </c>
      <c r="AD445" s="70" t="s">
        <v>2221</v>
      </c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hidden="1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hidden="1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hidden="1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hidden="1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hidden="1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hidden="1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hidden="1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28</v>
      </c>
      <c r="P454" s="136" t="s">
        <v>1973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hidden="1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hidden="1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18</v>
      </c>
      <c r="P457" s="140"/>
      <c r="Q457" s="139">
        <f t="shared" si="38"/>
        <v>10</v>
      </c>
      <c r="R457" s="141">
        <f t="shared" si="39"/>
        <v>0.6428571428571429</v>
      </c>
      <c r="S457" s="70" t="s">
        <v>2221</v>
      </c>
      <c r="T457" s="70" t="s">
        <v>2221</v>
      </c>
      <c r="U457" s="70" t="s">
        <v>2221</v>
      </c>
      <c r="V457" s="70" t="s">
        <v>2221</v>
      </c>
      <c r="W457" s="70" t="s">
        <v>2221</v>
      </c>
      <c r="X457" s="70"/>
      <c r="Y457" s="70"/>
      <c r="Z457" s="70" t="s">
        <v>2221</v>
      </c>
      <c r="AA457" s="70" t="s">
        <v>2221</v>
      </c>
      <c r="AB457" s="70" t="s">
        <v>2221</v>
      </c>
      <c r="AC457" s="70" t="s">
        <v>2221</v>
      </c>
      <c r="AD457" s="70" t="s">
        <v>2221</v>
      </c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hidden="1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hidden="1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hidden="1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28</v>
      </c>
      <c r="P462" s="136" t="s">
        <v>1983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hidden="1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hidden="1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hidden="1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hidden="1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hidden="1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26</v>
      </c>
      <c r="P469" s="136" t="s">
        <v>2419</v>
      </c>
      <c r="Q469" s="31">
        <f t="shared" si="41"/>
        <v>2</v>
      </c>
      <c r="R469" s="32">
        <f t="shared" si="42"/>
        <v>0.9285714285714286</v>
      </c>
      <c r="S469" s="70"/>
      <c r="T469" s="70"/>
      <c r="U469" s="70" t="s">
        <v>2221</v>
      </c>
      <c r="V469" s="70" t="s">
        <v>2221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18</v>
      </c>
      <c r="P470" s="136" t="s">
        <v>1985</v>
      </c>
      <c r="Q470" s="131">
        <f t="shared" si="41"/>
        <v>10</v>
      </c>
      <c r="R470" s="132">
        <f t="shared" si="42"/>
        <v>0.6428571428571429</v>
      </c>
      <c r="S470" s="70" t="s">
        <v>2221</v>
      </c>
      <c r="T470" s="70" t="s">
        <v>2221</v>
      </c>
      <c r="U470" s="70" t="s">
        <v>2221</v>
      </c>
      <c r="V470" s="70" t="s">
        <v>2221</v>
      </c>
      <c r="W470" s="70" t="s">
        <v>2221</v>
      </c>
      <c r="X470" s="70"/>
      <c r="Y470" s="70"/>
      <c r="Z470" s="70" t="s">
        <v>2221</v>
      </c>
      <c r="AA470" s="70" t="s">
        <v>2221</v>
      </c>
      <c r="AB470" s="70" t="s">
        <v>2221</v>
      </c>
      <c r="AC470" s="70" t="s">
        <v>2221</v>
      </c>
      <c r="AD470" s="70" t="s">
        <v>2221</v>
      </c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18</v>
      </c>
      <c r="P471" s="136" t="s">
        <v>1986</v>
      </c>
      <c r="Q471" s="131">
        <f t="shared" si="41"/>
        <v>10</v>
      </c>
      <c r="R471" s="132">
        <f t="shared" si="42"/>
        <v>0.6428571428571429</v>
      </c>
      <c r="S471" s="70" t="s">
        <v>2221</v>
      </c>
      <c r="T471" s="70" t="s">
        <v>2221</v>
      </c>
      <c r="U471" s="70" t="s">
        <v>2221</v>
      </c>
      <c r="V471" s="70" t="s">
        <v>2221</v>
      </c>
      <c r="W471" s="70" t="s">
        <v>2221</v>
      </c>
      <c r="X471" s="70"/>
      <c r="Y471" s="70"/>
      <c r="Z471" s="70" t="s">
        <v>2221</v>
      </c>
      <c r="AA471" s="70" t="s">
        <v>2221</v>
      </c>
      <c r="AB471" s="70" t="s">
        <v>2221</v>
      </c>
      <c r="AC471" s="70" t="s">
        <v>2221</v>
      </c>
      <c r="AD471" s="70" t="s">
        <v>2221</v>
      </c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hidden="1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18</v>
      </c>
      <c r="P472" s="136"/>
      <c r="Q472" s="131">
        <f t="shared" si="41"/>
        <v>10</v>
      </c>
      <c r="R472" s="132">
        <f t="shared" si="42"/>
        <v>0.6428571428571429</v>
      </c>
      <c r="S472" s="70" t="s">
        <v>2221</v>
      </c>
      <c r="T472" s="70" t="s">
        <v>2221</v>
      </c>
      <c r="U472" s="70" t="s">
        <v>2221</v>
      </c>
      <c r="V472" s="70" t="s">
        <v>2221</v>
      </c>
      <c r="W472" s="70" t="s">
        <v>2221</v>
      </c>
      <c r="X472" s="70"/>
      <c r="Y472" s="70"/>
      <c r="Z472" s="70" t="s">
        <v>2221</v>
      </c>
      <c r="AA472" s="70" t="s">
        <v>2221</v>
      </c>
      <c r="AB472" s="70" t="s">
        <v>2221</v>
      </c>
      <c r="AC472" s="70" t="s">
        <v>2221</v>
      </c>
      <c r="AD472" s="70" t="s">
        <v>2221</v>
      </c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hidden="1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18</v>
      </c>
      <c r="P474" s="136"/>
      <c r="Q474" s="131">
        <f t="shared" si="41"/>
        <v>10</v>
      </c>
      <c r="R474" s="132">
        <f t="shared" si="42"/>
        <v>0.6428571428571429</v>
      </c>
      <c r="S474" s="70" t="s">
        <v>2221</v>
      </c>
      <c r="T474" s="70" t="s">
        <v>2221</v>
      </c>
      <c r="U474" s="70" t="s">
        <v>2221</v>
      </c>
      <c r="V474" s="70" t="s">
        <v>2221</v>
      </c>
      <c r="W474" s="70" t="s">
        <v>2221</v>
      </c>
      <c r="X474" s="70"/>
      <c r="Y474" s="70"/>
      <c r="Z474" s="70" t="s">
        <v>2221</v>
      </c>
      <c r="AA474" s="70" t="s">
        <v>2221</v>
      </c>
      <c r="AB474" s="70" t="s">
        <v>2221</v>
      </c>
      <c r="AC474" s="70" t="s">
        <v>2221</v>
      </c>
      <c r="AD474" s="70" t="s">
        <v>2221</v>
      </c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hidden="1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27</v>
      </c>
      <c r="P475" s="136" t="s">
        <v>1987</v>
      </c>
      <c r="Q475" s="31">
        <f t="shared" si="41"/>
        <v>1</v>
      </c>
      <c r="R475" s="32">
        <f t="shared" si="42"/>
        <v>0.9642857142857143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 t="s">
        <v>2221</v>
      </c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hidden="1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hidden="1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hidden="1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hidden="1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hidden="1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hidden="1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hidden="1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hidden="1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hidden="1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hidden="1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hidden="1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hidden="1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hidden="1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hidden="1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hidden="1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hidden="1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27</v>
      </c>
      <c r="P509" s="136" t="s">
        <v>2020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2221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hidden="1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27</v>
      </c>
      <c r="P511" s="136" t="s">
        <v>2025</v>
      </c>
      <c r="Q511" s="31">
        <f t="shared" si="41"/>
        <v>1</v>
      </c>
      <c r="R511" s="32">
        <f t="shared" si="42"/>
        <v>0.9642857142857143</v>
      </c>
      <c r="S511" s="70"/>
      <c r="T511" s="70"/>
      <c r="U511" s="70"/>
      <c r="V511" s="70"/>
      <c r="W511" s="70"/>
      <c r="X511" s="70"/>
      <c r="Y511" s="70"/>
      <c r="Z511" s="70" t="s">
        <v>2221</v>
      </c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hidden="1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hidden="1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hidden="1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hidden="1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27</v>
      </c>
      <c r="P515" s="136" t="s">
        <v>2030</v>
      </c>
      <c r="Q515" s="31">
        <f t="shared" si="41"/>
        <v>1</v>
      </c>
      <c r="R515" s="32">
        <f t="shared" si="42"/>
        <v>0.9642857142857143</v>
      </c>
      <c r="S515" s="70"/>
      <c r="T515" s="70"/>
      <c r="U515" s="70"/>
      <c r="V515" s="70"/>
      <c r="W515" s="70"/>
      <c r="X515" s="70"/>
      <c r="Y515" s="70"/>
      <c r="Z515" s="70" t="s">
        <v>2221</v>
      </c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hidden="1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27</v>
      </c>
      <c r="P524" s="136" t="s">
        <v>2013</v>
      </c>
      <c r="Q524" s="31">
        <f t="shared" si="44"/>
        <v>1</v>
      </c>
      <c r="R524" s="32">
        <f t="shared" si="45"/>
        <v>0.9642857142857143</v>
      </c>
      <c r="S524" s="70"/>
      <c r="T524" s="70"/>
      <c r="U524" s="70"/>
      <c r="V524" s="70"/>
      <c r="W524" s="70"/>
      <c r="X524" s="70"/>
      <c r="Y524" s="70"/>
      <c r="Z524" s="70" t="s">
        <v>2221</v>
      </c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27</v>
      </c>
      <c r="P525" s="136" t="s">
        <v>2014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2221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hidden="1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hidden="1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18</v>
      </c>
      <c r="P529" s="136" t="s">
        <v>2018</v>
      </c>
      <c r="Q529" s="131">
        <f t="shared" si="44"/>
        <v>10</v>
      </c>
      <c r="R529" s="132">
        <f t="shared" si="45"/>
        <v>0.6428571428571429</v>
      </c>
      <c r="S529" s="70" t="s">
        <v>2221</v>
      </c>
      <c r="T529" s="70" t="s">
        <v>2221</v>
      </c>
      <c r="U529" s="70" t="s">
        <v>2221</v>
      </c>
      <c r="V529" s="70" t="s">
        <v>2221</v>
      </c>
      <c r="W529" s="70" t="s">
        <v>2221</v>
      </c>
      <c r="X529" s="70"/>
      <c r="Y529" s="70"/>
      <c r="Z529" s="70" t="s">
        <v>2221</v>
      </c>
      <c r="AA529" s="70" t="s">
        <v>2221</v>
      </c>
      <c r="AB529" s="70" t="s">
        <v>2221</v>
      </c>
      <c r="AC529" s="70" t="s">
        <v>2221</v>
      </c>
      <c r="AD529" s="70" t="s">
        <v>2221</v>
      </c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18</v>
      </c>
      <c r="P532" s="136" t="s">
        <v>2022</v>
      </c>
      <c r="Q532" s="31">
        <f t="shared" si="44"/>
        <v>10</v>
      </c>
      <c r="R532" s="32">
        <f t="shared" si="45"/>
        <v>0.6428571428571429</v>
      </c>
      <c r="S532" s="70" t="s">
        <v>2221</v>
      </c>
      <c r="T532" s="70" t="s">
        <v>2221</v>
      </c>
      <c r="U532" s="70" t="s">
        <v>2221</v>
      </c>
      <c r="V532" s="70" t="s">
        <v>2221</v>
      </c>
      <c r="W532" s="70" t="s">
        <v>2221</v>
      </c>
      <c r="X532" s="70"/>
      <c r="Y532" s="70"/>
      <c r="Z532" s="70" t="s">
        <v>2221</v>
      </c>
      <c r="AA532" s="70" t="s">
        <v>2221</v>
      </c>
      <c r="AB532" s="70" t="s">
        <v>2221</v>
      </c>
      <c r="AC532" s="70" t="s">
        <v>2221</v>
      </c>
      <c r="AD532" s="70" t="s">
        <v>2221</v>
      </c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18</v>
      </c>
      <c r="P533" s="136" t="s">
        <v>2023</v>
      </c>
      <c r="Q533" s="31">
        <f t="shared" si="44"/>
        <v>10</v>
      </c>
      <c r="R533" s="32">
        <f t="shared" si="45"/>
        <v>0.6428571428571429</v>
      </c>
      <c r="S533" s="70" t="s">
        <v>2221</v>
      </c>
      <c r="T533" s="70" t="s">
        <v>2221</v>
      </c>
      <c r="U533" s="70" t="s">
        <v>2221</v>
      </c>
      <c r="V533" s="70" t="s">
        <v>2221</v>
      </c>
      <c r="W533" s="70" t="s">
        <v>2221</v>
      </c>
      <c r="X533" s="70"/>
      <c r="Y533" s="70"/>
      <c r="Z533" s="70" t="s">
        <v>2221</v>
      </c>
      <c r="AA533" s="70" t="s">
        <v>2221</v>
      </c>
      <c r="AB533" s="70" t="s">
        <v>2221</v>
      </c>
      <c r="AC533" s="70" t="s">
        <v>2221</v>
      </c>
      <c r="AD533" s="70" t="s">
        <v>2221</v>
      </c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27</v>
      </c>
      <c r="P534" s="136" t="s">
        <v>2028</v>
      </c>
      <c r="Q534" s="31">
        <f t="shared" si="44"/>
        <v>1</v>
      </c>
      <c r="R534" s="32">
        <f t="shared" si="45"/>
        <v>0.9642857142857143</v>
      </c>
      <c r="S534" s="70"/>
      <c r="T534" s="70"/>
      <c r="U534" s="70"/>
      <c r="V534" s="70"/>
      <c r="W534" s="70"/>
      <c r="X534" s="70"/>
      <c r="Y534" s="70"/>
      <c r="Z534" s="70" t="s">
        <v>2221</v>
      </c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hidden="1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hidden="1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hidden="1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18</v>
      </c>
      <c r="P539" s="136" t="s">
        <v>2172</v>
      </c>
      <c r="Q539" s="131">
        <f t="shared" si="44"/>
        <v>10</v>
      </c>
      <c r="R539" s="132">
        <f t="shared" si="45"/>
        <v>0.6428571428571429</v>
      </c>
      <c r="S539" s="70" t="s">
        <v>2221</v>
      </c>
      <c r="T539" s="70" t="s">
        <v>2221</v>
      </c>
      <c r="U539" s="70" t="s">
        <v>2221</v>
      </c>
      <c r="V539" s="70" t="s">
        <v>2221</v>
      </c>
      <c r="W539" s="70" t="s">
        <v>2221</v>
      </c>
      <c r="X539" s="70"/>
      <c r="Y539" s="70"/>
      <c r="Z539" s="70" t="s">
        <v>2221</v>
      </c>
      <c r="AA539" s="70" t="s">
        <v>2221</v>
      </c>
      <c r="AB539" s="70" t="s">
        <v>2221</v>
      </c>
      <c r="AC539" s="70" t="s">
        <v>2221</v>
      </c>
      <c r="AD539" s="70" t="s">
        <v>2221</v>
      </c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hidden="1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18</v>
      </c>
      <c r="P540" s="136" t="s">
        <v>2175</v>
      </c>
      <c r="Q540" s="131">
        <f t="shared" si="44"/>
        <v>10</v>
      </c>
      <c r="R540" s="132">
        <f t="shared" si="45"/>
        <v>0.6428571428571429</v>
      </c>
      <c r="S540" s="70" t="s">
        <v>2221</v>
      </c>
      <c r="T540" s="70" t="s">
        <v>2221</v>
      </c>
      <c r="U540" s="70" t="s">
        <v>2221</v>
      </c>
      <c r="V540" s="70" t="s">
        <v>2221</v>
      </c>
      <c r="W540" s="70" t="s">
        <v>2221</v>
      </c>
      <c r="X540" s="70"/>
      <c r="Y540" s="70"/>
      <c r="Z540" s="70" t="s">
        <v>2221</v>
      </c>
      <c r="AA540" s="70" t="s">
        <v>2221</v>
      </c>
      <c r="AB540" s="70" t="s">
        <v>2221</v>
      </c>
      <c r="AC540" s="70" t="s">
        <v>2221</v>
      </c>
      <c r="AD540" s="70" t="s">
        <v>2221</v>
      </c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hidden="1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hidden="1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hidden="1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hidden="1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hidden="1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hidden="1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hidden="1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hidden="1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hidden="1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27</v>
      </c>
      <c r="P550" s="136" t="s">
        <v>2047</v>
      </c>
      <c r="Q550" s="131">
        <f t="shared" si="44"/>
        <v>1</v>
      </c>
      <c r="R550" s="132">
        <f t="shared" si="45"/>
        <v>0.9642857142857143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 t="s">
        <v>2221</v>
      </c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hidden="1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hidden="1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18</v>
      </c>
      <c r="P552" s="136" t="s">
        <v>2049</v>
      </c>
      <c r="Q552" s="131">
        <f t="shared" si="44"/>
        <v>10</v>
      </c>
      <c r="R552" s="132">
        <f t="shared" si="45"/>
        <v>0.6428571428571429</v>
      </c>
      <c r="S552" s="70" t="s">
        <v>2221</v>
      </c>
      <c r="T552" s="70" t="s">
        <v>2221</v>
      </c>
      <c r="U552" s="70" t="s">
        <v>2221</v>
      </c>
      <c r="V552" s="70" t="s">
        <v>2221</v>
      </c>
      <c r="W552" s="70" t="s">
        <v>2221</v>
      </c>
      <c r="X552" s="70"/>
      <c r="Y552" s="70"/>
      <c r="Z552" s="70" t="s">
        <v>2221</v>
      </c>
      <c r="AA552" s="70" t="s">
        <v>2221</v>
      </c>
      <c r="AB552" s="70" t="s">
        <v>2221</v>
      </c>
      <c r="AC552" s="70" t="s">
        <v>2221</v>
      </c>
      <c r="AD552" s="70" t="s">
        <v>2221</v>
      </c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hidden="1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hidden="1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26</v>
      </c>
      <c r="P554" s="136" t="s">
        <v>2051</v>
      </c>
      <c r="Q554" s="31">
        <f t="shared" si="44"/>
        <v>2</v>
      </c>
      <c r="R554" s="32">
        <f t="shared" si="45"/>
        <v>0.9285714285714286</v>
      </c>
      <c r="S554" s="70"/>
      <c r="T554" s="70"/>
      <c r="U554" s="70"/>
      <c r="V554" s="70"/>
      <c r="W554" s="70"/>
      <c r="X554" s="70"/>
      <c r="Y554" s="70"/>
      <c r="Z554" s="70" t="s">
        <v>2221</v>
      </c>
      <c r="AA554" s="70" t="s">
        <v>2221</v>
      </c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hidden="1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hidden="1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hidden="1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hidden="1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28</v>
      </c>
      <c r="P563" s="136" t="s">
        <v>2137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18</v>
      </c>
      <c r="P564" s="136"/>
      <c r="Q564" s="131">
        <f t="shared" si="44"/>
        <v>10</v>
      </c>
      <c r="R564" s="132">
        <f t="shared" si="45"/>
        <v>0.6428571428571429</v>
      </c>
      <c r="S564" s="70" t="s">
        <v>2221</v>
      </c>
      <c r="T564" s="70" t="s">
        <v>2221</v>
      </c>
      <c r="U564" s="70" t="s">
        <v>2221</v>
      </c>
      <c r="V564" s="70" t="s">
        <v>2221</v>
      </c>
      <c r="W564" s="70" t="s">
        <v>2221</v>
      </c>
      <c r="X564" s="70"/>
      <c r="Y564" s="70"/>
      <c r="Z564" s="70" t="s">
        <v>2221</v>
      </c>
      <c r="AA564" s="70" t="s">
        <v>2221</v>
      </c>
      <c r="AB564" s="70" t="s">
        <v>2221</v>
      </c>
      <c r="AC564" s="70" t="s">
        <v>2221</v>
      </c>
      <c r="AD564" s="70" t="s">
        <v>2221</v>
      </c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hidden="1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hidden="1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18</v>
      </c>
      <c r="P567" s="136" t="s">
        <v>2134</v>
      </c>
      <c r="Q567" s="31">
        <f t="shared" si="44"/>
        <v>10</v>
      </c>
      <c r="R567" s="32">
        <f t="shared" si="45"/>
        <v>0.6428571428571429</v>
      </c>
      <c r="S567" s="70" t="s">
        <v>2221</v>
      </c>
      <c r="T567" s="70" t="s">
        <v>2221</v>
      </c>
      <c r="U567" s="70" t="s">
        <v>2221</v>
      </c>
      <c r="V567" s="70" t="s">
        <v>2221</v>
      </c>
      <c r="W567" s="70" t="s">
        <v>2221</v>
      </c>
      <c r="X567" s="70"/>
      <c r="Y567" s="70"/>
      <c r="Z567" s="70" t="s">
        <v>2221</v>
      </c>
      <c r="AA567" s="70" t="s">
        <v>2221</v>
      </c>
      <c r="AB567" s="70" t="s">
        <v>2221</v>
      </c>
      <c r="AC567" s="70" t="s">
        <v>2221</v>
      </c>
      <c r="AD567" s="70" t="s">
        <v>2221</v>
      </c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hidden="1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hidden="1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18</v>
      </c>
      <c r="P569" s="136" t="s">
        <v>2135</v>
      </c>
      <c r="Q569" s="31">
        <f t="shared" si="44"/>
        <v>10</v>
      </c>
      <c r="R569" s="32">
        <f t="shared" si="45"/>
        <v>0.6428571428571429</v>
      </c>
      <c r="S569" s="70" t="s">
        <v>2221</v>
      </c>
      <c r="T569" s="70" t="s">
        <v>2221</v>
      </c>
      <c r="U569" s="70" t="s">
        <v>2221</v>
      </c>
      <c r="V569" s="70" t="s">
        <v>2221</v>
      </c>
      <c r="W569" s="70" t="s">
        <v>2221</v>
      </c>
      <c r="X569" s="70"/>
      <c r="Y569" s="70"/>
      <c r="Z569" s="70" t="s">
        <v>2221</v>
      </c>
      <c r="AA569" s="70" t="s">
        <v>2221</v>
      </c>
      <c r="AB569" s="70" t="s">
        <v>2221</v>
      </c>
      <c r="AC569" s="70" t="s">
        <v>2221</v>
      </c>
      <c r="AD569" s="70" t="s">
        <v>2221</v>
      </c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hidden="1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hidden="1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18</v>
      </c>
      <c r="P576" s="136" t="s">
        <v>2063</v>
      </c>
      <c r="Q576" s="31">
        <f t="shared" si="44"/>
        <v>10</v>
      </c>
      <c r="R576" s="32">
        <f t="shared" si="45"/>
        <v>0.6428571428571429</v>
      </c>
      <c r="S576" s="70" t="s">
        <v>2221</v>
      </c>
      <c r="T576" s="70" t="s">
        <v>2221</v>
      </c>
      <c r="U576" s="70" t="s">
        <v>2221</v>
      </c>
      <c r="V576" s="70" t="s">
        <v>2221</v>
      </c>
      <c r="W576" s="70" t="s">
        <v>2221</v>
      </c>
      <c r="X576" s="70"/>
      <c r="Y576" s="70"/>
      <c r="Z576" s="70" t="s">
        <v>2221</v>
      </c>
      <c r="AA576" s="70" t="s">
        <v>2221</v>
      </c>
      <c r="AB576" s="70" t="s">
        <v>2221</v>
      </c>
      <c r="AC576" s="70" t="s">
        <v>2221</v>
      </c>
      <c r="AD576" s="70" t="s">
        <v>2221</v>
      </c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hidden="1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27</v>
      </c>
      <c r="P577" s="136" t="s">
        <v>2065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 t="s">
        <v>2221</v>
      </c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hidden="1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hidden="1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27</v>
      </c>
      <c r="P579" s="136" t="s">
        <v>2064</v>
      </c>
      <c r="Q579" s="31">
        <f t="shared" si="44"/>
        <v>1</v>
      </c>
      <c r="R579" s="32">
        <f t="shared" si="45"/>
        <v>0.9642857142857143</v>
      </c>
      <c r="S579" s="70"/>
      <c r="T579" s="70"/>
      <c r="U579" s="70"/>
      <c r="V579" s="70"/>
      <c r="W579" s="70" t="s">
        <v>2221</v>
      </c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hidden="1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hidden="1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hidden="1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hidden="1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hidden="1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hidden="1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hidden="1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27</v>
      </c>
      <c r="P587" s="136" t="s">
        <v>2069</v>
      </c>
      <c r="Q587" s="31">
        <f t="shared" si="44"/>
        <v>1</v>
      </c>
      <c r="R587" s="32">
        <f t="shared" si="45"/>
        <v>0.9642857142857143</v>
      </c>
      <c r="S587" s="70"/>
      <c r="T587" s="70"/>
      <c r="U587" s="70"/>
      <c r="V587" s="70"/>
      <c r="W587" s="70"/>
      <c r="X587" s="70"/>
      <c r="Y587" s="70"/>
      <c r="Z587" s="70" t="s">
        <v>2221</v>
      </c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hidden="1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27</v>
      </c>
      <c r="P588" s="136" t="s">
        <v>2068</v>
      </c>
      <c r="Q588" s="31">
        <f t="shared" ref="Q588:Q599" si="47">COUNTIF(S588:AT588,"APAGADO")</f>
        <v>1</v>
      </c>
      <c r="R588" s="32">
        <f t="shared" ref="R588:R599" si="48">(O588)/(Q588+O588)</f>
        <v>0.9642857142857143</v>
      </c>
      <c r="S588" s="70"/>
      <c r="T588" s="70"/>
      <c r="U588" s="70"/>
      <c r="V588" s="70"/>
      <c r="W588" s="70"/>
      <c r="X588" s="70"/>
      <c r="Y588" s="70"/>
      <c r="Z588" s="70" t="s">
        <v>2221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hidden="1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21</v>
      </c>
      <c r="P589" s="136" t="s">
        <v>2070</v>
      </c>
      <c r="Q589" s="31">
        <f t="shared" si="47"/>
        <v>7</v>
      </c>
      <c r="R589" s="32">
        <f t="shared" si="48"/>
        <v>0.75</v>
      </c>
      <c r="S589" s="70" t="s">
        <v>2221</v>
      </c>
      <c r="T589" s="70" t="s">
        <v>2221</v>
      </c>
      <c r="U589" s="70"/>
      <c r="V589" s="70"/>
      <c r="W589" s="70" t="s">
        <v>2221</v>
      </c>
      <c r="X589" s="70"/>
      <c r="Y589" s="70"/>
      <c r="Z589" s="70" t="s">
        <v>2221</v>
      </c>
      <c r="AA589" s="70" t="s">
        <v>2221</v>
      </c>
      <c r="AB589" s="70" t="s">
        <v>2221</v>
      </c>
      <c r="AC589" s="70" t="s">
        <v>2221</v>
      </c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hidden="1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hidden="1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hidden="1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hidden="1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hidden="1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hidden="1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hidden="1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hidden="1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hidden="1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hidden="1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hidden="1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hidden="1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hidden="1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hidden="1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hidden="1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hidden="1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0 H388:I388 I131:I147 I155:I156 I164:I165 I218:I221 I225:I228 I233:I236 I261 I271:I272 I279 I285:I288 I298:I300 I373:I378 I387 I404:I408 I420:I422 I425:I426 I484:I487 I555:I556 H682:H1048576">
    <cfRule type="cellIs" dxfId="249" priority="1254" operator="equal">
      <formula>$H$301</formula>
    </cfRule>
  </conditionalFormatting>
  <conditionalFormatting sqref="H1:H600">
    <cfRule type="cellIs" dxfId="248" priority="1251" operator="equal">
      <formula>"IPCOMS"</formula>
    </cfRule>
  </conditionalFormatting>
  <conditionalFormatting sqref="H281:H600">
    <cfRule type="cellIs" dxfId="247" priority="1255" operator="equal">
      <formula>$H$282</formula>
    </cfRule>
  </conditionalFormatting>
  <conditionalFormatting sqref="I20:I21 I164:I165 I225:I228 I261 I285:I288 I298:I300 I404:I408 I420:I422 I425:I426 H682:H1048576 H1:H279 I131:I147 I155:I156 I218:I221 I233:I236 I271:I272 I279 H280:I280 I373:I378 I387 H388:I388 I484:I487 I555:I556">
    <cfRule type="cellIs" dxfId="246" priority="3918" operator="equal">
      <formula>$H$282</formula>
    </cfRule>
  </conditionalFormatting>
  <conditionalFormatting sqref="I20:I21">
    <cfRule type="cellIs" dxfId="245" priority="3917" operator="equal">
      <formula>$H$301</formula>
    </cfRule>
  </conditionalFormatting>
  <conditionalFormatting sqref="I164:I165 I225:I226 I261 I285:I288 I298:I300 I404:I408 I420:I422 I425:I426 H682:H1048576 I20:I21">
    <cfRule type="cellIs" dxfId="244" priority="3463" operator="equal">
      <formula>"IPCOMS"</formula>
    </cfRule>
  </conditionalFormatting>
  <conditionalFormatting sqref="J1:J570 J586:J600 J682:J1048576">
    <cfRule type="containsText" dxfId="243" priority="3923" operator="containsText" text="fija">
      <formula>NOT(ISERROR(SEARCH("fija",J1)))</formula>
    </cfRule>
    <cfRule type="containsText" dxfId="242" priority="3924" operator="containsText" text="domo">
      <formula>NOT(ISERROR(SEARCH("domo",J1)))</formula>
    </cfRule>
  </conditionalFormatting>
  <conditionalFormatting sqref="J34:J35 J162:N233 J237:N402">
    <cfRule type="containsText" dxfId="241" priority="3391" operator="containsText" text="Radio">
      <formula>NOT(ISERROR(SEARCH("Radio",J34)))</formula>
    </cfRule>
  </conditionalFormatting>
  <conditionalFormatting sqref="J135:J148 L148:N148">
    <cfRule type="containsText" dxfId="240" priority="3405" operator="containsText" text="Radio">
      <formula>NOT(ISERROR(SEARCH("Radio",J135)))</formula>
    </cfRule>
  </conditionalFormatting>
  <conditionalFormatting sqref="J404:J408">
    <cfRule type="containsText" dxfId="239" priority="3424" operator="containsText" text="Radio">
      <formula>NOT(ISERROR(SEARCH("Radio",J404)))</formula>
    </cfRule>
  </conditionalFormatting>
  <conditionalFormatting sqref="J572">
    <cfRule type="containsText" dxfId="238" priority="3866" operator="containsText" text="Radio">
      <formula>NOT(ISERROR(SEARCH("Radio",J572)))</formula>
    </cfRule>
    <cfRule type="containsText" dxfId="237" priority="3864" operator="containsText" text="fija">
      <formula>NOT(ISERROR(SEARCH("fija",J572)))</formula>
    </cfRule>
    <cfRule type="containsText" dxfId="236" priority="3865" operator="containsText" text="domo">
      <formula>NOT(ISERROR(SEARCH("domo",J572)))</formula>
    </cfRule>
  </conditionalFormatting>
  <conditionalFormatting sqref="J572:J573">
    <cfRule type="containsText" dxfId="235" priority="3859" operator="containsText" text="fija">
      <formula>NOT(ISERROR(SEARCH("fija",J572)))</formula>
    </cfRule>
    <cfRule type="containsText" dxfId="234" priority="3860" operator="containsText" text="domo">
      <formula>NOT(ISERROR(SEARCH("domo",J572)))</formula>
    </cfRule>
  </conditionalFormatting>
  <conditionalFormatting sqref="J573">
    <cfRule type="containsText" dxfId="233" priority="3857" operator="containsText" text="fija">
      <formula>NOT(ISERROR(SEARCH("fija",J573)))</formula>
    </cfRule>
    <cfRule type="containsText" dxfId="232" priority="3858" operator="containsText" text="domo">
      <formula>NOT(ISERROR(SEARCH("domo",J573)))</formula>
    </cfRule>
    <cfRule type="containsText" dxfId="231" priority="3861" operator="containsText" text="Radio">
      <formula>NOT(ISERROR(SEARCH("Radio",J573)))</formula>
    </cfRule>
  </conditionalFormatting>
  <conditionalFormatting sqref="J576">
    <cfRule type="containsText" dxfId="230" priority="3854" operator="containsText" text="fija">
      <formula>NOT(ISERROR(SEARCH("fija",J576)))</formula>
    </cfRule>
    <cfRule type="containsText" dxfId="229" priority="3855" operator="containsText" text="domo">
      <formula>NOT(ISERROR(SEARCH("domo",J576)))</formula>
    </cfRule>
    <cfRule type="containsText" dxfId="228" priority="3856" operator="containsText" text="Radio">
      <formula>NOT(ISERROR(SEARCH("Radio",J576)))</formula>
    </cfRule>
  </conditionalFormatting>
  <conditionalFormatting sqref="J576:J577">
    <cfRule type="containsText" dxfId="227" priority="3849" operator="containsText" text="fija">
      <formula>NOT(ISERROR(SEARCH("fija",J576)))</formula>
    </cfRule>
    <cfRule type="containsText" dxfId="226" priority="3850" operator="containsText" text="domo">
      <formula>NOT(ISERROR(SEARCH("domo",J576)))</formula>
    </cfRule>
  </conditionalFormatting>
  <conditionalFormatting sqref="J577 J48:N134 K135:K136 J235:K236 J403:K403 K404:K408 J409:N424 J425:K426 J427:N570 J682:N1048576 J586:N600 M403:N403 L403:L408">
    <cfRule type="containsText" dxfId="225" priority="3851" operator="containsText" text="Radio">
      <formula>NOT(ISERROR(SEARCH("Radio",J48)))</formula>
    </cfRule>
  </conditionalFormatting>
  <conditionalFormatting sqref="J577:J578">
    <cfRule type="containsText" dxfId="224" priority="3845" operator="containsText" text="domo">
      <formula>NOT(ISERROR(SEARCH("domo",J577)))</formula>
    </cfRule>
    <cfRule type="containsText" dxfId="223" priority="3844" operator="containsText" text="fija">
      <formula>NOT(ISERROR(SEARCH("fija",J577)))</formula>
    </cfRule>
  </conditionalFormatting>
  <conditionalFormatting sqref="J578">
    <cfRule type="containsText" dxfId="222" priority="3846" operator="containsText" text="Radio">
      <formula>NOT(ISERROR(SEARCH("Radio",J578)))</formula>
    </cfRule>
  </conditionalFormatting>
  <conditionalFormatting sqref="J578:J579">
    <cfRule type="containsText" dxfId="221" priority="3840" operator="containsText" text="domo">
      <formula>NOT(ISERROR(SEARCH("domo",J578)))</formula>
    </cfRule>
    <cfRule type="containsText" dxfId="220" priority="3839" operator="containsText" text="fija">
      <formula>NOT(ISERROR(SEARCH("fija",J578)))</formula>
    </cfRule>
  </conditionalFormatting>
  <conditionalFormatting sqref="J579">
    <cfRule type="containsText" dxfId="219" priority="3841" operator="containsText" text="Radio">
      <formula>NOT(ISERROR(SEARCH("Radio",J579)))</formula>
    </cfRule>
    <cfRule type="containsText" dxfId="218" priority="3838" operator="containsText" text="domo">
      <formula>NOT(ISERROR(SEARCH("domo",J579)))</formula>
    </cfRule>
    <cfRule type="containsText" dxfId="217" priority="3837" operator="containsText" text="fija">
      <formula>NOT(ISERROR(SEARCH("fija",J579)))</formula>
    </cfRule>
  </conditionalFormatting>
  <conditionalFormatting sqref="J581">
    <cfRule type="cellIs" dxfId="216" priority="1256" operator="equal">
      <formula>$J$10</formula>
    </cfRule>
  </conditionalFormatting>
  <conditionalFormatting sqref="J582:J600 J1:J580 J682:J1048576">
    <cfRule type="cellIs" dxfId="215" priority="3919" operator="equal">
      <formula>$J$10</formula>
    </cfRule>
  </conditionalFormatting>
  <conditionalFormatting sqref="J584">
    <cfRule type="containsText" dxfId="214" priority="4135" operator="containsText" text="fija">
      <formula>NOT(ISERROR(SEARCH("fija",J584)))</formula>
    </cfRule>
    <cfRule type="containsText" dxfId="213" priority="4136" operator="containsText" text="domo">
      <formula>NOT(ISERROR(SEARCH("domo",J584)))</formula>
    </cfRule>
  </conditionalFormatting>
  <conditionalFormatting sqref="J587:J590">
    <cfRule type="containsText" dxfId="212" priority="3867" operator="containsText" text="fija">
      <formula>NOT(ISERROR(SEARCH("fija",J587)))</formula>
    </cfRule>
    <cfRule type="containsText" dxfId="211" priority="3868" operator="containsText" text="domo">
      <formula>NOT(ISERROR(SEARCH("domo",J587)))</formula>
    </cfRule>
  </conditionalFormatting>
  <conditionalFormatting sqref="J234:K234">
    <cfRule type="containsText" dxfId="210" priority="3426" operator="containsText" text="Radio">
      <formula>NOT(ISERROR(SEARCH("Radio",J234)))</formula>
    </cfRule>
  </conditionalFormatting>
  <conditionalFormatting sqref="J37:L47">
    <cfRule type="containsText" dxfId="209" priority="3396" operator="containsText" text="Radio">
      <formula>NOT(ISERROR(SEARCH("Radio",J37)))</formula>
    </cfRule>
  </conditionalFormatting>
  <conditionalFormatting sqref="J1:N36">
    <cfRule type="containsText" dxfId="208" priority="3461" operator="containsText" text="Radio">
      <formula>NOT(ISERROR(SEARCH("Radio",J1)))</formula>
    </cfRule>
  </conditionalFormatting>
  <conditionalFormatting sqref="J149:N161">
    <cfRule type="containsText" dxfId="207" priority="3399" operator="containsText" text="Radio">
      <formula>NOT(ISERROR(SEARCH("Radio",J149)))</formula>
    </cfRule>
  </conditionalFormatting>
  <conditionalFormatting sqref="J584:N584 K585">
    <cfRule type="containsText" dxfId="206" priority="4392" operator="containsText" text="Radio">
      <formula>NOT(ISERROR(SEARCH("Radio",J584)))</formula>
    </cfRule>
  </conditionalFormatting>
  <conditionalFormatting sqref="K1:K136 K162:K580 K682:K1048576">
    <cfRule type="cellIs" dxfId="205" priority="3465" operator="equal">
      <formula>"GPON"</formula>
    </cfRule>
    <cfRule type="cellIs" dxfId="204" priority="3464" operator="equal">
      <formula>"GPON"</formula>
    </cfRule>
  </conditionalFormatting>
  <conditionalFormatting sqref="K139">
    <cfRule type="cellIs" dxfId="203" priority="3452" operator="equal">
      <formula>"GPON"</formula>
    </cfRule>
    <cfRule type="cellIs" dxfId="202" priority="3453" operator="equal">
      <formula>"GPON"</formula>
    </cfRule>
    <cfRule type="containsText" dxfId="201" priority="3454" operator="containsText" text="Radio">
      <formula>NOT(ISERROR(SEARCH("Radio",K139)))</formula>
    </cfRule>
    <cfRule type="cellIs" dxfId="200" priority="3455" operator="equal">
      <formula>$K$13</formula>
    </cfRule>
    <cfRule type="cellIs" dxfId="199" priority="3456" operator="equal">
      <formula>"PTP A FO"</formula>
    </cfRule>
    <cfRule type="cellIs" dxfId="198" priority="3457" operator="equal">
      <formula>"PTP A FO"</formula>
    </cfRule>
  </conditionalFormatting>
  <conditionalFormatting sqref="K142:K149">
    <cfRule type="cellIs" dxfId="197" priority="3430" operator="equal">
      <formula>$K$13</formula>
    </cfRule>
    <cfRule type="cellIs" dxfId="196" priority="3431" operator="equal">
      <formula>"PTP A FO"</formula>
    </cfRule>
    <cfRule type="cellIs" dxfId="195" priority="3432" operator="equal">
      <formula>"PTP A FO"</formula>
    </cfRule>
    <cfRule type="containsText" dxfId="194" priority="3429" operator="containsText" text="Radio">
      <formula>NOT(ISERROR(SEARCH("Radio",K142)))</formula>
    </cfRule>
  </conditionalFormatting>
  <conditionalFormatting sqref="K142:K161">
    <cfRule type="cellIs" dxfId="193" priority="3397" operator="equal">
      <formula>"GPON"</formula>
    </cfRule>
    <cfRule type="cellIs" dxfId="192" priority="3398" operator="equal">
      <formula>"GPON"</formula>
    </cfRule>
  </conditionalFormatting>
  <conditionalFormatting sqref="K146:K147">
    <cfRule type="containsText" dxfId="191" priority="3392" operator="containsText" text="Radio">
      <formula>NOT(ISERROR(SEARCH("Radio",K146)))</formula>
    </cfRule>
    <cfRule type="cellIs" dxfId="190" priority="3393" operator="equal">
      <formula>$K$13</formula>
    </cfRule>
    <cfRule type="cellIs" dxfId="189" priority="3394" operator="equal">
      <formula>"PTP A FO"</formula>
    </cfRule>
    <cfRule type="cellIs" dxfId="188" priority="3395" operator="equal">
      <formula>"PTP A FO"</formula>
    </cfRule>
  </conditionalFormatting>
  <conditionalFormatting sqref="K234:K236">
    <cfRule type="cellIs" dxfId="187" priority="3445" operator="equal">
      <formula>"PTP A FO"</formula>
    </cfRule>
    <cfRule type="cellIs" dxfId="186" priority="3443" operator="equal">
      <formula>$K$13</formula>
    </cfRule>
    <cfRule type="cellIs" dxfId="185" priority="3444" operator="equal">
      <formula>"PTP A FO"</formula>
    </cfRule>
  </conditionalFormatting>
  <conditionalFormatting sqref="K235:K236">
    <cfRule type="cellIs" dxfId="184" priority="3439" operator="equal">
      <formula>$K$13</formula>
    </cfRule>
    <cfRule type="cellIs" dxfId="183" priority="3440" operator="equal">
      <formula>"PTP A FO"</formula>
    </cfRule>
    <cfRule type="cellIs" dxfId="182" priority="3441" operator="equal">
      <formula>"PTP A FO"</formula>
    </cfRule>
  </conditionalFormatting>
  <conditionalFormatting sqref="K425:K426">
    <cfRule type="containsText" dxfId="181" priority="3448" operator="containsText" text="Radio">
      <formula>NOT(ISERROR(SEARCH("Radio",K425)))</formula>
    </cfRule>
    <cfRule type="cellIs" dxfId="180" priority="3449" operator="equal">
      <formula>$K$13</formula>
    </cfRule>
    <cfRule type="cellIs" dxfId="179" priority="3450" operator="equal">
      <formula>"PTP A FO"</formula>
    </cfRule>
    <cfRule type="cellIs" dxfId="178" priority="3451" operator="equal">
      <formula>"PTP A FO"</formula>
    </cfRule>
  </conditionalFormatting>
  <conditionalFormatting sqref="K571">
    <cfRule type="cellIs" dxfId="177" priority="3515" operator="equal">
      <formula>"PTP A FO"</formula>
    </cfRule>
    <cfRule type="containsText" dxfId="176" priority="3514" operator="containsText" text="Radio">
      <formula>NOT(ISERROR(SEARCH("Radio",K571)))</formula>
    </cfRule>
  </conditionalFormatting>
  <conditionalFormatting sqref="K581:K600">
    <cfRule type="cellIs" dxfId="175" priority="1252" operator="equal">
      <formula>"GPON"</formula>
    </cfRule>
    <cfRule type="cellIs" dxfId="174" priority="1253" operator="equal">
      <formula>"GPON"</formula>
    </cfRule>
  </conditionalFormatting>
  <conditionalFormatting sqref="K1:L134 K135:K136 K162:L233 K237:L424 K425:K426 K427:L570 K584:L584 K585 K586:L600 K682:L1048576">
    <cfRule type="cellIs" dxfId="173" priority="4116" operator="equal">
      <formula>"PTP A FO"</formula>
    </cfRule>
  </conditionalFormatting>
  <conditionalFormatting sqref="K1:L134 K135:K136 K162:L233 K237:L424 K425:K426 K427:L580 K582:L600 K682:L1048576">
    <cfRule type="cellIs" dxfId="172" priority="3921" operator="equal">
      <formula>"PTP A FO"</formula>
    </cfRule>
  </conditionalFormatting>
  <conditionalFormatting sqref="K1:L134 K135:K136 K237:L424 K425:K426 K427:L580 K582:L600 K682:L1048576 K162:L233">
    <cfRule type="cellIs" dxfId="171" priority="3920" operator="equal">
      <formula>$K$13</formula>
    </cfRule>
  </conditionalFormatting>
  <conditionalFormatting sqref="K149:L161">
    <cfRule type="cellIs" dxfId="170" priority="3400" operator="equal">
      <formula>$K$13</formula>
    </cfRule>
    <cfRule type="cellIs" dxfId="169" priority="3401" operator="equal">
      <formula>"PTP A FO"</formula>
    </cfRule>
    <cfRule type="cellIs" dxfId="168" priority="3402" operator="equal">
      <formula>"PTP A FO"</formula>
    </cfRule>
  </conditionalFormatting>
  <conditionalFormatting sqref="K581:L581">
    <cfRule type="cellIs" dxfId="167" priority="1257" operator="equal">
      <formula>$K$13</formula>
    </cfRule>
    <cfRule type="cellIs" dxfId="166" priority="1258" operator="equal">
      <formula>"PTP A FO"</formula>
    </cfRule>
  </conditionalFormatting>
  <conditionalFormatting sqref="L148">
    <cfRule type="cellIs" dxfId="165" priority="3408" operator="equal">
      <formula>"PTP A FO"</formula>
    </cfRule>
    <cfRule type="cellIs" dxfId="164" priority="3407" operator="equal">
      <formula>"PTP A FO"</formula>
    </cfRule>
    <cfRule type="cellIs" dxfId="163" priority="3406" operator="equal">
      <formula>$K$13</formula>
    </cfRule>
  </conditionalFormatting>
  <conditionalFormatting sqref="R7:R398 R400:R600">
    <cfRule type="cellIs" dxfId="162" priority="4351" operator="lessThan">
      <formula>0.8</formula>
    </cfRule>
    <cfRule type="cellIs" dxfId="161" priority="4352" operator="greaterThan">
      <formula>0.8</formula>
    </cfRule>
  </conditionalFormatting>
  <conditionalFormatting sqref="S418:T426">
    <cfRule type="cellIs" dxfId="160" priority="494" operator="equal">
      <formula>"APAGADO"</formula>
    </cfRule>
  </conditionalFormatting>
  <conditionalFormatting sqref="S404:U408">
    <cfRule type="cellIs" dxfId="159" priority="447" operator="equal">
      <formula>"APAGADO"</formula>
    </cfRule>
  </conditionalFormatting>
  <conditionalFormatting sqref="S37:W38">
    <cfRule type="cellIs" dxfId="158" priority="2210" operator="equal">
      <formula>"APAGADO"</formula>
    </cfRule>
  </conditionalFormatting>
  <conditionalFormatting sqref="S427:W427 Y427:AV427">
    <cfRule type="cellIs" dxfId="157" priority="2149" operator="equal">
      <formula>"APAGADO"</formula>
    </cfRule>
  </conditionalFormatting>
  <conditionalFormatting sqref="S121:AA121">
    <cfRule type="cellIs" dxfId="156" priority="2242" operator="equal">
      <formula>"APAGADO"</formula>
    </cfRule>
  </conditionalFormatting>
  <conditionalFormatting sqref="S409:AG409">
    <cfRule type="cellIs" dxfId="155" priority="2190" operator="equal">
      <formula>"APAGADO"</formula>
    </cfRule>
  </conditionalFormatting>
  <conditionalFormatting sqref="S39:AT43 S45:AT50 S44:AC44 AE44:AT44 S52:AT76 S51:AC51 AE51:AT51 S78:AT94 S77:AC77 AE77:AT77">
    <cfRule type="cellIs" dxfId="154" priority="117" operator="equal">
      <formula>"APAGADO"</formula>
    </cfRule>
  </conditionalFormatting>
  <conditionalFormatting sqref="S96:AT104 S106:AT109 S105:AC105 AE105:AT105 S111:AT117 S110:AC110 AE110:AT110 S119:AT120 S118:AC118 AE118:AT118">
    <cfRule type="cellIs" dxfId="153" priority="115" operator="equal">
      <formula>"APAGADO"</formula>
    </cfRule>
  </conditionalFormatting>
  <conditionalFormatting sqref="S330:AT339 S341:AT352 S340:AC340 AE340:AT340">
    <cfRule type="cellIs" dxfId="152" priority="96" operator="equal">
      <formula>"APAGADO"</formula>
    </cfRule>
  </conditionalFormatting>
  <conditionalFormatting sqref="S354:AT359 S362:AT392 S360:AC361 AE360:AT361 S394:AT398 S393:AC393 AE393:AT393">
    <cfRule type="cellIs" dxfId="151" priority="92" operator="equal">
      <formula>"APAGADO"</formula>
    </cfRule>
  </conditionalFormatting>
  <conditionalFormatting sqref="S400:AT400 S402:AT403 S401:AC401 AE401:AT401">
    <cfRule type="cellIs" dxfId="150" priority="93" operator="equal">
      <formula>"APAGADO"</formula>
    </cfRule>
  </conditionalFormatting>
  <conditionalFormatting sqref="S8:AV36">
    <cfRule type="cellIs" dxfId="149" priority="2496" operator="equal">
      <formula>"APAGADO"</formula>
    </cfRule>
  </conditionalFormatting>
  <conditionalFormatting sqref="S122:AV128 S130:AV148 S129:AC129 AE129:AV129 S150:AV165 S149:AC149 AE149:AV149 S172:AV175 S171:AC171 AE171:AV171 S167:AV170 S166:AC166 AE166:AV166 S178:AV183 S176:AC177 AE176:AV177 S185:AV196 S184:AC184 AE184:AV184 S198:AV206 S197:AC197 AE197:AV197 S210:AV211 S209:AC209 AE209:AV209 S213:AV231 S212:AC212 AE212:AV212 S208:AV208 S207:AC207 AE207:AV207 S233:AV233 S232:AC232 AE232:AV232">
    <cfRule type="cellIs" dxfId="148" priority="106" operator="equal">
      <formula>"APAGADO"</formula>
    </cfRule>
  </conditionalFormatting>
  <conditionalFormatting sqref="S237:AV250 S253:AV254 S251:AC252 AE251:AV252 S257:AV260 S255:AC256 AE255:AV256 S262:AV297 S261:AC261 AE261:AV261 S301:AV317 S298:AC300 AE298:AV300 S322:AV326 S319:AV319 S318:AC318 AE318:AV318 S320:AC321 AE320:AV321 S327:AC329 AE327:AV329">
    <cfRule type="cellIs" dxfId="147" priority="60" operator="equal">
      <formula>"APAGADO"</formula>
    </cfRule>
  </conditionalFormatting>
  <conditionalFormatting sqref="S410:AV411 S413:AV413 S412:AC412 AE412:AV412 S416:AV417 S414:AC415 AE414:AV415">
    <cfRule type="cellIs" dxfId="146" priority="88" operator="equal">
      <formula>"APAGADO"</formula>
    </cfRule>
  </conditionalFormatting>
  <conditionalFormatting sqref="S428:AV428 S430:AV432 S429:AC429 AE429:AV429 S434:AV444 S433:AC433 AE433:AV433 S446:AV456 S445:AC445 AE445:AV445 S458:AV469 S457:AC457 AE457:AV457 S473:AV473 S470:AC472 AE470:AV472 S475:AV528 S474:AC474 AE474:AV474 S530:AV531 S529:AC529 AE529:AV529 S534:AV538 S532:AC533 AE532:AV533 S541:AV551 S539:AC540 AE539:AV540 S553:AV563 S552:AC552 AE552:AV552 S565:AV566 S564:AC564 AE564:AV564 S568:AV568 S567:AC567 AE567:AV567 S570:AV575 S569:AC569 AE569:AV569 S577:AV600 S576:AC576 AE576:AV576">
    <cfRule type="cellIs" dxfId="145" priority="65" operator="equal">
      <formula>"APAGADO"</formula>
    </cfRule>
  </conditionalFormatting>
  <conditionalFormatting sqref="S682:AV758 AC682:AN1048576">
    <cfRule type="cellIs" dxfId="144" priority="3498" operator="equal">
      <formula>"apagado"</formula>
    </cfRule>
  </conditionalFormatting>
  <conditionalFormatting sqref="S682:AV1048576">
    <cfRule type="containsText" dxfId="143" priority="4048" operator="containsText" text="Caida">
      <formula>NOT(ISERROR(SEARCH("Caida",S682)))</formula>
    </cfRule>
    <cfRule type="notContainsText" dxfId="142" priority="4381" operator="notContains" text="Caida">
      <formula>ISERROR(SEARCH("Caida",S682))</formula>
    </cfRule>
  </conditionalFormatting>
  <conditionalFormatting sqref="U682:U1201">
    <cfRule type="containsText" dxfId="141" priority="3678" operator="containsText" text="Caida">
      <formula>NOT(ISERROR(SEARCH("Caida",U682)))</formula>
    </cfRule>
    <cfRule type="cellIs" dxfId="140" priority="3679" operator="lessThan">
      <formula>0.8</formula>
    </cfRule>
    <cfRule type="cellIs" dxfId="139" priority="3680" operator="greaterThan">
      <formula>0.8</formula>
    </cfRule>
    <cfRule type="cellIs" dxfId="138" priority="3703" operator="greaterThan">
      <formula>0.8</formula>
    </cfRule>
    <cfRule type="cellIs" dxfId="137" priority="3807" operator="equal">
      <formula>"APAGADO"</formula>
    </cfRule>
    <cfRule type="notContainsText" dxfId="136" priority="3677" operator="notContains" text="Caida">
      <formula>ISERROR(SEARCH("Caida",U682))</formula>
    </cfRule>
  </conditionalFormatting>
  <conditionalFormatting sqref="U682:U1048576">
    <cfRule type="cellIs" dxfId="135" priority="3697" operator="equal">
      <formula>$U$16</formula>
    </cfRule>
  </conditionalFormatting>
  <conditionalFormatting sqref="U426:W426">
    <cfRule type="cellIs" dxfId="134" priority="326" operator="equal">
      <formula>"APAGADO"</formula>
    </cfRule>
  </conditionalFormatting>
  <conditionalFormatting sqref="U418:AV424">
    <cfRule type="cellIs" dxfId="133" priority="798" operator="equal">
      <formula>"APAGADO"</formula>
    </cfRule>
  </conditionalFormatting>
  <conditionalFormatting sqref="V235:W235">
    <cfRule type="cellIs" dxfId="132" priority="2222" operator="equal">
      <formula>"APAGADO"</formula>
    </cfRule>
  </conditionalFormatting>
  <conditionalFormatting sqref="V408:AD408">
    <cfRule type="cellIs" dxfId="131" priority="90" operator="equal">
      <formula>"APAGADO"</formula>
    </cfRule>
  </conditionalFormatting>
  <conditionalFormatting sqref="X426:X427">
    <cfRule type="cellIs" dxfId="130" priority="2078" operator="equal">
      <formula>"APAGADO"</formula>
    </cfRule>
  </conditionalFormatting>
  <conditionalFormatting sqref="X407:Z407">
    <cfRule type="cellIs" dxfId="129" priority="1797" operator="equal">
      <formula>"APAGADO"</formula>
    </cfRule>
  </conditionalFormatting>
  <conditionalFormatting sqref="X37:AJ37 S95:AM95 AO95:AT95 AF234:AF236 S353:AH353 AJ353:AT353 AO682:AV1048576">
    <cfRule type="cellIs" dxfId="128" priority="3497" operator="equal">
      <formula>"APAGADO"</formula>
    </cfRule>
  </conditionalFormatting>
  <conditionalFormatting sqref="X38:AK38">
    <cfRule type="cellIs" dxfId="127" priority="3274" operator="equal">
      <formula>"APAGADO"</formula>
    </cfRule>
  </conditionalFormatting>
  <conditionalFormatting sqref="Y426:AC426 AE426:AG426">
    <cfRule type="cellIs" dxfId="126" priority="87" operator="equal">
      <formula>"APAGADO"</formula>
    </cfRule>
  </conditionalFormatting>
  <conditionalFormatting sqref="Y399:AT399">
    <cfRule type="cellIs" dxfId="125" priority="1798" operator="equal">
      <formula>"APAGADO"</formula>
    </cfRule>
  </conditionalFormatting>
  <conditionalFormatting sqref="AC121:AV121">
    <cfRule type="cellIs" dxfId="124" priority="2410" operator="equal">
      <formula>"APAGADO"</formula>
    </cfRule>
  </conditionalFormatting>
  <conditionalFormatting sqref="AD407:AG407 AE408:AG408">
    <cfRule type="cellIs" dxfId="123" priority="151" operator="equal">
      <formula>"APAGADO"</formula>
    </cfRule>
  </conditionalFormatting>
  <conditionalFormatting sqref="AH235:AI235">
    <cfRule type="cellIs" dxfId="122" priority="3279" operator="equal">
      <formula>"APAGADO"</formula>
    </cfRule>
  </conditionalFormatting>
  <conditionalFormatting sqref="AH407:AI409">
    <cfRule type="cellIs" dxfId="121" priority="3243" operator="equal">
      <formula>"APAGADO"</formula>
    </cfRule>
  </conditionalFormatting>
  <conditionalFormatting sqref="AJ426:AN426">
    <cfRule type="cellIs" dxfId="120" priority="873" operator="equal">
      <formula>"APAGADO"</formula>
    </cfRule>
  </conditionalFormatting>
  <conditionalFormatting sqref="AJ408:AP408">
    <cfRule type="cellIs" dxfId="119" priority="878" operator="equal">
      <formula>"APAGADO"</formula>
    </cfRule>
  </conditionalFormatting>
  <conditionalFormatting sqref="AJ409:AU409">
    <cfRule type="cellIs" dxfId="118" priority="1038" operator="equal">
      <formula>"APAGADO"</formula>
    </cfRule>
  </conditionalFormatting>
  <conditionalFormatting sqref="AL235:AP235">
    <cfRule type="cellIs" dxfId="117" priority="2820" operator="equal">
      <formula>"APAGADO"</formula>
    </cfRule>
  </conditionalFormatting>
  <conditionalFormatting sqref="AL407:AP407">
    <cfRule type="cellIs" dxfId="116" priority="2801" operator="equal">
      <formula>"APAGADO"</formula>
    </cfRule>
  </conditionalFormatting>
  <conditionalFormatting sqref="AL37:AV38">
    <cfRule type="cellIs" dxfId="115" priority="2417" operator="equal">
      <formula>"APAGADO"</formula>
    </cfRule>
  </conditionalFormatting>
  <conditionalFormatting sqref="AR408:AU408">
    <cfRule type="cellIs" dxfId="114" priority="621" operator="equal">
      <formula>"APAGADO"</formula>
    </cfRule>
  </conditionalFormatting>
  <conditionalFormatting sqref="AR426:AU426">
    <cfRule type="cellIs" dxfId="113" priority="612" operator="equal">
      <formula>"APAGADO"</formula>
    </cfRule>
  </conditionalFormatting>
  <conditionalFormatting sqref="AR235:AV235">
    <cfRule type="cellIs" dxfId="112" priority="2391" operator="equal">
      <formula>"APAGADO"</formula>
    </cfRule>
  </conditionalFormatting>
  <conditionalFormatting sqref="AU39:AV120">
    <cfRule type="cellIs" dxfId="111" priority="646" operator="equal">
      <formula>"APAGADO"</formula>
    </cfRule>
  </conditionalFormatting>
  <conditionalFormatting sqref="AU330:AV403">
    <cfRule type="cellIs" dxfId="110" priority="604" operator="equal">
      <formula>"APAGADO"</formula>
    </cfRule>
  </conditionalFormatting>
  <conditionalFormatting sqref="AV407:AV409">
    <cfRule type="cellIs" dxfId="109" priority="2359" operator="equal">
      <formula>"APAGADO"</formula>
    </cfRule>
  </conditionalFormatting>
  <conditionalFormatting sqref="AD44">
    <cfRule type="cellIs" dxfId="58" priority="59" operator="equal">
      <formula>"APAGADO"</formula>
    </cfRule>
  </conditionalFormatting>
  <conditionalFormatting sqref="AD51">
    <cfRule type="cellIs" dxfId="57" priority="58" operator="equal">
      <formula>"APAGADO"</formula>
    </cfRule>
  </conditionalFormatting>
  <conditionalFormatting sqref="AD77">
    <cfRule type="cellIs" dxfId="56" priority="57" operator="equal">
      <formula>"APAGADO"</formula>
    </cfRule>
  </conditionalFormatting>
  <conditionalFormatting sqref="AD105">
    <cfRule type="cellIs" dxfId="55" priority="56" operator="equal">
      <formula>"APAGADO"</formula>
    </cfRule>
  </conditionalFormatting>
  <conditionalFormatting sqref="AD110">
    <cfRule type="cellIs" dxfId="54" priority="55" operator="equal">
      <formula>"APAGADO"</formula>
    </cfRule>
  </conditionalFormatting>
  <conditionalFormatting sqref="AD118">
    <cfRule type="cellIs" dxfId="53" priority="54" operator="equal">
      <formula>"APAGADO"</formula>
    </cfRule>
  </conditionalFormatting>
  <conditionalFormatting sqref="AD129">
    <cfRule type="cellIs" dxfId="52" priority="53" operator="equal">
      <formula>"APAGADO"</formula>
    </cfRule>
  </conditionalFormatting>
  <conditionalFormatting sqref="AD149">
    <cfRule type="cellIs" dxfId="51" priority="52" operator="equal">
      <formula>"APAGADO"</formula>
    </cfRule>
  </conditionalFormatting>
  <conditionalFormatting sqref="AD171">
    <cfRule type="cellIs" dxfId="50" priority="51" operator="equal">
      <formula>"APAGADO"</formula>
    </cfRule>
  </conditionalFormatting>
  <conditionalFormatting sqref="AD166">
    <cfRule type="cellIs" dxfId="49" priority="50" operator="equal">
      <formula>"APAGADO"</formula>
    </cfRule>
  </conditionalFormatting>
  <conditionalFormatting sqref="AD176">
    <cfRule type="cellIs" dxfId="48" priority="49" operator="equal">
      <formula>"APAGADO"</formula>
    </cfRule>
  </conditionalFormatting>
  <conditionalFormatting sqref="AD177">
    <cfRule type="cellIs" dxfId="47" priority="48" operator="equal">
      <formula>"APAGADO"</formula>
    </cfRule>
  </conditionalFormatting>
  <conditionalFormatting sqref="AD184">
    <cfRule type="cellIs" dxfId="46" priority="47" operator="equal">
      <formula>"APAGADO"</formula>
    </cfRule>
  </conditionalFormatting>
  <conditionalFormatting sqref="AD197">
    <cfRule type="cellIs" dxfId="45" priority="46" operator="equal">
      <formula>"APAGADO"</formula>
    </cfRule>
  </conditionalFormatting>
  <conditionalFormatting sqref="AD209">
    <cfRule type="cellIs" dxfId="44" priority="45" operator="equal">
      <formula>"APAGADO"</formula>
    </cfRule>
  </conditionalFormatting>
  <conditionalFormatting sqref="AD212">
    <cfRule type="cellIs" dxfId="43" priority="44" operator="equal">
      <formula>"APAGADO"</formula>
    </cfRule>
  </conditionalFormatting>
  <conditionalFormatting sqref="AD207">
    <cfRule type="cellIs" dxfId="42" priority="43" operator="equal">
      <formula>"APAGADO"</formula>
    </cfRule>
  </conditionalFormatting>
  <conditionalFormatting sqref="AD232">
    <cfRule type="cellIs" dxfId="41" priority="42" operator="equal">
      <formula>"APAGADO"</formula>
    </cfRule>
  </conditionalFormatting>
  <conditionalFormatting sqref="AD251">
    <cfRule type="cellIs" dxfId="40" priority="41" operator="equal">
      <formula>"APAGADO"</formula>
    </cfRule>
  </conditionalFormatting>
  <conditionalFormatting sqref="AD252">
    <cfRule type="cellIs" dxfId="39" priority="40" operator="equal">
      <formula>"APAGADO"</formula>
    </cfRule>
  </conditionalFormatting>
  <conditionalFormatting sqref="AD255">
    <cfRule type="cellIs" dxfId="38" priority="39" operator="equal">
      <formula>"APAGADO"</formula>
    </cfRule>
  </conditionalFormatting>
  <conditionalFormatting sqref="AD256">
    <cfRule type="cellIs" dxfId="37" priority="38" operator="equal">
      <formula>"APAGADO"</formula>
    </cfRule>
  </conditionalFormatting>
  <conditionalFormatting sqref="AD261">
    <cfRule type="cellIs" dxfId="36" priority="37" operator="equal">
      <formula>"APAGADO"</formula>
    </cfRule>
  </conditionalFormatting>
  <conditionalFormatting sqref="AD298">
    <cfRule type="cellIs" dxfId="35" priority="36" operator="equal">
      <formula>"APAGADO"</formula>
    </cfRule>
  </conditionalFormatting>
  <conditionalFormatting sqref="AD299">
    <cfRule type="cellIs" dxfId="34" priority="35" operator="equal">
      <formula>"APAGADO"</formula>
    </cfRule>
  </conditionalFormatting>
  <conditionalFormatting sqref="AD300">
    <cfRule type="cellIs" dxfId="33" priority="34" operator="equal">
      <formula>"APAGADO"</formula>
    </cfRule>
  </conditionalFormatting>
  <conditionalFormatting sqref="AD340">
    <cfRule type="cellIs" dxfId="32" priority="33" operator="equal">
      <formula>"APAGADO"</formula>
    </cfRule>
  </conditionalFormatting>
  <conditionalFormatting sqref="AD360">
    <cfRule type="cellIs" dxfId="31" priority="32" operator="equal">
      <formula>"APAGADO"</formula>
    </cfRule>
  </conditionalFormatting>
  <conditionalFormatting sqref="AD361">
    <cfRule type="cellIs" dxfId="30" priority="31" operator="equal">
      <formula>"APAGADO"</formula>
    </cfRule>
  </conditionalFormatting>
  <conditionalFormatting sqref="AD393">
    <cfRule type="cellIs" dxfId="29" priority="30" operator="equal">
      <formula>"APAGADO"</formula>
    </cfRule>
  </conditionalFormatting>
  <conditionalFormatting sqref="AD401">
    <cfRule type="cellIs" dxfId="28" priority="29" operator="equal">
      <formula>"APAGADO"</formula>
    </cfRule>
  </conditionalFormatting>
  <conditionalFormatting sqref="AD412">
    <cfRule type="cellIs" dxfId="27" priority="28" operator="equal">
      <formula>"APAGADO"</formula>
    </cfRule>
  </conditionalFormatting>
  <conditionalFormatting sqref="AD414">
    <cfRule type="cellIs" dxfId="26" priority="27" operator="equal">
      <formula>"APAGADO"</formula>
    </cfRule>
  </conditionalFormatting>
  <conditionalFormatting sqref="AD415">
    <cfRule type="cellIs" dxfId="25" priority="26" operator="equal">
      <formula>"APAGADO"</formula>
    </cfRule>
  </conditionalFormatting>
  <conditionalFormatting sqref="AD426">
    <cfRule type="cellIs" dxfId="24" priority="25" operator="equal">
      <formula>"APAGADO"</formula>
    </cfRule>
  </conditionalFormatting>
  <conditionalFormatting sqref="AD429">
    <cfRule type="cellIs" dxfId="23" priority="24" operator="equal">
      <formula>"APAGADO"</formula>
    </cfRule>
  </conditionalFormatting>
  <conditionalFormatting sqref="AD433">
    <cfRule type="cellIs" dxfId="22" priority="23" operator="equal">
      <formula>"APAGADO"</formula>
    </cfRule>
  </conditionalFormatting>
  <conditionalFormatting sqref="AD445">
    <cfRule type="cellIs" dxfId="21" priority="22" operator="equal">
      <formula>"APAGADO"</formula>
    </cfRule>
  </conditionalFormatting>
  <conditionalFormatting sqref="AD457">
    <cfRule type="cellIs" dxfId="20" priority="21" operator="equal">
      <formula>"APAGADO"</formula>
    </cfRule>
  </conditionalFormatting>
  <conditionalFormatting sqref="AD470">
    <cfRule type="cellIs" dxfId="19" priority="20" operator="equal">
      <formula>"APAGADO"</formula>
    </cfRule>
  </conditionalFormatting>
  <conditionalFormatting sqref="AD471">
    <cfRule type="cellIs" dxfId="18" priority="19" operator="equal">
      <formula>"APAGADO"</formula>
    </cfRule>
  </conditionalFormatting>
  <conditionalFormatting sqref="AD472">
    <cfRule type="cellIs" dxfId="17" priority="18" operator="equal">
      <formula>"APAGADO"</formula>
    </cfRule>
  </conditionalFormatting>
  <conditionalFormatting sqref="AD474">
    <cfRule type="cellIs" dxfId="16" priority="17" operator="equal">
      <formula>"APAGADO"</formula>
    </cfRule>
  </conditionalFormatting>
  <conditionalFormatting sqref="AD529">
    <cfRule type="cellIs" dxfId="15" priority="16" operator="equal">
      <formula>"APAGADO"</formula>
    </cfRule>
  </conditionalFormatting>
  <conditionalFormatting sqref="AD532">
    <cfRule type="cellIs" dxfId="14" priority="15" operator="equal">
      <formula>"APAGADO"</formula>
    </cfRule>
  </conditionalFormatting>
  <conditionalFormatting sqref="AD533">
    <cfRule type="cellIs" dxfId="13" priority="14" operator="equal">
      <formula>"APAGADO"</formula>
    </cfRule>
  </conditionalFormatting>
  <conditionalFormatting sqref="AD539">
    <cfRule type="cellIs" dxfId="12" priority="13" operator="equal">
      <formula>"APAGADO"</formula>
    </cfRule>
  </conditionalFormatting>
  <conditionalFormatting sqref="AD540">
    <cfRule type="cellIs" dxfId="11" priority="12" operator="equal">
      <formula>"APAGADO"</formula>
    </cfRule>
  </conditionalFormatting>
  <conditionalFormatting sqref="AD552">
    <cfRule type="cellIs" dxfId="10" priority="11" operator="equal">
      <formula>"APAGADO"</formula>
    </cfRule>
  </conditionalFormatting>
  <conditionalFormatting sqref="AD564">
    <cfRule type="cellIs" dxfId="9" priority="10" operator="equal">
      <formula>"APAGADO"</formula>
    </cfRule>
  </conditionalFormatting>
  <conditionalFormatting sqref="AD567">
    <cfRule type="cellIs" dxfId="8" priority="9" operator="equal">
      <formula>"APAGADO"</formula>
    </cfRule>
  </conditionalFormatting>
  <conditionalFormatting sqref="AD569">
    <cfRule type="cellIs" dxfId="7" priority="8" operator="equal">
      <formula>"APAGADO"</formula>
    </cfRule>
  </conditionalFormatting>
  <conditionalFormatting sqref="AD576">
    <cfRule type="cellIs" dxfId="6" priority="7" operator="equal">
      <formula>"APAGADO"</formula>
    </cfRule>
  </conditionalFormatting>
  <conditionalFormatting sqref="AD320">
    <cfRule type="cellIs" dxfId="5" priority="6" operator="equal">
      <formula>"APAGADO"</formula>
    </cfRule>
  </conditionalFormatting>
  <conditionalFormatting sqref="AD318">
    <cfRule type="cellIs" dxfId="4" priority="5" operator="equal">
      <formula>"APAGADO"</formula>
    </cfRule>
  </conditionalFormatting>
  <conditionalFormatting sqref="AD321">
    <cfRule type="cellIs" dxfId="3" priority="4" operator="equal">
      <formula>"APAGADO"</formula>
    </cfRule>
  </conditionalFormatting>
  <conditionalFormatting sqref="AD327">
    <cfRule type="cellIs" dxfId="2" priority="3" operator="equal">
      <formula>"APAGADO"</formula>
    </cfRule>
  </conditionalFormatting>
  <conditionalFormatting sqref="AD328">
    <cfRule type="cellIs" dxfId="1" priority="2" operator="equal">
      <formula>"APAGADO"</formula>
    </cfRule>
  </conditionalFormatting>
  <conditionalFormatting sqref="AD329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 t="str">
        <f>'RESUMEN TOTAL'!AD13</f>
        <v>APAGADO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 t="str">
        <f>'RESUMEN TOTAL'!AD16</f>
        <v>APAGADO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 t="str">
        <f>'RESUMEN TOTAL'!AD24</f>
        <v>APAGADO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 t="str">
        <f>'RESUMEN TOTAL'!AD105</f>
        <v>APAGADO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 t="str">
        <f>'RESUMEN TOTAL'!AD123</f>
        <v>APAGADO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 t="str">
        <f>'RESUMEN TOTAL'!AD176</f>
        <v>APAGADO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 t="str">
        <f>'RESUMEN TOTAL'!AD177</f>
        <v>APAGADO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 t="str">
        <f>'RESUMEN TOTAL'!AD184</f>
        <v>APAGADO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 t="str">
        <f>'RESUMEN TOTAL'!AD207</f>
        <v>APAGADO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 t="str">
        <f>'RESUMEN TOTAL'!AD209</f>
        <v>APAGADO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 t="str">
        <f>'RESUMEN TOTAL'!AD212</f>
        <v>APAGADO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 t="str">
        <f>'RESUMEN TOTAL'!AD232</f>
        <v>APAGADO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 t="str">
        <f>'RESUMEN TOTAL'!AD251</f>
        <v>APAGADO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 t="str">
        <f>'RESUMEN TOTAL'!AD252</f>
        <v>APAGADO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 t="str">
        <f>'RESUMEN TOTAL'!AD255</f>
        <v>APAGADO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 t="str">
        <f>'RESUMEN TOTAL'!AD256</f>
        <v>APAGADO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 t="str">
        <f>'RESUMEN TOTAL'!U318</f>
        <v>APAGADO</v>
      </c>
      <c r="I244" s="70" t="str">
        <f>'RESUMEN TOTAL'!V318</f>
        <v>APAGADO</v>
      </c>
      <c r="J244" s="70" t="str">
        <f>'RESUMEN TOTAL'!W318</f>
        <v>APAGADO</v>
      </c>
      <c r="K244" s="70">
        <f>'RESUMEN TOTAL'!X318</f>
        <v>0</v>
      </c>
      <c r="L244" s="70">
        <f>'RESUMEN TOTAL'!Y318</f>
        <v>0</v>
      </c>
      <c r="M244" s="70" t="str">
        <f>'RESUMEN TOTAL'!Z318</f>
        <v>APAGADO</v>
      </c>
      <c r="N244" s="70" t="str">
        <f>'RESUMEN TOTAL'!AA318</f>
        <v>APAGADO</v>
      </c>
      <c r="O244" s="70" t="str">
        <f>'RESUMEN TOTAL'!AB318</f>
        <v>APAGADO</v>
      </c>
      <c r="P244" s="70" t="str">
        <f>'RESUMEN TOTAL'!AC318</f>
        <v>APAGADO</v>
      </c>
      <c r="Q244" s="70" t="str">
        <f>'RESUMEN TOTAL'!AD318</f>
        <v>APAGADO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>
        <f>'RESUMEN TOTAL'!AH318</f>
        <v>0</v>
      </c>
      <c r="V244" s="70">
        <f>'RESUMEN TOTAL'!AI318</f>
        <v>0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 t="str">
        <f>'RESUMEN TOTAL'!U320</f>
        <v>APAGADO</v>
      </c>
      <c r="I246" s="70" t="str">
        <f>'RESUMEN TOTAL'!V320</f>
        <v>APAGADO</v>
      </c>
      <c r="J246" s="70" t="str">
        <f>'RESUMEN TOTAL'!W320</f>
        <v>APAGADO</v>
      </c>
      <c r="K246" s="70">
        <f>'RESUMEN TOTAL'!X320</f>
        <v>0</v>
      </c>
      <c r="L246" s="70">
        <f>'RESUMEN TOTAL'!Y320</f>
        <v>0</v>
      </c>
      <c r="M246" s="70" t="str">
        <f>'RESUMEN TOTAL'!Z320</f>
        <v>APAGADO</v>
      </c>
      <c r="N246" s="70" t="str">
        <f>'RESUMEN TOTAL'!AA320</f>
        <v>APAGADO</v>
      </c>
      <c r="O246" s="70" t="str">
        <f>'RESUMEN TOTAL'!AB320</f>
        <v>APAGADO</v>
      </c>
      <c r="P246" s="70" t="str">
        <f>'RESUMEN TOTAL'!AC320</f>
        <v>APAGADO</v>
      </c>
      <c r="Q246" s="70" t="str">
        <f>'RESUMEN TOTAL'!AD320</f>
        <v>APAGADO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>
        <f>'RESUMEN TOTAL'!AH320</f>
        <v>0</v>
      </c>
      <c r="V246" s="70">
        <f>'RESUMEN TOTAL'!AI320</f>
        <v>0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 t="str">
        <f>'RESUMEN TOTAL'!AD321</f>
        <v>APAGADO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>
        <f>'RESUMEN TOTAL'!AH321</f>
        <v>0</v>
      </c>
      <c r="V247" s="70">
        <f>'RESUMEN TOTAL'!AI321</f>
        <v>0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 t="str">
        <f>'RESUMEN TOTAL'!AB323</f>
        <v>APAGADO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>
        <f>'RESUMEN TOTAL'!AH323</f>
        <v>0</v>
      </c>
      <c r="V249" s="70">
        <f>'RESUMEN TOTAL'!AI323</f>
        <v>0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 t="str">
        <f>'RESUMEN TOTAL'!U327</f>
        <v>APAGADO</v>
      </c>
      <c r="I253" s="70" t="str">
        <f>'RESUMEN TOTAL'!V327</f>
        <v>APAGADO</v>
      </c>
      <c r="J253" s="70" t="str">
        <f>'RESUMEN TOTAL'!W327</f>
        <v>APAGADO</v>
      </c>
      <c r="K253" s="70">
        <f>'RESUMEN TOTAL'!X327</f>
        <v>0</v>
      </c>
      <c r="L253" s="70">
        <f>'RESUMEN TOTAL'!Y327</f>
        <v>0</v>
      </c>
      <c r="M253" s="70" t="str">
        <f>'RESUMEN TOTAL'!Z327</f>
        <v>APAGADO</v>
      </c>
      <c r="N253" s="70" t="str">
        <f>'RESUMEN TOTAL'!AA327</f>
        <v>APAGADO</v>
      </c>
      <c r="O253" s="70" t="str">
        <f>'RESUMEN TOTAL'!AB327</f>
        <v>APAGADO</v>
      </c>
      <c r="P253" s="70" t="str">
        <f>'RESUMEN TOTAL'!AC327</f>
        <v>APAGADO</v>
      </c>
      <c r="Q253" s="70" t="str">
        <f>'RESUMEN TOTAL'!AD327</f>
        <v>APAGADO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>
        <f>'RESUMEN TOTAL'!AH327</f>
        <v>0</v>
      </c>
      <c r="V253" s="70">
        <f>'RESUMEN TOTAL'!AI327</f>
        <v>0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 t="str">
        <f>'RESUMEN TOTAL'!U328</f>
        <v>APAGADO</v>
      </c>
      <c r="I254" s="70" t="str">
        <f>'RESUMEN TOTAL'!V328</f>
        <v>APAGADO</v>
      </c>
      <c r="J254" s="70" t="str">
        <f>'RESUMEN TOTAL'!W328</f>
        <v>APAGADO</v>
      </c>
      <c r="K254" s="70">
        <f>'RESUMEN TOTAL'!X328</f>
        <v>0</v>
      </c>
      <c r="L254" s="70">
        <f>'RESUMEN TOTAL'!Y328</f>
        <v>0</v>
      </c>
      <c r="M254" s="70" t="str">
        <f>'RESUMEN TOTAL'!Z328</f>
        <v>APAGADO</v>
      </c>
      <c r="N254" s="70" t="str">
        <f>'RESUMEN TOTAL'!AA328</f>
        <v>APAGADO</v>
      </c>
      <c r="O254" s="70" t="e">
        <f>'RESUMEN TOTAL'!#REF!</f>
        <v>#REF!</v>
      </c>
      <c r="P254" s="70" t="str">
        <f>'RESUMEN TOTAL'!AC328</f>
        <v>APAGADO</v>
      </c>
      <c r="Q254" s="70" t="str">
        <f>'RESUMEN TOTAL'!AD328</f>
        <v>APAGADO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>
        <f>'RESUMEN TOTAL'!AH328</f>
        <v>0</v>
      </c>
      <c r="V254" s="70">
        <f>'RESUMEN TOTAL'!AI328</f>
        <v>0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 t="str">
        <f>'RESUMEN TOTAL'!U329</f>
        <v>APAGADO</v>
      </c>
      <c r="I255" s="70" t="str">
        <f>'RESUMEN TOTAL'!V329</f>
        <v>APAGADO</v>
      </c>
      <c r="J255" s="70" t="str">
        <f>'RESUMEN TOTAL'!W329</f>
        <v>APAGADO</v>
      </c>
      <c r="K255" s="70">
        <f>'RESUMEN TOTAL'!X329</f>
        <v>0</v>
      </c>
      <c r="L255" s="70">
        <f>'RESUMEN TOTAL'!Y329</f>
        <v>0</v>
      </c>
      <c r="M255" s="70" t="str">
        <f>'RESUMEN TOTAL'!Z329</f>
        <v>APAGADO</v>
      </c>
      <c r="N255" s="70" t="str">
        <f>'RESUMEN TOTAL'!AA329</f>
        <v>APAGADO</v>
      </c>
      <c r="O255" s="70" t="str">
        <f>'RESUMEN TOTAL'!AB328</f>
        <v>APAGADO</v>
      </c>
      <c r="P255" s="70" t="str">
        <f>'RESUMEN TOTAL'!AC329</f>
        <v>APAGADO</v>
      </c>
      <c r="Q255" s="70" t="str">
        <f>'RESUMEN TOTAL'!AD329</f>
        <v>APAGADO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>
        <f>'RESUMEN TOTAL'!AH329</f>
        <v>0</v>
      </c>
      <c r="V255" s="70">
        <f>'RESUMEN TOTAL'!AI329</f>
        <v>0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>
        <f>'RESUMEN TOTAL'!AH347</f>
        <v>0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>
        <f>'RESUMEN TOTAL'!AH349</f>
        <v>0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>
        <f>'RESUMEN TOTAL'!AH350</f>
        <v>0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 t="str">
        <f>'RESUMEN TOTAL'!U355</f>
        <v>APAGADO</v>
      </c>
      <c r="I275" s="70" t="str">
        <f>'RESUMEN TOTAL'!V355</f>
        <v>APAGADO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 t="str">
        <f>'RESUMEN TOTAL'!U356</f>
        <v>APAGADO</v>
      </c>
      <c r="I276" s="70" t="str">
        <f>'RESUMEN TOTAL'!V356</f>
        <v>APAGADO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 t="str">
        <f>'RESUMEN TOTAL'!U357</f>
        <v>APAGADO</v>
      </c>
      <c r="I277" s="70" t="str">
        <f>'RESUMEN TOTAL'!V357</f>
        <v>APAGADO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 t="str">
        <f>'RESUMEN TOTAL'!AA383</f>
        <v>APAGADO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LA SIRENA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 t="str">
        <f>'RESUMEN TOTAL'!U393</f>
        <v>APAGADO</v>
      </c>
      <c r="I305" s="70" t="str">
        <f>'RESUMEN TOTAL'!V393</f>
        <v>APAGADO</v>
      </c>
      <c r="J305" s="70" t="str">
        <f>'RESUMEN TOTAL'!W393</f>
        <v>APAGADO</v>
      </c>
      <c r="K305" s="70">
        <f>'RESUMEN TOTAL'!X393</f>
        <v>0</v>
      </c>
      <c r="L305" s="70">
        <f>'RESUMEN TOTAL'!Y393</f>
        <v>0</v>
      </c>
      <c r="M305" s="70" t="str">
        <f>'RESUMEN TOTAL'!Z393</f>
        <v>APAGADO</v>
      </c>
      <c r="N305" s="70" t="str">
        <f>'RESUMEN TOTAL'!AA393</f>
        <v>APAGADO</v>
      </c>
      <c r="O305" s="70" t="str">
        <f>'RESUMEN TOTAL'!AB393</f>
        <v>APAGADO</v>
      </c>
      <c r="P305" s="70" t="str">
        <f>'RESUMEN TOTAL'!AC393</f>
        <v>APAGADO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Radio</v>
      </c>
      <c r="F313" s="70" t="str">
        <f>'RESUMEN TOTAL'!S401</f>
        <v>APAGADO</v>
      </c>
      <c r="G313" s="70" t="str">
        <f>'RESUMEN TOTAL'!T401</f>
        <v>APAGADO</v>
      </c>
      <c r="H313" s="70" t="str">
        <f>'RESUMEN TOTAL'!U401</f>
        <v>APAGADO</v>
      </c>
      <c r="I313" s="70" t="str">
        <f>'RESUMEN TOTAL'!V401</f>
        <v>APAGADO</v>
      </c>
      <c r="J313" s="70" t="str">
        <f>'RESUMEN TOTAL'!W401</f>
        <v>APAGADO</v>
      </c>
      <c r="K313" s="70">
        <f>'RESUMEN TOTAL'!X401</f>
        <v>0</v>
      </c>
      <c r="L313" s="70">
        <f>'RESUMEN TOTAL'!Y401</f>
        <v>0</v>
      </c>
      <c r="M313" s="70" t="str">
        <f>'RESUMEN TOTAL'!Z401</f>
        <v>APAGADO</v>
      </c>
      <c r="N313" s="70" t="str">
        <f>'RESUMEN TOTAL'!AA401</f>
        <v>APAGADO</v>
      </c>
      <c r="O313" s="70" t="str">
        <f>'RESUMEN TOTAL'!AB401</f>
        <v>APAGADO</v>
      </c>
      <c r="P313" s="70" t="str">
        <f>'RESUMEN TOTAL'!AC401</f>
        <v>APAGADO</v>
      </c>
      <c r="Q313" s="70" t="str">
        <f>'RESUMEN TOTAL'!AD401</f>
        <v>APAGADO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>
        <f>'RESUMEN TOTAL'!AH401</f>
        <v>0</v>
      </c>
      <c r="V313" s="70">
        <f>'RESUMEN TOTAL'!AI401</f>
        <v>0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 t="str">
        <f>'RESUMEN TOTAL'!U412</f>
        <v>APAGADO</v>
      </c>
      <c r="I319" s="70" t="str">
        <f>'RESUMEN TOTAL'!V412</f>
        <v>APAGADO</v>
      </c>
      <c r="J319" s="70" t="str">
        <f>'RESUMEN TOTAL'!W412</f>
        <v>APAGADO</v>
      </c>
      <c r="K319" s="70">
        <f>'RESUMEN TOTAL'!X412</f>
        <v>0</v>
      </c>
      <c r="L319" s="70">
        <f>'RESUMEN TOTAL'!Y412</f>
        <v>0</v>
      </c>
      <c r="M319" s="70" t="str">
        <f>'RESUMEN TOTAL'!Z412</f>
        <v>APAGADO</v>
      </c>
      <c r="N319" s="70" t="str">
        <f>'RESUMEN TOTAL'!AA412</f>
        <v>APAGADO</v>
      </c>
      <c r="O319" s="70" t="str">
        <f>'RESUMEN TOTAL'!AB412</f>
        <v>APAGADO</v>
      </c>
      <c r="P319" s="70" t="str">
        <f>'RESUMEN TOTAL'!AC412</f>
        <v>APAGADO</v>
      </c>
      <c r="Q319" s="70" t="str">
        <f>'RESUMEN TOTAL'!AD412</f>
        <v>APAGADO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>
        <f>'RESUMEN TOTAL'!AH412</f>
        <v>0</v>
      </c>
      <c r="V319" s="70">
        <f>'RESUMEN TOTAL'!AI412</f>
        <v>0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 t="str">
        <f>'RESUMEN TOTAL'!V414</f>
        <v>APAGADO</v>
      </c>
      <c r="I321" s="70">
        <v>0</v>
      </c>
      <c r="J321" s="70" t="str">
        <f>'RESUMEN TOTAL'!W414</f>
        <v>APAGADO</v>
      </c>
      <c r="K321" s="70">
        <f>'RESUMEN TOTAL'!X414</f>
        <v>0</v>
      </c>
      <c r="L321" s="70">
        <f>'RESUMEN TOTAL'!Y414</f>
        <v>0</v>
      </c>
      <c r="M321" s="70" t="str">
        <f>'RESUMEN TOTAL'!Z414</f>
        <v>APAGADO</v>
      </c>
      <c r="N321" s="70" t="str">
        <f>'RESUMEN TOTAL'!AA414</f>
        <v>APAGADO</v>
      </c>
      <c r="O321" s="70" t="str">
        <f>'RESUMEN TOTAL'!AB414</f>
        <v>APAGADO</v>
      </c>
      <c r="P321" s="70" t="str">
        <f>'RESUMEN TOTAL'!AC414</f>
        <v>APAGADO</v>
      </c>
      <c r="Q321" s="70" t="str">
        <f>'RESUMEN TOTAL'!AD414</f>
        <v>APAGADO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>
        <f>'RESUMEN TOTAL'!AH414</f>
        <v>0</v>
      </c>
      <c r="V321" s="70">
        <f>'RESUMEN TOTAL'!AI414</f>
        <v>0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 t="str">
        <f>'RESUMEN TOTAL'!V415</f>
        <v>APAGADO</v>
      </c>
      <c r="I322" s="70">
        <v>0</v>
      </c>
      <c r="J322" s="70" t="str">
        <f>'RESUMEN TOTAL'!W415</f>
        <v>APAGADO</v>
      </c>
      <c r="K322" s="70">
        <f>'RESUMEN TOTAL'!X415</f>
        <v>0</v>
      </c>
      <c r="L322" s="70">
        <f>'RESUMEN TOTAL'!Y415</f>
        <v>0</v>
      </c>
      <c r="M322" s="70" t="str">
        <f>'RESUMEN TOTAL'!Z415</f>
        <v>APAGADO</v>
      </c>
      <c r="N322" s="70" t="str">
        <f>'RESUMEN TOTAL'!AA415</f>
        <v>APAGADO</v>
      </c>
      <c r="O322" s="70" t="str">
        <f>'RESUMEN TOTAL'!AB415</f>
        <v>APAGADO</v>
      </c>
      <c r="P322" s="70" t="str">
        <f>'RESUMEN TOTAL'!AC415</f>
        <v>APAGADO</v>
      </c>
      <c r="Q322" s="70" t="str">
        <f>'RESUMEN TOTAL'!AD415</f>
        <v>APAGADO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>
        <f>'RESUMEN TOTAL'!AH415</f>
        <v>0</v>
      </c>
      <c r="V322" s="70">
        <f>'RESUMEN TOTAL'!AI415</f>
        <v>0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 t="str">
        <f>'RESUMEN TOTAL'!AA429</f>
        <v>APAGADO</v>
      </c>
      <c r="O329" s="70">
        <f>'RESUMEN TOTAL'!AB429</f>
        <v>0</v>
      </c>
      <c r="P329" s="70" t="str">
        <f>'RESUMEN TOTAL'!AC429</f>
        <v>APAGADO</v>
      </c>
      <c r="Q329" s="70" t="str">
        <f>'RESUMEN TOTAL'!AD429</f>
        <v>APAGADO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>
        <f>'RESUMEN TOTAL'!AH429</f>
        <v>0</v>
      </c>
      <c r="V329" s="70">
        <f>'RESUMEN TOTAL'!AI429</f>
        <v>0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 t="str">
        <f>'RESUMEN TOTAL'!U433</f>
        <v>APAGADO</v>
      </c>
      <c r="I333" s="70" t="str">
        <f>'RESUMEN TOTAL'!V433</f>
        <v>APAGADO</v>
      </c>
      <c r="J333" s="70" t="str">
        <f>'RESUMEN TOTAL'!W433</f>
        <v>APAGADO</v>
      </c>
      <c r="K333" s="70">
        <f>'RESUMEN TOTAL'!X433</f>
        <v>0</v>
      </c>
      <c r="L333" s="70">
        <f>'RESUMEN TOTAL'!Y433</f>
        <v>0</v>
      </c>
      <c r="M333" s="70" t="str">
        <f>'RESUMEN TOTAL'!Z433</f>
        <v>APAGADO</v>
      </c>
      <c r="N333" s="70" t="str">
        <f>'RESUMEN TOTAL'!AA433</f>
        <v>APAGADO</v>
      </c>
      <c r="O333" s="70" t="str">
        <f>'RESUMEN TOTAL'!AB433</f>
        <v>APAGADO</v>
      </c>
      <c r="P333" s="70" t="str">
        <f>'RESUMEN TOTAL'!AC433</f>
        <v>APAGADO</v>
      </c>
      <c r="Q333" s="70" t="str">
        <f>'RESUMEN TOTAL'!AD433</f>
        <v>APAGADO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>
        <f>'RESUMEN TOTAL'!AH433</f>
        <v>0</v>
      </c>
      <c r="V333" s="70">
        <f>'RESUMEN TOTAL'!AI433</f>
        <v>0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 t="str">
        <f>'RESUMEN TOTAL'!U443</f>
        <v>APAGADO</v>
      </c>
      <c r="I340" s="70" t="str">
        <f>'RESUMEN TOTAL'!V443</f>
        <v>APAGADO</v>
      </c>
      <c r="J340" s="70" t="str">
        <f>'RESUMEN TOTAL'!W443</f>
        <v>APAGADO</v>
      </c>
      <c r="K340" s="70">
        <f>'RESUMEN TOTAL'!X443</f>
        <v>0</v>
      </c>
      <c r="L340" s="70">
        <f>'RESUMEN TOTAL'!Y443</f>
        <v>0</v>
      </c>
      <c r="M340" s="70" t="str">
        <f>'RESUMEN TOTAL'!Z443</f>
        <v>APAGADO</v>
      </c>
      <c r="N340" s="70" t="str">
        <f>'RESUMEN TOTAL'!AA443</f>
        <v>APAGADO</v>
      </c>
      <c r="O340" s="70" t="str">
        <f>'RESUMEN TOTAL'!AB443</f>
        <v>APAGADO</v>
      </c>
      <c r="P340" s="70" t="str">
        <f>'RESUMEN TOTAL'!AC443</f>
        <v>APAGADO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 t="str">
        <f>'RESUMEN TOTAL'!U445</f>
        <v>APAGADO</v>
      </c>
      <c r="I342" s="70" t="str">
        <f>'RESUMEN TOTAL'!V445</f>
        <v>APAGADO</v>
      </c>
      <c r="J342" s="70" t="str">
        <f>'RESUMEN TOTAL'!W445</f>
        <v>APAGADO</v>
      </c>
      <c r="K342" s="70">
        <f>'RESUMEN TOTAL'!X445</f>
        <v>0</v>
      </c>
      <c r="L342" s="70">
        <f>'RESUMEN TOTAL'!Y445</f>
        <v>0</v>
      </c>
      <c r="M342" s="70" t="str">
        <f>'RESUMEN TOTAL'!Z445</f>
        <v>APAGADO</v>
      </c>
      <c r="N342" s="70" t="str">
        <f>'RESUMEN TOTAL'!AA445</f>
        <v>APAGADO</v>
      </c>
      <c r="O342" s="70" t="str">
        <f>'RESUMEN TOTAL'!AB445</f>
        <v>APAGADO</v>
      </c>
      <c r="P342" s="70" t="str">
        <f>'RESUMEN TOTAL'!AC445</f>
        <v>APAGADO</v>
      </c>
      <c r="Q342" s="70" t="str">
        <f>'RESUMEN TOTAL'!AD445</f>
        <v>APAGADO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>
        <f>'RESUMEN TOTAL'!AH445</f>
        <v>0</v>
      </c>
      <c r="V342" s="70">
        <f>'RESUMEN TOTAL'!AI445</f>
        <v>0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>
        <f>'RESUMEN TOTAL'!AH454</f>
        <v>0</v>
      </c>
      <c r="V351" s="70">
        <f>'RESUMEN TOTAL'!AI454</f>
        <v>0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 t="str">
        <f>'RESUMEN TOTAL'!U457</f>
        <v>APAGADO</v>
      </c>
      <c r="I354" s="70" t="str">
        <f>'RESUMEN TOTAL'!V457</f>
        <v>APAGADO</v>
      </c>
      <c r="J354" s="70" t="str">
        <f>'RESUMEN TOTAL'!W457</f>
        <v>APAGADO</v>
      </c>
      <c r="K354" s="70">
        <f>'RESUMEN TOTAL'!X457</f>
        <v>0</v>
      </c>
      <c r="L354" s="70">
        <f>'RESUMEN TOTAL'!Y457</f>
        <v>0</v>
      </c>
      <c r="M354" s="70" t="str">
        <f>'RESUMEN TOTAL'!Z457</f>
        <v>APAGADO</v>
      </c>
      <c r="N354" s="70" t="str">
        <f>'RESUMEN TOTAL'!AA457</f>
        <v>APAGADO</v>
      </c>
      <c r="O354" s="70" t="str">
        <f>'RESUMEN TOTAL'!AB457</f>
        <v>APAGADO</v>
      </c>
      <c r="P354" s="70" t="str">
        <f>'RESUMEN TOTAL'!AC457</f>
        <v>APAGADO</v>
      </c>
      <c r="Q354" s="70" t="str">
        <f>'RESUMEN TOTAL'!AD457</f>
        <v>APAGADO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>
        <f>'RESUMEN TOTAL'!AH457</f>
        <v>0</v>
      </c>
      <c r="V354" s="70">
        <f>'RESUMEN TOTAL'!AI457</f>
        <v>0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>
        <f>'RESUMEN TOTAL'!AH462</f>
        <v>0</v>
      </c>
      <c r="V359" s="70">
        <f>'RESUMEN TOTAL'!AI462</f>
        <v>0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 t="str">
        <f>'RESUMEN TOTAL'!U470</f>
        <v>APAGADO</v>
      </c>
      <c r="I361" s="70" t="str">
        <f>'RESUMEN TOTAL'!V470</f>
        <v>APAGADO</v>
      </c>
      <c r="J361" s="70" t="str">
        <f>'RESUMEN TOTAL'!W470</f>
        <v>APAGADO</v>
      </c>
      <c r="K361" s="70">
        <f>'RESUMEN TOTAL'!X470</f>
        <v>0</v>
      </c>
      <c r="L361" s="70">
        <f>'RESUMEN TOTAL'!Y470</f>
        <v>0</v>
      </c>
      <c r="M361" s="70" t="str">
        <f>'RESUMEN TOTAL'!Z470</f>
        <v>APAGADO</v>
      </c>
      <c r="N361" s="70" t="str">
        <f>'RESUMEN TOTAL'!AA470</f>
        <v>APAGADO</v>
      </c>
      <c r="O361" s="70" t="str">
        <f>'RESUMEN TOTAL'!AB470</f>
        <v>APAGADO</v>
      </c>
      <c r="P361" s="70" t="str">
        <f>'RESUMEN TOTAL'!AC470</f>
        <v>APAGADO</v>
      </c>
      <c r="Q361" s="70" t="str">
        <f>'RESUMEN TOTAL'!AD470</f>
        <v>APAGADO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>
        <f>'RESUMEN TOTAL'!AH470</f>
        <v>0</v>
      </c>
      <c r="V361" s="70">
        <f>'RESUMEN TOTAL'!AI470</f>
        <v>0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 t="str">
        <f>'RESUMEN TOTAL'!U471</f>
        <v>APAGADO</v>
      </c>
      <c r="I362" s="70" t="str">
        <f>'RESUMEN TOTAL'!V471</f>
        <v>APAGADO</v>
      </c>
      <c r="J362" s="70" t="str">
        <f>'RESUMEN TOTAL'!W471</f>
        <v>APAGADO</v>
      </c>
      <c r="K362" s="70">
        <f>'RESUMEN TOTAL'!X471</f>
        <v>0</v>
      </c>
      <c r="L362" s="70">
        <f>'RESUMEN TOTAL'!Y471</f>
        <v>0</v>
      </c>
      <c r="M362" s="70" t="str">
        <f>'RESUMEN TOTAL'!Z471</f>
        <v>APAGADO</v>
      </c>
      <c r="N362" s="70" t="str">
        <f>'RESUMEN TOTAL'!AA471</f>
        <v>APAGADO</v>
      </c>
      <c r="O362" s="70" t="str">
        <f>'RESUMEN TOTAL'!AB471</f>
        <v>APAGADO</v>
      </c>
      <c r="P362" s="70" t="str">
        <f>'RESUMEN TOTAL'!AC471</f>
        <v>APAGADO</v>
      </c>
      <c r="Q362" s="70" t="str">
        <f>'RESUMEN TOTAL'!AD471</f>
        <v>APAGADO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>
        <f>'RESUMEN TOTAL'!AH471</f>
        <v>0</v>
      </c>
      <c r="V362" s="70">
        <f>'RESUMEN TOTAL'!AI471</f>
        <v>0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 t="str">
        <f>'RESUMEN TOTAL'!U472</f>
        <v>APAGADO</v>
      </c>
      <c r="I363" s="70" t="str">
        <f>'RESUMEN TOTAL'!V472</f>
        <v>APAGADO</v>
      </c>
      <c r="J363" s="70" t="str">
        <f>'RESUMEN TOTAL'!W472</f>
        <v>APAGADO</v>
      </c>
      <c r="K363" s="70">
        <f>'RESUMEN TOTAL'!X472</f>
        <v>0</v>
      </c>
      <c r="L363" s="70">
        <f>'RESUMEN TOTAL'!Y472</f>
        <v>0</v>
      </c>
      <c r="M363" s="70" t="str">
        <f>'RESUMEN TOTAL'!Z472</f>
        <v>APAGADO</v>
      </c>
      <c r="N363" s="70" t="str">
        <f>'RESUMEN TOTAL'!AA472</f>
        <v>APAGADO</v>
      </c>
      <c r="O363" s="70" t="str">
        <f>'RESUMEN TOTAL'!AB472</f>
        <v>APAGADO</v>
      </c>
      <c r="P363" s="70" t="str">
        <f>'RESUMEN TOTAL'!AC472</f>
        <v>APAGADO</v>
      </c>
      <c r="Q363" s="70" t="str">
        <f>'RESUMEN TOTAL'!AD472</f>
        <v>APAGADO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>
        <f>'RESUMEN TOTAL'!AH472</f>
        <v>0</v>
      </c>
      <c r="V363" s="70">
        <f>'RESUMEN TOTAL'!AI472</f>
        <v>0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 t="str">
        <f>'RESUMEN TOTAL'!AC475</f>
        <v>APAGADO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 t="str">
        <f>'RESUMEN TOTAL'!Z509</f>
        <v>APAGADO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 t="str">
        <f>'RESUMEN TOTAL'!Z511</f>
        <v>APAGADO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 t="str">
        <f>'RESUMEN TOTAL'!Z515</f>
        <v>APAGADO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 t="str">
        <f>'RESUMEN TOTAL'!Z524</f>
        <v>APAGADO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 t="str">
        <f>'RESUMEN TOTAL'!Z525</f>
        <v>APAGADO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 t="str">
        <f>'RESUMEN TOTAL'!U529</f>
        <v>APAGADO</v>
      </c>
      <c r="I411" s="70" t="str">
        <f>'RESUMEN TOTAL'!V529</f>
        <v>APAGADO</v>
      </c>
      <c r="J411" s="70" t="str">
        <f>'RESUMEN TOTAL'!W529</f>
        <v>APAGADO</v>
      </c>
      <c r="K411" s="70">
        <f>'RESUMEN TOTAL'!X529</f>
        <v>0</v>
      </c>
      <c r="L411" s="70">
        <f>'RESUMEN TOTAL'!Y529</f>
        <v>0</v>
      </c>
      <c r="M411" s="70" t="str">
        <f>'RESUMEN TOTAL'!Z529</f>
        <v>APAGADO</v>
      </c>
      <c r="N411" s="70" t="str">
        <f>'RESUMEN TOTAL'!AA529</f>
        <v>APAGADO</v>
      </c>
      <c r="O411" s="70" t="str">
        <f>'RESUMEN TOTAL'!AB529</f>
        <v>APAGADO</v>
      </c>
      <c r="P411" s="70" t="str">
        <f>'RESUMEN TOTAL'!AC529</f>
        <v>APAGADO</v>
      </c>
      <c r="Q411" s="70" t="str">
        <f>'RESUMEN TOTAL'!AD529</f>
        <v>APAGADO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>
        <f>'RESUMEN TOTAL'!AH529</f>
        <v>0</v>
      </c>
      <c r="V411" s="70">
        <f>'RESUMEN TOTAL'!AI529</f>
        <v>0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 t="str">
        <f>'RESUMEN TOTAL'!U532</f>
        <v>APAGADO</v>
      </c>
      <c r="I414" s="70" t="str">
        <f>'RESUMEN TOTAL'!V532</f>
        <v>APAGADO</v>
      </c>
      <c r="J414" s="70" t="str">
        <f>'RESUMEN TOTAL'!W532</f>
        <v>APAGADO</v>
      </c>
      <c r="K414" s="70">
        <f>'RESUMEN TOTAL'!X532</f>
        <v>0</v>
      </c>
      <c r="L414" s="70">
        <f>'RESUMEN TOTAL'!Y532</f>
        <v>0</v>
      </c>
      <c r="M414" s="70" t="str">
        <f>'RESUMEN TOTAL'!Z532</f>
        <v>APAGADO</v>
      </c>
      <c r="N414" s="70" t="str">
        <f>'RESUMEN TOTAL'!AA532</f>
        <v>APAGADO</v>
      </c>
      <c r="O414" s="70" t="str">
        <f>'RESUMEN TOTAL'!AB532</f>
        <v>APAGADO</v>
      </c>
      <c r="P414" s="70" t="str">
        <f>'RESUMEN TOTAL'!AC532</f>
        <v>APAGADO</v>
      </c>
      <c r="Q414" s="70" t="str">
        <f>'RESUMEN TOTAL'!AD532</f>
        <v>APAGADO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>
        <f>'RESUMEN TOTAL'!AH532</f>
        <v>0</v>
      </c>
      <c r="V414" s="70">
        <f>'RESUMEN TOTAL'!AI532</f>
        <v>0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 t="str">
        <f>'RESUMEN TOTAL'!U533</f>
        <v>APAGADO</v>
      </c>
      <c r="I415" s="70" t="str">
        <f>'RESUMEN TOTAL'!V533</f>
        <v>APAGADO</v>
      </c>
      <c r="J415" s="70" t="str">
        <f>'RESUMEN TOTAL'!W533</f>
        <v>APAGADO</v>
      </c>
      <c r="K415" s="70">
        <f>'RESUMEN TOTAL'!X533</f>
        <v>0</v>
      </c>
      <c r="L415" s="70">
        <f>'RESUMEN TOTAL'!Y533</f>
        <v>0</v>
      </c>
      <c r="M415" s="70" t="str">
        <f>'RESUMEN TOTAL'!Z533</f>
        <v>APAGADO</v>
      </c>
      <c r="N415" s="70" t="str">
        <f>'RESUMEN TOTAL'!AA533</f>
        <v>APAGADO</v>
      </c>
      <c r="O415" s="70" t="str">
        <f>'RESUMEN TOTAL'!AB533</f>
        <v>APAGADO</v>
      </c>
      <c r="P415" s="70" t="str">
        <f>'RESUMEN TOTAL'!AC533</f>
        <v>APAGADO</v>
      </c>
      <c r="Q415" s="70" t="str">
        <f>'RESUMEN TOTAL'!AD533</f>
        <v>APAGADO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>
        <f>'RESUMEN TOTAL'!AH533</f>
        <v>0</v>
      </c>
      <c r="V415" s="70">
        <f>'RESUMEN TOTAL'!AI533</f>
        <v>0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 t="str">
        <f>'RESUMEN TOTAL'!Z534</f>
        <v>APAGADO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 t="str">
        <f>'RESUMEN TOTAL'!AC550</f>
        <v>APAGADO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 t="str">
        <f>'RESUMEN TOTAL'!U552</f>
        <v>APAGADO</v>
      </c>
      <c r="I428" s="70" t="str">
        <f>'RESUMEN TOTAL'!V552</f>
        <v>APAGADO</v>
      </c>
      <c r="J428" s="70" t="str">
        <f>'RESUMEN TOTAL'!W552</f>
        <v>APAGADO</v>
      </c>
      <c r="K428" s="70">
        <f>'RESUMEN TOTAL'!X552</f>
        <v>0</v>
      </c>
      <c r="L428" s="70">
        <f>'RESUMEN TOTAL'!Y552</f>
        <v>0</v>
      </c>
      <c r="M428" s="70" t="str">
        <f>'RESUMEN TOTAL'!Z552</f>
        <v>APAGADO</v>
      </c>
      <c r="N428" s="70" t="str">
        <f>'RESUMEN TOTAL'!AA552</f>
        <v>APAGADO</v>
      </c>
      <c r="O428" s="70" t="str">
        <f>'RESUMEN TOTAL'!AB552</f>
        <v>APAGADO</v>
      </c>
      <c r="P428" s="70" t="str">
        <f>'RESUMEN TOTAL'!AC552</f>
        <v>APAGADO</v>
      </c>
      <c r="Q428" s="70" t="str">
        <f>'RESUMEN TOTAL'!AD552</f>
        <v>APAGADO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>
        <f>'RESUMEN TOTAL'!AH552</f>
        <v>0</v>
      </c>
      <c r="V428" s="70">
        <f>'RESUMEN TOTAL'!AI552</f>
        <v>0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 t="str">
        <f>'RESUMEN TOTAL'!Z554</f>
        <v>APAGADO</v>
      </c>
      <c r="N430" s="70" t="str">
        <f>'RESUMEN TOTAL'!AA554</f>
        <v>APAGADO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 t="str">
        <f>'RESUMEN TOTAL'!U564</f>
        <v>APAGADO</v>
      </c>
      <c r="I436" s="70" t="str">
        <f>'RESUMEN TOTAL'!V564</f>
        <v>APAGADO</v>
      </c>
      <c r="J436" s="70" t="str">
        <f>'RESUMEN TOTAL'!W564</f>
        <v>APAGADO</v>
      </c>
      <c r="K436" s="70">
        <f>'RESUMEN TOTAL'!X564</f>
        <v>0</v>
      </c>
      <c r="L436" s="70">
        <f>'RESUMEN TOTAL'!Y564</f>
        <v>0</v>
      </c>
      <c r="M436" s="70" t="str">
        <f>'RESUMEN TOTAL'!Z564</f>
        <v>APAGADO</v>
      </c>
      <c r="N436" s="70" t="str">
        <f>'RESUMEN TOTAL'!AA564</f>
        <v>APAGADO</v>
      </c>
      <c r="O436" s="70" t="str">
        <f>'RESUMEN TOTAL'!AB564</f>
        <v>APAGADO</v>
      </c>
      <c r="P436" s="70" t="str">
        <f>'RESUMEN TOTAL'!AC564</f>
        <v>APAGADO</v>
      </c>
      <c r="Q436" s="70" t="str">
        <f>'RESUMEN TOTAL'!AD564</f>
        <v>APAGADO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>
        <f>'RESUMEN TOTAL'!AH564</f>
        <v>0</v>
      </c>
      <c r="V436" s="70">
        <f>'RESUMEN TOTAL'!AI564</f>
        <v>0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 t="str">
        <f>'RESUMEN TOTAL'!U567</f>
        <v>APAGADO</v>
      </c>
      <c r="I438" s="70" t="str">
        <f>'RESUMEN TOTAL'!V567</f>
        <v>APAGADO</v>
      </c>
      <c r="J438" s="70" t="str">
        <f>'RESUMEN TOTAL'!W567</f>
        <v>APAGADO</v>
      </c>
      <c r="K438" s="70">
        <f>'RESUMEN TOTAL'!X567</f>
        <v>0</v>
      </c>
      <c r="L438" s="70">
        <f>'RESUMEN TOTAL'!Y567</f>
        <v>0</v>
      </c>
      <c r="M438" s="70" t="str">
        <f>'RESUMEN TOTAL'!Z567</f>
        <v>APAGADO</v>
      </c>
      <c r="N438" s="70" t="str">
        <f>'RESUMEN TOTAL'!AA567</f>
        <v>APAGADO</v>
      </c>
      <c r="O438" s="70" t="str">
        <f>'RESUMEN TOTAL'!AB567</f>
        <v>APAGADO</v>
      </c>
      <c r="P438" s="70" t="str">
        <f>'RESUMEN TOTAL'!AC567</f>
        <v>APAGADO</v>
      </c>
      <c r="Q438" s="70" t="str">
        <f>'RESUMEN TOTAL'!AD567</f>
        <v>APAGADO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>
        <f>'RESUMEN TOTAL'!AH567</f>
        <v>0</v>
      </c>
      <c r="V438" s="70">
        <f>'RESUMEN TOTAL'!AI567</f>
        <v>0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 t="str">
        <f>'RESUMEN TOTAL'!U569</f>
        <v>APAGADO</v>
      </c>
      <c r="I440" s="70" t="str">
        <f>'RESUMEN TOTAL'!V569</f>
        <v>APAGADO</v>
      </c>
      <c r="J440" s="70" t="str">
        <f>'RESUMEN TOTAL'!W569</f>
        <v>APAGADO</v>
      </c>
      <c r="K440" s="70">
        <f>'RESUMEN TOTAL'!X569</f>
        <v>0</v>
      </c>
      <c r="L440" s="70">
        <f>'RESUMEN TOTAL'!Y569</f>
        <v>0</v>
      </c>
      <c r="M440" s="70" t="str">
        <f>'RESUMEN TOTAL'!Z569</f>
        <v>APAGADO</v>
      </c>
      <c r="N440" s="70" t="str">
        <f>'RESUMEN TOTAL'!AA569</f>
        <v>APAGADO</v>
      </c>
      <c r="O440" s="70" t="str">
        <f>'RESUMEN TOTAL'!AB569</f>
        <v>APAGADO</v>
      </c>
      <c r="P440" s="70" t="str">
        <f>'RESUMEN TOTAL'!AC569</f>
        <v>APAGADO</v>
      </c>
      <c r="Q440" s="70" t="str">
        <f>'RESUMEN TOTAL'!AD569</f>
        <v>APAGADO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>
        <f>'RESUMEN TOTAL'!AH569</f>
        <v>0</v>
      </c>
      <c r="V440" s="70">
        <f>'RESUMEN TOTAL'!AI569</f>
        <v>0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 t="str">
        <f>'RESUMEN TOTAL'!U576</f>
        <v>APAGADO</v>
      </c>
      <c r="I446" s="70" t="str">
        <f>'RESUMEN TOTAL'!V576</f>
        <v>APAGADO</v>
      </c>
      <c r="J446" s="70" t="str">
        <f>'RESUMEN TOTAL'!W576</f>
        <v>APAGADO</v>
      </c>
      <c r="K446" s="70">
        <f>'RESUMEN TOTAL'!X576</f>
        <v>0</v>
      </c>
      <c r="L446" s="70">
        <f>'RESUMEN TOTAL'!Y576</f>
        <v>0</v>
      </c>
      <c r="M446" s="70" t="str">
        <f>'RESUMEN TOTAL'!Z576</f>
        <v>APAGADO</v>
      </c>
      <c r="N446" s="70" t="str">
        <f>'RESUMEN TOTAL'!AA576</f>
        <v>APAGADO</v>
      </c>
      <c r="O446" s="70" t="str">
        <f>'RESUMEN TOTAL'!AB576</f>
        <v>APAGADO</v>
      </c>
      <c r="P446" s="70" t="str">
        <f>'RESUMEN TOTAL'!AC576</f>
        <v>APAGADO</v>
      </c>
      <c r="Q446" s="70" t="str">
        <f>'RESUMEN TOTAL'!AD576</f>
        <v>APAGADO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>
        <f>'RESUMEN TOTAL'!AH576</f>
        <v>0</v>
      </c>
      <c r="V446" s="70">
        <f>'RESUMEN TOTAL'!AI576</f>
        <v>0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 t="str">
        <f>'RESUMEN TOTAL'!W577</f>
        <v>APAGADO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 t="str">
        <f>'RESUMEN TOTAL'!W579</f>
        <v>APAGADO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 t="str">
        <f>'RESUMEN TOTAL'!Z587</f>
        <v>APAGADO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 t="str">
        <f>'RESUMEN TOTAL'!Z588</f>
        <v>APAGADO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 t="str">
        <f>'RESUMEN TOTAL'!W589</f>
        <v>APAGADO</v>
      </c>
      <c r="K456" s="70">
        <f>'RESUMEN TOTAL'!X589</f>
        <v>0</v>
      </c>
      <c r="L456" s="70">
        <f>'RESUMEN TOTAL'!Y589</f>
        <v>0</v>
      </c>
      <c r="M456" s="70" t="str">
        <f>'RESUMEN TOTAL'!Z589</f>
        <v>APAGADO</v>
      </c>
      <c r="N456" s="70" t="str">
        <f>'RESUMEN TOTAL'!AA589</f>
        <v>APAGADO</v>
      </c>
      <c r="O456" s="70" t="str">
        <f>'RESUMEN TOTAL'!AB589</f>
        <v>APAGADO</v>
      </c>
      <c r="P456" s="70" t="str">
        <f>'RESUMEN TOTAL'!AC589</f>
        <v>APAGADO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08" priority="97" operator="containsText" text="fija">
      <formula>NOT(ISERROR(SEARCH("fija",D4)))</formula>
    </cfRule>
    <cfRule type="containsText" dxfId="107" priority="98" operator="containsText" text="domo">
      <formula>NOT(ISERROR(SEARCH("domo",D4)))</formula>
    </cfRule>
    <cfRule type="cellIs" dxfId="106" priority="924" operator="equal">
      <formula>$D$7</formula>
    </cfRule>
  </conditionalFormatting>
  <conditionalFormatting sqref="D439">
    <cfRule type="containsText" dxfId="105" priority="69" operator="containsText" text="Radio">
      <formula>NOT(ISERROR(SEARCH("Radio",D439)))</formula>
    </cfRule>
    <cfRule type="containsText" dxfId="104" priority="68" operator="containsText" text="domo">
      <formula>NOT(ISERROR(SEARCH("domo",D439)))</formula>
    </cfRule>
    <cfRule type="containsText" dxfId="103" priority="67" operator="containsText" text="fija">
      <formula>NOT(ISERROR(SEARCH("fija",D439)))</formula>
    </cfRule>
  </conditionalFormatting>
  <conditionalFormatting sqref="D439:D440">
    <cfRule type="containsText" dxfId="102" priority="65" operator="containsText" text="domo">
      <formula>NOT(ISERROR(SEARCH("domo",D439)))</formula>
    </cfRule>
    <cfRule type="containsText" dxfId="101" priority="64" operator="containsText" text="fija">
      <formula>NOT(ISERROR(SEARCH("fija",D439)))</formula>
    </cfRule>
  </conditionalFormatting>
  <conditionalFormatting sqref="D440">
    <cfRule type="containsText" dxfId="100" priority="66" operator="containsText" text="Radio">
      <formula>NOT(ISERROR(SEARCH("Radio",D440)))</formula>
    </cfRule>
    <cfRule type="containsText" dxfId="99" priority="63" operator="containsText" text="domo">
      <formula>NOT(ISERROR(SEARCH("domo",D440)))</formula>
    </cfRule>
    <cfRule type="containsText" dxfId="98" priority="62" operator="containsText" text="fija">
      <formula>NOT(ISERROR(SEARCH("fija",D440)))</formula>
    </cfRule>
  </conditionalFormatting>
  <conditionalFormatting sqref="D443">
    <cfRule type="containsText" dxfId="97" priority="59" operator="containsText" text="fija">
      <formula>NOT(ISERROR(SEARCH("fija",D443)))</formula>
    </cfRule>
    <cfRule type="containsText" dxfId="96" priority="61" operator="containsText" text="Radio">
      <formula>NOT(ISERROR(SEARCH("Radio",D443)))</formula>
    </cfRule>
    <cfRule type="containsText" dxfId="95" priority="60" operator="containsText" text="domo">
      <formula>NOT(ISERROR(SEARCH("domo",D443)))</formula>
    </cfRule>
  </conditionalFormatting>
  <conditionalFormatting sqref="D443:D444">
    <cfRule type="containsText" dxfId="94" priority="56" operator="containsText" text="fija">
      <formula>NOT(ISERROR(SEARCH("fija",D443)))</formula>
    </cfRule>
    <cfRule type="containsText" dxfId="93" priority="57" operator="containsText" text="domo">
      <formula>NOT(ISERROR(SEARCH("domo",D443)))</formula>
    </cfRule>
  </conditionalFormatting>
  <conditionalFormatting sqref="D444:D445">
    <cfRule type="containsText" dxfId="92" priority="54" operator="containsText" text="domo">
      <formula>NOT(ISERROR(SEARCH("domo",D444)))</formula>
    </cfRule>
    <cfRule type="containsText" dxfId="91" priority="53" operator="containsText" text="fija">
      <formula>NOT(ISERROR(SEARCH("fija",D444)))</formula>
    </cfRule>
  </conditionalFormatting>
  <conditionalFormatting sqref="D445">
    <cfRule type="containsText" dxfId="90" priority="55" operator="containsText" text="Radio">
      <formula>NOT(ISERROR(SEARCH("Radio",D445)))</formula>
    </cfRule>
  </conditionalFormatting>
  <conditionalFormatting sqref="D445:D446">
    <cfRule type="containsText" dxfId="89" priority="50" operator="containsText" text="fija">
      <formula>NOT(ISERROR(SEARCH("fija",D445)))</formula>
    </cfRule>
    <cfRule type="containsText" dxfId="88" priority="51" operator="containsText" text="domo">
      <formula>NOT(ISERROR(SEARCH("domo",D445)))</formula>
    </cfRule>
  </conditionalFormatting>
  <conditionalFormatting sqref="D446">
    <cfRule type="containsText" dxfId="87" priority="48" operator="containsText" text="fija">
      <formula>NOT(ISERROR(SEARCH("fija",D446)))</formula>
    </cfRule>
    <cfRule type="containsText" dxfId="86" priority="49" operator="containsText" text="domo">
      <formula>NOT(ISERROR(SEARCH("domo",D446)))</formula>
    </cfRule>
    <cfRule type="containsText" dxfId="85" priority="52" operator="containsText" text="Radio">
      <formula>NOT(ISERROR(SEARCH("Radio",D446)))</formula>
    </cfRule>
  </conditionalFormatting>
  <conditionalFormatting sqref="D448">
    <cfRule type="containsText" dxfId="84" priority="171" operator="containsText" text="fija">
      <formula>NOT(ISERROR(SEARCH("fija",D448)))</formula>
    </cfRule>
    <cfRule type="containsText" dxfId="83" priority="172" operator="containsText" text="domo">
      <formula>NOT(ISERROR(SEARCH("domo",D448)))</formula>
    </cfRule>
  </conditionalFormatting>
  <conditionalFormatting sqref="D451:D453">
    <cfRule type="containsText" dxfId="82" priority="70" operator="containsText" text="fija">
      <formula>NOT(ISERROR(SEARCH("fija",D451)))</formula>
    </cfRule>
    <cfRule type="containsText" dxfId="81" priority="71" operator="containsText" text="domo">
      <formula>NOT(ISERROR(SEARCH("domo",D451)))</formula>
    </cfRule>
  </conditionalFormatting>
  <conditionalFormatting sqref="D642">
    <cfRule type="containsText" dxfId="80" priority="1" operator="containsText" text="Radio">
      <formula>NOT(ISERROR(SEARCH("Radio",D642)))</formula>
    </cfRule>
  </conditionalFormatting>
  <conditionalFormatting sqref="D4:E641">
    <cfRule type="containsText" dxfId="79" priority="58" operator="containsText" text="Radio">
      <formula>NOT(ISERROR(SEARCH("Radio",D4)))</formula>
    </cfRule>
  </conditionalFormatting>
  <conditionalFormatting sqref="D448:E448 D458:E641">
    <cfRule type="containsText" dxfId="78" priority="193" operator="containsText" text="Radio">
      <formula>NOT(ISERROR(SEARCH("Radio",D448)))</formula>
    </cfRule>
  </conditionalFormatting>
  <conditionalFormatting sqref="E4:E665">
    <cfRule type="cellIs" dxfId="77" priority="169" operator="equal">
      <formula>"PTP A FO"</formula>
    </cfRule>
    <cfRule type="cellIs" dxfId="76" priority="927" operator="equal">
      <formula>$E$10</formula>
    </cfRule>
    <cfRule type="cellIs" dxfId="75" priority="928" operator="equal">
      <formula>"PTP A FO"</formula>
    </cfRule>
  </conditionalFormatting>
  <conditionalFormatting sqref="E438">
    <cfRule type="cellIs" dxfId="74" priority="11" operator="equal">
      <formula>"PTP A FO"</formula>
    </cfRule>
    <cfRule type="containsText" dxfId="73" priority="10" operator="containsText" text="Radio">
      <formula>NOT(ISERROR(SEARCH("Radio",E438)))</formula>
    </cfRule>
  </conditionalFormatting>
  <conditionalFormatting sqref="E642:E665">
    <cfRule type="containsText" dxfId="72" priority="3" operator="containsText" text="Radio">
      <formula>NOT(ISERROR(SEARCH("Radio",E642)))</formula>
    </cfRule>
  </conditionalFormatting>
  <conditionalFormatting sqref="F5:AJ643">
    <cfRule type="notContainsText" dxfId="71" priority="13" operator="notContains" text="Caida">
      <formula>ISERROR(SEARCH("Caida",F5))</formula>
    </cfRule>
    <cfRule type="cellIs" dxfId="70" priority="8" operator="equal">
      <formula>"apagado"</formula>
    </cfRule>
    <cfRule type="cellIs" dxfId="69" priority="16" operator="greaterThan">
      <formula>0.8</formula>
    </cfRule>
    <cfRule type="cellIs" dxfId="68" priority="12" operator="equal">
      <formula>"APAGADO"</formula>
    </cfRule>
    <cfRule type="cellIs" dxfId="67" priority="15" operator="lessThan">
      <formula>0.8</formula>
    </cfRule>
    <cfRule type="containsText" dxfId="66" priority="14" operator="containsText" text="Caida">
      <formula>NOT(ISERROR(SEARCH("Caida",F5)))</formula>
    </cfRule>
  </conditionalFormatting>
  <conditionalFormatting sqref="H4">
    <cfRule type="cellIs" dxfId="65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19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40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64" priority="5" operator="greaterThan">
      <formula>0.1</formula>
    </cfRule>
    <cfRule type="cellIs" dxfId="63" priority="6" operator="greaterThan">
      <formula>10</formula>
    </cfRule>
  </conditionalFormatting>
  <conditionalFormatting sqref="C5 F6:AJ6">
    <cfRule type="cellIs" dxfId="62" priority="3" operator="greaterThan">
      <formula>0.1</formula>
    </cfRule>
    <cfRule type="cellIs" dxfId="61" priority="4" operator="greaterThan">
      <formula>0.11</formula>
    </cfRule>
  </conditionalFormatting>
  <conditionalFormatting sqref="F4:AJ4">
    <cfRule type="cellIs" dxfId="60" priority="9" operator="greaterThan">
      <formula>0.1</formula>
    </cfRule>
    <cfRule type="cellIs" dxfId="59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40" zoomScaleNormal="100" workbookViewId="0">
      <selection activeCell="H123" sqref="H12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0.10472972972972973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9.29054054054054E-2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7.9391891891891886E-2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5</v>
      </c>
      <c r="D28" s="100">
        <f>D27-C28</f>
        <v>42</v>
      </c>
      <c r="E28" s="55">
        <f>D28/C24</f>
        <v>7.0945945945945943E-2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43</v>
      </c>
      <c r="E32" s="111">
        <f>D32/C32</f>
        <v>0.15140845070422534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46177</v>
      </c>
    </row>
    <row r="36" spans="1:6" x14ac:dyDescent="0.25">
      <c r="A36" t="s">
        <v>1439</v>
      </c>
      <c r="B36" s="53" t="s">
        <v>6</v>
      </c>
      <c r="C36" s="66">
        <f>'RESUMEN TOTAL'!V3</f>
        <v>62</v>
      </c>
      <c r="D36" s="54"/>
      <c r="E36" s="55">
        <f>C36/C35</f>
        <v>0.10472972972972973</v>
      </c>
      <c r="F36" s="160"/>
    </row>
    <row r="37" spans="1:6" x14ac:dyDescent="0.25">
      <c r="B37" s="53" t="s">
        <v>1220</v>
      </c>
      <c r="C37" s="67">
        <v>7</v>
      </c>
      <c r="D37" s="100">
        <f>C36-C37</f>
        <v>55</v>
      </c>
      <c r="E37" s="55">
        <f>D37/C35</f>
        <v>9.29054054054054E-2</v>
      </c>
      <c r="F37" s="160"/>
    </row>
    <row r="38" spans="1:6" x14ac:dyDescent="0.25">
      <c r="B38" s="53" t="s">
        <v>1221</v>
      </c>
      <c r="C38" s="67">
        <v>14</v>
      </c>
      <c r="D38" s="100">
        <f>D37-C38</f>
        <v>41</v>
      </c>
      <c r="E38" s="55">
        <f>D38/C35</f>
        <v>6.9256756756756757E-2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36</v>
      </c>
      <c r="E39" s="55">
        <f>D39/C35</f>
        <v>6.0810810810810814E-2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43</v>
      </c>
      <c r="E43" s="111">
        <f>D43/C43</f>
        <v>0.15140845070422534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46178</v>
      </c>
    </row>
    <row r="47" spans="1:6" x14ac:dyDescent="0.25">
      <c r="A47" t="s">
        <v>1441</v>
      </c>
      <c r="B47" s="53" t="s">
        <v>6</v>
      </c>
      <c r="C47" s="66">
        <f>'RESUMEN TOTAL'!W3</f>
        <v>59</v>
      </c>
      <c r="D47" s="54"/>
      <c r="E47" s="55">
        <f>C47/C46</f>
        <v>9.9662162162162157E-2</v>
      </c>
      <c r="F47" s="160"/>
    </row>
    <row r="48" spans="1:6" x14ac:dyDescent="0.25">
      <c r="B48" s="53" t="s">
        <v>1220</v>
      </c>
      <c r="C48" s="67">
        <v>7</v>
      </c>
      <c r="D48" s="100">
        <f>C47-C48</f>
        <v>52</v>
      </c>
      <c r="E48" s="55">
        <f>D48/C46</f>
        <v>8.7837837837837843E-2</v>
      </c>
      <c r="F48" s="160"/>
    </row>
    <row r="49" spans="1:6" x14ac:dyDescent="0.25">
      <c r="B49" s="53" t="s">
        <v>1221</v>
      </c>
      <c r="C49" s="67">
        <v>10</v>
      </c>
      <c r="D49" s="100">
        <f>D48-C49</f>
        <v>42</v>
      </c>
      <c r="E49" s="55">
        <f>D49/C46</f>
        <v>7.0945945945945943E-2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37</v>
      </c>
      <c r="E50" s="55">
        <f>D50/C46</f>
        <v>6.25E-2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19</v>
      </c>
      <c r="E53" s="102">
        <f>D53/C53</f>
        <v>6.1688311688311688E-2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v>40</v>
      </c>
      <c r="E54" s="111">
        <f>D54/C54</f>
        <v>0.14084507042253522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46181</v>
      </c>
    </row>
    <row r="80" spans="1:6" x14ac:dyDescent="0.25">
      <c r="A80" t="s">
        <v>1438</v>
      </c>
      <c r="B80" s="53" t="s">
        <v>6</v>
      </c>
      <c r="C80" s="66">
        <f>'RESUMEN TOTAL'!Z3</f>
        <v>65</v>
      </c>
      <c r="D80" s="54"/>
      <c r="E80" s="55">
        <f>C80/C79</f>
        <v>0.1097972972972973</v>
      </c>
      <c r="F80" s="160"/>
    </row>
    <row r="81" spans="1:6" x14ac:dyDescent="0.25">
      <c r="B81" s="53" t="s">
        <v>1220</v>
      </c>
      <c r="C81" s="67">
        <v>4</v>
      </c>
      <c r="D81" s="100">
        <f>C80-C81</f>
        <v>61</v>
      </c>
      <c r="E81" s="55">
        <f>D81/C79</f>
        <v>0.10304054054054054</v>
      </c>
      <c r="F81" s="160"/>
    </row>
    <row r="82" spans="1:6" x14ac:dyDescent="0.25">
      <c r="B82" s="53" t="s">
        <v>1221</v>
      </c>
      <c r="C82" s="67">
        <v>10</v>
      </c>
      <c r="D82" s="100">
        <f>D81-C82</f>
        <v>51</v>
      </c>
      <c r="E82" s="55">
        <f>D82/C79</f>
        <v>8.6148648648648643E-2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46</v>
      </c>
      <c r="E83" s="55">
        <f>D83/C79</f>
        <v>7.77027027027027E-2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15</v>
      </c>
      <c r="E86" s="102">
        <f>D86/C86</f>
        <v>4.8859934853420196E-2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50</v>
      </c>
      <c r="E87" s="111">
        <f>D87/C87</f>
        <v>0.176056338028169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46182</v>
      </c>
    </row>
    <row r="91" spans="1:6" x14ac:dyDescent="0.25">
      <c r="A91" t="s">
        <v>1444</v>
      </c>
      <c r="B91" s="53" t="s">
        <v>6</v>
      </c>
      <c r="C91" s="66">
        <f>'RESUMEN TOTAL'!AA3</f>
        <v>62</v>
      </c>
      <c r="D91" s="54"/>
      <c r="E91" s="55">
        <f>C91/C90</f>
        <v>0.10472972972972973</v>
      </c>
      <c r="F91" s="160"/>
    </row>
    <row r="92" spans="1:6" x14ac:dyDescent="0.25">
      <c r="B92" s="53" t="s">
        <v>1220</v>
      </c>
      <c r="C92" s="67">
        <v>8</v>
      </c>
      <c r="D92" s="100">
        <f>C91-C92</f>
        <v>54</v>
      </c>
      <c r="E92" s="55">
        <f>D92/C90</f>
        <v>9.1216216216216214E-2</v>
      </c>
      <c r="F92" s="160"/>
    </row>
    <row r="93" spans="1:6" x14ac:dyDescent="0.25">
      <c r="B93" s="53" t="s">
        <v>1221</v>
      </c>
      <c r="C93" s="67">
        <v>10</v>
      </c>
      <c r="D93" s="100">
        <f>D92-C93</f>
        <v>44</v>
      </c>
      <c r="E93" s="55">
        <f>D93/C90</f>
        <v>7.4324324324324328E-2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39</v>
      </c>
      <c r="E94" s="55">
        <f>D94/C90</f>
        <v>6.5878378378378372E-2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v>43</v>
      </c>
      <c r="E98" s="111">
        <f>D98/C98</f>
        <v>0.15140845070422534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46183</v>
      </c>
    </row>
    <row r="102" spans="1:6" x14ac:dyDescent="0.25">
      <c r="A102" t="s">
        <v>1445</v>
      </c>
      <c r="B102" s="53" t="s">
        <v>6</v>
      </c>
      <c r="C102" s="66">
        <v>88</v>
      </c>
      <c r="D102" s="54"/>
      <c r="E102" s="55">
        <f>C102/C101</f>
        <v>0.14864864864864866</v>
      </c>
      <c r="F102" s="160"/>
    </row>
    <row r="103" spans="1:6" x14ac:dyDescent="0.25">
      <c r="B103" s="53" t="s">
        <v>1220</v>
      </c>
      <c r="C103" s="67">
        <v>3</v>
      </c>
      <c r="D103" s="100">
        <f>C102-C103</f>
        <v>85</v>
      </c>
      <c r="E103" s="55">
        <f>D103/C101</f>
        <v>0.14358108108108109</v>
      </c>
      <c r="F103" s="160"/>
    </row>
    <row r="104" spans="1:6" x14ac:dyDescent="0.25">
      <c r="B104" s="53" t="s">
        <v>1221</v>
      </c>
      <c r="C104" s="67">
        <v>10</v>
      </c>
      <c r="D104" s="100">
        <f>D103-C104</f>
        <v>75</v>
      </c>
      <c r="E104" s="55">
        <f>D104/C101</f>
        <v>0.1266891891891892</v>
      </c>
      <c r="F104" s="160"/>
    </row>
    <row r="105" spans="1:6" x14ac:dyDescent="0.25">
      <c r="A105" t="s">
        <v>1445</v>
      </c>
      <c r="B105" s="53" t="s">
        <v>15</v>
      </c>
      <c r="C105" s="91">
        <v>5</v>
      </c>
      <c r="D105" s="100">
        <f>D104-C105</f>
        <v>70</v>
      </c>
      <c r="E105" s="55">
        <f>D105/C101</f>
        <v>0.11824324324324324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43</v>
      </c>
      <c r="E109" s="111">
        <f>D109/C109</f>
        <v>0.15140845070422534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0.10472972972972973</v>
      </c>
      <c r="F113" s="160"/>
    </row>
    <row r="114" spans="2:6" x14ac:dyDescent="0.25">
      <c r="B114" s="53" t="s">
        <v>1220</v>
      </c>
      <c r="C114" s="67">
        <v>8</v>
      </c>
      <c r="D114" s="100">
        <f>C113-C114</f>
        <v>54</v>
      </c>
      <c r="E114" s="55">
        <f>D114/C112</f>
        <v>9.1216216216216214E-2</v>
      </c>
      <c r="F114" s="160"/>
    </row>
    <row r="115" spans="2:6" x14ac:dyDescent="0.25">
      <c r="B115" s="53" t="s">
        <v>1221</v>
      </c>
      <c r="C115" s="67">
        <v>9</v>
      </c>
      <c r="D115" s="100">
        <f>D114-C115</f>
        <v>45</v>
      </c>
      <c r="E115" s="55">
        <f>D115/C112</f>
        <v>7.6013513513513514E-2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6.7567567567567571E-2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43</v>
      </c>
      <c r="E120" s="111">
        <f>D120/C120</f>
        <v>0.15140845070422534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63</v>
      </c>
      <c r="D124" s="54"/>
      <c r="E124" s="55">
        <f>C124/C123</f>
        <v>0.10641891891891891</v>
      </c>
      <c r="F124" s="160"/>
    </row>
    <row r="125" spans="2:6" x14ac:dyDescent="0.25">
      <c r="B125" s="53" t="s">
        <v>1220</v>
      </c>
      <c r="C125" s="67">
        <v>8</v>
      </c>
      <c r="D125" s="100">
        <f>C124-C125</f>
        <v>55</v>
      </c>
      <c r="E125" s="55">
        <f>D125/C123</f>
        <v>9.29054054054054E-2</v>
      </c>
      <c r="F125" s="160"/>
    </row>
    <row r="126" spans="2:6" x14ac:dyDescent="0.25">
      <c r="B126" s="53" t="s">
        <v>1221</v>
      </c>
      <c r="C126" s="67">
        <v>9</v>
      </c>
      <c r="D126" s="100">
        <f>D125-C126</f>
        <v>46</v>
      </c>
      <c r="E126" s="55">
        <f>D126/C123</f>
        <v>7.77027027027027E-2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41</v>
      </c>
      <c r="E127" s="55">
        <f>D127/C123</f>
        <v>6.9256756756756757E-2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43</v>
      </c>
      <c r="E131" s="111">
        <f>D131/C131</f>
        <v>0.15140845070422534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-3.3783783783783786E-3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-2.364864864864865E-2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-3.2094594594594593E-2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-3.2094594594594593E-2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40</v>
      </c>
      <c r="E175" s="111">
        <f>D175/C175</f>
        <v>0.14084507042253522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-3.3783783783783786E-2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-5.4054054054054057E-2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2026-06-12T16:00:09Z</dcterms:modified>
</cp:coreProperties>
</file>