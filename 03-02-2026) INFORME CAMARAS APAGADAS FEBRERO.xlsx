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4F691D56-FAD1-4BB6-9B99-1273F2D0B3C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6" i="2" l="1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66" i="2" l="1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<sst xmlns="http://schemas.openxmlformats.org/spreadsheetml/2006/main" count="5267" uniqueCount="2324">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</sst>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50" zoomScaleNormal="50" workbookViewId="0">
      <pane xSplit="12" ySplit="7" topLeftCell="M467" activePane="bottomRight" state="frozen"/>
      <selection pane="topRight" activeCell="M1" sqref="M1"/>
      <selection pane="bottomLeft" activeCell="A5" sqref="A5"/>
      <selection pane="bottomRight" activeCell="J492" sqref="J492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0</v>
      </c>
      <c r="Q3" s="125">
        <f t="shared" si="3"/>
        <v>0</v>
      </c>
      <c r="R3" s="125">
        <f t="shared" si="3"/>
        <v>0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1663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28</v>
      </c>
      <c r="J8" s="146" t="s">
        <v>1664</v>
      </c>
      <c r="K8" s="31">
        <f t="shared" ref="K8:K86" si="5">COUNTIF(M8:AN8,"APAGADO")</f>
        <v>0</v>
      </c>
      <c r="L8" s="32">
        <f t="shared" ref="L8:L86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25</v>
      </c>
      <c r="J9" s="146" t="s">
        <v>1665</v>
      </c>
      <c r="K9" s="31">
        <f t="shared" si="5"/>
        <v>3</v>
      </c>
      <c r="L9" s="32">
        <f t="shared" si="6"/>
        <v>0.8928571428571429</v>
      </c>
      <c r="M9" s="70" t="s">
        <v>2285</v>
      </c>
      <c r="N9" s="70" t="s">
        <v>2285</v>
      </c>
      <c r="O9" s="70" t="s">
        <v>2285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1666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1667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1668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1669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28</v>
      </c>
      <c r="J14" s="146" t="s">
        <v>1670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1671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1672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1673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2156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25</v>
      </c>
      <c r="J19" s="146" t="s">
        <v>1674</v>
      </c>
      <c r="K19" s="31">
        <f t="shared" si="5"/>
        <v>3</v>
      </c>
      <c r="L19" s="32">
        <f t="shared" si="6"/>
        <v>0.8928571428571429</v>
      </c>
      <c r="M19" s="70" t="s">
        <v>2285</v>
      </c>
      <c r="N19" s="70" t="s">
        <v>2285</v>
      </c>
      <c r="O19" s="70" t="s">
        <v>2285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25</v>
      </c>
      <c r="J20" s="146" t="s">
        <v>1675</v>
      </c>
      <c r="K20" s="31">
        <f t="shared" si="5"/>
        <v>3</v>
      </c>
      <c r="L20" s="32">
        <f t="shared" si="6"/>
        <v>0.8928571428571429</v>
      </c>
      <c r="M20" s="70" t="s">
        <v>2285</v>
      </c>
      <c r="N20" s="70" t="s">
        <v>2285</v>
      </c>
      <c r="O20" s="70" t="s">
        <v>2285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1676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1677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1678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28</v>
      </c>
      <c r="J24" s="146" t="s">
        <v>1679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28</v>
      </c>
      <c r="J25" s="146" t="s">
        <v>1680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28</v>
      </c>
      <c r="J26" s="146" t="s">
        <v>1681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28</v>
      </c>
      <c r="J27" s="146" t="s">
        <v>1682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1683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1684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1685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2157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2158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2159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2308</v>
      </c>
      <c r="C34" s="85" t="s">
        <v>1062</v>
      </c>
      <c r="D34" s="73" t="s">
        <v>2309</v>
      </c>
      <c r="E34" s="85" t="s">
        <v>19</v>
      </c>
      <c r="F34" s="85" t="s">
        <v>1300</v>
      </c>
      <c r="G34" s="85"/>
      <c r="H34" s="85" t="s">
        <v>2310</v>
      </c>
      <c r="I34" s="141">
        <f t="shared" si="4"/>
        <v>28</v>
      </c>
      <c r="J34" s="151" t="s">
        <v>2311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2155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25</v>
      </c>
      <c r="J35" s="146" t="s">
        <v>1686</v>
      </c>
      <c r="K35" s="133">
        <f t="shared" si="5"/>
        <v>3</v>
      </c>
      <c r="L35" s="134">
        <f t="shared" si="6"/>
        <v>0.8928571428571429</v>
      </c>
      <c r="M35" s="135" t="s">
        <v>2285</v>
      </c>
      <c r="N35" s="135" t="s">
        <v>2285</v>
      </c>
      <c r="O35" s="135" t="s">
        <v>2285</v>
      </c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2155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27</v>
      </c>
      <c r="J36" s="87" t="s">
        <v>2160</v>
      </c>
      <c r="K36" s="141">
        <f t="shared" si="5"/>
        <v>1</v>
      </c>
      <c r="L36" s="142">
        <f t="shared" si="6"/>
        <v>0.9642857142857143</v>
      </c>
      <c r="M36" s="70"/>
      <c r="N36" s="70"/>
      <c r="O36" s="70" t="s">
        <v>2285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2155</v>
      </c>
      <c r="B37" s="85" t="s">
        <v>2151</v>
      </c>
      <c r="C37" s="73" t="s">
        <v>1062</v>
      </c>
      <c r="D37" s="73" t="s">
        <v>2152</v>
      </c>
      <c r="E37" s="85" t="s">
        <v>19</v>
      </c>
      <c r="F37" s="85" t="s">
        <v>1300</v>
      </c>
      <c r="G37" s="85"/>
      <c r="H37" s="85" t="s">
        <v>2153</v>
      </c>
      <c r="I37" s="141">
        <f t="shared" si="4"/>
        <v>25</v>
      </c>
      <c r="J37" s="87" t="s">
        <v>2154</v>
      </c>
      <c r="K37" s="141">
        <f t="shared" si="5"/>
        <v>3</v>
      </c>
      <c r="L37" s="142">
        <f t="shared" si="6"/>
        <v>0.8928571428571429</v>
      </c>
      <c r="M37" s="70" t="s">
        <v>2285</v>
      </c>
      <c r="N37" s="70" t="s">
        <v>2285</v>
      </c>
      <c r="O37" s="70" t="s">
        <v>2285</v>
      </c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2161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1687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1636</v>
      </c>
      <c r="C41" t="s">
        <v>1062</v>
      </c>
      <c r="D41" t="s">
        <v>1638</v>
      </c>
      <c r="E41" s="30" t="s">
        <v>73</v>
      </c>
      <c r="F41" s="30" t="s">
        <v>28</v>
      </c>
      <c r="G41" s="30"/>
      <c r="H41" s="85" t="s">
        <v>1639</v>
      </c>
      <c r="I41" s="31">
        <f t="shared" si="4"/>
        <v>28</v>
      </c>
      <c r="J41" s="87" t="s">
        <v>2162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1637</v>
      </c>
      <c r="C42" t="s">
        <v>1062</v>
      </c>
      <c r="D42" t="s">
        <v>1638</v>
      </c>
      <c r="E42" s="30" t="s">
        <v>73</v>
      </c>
      <c r="F42" s="30" t="s">
        <v>28</v>
      </c>
      <c r="G42" s="30"/>
      <c r="H42" s="85" t="s">
        <v>1640</v>
      </c>
      <c r="I42" s="31">
        <f t="shared" si="4"/>
        <v>28</v>
      </c>
      <c r="J42" s="87" t="s">
        <v>2187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1644</v>
      </c>
      <c r="C43" t="s">
        <v>1062</v>
      </c>
      <c r="D43" t="s">
        <v>1638</v>
      </c>
      <c r="E43" s="30" t="s">
        <v>19</v>
      </c>
      <c r="F43" s="30" t="s">
        <v>28</v>
      </c>
      <c r="G43" s="30"/>
      <c r="H43" s="85" t="s">
        <v>1642</v>
      </c>
      <c r="I43" s="31">
        <f t="shared" si="4"/>
        <v>28</v>
      </c>
      <c r="J43" s="87" t="s">
        <v>2188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1645</v>
      </c>
      <c r="C44" t="s">
        <v>1062</v>
      </c>
      <c r="D44" t="s">
        <v>1646</v>
      </c>
      <c r="E44" s="30" t="s">
        <v>19</v>
      </c>
      <c r="F44" s="30" t="s">
        <v>28</v>
      </c>
      <c r="G44" s="30"/>
      <c r="H44" s="85" t="s">
        <v>1647</v>
      </c>
      <c r="I44" s="31">
        <f t="shared" si="4"/>
        <v>28</v>
      </c>
      <c r="J44" s="87" t="s">
        <v>2189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2242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2243</v>
      </c>
      <c r="I45" s="31">
        <f t="shared" si="4"/>
        <v>28</v>
      </c>
      <c r="J45" s="151" t="s">
        <v>2244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2245</v>
      </c>
      <c r="C46" t="s">
        <v>1062</v>
      </c>
      <c r="D46" t="s">
        <v>2246</v>
      </c>
      <c r="E46" s="30" t="s">
        <v>73</v>
      </c>
      <c r="F46" s="30" t="s">
        <v>28</v>
      </c>
      <c r="G46" s="30"/>
      <c r="H46" s="85" t="s">
        <v>2248</v>
      </c>
      <c r="I46" s="31">
        <f t="shared" si="4"/>
        <v>28</v>
      </c>
      <c r="J46" s="151" t="s">
        <v>2249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1689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1690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1691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1692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1693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6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1694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1695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1696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1697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1698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1699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1700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1701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28</v>
      </c>
      <c r="J61" s="146" t="s">
        <v>1702</v>
      </c>
      <c r="K61" s="141">
        <f t="shared" si="5"/>
        <v>0</v>
      </c>
      <c r="L61" s="14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1703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1704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1705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1706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1707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1708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1709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1710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1711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1712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1713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1714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1715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1716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1717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1718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1719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1720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1721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1722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1723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1724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1725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1726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1727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1728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1729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25</v>
      </c>
      <c r="J90" s="146" t="s">
        <v>1730</v>
      </c>
      <c r="K90" s="31">
        <f t="shared" si="8"/>
        <v>3</v>
      </c>
      <c r="L90" s="32">
        <f t="shared" si="9"/>
        <v>0.8928571428571429</v>
      </c>
      <c r="M90" s="70" t="s">
        <v>2285</v>
      </c>
      <c r="N90" s="70" t="s">
        <v>2285</v>
      </c>
      <c r="O90" s="70" t="s">
        <v>2285</v>
      </c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1731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1732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1733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1734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1735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1736</v>
      </c>
      <c r="K96" s="141">
        <f t="shared" si="8"/>
        <v>1</v>
      </c>
      <c r="L96" s="142">
        <f t="shared" si="9"/>
        <v>0.9642857142857143</v>
      </c>
      <c r="M96" s="70" t="s">
        <v>2285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1737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1738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1739</v>
      </c>
      <c r="K99" s="141">
        <f t="shared" si="8"/>
        <v>3</v>
      </c>
      <c r="L99" s="142">
        <f t="shared" si="9"/>
        <v>0.8928571428571429</v>
      </c>
      <c r="M99" s="70" t="s">
        <v>2285</v>
      </c>
      <c r="N99" s="70" t="s">
        <v>2285</v>
      </c>
      <c r="O99" s="70" t="s">
        <v>2285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1740</v>
      </c>
      <c r="K100" s="141">
        <f t="shared" si="8"/>
        <v>3</v>
      </c>
      <c r="L100" s="142">
        <f t="shared" si="9"/>
        <v>0.8928571428571429</v>
      </c>
      <c r="M100" s="70" t="s">
        <v>2285</v>
      </c>
      <c r="N100" s="70" t="s">
        <v>2285</v>
      </c>
      <c r="O100" s="70" t="s">
        <v>2285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1741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1742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1743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1744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1745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1746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1747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1748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1749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1750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1751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1751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1753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1752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1754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1755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1756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1757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1758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1759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28</v>
      </c>
      <c r="J121" s="146" t="s">
        <v>1760</v>
      </c>
      <c r="K121" s="141">
        <f t="shared" si="8"/>
        <v>0</v>
      </c>
      <c r="L121" s="14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1761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1762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1763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1764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1765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28</v>
      </c>
      <c r="J127" s="146" t="s">
        <v>1766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28</v>
      </c>
      <c r="J128" s="147" t="s">
        <v>1767</v>
      </c>
      <c r="K128" s="141">
        <f t="shared" si="8"/>
        <v>0</v>
      </c>
      <c r="L128" s="14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1768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1769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25</v>
      </c>
      <c r="J131" s="146" t="s">
        <v>1770</v>
      </c>
      <c r="K131" s="31">
        <f t="shared" si="8"/>
        <v>3</v>
      </c>
      <c r="L131" s="32">
        <f t="shared" si="9"/>
        <v>0.8928571428571429</v>
      </c>
      <c r="M131" s="70" t="s">
        <v>2285</v>
      </c>
      <c r="N131" s="70" t="s">
        <v>2285</v>
      </c>
      <c r="O131" s="70" t="s">
        <v>2285</v>
      </c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1771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1772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1773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1774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1775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1776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1777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1778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1649</v>
      </c>
      <c r="C140" s="30" t="s">
        <v>1061</v>
      </c>
      <c r="D140" t="s">
        <v>1650</v>
      </c>
      <c r="E140" s="85" t="s">
        <v>19</v>
      </c>
      <c r="F140" s="85" t="s">
        <v>28</v>
      </c>
      <c r="G140" s="85"/>
      <c r="H140" s="85" t="s">
        <v>2122</v>
      </c>
      <c r="I140" s="141">
        <f t="shared" si="7"/>
        <v>28</v>
      </c>
      <c r="J140" s="87" t="s">
        <v>2190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1779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1780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2129</v>
      </c>
      <c r="C143" s="85" t="s">
        <v>1061</v>
      </c>
      <c r="D143" s="73" t="s">
        <v>2130</v>
      </c>
      <c r="E143" s="85" t="s">
        <v>19</v>
      </c>
      <c r="F143" s="85" t="s">
        <v>1300</v>
      </c>
      <c r="G143" s="85"/>
      <c r="H143" s="85" t="s">
        <v>2191</v>
      </c>
      <c r="I143" s="141">
        <f t="shared" si="7"/>
        <v>28</v>
      </c>
      <c r="J143" s="146" t="s">
        <v>2192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2219</v>
      </c>
      <c r="C144" s="85" t="s">
        <v>1061</v>
      </c>
      <c r="D144" s="73" t="s">
        <v>2220</v>
      </c>
      <c r="E144" s="85" t="s">
        <v>19</v>
      </c>
      <c r="F144" s="85" t="s">
        <v>1300</v>
      </c>
      <c r="G144" s="85"/>
      <c r="H144" s="85" t="s">
        <v>2221</v>
      </c>
      <c r="I144" s="141">
        <f t="shared" si="7"/>
        <v>28</v>
      </c>
      <c r="J144" s="146" t="s">
        <v>2222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2257</v>
      </c>
      <c r="C145" s="85" t="s">
        <v>1061</v>
      </c>
      <c r="D145" s="73" t="s">
        <v>2258</v>
      </c>
      <c r="E145" s="85" t="s">
        <v>19</v>
      </c>
      <c r="F145" s="30" t="s">
        <v>28</v>
      </c>
      <c r="G145" s="85"/>
      <c r="H145" s="85" t="s">
        <v>2259</v>
      </c>
      <c r="I145" s="141">
        <f t="shared" si="7"/>
        <v>28</v>
      </c>
      <c r="J145" s="146" t="s">
        <v>2260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2318</v>
      </c>
      <c r="C146" s="85" t="s">
        <v>1061</v>
      </c>
      <c r="D146" s="73" t="s">
        <v>2319</v>
      </c>
      <c r="E146" s="85" t="s">
        <v>19</v>
      </c>
      <c r="F146" s="30" t="s">
        <v>28</v>
      </c>
      <c r="G146" s="85"/>
      <c r="H146" s="85" t="s">
        <v>2320</v>
      </c>
      <c r="I146" s="141">
        <f t="shared" si="7"/>
        <v>28</v>
      </c>
      <c r="J146" s="146" t="s">
        <v>2321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1781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1782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2208</v>
      </c>
      <c r="I151" s="31">
        <f t="shared" si="7"/>
        <v>28</v>
      </c>
      <c r="J151" s="146" t="s">
        <v>1784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27</v>
      </c>
      <c r="J152" s="146" t="s">
        <v>1785</v>
      </c>
      <c r="K152" s="31">
        <f t="shared" si="8"/>
        <v>1</v>
      </c>
      <c r="L152" s="32">
        <f t="shared" si="9"/>
        <v>0.9642857142857143</v>
      </c>
      <c r="M152" s="70"/>
      <c r="N152" s="70" t="s">
        <v>2285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1786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28</v>
      </c>
      <c r="J155" s="87"/>
      <c r="K155" s="87">
        <f t="shared" si="8"/>
        <v>0</v>
      </c>
      <c r="L155" s="140">
        <f t="shared" si="9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1788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1789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1790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1791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2123</v>
      </c>
      <c r="C163" s="73" t="s">
        <v>1061</v>
      </c>
      <c r="D163" s="73" t="s">
        <v>2124</v>
      </c>
      <c r="E163" s="85" t="s">
        <v>46</v>
      </c>
      <c r="F163" s="85" t="s">
        <v>1300</v>
      </c>
      <c r="G163" s="85"/>
      <c r="H163" s="85" t="s">
        <v>2127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2209</v>
      </c>
      <c r="I164" s="141">
        <f t="shared" si="7"/>
        <v>28</v>
      </c>
      <c r="J164" s="146" t="s">
        <v>1792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1793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2312</v>
      </c>
      <c r="C166" s="73" t="s">
        <v>1062</v>
      </c>
      <c r="D166" s="73" t="s">
        <v>2313</v>
      </c>
      <c r="E166" s="85" t="s">
        <v>15</v>
      </c>
      <c r="F166" s="85" t="s">
        <v>1300</v>
      </c>
      <c r="G166" s="85"/>
      <c r="H166" s="85" t="s">
        <v>2314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25</v>
      </c>
      <c r="J171" s="146" t="s">
        <v>1798</v>
      </c>
      <c r="K171" s="31">
        <f t="shared" si="11"/>
        <v>3</v>
      </c>
      <c r="L171" s="32">
        <f t="shared" si="12"/>
        <v>0.8928571428571429</v>
      </c>
      <c r="M171" s="70" t="s">
        <v>2285</v>
      </c>
      <c r="N171" s="70" t="s">
        <v>2285</v>
      </c>
      <c r="O171" s="70" t="s">
        <v>2285</v>
      </c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25</v>
      </c>
      <c r="J172" s="146" t="s">
        <v>1799</v>
      </c>
      <c r="K172" s="31">
        <f t="shared" si="11"/>
        <v>3</v>
      </c>
      <c r="L172" s="32">
        <f t="shared" si="12"/>
        <v>0.8928571428571429</v>
      </c>
      <c r="M172" s="70" t="s">
        <v>2285</v>
      </c>
      <c r="N172" s="70" t="s">
        <v>2285</v>
      </c>
      <c r="O172" s="70" t="s">
        <v>2285</v>
      </c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1800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28</v>
      </c>
      <c r="J174" s="146" t="s">
        <v>1801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1805</v>
      </c>
      <c r="K178" s="141">
        <f t="shared" si="11"/>
        <v>1</v>
      </c>
      <c r="L178" s="142">
        <f t="shared" si="12"/>
        <v>0.9642857142857143</v>
      </c>
      <c r="M178" s="70" t="s">
        <v>2285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1809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1810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1811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1812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28</v>
      </c>
      <c r="J187" s="146" t="s">
        <v>1813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28</v>
      </c>
      <c r="J188" s="146" t="s">
        <v>1814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1815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2315</v>
      </c>
      <c r="C191" s="85" t="s">
        <v>1062</v>
      </c>
      <c r="D191" s="73" t="s">
        <v>2316</v>
      </c>
      <c r="E191" s="85" t="s">
        <v>1113</v>
      </c>
      <c r="F191" s="85" t="s">
        <v>1300</v>
      </c>
      <c r="G191" s="85"/>
      <c r="H191" s="85" t="s">
        <v>2317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2167</v>
      </c>
      <c r="C192" s="85" t="s">
        <v>1062</v>
      </c>
      <c r="D192" s="73" t="s">
        <v>2168</v>
      </c>
      <c r="E192" s="85" t="s">
        <v>19</v>
      </c>
      <c r="F192" s="85" t="s">
        <v>1300</v>
      </c>
      <c r="G192" s="85"/>
      <c r="H192" s="85" t="s">
        <v>2169</v>
      </c>
      <c r="I192" s="31">
        <f t="shared" si="10"/>
        <v>28</v>
      </c>
      <c r="J192" s="146" t="s">
        <v>2170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2233</v>
      </c>
      <c r="C193" s="85" t="s">
        <v>1062</v>
      </c>
      <c r="D193" s="73" t="s">
        <v>2234</v>
      </c>
      <c r="E193" s="85" t="s">
        <v>19</v>
      </c>
      <c r="F193" s="85" t="s">
        <v>1300</v>
      </c>
      <c r="G193" s="85"/>
      <c r="H193" s="85" t="s">
        <v>2235</v>
      </c>
      <c r="I193" s="31">
        <f t="shared" si="10"/>
        <v>28</v>
      </c>
      <c r="J193" s="146" t="s">
        <v>2170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2286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1816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1818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25</v>
      </c>
      <c r="J197" s="87"/>
      <c r="K197" s="137">
        <f t="shared" si="11"/>
        <v>3</v>
      </c>
      <c r="L197" s="138">
        <f t="shared" si="12"/>
        <v>0.8928571428571429</v>
      </c>
      <c r="M197" s="139" t="s">
        <v>2285</v>
      </c>
      <c r="N197" s="139" t="s">
        <v>2285</v>
      </c>
      <c r="O197" s="139" t="s">
        <v>2285</v>
      </c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25</v>
      </c>
      <c r="J198" s="146" t="s">
        <v>1819</v>
      </c>
      <c r="K198" s="141">
        <f t="shared" si="11"/>
        <v>3</v>
      </c>
      <c r="L198" s="142">
        <f t="shared" si="12"/>
        <v>0.8928571428571429</v>
      </c>
      <c r="M198" s="70" t="s">
        <v>2285</v>
      </c>
      <c r="N198" s="70" t="s">
        <v>2285</v>
      </c>
      <c r="O198" s="70" t="s">
        <v>2285</v>
      </c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1820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1821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25</v>
      </c>
      <c r="J201" s="146" t="s">
        <v>1822</v>
      </c>
      <c r="K201" s="31">
        <f t="shared" si="11"/>
        <v>3</v>
      </c>
      <c r="L201" s="32">
        <f t="shared" si="12"/>
        <v>0.8928571428571429</v>
      </c>
      <c r="M201" s="70" t="s">
        <v>2285</v>
      </c>
      <c r="N201" s="70" t="s">
        <v>2285</v>
      </c>
      <c r="O201" s="70" t="s">
        <v>2285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27</v>
      </c>
      <c r="J202" s="146" t="s">
        <v>1823</v>
      </c>
      <c r="K202" s="31">
        <f t="shared" si="11"/>
        <v>1</v>
      </c>
      <c r="L202" s="32">
        <f t="shared" si="12"/>
        <v>0.9642857142857143</v>
      </c>
      <c r="M202" s="70"/>
      <c r="N202" s="70"/>
      <c r="O202" s="70" t="s">
        <v>2285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2285</v>
      </c>
      <c r="N203" s="70" t="s">
        <v>2285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1824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2285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25</v>
      </c>
      <c r="J205" s="146" t="s">
        <v>1825</v>
      </c>
      <c r="K205" s="31">
        <f t="shared" si="11"/>
        <v>3</v>
      </c>
      <c r="L205" s="32">
        <f t="shared" si="12"/>
        <v>0.8928571428571429</v>
      </c>
      <c r="M205" s="70" t="s">
        <v>2285</v>
      </c>
      <c r="N205" s="70" t="s">
        <v>2285</v>
      </c>
      <c r="O205" s="70" t="s">
        <v>2285</v>
      </c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1826</v>
      </c>
      <c r="K206" s="31">
        <f t="shared" si="11"/>
        <v>1</v>
      </c>
      <c r="L206" s="32">
        <f t="shared" si="12"/>
        <v>0.9642857142857143</v>
      </c>
      <c r="M206" s="70" t="s">
        <v>2285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1827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1828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28</v>
      </c>
      <c r="J209" s="146" t="s">
        <v>1829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28</v>
      </c>
      <c r="J210" s="146" t="s">
        <v>1830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1831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1832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28</v>
      </c>
      <c r="J213" s="146" t="s">
        <v>1833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28</v>
      </c>
      <c r="J214" s="146" t="s">
        <v>1690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28</v>
      </c>
      <c r="J215" s="146" t="s">
        <v>1834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1835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2204</v>
      </c>
      <c r="C217" s="73" t="s">
        <v>1061</v>
      </c>
      <c r="D217" s="73" t="s">
        <v>2205</v>
      </c>
      <c r="E217" s="85" t="s">
        <v>73</v>
      </c>
      <c r="F217" s="85" t="s">
        <v>1300</v>
      </c>
      <c r="H217" s="85" t="s">
        <v>2206</v>
      </c>
      <c r="I217" s="141">
        <f t="shared" si="10"/>
        <v>28</v>
      </c>
      <c r="J217" s="146" t="s">
        <v>2207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1836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2287</v>
      </c>
      <c r="I219" s="141">
        <f t="shared" si="10"/>
        <v>28</v>
      </c>
      <c r="J219" s="146" t="s">
        <v>1837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1838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1839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2270</v>
      </c>
      <c r="C222" t="s">
        <v>1061</v>
      </c>
      <c r="D222" t="s">
        <v>2271</v>
      </c>
      <c r="E222" s="30" t="s">
        <v>15</v>
      </c>
      <c r="F222" s="85" t="s">
        <v>1300</v>
      </c>
      <c r="G222" s="30"/>
      <c r="H222" s="30" t="s">
        <v>2272</v>
      </c>
      <c r="I222" s="141">
        <f t="shared" si="10"/>
        <v>28</v>
      </c>
      <c r="J222" s="150" t="s">
        <v>2273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1840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1841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1842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1843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1844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1845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2288</v>
      </c>
      <c r="C232" s="73" t="s">
        <v>1061</v>
      </c>
      <c r="D232" s="73" t="s">
        <v>2289</v>
      </c>
      <c r="E232" s="85" t="s">
        <v>15</v>
      </c>
      <c r="F232" s="85" t="s">
        <v>1300</v>
      </c>
      <c r="G232" s="85"/>
      <c r="H232" s="85" t="s">
        <v>2290</v>
      </c>
      <c r="I232" s="141">
        <f t="shared" si="10"/>
        <v>28</v>
      </c>
      <c r="J232" s="151" t="s">
        <v>2291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1846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1847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1848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2280</v>
      </c>
      <c r="C236" s="73" t="s">
        <v>1062</v>
      </c>
      <c r="D236" s="73" t="s">
        <v>2281</v>
      </c>
      <c r="E236" s="85" t="s">
        <v>15</v>
      </c>
      <c r="F236" s="85" t="s">
        <v>1300</v>
      </c>
      <c r="G236" s="85"/>
      <c r="H236" s="85" t="s">
        <v>2282</v>
      </c>
      <c r="I236" s="141">
        <f t="shared" si="10"/>
        <v>28</v>
      </c>
      <c r="J236" s="146" t="s">
        <v>2283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26</v>
      </c>
      <c r="J237" s="146" t="s">
        <v>1849</v>
      </c>
      <c r="K237" s="31">
        <f t="shared" si="11"/>
        <v>2</v>
      </c>
      <c r="L237" s="32">
        <f t="shared" si="12"/>
        <v>0.9285714285714286</v>
      </c>
      <c r="M237" s="70" t="s">
        <v>2285</v>
      </c>
      <c r="N237" s="70" t="s">
        <v>2285</v>
      </c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1850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25</v>
      </c>
      <c r="J239" s="146" t="s">
        <v>1851</v>
      </c>
      <c r="K239" s="31">
        <f t="shared" si="11"/>
        <v>3</v>
      </c>
      <c r="L239" s="32">
        <f t="shared" si="12"/>
        <v>0.8928571428571429</v>
      </c>
      <c r="M239" s="70" t="s">
        <v>2285</v>
      </c>
      <c r="N239" s="70" t="s">
        <v>2285</v>
      </c>
      <c r="O239" s="70" t="s">
        <v>2285</v>
      </c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1852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1853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1854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1855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1856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1857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1858</v>
      </c>
      <c r="K246" s="31">
        <f t="shared" si="14"/>
        <v>1</v>
      </c>
      <c r="L246" s="32">
        <f t="shared" si="15"/>
        <v>0.9642857142857143</v>
      </c>
      <c r="M246" s="70"/>
      <c r="N246" s="70" t="s">
        <v>2285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1859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1860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1861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1862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25</v>
      </c>
      <c r="J251" s="146" t="s">
        <v>1863</v>
      </c>
      <c r="K251" s="31">
        <f t="shared" si="14"/>
        <v>3</v>
      </c>
      <c r="L251" s="32">
        <f t="shared" si="15"/>
        <v>0.8928571428571429</v>
      </c>
      <c r="M251" s="70" t="s">
        <v>2285</v>
      </c>
      <c r="N251" s="70" t="s">
        <v>2285</v>
      </c>
      <c r="O251" s="70" t="s">
        <v>2285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2256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25</v>
      </c>
      <c r="J254" s="146" t="s">
        <v>1864</v>
      </c>
      <c r="K254" s="31">
        <f t="shared" si="14"/>
        <v>3</v>
      </c>
      <c r="L254" s="32">
        <f t="shared" si="15"/>
        <v>0.8928571428571429</v>
      </c>
      <c r="M254" s="70" t="s">
        <v>2285</v>
      </c>
      <c r="N254" s="70" t="s">
        <v>2285</v>
      </c>
      <c r="O254" s="70" t="s">
        <v>2285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2298</v>
      </c>
      <c r="C255" t="s">
        <v>1062</v>
      </c>
      <c r="D255" s="69" t="s">
        <v>2299</v>
      </c>
      <c r="E255" s="30" t="s">
        <v>73</v>
      </c>
      <c r="F255" s="85" t="s">
        <v>1300</v>
      </c>
      <c r="G255" s="30"/>
      <c r="H255" s="152" t="s">
        <v>2300</v>
      </c>
      <c r="I255" s="31">
        <f t="shared" si="13"/>
        <v>25</v>
      </c>
      <c r="J255" s="146" t="s">
        <v>2301</v>
      </c>
      <c r="K255" s="31">
        <f t="shared" si="14"/>
        <v>3</v>
      </c>
      <c r="L255" s="32">
        <f t="shared" si="15"/>
        <v>0.8928571428571429</v>
      </c>
      <c r="M255" s="70" t="s">
        <v>2285</v>
      </c>
      <c r="N255" s="70" t="s">
        <v>2285</v>
      </c>
      <c r="O255" s="70" t="s">
        <v>2285</v>
      </c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2302</v>
      </c>
      <c r="C256" t="s">
        <v>1062</v>
      </c>
      <c r="D256" t="s">
        <v>2299</v>
      </c>
      <c r="E256" s="30" t="s">
        <v>15</v>
      </c>
      <c r="F256" s="85" t="s">
        <v>1300</v>
      </c>
      <c r="G256" s="30"/>
      <c r="H256" s="30" t="s">
        <v>2303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2304</v>
      </c>
      <c r="C257" t="s">
        <v>1062</v>
      </c>
      <c r="D257" t="s">
        <v>2305</v>
      </c>
      <c r="E257" s="30" t="s">
        <v>15</v>
      </c>
      <c r="F257" s="85" t="s">
        <v>1300</v>
      </c>
      <c r="G257" s="30"/>
      <c r="H257" s="30" t="s">
        <v>2306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1865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1866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1867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1868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1870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26</v>
      </c>
      <c r="J266" s="146" t="s">
        <v>1871</v>
      </c>
      <c r="K266" s="31">
        <f t="shared" si="14"/>
        <v>2</v>
      </c>
      <c r="L266" s="32">
        <f t="shared" si="15"/>
        <v>0.9285714285714286</v>
      </c>
      <c r="M266" s="70"/>
      <c r="N266" s="70" t="s">
        <v>2285</v>
      </c>
      <c r="O266" s="70" t="s">
        <v>2285</v>
      </c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1872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1873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1874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1861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1875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25</v>
      </c>
      <c r="J272" s="146" t="s">
        <v>1876</v>
      </c>
      <c r="K272" s="31">
        <f t="shared" si="14"/>
        <v>3</v>
      </c>
      <c r="L272" s="32">
        <f t="shared" si="15"/>
        <v>0.8928571428571429</v>
      </c>
      <c r="M272" s="70" t="s">
        <v>2285</v>
      </c>
      <c r="N272" s="70" t="s">
        <v>2285</v>
      </c>
      <c r="O272" s="70" t="s">
        <v>2285</v>
      </c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1877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1879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1880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1881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1882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1883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1884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2210</v>
      </c>
      <c r="B281" t="s">
        <v>2211</v>
      </c>
      <c r="C281" t="s">
        <v>1062</v>
      </c>
      <c r="D281" t="s">
        <v>2212</v>
      </c>
      <c r="E281" s="30" t="s">
        <v>19</v>
      </c>
      <c r="F281" s="85" t="s">
        <v>1300</v>
      </c>
      <c r="G281" s="30"/>
      <c r="H281" s="30" t="s">
        <v>2213</v>
      </c>
      <c r="I281" s="141">
        <f t="shared" si="13"/>
        <v>28</v>
      </c>
      <c r="J281" s="146" t="s">
        <v>2214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2210</v>
      </c>
      <c r="B282" t="s">
        <v>2215</v>
      </c>
      <c r="C282" t="s">
        <v>1062</v>
      </c>
      <c r="D282" t="s">
        <v>2217</v>
      </c>
      <c r="E282" s="30" t="s">
        <v>19</v>
      </c>
      <c r="F282" s="85" t="s">
        <v>1300</v>
      </c>
      <c r="G282" s="30"/>
      <c r="H282" s="30" t="s">
        <v>2216</v>
      </c>
      <c r="I282" s="141">
        <f t="shared" si="13"/>
        <v>28</v>
      </c>
      <c r="J282" s="146" t="s">
        <v>2218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1885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1886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1887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1888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1889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1691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1890</v>
      </c>
      <c r="K289" s="31">
        <f t="shared" si="14"/>
        <v>3</v>
      </c>
      <c r="L289" s="32">
        <f t="shared" si="15"/>
        <v>0.8928571428571429</v>
      </c>
      <c r="M289" s="70" t="s">
        <v>2285</v>
      </c>
      <c r="N289" s="70" t="s">
        <v>2285</v>
      </c>
      <c r="O289" s="70" t="s">
        <v>2285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1891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1892</v>
      </c>
      <c r="K291" s="141">
        <f t="shared" si="14"/>
        <v>3</v>
      </c>
      <c r="L291" s="142">
        <f t="shared" si="15"/>
        <v>0.8928571428571429</v>
      </c>
      <c r="M291" s="70" t="s">
        <v>2285</v>
      </c>
      <c r="N291" s="70" t="s">
        <v>2285</v>
      </c>
      <c r="O291" s="70" t="s">
        <v>2285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1893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1894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1651</v>
      </c>
      <c r="C294" s="73" t="s">
        <v>1061</v>
      </c>
      <c r="D294" s="73" t="s">
        <v>1652</v>
      </c>
      <c r="E294" s="85" t="s">
        <v>19</v>
      </c>
      <c r="F294" s="85" t="s">
        <v>28</v>
      </c>
      <c r="G294" s="85"/>
      <c r="H294" s="85" t="s">
        <v>1653</v>
      </c>
      <c r="I294" s="141">
        <f t="shared" si="13"/>
        <v>28</v>
      </c>
      <c r="J294" s="87" t="s">
        <v>2193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1895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1896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1897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1898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1899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1900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1901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1902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1903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25</v>
      </c>
      <c r="J304" s="146" t="s">
        <v>1904</v>
      </c>
      <c r="K304" s="31">
        <f t="shared" si="14"/>
        <v>3</v>
      </c>
      <c r="L304" s="32">
        <f t="shared" si="15"/>
        <v>0.8928571428571429</v>
      </c>
      <c r="M304" s="70" t="s">
        <v>2285</v>
      </c>
      <c r="N304" s="70" t="s">
        <v>2285</v>
      </c>
      <c r="O304" s="70" t="s">
        <v>2285</v>
      </c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1905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1906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1907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1908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1909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1910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1911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1912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1913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1914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25</v>
      </c>
      <c r="J316" s="146" t="s">
        <v>1915</v>
      </c>
      <c r="K316" s="141">
        <f t="shared" si="14"/>
        <v>3</v>
      </c>
      <c r="L316" s="142">
        <f t="shared" si="15"/>
        <v>0.8928571428571429</v>
      </c>
      <c r="M316" s="70" t="s">
        <v>2285</v>
      </c>
      <c r="N316" s="70" t="s">
        <v>2285</v>
      </c>
      <c r="O316" s="70" t="s">
        <v>2285</v>
      </c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2150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25</v>
      </c>
      <c r="J318" s="146" t="s">
        <v>1916</v>
      </c>
      <c r="K318" s="31">
        <f t="shared" ref="K318:K388" si="17">COUNTIF(M318:AN318,"APAGADO")</f>
        <v>3</v>
      </c>
      <c r="L318" s="32">
        <f t="shared" ref="L318:L388" si="18">(I318)/(K318+I318)</f>
        <v>0.8928571428571429</v>
      </c>
      <c r="M318" s="70" t="s">
        <v>2285</v>
      </c>
      <c r="N318" s="70" t="s">
        <v>2285</v>
      </c>
      <c r="O318" s="70" t="s">
        <v>2285</v>
      </c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25</v>
      </c>
      <c r="J319" s="146" t="s">
        <v>1917</v>
      </c>
      <c r="K319" s="141">
        <f t="shared" si="17"/>
        <v>3</v>
      </c>
      <c r="L319" s="142">
        <f t="shared" si="18"/>
        <v>0.8928571428571429</v>
      </c>
      <c r="M319" s="70" t="s">
        <v>2285</v>
      </c>
      <c r="N319" s="70" t="s">
        <v>2285</v>
      </c>
      <c r="O319" s="70" t="s">
        <v>2285</v>
      </c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25</v>
      </c>
      <c r="J320" s="87" t="s">
        <v>2194</v>
      </c>
      <c r="K320" s="141">
        <f t="shared" si="17"/>
        <v>3</v>
      </c>
      <c r="L320" s="142">
        <f t="shared" si="18"/>
        <v>0.8928571428571429</v>
      </c>
      <c r="M320" s="70" t="s">
        <v>2285</v>
      </c>
      <c r="N320" s="70" t="s">
        <v>2285</v>
      </c>
      <c r="O320" s="70" t="s">
        <v>2285</v>
      </c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25</v>
      </c>
      <c r="J321" s="146" t="s">
        <v>1918</v>
      </c>
      <c r="K321" s="141">
        <f t="shared" si="17"/>
        <v>3</v>
      </c>
      <c r="L321" s="142">
        <f t="shared" si="18"/>
        <v>0.8928571428571429</v>
      </c>
      <c r="M321" s="70" t="s">
        <v>2285</v>
      </c>
      <c r="N321" s="70" t="s">
        <v>2285</v>
      </c>
      <c r="O321" s="70" t="s">
        <v>2285</v>
      </c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25</v>
      </c>
      <c r="J322" s="146" t="s">
        <v>1919</v>
      </c>
      <c r="K322" s="31">
        <f t="shared" si="17"/>
        <v>3</v>
      </c>
      <c r="L322" s="32">
        <f t="shared" si="18"/>
        <v>0.8928571428571429</v>
      </c>
      <c r="M322" s="70" t="s">
        <v>2285</v>
      </c>
      <c r="N322" s="70" t="s">
        <v>2285</v>
      </c>
      <c r="O322" s="70" t="s">
        <v>2285</v>
      </c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1920</v>
      </c>
      <c r="K323" s="31">
        <f t="shared" si="17"/>
        <v>3</v>
      </c>
      <c r="L323" s="32">
        <f t="shared" si="18"/>
        <v>0.8928571428571429</v>
      </c>
      <c r="M323" s="70" t="s">
        <v>2285</v>
      </c>
      <c r="N323" s="70" t="s">
        <v>2285</v>
      </c>
      <c r="O323" s="70" t="s">
        <v>2285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1921</v>
      </c>
      <c r="K324" s="31">
        <f t="shared" si="17"/>
        <v>3</v>
      </c>
      <c r="L324" s="32">
        <f t="shared" si="18"/>
        <v>0.8928571428571429</v>
      </c>
      <c r="M324" s="70" t="s">
        <v>2285</v>
      </c>
      <c r="N324" s="70" t="s">
        <v>2285</v>
      </c>
      <c r="O324" s="70" t="s">
        <v>2285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1922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1923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1924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1925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1926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1927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1928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1929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1930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2254</v>
      </c>
      <c r="C338" t="s">
        <v>1062</v>
      </c>
      <c r="D338" s="68" t="s">
        <v>2236</v>
      </c>
      <c r="E338" s="85" t="s">
        <v>15</v>
      </c>
      <c r="F338" s="30" t="s">
        <v>28</v>
      </c>
      <c r="G338" s="30"/>
      <c r="H338" s="30" t="s">
        <v>2255</v>
      </c>
      <c r="I338" s="31">
        <f t="shared" si="16"/>
        <v>28</v>
      </c>
      <c r="J338" s="151" t="s">
        <v>2237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2238</v>
      </c>
      <c r="C339" t="s">
        <v>1062</v>
      </c>
      <c r="D339" s="68" t="s">
        <v>2239</v>
      </c>
      <c r="E339" s="85" t="s">
        <v>15</v>
      </c>
      <c r="F339" s="30" t="s">
        <v>28</v>
      </c>
      <c r="G339" s="30"/>
      <c r="H339" s="30" t="s">
        <v>2240</v>
      </c>
      <c r="I339" s="31">
        <f t="shared" si="16"/>
        <v>28</v>
      </c>
      <c r="J339" s="146" t="s">
        <v>2241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1935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1936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1937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1938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1939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28</v>
      </c>
      <c r="J345" s="146" t="s">
        <v>1940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1942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28</v>
      </c>
      <c r="J348" s="146" t="s">
        <v>1943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1944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1945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1946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1947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1950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1951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2231</v>
      </c>
      <c r="I361" s="31">
        <f t="shared" si="16"/>
        <v>28</v>
      </c>
      <c r="J361" s="146" t="s">
        <v>1952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2232</v>
      </c>
      <c r="I362" s="31">
        <f t="shared" si="16"/>
        <v>28</v>
      </c>
      <c r="J362" s="146" t="s">
        <v>1953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1954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1955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1956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1957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1960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28</v>
      </c>
      <c r="J370" s="146" t="s">
        <v>1961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1962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1633</v>
      </c>
      <c r="C372" s="73" t="s">
        <v>1061</v>
      </c>
      <c r="D372" s="73" t="s">
        <v>1634</v>
      </c>
      <c r="E372" s="73" t="s">
        <v>19</v>
      </c>
      <c r="F372" s="85" t="s">
        <v>1300</v>
      </c>
      <c r="G372"/>
      <c r="H372" s="85" t="s">
        <v>1635</v>
      </c>
      <c r="I372" s="31">
        <f t="shared" si="16"/>
        <v>28</v>
      </c>
      <c r="J372" s="146" t="s">
        <v>2144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1963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1964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2174</v>
      </c>
      <c r="C376" s="73" t="s">
        <v>1061</v>
      </c>
      <c r="D376" s="73" t="s">
        <v>2175</v>
      </c>
      <c r="E376" s="85" t="s">
        <v>73</v>
      </c>
      <c r="F376" s="30" t="s">
        <v>28</v>
      </c>
      <c r="G376"/>
      <c r="H376" s="85" t="s">
        <v>2176</v>
      </c>
      <c r="I376" s="141">
        <f t="shared" si="16"/>
        <v>28</v>
      </c>
      <c r="J376" s="151" t="s">
        <v>2177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1965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1966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1967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1968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1969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25</v>
      </c>
      <c r="J383" s="73"/>
      <c r="K383" s="31">
        <f t="shared" si="17"/>
        <v>3</v>
      </c>
      <c r="L383" s="32">
        <f t="shared" si="18"/>
        <v>0.8928571428571429</v>
      </c>
      <c r="M383" s="70" t="s">
        <v>2285</v>
      </c>
      <c r="N383" s="70" t="s">
        <v>2285</v>
      </c>
      <c r="O383" s="70" t="s">
        <v>2285</v>
      </c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2121</v>
      </c>
      <c r="I384" s="141">
        <f t="shared" si="16"/>
        <v>28</v>
      </c>
      <c r="J384" s="146" t="s">
        <v>1970</v>
      </c>
      <c r="K384" s="141">
        <f t="shared" si="17"/>
        <v>0</v>
      </c>
      <c r="L384" s="142">
        <f t="shared" si="18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1971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1972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1973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1974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25</v>
      </c>
      <c r="J389" s="146" t="s">
        <v>1975</v>
      </c>
      <c r="K389" s="31">
        <f t="shared" ref="K389:K470" si="20">COUNTIF(M389:AN389,"APAGADO")</f>
        <v>3</v>
      </c>
      <c r="L389" s="32">
        <f t="shared" ref="L389:L470" si="21">(I389)/(K389+I389)</f>
        <v>0.8928571428571429</v>
      </c>
      <c r="M389" s="70" t="s">
        <v>2285</v>
      </c>
      <c r="N389" s="70" t="s">
        <v>2285</v>
      </c>
      <c r="O389" s="70" t="s">
        <v>2285</v>
      </c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25</v>
      </c>
      <c r="J390" s="146" t="s">
        <v>1976</v>
      </c>
      <c r="K390" s="31">
        <f t="shared" si="20"/>
        <v>3</v>
      </c>
      <c r="L390" s="32">
        <f t="shared" si="21"/>
        <v>0.8928571428571429</v>
      </c>
      <c r="M390" s="70" t="s">
        <v>2285</v>
      </c>
      <c r="N390" s="70" t="s">
        <v>2285</v>
      </c>
      <c r="O390" s="70" t="s">
        <v>2285</v>
      </c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1977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1978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1979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1980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25</v>
      </c>
      <c r="J395" s="146" t="s">
        <v>1981</v>
      </c>
      <c r="K395" s="31">
        <f t="shared" si="20"/>
        <v>3</v>
      </c>
      <c r="L395" s="32">
        <f t="shared" si="21"/>
        <v>0.8928571428571429</v>
      </c>
      <c r="M395" s="70" t="s">
        <v>2285</v>
      </c>
      <c r="N395" s="70" t="s">
        <v>2285</v>
      </c>
      <c r="O395" s="70" t="s">
        <v>2285</v>
      </c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25</v>
      </c>
      <c r="J396" s="146" t="s">
        <v>1982</v>
      </c>
      <c r="K396" s="31">
        <f t="shared" si="20"/>
        <v>3</v>
      </c>
      <c r="L396" s="32">
        <f t="shared" si="21"/>
        <v>0.8928571428571429</v>
      </c>
      <c r="M396" s="70" t="s">
        <v>2285</v>
      </c>
      <c r="N396" s="70" t="s">
        <v>2285</v>
      </c>
      <c r="O396" s="70" t="s">
        <v>2285</v>
      </c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1983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1984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1985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1986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1631</v>
      </c>
      <c r="E401" s="30" t="s">
        <v>19</v>
      </c>
      <c r="F401" s="30" t="s">
        <v>28</v>
      </c>
      <c r="G401" s="30"/>
      <c r="H401" s="85" t="s">
        <v>1632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2277</v>
      </c>
      <c r="C402" t="s">
        <v>1061</v>
      </c>
      <c r="D402" t="s">
        <v>2278</v>
      </c>
      <c r="E402" s="30" t="s">
        <v>19</v>
      </c>
      <c r="F402" s="85" t="s">
        <v>1300</v>
      </c>
      <c r="G402" s="30"/>
      <c r="H402" s="85" t="s">
        <v>2279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28</v>
      </c>
      <c r="J403" s="87"/>
      <c r="K403" s="31">
        <f t="shared" si="20"/>
        <v>0</v>
      </c>
      <c r="L403" s="3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1987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25</v>
      </c>
      <c r="J407" s="146" t="s">
        <v>1988</v>
      </c>
      <c r="K407" s="87">
        <f t="shared" si="20"/>
        <v>3</v>
      </c>
      <c r="L407" s="88">
        <f t="shared" si="21"/>
        <v>0.8928571428571429</v>
      </c>
      <c r="M407" s="89" t="s">
        <v>2285</v>
      </c>
      <c r="N407" s="89" t="s">
        <v>2285</v>
      </c>
      <c r="O407" s="89" t="s">
        <v>2285</v>
      </c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25</v>
      </c>
      <c r="J409" s="146" t="s">
        <v>1989</v>
      </c>
      <c r="K409" s="31">
        <f t="shared" si="20"/>
        <v>3</v>
      </c>
      <c r="L409" s="32">
        <f t="shared" si="21"/>
        <v>0.8928571428571429</v>
      </c>
      <c r="M409" s="70" t="s">
        <v>2285</v>
      </c>
      <c r="N409" s="70" t="s">
        <v>2285</v>
      </c>
      <c r="O409" s="70" t="s">
        <v>2285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25</v>
      </c>
      <c r="J410" s="146" t="s">
        <v>1990</v>
      </c>
      <c r="K410" s="31">
        <f t="shared" si="20"/>
        <v>3</v>
      </c>
      <c r="L410" s="32">
        <f t="shared" si="21"/>
        <v>0.8928571428571429</v>
      </c>
      <c r="M410" s="70" t="s">
        <v>2285</v>
      </c>
      <c r="N410" s="70" t="s">
        <v>2285</v>
      </c>
      <c r="O410" s="70" t="s">
        <v>2285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28</v>
      </c>
      <c r="J411" s="146" t="s">
        <v>1991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28</v>
      </c>
      <c r="J412" s="146" t="s">
        <v>1992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2149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2145</v>
      </c>
      <c r="C416" s="73" t="s">
        <v>1062</v>
      </c>
      <c r="D416" s="73" t="s">
        <v>2146</v>
      </c>
      <c r="E416" s="91" t="s">
        <v>19</v>
      </c>
      <c r="F416" s="85" t="s">
        <v>1300</v>
      </c>
      <c r="G416" s="85"/>
      <c r="H416" s="85" t="s">
        <v>2147</v>
      </c>
      <c r="I416" s="141">
        <f t="shared" si="19"/>
        <v>28</v>
      </c>
      <c r="J416" s="87" t="s">
        <v>2148</v>
      </c>
      <c r="K416" s="141">
        <f t="shared" si="20"/>
        <v>0</v>
      </c>
      <c r="L416" s="14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2269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2198</v>
      </c>
      <c r="I417" s="31">
        <f t="shared" si="19"/>
        <v>28</v>
      </c>
      <c r="J417" s="87" t="s">
        <v>2199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2269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1993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2269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1994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2269</v>
      </c>
      <c r="B420" s="73" t="s">
        <v>2265</v>
      </c>
      <c r="C420" s="73" t="s">
        <v>1062</v>
      </c>
      <c r="D420" s="73" t="s">
        <v>2266</v>
      </c>
      <c r="E420" s="91" t="s">
        <v>19</v>
      </c>
      <c r="F420" s="85" t="s">
        <v>1300</v>
      </c>
      <c r="G420" s="85"/>
      <c r="H420" s="85" t="s">
        <v>2267</v>
      </c>
      <c r="I420" s="141">
        <f t="shared" si="19"/>
        <v>28</v>
      </c>
      <c r="J420" s="146" t="s">
        <v>2268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1995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1996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25</v>
      </c>
      <c r="J423" s="87"/>
      <c r="K423" s="31">
        <f t="shared" si="20"/>
        <v>3</v>
      </c>
      <c r="L423" s="32">
        <f t="shared" si="21"/>
        <v>0.8928571428571429</v>
      </c>
      <c r="M423" s="70" t="s">
        <v>2285</v>
      </c>
      <c r="N423" s="70" t="s">
        <v>2285</v>
      </c>
      <c r="O423" s="70" t="s">
        <v>2285</v>
      </c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1997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1998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1999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2000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2001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28</v>
      </c>
      <c r="J430" s="146" t="s">
        <v>2002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28</v>
      </c>
      <c r="J431" s="146" t="s">
        <v>2003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2250</v>
      </c>
      <c r="C432" s="73" t="s">
        <v>1062</v>
      </c>
      <c r="D432" s="73" t="s">
        <v>2251</v>
      </c>
      <c r="E432" s="85" t="s">
        <v>1113</v>
      </c>
      <c r="F432" s="85"/>
      <c r="G432" s="85"/>
      <c r="H432" s="85" t="s">
        <v>2252</v>
      </c>
      <c r="I432" s="31">
        <f t="shared" si="19"/>
        <v>28</v>
      </c>
      <c r="J432" s="146"/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2004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2005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2006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2007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2008</v>
      </c>
      <c r="K437" s="31">
        <f t="shared" si="20"/>
        <v>3</v>
      </c>
      <c r="L437" s="32">
        <f t="shared" si="21"/>
        <v>0.8928571428571429</v>
      </c>
      <c r="M437" s="70" t="s">
        <v>2285</v>
      </c>
      <c r="N437" s="70" t="s">
        <v>2285</v>
      </c>
      <c r="O437" s="70" t="s">
        <v>2285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2009</v>
      </c>
      <c r="K438" s="31">
        <f t="shared" si="20"/>
        <v>3</v>
      </c>
      <c r="L438" s="32">
        <f t="shared" si="21"/>
        <v>0.8928571428571429</v>
      </c>
      <c r="M438" s="70" t="s">
        <v>2285</v>
      </c>
      <c r="N438" s="70" t="s">
        <v>2285</v>
      </c>
      <c r="O438" s="70" t="s">
        <v>2285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2010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2011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2012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2013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2014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2285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2015</v>
      </c>
      <c r="K449" s="31">
        <f t="shared" si="20"/>
        <v>3</v>
      </c>
      <c r="L449" s="32">
        <f t="shared" si="21"/>
        <v>0.8928571428571429</v>
      </c>
      <c r="M449" s="70" t="s">
        <v>2285</v>
      </c>
      <c r="N449" s="70" t="s">
        <v>2285</v>
      </c>
      <c r="O449" s="70" t="s">
        <v>2285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26</v>
      </c>
      <c r="J450" s="146" t="s">
        <v>2016</v>
      </c>
      <c r="K450" s="31">
        <f t="shared" si="20"/>
        <v>2</v>
      </c>
      <c r="L450" s="32">
        <f t="shared" si="21"/>
        <v>0.9285714285714286</v>
      </c>
      <c r="M450" s="70"/>
      <c r="N450" s="70" t="s">
        <v>2285</v>
      </c>
      <c r="O450" s="70" t="s">
        <v>2285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2017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2018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2019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25</v>
      </c>
      <c r="J454" s="146" t="s">
        <v>2020</v>
      </c>
      <c r="K454" s="31">
        <f t="shared" si="20"/>
        <v>3</v>
      </c>
      <c r="L454" s="32">
        <f t="shared" si="21"/>
        <v>0.8928571428571429</v>
      </c>
      <c r="M454" s="70" t="s">
        <v>2285</v>
      </c>
      <c r="N454" s="70" t="s">
        <v>2285</v>
      </c>
      <c r="O454" s="70" t="s">
        <v>2285</v>
      </c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25</v>
      </c>
      <c r="J455" s="146" t="s">
        <v>2021</v>
      </c>
      <c r="K455" s="31">
        <f t="shared" si="20"/>
        <v>3</v>
      </c>
      <c r="L455" s="32">
        <f t="shared" si="21"/>
        <v>0.8928571428571429</v>
      </c>
      <c r="M455" s="70" t="s">
        <v>2285</v>
      </c>
      <c r="N455" s="70" t="s">
        <v>2285</v>
      </c>
      <c r="O455" s="70" t="s">
        <v>2285</v>
      </c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2022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2023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1659</v>
      </c>
      <c r="C461" s="73" t="s">
        <v>1062</v>
      </c>
      <c r="D461" s="145" t="s">
        <v>1657</v>
      </c>
      <c r="E461" s="85" t="s">
        <v>73</v>
      </c>
      <c r="F461" s="85" t="s">
        <v>1300</v>
      </c>
      <c r="G461" s="85"/>
      <c r="H461" s="85" t="s">
        <v>1661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1660</v>
      </c>
      <c r="C462" s="73" t="s">
        <v>1062</v>
      </c>
      <c r="D462" s="145" t="s">
        <v>1658</v>
      </c>
      <c r="E462" s="85" t="s">
        <v>73</v>
      </c>
      <c r="F462" s="85" t="s">
        <v>1300</v>
      </c>
      <c r="G462" s="85"/>
      <c r="H462" s="85" t="s">
        <v>1662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2171</v>
      </c>
      <c r="C463" s="73" t="s">
        <v>1062</v>
      </c>
      <c r="D463" s="145" t="s">
        <v>2172</v>
      </c>
      <c r="E463" s="85"/>
      <c r="F463" s="85" t="s">
        <v>1300</v>
      </c>
      <c r="G463" s="85"/>
      <c r="H463" s="85" t="s">
        <v>2173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25</v>
      </c>
      <c r="J464" s="146" t="s">
        <v>2024</v>
      </c>
      <c r="K464" s="141">
        <f t="shared" si="20"/>
        <v>3</v>
      </c>
      <c r="L464" s="142">
        <f t="shared" si="21"/>
        <v>0.8928571428571429</v>
      </c>
      <c r="M464" s="70" t="s">
        <v>2285</v>
      </c>
      <c r="N464" s="70" t="s">
        <v>2285</v>
      </c>
      <c r="O464" s="70" t="s">
        <v>2285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25</v>
      </c>
      <c r="J465" s="146" t="s">
        <v>2025</v>
      </c>
      <c r="K465" s="141">
        <f t="shared" si="20"/>
        <v>3</v>
      </c>
      <c r="L465" s="142">
        <f t="shared" si="21"/>
        <v>0.8928571428571429</v>
      </c>
      <c r="M465" s="70" t="s">
        <v>2285</v>
      </c>
      <c r="N465" s="70" t="s">
        <v>2285</v>
      </c>
      <c r="O465" s="70" t="s">
        <v>2285</v>
      </c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25</v>
      </c>
      <c r="J466" s="87"/>
      <c r="K466" s="141">
        <f t="shared" si="20"/>
        <v>3</v>
      </c>
      <c r="L466" s="142">
        <f t="shared" si="21"/>
        <v>0.8928571428571429</v>
      </c>
      <c r="M466" s="70" t="s">
        <v>2285</v>
      </c>
      <c r="N466" s="70" t="s">
        <v>2285</v>
      </c>
      <c r="O466" s="70" t="s">
        <v>2285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2140</v>
      </c>
      <c r="C467" t="s">
        <v>1061</v>
      </c>
      <c r="D467" s="73" t="s">
        <v>2141</v>
      </c>
      <c r="E467" s="85" t="s">
        <v>15</v>
      </c>
      <c r="F467" s="85" t="s">
        <v>1300</v>
      </c>
      <c r="G467" s="85"/>
      <c r="H467" s="85" t="s">
        <v>2142</v>
      </c>
      <c r="I467" s="141">
        <f t="shared" si="19"/>
        <v>28</v>
      </c>
      <c r="J467" s="151" t="s">
        <v>2143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2284</v>
      </c>
      <c r="C468" t="s">
        <v>1061</v>
      </c>
      <c r="D468" s="73" t="s">
        <v>2307</v>
      </c>
      <c r="E468" s="85" t="s">
        <v>73</v>
      </c>
      <c r="F468" s="85"/>
      <c r="G468" s="85"/>
      <c r="H468" s="85"/>
      <c r="I468" s="141">
        <f t="shared" si="19"/>
        <v>25</v>
      </c>
      <c r="J468" s="151"/>
      <c r="K468" s="141">
        <f t="shared" si="20"/>
        <v>3</v>
      </c>
      <c r="L468" s="142">
        <f t="shared" si="21"/>
        <v>0.8928571428571429</v>
      </c>
      <c r="M468" s="70" t="s">
        <v>2285</v>
      </c>
      <c r="N468" s="70" t="s">
        <v>2285</v>
      </c>
      <c r="O468" s="70" t="s">
        <v>2285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28</v>
      </c>
      <c r="J469" s="146" t="s">
        <v>2026</v>
      </c>
      <c r="K469" s="31">
        <f t="shared" si="20"/>
        <v>0</v>
      </c>
      <c r="L469" s="32">
        <f t="shared" si="21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25</v>
      </c>
      <c r="J470" s="146" t="s">
        <v>2027</v>
      </c>
      <c r="K470" s="31">
        <f t="shared" si="20"/>
        <v>3</v>
      </c>
      <c r="L470" s="32">
        <f t="shared" si="21"/>
        <v>0.8928571428571429</v>
      </c>
      <c r="M470" s="70" t="s">
        <v>2285</v>
      </c>
      <c r="N470" s="70" t="s">
        <v>2285</v>
      </c>
      <c r="O470" s="70" t="s">
        <v>2285</v>
      </c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2028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2030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2032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2035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2036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2040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2163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2164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2165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2166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2296</v>
      </c>
      <c r="C488" s="73" t="s">
        <v>1061</v>
      </c>
      <c r="D488" s="145" t="s">
        <v>2297</v>
      </c>
      <c r="E488" s="30" t="s">
        <v>15</v>
      </c>
      <c r="F488" s="73" t="s">
        <v>1300</v>
      </c>
      <c r="H488" s="85" t="s">
        <v>2322</v>
      </c>
      <c r="I488" s="87">
        <f t="shared" si="22"/>
        <v>28</v>
      </c>
      <c r="J488" s="151" t="s">
        <v>2323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2041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2042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2285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2044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2045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2046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2047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2048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2049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2253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2050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28</v>
      </c>
      <c r="J504" s="146" t="s">
        <v>2051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28</v>
      </c>
      <c r="J505" s="146" t="s">
        <v>2052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2053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2054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2055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2056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2057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2058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28</v>
      </c>
      <c r="J512" s="146" t="s">
        <v>2059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2060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2061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2062</v>
      </c>
      <c r="K515" s="31">
        <f t="shared" si="23"/>
        <v>1</v>
      </c>
      <c r="L515" s="32">
        <f t="shared" si="24"/>
        <v>0.9642857142857143</v>
      </c>
      <c r="M515" s="70" t="s">
        <v>2285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2063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28</v>
      </c>
      <c r="J517" s="146" t="s">
        <v>2064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2065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25</v>
      </c>
      <c r="J519" s="146" t="s">
        <v>2066</v>
      </c>
      <c r="K519" s="31">
        <f t="shared" si="23"/>
        <v>3</v>
      </c>
      <c r="L519" s="32">
        <f t="shared" si="24"/>
        <v>0.8928571428571429</v>
      </c>
      <c r="M519" s="70" t="s">
        <v>2285</v>
      </c>
      <c r="N519" s="70" t="s">
        <v>2285</v>
      </c>
      <c r="O519" s="70" t="s">
        <v>2285</v>
      </c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28</v>
      </c>
      <c r="J520" s="146" t="s">
        <v>2067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2068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28</v>
      </c>
      <c r="J523" s="146" t="s">
        <v>2069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28</v>
      </c>
      <c r="J524" s="146" t="s">
        <v>2070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2071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2072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2073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2074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25</v>
      </c>
      <c r="J529" s="146" t="s">
        <v>2075</v>
      </c>
      <c r="K529" s="141">
        <f t="shared" si="23"/>
        <v>3</v>
      </c>
      <c r="L529" s="142">
        <f t="shared" si="24"/>
        <v>0.8928571428571429</v>
      </c>
      <c r="M529" s="70" t="s">
        <v>2285</v>
      </c>
      <c r="N529" s="70" t="s">
        <v>2285</v>
      </c>
      <c r="O529" s="70" t="s">
        <v>2285</v>
      </c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2076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2077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2078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2223</v>
      </c>
      <c r="C533" s="85" t="s">
        <v>1062</v>
      </c>
      <c r="D533" s="73" t="s">
        <v>2224</v>
      </c>
      <c r="E533" s="30" t="s">
        <v>73</v>
      </c>
      <c r="F533" s="85" t="s">
        <v>1300</v>
      </c>
      <c r="G533" s="85"/>
      <c r="H533" s="85" t="s">
        <v>2225</v>
      </c>
      <c r="I533" s="141">
        <f t="shared" si="22"/>
        <v>28</v>
      </c>
      <c r="J533" s="146" t="s">
        <v>2226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2227</v>
      </c>
      <c r="C534" s="85" t="s">
        <v>1062</v>
      </c>
      <c r="D534" s="73" t="s">
        <v>2228</v>
      </c>
      <c r="E534" s="85" t="s">
        <v>15</v>
      </c>
      <c r="F534" s="85" t="s">
        <v>1300</v>
      </c>
      <c r="G534" s="85"/>
      <c r="H534" s="85" t="s">
        <v>2229</v>
      </c>
      <c r="I534" s="141">
        <f t="shared" si="22"/>
        <v>28</v>
      </c>
      <c r="J534" s="146" t="s">
        <v>2230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2079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2080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2081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2082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2083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2084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2085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2086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2087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28</v>
      </c>
      <c r="J545" s="146" t="s">
        <v>2088</v>
      </c>
      <c r="K545" s="141">
        <f t="shared" ref="K545:K591" si="26">COUNTIF(M545:AN545,"APAGADO")</f>
        <v>0</v>
      </c>
      <c r="L545" s="142">
        <f t="shared" ref="L545:L591" si="27">(I545)/(K545+I545)</f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2089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2090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2091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2195</v>
      </c>
      <c r="E549" s="85" t="s">
        <v>15</v>
      </c>
      <c r="F549" s="85" t="s">
        <v>1300</v>
      </c>
      <c r="G549" s="30"/>
      <c r="H549" s="30" t="s">
        <v>2196</v>
      </c>
      <c r="I549" s="31">
        <f t="shared" si="25"/>
        <v>28</v>
      </c>
      <c r="J549" s="146" t="s">
        <v>2197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2131</v>
      </c>
      <c r="C550" t="s">
        <v>1061</v>
      </c>
      <c r="D550" s="73" t="s">
        <v>2132</v>
      </c>
      <c r="E550" s="85" t="s">
        <v>15</v>
      </c>
      <c r="F550" s="85" t="s">
        <v>1300</v>
      </c>
      <c r="G550" s="30"/>
      <c r="H550" s="30" t="s">
        <v>2133</v>
      </c>
      <c r="I550" s="31">
        <f t="shared" si="25"/>
        <v>28</v>
      </c>
      <c r="J550" s="146" t="s">
        <v>2134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2092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2093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2094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2095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1641</v>
      </c>
      <c r="C555" s="73" t="s">
        <v>1062</v>
      </c>
      <c r="D555" s="73" t="s">
        <v>1648</v>
      </c>
      <c r="E555" s="85" t="s">
        <v>1113</v>
      </c>
      <c r="F555" s="85" t="s">
        <v>28</v>
      </c>
      <c r="G555" s="85"/>
      <c r="H555" s="85" t="s">
        <v>1643</v>
      </c>
      <c r="I555" s="141">
        <f t="shared" si="25"/>
        <v>28</v>
      </c>
      <c r="J555" s="87" t="s">
        <v>2185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2125</v>
      </c>
      <c r="C556" s="73" t="s">
        <v>1062</v>
      </c>
      <c r="D556" s="73" t="s">
        <v>2126</v>
      </c>
      <c r="E556" s="30" t="s">
        <v>15</v>
      </c>
      <c r="F556" s="85" t="s">
        <v>1300</v>
      </c>
      <c r="G556" s="85"/>
      <c r="H556" s="85" t="s">
        <v>2128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2285</v>
      </c>
      <c r="N556" s="70" t="s">
        <v>2285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1654</v>
      </c>
      <c r="C557" s="73" t="s">
        <v>1062</v>
      </c>
      <c r="D557" s="73" t="s">
        <v>1655</v>
      </c>
      <c r="E557" s="85" t="s">
        <v>15</v>
      </c>
      <c r="F557" s="85" t="s">
        <v>1300</v>
      </c>
      <c r="G557" s="85"/>
      <c r="H557" s="85" t="s">
        <v>1656</v>
      </c>
      <c r="I557" s="141">
        <f t="shared" si="25"/>
        <v>26</v>
      </c>
      <c r="J557" s="87" t="s">
        <v>2186</v>
      </c>
      <c r="K557" s="141">
        <f t="shared" si="26"/>
        <v>2</v>
      </c>
      <c r="L557" s="142">
        <f t="shared" si="27"/>
        <v>0.9285714285714286</v>
      </c>
      <c r="M557" s="70" t="s">
        <v>2285</v>
      </c>
      <c r="N557" s="70" t="s">
        <v>2285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25</v>
      </c>
      <c r="J558" s="87" t="s">
        <v>2182</v>
      </c>
      <c r="K558" s="31">
        <f t="shared" si="26"/>
        <v>3</v>
      </c>
      <c r="L558" s="32">
        <f t="shared" si="27"/>
        <v>0.8928571428571429</v>
      </c>
      <c r="M558" s="70" t="s">
        <v>2285</v>
      </c>
      <c r="N558" s="70" t="s">
        <v>2285</v>
      </c>
      <c r="O558" s="70" t="s">
        <v>2285</v>
      </c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25</v>
      </c>
      <c r="J560" s="87" t="s">
        <v>2183</v>
      </c>
      <c r="K560" s="31">
        <f t="shared" si="26"/>
        <v>3</v>
      </c>
      <c r="L560" s="32">
        <f t="shared" si="27"/>
        <v>0.8928571428571429</v>
      </c>
      <c r="M560" s="70" t="s">
        <v>2285</v>
      </c>
      <c r="N560" s="70" t="s">
        <v>2285</v>
      </c>
      <c r="O560" s="70" t="s">
        <v>2285</v>
      </c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2097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2098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2137</v>
      </c>
      <c r="B563" s="73" t="s">
        <v>2135</v>
      </c>
      <c r="C563" t="s">
        <v>1061</v>
      </c>
      <c r="D563" s="73" t="s">
        <v>2136</v>
      </c>
      <c r="E563" s="85" t="s">
        <v>15</v>
      </c>
      <c r="F563" s="85" t="s">
        <v>1300</v>
      </c>
      <c r="G563" s="85"/>
      <c r="H563" s="85" t="s">
        <v>2138</v>
      </c>
      <c r="I563" s="141">
        <f t="shared" si="25"/>
        <v>28</v>
      </c>
      <c r="J563" s="150" t="s">
        <v>2139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2184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2099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2100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2101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25</v>
      </c>
      <c r="J568" s="146" t="s">
        <v>2102</v>
      </c>
      <c r="K568" s="31">
        <f t="shared" si="26"/>
        <v>3</v>
      </c>
      <c r="L568" s="32">
        <f t="shared" si="27"/>
        <v>0.8928571428571429</v>
      </c>
      <c r="M568" s="70" t="s">
        <v>2285</v>
      </c>
      <c r="N568" s="70" t="s">
        <v>2285</v>
      </c>
      <c r="O568" s="70" t="s">
        <v>2285</v>
      </c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25</v>
      </c>
      <c r="J569" s="146" t="s">
        <v>2103</v>
      </c>
      <c r="K569" s="31">
        <f t="shared" si="26"/>
        <v>3</v>
      </c>
      <c r="L569" s="32">
        <f t="shared" si="27"/>
        <v>0.8928571428571429</v>
      </c>
      <c r="M569" s="70" t="s">
        <v>2285</v>
      </c>
      <c r="N569" s="70" t="s">
        <v>2285</v>
      </c>
      <c r="O569" s="70" t="s">
        <v>2285</v>
      </c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25</v>
      </c>
      <c r="J570" s="146" t="s">
        <v>2104</v>
      </c>
      <c r="K570" s="31">
        <f t="shared" si="26"/>
        <v>3</v>
      </c>
      <c r="L570" s="32">
        <f t="shared" si="27"/>
        <v>0.8928571428571429</v>
      </c>
      <c r="M570" s="70" t="s">
        <v>2285</v>
      </c>
      <c r="N570" s="70" t="s">
        <v>2285</v>
      </c>
      <c r="O570" s="70" t="s">
        <v>2285</v>
      </c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25</v>
      </c>
      <c r="J571" s="146" t="s">
        <v>2105</v>
      </c>
      <c r="K571" s="31">
        <f t="shared" si="26"/>
        <v>3</v>
      </c>
      <c r="L571" s="32">
        <f t="shared" si="27"/>
        <v>0.8928571428571429</v>
      </c>
      <c r="M571" s="70" t="s">
        <v>2285</v>
      </c>
      <c r="N571" s="70" t="s">
        <v>2285</v>
      </c>
      <c r="O571" s="70" t="s">
        <v>2285</v>
      </c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25</v>
      </c>
      <c r="J572" s="146" t="s">
        <v>2106</v>
      </c>
      <c r="K572" s="31">
        <f t="shared" si="26"/>
        <v>3</v>
      </c>
      <c r="L572" s="32">
        <f t="shared" si="27"/>
        <v>0.8928571428571429</v>
      </c>
      <c r="M572" s="70" t="s">
        <v>2285</v>
      </c>
      <c r="N572" s="70" t="s">
        <v>2285</v>
      </c>
      <c r="O572" s="70" t="s">
        <v>2285</v>
      </c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2200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2261</v>
      </c>
      <c r="C574" s="73" t="s">
        <v>1062</v>
      </c>
      <c r="D574" s="73" t="s">
        <v>2262</v>
      </c>
      <c r="E574" s="85" t="s">
        <v>15</v>
      </c>
      <c r="F574" s="85" t="s">
        <v>1300</v>
      </c>
      <c r="G574" s="85"/>
      <c r="H574" s="85" t="s">
        <v>2263</v>
      </c>
      <c r="I574" s="141">
        <f t="shared" si="25"/>
        <v>28</v>
      </c>
      <c r="J574" s="87" t="s">
        <v>2264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2274</v>
      </c>
      <c r="C575" s="73" t="s">
        <v>1062</v>
      </c>
      <c r="D575" s="73" t="s">
        <v>2275</v>
      </c>
      <c r="E575" s="85" t="s">
        <v>15</v>
      </c>
      <c r="F575" s="85"/>
      <c r="G575" s="85"/>
      <c r="H575" s="85" t="s">
        <v>2276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2201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28</v>
      </c>
      <c r="J577" s="87" t="s">
        <v>2202</v>
      </c>
      <c r="K577" s="31">
        <f t="shared" si="26"/>
        <v>0</v>
      </c>
      <c r="L577" s="32">
        <f t="shared" si="27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2203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2108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2107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2109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2178</v>
      </c>
      <c r="C582" s="73" t="s">
        <v>1061</v>
      </c>
      <c r="D582" t="s">
        <v>2179</v>
      </c>
      <c r="E582" s="85" t="s">
        <v>46</v>
      </c>
      <c r="F582" s="30" t="s">
        <v>28</v>
      </c>
      <c r="G582" s="30"/>
      <c r="H582" s="30" t="s">
        <v>2180</v>
      </c>
      <c r="I582" s="31">
        <f t="shared" si="25"/>
        <v>28</v>
      </c>
      <c r="J582" s="146" t="s">
        <v>2181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2110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2111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2112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25</v>
      </c>
      <c r="J586" s="146" t="s">
        <v>2113</v>
      </c>
      <c r="K586" s="141">
        <f t="shared" si="26"/>
        <v>3</v>
      </c>
      <c r="L586" s="142">
        <f t="shared" si="27"/>
        <v>0.8928571428571429</v>
      </c>
      <c r="M586" s="70" t="s">
        <v>2285</v>
      </c>
      <c r="N586" s="70" t="s">
        <v>2285</v>
      </c>
      <c r="O586" s="70" t="s">
        <v>2285</v>
      </c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2114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2115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2116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2117</v>
      </c>
      <c r="C590" s="73" t="s">
        <v>1061</v>
      </c>
      <c r="D590" s="73" t="s">
        <v>2118</v>
      </c>
      <c r="E590" s="85" t="s">
        <v>15</v>
      </c>
      <c r="F590" s="85" t="s">
        <v>1300</v>
      </c>
      <c r="G590" s="85"/>
      <c r="H590" s="85" t="s">
        <v>2119</v>
      </c>
      <c r="I590" s="141">
        <f t="shared" si="25"/>
        <v>28</v>
      </c>
      <c r="J590" s="150" t="s">
        <v>2120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2292</v>
      </c>
      <c r="C591" s="73" t="s">
        <v>1061</v>
      </c>
      <c r="D591" s="73" t="s">
        <v>2293</v>
      </c>
      <c r="E591" s="85" t="s">
        <v>15</v>
      </c>
      <c r="F591" s="85" t="s">
        <v>1300</v>
      </c>
      <c r="G591" s="85"/>
      <c r="H591" s="85" t="s">
        <v>2294</v>
      </c>
      <c r="I591" s="141">
        <f t="shared" si="25"/>
        <v>28</v>
      </c>
      <c r="J591" s="150" t="s">
        <v>2295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D20:D21 D130:D146 D154 D162:D163 D215:D217 D221:D224 D229:D232 D257 D265:D266 D273 C274:D274 C275:C591 D279:D282 D292:D294 D367:D372 D381 C382:D382 D398:D402 D414:D416 D419:D420 D478:D481 D549:D550 C673:C1048576 C1:C273">
    <cfRule type="cellIs" dxfId="142" priority="528" operator="equal">
      <formula>$C$276</formula>
    </cfRule>
  </conditionalFormatting>
  <conditionalFormatting sqref="D20:D21 D162:D163 D221:D224 D257 C274:D274 C275:C591 D279:D282 D292:D294 C382:D382 D398:D402 D414:D416 D419:D420 C673:C1048576 D130:D146 D154 D215:D217 D229:D232 D265:D266 D273 D367:D372 D381 D478:D481 D549:D550 C1:C273">
    <cfRule type="cellIs" dxfId="141" priority="527" operator="equal">
      <formula>$C$295</formula>
    </cfRule>
  </conditionalFormatting>
  <conditionalFormatting sqref="D20:D21 D162:D163 D221:D222 D257 D279:D282 D292:D294 D398:D402 D414:D416 D419:D420 C673:C1048576 C1:C591">
    <cfRule type="cellIs" dxfId="140" priority="73" operator="equal">
      <formula>"IPCOMS"</formula>
    </cfRule>
  </conditionalFormatting>
  <conditionalFormatting sqref="E578:E591 E673:E1048576 E1:E563">
    <cfRule type="containsText" dxfId="139" priority="533" operator="containsText" text="fija">
      <formula>NOT(ISERROR(SEARCH("fija",E1)))</formula>
    </cfRule>
    <cfRule type="containsText" dxfId="138" priority="534" operator="containsText" text="domo">
      <formula>NOT(ISERROR(SEARCH("domo",E1)))</formula>
    </cfRule>
  </conditionalFormatting>
  <conditionalFormatting sqref="E673:E1048576 E1:E591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G147:H147 E134:E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4" operator="containsText" text="fija">
      <formula>NOT(ISERROR(SEARCH("fija",E565)))</formula>
    </cfRule>
    <cfRule type="containsText" dxfId="132" priority="475" operator="containsText" text="domo">
      <formula>NOT(ISERROR(SEARCH("domo",E565)))</formula>
    </cfRule>
    <cfRule type="containsText" dxfId="131" priority="476" operator="containsText" text="Radio">
      <formula>NOT(ISERROR(SEARCH("Radio",E565)))</formula>
    </cfRule>
  </conditionalFormatting>
  <conditionalFormatting sqref="E565:E566">
    <cfRule type="containsText" dxfId="130" priority="469" operator="containsText" text="fija">
      <formula>NOT(ISERROR(SEARCH("fija",E565)))</formula>
    </cfRule>
    <cfRule type="containsText" dxfId="129" priority="470" operator="containsText" text="domo">
      <formula>NOT(ISERROR(SEARCH("domo",E565)))</formula>
    </cfRule>
  </conditionalFormatting>
  <conditionalFormatting sqref="E566">
    <cfRule type="containsText" dxfId="128" priority="467" operator="containsText" text="fija">
      <formula>NOT(ISERROR(SEARCH("fija",E566)))</formula>
    </cfRule>
    <cfRule type="containsText" dxfId="127" priority="468" operator="containsText" text="domo">
      <formula>NOT(ISERROR(SEARCH("domo",E566)))</formula>
    </cfRule>
    <cfRule type="containsText" dxfId="126" priority="471" operator="containsText" text="Radio">
      <formula>NOT(ISERROR(SEARCH("Radio",E566)))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59" operator="containsText" text="fija">
      <formula>NOT(ISERROR(SEARCH("fija",E569)))</formula>
    </cfRule>
    <cfRule type="containsText" dxfId="121" priority="460" operator="containsText" text="domo">
      <formula>NOT(ISERROR(SEARCH("domo",E569)))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4" operator="containsText" text="fija">
      <formula>NOT(ISERROR(SEARCH("fija",E570)))</formula>
    </cfRule>
    <cfRule type="containsText" dxfId="118" priority="455" operator="containsText" text="domo">
      <formula>NOT(ISERROR(SEARCH("domo",E570)))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49" operator="containsText" text="fija">
      <formula>NOT(ISERROR(SEARCH("fija",E571)))</formula>
    </cfRule>
    <cfRule type="containsText" dxfId="115" priority="450" operator="containsText" text="domo">
      <formula>NOT(ISERROR(SEARCH("domo",E571)))</formula>
    </cfRule>
  </conditionalFormatting>
  <conditionalFormatting sqref="E572">
    <cfRule type="containsText" dxfId="114" priority="447" operator="containsText" text="fija">
      <formula>NOT(ISERROR(SEARCH("fija",E572)))</formula>
    </cfRule>
    <cfRule type="containsText" dxfId="113" priority="448" operator="containsText" text="domo">
      <formula>NOT(ISERROR(SEARCH("domo",E572)))</formula>
    </cfRule>
    <cfRule type="containsText" dxfId="112" priority="451" operator="containsText" text="Radio">
      <formula>NOT(ISERROR(SEARCH("Radio",E572)))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7" operator="containsText" text="fija">
      <formula>NOT(ISERROR(SEARCH("fija",E579)))</formula>
    </cfRule>
    <cfRule type="containsText" dxfId="108" priority="478" operator="containsText" text="domo">
      <formula>NOT(ISERROR(SEARCH("domo",E579)))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2" operator="equal">
      <formula>"GPON"</formula>
    </cfRule>
    <cfRule type="cellIs" dxfId="99" priority="63" operator="equal">
      <formula>"GPON"</formula>
    </cfRule>
    <cfRule type="containsText" dxfId="98" priority="64" operator="containsText" text="Radio">
      <formula>NOT(ISERROR(SEARCH("Radio",F138)))</formula>
    </cfRule>
    <cfRule type="cellIs" dxfId="97" priority="65" operator="equal">
      <formula>$F$13</formula>
    </cfRule>
    <cfRule type="cellIs" dxfId="96" priority="66" operator="equal">
      <formula>"PTP A FO"</formula>
    </cfRule>
    <cfRule type="cellIs" dxfId="95" priority="67" operator="equal">
      <formula>"PTP A FO"</formula>
    </cfRule>
  </conditionalFormatting>
  <conditionalFormatting sqref="F141:F148">
    <cfRule type="containsText" dxfId="94" priority="39" operator="containsText" text="Radio">
      <formula>NOT(ISERROR(SEARCH("Radio",F141)))</formula>
    </cfRule>
    <cfRule type="cellIs" dxfId="93" priority="40" operator="equal">
      <formula>$F$13</formula>
    </cfRule>
    <cfRule type="cellIs" dxfId="92" priority="41" operator="equal">
      <formula>"PTP A FO"</formula>
    </cfRule>
    <cfRule type="cellIs" dxfId="91" priority="42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ontainsText" dxfId="88" priority="2" operator="containsText" text="Radio">
      <formula>NOT(ISERROR(SEARCH("Radio",F145)))</formula>
    </cfRule>
    <cfRule type="cellIs" dxfId="87" priority="3" operator="equal">
      <formula>$F$13</formula>
    </cfRule>
    <cfRule type="cellIs" dxfId="86" priority="4" operator="equal">
      <formula>"PTP A FO"</formula>
    </cfRule>
    <cfRule type="cellIs" dxfId="85" priority="5" operator="equal">
      <formula>"PTP A FO"</formula>
    </cfRule>
  </conditionalFormatting>
  <conditionalFormatting sqref="F230:F232">
    <cfRule type="cellIs" dxfId="84" priority="53" operator="equal">
      <formula>$F$13</formula>
    </cfRule>
    <cfRule type="cellIs" dxfId="83" priority="54" operator="equal">
      <formula>"PTP A FO"</formula>
    </cfRule>
    <cfRule type="cellIs" dxfId="82" priority="55" operator="equal">
      <formula>"PTP A FO"</formula>
    </cfRule>
  </conditionalFormatting>
  <conditionalFormatting sqref="F231:F232">
    <cfRule type="cellIs" dxfId="81" priority="49" operator="equal">
      <formula>$F$13</formula>
    </cfRule>
    <cfRule type="cellIs" dxfId="80" priority="50" operator="equal">
      <formula>"PTP A FO"</formula>
    </cfRule>
    <cfRule type="cellIs" dxfId="79" priority="51" operator="equal">
      <formula>"PTP A FO"</formula>
    </cfRule>
  </conditionalFormatting>
  <conditionalFormatting sqref="F419:F420">
    <cfRule type="containsText" dxfId="78" priority="58" operator="containsText" text="Radio">
      <formula>NOT(ISERROR(SEARCH("Radio",F419)))</formula>
    </cfRule>
    <cfRule type="cellIs" dxfId="77" priority="59" operator="equal">
      <formula>$F$13</formula>
    </cfRule>
    <cfRule type="cellIs" dxfId="76" priority="60" operator="equal">
      <formula>"PTP A FO"</formula>
    </cfRule>
    <cfRule type="cellIs" dxfId="75" priority="61" operator="equal">
      <formula>"PTP A FO"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0" operator="equal">
      <formula>$F$13</formula>
    </cfRule>
    <cfRule type="cellIs" dxfId="70" priority="531" operator="equal">
      <formula>"PTP A FO"</formula>
    </cfRule>
  </conditionalFormatting>
  <conditionalFormatting sqref="F148:G159">
    <cfRule type="cellIs" dxfId="69" priority="10" operator="equal">
      <formula>$F$13</formula>
    </cfRule>
    <cfRule type="cellIs" dxfId="68" priority="11" operator="equal">
      <formula>"PTP A FO"</formula>
    </cfRule>
    <cfRule type="cellIs" dxfId="67" priority="12" operator="equal">
      <formula>"PTP A FO"</formula>
    </cfRule>
  </conditionalFormatting>
  <conditionalFormatting sqref="G147">
    <cfRule type="cellIs" dxfId="66" priority="16" operator="equal">
      <formula>$F$13</formula>
    </cfRule>
    <cfRule type="cellIs" dxfId="65" priority="17" operator="equal">
      <formula>"PTP A FO"</formula>
    </cfRule>
    <cfRule type="cellIs" dxfId="64" priority="18" operator="equal">
      <formula>"PTP A FO"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notContainsText" dxfId="56" priority="287" operator="notContains" text="Caida">
      <formula>ISERROR(SEARCH("Caida",O673))</formula>
    </cfRule>
    <cfRule type="containsText" dxfId="55" priority="288" operator="containsText" text="Caida">
      <formula>NOT(ISERROR(SEARCH("Caida",O673)))</formula>
    </cfRule>
    <cfRule type="cellIs" dxfId="54" priority="289" operator="lessThan">
      <formula>0.8</formula>
    </cfRule>
    <cfRule type="cellIs" dxfId="53" priority="290" operator="greaterThan">
      <formula>0.8</formula>
    </cfRule>
    <cfRule type="cellIs" dxfId="52" priority="313" operator="greaterThan">
      <formula>0.8</formula>
    </cfRule>
    <cfRule type="cellIs" dxfId="51" priority="417" operator="equal">
      <formula>"APAGADO"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>
        <f>'RESUMEN TOTAL'!P197</f>
        <v>0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>
        <f>'RESUMEN TOTAL'!P198</f>
        <v>0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>
        <f>'RESUMEN TOTAL'!P201</f>
        <v>0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>
        <f>'RESUMEN TOTAL'!P251</f>
        <v>0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>
        <f>'RESUMEN TOTAL'!P254</f>
        <v>0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>
        <f>'RESUMEN TOTAL'!P272</f>
        <v>0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>
        <f>'RESUMEN TOTAL'!P304</f>
        <v>0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>
        <f>'RESUMEN TOTAL'!P316</f>
        <v>0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>
        <f>'RESUMEN TOTAL'!P318</f>
        <v>0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>
        <f>'RESUMEN TOTAL'!P319</f>
        <v>0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>
        <f>'RESUMEN TOTAL'!P320</f>
        <v>0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>
        <f>'RESUMEN TOTAL'!P321</f>
        <v>0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>
        <f>'RESUMEN TOTAL'!P383</f>
        <v>0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>
        <f>'RESUMEN TOTAL'!P384</f>
        <v>0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>
        <f>'RESUMEN TOTAL'!P389</f>
        <v>0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>
        <f>'RESUMEN TOTAL'!P390</f>
        <v>0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>
        <f>'RESUMEN TOTAL'!P395</f>
        <v>0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>
        <f>'RESUMEN TOTAL'!P396</f>
        <v>0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>
        <f>'RESUMEN TOTAL'!P407</f>
        <v>0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>
        <f>'RESUMEN TOTAL'!P409</f>
        <v>0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>
        <f>'RESUMEN TOTAL'!P410</f>
        <v>0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>
        <f>'RESUMEN TOTAL'!P423</f>
        <v>0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>
        <f>'RESUMEN TOTAL'!P450</f>
        <v>0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>
        <f>'RESUMEN TOTAL'!P464</f>
        <v>0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>
        <f>'RESUMEN TOTAL'!P465</f>
        <v>0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>
        <f>'RESUMEN TOTAL'!P470</f>
        <v>0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>
        <f>'RESUMEN TOTAL'!P519</f>
        <v>0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>
        <f>'RESUMEN TOTAL'!P558</f>
        <v>0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>
        <f>'RESUMEN TOTAL'!P560</f>
        <v>0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>
        <f>'RESUMEN TOTAL'!P568</f>
        <v>0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>
        <f>'RESUMEN TOTAL'!P569</f>
        <v>0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>
        <f>'RESUMEN TOTAL'!P570</f>
        <v>0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>
        <f>'RESUMEN TOTAL'!P571</f>
        <v>0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>
        <f>'RESUMEN TOTAL'!P572</f>
        <v>0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>
        <f>'RESUMEN TOTAL'!P586</f>
        <v>0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C4" sqref="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0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84" zoomScaleNormal="84" workbookViewId="0">
      <selection activeCell="F24" sqref="F24:F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4"/>
    </row>
    <row r="48" spans="1:6" x14ac:dyDescent="0.25">
      <c r="B48" s="53" t="s">
        <v>1242</v>
      </c>
      <c r="C48" s="67">
        <v>0</v>
      </c>
      <c r="D48" s="102">
        <v>0</v>
      </c>
      <c r="E48" s="55">
        <f>D48/C46</f>
        <v>0</v>
      </c>
      <c r="F48" s="154"/>
    </row>
    <row r="49" spans="1:6" x14ac:dyDescent="0.25">
      <c r="B49" s="53" t="s">
        <v>1243</v>
      </c>
      <c r="C49" s="67">
        <v>0</v>
      </c>
      <c r="D49" s="102">
        <v>0</v>
      </c>
      <c r="E49" s="55">
        <f>D49/C46</f>
        <v>0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0</v>
      </c>
      <c r="E53" s="104">
        <v>0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0</v>
      </c>
      <c r="E54" s="113">
        <v>0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4"/>
    </row>
    <row r="59" spans="1:6" x14ac:dyDescent="0.25">
      <c r="B59" s="53" t="s">
        <v>1242</v>
      </c>
      <c r="C59" s="67">
        <v>0</v>
      </c>
      <c r="D59" s="102">
        <v>0</v>
      </c>
      <c r="E59" s="55">
        <f>D59/C57</f>
        <v>0</v>
      </c>
      <c r="F59" s="154"/>
    </row>
    <row r="60" spans="1:6" x14ac:dyDescent="0.25">
      <c r="B60" s="53" t="s">
        <v>1243</v>
      </c>
      <c r="C60" s="67">
        <v>0</v>
      </c>
      <c r="D60" s="102">
        <v>0</v>
      </c>
      <c r="E60" s="55">
        <f>D60/C57</f>
        <v>0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0</v>
      </c>
      <c r="E64" s="104">
        <f>D64/C64</f>
        <v>0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0</v>
      </c>
      <c r="E65" s="113">
        <f>D65/C65</f>
        <v>0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0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2026-02-04T11:44:38Z</dcterms:modified>
</cp:coreProperties>
</file>