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39B717C9-D4EA-49DE-B8CA-8CBE0BA32E1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<sst xmlns="http://schemas.openxmlformats.org/spreadsheetml/2006/main" count="6391" uniqueCount="2479">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</sst>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9"/>
  <sheetViews>
    <sheetView tabSelected="1" zoomScaleNormal="100" zoomScaleSheetLayoutView="100" workbookViewId="0">
      <pane xSplit="18" ySplit="7" topLeftCell="T8" activePane="bottomRight" state="frozen"/>
      <selection activeCell="G1" sqref="G1"/>
      <selection pane="topRight" activeCell="S1" sqref="S1"/>
      <selection pane="bottomLeft" activeCell="G8" sqref="G8"/>
      <selection pane="bottomRight" activeCell="I197" sqref="I19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9.42578125" style="30" customWidth="1"/>
    <col min="8" max="8" width="10.42578125" style="30" customWidth="1"/>
    <col min="9" max="9" width="43.2851562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17" style="4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3.57031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9.480122324159021E-2</v>
      </c>
      <c r="AB1" s="3">
        <f t="shared" si="0"/>
        <v>0.12941176470588237</v>
      </c>
      <c r="AC1" s="3">
        <f t="shared" si="0"/>
        <v>9.480122324159021E-2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13</v>
      </c>
      <c r="AB4" s="10">
        <f>COUNTIFS(AB8:AB707, "=APAGADO",K8:K707,"=Fibra Optica")</f>
        <v>19</v>
      </c>
      <c r="AC4" s="10">
        <f>COUNTIFS(AC8:AC707, "=APAGADO",K8:K707,"=Fibra Optica")</f>
        <v>14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5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5</v>
      </c>
      <c r="AA5" s="127">
        <f>COUNTIFS(AA8:AA707, "=APAGADO",K8:K707,"=RADIO")</f>
        <v>5</v>
      </c>
      <c r="AB5" s="127">
        <f>COUNTIFS(AB8:AB707, "=APAGADO",K8:K707,"=RADIO")</f>
        <v>5</v>
      </c>
      <c r="AC5" s="127">
        <f>COUNTIFS(AC8:AC707, "=APAGADO",K8:K707,"=RADIO")</f>
        <v>5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7</v>
      </c>
      <c r="AB6" s="10">
        <f>COUNTIFS(AB8:AB707, "=APAGADO",K8:K707,"=PTO A FO")</f>
        <v>10</v>
      </c>
      <c r="AC6" s="10">
        <f>COUNTIFS(AC8:AC707, "=APAGADO",K8:K707,"=PTO A FO")</f>
        <v>7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2221</v>
      </c>
      <c r="AA9" s="70" t="s">
        <v>2221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20</v>
      </c>
      <c r="P13" s="136" t="s">
        <v>1639</v>
      </c>
      <c r="Q13" s="131">
        <f t="shared" si="5"/>
        <v>8</v>
      </c>
      <c r="R13" s="132">
        <f t="shared" si="6"/>
        <v>0.7142857142857143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 t="s">
        <v>2221</v>
      </c>
      <c r="AB13" s="70" t="s">
        <v>2221</v>
      </c>
      <c r="AC13" s="70" t="s">
        <v>2221</v>
      </c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26</v>
      </c>
      <c r="P16" s="136" t="s">
        <v>1631</v>
      </c>
      <c r="Q16" s="31">
        <f t="shared" si="5"/>
        <v>2</v>
      </c>
      <c r="R16" s="32">
        <f t="shared" si="6"/>
        <v>0.9285714285714286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2221</v>
      </c>
      <c r="AC16" s="70" t="s">
        <v>2221</v>
      </c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2221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2221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2221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25</v>
      </c>
      <c r="P24" s="136" t="s">
        <v>1650</v>
      </c>
      <c r="Q24" s="131">
        <f t="shared" si="5"/>
        <v>3</v>
      </c>
      <c r="R24" s="132">
        <f t="shared" si="6"/>
        <v>0.8928571428571429</v>
      </c>
      <c r="S24" s="70"/>
      <c r="T24" s="70"/>
      <c r="U24" s="70"/>
      <c r="V24" s="70"/>
      <c r="W24" s="70"/>
      <c r="X24" s="70"/>
      <c r="Y24" s="70"/>
      <c r="Z24" s="70"/>
      <c r="AA24" s="70" t="s">
        <v>2221</v>
      </c>
      <c r="AB24" s="70" t="s">
        <v>2221</v>
      </c>
      <c r="AC24" s="70" t="s">
        <v>2221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2141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2221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19</v>
      </c>
      <c r="P51" s="136" t="s">
        <v>1704</v>
      </c>
      <c r="Q51" s="131">
        <f t="shared" si="8"/>
        <v>9</v>
      </c>
      <c r="R51" s="132">
        <f t="shared" si="9"/>
        <v>0.6785714285714286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 t="s">
        <v>2221</v>
      </c>
      <c r="AB51" s="70" t="s">
        <v>2221</v>
      </c>
      <c r="AC51" s="70" t="s">
        <v>2221</v>
      </c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19</v>
      </c>
      <c r="P77" s="136" t="s">
        <v>2427</v>
      </c>
      <c r="Q77" s="31">
        <f t="shared" si="11"/>
        <v>9</v>
      </c>
      <c r="R77" s="32">
        <f t="shared" si="12"/>
        <v>0.6785714285714286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 t="s">
        <v>2221</v>
      </c>
      <c r="AB77" s="70" t="s">
        <v>2221</v>
      </c>
      <c r="AC77" s="70" t="s">
        <v>2221</v>
      </c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19</v>
      </c>
      <c r="P110" s="136" t="s">
        <v>1691</v>
      </c>
      <c r="Q110" s="31">
        <f t="shared" si="14"/>
        <v>9</v>
      </c>
      <c r="R110" s="32">
        <f t="shared" si="15"/>
        <v>0.6785714285714286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 t="s">
        <v>2221</v>
      </c>
      <c r="AB110" s="70" t="s">
        <v>2221</v>
      </c>
      <c r="AC110" s="70" t="s">
        <v>2221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22</v>
      </c>
      <c r="P118" s="136" t="s">
        <v>1699</v>
      </c>
      <c r="Q118" s="31">
        <f t="shared" si="14"/>
        <v>6</v>
      </c>
      <c r="R118" s="32">
        <f t="shared" si="15"/>
        <v>0.7857142857142857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 t="s">
        <v>2221</v>
      </c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19</v>
      </c>
      <c r="P129" s="136" t="s">
        <v>1723</v>
      </c>
      <c r="Q129" s="31">
        <f t="shared" si="17"/>
        <v>9</v>
      </c>
      <c r="R129" s="32">
        <f t="shared" si="18"/>
        <v>0.6785714285714286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 t="s">
        <v>2221</v>
      </c>
      <c r="AB129" s="70" t="s">
        <v>2221</v>
      </c>
      <c r="AC129" s="70" t="s">
        <v>2221</v>
      </c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2221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2221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19</v>
      </c>
      <c r="P149" s="136" t="s">
        <v>1749</v>
      </c>
      <c r="Q149" s="31">
        <f t="shared" si="17"/>
        <v>9</v>
      </c>
      <c r="R149" s="32">
        <f t="shared" si="18"/>
        <v>0.6785714285714286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 t="s">
        <v>2221</v>
      </c>
      <c r="AB149" s="70" t="s">
        <v>2221</v>
      </c>
      <c r="AC149" s="70" t="s">
        <v>2221</v>
      </c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2310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2221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27</v>
      </c>
      <c r="P156" s="136" t="s">
        <v>2311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2221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2308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2221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27</v>
      </c>
      <c r="P162" s="136" t="s">
        <v>2307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2221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19</v>
      </c>
      <c r="P166" s="136" t="s">
        <v>1757</v>
      </c>
      <c r="Q166" s="31">
        <f t="shared" si="20"/>
        <v>9</v>
      </c>
      <c r="R166" s="32">
        <f t="shared" si="21"/>
        <v>0.6785714285714286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 t="s">
        <v>2221</v>
      </c>
      <c r="AB166" s="70" t="s">
        <v>2221</v>
      </c>
      <c r="AC166" s="70" t="s">
        <v>2221</v>
      </c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19</v>
      </c>
      <c r="P171" s="140" t="s">
        <v>1762</v>
      </c>
      <c r="Q171" s="139">
        <f t="shared" si="20"/>
        <v>9</v>
      </c>
      <c r="R171" s="141">
        <f t="shared" si="21"/>
        <v>0.6785714285714286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70" t="s">
        <v>2221</v>
      </c>
      <c r="AB171" s="70" t="s">
        <v>2221</v>
      </c>
      <c r="AC171" s="70" t="s">
        <v>2221</v>
      </c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20</v>
      </c>
      <c r="P176" s="136" t="s">
        <v>1775</v>
      </c>
      <c r="Q176" s="31">
        <f t="shared" si="20"/>
        <v>8</v>
      </c>
      <c r="R176" s="32">
        <f t="shared" si="21"/>
        <v>0.7142857142857143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 t="s">
        <v>2221</v>
      </c>
      <c r="AB176" s="70" t="s">
        <v>2221</v>
      </c>
      <c r="AC176" s="70" t="s">
        <v>2221</v>
      </c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22</v>
      </c>
      <c r="P177" s="136" t="s">
        <v>1776</v>
      </c>
      <c r="Q177" s="31">
        <f t="shared" si="20"/>
        <v>6</v>
      </c>
      <c r="R177" s="32">
        <f t="shared" si="21"/>
        <v>0.7857142857142857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 t="s">
        <v>2221</v>
      </c>
      <c r="AC177" s="70" t="s">
        <v>2221</v>
      </c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19</v>
      </c>
      <c r="P197" s="140"/>
      <c r="Q197" s="139">
        <f t="shared" si="23"/>
        <v>9</v>
      </c>
      <c r="R197" s="141">
        <f t="shared" si="24"/>
        <v>0.6785714285714286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70" t="s">
        <v>2221</v>
      </c>
      <c r="AB197" s="70" t="s">
        <v>2221</v>
      </c>
      <c r="AC197" s="70" t="s">
        <v>2221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 t="s">
        <v>2221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2221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 t="s">
        <v>2221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 t="s">
        <v>2221</v>
      </c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2221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25</v>
      </c>
      <c r="P209" s="136" t="s">
        <v>1782</v>
      </c>
      <c r="Q209" s="131">
        <f t="shared" si="26"/>
        <v>3</v>
      </c>
      <c r="R209" s="132">
        <f t="shared" si="27"/>
        <v>0.8928571428571429</v>
      </c>
      <c r="S209" s="70"/>
      <c r="T209" s="70"/>
      <c r="U209" s="70"/>
      <c r="V209" s="70"/>
      <c r="W209" s="70"/>
      <c r="X209" s="70"/>
      <c r="Y209" s="70"/>
      <c r="Z209" s="70"/>
      <c r="AA209" s="70" t="s">
        <v>2221</v>
      </c>
      <c r="AB209" s="70" t="s">
        <v>2221</v>
      </c>
      <c r="AC209" s="70" t="s">
        <v>2221</v>
      </c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2221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27</v>
      </c>
      <c r="P214" s="136" t="s">
        <v>1787</v>
      </c>
      <c r="Q214" s="31">
        <f t="shared" si="26"/>
        <v>1</v>
      </c>
      <c r="R214" s="32">
        <f t="shared" si="27"/>
        <v>0.9642857142857143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2221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2221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2221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2221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2221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2221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2221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20</v>
      </c>
      <c r="P232" s="136" t="s">
        <v>2428</v>
      </c>
      <c r="Q232" s="131">
        <f t="shared" si="26"/>
        <v>8</v>
      </c>
      <c r="R232" s="132">
        <f t="shared" si="27"/>
        <v>0.7142857142857143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 t="s">
        <v>2221</v>
      </c>
      <c r="AB232" s="70" t="s">
        <v>2221</v>
      </c>
      <c r="AC232" s="70" t="s">
        <v>2221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27</v>
      </c>
      <c r="P233" s="136" t="s">
        <v>2225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2221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19</v>
      </c>
      <c r="P251" s="136" t="s">
        <v>1824</v>
      </c>
      <c r="Q251" s="31">
        <f t="shared" si="29"/>
        <v>9</v>
      </c>
      <c r="R251" s="32">
        <f t="shared" si="30"/>
        <v>0.6785714285714286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 t="s">
        <v>2221</v>
      </c>
      <c r="AB251" s="70" t="s">
        <v>2221</v>
      </c>
      <c r="AC251" s="70" t="s">
        <v>2221</v>
      </c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24</v>
      </c>
      <c r="P252" s="136" t="s">
        <v>1825</v>
      </c>
      <c r="Q252" s="31">
        <f t="shared" si="29"/>
        <v>4</v>
      </c>
      <c r="R252" s="32">
        <f t="shared" si="30"/>
        <v>0.8571428571428571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 t="s">
        <v>2221</v>
      </c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19</v>
      </c>
      <c r="P255" s="140" t="s">
        <v>1826</v>
      </c>
      <c r="Q255" s="139">
        <f t="shared" si="29"/>
        <v>9</v>
      </c>
      <c r="R255" s="141">
        <f t="shared" si="30"/>
        <v>0.6785714285714286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70" t="s">
        <v>2221</v>
      </c>
      <c r="AB255" s="70" t="s">
        <v>2221</v>
      </c>
      <c r="AC255" s="70" t="s">
        <v>2221</v>
      </c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19</v>
      </c>
      <c r="P256" s="140" t="s">
        <v>2235</v>
      </c>
      <c r="Q256" s="139">
        <f t="shared" si="29"/>
        <v>9</v>
      </c>
      <c r="R256" s="141">
        <f t="shared" si="30"/>
        <v>0.6785714285714286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70" t="s">
        <v>2221</v>
      </c>
      <c r="AB256" s="70" t="s">
        <v>2221</v>
      </c>
      <c r="AC256" s="70" t="s">
        <v>2221</v>
      </c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20</v>
      </c>
      <c r="P261" s="136" t="s">
        <v>2395</v>
      </c>
      <c r="Q261" s="31">
        <f t="shared" si="29"/>
        <v>8</v>
      </c>
      <c r="R261" s="32">
        <f t="shared" si="30"/>
        <v>0.7142857142857143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 t="s">
        <v>2221</v>
      </c>
      <c r="AB261" s="70" t="s">
        <v>2221</v>
      </c>
      <c r="AC261" s="70" t="s">
        <v>2221</v>
      </c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19</v>
      </c>
      <c r="P276" s="136" t="s">
        <v>1840</v>
      </c>
      <c r="Q276" s="31">
        <f t="shared" si="32"/>
        <v>9</v>
      </c>
      <c r="R276" s="32">
        <f t="shared" si="33"/>
        <v>0.6785714285714286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 t="s">
        <v>2221</v>
      </c>
      <c r="AB276" s="70" t="s">
        <v>2221</v>
      </c>
      <c r="AC276" s="70" t="s">
        <v>2221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1847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2221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1849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2221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2221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25</v>
      </c>
      <c r="P298" s="143" t="s">
        <v>1651</v>
      </c>
      <c r="Q298" s="139">
        <f t="shared" si="32"/>
        <v>3</v>
      </c>
      <c r="R298" s="141">
        <f t="shared" si="33"/>
        <v>0.8928571428571429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2221</v>
      </c>
      <c r="AB298" s="70" t="s">
        <v>2221</v>
      </c>
      <c r="AC298" s="70" t="s">
        <v>2221</v>
      </c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19</v>
      </c>
      <c r="P299" s="136" t="s">
        <v>2113</v>
      </c>
      <c r="Q299" s="131">
        <f t="shared" si="32"/>
        <v>9</v>
      </c>
      <c r="R299" s="132">
        <f t="shared" si="33"/>
        <v>0.6785714285714286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 t="s">
        <v>2221</v>
      </c>
      <c r="AB299" s="70" t="s">
        <v>2221</v>
      </c>
      <c r="AC299" s="70" t="s">
        <v>2221</v>
      </c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19</v>
      </c>
      <c r="P300" s="136" t="s">
        <v>2107</v>
      </c>
      <c r="Q300" s="131">
        <f t="shared" si="32"/>
        <v>9</v>
      </c>
      <c r="R300" s="132">
        <f t="shared" si="33"/>
        <v>0.6785714285714286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 t="s">
        <v>2221</v>
      </c>
      <c r="AB300" s="70" t="s">
        <v>2221</v>
      </c>
      <c r="AC300" s="70" t="s">
        <v>2221</v>
      </c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27</v>
      </c>
      <c r="P306" s="136" t="s">
        <v>1862</v>
      </c>
      <c r="Q306" s="31">
        <f t="shared" si="32"/>
        <v>1</v>
      </c>
      <c r="R306" s="32">
        <f t="shared" si="33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2221</v>
      </c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27</v>
      </c>
      <c r="P307" s="136" t="s">
        <v>1863</v>
      </c>
      <c r="Q307" s="31">
        <f t="shared" si="32"/>
        <v>1</v>
      </c>
      <c r="R307" s="32">
        <f t="shared" si="33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2221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19</v>
      </c>
      <c r="P318" s="136" t="s">
        <v>1877</v>
      </c>
      <c r="Q318" s="131">
        <f t="shared" si="32"/>
        <v>9</v>
      </c>
      <c r="R318" s="132">
        <f t="shared" si="33"/>
        <v>0.6785714285714286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70" t="s">
        <v>2221</v>
      </c>
      <c r="AB318" s="70" t="s">
        <v>2221</v>
      </c>
      <c r="AC318" s="70" t="s">
        <v>2221</v>
      </c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19</v>
      </c>
      <c r="P320" s="136" t="s">
        <v>2146</v>
      </c>
      <c r="Q320" s="131">
        <f t="shared" si="32"/>
        <v>9</v>
      </c>
      <c r="R320" s="132">
        <f t="shared" si="33"/>
        <v>0.6785714285714286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70" t="s">
        <v>2221</v>
      </c>
      <c r="AB320" s="70" t="s">
        <v>2221</v>
      </c>
      <c r="AC320" s="70" t="s">
        <v>2221</v>
      </c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27</v>
      </c>
      <c r="P323" s="136" t="s">
        <v>1864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 t="s">
        <v>2221</v>
      </c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19</v>
      </c>
      <c r="P327" s="136" t="s">
        <v>1878</v>
      </c>
      <c r="Q327" s="31">
        <f t="shared" si="32"/>
        <v>9</v>
      </c>
      <c r="R327" s="32">
        <f t="shared" si="33"/>
        <v>0.6785714285714286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70" t="s">
        <v>2221</v>
      </c>
      <c r="AB327" s="70" t="s">
        <v>2221</v>
      </c>
      <c r="AC327" s="70" t="s">
        <v>2221</v>
      </c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19</v>
      </c>
      <c r="P328" s="136" t="s">
        <v>1879</v>
      </c>
      <c r="Q328" s="131">
        <f t="shared" si="32"/>
        <v>9</v>
      </c>
      <c r="R328" s="132">
        <f t="shared" si="33"/>
        <v>0.6785714285714286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70" t="s">
        <v>2221</v>
      </c>
      <c r="AB328" s="70" t="s">
        <v>2221</v>
      </c>
      <c r="AC328" s="70" t="s">
        <v>2221</v>
      </c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19</v>
      </c>
      <c r="P329" s="136" t="s">
        <v>1880</v>
      </c>
      <c r="Q329" s="131">
        <f t="shared" si="32"/>
        <v>9</v>
      </c>
      <c r="R329" s="132">
        <f t="shared" si="33"/>
        <v>0.6785714285714286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70" t="s">
        <v>2221</v>
      </c>
      <c r="AB329" s="70" t="s">
        <v>2221</v>
      </c>
      <c r="AC329" s="70" t="s">
        <v>2221</v>
      </c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19</v>
      </c>
      <c r="P340" s="136" t="s">
        <v>1893</v>
      </c>
      <c r="Q340" s="31">
        <f t="shared" si="35"/>
        <v>9</v>
      </c>
      <c r="R340" s="32">
        <f t="shared" si="36"/>
        <v>0.6785714285714286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 t="s">
        <v>2221</v>
      </c>
      <c r="AB340" s="70" t="s">
        <v>2221</v>
      </c>
      <c r="AC340" s="70" t="s">
        <v>2221</v>
      </c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19</v>
      </c>
      <c r="P360" s="136" t="s">
        <v>1899</v>
      </c>
      <c r="Q360" s="31">
        <f t="shared" si="35"/>
        <v>9</v>
      </c>
      <c r="R360" s="32">
        <f t="shared" si="36"/>
        <v>0.6785714285714286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 t="s">
        <v>2221</v>
      </c>
      <c r="AB360" s="70" t="s">
        <v>2221</v>
      </c>
      <c r="AC360" s="70" t="s">
        <v>2221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19</v>
      </c>
      <c r="P361" s="136" t="s">
        <v>1900</v>
      </c>
      <c r="Q361" s="31">
        <f t="shared" si="35"/>
        <v>9</v>
      </c>
      <c r="R361" s="32">
        <f t="shared" si="36"/>
        <v>0.6785714285714286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 t="s">
        <v>2221</v>
      </c>
      <c r="AB361" s="70" t="s">
        <v>2221</v>
      </c>
      <c r="AC361" s="70" t="s">
        <v>2221</v>
      </c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27</v>
      </c>
      <c r="P383" s="136" t="s">
        <v>2401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 t="s">
        <v>2221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>
        <v>1</v>
      </c>
      <c r="B393">
        <v>18</v>
      </c>
      <c r="C393"/>
      <c r="D393"/>
      <c r="E393" t="s">
        <v>2360</v>
      </c>
      <c r="F393" t="s">
        <v>389</v>
      </c>
      <c r="G393" t="s">
        <v>883</v>
      </c>
      <c r="H393" t="s">
        <v>1041</v>
      </c>
      <c r="I393" t="s">
        <v>884</v>
      </c>
      <c r="J393" s="30" t="s">
        <v>18</v>
      </c>
      <c r="K393" s="30" t="s">
        <v>27</v>
      </c>
      <c r="L393" s="137"/>
      <c r="M393" s="30" t="s">
        <v>891</v>
      </c>
      <c r="N393" s="137" t="s">
        <v>2265</v>
      </c>
      <c r="O393" s="139">
        <f t="shared" si="34"/>
        <v>19</v>
      </c>
      <c r="P393" s="140" t="s">
        <v>1942</v>
      </c>
      <c r="Q393" s="139">
        <f t="shared" si="35"/>
        <v>9</v>
      </c>
      <c r="R393" s="141">
        <f t="shared" si="36"/>
        <v>0.6785714285714286</v>
      </c>
      <c r="S393" s="138" t="s">
        <v>2221</v>
      </c>
      <c r="T393" s="138" t="s">
        <v>2221</v>
      </c>
      <c r="U393" s="138" t="s">
        <v>2221</v>
      </c>
      <c r="V393" s="138" t="s">
        <v>2221</v>
      </c>
      <c r="W393" s="138" t="s">
        <v>2221</v>
      </c>
      <c r="X393" s="138"/>
      <c r="Y393" s="138"/>
      <c r="Z393" s="138" t="s">
        <v>2221</v>
      </c>
      <c r="AA393" s="138" t="s">
        <v>2221</v>
      </c>
      <c r="AB393" s="138" t="s">
        <v>2221</v>
      </c>
      <c r="AC393" s="70" t="s">
        <v>2221</v>
      </c>
      <c r="AD393" s="138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</row>
    <row r="394" spans="1:49" ht="15.75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19</v>
      </c>
      <c r="P401" s="136"/>
      <c r="Q401" s="31">
        <f t="shared" si="38"/>
        <v>9</v>
      </c>
      <c r="R401" s="32">
        <f t="shared" si="39"/>
        <v>0.6785714285714286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 t="s">
        <v>2221</v>
      </c>
      <c r="X401" s="70"/>
      <c r="Y401" s="70"/>
      <c r="Z401" s="70" t="s">
        <v>2221</v>
      </c>
      <c r="AA401" s="70" t="s">
        <v>2221</v>
      </c>
      <c r="AB401" s="70" t="s">
        <v>2221</v>
      </c>
      <c r="AC401" s="70" t="s">
        <v>2221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19</v>
      </c>
      <c r="P408" s="140"/>
      <c r="Q408" s="139">
        <f t="shared" si="38"/>
        <v>9</v>
      </c>
      <c r="R408" s="141">
        <f t="shared" si="39"/>
        <v>0.6785714285714286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70" t="s">
        <v>2221</v>
      </c>
      <c r="AB408" s="70" t="s">
        <v>2221</v>
      </c>
      <c r="AC408" s="70" t="s">
        <v>2221</v>
      </c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19</v>
      </c>
      <c r="P412" s="136" t="s">
        <v>1949</v>
      </c>
      <c r="Q412" s="85">
        <f t="shared" si="38"/>
        <v>9</v>
      </c>
      <c r="R412" s="86">
        <f t="shared" si="39"/>
        <v>0.6785714285714286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70" t="s">
        <v>2221</v>
      </c>
      <c r="AB412" s="70" t="s">
        <v>2221</v>
      </c>
      <c r="AC412" s="70" t="s">
        <v>2221</v>
      </c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19</v>
      </c>
      <c r="P414" s="136" t="s">
        <v>1950</v>
      </c>
      <c r="Q414" s="31">
        <f t="shared" si="38"/>
        <v>9</v>
      </c>
      <c r="R414" s="32">
        <f t="shared" si="39"/>
        <v>0.6785714285714286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 t="s">
        <v>2221</v>
      </c>
      <c r="AB414" s="70" t="s">
        <v>2221</v>
      </c>
      <c r="AC414" s="70" t="s">
        <v>2221</v>
      </c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19</v>
      </c>
      <c r="P415" s="136" t="s">
        <v>1951</v>
      </c>
      <c r="Q415" s="31">
        <f t="shared" si="38"/>
        <v>9</v>
      </c>
      <c r="R415" s="32">
        <f t="shared" si="39"/>
        <v>0.6785714285714286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 t="s">
        <v>2221</v>
      </c>
      <c r="AB415" s="70" t="s">
        <v>2221</v>
      </c>
      <c r="AC415" s="70" t="s">
        <v>2221</v>
      </c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19</v>
      </c>
      <c r="P426" s="136"/>
      <c r="Q426" s="31">
        <f t="shared" si="38"/>
        <v>9</v>
      </c>
      <c r="R426" s="32">
        <f t="shared" si="39"/>
        <v>0.6785714285714286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0" t="s">
        <v>2221</v>
      </c>
      <c r="AB426" s="70" t="s">
        <v>2221</v>
      </c>
      <c r="AC426" s="70" t="s">
        <v>2221</v>
      </c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26</v>
      </c>
      <c r="P429" s="136" t="s">
        <v>1960</v>
      </c>
      <c r="Q429" s="131">
        <f t="shared" si="38"/>
        <v>2</v>
      </c>
      <c r="R429" s="132">
        <f t="shared" si="39"/>
        <v>0.9285714285714286</v>
      </c>
      <c r="S429" s="70"/>
      <c r="T429" s="70"/>
      <c r="U429" s="70"/>
      <c r="V429" s="70"/>
      <c r="W429" s="70"/>
      <c r="X429" s="70"/>
      <c r="Y429" s="70"/>
      <c r="Z429" s="70"/>
      <c r="AA429" s="70" t="s">
        <v>2221</v>
      </c>
      <c r="AB429" s="70"/>
      <c r="AC429" s="70" t="s">
        <v>2221</v>
      </c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19</v>
      </c>
      <c r="P433" s="136" t="s">
        <v>1957</v>
      </c>
      <c r="Q433" s="131">
        <f t="shared" si="38"/>
        <v>9</v>
      </c>
      <c r="R433" s="132">
        <f t="shared" si="39"/>
        <v>0.6785714285714286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 t="s">
        <v>2221</v>
      </c>
      <c r="AB433" s="70" t="s">
        <v>2221</v>
      </c>
      <c r="AC433" s="70" t="s">
        <v>2221</v>
      </c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19</v>
      </c>
      <c r="P443" s="136" t="s">
        <v>1972</v>
      </c>
      <c r="Q443" s="131">
        <f t="shared" si="38"/>
        <v>9</v>
      </c>
      <c r="R443" s="132">
        <f t="shared" si="39"/>
        <v>0.6785714285714286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 t="s">
        <v>2221</v>
      </c>
      <c r="AB443" s="70" t="s">
        <v>2221</v>
      </c>
      <c r="AC443" s="70" t="s">
        <v>2221</v>
      </c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19</v>
      </c>
      <c r="P445" s="140"/>
      <c r="Q445" s="139">
        <f t="shared" si="38"/>
        <v>9</v>
      </c>
      <c r="R445" s="141">
        <f t="shared" si="39"/>
        <v>0.6785714285714286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70" t="s">
        <v>2221</v>
      </c>
      <c r="AB445" s="70" t="s">
        <v>2221</v>
      </c>
      <c r="AC445" s="70" t="s">
        <v>2221</v>
      </c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19</v>
      </c>
      <c r="P457" s="140"/>
      <c r="Q457" s="139">
        <f t="shared" si="38"/>
        <v>9</v>
      </c>
      <c r="R457" s="141">
        <f t="shared" si="39"/>
        <v>0.6785714285714286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70" t="s">
        <v>2221</v>
      </c>
      <c r="AB457" s="70" t="s">
        <v>2221</v>
      </c>
      <c r="AC457" s="70" t="s">
        <v>2221</v>
      </c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19</v>
      </c>
      <c r="P470" s="136" t="s">
        <v>1985</v>
      </c>
      <c r="Q470" s="131">
        <f t="shared" si="41"/>
        <v>9</v>
      </c>
      <c r="R470" s="132">
        <f t="shared" si="42"/>
        <v>0.6785714285714286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 t="s">
        <v>2221</v>
      </c>
      <c r="AB470" s="70" t="s">
        <v>2221</v>
      </c>
      <c r="AC470" s="70" t="s">
        <v>2221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19</v>
      </c>
      <c r="P471" s="136" t="s">
        <v>1986</v>
      </c>
      <c r="Q471" s="131">
        <f t="shared" si="41"/>
        <v>9</v>
      </c>
      <c r="R471" s="132">
        <f t="shared" si="42"/>
        <v>0.6785714285714286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 t="s">
        <v>2221</v>
      </c>
      <c r="AB471" s="70" t="s">
        <v>2221</v>
      </c>
      <c r="AC471" s="70" t="s">
        <v>2221</v>
      </c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19</v>
      </c>
      <c r="P472" s="136"/>
      <c r="Q472" s="131">
        <f t="shared" si="41"/>
        <v>9</v>
      </c>
      <c r="R472" s="132">
        <f t="shared" si="42"/>
        <v>0.6785714285714286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 t="s">
        <v>2221</v>
      </c>
      <c r="AB472" s="70" t="s">
        <v>2221</v>
      </c>
      <c r="AC472" s="70" t="s">
        <v>2221</v>
      </c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19</v>
      </c>
      <c r="P474" s="136"/>
      <c r="Q474" s="131">
        <f t="shared" si="41"/>
        <v>9</v>
      </c>
      <c r="R474" s="132">
        <f t="shared" si="42"/>
        <v>0.6785714285714286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 t="s">
        <v>2221</v>
      </c>
      <c r="AB474" s="70" t="s">
        <v>2221</v>
      </c>
      <c r="AC474" s="70" t="s">
        <v>2221</v>
      </c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27</v>
      </c>
      <c r="P475" s="136" t="s">
        <v>1987</v>
      </c>
      <c r="Q475" s="31">
        <f t="shared" si="41"/>
        <v>1</v>
      </c>
      <c r="R475" s="32">
        <f t="shared" si="42"/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 t="s">
        <v>2221</v>
      </c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19</v>
      </c>
      <c r="P529" s="136" t="s">
        <v>2018</v>
      </c>
      <c r="Q529" s="131">
        <f t="shared" si="44"/>
        <v>9</v>
      </c>
      <c r="R529" s="132">
        <f t="shared" si="45"/>
        <v>0.6785714285714286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 t="s">
        <v>2221</v>
      </c>
      <c r="AB529" s="70" t="s">
        <v>2221</v>
      </c>
      <c r="AC529" s="70" t="s">
        <v>2221</v>
      </c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19</v>
      </c>
      <c r="P532" s="136" t="s">
        <v>2022</v>
      </c>
      <c r="Q532" s="31">
        <f t="shared" si="44"/>
        <v>9</v>
      </c>
      <c r="R532" s="32">
        <f t="shared" si="45"/>
        <v>0.6785714285714286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 t="s">
        <v>2221</v>
      </c>
      <c r="AB532" s="70" t="s">
        <v>2221</v>
      </c>
      <c r="AC532" s="70" t="s">
        <v>2221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19</v>
      </c>
      <c r="P533" s="136" t="s">
        <v>2023</v>
      </c>
      <c r="Q533" s="31">
        <f t="shared" si="44"/>
        <v>9</v>
      </c>
      <c r="R533" s="32">
        <f t="shared" si="45"/>
        <v>0.6785714285714286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 t="s">
        <v>2221</v>
      </c>
      <c r="AB533" s="70" t="s">
        <v>2221</v>
      </c>
      <c r="AC533" s="70" t="s">
        <v>2221</v>
      </c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19</v>
      </c>
      <c r="P539" s="136" t="s">
        <v>2172</v>
      </c>
      <c r="Q539" s="131">
        <f t="shared" si="44"/>
        <v>9</v>
      </c>
      <c r="R539" s="132">
        <f t="shared" si="45"/>
        <v>0.6785714285714286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 t="s">
        <v>2221</v>
      </c>
      <c r="AB539" s="70" t="s">
        <v>2221</v>
      </c>
      <c r="AC539" s="70" t="s">
        <v>2221</v>
      </c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19</v>
      </c>
      <c r="P540" s="136" t="s">
        <v>2175</v>
      </c>
      <c r="Q540" s="131">
        <f t="shared" si="44"/>
        <v>9</v>
      </c>
      <c r="R540" s="132">
        <f t="shared" si="45"/>
        <v>0.6785714285714286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 t="s">
        <v>2221</v>
      </c>
      <c r="AB540" s="70" t="s">
        <v>2221</v>
      </c>
      <c r="AC540" s="70" t="s">
        <v>2221</v>
      </c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27</v>
      </c>
      <c r="P550" s="136" t="s">
        <v>2047</v>
      </c>
      <c r="Q550" s="131">
        <f t="shared" si="44"/>
        <v>1</v>
      </c>
      <c r="R550" s="132">
        <f t="shared" si="45"/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 t="s">
        <v>2221</v>
      </c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19</v>
      </c>
      <c r="P552" s="136" t="s">
        <v>2049</v>
      </c>
      <c r="Q552" s="131">
        <f t="shared" si="44"/>
        <v>9</v>
      </c>
      <c r="R552" s="132">
        <f t="shared" si="45"/>
        <v>0.6785714285714286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 t="s">
        <v>2221</v>
      </c>
      <c r="AB552" s="70" t="s">
        <v>2221</v>
      </c>
      <c r="AC552" s="70" t="s">
        <v>2221</v>
      </c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26</v>
      </c>
      <c r="P554" s="136" t="s">
        <v>2051</v>
      </c>
      <c r="Q554" s="31">
        <f t="shared" si="44"/>
        <v>2</v>
      </c>
      <c r="R554" s="32">
        <f t="shared" si="45"/>
        <v>0.9285714285714286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 t="s">
        <v>2221</v>
      </c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19</v>
      </c>
      <c r="P564" s="136"/>
      <c r="Q564" s="131">
        <f t="shared" si="44"/>
        <v>9</v>
      </c>
      <c r="R564" s="132">
        <f t="shared" si="45"/>
        <v>0.6785714285714286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 t="s">
        <v>2221</v>
      </c>
      <c r="AB564" s="70" t="s">
        <v>2221</v>
      </c>
      <c r="AC564" s="70" t="s">
        <v>2221</v>
      </c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19</v>
      </c>
      <c r="P567" s="136" t="s">
        <v>2134</v>
      </c>
      <c r="Q567" s="31">
        <f t="shared" si="44"/>
        <v>9</v>
      </c>
      <c r="R567" s="32">
        <f t="shared" si="45"/>
        <v>0.6785714285714286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 t="s">
        <v>2221</v>
      </c>
      <c r="AB567" s="70" t="s">
        <v>2221</v>
      </c>
      <c r="AC567" s="70" t="s">
        <v>2221</v>
      </c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19</v>
      </c>
      <c r="P569" s="136" t="s">
        <v>2135</v>
      </c>
      <c r="Q569" s="31">
        <f t="shared" si="44"/>
        <v>9</v>
      </c>
      <c r="R569" s="32">
        <f t="shared" si="45"/>
        <v>0.6785714285714286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 t="s">
        <v>2221</v>
      </c>
      <c r="AB569" s="70" t="s">
        <v>2221</v>
      </c>
      <c r="AC569" s="70" t="s">
        <v>2221</v>
      </c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19</v>
      </c>
      <c r="P576" s="136" t="s">
        <v>2063</v>
      </c>
      <c r="Q576" s="31">
        <f t="shared" si="44"/>
        <v>9</v>
      </c>
      <c r="R576" s="32">
        <f t="shared" si="45"/>
        <v>0.6785714285714286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 t="s">
        <v>2221</v>
      </c>
      <c r="AB576" s="70" t="s">
        <v>2221</v>
      </c>
      <c r="AC576" s="70" t="s">
        <v>2221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21</v>
      </c>
      <c r="P589" s="136" t="s">
        <v>2070</v>
      </c>
      <c r="Q589" s="31">
        <f t="shared" si="47"/>
        <v>7</v>
      </c>
      <c r="R589" s="32">
        <f t="shared" si="48"/>
        <v>0.75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 t="s">
        <v>2221</v>
      </c>
      <c r="AB589" s="70" t="s">
        <v>2221</v>
      </c>
      <c r="AC589" s="70" t="s">
        <v>2221</v>
      </c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190" priority="1195" operator="equal">
      <formula>$H$301</formula>
    </cfRule>
  </conditionalFormatting>
  <conditionalFormatting sqref="H1:H600">
    <cfRule type="cellIs" dxfId="189" priority="1192" operator="equal">
      <formula>"IPCOMS"</formula>
    </cfRule>
  </conditionalFormatting>
  <conditionalFormatting sqref="H281:H600">
    <cfRule type="cellIs" dxfId="188" priority="1196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187" priority="3859" operator="equal">
      <formula>$H$282</formula>
    </cfRule>
  </conditionalFormatting>
  <conditionalFormatting sqref="I20:I21">
    <cfRule type="cellIs" dxfId="186" priority="3858" operator="equal">
      <formula>$H$301</formula>
    </cfRule>
  </conditionalFormatting>
  <conditionalFormatting sqref="I164:I165 I225:I226 I261 I285:I288 I298:I300 I404:I408 I420:I422 I425:I426 H682:H1048576 I20:I21">
    <cfRule type="cellIs" dxfId="185" priority="3404" operator="equal">
      <formula>"IPCOMS"</formula>
    </cfRule>
  </conditionalFormatting>
  <conditionalFormatting sqref="J1:J570 J586:J600 J682:J1048576">
    <cfRule type="containsText" dxfId="184" priority="3864" operator="containsText" text="fija">
      <formula>NOT(ISERROR(SEARCH("fija",J1)))</formula>
    </cfRule>
    <cfRule type="containsText" dxfId="183" priority="3865" operator="containsText" text="domo">
      <formula>NOT(ISERROR(SEARCH("domo",J1)))</formula>
    </cfRule>
  </conditionalFormatting>
  <conditionalFormatting sqref="J34:J35 J162:N233 J237:N402">
    <cfRule type="containsText" dxfId="182" priority="3332" operator="containsText" text="Radio">
      <formula>NOT(ISERROR(SEARCH("Radio",J34)))</formula>
    </cfRule>
  </conditionalFormatting>
  <conditionalFormatting sqref="J135:J148 L148:N148">
    <cfRule type="containsText" dxfId="181" priority="3346" operator="containsText" text="Radio">
      <formula>NOT(ISERROR(SEARCH("Radio",J135)))</formula>
    </cfRule>
  </conditionalFormatting>
  <conditionalFormatting sqref="J404:J408">
    <cfRule type="containsText" dxfId="180" priority="3365" operator="containsText" text="Radio">
      <formula>NOT(ISERROR(SEARCH("Radio",J404)))</formula>
    </cfRule>
  </conditionalFormatting>
  <conditionalFormatting sqref="J572">
    <cfRule type="containsText" dxfId="179" priority="3805" operator="containsText" text="fija">
      <formula>NOT(ISERROR(SEARCH("fija",J572)))</formula>
    </cfRule>
    <cfRule type="containsText" dxfId="178" priority="3806" operator="containsText" text="domo">
      <formula>NOT(ISERROR(SEARCH("domo",J572)))</formula>
    </cfRule>
    <cfRule type="containsText" dxfId="177" priority="3807" operator="containsText" text="Radio">
      <formula>NOT(ISERROR(SEARCH("Radio",J572)))</formula>
    </cfRule>
  </conditionalFormatting>
  <conditionalFormatting sqref="J572:J573">
    <cfRule type="containsText" dxfId="176" priority="3801" operator="containsText" text="domo">
      <formula>NOT(ISERROR(SEARCH("domo",J572)))</formula>
    </cfRule>
    <cfRule type="containsText" dxfId="175" priority="3800" operator="containsText" text="fija">
      <formula>NOT(ISERROR(SEARCH("fija",J572)))</formula>
    </cfRule>
  </conditionalFormatting>
  <conditionalFormatting sqref="J573">
    <cfRule type="containsText" dxfId="174" priority="3799" operator="containsText" text="domo">
      <formula>NOT(ISERROR(SEARCH("domo",J573)))</formula>
    </cfRule>
    <cfRule type="containsText" dxfId="173" priority="3798" operator="containsText" text="fija">
      <formula>NOT(ISERROR(SEARCH("fija",J573)))</formula>
    </cfRule>
    <cfRule type="containsText" dxfId="172" priority="3802" operator="containsText" text="Radio">
      <formula>NOT(ISERROR(SEARCH("Radio",J573)))</formula>
    </cfRule>
  </conditionalFormatting>
  <conditionalFormatting sqref="J576">
    <cfRule type="containsText" dxfId="171" priority="3796" operator="containsText" text="domo">
      <formula>NOT(ISERROR(SEARCH("domo",J576)))</formula>
    </cfRule>
    <cfRule type="containsText" dxfId="170" priority="3795" operator="containsText" text="fija">
      <formula>NOT(ISERROR(SEARCH("fija",J576)))</formula>
    </cfRule>
    <cfRule type="containsText" dxfId="169" priority="3797" operator="containsText" text="Radio">
      <formula>NOT(ISERROR(SEARCH("Radio",J576)))</formula>
    </cfRule>
  </conditionalFormatting>
  <conditionalFormatting sqref="J576:J577">
    <cfRule type="containsText" dxfId="168" priority="3790" operator="containsText" text="fija">
      <formula>NOT(ISERROR(SEARCH("fija",J576)))</formula>
    </cfRule>
    <cfRule type="containsText" dxfId="167" priority="3791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166" priority="3792" operator="containsText" text="Radio">
      <formula>NOT(ISERROR(SEARCH("Radio",J48)))</formula>
    </cfRule>
  </conditionalFormatting>
  <conditionalFormatting sqref="J577:J578">
    <cfRule type="containsText" dxfId="165" priority="3785" operator="containsText" text="fija">
      <formula>NOT(ISERROR(SEARCH("fija",J577)))</formula>
    </cfRule>
    <cfRule type="containsText" dxfId="164" priority="3786" operator="containsText" text="domo">
      <formula>NOT(ISERROR(SEARCH("domo",J577)))</formula>
    </cfRule>
  </conditionalFormatting>
  <conditionalFormatting sqref="J578">
    <cfRule type="containsText" dxfId="163" priority="3787" operator="containsText" text="Radio">
      <formula>NOT(ISERROR(SEARCH("Radio",J578)))</formula>
    </cfRule>
  </conditionalFormatting>
  <conditionalFormatting sqref="J578:J579">
    <cfRule type="containsText" dxfId="162" priority="3780" operator="containsText" text="fija">
      <formula>NOT(ISERROR(SEARCH("fija",J578)))</formula>
    </cfRule>
    <cfRule type="containsText" dxfId="161" priority="3781" operator="containsText" text="domo">
      <formula>NOT(ISERROR(SEARCH("domo",J578)))</formula>
    </cfRule>
  </conditionalFormatting>
  <conditionalFormatting sqref="J579">
    <cfRule type="containsText" dxfId="160" priority="3778" operator="containsText" text="fija">
      <formula>NOT(ISERROR(SEARCH("fija",J579)))</formula>
    </cfRule>
    <cfRule type="containsText" dxfId="159" priority="3779" operator="containsText" text="domo">
      <formula>NOT(ISERROR(SEARCH("domo",J579)))</formula>
    </cfRule>
    <cfRule type="containsText" dxfId="158" priority="3782" operator="containsText" text="Radio">
      <formula>NOT(ISERROR(SEARCH("Radio",J579)))</formula>
    </cfRule>
  </conditionalFormatting>
  <conditionalFormatting sqref="J581">
    <cfRule type="cellIs" dxfId="157" priority="1197" operator="equal">
      <formula>$J$10</formula>
    </cfRule>
  </conditionalFormatting>
  <conditionalFormatting sqref="J582:J600 J1:J580 J682:J1048576">
    <cfRule type="cellIs" dxfId="156" priority="3860" operator="equal">
      <formula>$J$10</formula>
    </cfRule>
  </conditionalFormatting>
  <conditionalFormatting sqref="J584">
    <cfRule type="containsText" dxfId="155" priority="4076" operator="containsText" text="fija">
      <formula>NOT(ISERROR(SEARCH("fija",J584)))</formula>
    </cfRule>
    <cfRule type="containsText" dxfId="154" priority="4077" operator="containsText" text="domo">
      <formula>NOT(ISERROR(SEARCH("domo",J584)))</formula>
    </cfRule>
  </conditionalFormatting>
  <conditionalFormatting sqref="J587:J590">
    <cfRule type="containsText" dxfId="153" priority="3808" operator="containsText" text="fija">
      <formula>NOT(ISERROR(SEARCH("fija",J587)))</formula>
    </cfRule>
    <cfRule type="containsText" dxfId="152" priority="3809" operator="containsText" text="domo">
      <formula>NOT(ISERROR(SEARCH("domo",J587)))</formula>
    </cfRule>
  </conditionalFormatting>
  <conditionalFormatting sqref="J234:K234">
    <cfRule type="containsText" dxfId="151" priority="3367" operator="containsText" text="Radio">
      <formula>NOT(ISERROR(SEARCH("Radio",J234)))</formula>
    </cfRule>
  </conditionalFormatting>
  <conditionalFormatting sqref="J37:L47">
    <cfRule type="containsText" dxfId="150" priority="3337" operator="containsText" text="Radio">
      <formula>NOT(ISERROR(SEARCH("Radio",J37)))</formula>
    </cfRule>
  </conditionalFormatting>
  <conditionalFormatting sqref="J1:N36">
    <cfRule type="containsText" dxfId="149" priority="3402" operator="containsText" text="Radio">
      <formula>NOT(ISERROR(SEARCH("Radio",J1)))</formula>
    </cfRule>
  </conditionalFormatting>
  <conditionalFormatting sqref="J149:N161">
    <cfRule type="containsText" dxfId="148" priority="3340" operator="containsText" text="Radio">
      <formula>NOT(ISERROR(SEARCH("Radio",J149)))</formula>
    </cfRule>
  </conditionalFormatting>
  <conditionalFormatting sqref="J584:N584 K585">
    <cfRule type="containsText" dxfId="147" priority="4333" operator="containsText" text="Radio">
      <formula>NOT(ISERROR(SEARCH("Radio",J584)))</formula>
    </cfRule>
  </conditionalFormatting>
  <conditionalFormatting sqref="K1:K136 K162:K580 K682:K1048576">
    <cfRule type="cellIs" dxfId="146" priority="3406" operator="equal">
      <formula>"GPON"</formula>
    </cfRule>
    <cfRule type="cellIs" dxfId="145" priority="3405" operator="equal">
      <formula>"GPON"</formula>
    </cfRule>
  </conditionalFormatting>
  <conditionalFormatting sqref="K139">
    <cfRule type="cellIs" dxfId="144" priority="3394" operator="equal">
      <formula>"GPON"</formula>
    </cfRule>
    <cfRule type="cellIs" dxfId="143" priority="3397" operator="equal">
      <formula>"PTP A FO"</formula>
    </cfRule>
    <cfRule type="cellIs" dxfId="142" priority="3393" operator="equal">
      <formula>"GPON"</formula>
    </cfRule>
    <cfRule type="cellIs" dxfId="141" priority="3398" operator="equal">
      <formula>"PTP A FO"</formula>
    </cfRule>
    <cfRule type="cellIs" dxfId="140" priority="3396" operator="equal">
      <formula>$K$13</formula>
    </cfRule>
    <cfRule type="containsText" dxfId="139" priority="3395" operator="containsText" text="Radio">
      <formula>NOT(ISERROR(SEARCH("Radio",K139)))</formula>
    </cfRule>
  </conditionalFormatting>
  <conditionalFormatting sqref="K142:K149">
    <cfRule type="cellIs" dxfId="138" priority="3372" operator="equal">
      <formula>"PTP A FO"</formula>
    </cfRule>
    <cfRule type="cellIs" dxfId="137" priority="3371" operator="equal">
      <formula>$K$13</formula>
    </cfRule>
    <cfRule type="containsText" dxfId="136" priority="3370" operator="containsText" text="Radio">
      <formula>NOT(ISERROR(SEARCH("Radio",K142)))</formula>
    </cfRule>
    <cfRule type="cellIs" dxfId="135" priority="3373" operator="equal">
      <formula>"PTP A FO"</formula>
    </cfRule>
  </conditionalFormatting>
  <conditionalFormatting sqref="K142:K161">
    <cfRule type="cellIs" dxfId="134" priority="3339" operator="equal">
      <formula>"GPON"</formula>
    </cfRule>
    <cfRule type="cellIs" dxfId="133" priority="3338" operator="equal">
      <formula>"GPON"</formula>
    </cfRule>
  </conditionalFormatting>
  <conditionalFormatting sqref="K146:K147">
    <cfRule type="containsText" dxfId="132" priority="3333" operator="containsText" text="Radio">
      <formula>NOT(ISERROR(SEARCH("Radio",K146)))</formula>
    </cfRule>
    <cfRule type="cellIs" dxfId="131" priority="3334" operator="equal">
      <formula>$K$13</formula>
    </cfRule>
    <cfRule type="cellIs" dxfId="130" priority="3336" operator="equal">
      <formula>"PTP A FO"</formula>
    </cfRule>
    <cfRule type="cellIs" dxfId="129" priority="3335" operator="equal">
      <formula>"PTP A FO"</formula>
    </cfRule>
  </conditionalFormatting>
  <conditionalFormatting sqref="K234:K236">
    <cfRule type="cellIs" dxfId="128" priority="3384" operator="equal">
      <formula>$K$13</formula>
    </cfRule>
    <cfRule type="cellIs" dxfId="127" priority="3385" operator="equal">
      <formula>"PTP A FO"</formula>
    </cfRule>
    <cfRule type="cellIs" dxfId="126" priority="3386" operator="equal">
      <formula>"PTP A FO"</formula>
    </cfRule>
  </conditionalFormatting>
  <conditionalFormatting sqref="K235:K236">
    <cfRule type="cellIs" dxfId="125" priority="3380" operator="equal">
      <formula>$K$13</formula>
    </cfRule>
    <cfRule type="cellIs" dxfId="124" priority="3381" operator="equal">
      <formula>"PTP A FO"</formula>
    </cfRule>
    <cfRule type="cellIs" dxfId="123" priority="3382" operator="equal">
      <formula>"PTP A FO"</formula>
    </cfRule>
  </conditionalFormatting>
  <conditionalFormatting sqref="K425:K426">
    <cfRule type="cellIs" dxfId="122" priority="3390" operator="equal">
      <formula>$K$13</formula>
    </cfRule>
    <cfRule type="cellIs" dxfId="121" priority="3391" operator="equal">
      <formula>"PTP A FO"</formula>
    </cfRule>
    <cfRule type="containsText" dxfId="120" priority="3389" operator="containsText" text="Radio">
      <formula>NOT(ISERROR(SEARCH("Radio",K425)))</formula>
    </cfRule>
    <cfRule type="cellIs" dxfId="119" priority="3392" operator="equal">
      <formula>"PTP A FO"</formula>
    </cfRule>
  </conditionalFormatting>
  <conditionalFormatting sqref="K571">
    <cfRule type="cellIs" dxfId="118" priority="3456" operator="equal">
      <formula>"PTP A FO"</formula>
    </cfRule>
    <cfRule type="containsText" dxfId="117" priority="3455" operator="containsText" text="Radio">
      <formula>NOT(ISERROR(SEARCH("Radio",K571)))</formula>
    </cfRule>
  </conditionalFormatting>
  <conditionalFormatting sqref="K581:K600">
    <cfRule type="cellIs" dxfId="116" priority="1194" operator="equal">
      <formula>"GPON"</formula>
    </cfRule>
    <cfRule type="cellIs" dxfId="115" priority="1193" operator="equal">
      <formula>"GPON"</formula>
    </cfRule>
  </conditionalFormatting>
  <conditionalFormatting sqref="K1:L134 K135:K136 K162:L233 K237:L424 K425:K426 K427:L570 K584:L584 K585 K586:L600 K682:L1048576">
    <cfRule type="cellIs" dxfId="114" priority="4057" operator="equal">
      <formula>"PTP A FO"</formula>
    </cfRule>
  </conditionalFormatting>
  <conditionalFormatting sqref="K1:L134 K135:K136 K162:L233 K237:L424 K425:K426 K427:L580 K582:L600 K682:L1048576">
    <cfRule type="cellIs" dxfId="113" priority="3862" operator="equal">
      <formula>"PTP A FO"</formula>
    </cfRule>
  </conditionalFormatting>
  <conditionalFormatting sqref="K1:L134 K135:K136 K237:L424 K425:K426 K427:L580 K582:L600 K682:L1048576 K162:L233">
    <cfRule type="cellIs" dxfId="112" priority="3861" operator="equal">
      <formula>$K$13</formula>
    </cfRule>
  </conditionalFormatting>
  <conditionalFormatting sqref="K149:L161">
    <cfRule type="cellIs" dxfId="111" priority="3343" operator="equal">
      <formula>"PTP A FO"</formula>
    </cfRule>
    <cfRule type="cellIs" dxfId="110" priority="3341" operator="equal">
      <formula>$K$13</formula>
    </cfRule>
    <cfRule type="cellIs" dxfId="109" priority="3342" operator="equal">
      <formula>"PTP A FO"</formula>
    </cfRule>
  </conditionalFormatting>
  <conditionalFormatting sqref="K581:L581">
    <cfRule type="cellIs" dxfId="108" priority="1199" operator="equal">
      <formula>"PTP A FO"</formula>
    </cfRule>
    <cfRule type="cellIs" dxfId="107" priority="1198" operator="equal">
      <formula>$K$13</formula>
    </cfRule>
  </conditionalFormatting>
  <conditionalFormatting sqref="L148">
    <cfRule type="cellIs" dxfId="106" priority="3347" operator="equal">
      <formula>$K$13</formula>
    </cfRule>
    <cfRule type="cellIs" dxfId="105" priority="3349" operator="equal">
      <formula>"PTP A FO"</formula>
    </cfRule>
    <cfRule type="cellIs" dxfId="104" priority="3348" operator="equal">
      <formula>"PTP A FO"</formula>
    </cfRule>
  </conditionalFormatting>
  <conditionalFormatting sqref="R7:R398 R400:R600">
    <cfRule type="cellIs" dxfId="103" priority="4292" operator="lessThan">
      <formula>0.8</formula>
    </cfRule>
    <cfRule type="cellIs" dxfId="102" priority="4293" operator="greaterThan">
      <formula>0.8</formula>
    </cfRule>
  </conditionalFormatting>
  <conditionalFormatting sqref="S418:T426">
    <cfRule type="cellIs" dxfId="101" priority="435" operator="equal">
      <formula>"APAGADO"</formula>
    </cfRule>
  </conditionalFormatting>
  <conditionalFormatting sqref="S404:U408">
    <cfRule type="cellIs" dxfId="100" priority="388" operator="equal">
      <formula>"APAGADO"</formula>
    </cfRule>
  </conditionalFormatting>
  <conditionalFormatting sqref="S37:W38">
    <cfRule type="cellIs" dxfId="99" priority="2151" operator="equal">
      <formula>"APAGADO"</formula>
    </cfRule>
  </conditionalFormatting>
  <conditionalFormatting sqref="S427:W427 Y427:AV427">
    <cfRule type="cellIs" dxfId="98" priority="2090" operator="equal">
      <formula>"APAGADO"</formula>
    </cfRule>
  </conditionalFormatting>
  <conditionalFormatting sqref="S121:AA121">
    <cfRule type="cellIs" dxfId="97" priority="2183" operator="equal">
      <formula>"APAGADO"</formula>
    </cfRule>
  </conditionalFormatting>
  <conditionalFormatting sqref="S409:AG409">
    <cfRule type="cellIs" dxfId="96" priority="2131" operator="equal">
      <formula>"APAGADO"</formula>
    </cfRule>
  </conditionalFormatting>
  <conditionalFormatting sqref="S39:AT94">
    <cfRule type="cellIs" dxfId="95" priority="58" operator="equal">
      <formula>"APAGADO"</formula>
    </cfRule>
  </conditionalFormatting>
  <conditionalFormatting sqref="S96:AT120">
    <cfRule type="cellIs" dxfId="94" priority="56" operator="equal">
      <formula>"APAGADO"</formula>
    </cfRule>
  </conditionalFormatting>
  <conditionalFormatting sqref="S330:AT352">
    <cfRule type="cellIs" dxfId="93" priority="37" operator="equal">
      <formula>"APAGADO"</formula>
    </cfRule>
  </conditionalFormatting>
  <conditionalFormatting sqref="S354:AT398">
    <cfRule type="cellIs" dxfId="92" priority="33" operator="equal">
      <formula>"APAGADO"</formula>
    </cfRule>
  </conditionalFormatting>
  <conditionalFormatting sqref="S400:AT403">
    <cfRule type="cellIs" dxfId="91" priority="34" operator="equal">
      <formula>"APAGADO"</formula>
    </cfRule>
  </conditionalFormatting>
  <conditionalFormatting sqref="S8:AV36">
    <cfRule type="cellIs" dxfId="90" priority="2437" operator="equal">
      <formula>"APAGADO"</formula>
    </cfRule>
  </conditionalFormatting>
  <conditionalFormatting sqref="S122:AV233">
    <cfRule type="cellIs" dxfId="89" priority="47" operator="equal">
      <formula>"APAGADO"</formula>
    </cfRule>
  </conditionalFormatting>
  <conditionalFormatting sqref="S237:AV329">
    <cfRule type="cellIs" dxfId="88" priority="1" operator="equal">
      <formula>"APAGADO"</formula>
    </cfRule>
  </conditionalFormatting>
  <conditionalFormatting sqref="S410:AV417">
    <cfRule type="cellIs" dxfId="87" priority="29" operator="equal">
      <formula>"APAGADO"</formula>
    </cfRule>
  </conditionalFormatting>
  <conditionalFormatting sqref="S428:AV600">
    <cfRule type="cellIs" dxfId="86" priority="6" operator="equal">
      <formula>"APAGADO"</formula>
    </cfRule>
  </conditionalFormatting>
  <conditionalFormatting sqref="S682:AV758 AC682:AN1048576">
    <cfRule type="cellIs" dxfId="85" priority="3439" operator="equal">
      <formula>"apagado"</formula>
    </cfRule>
  </conditionalFormatting>
  <conditionalFormatting sqref="S682:AV1048576">
    <cfRule type="containsText" dxfId="84" priority="3989" operator="containsText" text="Caida">
      <formula>NOT(ISERROR(SEARCH("Caida",S682)))</formula>
    </cfRule>
    <cfRule type="notContainsText" dxfId="83" priority="4322" operator="notContains" text="Caida">
      <formula>ISERROR(SEARCH("Caida",S682))</formula>
    </cfRule>
  </conditionalFormatting>
  <conditionalFormatting sqref="U682:U1201">
    <cfRule type="cellIs" dxfId="82" priority="3748" operator="equal">
      <formula>"APAGADO"</formula>
    </cfRule>
    <cfRule type="notContainsText" dxfId="81" priority="3618" operator="notContains" text="Caida">
      <formula>ISERROR(SEARCH("Caida",U682))</formula>
    </cfRule>
    <cfRule type="containsText" dxfId="80" priority="3619" operator="containsText" text="Caida">
      <formula>NOT(ISERROR(SEARCH("Caida",U682)))</formula>
    </cfRule>
    <cfRule type="cellIs" dxfId="79" priority="3620" operator="lessThan">
      <formula>0.8</formula>
    </cfRule>
    <cfRule type="cellIs" dxfId="78" priority="3621" operator="greaterThan">
      <formula>0.8</formula>
    </cfRule>
    <cfRule type="cellIs" dxfId="77" priority="3644" operator="greaterThan">
      <formula>0.8</formula>
    </cfRule>
  </conditionalFormatting>
  <conditionalFormatting sqref="U682:U1048576">
    <cfRule type="cellIs" dxfId="76" priority="3638" operator="equal">
      <formula>$U$16</formula>
    </cfRule>
  </conditionalFormatting>
  <conditionalFormatting sqref="U426:W426">
    <cfRule type="cellIs" dxfId="75" priority="267" operator="equal">
      <formula>"APAGADO"</formula>
    </cfRule>
  </conditionalFormatting>
  <conditionalFormatting sqref="U418:AV424">
    <cfRule type="cellIs" dxfId="74" priority="739" operator="equal">
      <formula>"APAGADO"</formula>
    </cfRule>
  </conditionalFormatting>
  <conditionalFormatting sqref="V235:W235">
    <cfRule type="cellIs" dxfId="73" priority="2163" operator="equal">
      <formula>"APAGADO"</formula>
    </cfRule>
  </conditionalFormatting>
  <conditionalFormatting sqref="V408:AC408">
    <cfRule type="cellIs" dxfId="72" priority="31" operator="equal">
      <formula>"APAGADO"</formula>
    </cfRule>
  </conditionalFormatting>
  <conditionalFormatting sqref="X426:X427">
    <cfRule type="cellIs" dxfId="71" priority="2019" operator="equal">
      <formula>"APAGADO"</formula>
    </cfRule>
  </conditionalFormatting>
  <conditionalFormatting sqref="X407:Z407">
    <cfRule type="cellIs" dxfId="70" priority="1738" operator="equal">
      <formula>"APAGADO"</formula>
    </cfRule>
  </conditionalFormatting>
  <conditionalFormatting sqref="X37:AJ37 S95:AM95 AO95:AT95 AF234:AF236 S353:AH353 AJ353:AT353 AO682:AV1048576">
    <cfRule type="cellIs" dxfId="69" priority="3438" operator="equal">
      <formula>"APAGADO"</formula>
    </cfRule>
  </conditionalFormatting>
  <conditionalFormatting sqref="X38:AK38">
    <cfRule type="cellIs" dxfId="68" priority="3215" operator="equal">
      <formula>"APAGADO"</formula>
    </cfRule>
  </conditionalFormatting>
  <conditionalFormatting sqref="Y426:AG426">
    <cfRule type="cellIs" dxfId="67" priority="28" operator="equal">
      <formula>"APAGADO"</formula>
    </cfRule>
  </conditionalFormatting>
  <conditionalFormatting sqref="Y399:AT399">
    <cfRule type="cellIs" dxfId="66" priority="1739" operator="equal">
      <formula>"APAGADO"</formula>
    </cfRule>
  </conditionalFormatting>
  <conditionalFormatting sqref="AC121:AV121">
    <cfRule type="cellIs" dxfId="65" priority="2351" operator="equal">
      <formula>"APAGADO"</formula>
    </cfRule>
  </conditionalFormatting>
  <conditionalFormatting sqref="AD407:AG408">
    <cfRule type="cellIs" dxfId="64" priority="92" operator="equal">
      <formula>"APAGADO"</formula>
    </cfRule>
  </conditionalFormatting>
  <conditionalFormatting sqref="AH235:AI235">
    <cfRule type="cellIs" dxfId="63" priority="3220" operator="equal">
      <formula>"APAGADO"</formula>
    </cfRule>
  </conditionalFormatting>
  <conditionalFormatting sqref="AH407:AI409">
    <cfRule type="cellIs" dxfId="62" priority="3184" operator="equal">
      <formula>"APAGADO"</formula>
    </cfRule>
  </conditionalFormatting>
  <conditionalFormatting sqref="AJ426:AN426">
    <cfRule type="cellIs" dxfId="61" priority="814" operator="equal">
      <formula>"APAGADO"</formula>
    </cfRule>
  </conditionalFormatting>
  <conditionalFormatting sqref="AJ408:AP408">
    <cfRule type="cellIs" dxfId="60" priority="819" operator="equal">
      <formula>"APAGADO"</formula>
    </cfRule>
  </conditionalFormatting>
  <conditionalFormatting sqref="AJ409:AU409">
    <cfRule type="cellIs" dxfId="59" priority="979" operator="equal">
      <formula>"APAGADO"</formula>
    </cfRule>
  </conditionalFormatting>
  <conditionalFormatting sqref="AL235:AP235">
    <cfRule type="cellIs" dxfId="58" priority="2761" operator="equal">
      <formula>"APAGADO"</formula>
    </cfRule>
  </conditionalFormatting>
  <conditionalFormatting sqref="AL407:AP407">
    <cfRule type="cellIs" dxfId="57" priority="2742" operator="equal">
      <formula>"APAGADO"</formula>
    </cfRule>
  </conditionalFormatting>
  <conditionalFormatting sqref="AL37:AV38">
    <cfRule type="cellIs" dxfId="56" priority="2358" operator="equal">
      <formula>"APAGADO"</formula>
    </cfRule>
  </conditionalFormatting>
  <conditionalFormatting sqref="AR408:AU408">
    <cfRule type="cellIs" dxfId="55" priority="562" operator="equal">
      <formula>"APAGADO"</formula>
    </cfRule>
  </conditionalFormatting>
  <conditionalFormatting sqref="AR426:AU426">
    <cfRule type="cellIs" dxfId="54" priority="553" operator="equal">
      <formula>"APAGADO"</formula>
    </cfRule>
  </conditionalFormatting>
  <conditionalFormatting sqref="AR235:AV235">
    <cfRule type="cellIs" dxfId="53" priority="2332" operator="equal">
      <formula>"APAGADO"</formula>
    </cfRule>
  </conditionalFormatting>
  <conditionalFormatting sqref="AU39:AV120">
    <cfRule type="cellIs" dxfId="52" priority="587" operator="equal">
      <formula>"APAGADO"</formula>
    </cfRule>
  </conditionalFormatting>
  <conditionalFormatting sqref="AU330:AV403">
    <cfRule type="cellIs" dxfId="51" priority="545" operator="equal">
      <formula>"APAGADO"</formula>
    </cfRule>
  </conditionalFormatting>
  <conditionalFormatting sqref="AV407:AV409">
    <cfRule type="cellIs" dxfId="50" priority="2300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 t="str">
        <f>'RESUMEN TOTAL'!AA318</f>
        <v>APAGADO</v>
      </c>
      <c r="O244" s="70" t="str">
        <f>'RESUMEN TOTAL'!AB318</f>
        <v>APAGADO</v>
      </c>
      <c r="P244" s="70" t="str">
        <f>'RESUMEN TOTAL'!AC318</f>
        <v>APAGADO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 t="str">
        <f>'RESUMEN TOTAL'!AA320</f>
        <v>APAGADO</v>
      </c>
      <c r="O246" s="70" t="str">
        <f>'RESUMEN TOTAL'!AB320</f>
        <v>APAGADO</v>
      </c>
      <c r="P246" s="70" t="str">
        <f>'RESUMEN TOTAL'!AC320</f>
        <v>APAGADO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 t="str">
        <f>'RESUMEN TOTAL'!AB323</f>
        <v>APAGADO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 t="str">
        <f>'RESUMEN TOTAL'!AA327</f>
        <v>APAGADO</v>
      </c>
      <c r="O253" s="70" t="str">
        <f>'RESUMEN TOTAL'!AB327</f>
        <v>APAGADO</v>
      </c>
      <c r="P253" s="70" t="str">
        <f>'RESUMEN TOTAL'!AC327</f>
        <v>APAGADO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 t="str">
        <f>'RESUMEN TOTAL'!AA328</f>
        <v>APAGADO</v>
      </c>
      <c r="O254" s="70" t="e">
        <f>'RESUMEN TOTAL'!#REF!</f>
        <v>#REF!</v>
      </c>
      <c r="P254" s="70" t="str">
        <f>'RESUMEN TOTAL'!AC328</f>
        <v>APAGADO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 t="str">
        <f>'RESUMEN TOTAL'!AA329</f>
        <v>APAGADO</v>
      </c>
      <c r="O255" s="70" t="str">
        <f>'RESUMEN TOTAL'!AB328</f>
        <v>APAGADO</v>
      </c>
      <c r="P255" s="70" t="str">
        <f>'RESUMEN TOTAL'!AC329</f>
        <v>APAGADO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 t="str">
        <f>'RESUMEN TOTAL'!AA383</f>
        <v>APAGADO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LA SIRENA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 t="str">
        <f>'RESUMEN TOTAL'!AA393</f>
        <v>APAGADO</v>
      </c>
      <c r="O305" s="70" t="str">
        <f>'RESUMEN TOTAL'!AB393</f>
        <v>APAGADO</v>
      </c>
      <c r="P305" s="70" t="str">
        <f>'RESUMEN TOTAL'!AC393</f>
        <v>APAGADO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 t="str">
        <f>'RESUMEN TOTAL'!AA401</f>
        <v>APAGADO</v>
      </c>
      <c r="O313" s="70" t="str">
        <f>'RESUMEN TOTAL'!AB401</f>
        <v>APAGADO</v>
      </c>
      <c r="P313" s="70" t="str">
        <f>'RESUMEN TOTAL'!AC401</f>
        <v>APAGADO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 t="str">
        <f>'RESUMEN TOTAL'!AA412</f>
        <v>APAGADO</v>
      </c>
      <c r="O319" s="70" t="str">
        <f>'RESUMEN TOTAL'!AB412</f>
        <v>APAGADO</v>
      </c>
      <c r="P319" s="70" t="str">
        <f>'RESUMEN TOTAL'!AC412</f>
        <v>APAGADO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 t="str">
        <f>'RESUMEN TOTAL'!AA414</f>
        <v>APAGADO</v>
      </c>
      <c r="O321" s="70" t="str">
        <f>'RESUMEN TOTAL'!AB414</f>
        <v>APAGADO</v>
      </c>
      <c r="P321" s="70" t="str">
        <f>'RESUMEN TOTAL'!AC414</f>
        <v>APAGADO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 t="str">
        <f>'RESUMEN TOTAL'!AA415</f>
        <v>APAGADO</v>
      </c>
      <c r="O322" s="70" t="str">
        <f>'RESUMEN TOTAL'!AB415</f>
        <v>APAGADO</v>
      </c>
      <c r="P322" s="70" t="str">
        <f>'RESUMEN TOTAL'!AC415</f>
        <v>APAGADO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 t="str">
        <f>'RESUMEN TOTAL'!AA429</f>
        <v>APAGADO</v>
      </c>
      <c r="O329" s="70">
        <f>'RESUMEN TOTAL'!AB429</f>
        <v>0</v>
      </c>
      <c r="P329" s="70" t="str">
        <f>'RESUMEN TOTAL'!AC429</f>
        <v>APAGADO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 t="str">
        <f>'RESUMEN TOTAL'!AA433</f>
        <v>APAGADO</v>
      </c>
      <c r="O333" s="70" t="str">
        <f>'RESUMEN TOTAL'!AB433</f>
        <v>APAGADO</v>
      </c>
      <c r="P333" s="70" t="str">
        <f>'RESUMEN TOTAL'!AC433</f>
        <v>APAGADO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 t="str">
        <f>'RESUMEN TOTAL'!AA443</f>
        <v>APAGADO</v>
      </c>
      <c r="O340" s="70" t="str">
        <f>'RESUMEN TOTAL'!AB443</f>
        <v>APAGADO</v>
      </c>
      <c r="P340" s="70" t="str">
        <f>'RESUMEN TOTAL'!AC443</f>
        <v>APAGADO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 t="str">
        <f>'RESUMEN TOTAL'!AA445</f>
        <v>APAGADO</v>
      </c>
      <c r="O342" s="70" t="str">
        <f>'RESUMEN TOTAL'!AB445</f>
        <v>APAGADO</v>
      </c>
      <c r="P342" s="70" t="str">
        <f>'RESUMEN TOTAL'!AC445</f>
        <v>APAGADO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 t="str">
        <f>'RESUMEN TOTAL'!AA457</f>
        <v>APAGADO</v>
      </c>
      <c r="O354" s="70" t="str">
        <f>'RESUMEN TOTAL'!AB457</f>
        <v>APAGADO</v>
      </c>
      <c r="P354" s="70" t="str">
        <f>'RESUMEN TOTAL'!AC457</f>
        <v>APAGADO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 t="str">
        <f>'RESUMEN TOTAL'!AA470</f>
        <v>APAGADO</v>
      </c>
      <c r="O361" s="70" t="str">
        <f>'RESUMEN TOTAL'!AB470</f>
        <v>APAGADO</v>
      </c>
      <c r="P361" s="70" t="str">
        <f>'RESUMEN TOTAL'!AC470</f>
        <v>APAGADO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 t="str">
        <f>'RESUMEN TOTAL'!AA471</f>
        <v>APAGADO</v>
      </c>
      <c r="O362" s="70" t="str">
        <f>'RESUMEN TOTAL'!AB471</f>
        <v>APAGADO</v>
      </c>
      <c r="P362" s="70" t="str">
        <f>'RESUMEN TOTAL'!AC471</f>
        <v>APAGADO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 t="str">
        <f>'RESUMEN TOTAL'!AA472</f>
        <v>APAGADO</v>
      </c>
      <c r="O363" s="70" t="str">
        <f>'RESUMEN TOTAL'!AB472</f>
        <v>APAGADO</v>
      </c>
      <c r="P363" s="70" t="str">
        <f>'RESUMEN TOTAL'!AC472</f>
        <v>APAGADO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 t="str">
        <f>'RESUMEN TOTAL'!AC475</f>
        <v>APAGADO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 t="str">
        <f>'RESUMEN TOTAL'!AA529</f>
        <v>APAGADO</v>
      </c>
      <c r="O411" s="70" t="str">
        <f>'RESUMEN TOTAL'!AB529</f>
        <v>APAGADO</v>
      </c>
      <c r="P411" s="70" t="str">
        <f>'RESUMEN TOTAL'!AC529</f>
        <v>APAGADO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 t="str">
        <f>'RESUMEN TOTAL'!AA532</f>
        <v>APAGADO</v>
      </c>
      <c r="O414" s="70" t="str">
        <f>'RESUMEN TOTAL'!AB532</f>
        <v>APAGADO</v>
      </c>
      <c r="P414" s="70" t="str">
        <f>'RESUMEN TOTAL'!AC532</f>
        <v>APAGADO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 t="str">
        <f>'RESUMEN TOTAL'!AA533</f>
        <v>APAGADO</v>
      </c>
      <c r="O415" s="70" t="str">
        <f>'RESUMEN TOTAL'!AB533</f>
        <v>APAGADO</v>
      </c>
      <c r="P415" s="70" t="str">
        <f>'RESUMEN TOTAL'!AC533</f>
        <v>APAGADO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 t="str">
        <f>'RESUMEN TOTAL'!AC550</f>
        <v>APAGADO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 t="str">
        <f>'RESUMEN TOTAL'!AA552</f>
        <v>APAGADO</v>
      </c>
      <c r="O428" s="70" t="str">
        <f>'RESUMEN TOTAL'!AB552</f>
        <v>APAGADO</v>
      </c>
      <c r="P428" s="70" t="str">
        <f>'RESUMEN TOTAL'!AC552</f>
        <v>APAGADO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 t="str">
        <f>'RESUMEN TOTAL'!AA554</f>
        <v>APAGADO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 t="str">
        <f>'RESUMEN TOTAL'!AA564</f>
        <v>APAGADO</v>
      </c>
      <c r="O436" s="70" t="str">
        <f>'RESUMEN TOTAL'!AB564</f>
        <v>APAGADO</v>
      </c>
      <c r="P436" s="70" t="str">
        <f>'RESUMEN TOTAL'!AC564</f>
        <v>APAGADO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 t="str">
        <f>'RESUMEN TOTAL'!AA567</f>
        <v>APAGADO</v>
      </c>
      <c r="O438" s="70" t="str">
        <f>'RESUMEN TOTAL'!AB567</f>
        <v>APAGADO</v>
      </c>
      <c r="P438" s="70" t="str">
        <f>'RESUMEN TOTAL'!AC567</f>
        <v>APAGADO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 t="str">
        <f>'RESUMEN TOTAL'!AA569</f>
        <v>APAGADO</v>
      </c>
      <c r="O440" s="70" t="str">
        <f>'RESUMEN TOTAL'!AB569</f>
        <v>APAGADO</v>
      </c>
      <c r="P440" s="70" t="str">
        <f>'RESUMEN TOTAL'!AC569</f>
        <v>APAGADO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 t="str">
        <f>'RESUMEN TOTAL'!AA576</f>
        <v>APAGADO</v>
      </c>
      <c r="O446" s="70" t="str">
        <f>'RESUMEN TOTAL'!AB576</f>
        <v>APAGADO</v>
      </c>
      <c r="P446" s="70" t="str">
        <f>'RESUMEN TOTAL'!AC576</f>
        <v>APAGADO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 t="str">
        <f>'RESUMEN TOTAL'!AA589</f>
        <v>APAGADO</v>
      </c>
      <c r="O456" s="70" t="str">
        <f>'RESUMEN TOTAL'!AB589</f>
        <v>APAGADO</v>
      </c>
      <c r="P456" s="70" t="str">
        <f>'RESUMEN TOTAL'!AC589</f>
        <v>APAGADO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1" zoomScaleNormal="100" workbookViewId="0">
      <selection activeCell="D121" sqref="D1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37</v>
      </c>
      <c r="E50" s="55">
        <f>D50/C46</f>
        <v>6.25E-2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0.10472972972972973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9.1216216216216214E-2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7.4324324324324328E-2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6.5878378378378372E-2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v>43</v>
      </c>
      <c r="E98" s="111">
        <f>D98/C98</f>
        <v>0.15140845070422534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0.14864864864864866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0.14358108108108109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0.1266891891891892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0.11824324324324324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43</v>
      </c>
      <c r="E109" s="111">
        <f>D109/C109</f>
        <v>0.15140845070422534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0.10472972972972973</v>
      </c>
      <c r="F113" s="160"/>
    </row>
    <row r="114" spans="2:6" x14ac:dyDescent="0.25">
      <c r="B114" s="53" t="s">
        <v>1220</v>
      </c>
      <c r="C114" s="67">
        <v>8</v>
      </c>
      <c r="D114" s="100">
        <f>C113-C114</f>
        <v>54</v>
      </c>
      <c r="E114" s="55">
        <f>D114/C112</f>
        <v>9.1216216216216214E-2</v>
      </c>
      <c r="F114" s="160"/>
    </row>
    <row r="115" spans="2:6" x14ac:dyDescent="0.25">
      <c r="B115" s="53" t="s">
        <v>1221</v>
      </c>
      <c r="C115" s="67">
        <v>9</v>
      </c>
      <c r="D115" s="100">
        <f>D114-C115</f>
        <v>45</v>
      </c>
      <c r="E115" s="55">
        <f>D115/C112</f>
        <v>7.6013513513513514E-2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6.7567567567567571E-2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43</v>
      </c>
      <c r="E120" s="111">
        <f>D120/C120</f>
        <v>0.15140845070422534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2026-06-11T19:18:11Z</dcterms:modified>
</cp:coreProperties>
</file>