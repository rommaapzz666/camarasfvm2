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C064D178-4156-48B9-A4D3-A70F2F46534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5" l="1"/>
  <c r="G6" i="25" s="1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AB6" i="25" l="1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<sst xmlns="http://schemas.openxmlformats.org/spreadsheetml/2006/main" count="4975" uniqueCount="2136">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</sst>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="55" zoomScaleNormal="55" workbookViewId="0">
      <pane xSplit="12" ySplit="7" topLeftCell="O283" activePane="bottomRight" state="frozen"/>
      <selection pane="topRight" activeCell="M1" sqref="M1"/>
      <selection pane="bottomLeft" activeCell="A5" sqref="A5"/>
      <selection pane="bottomRight" activeCell="P301" sqref="P30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7.979626485568761E-2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26</v>
      </c>
      <c r="Q4" s="10">
        <f>COUNTIFS(Q8:Q657, "=APAGADO",F8:F657,"=Fibra Optica")</f>
        <v>0</v>
      </c>
      <c r="R4" s="10">
        <f>COUNTIFS(R8:R657, "=APAGADO",F8:F657,"=Fibra Optica")</f>
        <v>0</v>
      </c>
      <c r="S4" s="10">
        <f>COUNTIFS(S8:S657, "=APAGADO",F8:F657,"=Fibra Optica")</f>
        <v>0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10</v>
      </c>
      <c r="Q5" s="130">
        <f>COUNTIFS(Q8:Q657, "=APAGADO",F8:F657,"=RADIO")</f>
        <v>0</v>
      </c>
      <c r="R5" s="130">
        <f>COUNTIFS(R8:R657, "=APAGADO",F8:F657,"=RADIO")</f>
        <v>0</v>
      </c>
      <c r="S5" s="130">
        <f>COUNTIFS(S8:S657, "=APAGADO",F8:F657,"=RADIO")</f>
        <v>0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3</v>
      </c>
      <c r="Q6" s="10">
        <f>COUNTIFS(Q8:Q657, "=APAGADO",F8:F657,"=PTO A FO")</f>
        <v>0</v>
      </c>
      <c r="R6" s="10">
        <f>COUNTIFS(R8:R657, "=APAGADO",F8:F657,"=PTO A FO")</f>
        <v>0</v>
      </c>
      <c r="S6" s="10">
        <f>COUNTIFS(S8:S657, "=APAGADO",F8:F657,"=PTO A FO")</f>
        <v>0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25</v>
      </c>
      <c r="J19" s="148" t="s">
        <v>1685</v>
      </c>
      <c r="K19" s="31">
        <f t="shared" si="6"/>
        <v>3</v>
      </c>
      <c r="L19" s="32">
        <f t="shared" si="7"/>
        <v>0.8928571428571429</v>
      </c>
      <c r="M19" s="70"/>
      <c r="N19" s="70" t="s">
        <v>2130</v>
      </c>
      <c r="O19" s="70" t="s">
        <v>2130</v>
      </c>
      <c r="P19" s="70" t="s">
        <v>2130</v>
      </c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 t="s">
        <v>2130</v>
      </c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25</v>
      </c>
      <c r="J34" s="148" t="s">
        <v>1697</v>
      </c>
      <c r="K34" s="134">
        <f t="shared" si="6"/>
        <v>3</v>
      </c>
      <c r="L34" s="135">
        <f t="shared" si="7"/>
        <v>0.8928571428571429</v>
      </c>
      <c r="M34" s="136" t="s">
        <v>2130</v>
      </c>
      <c r="N34" s="136"/>
      <c r="O34" s="136" t="s">
        <v>2130</v>
      </c>
      <c r="P34" s="136" t="s">
        <v>2130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24</v>
      </c>
      <c r="J35" s="87"/>
      <c r="K35" s="143">
        <f t="shared" si="6"/>
        <v>4</v>
      </c>
      <c r="L35" s="144">
        <f t="shared" si="7"/>
        <v>0.8571428571428571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28</v>
      </c>
      <c r="J62" s="148" t="s">
        <v>1718</v>
      </c>
      <c r="K62" s="143">
        <f t="shared" si="6"/>
        <v>0</v>
      </c>
      <c r="L62" s="144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28</v>
      </c>
      <c r="J93" s="148" t="s">
        <v>1748</v>
      </c>
      <c r="K93" s="143">
        <f t="shared" si="9"/>
        <v>0</v>
      </c>
      <c r="L93" s="144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28</v>
      </c>
      <c r="J101" s="148" t="s">
        <v>1756</v>
      </c>
      <c r="K101" s="143">
        <f t="shared" si="9"/>
        <v>0</v>
      </c>
      <c r="L101" s="144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28</v>
      </c>
      <c r="J115" s="148" t="s">
        <v>1769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26</v>
      </c>
      <c r="J117" s="148" t="s">
        <v>1771</v>
      </c>
      <c r="K117" s="143">
        <f t="shared" si="9"/>
        <v>2</v>
      </c>
      <c r="L117" s="144">
        <f t="shared" si="10"/>
        <v>0.9285714285714286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8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28</v>
      </c>
      <c r="J140" s="87"/>
      <c r="K140" s="31">
        <f t="shared" si="9"/>
        <v>0</v>
      </c>
      <c r="L140" s="3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28</v>
      </c>
      <c r="J142" s="148" t="s">
        <v>1794</v>
      </c>
      <c r="K142" s="31">
        <f t="shared" si="9"/>
        <v>0</v>
      </c>
      <c r="L142" s="3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24</v>
      </c>
      <c r="J147" s="87"/>
      <c r="K147" s="141">
        <f t="shared" si="9"/>
        <v>4</v>
      </c>
      <c r="L147" s="142">
        <f t="shared" si="10"/>
        <v>0.8571428571428571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24</v>
      </c>
      <c r="J150" s="87"/>
      <c r="K150" s="31">
        <f t="shared" si="9"/>
        <v>4</v>
      </c>
      <c r="L150" s="32">
        <f t="shared" si="10"/>
        <v>0.8571428571428571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24</v>
      </c>
      <c r="J151" s="87"/>
      <c r="K151" s="31">
        <f t="shared" si="9"/>
        <v>4</v>
      </c>
      <c r="L151" s="32">
        <f t="shared" si="10"/>
        <v>0.8571428571428571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24</v>
      </c>
      <c r="J157" s="148" t="s">
        <v>1805</v>
      </c>
      <c r="K157" s="31">
        <f t="shared" si="12"/>
        <v>4</v>
      </c>
      <c r="L157" s="32">
        <f t="shared" si="13"/>
        <v>0.8571428571428571</v>
      </c>
      <c r="M157" s="70" t="s">
        <v>2130</v>
      </c>
      <c r="N157" s="70" t="s">
        <v>2130</v>
      </c>
      <c r="O157" s="70" t="s">
        <v>2130</v>
      </c>
      <c r="P157" s="70" t="s">
        <v>2130</v>
      </c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24</v>
      </c>
      <c r="J158" s="148" t="s">
        <v>1806</v>
      </c>
      <c r="K158" s="31">
        <f t="shared" si="12"/>
        <v>4</v>
      </c>
      <c r="L158" s="32">
        <f t="shared" si="13"/>
        <v>0.8571428571428571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28</v>
      </c>
      <c r="J159" s="148" t="s">
        <v>1807</v>
      </c>
      <c r="K159" s="31">
        <f t="shared" si="12"/>
        <v>0</v>
      </c>
      <c r="L159" s="32">
        <f t="shared" si="13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24</v>
      </c>
      <c r="J160" s="148" t="s">
        <v>1808</v>
      </c>
      <c r="K160" s="31">
        <f t="shared" si="12"/>
        <v>4</v>
      </c>
      <c r="L160" s="32">
        <f t="shared" si="13"/>
        <v>0.8571428571428571</v>
      </c>
      <c r="M160" s="70" t="s">
        <v>2130</v>
      </c>
      <c r="N160" s="70" t="s">
        <v>2130</v>
      </c>
      <c r="O160" s="70" t="s">
        <v>2130</v>
      </c>
      <c r="P160" s="70" t="s">
        <v>2130</v>
      </c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28</v>
      </c>
      <c r="J161" s="148" t="s">
        <v>1809</v>
      </c>
      <c r="K161" s="31">
        <f t="shared" si="12"/>
        <v>0</v>
      </c>
      <c r="L161" s="32">
        <f t="shared" si="13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1"/>
        <v>28</v>
      </c>
      <c r="J162" s="148" t="s">
        <v>1810</v>
      </c>
      <c r="K162" s="31">
        <f t="shared" si="12"/>
        <v>0</v>
      </c>
      <c r="L162" s="32">
        <f t="shared" si="13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24</v>
      </c>
      <c r="J177" s="148" t="s">
        <v>1824</v>
      </c>
      <c r="K177" s="31">
        <f t="shared" si="12"/>
        <v>4</v>
      </c>
      <c r="L177" s="32">
        <f t="shared" si="13"/>
        <v>0.8571428571428571</v>
      </c>
      <c r="M177" s="70" t="s">
        <v>2130</v>
      </c>
      <c r="N177" s="70" t="s">
        <v>2130</v>
      </c>
      <c r="O177" s="70" t="s">
        <v>2130</v>
      </c>
      <c r="P177" s="70" t="s">
        <v>2130</v>
      </c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24</v>
      </c>
      <c r="J178" s="148" t="s">
        <v>1825</v>
      </c>
      <c r="K178" s="31">
        <f t="shared" si="12"/>
        <v>4</v>
      </c>
      <c r="L178" s="32">
        <f t="shared" si="13"/>
        <v>0.8571428571428571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26</v>
      </c>
      <c r="J182" s="148" t="s">
        <v>1828</v>
      </c>
      <c r="K182" s="31">
        <f t="shared" si="12"/>
        <v>2</v>
      </c>
      <c r="L182" s="32">
        <f t="shared" si="13"/>
        <v>0.9285714285714286</v>
      </c>
      <c r="M182" s="70"/>
      <c r="N182" s="70" t="s">
        <v>2130</v>
      </c>
      <c r="O182" s="70" t="s">
        <v>2130</v>
      </c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26</v>
      </c>
      <c r="J183" s="148" t="s">
        <v>1829</v>
      </c>
      <c r="K183" s="31">
        <f t="shared" si="12"/>
        <v>2</v>
      </c>
      <c r="L183" s="32">
        <f t="shared" si="13"/>
        <v>0.9285714285714286</v>
      </c>
      <c r="M183" s="70"/>
      <c r="N183" s="70" t="s">
        <v>2130</v>
      </c>
      <c r="O183" s="70" t="s">
        <v>2130</v>
      </c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24</v>
      </c>
      <c r="J184" s="87"/>
      <c r="K184" s="138">
        <f t="shared" si="12"/>
        <v>4</v>
      </c>
      <c r="L184" s="139">
        <f t="shared" si="13"/>
        <v>0.8571428571428571</v>
      </c>
      <c r="M184" s="140" t="s">
        <v>2130</v>
      </c>
      <c r="N184" s="140" t="s">
        <v>2130</v>
      </c>
      <c r="O184" s="140" t="s">
        <v>2130</v>
      </c>
      <c r="P184" s="140" t="s">
        <v>2130</v>
      </c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28</v>
      </c>
      <c r="J189" s="148" t="s">
        <v>1834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24</v>
      </c>
      <c r="J190" s="87"/>
      <c r="K190" s="31">
        <f t="shared" si="12"/>
        <v>4</v>
      </c>
      <c r="L190" s="32">
        <f t="shared" si="13"/>
        <v>0.8571428571428571</v>
      </c>
      <c r="M190" s="70" t="s">
        <v>2130</v>
      </c>
      <c r="N190" s="70" t="s">
        <v>2130</v>
      </c>
      <c r="O190" s="70" t="s">
        <v>2130</v>
      </c>
      <c r="P190" s="70" t="s">
        <v>2130</v>
      </c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24</v>
      </c>
      <c r="J192" s="148" t="s">
        <v>1836</v>
      </c>
      <c r="K192" s="31">
        <f t="shared" si="12"/>
        <v>4</v>
      </c>
      <c r="L192" s="32">
        <f t="shared" si="13"/>
        <v>0.8571428571428571</v>
      </c>
      <c r="M192" s="70" t="s">
        <v>2130</v>
      </c>
      <c r="N192" s="70" t="s">
        <v>2130</v>
      </c>
      <c r="O192" s="70" t="s">
        <v>2130</v>
      </c>
      <c r="P192" s="70" t="s">
        <v>2130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25</v>
      </c>
      <c r="J202" s="148" t="s">
        <v>1845</v>
      </c>
      <c r="K202" s="143">
        <f t="shared" si="12"/>
        <v>3</v>
      </c>
      <c r="L202" s="144">
        <f t="shared" si="13"/>
        <v>0.8928571428571429</v>
      </c>
      <c r="M202" s="70"/>
      <c r="N202" s="70" t="s">
        <v>2130</v>
      </c>
      <c r="O202" s="70" t="s">
        <v>2130</v>
      </c>
      <c r="P202" s="70" t="s">
        <v>2130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28</v>
      </c>
      <c r="J204" s="148" t="s">
        <v>1847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26</v>
      </c>
      <c r="J208" s="87"/>
      <c r="K208" s="31">
        <f t="shared" si="12"/>
        <v>2</v>
      </c>
      <c r="L208" s="32">
        <f t="shared" si="13"/>
        <v>0.9285714285714286</v>
      </c>
      <c r="M208" s="70" t="s">
        <v>2130</v>
      </c>
      <c r="N208" s="70"/>
      <c r="O208" s="70"/>
      <c r="P208" s="70" t="s">
        <v>2130</v>
      </c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26</v>
      </c>
      <c r="J209" s="87"/>
      <c r="K209" s="31">
        <f t="shared" si="12"/>
        <v>2</v>
      </c>
      <c r="L209" s="32">
        <f t="shared" si="13"/>
        <v>0.9285714285714286</v>
      </c>
      <c r="M209" s="70" t="s">
        <v>2130</v>
      </c>
      <c r="N209" s="70"/>
      <c r="O209" s="70"/>
      <c r="P209" s="70" t="s">
        <v>2130</v>
      </c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24</v>
      </c>
      <c r="J235" s="87"/>
      <c r="K235" s="31">
        <f t="shared" si="15"/>
        <v>4</v>
      </c>
      <c r="L235" s="32">
        <f t="shared" si="16"/>
        <v>0.8571428571428571</v>
      </c>
      <c r="M235" s="70" t="s">
        <v>2130</v>
      </c>
      <c r="N235" s="70" t="s">
        <v>2130</v>
      </c>
      <c r="O235" s="70" t="s">
        <v>2130</v>
      </c>
      <c r="P235" s="70" t="s">
        <v>2130</v>
      </c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28</v>
      </c>
      <c r="J237" s="148" t="s">
        <v>1875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28</v>
      </c>
      <c r="J238" s="87"/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24</v>
      </c>
      <c r="J263" s="148" t="s">
        <v>1898</v>
      </c>
      <c r="K263" s="31">
        <f t="shared" si="15"/>
        <v>4</v>
      </c>
      <c r="L263" s="32">
        <f t="shared" si="16"/>
        <v>0.8571428571428571</v>
      </c>
      <c r="M263" s="70" t="s">
        <v>2130</v>
      </c>
      <c r="N263" s="70" t="s">
        <v>2130</v>
      </c>
      <c r="O263" s="70" t="s">
        <v>2130</v>
      </c>
      <c r="P263" s="70" t="s">
        <v>2130</v>
      </c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24</v>
      </c>
      <c r="J264" s="148" t="s">
        <v>1899</v>
      </c>
      <c r="K264" s="143">
        <f t="shared" si="15"/>
        <v>4</v>
      </c>
      <c r="L264" s="144">
        <f t="shared" si="16"/>
        <v>0.8571428571428571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28</v>
      </c>
      <c r="J267" s="148" t="s">
        <v>1901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28</v>
      </c>
      <c r="J268" s="148" t="s">
        <v>1902</v>
      </c>
      <c r="K268" s="143">
        <f t="shared" si="15"/>
        <v>0</v>
      </c>
      <c r="L268" s="144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28</v>
      </c>
      <c r="J270" s="148" t="s">
        <v>1904</v>
      </c>
      <c r="K270" s="143">
        <f t="shared" si="15"/>
        <v>0</v>
      </c>
      <c r="L270" s="144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27</v>
      </c>
      <c r="J281" s="148" t="s">
        <v>1914</v>
      </c>
      <c r="K281" s="31">
        <f t="shared" si="15"/>
        <v>1</v>
      </c>
      <c r="L281" s="32">
        <f t="shared" si="16"/>
        <v>0.9642857142857143</v>
      </c>
      <c r="M281" s="70"/>
      <c r="N281" s="70"/>
      <c r="O281" s="70"/>
      <c r="P281" s="70" t="s">
        <v>2130</v>
      </c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24</v>
      </c>
      <c r="J282" s="148" t="s">
        <v>1915</v>
      </c>
      <c r="K282" s="31">
        <f t="shared" si="15"/>
        <v>4</v>
      </c>
      <c r="L282" s="32">
        <f t="shared" si="16"/>
        <v>0.8571428571428571</v>
      </c>
      <c r="M282" s="70" t="s">
        <v>2130</v>
      </c>
      <c r="N282" s="70" t="s">
        <v>2130</v>
      </c>
      <c r="O282" s="70" t="s">
        <v>2130</v>
      </c>
      <c r="P282" s="70" t="s">
        <v>2130</v>
      </c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24</v>
      </c>
      <c r="J283" s="148" t="s">
        <v>1916</v>
      </c>
      <c r="K283" s="31">
        <f t="shared" si="15"/>
        <v>4</v>
      </c>
      <c r="L283" s="32">
        <f t="shared" si="16"/>
        <v>0.8571428571428571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27</v>
      </c>
      <c r="J284" s="148" t="s">
        <v>1917</v>
      </c>
      <c r="K284" s="31">
        <f t="shared" si="15"/>
        <v>1</v>
      </c>
      <c r="L284" s="32">
        <f t="shared" si="16"/>
        <v>0.9642857142857143</v>
      </c>
      <c r="M284" s="70"/>
      <c r="N284" s="70"/>
      <c r="O284" s="70"/>
      <c r="P284" s="70" t="s">
        <v>2130</v>
      </c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27</v>
      </c>
      <c r="J285" s="148" t="s">
        <v>1918</v>
      </c>
      <c r="K285" s="31">
        <f t="shared" si="15"/>
        <v>1</v>
      </c>
      <c r="L285" s="32">
        <f t="shared" si="16"/>
        <v>0.9642857142857143</v>
      </c>
      <c r="M285" s="70"/>
      <c r="N285" s="70"/>
      <c r="O285" s="70"/>
      <c r="P285" s="70" t="s">
        <v>2130</v>
      </c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27</v>
      </c>
      <c r="J286" s="148" t="s">
        <v>1919</v>
      </c>
      <c r="K286" s="31">
        <f t="shared" si="15"/>
        <v>1</v>
      </c>
      <c r="L286" s="32">
        <f t="shared" si="16"/>
        <v>0.9642857142857143</v>
      </c>
      <c r="M286" s="70"/>
      <c r="N286" s="70"/>
      <c r="O286" s="70"/>
      <c r="P286" s="70" t="s">
        <v>2130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24</v>
      </c>
      <c r="J294" s="148" t="s">
        <v>1926</v>
      </c>
      <c r="K294" s="143">
        <f t="shared" si="15"/>
        <v>4</v>
      </c>
      <c r="L294" s="144">
        <f t="shared" si="16"/>
        <v>0.8571428571428571</v>
      </c>
      <c r="M294" s="70" t="s">
        <v>2130</v>
      </c>
      <c r="N294" s="70" t="s">
        <v>2130</v>
      </c>
      <c r="O294" s="70" t="s">
        <v>2130</v>
      </c>
      <c r="P294" s="70" t="s">
        <v>2130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24</v>
      </c>
      <c r="J296" s="148" t="s">
        <v>1928</v>
      </c>
      <c r="K296" s="31">
        <f t="shared" ref="K296:K363" si="18">COUNTIF(M296:AN296,"APAGADO")</f>
        <v>4</v>
      </c>
      <c r="L296" s="32">
        <f t="shared" ref="L296:L363" si="19">(I296)/(K296+I296)</f>
        <v>0.8571428571428571</v>
      </c>
      <c r="M296" s="70" t="s">
        <v>2130</v>
      </c>
      <c r="N296" s="70" t="s">
        <v>2130</v>
      </c>
      <c r="O296" s="70" t="s">
        <v>2130</v>
      </c>
      <c r="P296" s="70" t="s">
        <v>2130</v>
      </c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26</v>
      </c>
      <c r="J300" s="148" t="s">
        <v>1931</v>
      </c>
      <c r="K300" s="31">
        <f t="shared" si="18"/>
        <v>2</v>
      </c>
      <c r="L300" s="32">
        <f t="shared" si="19"/>
        <v>0.9285714285714286</v>
      </c>
      <c r="M300" s="70"/>
      <c r="N300" s="70" t="s">
        <v>2130</v>
      </c>
      <c r="O300" s="70"/>
      <c r="P300" s="70" t="s">
        <v>2130</v>
      </c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28</v>
      </c>
      <c r="J314" s="148" t="s">
        <v>1945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28</v>
      </c>
      <c r="J329" s="87"/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28</v>
      </c>
      <c r="J330" s="87"/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27</v>
      </c>
      <c r="J338" s="148" t="s">
        <v>1965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 t="s">
        <v>2130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28</v>
      </c>
      <c r="J357" s="148" t="s">
        <v>1981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24</v>
      </c>
      <c r="J358" s="73"/>
      <c r="K358" s="31">
        <f t="shared" si="18"/>
        <v>4</v>
      </c>
      <c r="L358" s="32">
        <f t="shared" si="19"/>
        <v>0.8571428571428571</v>
      </c>
      <c r="M358" s="70" t="s">
        <v>2130</v>
      </c>
      <c r="N358" s="70" t="s">
        <v>2130</v>
      </c>
      <c r="O358" s="70" t="s">
        <v>2130</v>
      </c>
      <c r="P358" s="70" t="s">
        <v>2130</v>
      </c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26</v>
      </c>
      <c r="J377" s="87"/>
      <c r="K377" s="31">
        <f t="shared" si="21"/>
        <v>2</v>
      </c>
      <c r="L377" s="32">
        <f t="shared" si="22"/>
        <v>0.9285714285714286</v>
      </c>
      <c r="M377" s="70" t="s">
        <v>2130</v>
      </c>
      <c r="N377" s="70"/>
      <c r="O377" s="70"/>
      <c r="P377" s="70" t="s">
        <v>2130</v>
      </c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24</v>
      </c>
      <c r="J383" s="148" t="s">
        <v>2001</v>
      </c>
      <c r="K383" s="31">
        <f t="shared" si="21"/>
        <v>4</v>
      </c>
      <c r="L383" s="32">
        <f t="shared" si="22"/>
        <v>0.8571428571428571</v>
      </c>
      <c r="M383" s="70" t="s">
        <v>2130</v>
      </c>
      <c r="N383" s="70" t="s">
        <v>2130</v>
      </c>
      <c r="O383" s="70" t="s">
        <v>2130</v>
      </c>
      <c r="P383" s="70" t="s">
        <v>2130</v>
      </c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24</v>
      </c>
      <c r="J384" s="148" t="s">
        <v>2002</v>
      </c>
      <c r="K384" s="31">
        <f t="shared" si="21"/>
        <v>4</v>
      </c>
      <c r="L384" s="32">
        <f t="shared" si="22"/>
        <v>0.8571428571428571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24</v>
      </c>
      <c r="J390" s="87"/>
      <c r="K390" s="31">
        <f t="shared" si="21"/>
        <v>4</v>
      </c>
      <c r="L390" s="32">
        <f t="shared" si="22"/>
        <v>0.8571428571428571</v>
      </c>
      <c r="M390" s="70" t="s">
        <v>2130</v>
      </c>
      <c r="N390" s="70" t="s">
        <v>2130</v>
      </c>
      <c r="O390" s="70" t="s">
        <v>2130</v>
      </c>
      <c r="P390" s="70" t="s">
        <v>2130</v>
      </c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24</v>
      </c>
      <c r="J395" s="87"/>
      <c r="K395" s="31">
        <f t="shared" si="21"/>
        <v>4</v>
      </c>
      <c r="L395" s="32">
        <f t="shared" si="22"/>
        <v>0.8571428571428571</v>
      </c>
      <c r="M395" s="70" t="s">
        <v>2130</v>
      </c>
      <c r="N395" s="70" t="s">
        <v>2130</v>
      </c>
      <c r="O395" s="70" t="s">
        <v>2130</v>
      </c>
      <c r="P395" s="70" t="s">
        <v>2130</v>
      </c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28</v>
      </c>
      <c r="J404" s="148" t="s">
        <v>2016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28</v>
      </c>
      <c r="J405" s="148" t="s">
        <v>2017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28</v>
      </c>
      <c r="J406" s="148" t="s">
        <v>2018</v>
      </c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28</v>
      </c>
      <c r="J407" s="148" t="s">
        <v>2019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24</v>
      </c>
      <c r="J416" s="87"/>
      <c r="K416" s="31">
        <f t="shared" si="21"/>
        <v>4</v>
      </c>
      <c r="L416" s="32">
        <f t="shared" si="22"/>
        <v>0.8571428571428571</v>
      </c>
      <c r="M416" s="70" t="s">
        <v>2130</v>
      </c>
      <c r="N416" s="70" t="s">
        <v>2130</v>
      </c>
      <c r="O416" s="70" t="s">
        <v>2130</v>
      </c>
      <c r="P416" s="70" t="s">
        <v>2130</v>
      </c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26</v>
      </c>
      <c r="J421" s="148" t="s">
        <v>2028</v>
      </c>
      <c r="K421" s="31">
        <f t="shared" si="21"/>
        <v>2</v>
      </c>
      <c r="L421" s="32">
        <f t="shared" si="22"/>
        <v>0.9285714285714286</v>
      </c>
      <c r="M421" s="70"/>
      <c r="N421" s="70" t="s">
        <v>2130</v>
      </c>
      <c r="O421" s="70" t="s">
        <v>2130</v>
      </c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24</v>
      </c>
      <c r="J428" s="148" t="s">
        <v>2035</v>
      </c>
      <c r="K428" s="31">
        <f t="shared" si="21"/>
        <v>4</v>
      </c>
      <c r="L428" s="32">
        <f t="shared" si="22"/>
        <v>0.8571428571428571</v>
      </c>
      <c r="M428" s="70" t="s">
        <v>2130</v>
      </c>
      <c r="N428" s="70" t="s">
        <v>2130</v>
      </c>
      <c r="O428" s="70" t="s">
        <v>2130</v>
      </c>
      <c r="P428" s="70" t="s">
        <v>2130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24</v>
      </c>
      <c r="J436" s="87"/>
      <c r="K436" s="143">
        <f t="shared" si="21"/>
        <v>4</v>
      </c>
      <c r="L436" s="144">
        <f t="shared" si="22"/>
        <v>0.8571428571428571</v>
      </c>
      <c r="M436" s="70" t="s">
        <v>2130</v>
      </c>
      <c r="N436" s="70" t="s">
        <v>2130</v>
      </c>
      <c r="O436" s="70" t="s">
        <v>2130</v>
      </c>
      <c r="P436" s="70" t="s">
        <v>2130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28</v>
      </c>
      <c r="J437" s="148" t="s">
        <v>2038</v>
      </c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28</v>
      </c>
      <c r="J438" s="148" t="s">
        <v>2039</v>
      </c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28</v>
      </c>
      <c r="J481" s="148" t="s">
        <v>2073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28</v>
      </c>
      <c r="J516" s="148" t="s">
        <v>2106</v>
      </c>
      <c r="K516" s="143">
        <f t="shared" si="27"/>
        <v>0</v>
      </c>
      <c r="L516" s="144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24</v>
      </c>
      <c r="J521" s="87"/>
      <c r="K521" s="31">
        <f t="shared" si="27"/>
        <v>4</v>
      </c>
      <c r="L521" s="32">
        <f t="shared" si="28"/>
        <v>0.8571428571428571</v>
      </c>
      <c r="M521" s="70" t="s">
        <v>2130</v>
      </c>
      <c r="N521" s="70" t="s">
        <v>2130</v>
      </c>
      <c r="O521" s="70" t="s">
        <v>2130</v>
      </c>
      <c r="P521" s="70" t="s">
        <v>2130</v>
      </c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24</v>
      </c>
      <c r="J523" s="87"/>
      <c r="K523" s="31">
        <f t="shared" si="27"/>
        <v>4</v>
      </c>
      <c r="L523" s="32">
        <f t="shared" si="28"/>
        <v>0.8571428571428571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24</v>
      </c>
      <c r="J530" s="148" t="s">
        <v>2115</v>
      </c>
      <c r="K530" s="31">
        <f t="shared" si="27"/>
        <v>4</v>
      </c>
      <c r="L530" s="32">
        <f t="shared" si="28"/>
        <v>0.8571428571428571</v>
      </c>
      <c r="M530" s="70" t="s">
        <v>2130</v>
      </c>
      <c r="N530" s="70" t="s">
        <v>2130</v>
      </c>
      <c r="O530" s="70" t="s">
        <v>2130</v>
      </c>
      <c r="P530" s="70" t="s">
        <v>2130</v>
      </c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28</v>
      </c>
      <c r="J535" s="87"/>
      <c r="K535" s="143">
        <f t="shared" si="27"/>
        <v>0</v>
      </c>
      <c r="L535" s="144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24</v>
      </c>
      <c r="J539" s="148" t="s">
        <v>2121</v>
      </c>
      <c r="K539" s="31">
        <f t="shared" si="27"/>
        <v>4</v>
      </c>
      <c r="L539" s="32">
        <f t="shared" si="28"/>
        <v>0.8571428571428571</v>
      </c>
      <c r="M539" s="70" t="s">
        <v>2130</v>
      </c>
      <c r="N539" s="70" t="s">
        <v>2130</v>
      </c>
      <c r="O539" s="70" t="s">
        <v>2130</v>
      </c>
      <c r="P539" s="70" t="s">
        <v>2130</v>
      </c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24</v>
      </c>
      <c r="J540" s="148" t="s">
        <v>2120</v>
      </c>
      <c r="K540" s="31">
        <f t="shared" si="27"/>
        <v>4</v>
      </c>
      <c r="L540" s="32">
        <f t="shared" si="28"/>
        <v>0.8571428571428571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24</v>
      </c>
      <c r="J541" s="148" t="s">
        <v>2122</v>
      </c>
      <c r="K541" s="31">
        <f t="shared" si="27"/>
        <v>4</v>
      </c>
      <c r="L541" s="32">
        <f t="shared" si="28"/>
        <v>0.8571428571428571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28</v>
      </c>
      <c r="J545" s="148" t="s">
        <v>2126</v>
      </c>
      <c r="K545" s="143">
        <f t="shared" si="27"/>
        <v>0</v>
      </c>
      <c r="L545" s="144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29" sqref="D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8.6715867158671592E-2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-1.8450184501845018E-2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>
        <f>'RESUMEN TOTAL'!Q147</f>
        <v>0</v>
      </c>
      <c r="K119" s="70">
        <f>'RESUMEN TOTAL'!R147</f>
        <v>0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>
        <f>'RESUMEN TOTAL'!Q150</f>
        <v>0</v>
      </c>
      <c r="K122" s="70">
        <f>'RESUMEN TOTAL'!R150</f>
        <v>0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>
        <f>'RESUMEN TOTAL'!Q151</f>
        <v>0</v>
      </c>
      <c r="K123" s="70">
        <f>'RESUMEN TOTAL'!R151</f>
        <v>0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>
        <f>'RESUMEN TOTAL'!Q157</f>
        <v>0</v>
      </c>
      <c r="K126" s="70">
        <f>'RESUMEN TOTAL'!R157</f>
        <v>0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>
        <f>'RESUMEN TOTAL'!Q160</f>
        <v>0</v>
      </c>
      <c r="K129" s="70">
        <f>'RESUMEN TOTAL'!R160</f>
        <v>0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 t="str">
        <f>'RESUMEN TOTAL'!P177</f>
        <v>APAGADO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 t="str">
        <f>'RESUMEN TOTAL'!P178</f>
        <v>APAGADO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>
        <f>'RESUMEN TOTAL'!Q184</f>
        <v>0</v>
      </c>
      <c r="K148" s="70">
        <f>'RESUMEN TOTAL'!R184</f>
        <v>0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>
        <f>'RESUMEN TOTAL'!Q189</f>
        <v>0</v>
      </c>
      <c r="K153" s="70">
        <f>'RESUMEN TOTAL'!R189</f>
        <v>0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>
        <f>'RESUMEN TOTAL'!Q190</f>
        <v>0</v>
      </c>
      <c r="K154" s="70">
        <f>'RESUMEN TOTAL'!R190</f>
        <v>0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 t="str">
        <f>'RESUMEN TOTAL'!P202</f>
        <v>APAGADO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 t="str">
        <f>'RESUMEN TOTAL'!P208</f>
        <v>APAGADO</v>
      </c>
      <c r="J170" s="70">
        <f>'RESUMEN TOTAL'!Q208</f>
        <v>0</v>
      </c>
      <c r="K170" s="70">
        <f>'RESUMEN TOTAL'!R208</f>
        <v>0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 t="str">
        <f>'RESUMEN TOTAL'!P209</f>
        <v>APAGADO</v>
      </c>
      <c r="J171" s="70">
        <f>'RESUMEN TOTAL'!Q209</f>
        <v>0</v>
      </c>
      <c r="K171" s="70">
        <f>'RESUMEN TOTAL'!R209</f>
        <v>0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>
        <f>'RESUMEN TOTAL'!Q235</f>
        <v>0</v>
      </c>
      <c r="K194" s="70">
        <f>'RESUMEN TOTAL'!R235</f>
        <v>0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 t="str">
        <f>'RESUMEN TOTAL'!P263</f>
        <v>APAGADO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>
        <f>'RESUMEN TOTAL'!Q264</f>
        <v>0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 t="str">
        <f>'RESUMEN TOTAL'!P281</f>
        <v>APAGADO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 t="str">
        <f>'RESUMEN TOTAL'!P282</f>
        <v>APAGADO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>
        <f>'RESUMEN TOTAL'!Q283</f>
        <v>0</v>
      </c>
      <c r="K237" s="70">
        <f>'RESUMEN TOTAL'!R283</f>
        <v>0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 t="str">
        <f>'RESUMEN TOTAL'!P284</f>
        <v>APAGADO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 t="str">
        <f>'RESUMEN TOTAL'!P285</f>
        <v>APAGADO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 t="str">
        <f>'RESUMEN TOTAL'!P286</f>
        <v>APAGADO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 t="str">
        <f>'RESUMEN TOTAL'!P294</f>
        <v>APAGADO</v>
      </c>
      <c r="J248" s="70">
        <f>'RESUMEN TOTAL'!Q294</f>
        <v>0</v>
      </c>
      <c r="K248" s="70">
        <f>'RESUMEN TOTAL'!R294</f>
        <v>0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 t="str">
        <f>'RESUMEN TOTAL'!P296</f>
        <v>APAGADO</v>
      </c>
      <c r="J250" s="70">
        <f>'RESUMEN TOTAL'!Q296</f>
        <v>0</v>
      </c>
      <c r="K250" s="70">
        <f>'RESUMEN TOTAL'!R296</f>
        <v>0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 t="str">
        <f>'RESUMEN TOTAL'!P300</f>
        <v>APAGADO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 t="str">
        <f>'RESUMEN TOTAL'!P338</f>
        <v>APAGADO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>
        <f>'RESUMEN TOTAL'!Q358</f>
        <v>0</v>
      </c>
      <c r="K301" s="70">
        <f>'RESUMEN TOTAL'!R358</f>
        <v>0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 t="str">
        <f>'RESUMEN TOTAL'!P377</f>
        <v>APAGADO</v>
      </c>
      <c r="J316" s="70">
        <f>'RESUMEN TOTAL'!Q377</f>
        <v>0</v>
      </c>
      <c r="K316" s="70">
        <f>'RESUMEN TOTAL'!R377</f>
        <v>0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>
        <f>'RESUMEN TOTAL'!Q383</f>
        <v>0</v>
      </c>
      <c r="K322" s="70">
        <f>'RESUMEN TOTAL'!R383</f>
        <v>0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>
        <f>'RESUMEN TOTAL'!Q384</f>
        <v>0</v>
      </c>
      <c r="K323" s="70">
        <f>'RESUMEN TOTAL'!R384</f>
        <v>0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>
        <f>'RESUMEN TOTAL'!Q390</f>
        <v>0</v>
      </c>
      <c r="K326" s="70">
        <f>'RESUMEN TOTAL'!R390</f>
        <v>0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>
        <f>'RESUMEN TOTAL'!Q395</f>
        <v>0</v>
      </c>
      <c r="K329" s="70">
        <f>'RESUMEN TOTAL'!R395</f>
        <v>0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>
        <f>'RESUMEN TOTAL'!Q416</f>
        <v>0</v>
      </c>
      <c r="K348" s="70">
        <f>'RESUMEN TOTAL'!R416</f>
        <v>0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>
        <f>'RESUMEN TOTAL'!Q428</f>
        <v>0</v>
      </c>
      <c r="K360" s="70">
        <f>'RESUMEN TOTAL'!R428</f>
        <v>0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>
        <f>'RESUMEN TOTAL'!Q436</f>
        <v>0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 t="str">
        <f>'RESUMEN TOTAL'!P521</f>
        <v>APAGADO</v>
      </c>
      <c r="J436" s="70">
        <f>'RESUMEN TOTAL'!Q521</f>
        <v>0</v>
      </c>
      <c r="K436" s="70">
        <f>'RESUMEN TOTAL'!R521</f>
        <v>0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 t="str">
        <f>'RESUMEN TOTAL'!P523</f>
        <v>APAGADO</v>
      </c>
      <c r="J438" s="70">
        <f>'RESUMEN TOTAL'!Q523</f>
        <v>0</v>
      </c>
      <c r="K438" s="70">
        <f>'RESUMEN TOTAL'!R523</f>
        <v>0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 t="str">
        <f>'RESUMEN TOTAL'!P530</f>
        <v>APAGADO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 t="str">
        <f>'RESUMEN TOTAL'!P539</f>
        <v>APAGADO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 t="str">
        <f>'RESUMEN TOTAL'!P540</f>
        <v>APAGADO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 t="str">
        <f>'RESUMEN TOTAL'!P541</f>
        <v>APAGADO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>
        <f>'RESUMEN TOTAL'!R545</f>
        <v>0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0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13</v>
      </c>
      <c r="J3" s="46">
        <f>COUNTIFS('RESUMEN TOTAL'!Q8:Q657,"=APAGADO",'RESUMEN TOTAL'!C8:C657,"=BONOMO")</f>
        <v>0</v>
      </c>
      <c r="K3" s="46">
        <f>COUNTIFS('RESUMEN TOTAL'!R8:R657,"=APAGADO",'RESUMEN TOTAL'!C8:C657,"=BONOMO")</f>
        <v>0</v>
      </c>
      <c r="L3" s="46">
        <f>COUNTIFS('RESUMEN TOTAL'!S8:S657,"=APAGADO",'RESUMEN TOTAL'!C8:C657,"=BONOMO")</f>
        <v>0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34</v>
      </c>
      <c r="J5" s="46">
        <f>COUNTIFS('RESUMEN TOTAL'!Q10:Q659,"=APAGADO",'RESUMEN TOTAL'!C10:C659,"=COSEIDI")</f>
        <v>0</v>
      </c>
      <c r="K5" s="46">
        <f>COUNTIFS('RESUMEN TOTAL'!R10:R659,"=APAGADO",'RESUMEN TOTAL'!C10:C659,"=COSEIDI")</f>
        <v>0</v>
      </c>
      <c r="L5" s="46">
        <f>COUNTIFS('RESUMEN TOTAL'!S10:S659,"=APAGADO",'RESUMEN TOTAL'!C10:C659,"=COSEIDI")</f>
        <v>0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2025-10-06T10:11:14Z</dcterms:modified>
</cp:coreProperties>
</file>