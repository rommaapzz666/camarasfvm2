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D2507EC3-CB4D-41CA-8A75-1A4E342BFD3F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<sst xmlns="http://schemas.openxmlformats.org/spreadsheetml/2006/main" count="4991" uniqueCount="1669">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</sst>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zoomScale="60" zoomScaleNormal="60" workbookViewId="0">
      <pane xSplit="11" ySplit="7" topLeftCell="V235" activePane="bottomRight" state="frozen"/>
      <selection pane="topRight" activeCell="M1" sqref="M1"/>
      <selection pane="bottomLeft" activeCell="A5" sqref="A5"/>
      <selection pane="bottomRight" activeCell="C243" sqref="C243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COUNTIF(L7:L700,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54</v>
      </c>
      <c r="U3" s="127">
        <f t="shared" si="3"/>
        <v>60</v>
      </c>
      <c r="V3" s="127">
        <f t="shared" si="3"/>
        <v>74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0</v>
      </c>
      <c r="X4" s="10">
        <f>COUNTIFS(X8:X654, "=APAGADO",F8:F654,"=Fibra Optica")</f>
        <v>0</v>
      </c>
      <c r="Y4" s="10">
        <f>COUNTIFS(Y8:Y654, "=APAGADO",F8:F654,"=Fibra Optica")</f>
        <v>0</v>
      </c>
      <c r="Z4" s="10">
        <f>COUNTIFS(Z8:Z654, "=APAGADO",F8:F654,"=Fibra Optica")</f>
        <v>0</v>
      </c>
      <c r="AA4" s="10">
        <f>COUNTIFS(AA8:AA654, "=APAGADO",F8:F654,"=Fibra Optica")</f>
        <v>0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COUNTIFS(L8:L654, "=APAGADO",F8:F654,"=RADIO")</f>
        <v>11</v>
      </c>
      <c r="M5" s="131">
        <f>COUNTIFS(M8:M654, "=APAGADO",F8:F654,"=RADIO")</f>
        <v>12</v>
      </c>
      <c r="N5" s="131">
        <f>COUNTIFS(N8:N654, "=APAGADO",F8:F654,"=RADIO")</f>
        <v>11</v>
      </c>
      <c r="O5" s="131">
        <f>COUNTIFS(O8:O654, "=APAGADO",F8:F654,"=RADIO")</f>
        <v>12</v>
      </c>
      <c r="P5" s="131">
        <f>COUNTIFS(P8:P654, "=APAGADO",F8:F654,"=RADIO")</f>
        <v>11</v>
      </c>
      <c r="Q5" s="131">
        <f>COUNTIFS(Q8:Q654, "=APAGADO",F8:F654,"=RADIO")</f>
        <v>11</v>
      </c>
      <c r="R5" s="131">
        <f>COUNTIFS(R8:R654, "=APAGADO",F8:F654,"=RADIO")</f>
        <v>14</v>
      </c>
      <c r="S5" s="131">
        <f>COUNTIFS(S8:S654, "=APAGADO",F8:F654,"=RADIO")</f>
        <v>14</v>
      </c>
      <c r="T5" s="131">
        <f>COUNTIFS(T8:T654, "=APAGADO",F8:F654,"=RADIO")</f>
        <v>10</v>
      </c>
      <c r="U5" s="131">
        <f>COUNTIFS(U8:U654, "=APAGADO",F8:F654,"=RADIO")</f>
        <v>13</v>
      </c>
      <c r="V5" s="131">
        <f>COUNTIFS(V8:V654, "=APAGADO",F8:F654,"=RADIO")</f>
        <v>10</v>
      </c>
      <c r="W5" s="131">
        <f>COUNTIFS(W8:W654, "=APAGADO",F8:F654,"=RADIO")</f>
        <v>0</v>
      </c>
      <c r="X5" s="131">
        <f>COUNTIFS(X8:X654, "=APAGADO",F8:F654,"=RADIO")</f>
        <v>0</v>
      </c>
      <c r="Y5" s="131">
        <f>COUNTIFS(Y8:Y654, "=APAGADO",F8:F654,"=RADIO")</f>
        <v>0</v>
      </c>
      <c r="Z5" s="131">
        <f>COUNTIFS(Z8:Z654, "=APAGADO",F8:F654,"=RADIO")</f>
        <v>0</v>
      </c>
      <c r="AA5" s="131">
        <f>COUNTIFS(AA8:AA654, "=APAGADO",F8:F654,"=RADIO")</f>
        <v>0</v>
      </c>
      <c r="AB5" s="131">
        <f>COUNTIFS(AB8:AB654, "=APAGADO",F8:F654,"=RADIO")</f>
        <v>0</v>
      </c>
      <c r="AC5" s="131">
        <f>COUNTIFS(AC8:AC654, "=APAGADO",F8:F654,"=RADIO")</f>
        <v>0</v>
      </c>
      <c r="AD5" s="131">
        <f>COUNTIFS(AD8:AD654, "=APAGADO",F8:F654,"=RADIO")</f>
        <v>0</v>
      </c>
      <c r="AE5" s="131">
        <f>COUNTIFS(AE8:AE654, "=APAGADO",F8:F654,"=RADIO")</f>
        <v>0</v>
      </c>
      <c r="AF5" s="131">
        <f>COUNTIFS(AF8:AF654, "=APAGADO",F8:F654,"=RADIO")</f>
        <v>0</v>
      </c>
      <c r="AG5" s="131">
        <f>COUNTIFS(AG8:AG654, "=APAGADO",F8:F654,"=RADIO")</f>
        <v>0</v>
      </c>
      <c r="AH5" s="131">
        <f>COUNTIFS(AH8:AH654, "=APAGADO",F8:F654,"=RADIO")</f>
        <v>0</v>
      </c>
      <c r="AI5" s="131">
        <f>COUNTIFS(AI8:AI654, "=APAGADO",F8:F654,"=RADIO")</f>
        <v>0</v>
      </c>
      <c r="AJ5" s="131">
        <f>COUNTIFS(AJ8:AJ654, "=APAGADO",F8:F654,"=RADIO")</f>
        <v>0</v>
      </c>
      <c r="AK5" s="131">
        <f>COUNTIFS(AK8:AK654, "=APAGADO",F8:F654,"=RADIO")</f>
        <v>0</v>
      </c>
      <c r="AL5" s="131">
        <f>COUNTIFS(AL8:AL654, "=APAGADO",F8:F654,"=RADIO")</f>
        <v>0</v>
      </c>
      <c r="AM5" s="131">
        <f>COUNTIFS(AM8:AM654, "=APAGADO",F8:F654,"=RADIO")</f>
        <v>0</v>
      </c>
      <c r="AN5" s="131">
        <f>COUNTIFS(AN8:AN654, "=APAGADO",F8:F654,"=RADIO")</f>
        <v>0</v>
      </c>
      <c r="AO5" s="131">
        <f>COUNTIFS(AO8:AO654, "=APAGADO",F8:F654,"=RADIO")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0</v>
      </c>
      <c r="X6" s="10">
        <f>COUNTIFS(X8:X654, "=APAGADO",F8:F654,"=PTO A FO")</f>
        <v>0</v>
      </c>
      <c r="Y6" s="10">
        <f>COUNTIFS(Y8:Y654, "=APAGADO",F8:F654,"=PTO A FO")</f>
        <v>0</v>
      </c>
      <c r="Z6" s="10">
        <f>COUNTIFS(Z8:Z654, "=APAGADO",F8:F654,"=PTO A FO")</f>
        <v>0</v>
      </c>
      <c r="AA6" s="10">
        <f>COUNTIFS(AA8:AA654, "=APAGADO",F8:F654,"=PTO A FO")</f>
        <v>0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17</v>
      </c>
      <c r="J22" s="31">
        <f t="shared" si="5"/>
        <v>11</v>
      </c>
      <c r="K22" s="32">
        <f t="shared" si="6"/>
        <v>0.6071428571428571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17</v>
      </c>
      <c r="J34" s="135">
        <f t="shared" si="5"/>
        <v>11</v>
      </c>
      <c r="K34" s="136">
        <f t="shared" si="6"/>
        <v>0.6071428571428571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 t="s">
        <v>1526</v>
      </c>
      <c r="U34" s="137" t="s">
        <v>1526</v>
      </c>
      <c r="V34" s="137" t="s">
        <v>1526</v>
      </c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17</v>
      </c>
      <c r="J35" s="144">
        <f t="shared" si="5"/>
        <v>11</v>
      </c>
      <c r="K35" s="145">
        <f t="shared" si="6"/>
        <v>0.6071428571428571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4">
        <f t="shared" si="4"/>
        <v>28</v>
      </c>
      <c r="J55" s="144">
        <f t="shared" si="5"/>
        <v>0</v>
      </c>
      <c r="K55" s="145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90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4">
        <f t="shared" si="4"/>
        <v>28</v>
      </c>
      <c r="J57" s="144">
        <f t="shared" si="5"/>
        <v>0</v>
      </c>
      <c r="K57" s="145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90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4">
        <f t="shared" si="4"/>
        <v>28</v>
      </c>
      <c r="J62" s="144">
        <f t="shared" si="5"/>
        <v>0</v>
      </c>
      <c r="K62" s="145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90"/>
    </row>
    <row r="63" spans="1:41" s="92" customFormat="1" ht="15.75" thickBot="1" x14ac:dyDescent="0.3">
      <c r="A63" s="92" t="s">
        <v>52</v>
      </c>
      <c r="B63" s="92" t="s">
        <v>104</v>
      </c>
      <c r="C63" s="92" t="s">
        <v>1066</v>
      </c>
      <c r="D63" s="92" t="s">
        <v>105</v>
      </c>
      <c r="E63" s="93" t="s">
        <v>73</v>
      </c>
      <c r="F63" s="93" t="s">
        <v>20</v>
      </c>
      <c r="G63" s="93"/>
      <c r="H63" s="93" t="s">
        <v>641</v>
      </c>
      <c r="I63" s="31">
        <f t="shared" si="4"/>
        <v>17</v>
      </c>
      <c r="J63" s="31">
        <f t="shared" si="5"/>
        <v>11</v>
      </c>
      <c r="K63" s="32">
        <f t="shared" si="6"/>
        <v>0.6071428571428571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/>
      <c r="X63" s="70"/>
      <c r="Y63" s="70"/>
      <c r="Z63" s="70"/>
      <c r="AA63" s="70"/>
      <c r="AB63" s="70"/>
      <c r="AC63" s="70"/>
      <c r="AD63" s="94"/>
      <c r="AE63" s="94"/>
      <c r="AF63" s="70"/>
      <c r="AG63" s="94"/>
      <c r="AH63" s="94"/>
      <c r="AI63" s="94"/>
      <c r="AJ63" s="94"/>
      <c r="AK63" s="94"/>
      <c r="AL63" s="94"/>
      <c r="AM63" s="94"/>
      <c r="AN63" s="94"/>
      <c r="AO63" s="94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4">
        <f t="shared" si="4"/>
        <v>28</v>
      </c>
      <c r="J64" s="144">
        <f t="shared" si="5"/>
        <v>0</v>
      </c>
      <c r="K64" s="145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90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17</v>
      </c>
      <c r="J66" s="31">
        <f t="shared" si="5"/>
        <v>11</v>
      </c>
      <c r="K66" s="32">
        <f t="shared" si="6"/>
        <v>0.6071428571428571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4">
        <f t="shared" si="7"/>
        <v>28</v>
      </c>
      <c r="J84" s="144">
        <f t="shared" si="8"/>
        <v>0</v>
      </c>
      <c r="K84" s="145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90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90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4">
        <f t="shared" si="7"/>
        <v>28</v>
      </c>
      <c r="J92" s="144">
        <f t="shared" si="8"/>
        <v>0</v>
      </c>
      <c r="K92" s="145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4">
        <f t="shared" si="7"/>
        <v>28</v>
      </c>
      <c r="J94" s="144">
        <f t="shared" si="8"/>
        <v>0</v>
      </c>
      <c r="K94" s="145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4">
        <f t="shared" si="7"/>
        <v>17</v>
      </c>
      <c r="J95" s="144">
        <f t="shared" si="8"/>
        <v>11</v>
      </c>
      <c r="K95" s="145">
        <f t="shared" si="9"/>
        <v>0.6071428571428571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4">
        <f t="shared" si="7"/>
        <v>17</v>
      </c>
      <c r="J96" s="144">
        <f t="shared" si="8"/>
        <v>11</v>
      </c>
      <c r="K96" s="145">
        <f t="shared" si="9"/>
        <v>0.6071428571428571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90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4">
        <f t="shared" si="7"/>
        <v>17</v>
      </c>
      <c r="J98" s="144">
        <f t="shared" si="8"/>
        <v>11</v>
      </c>
      <c r="K98" s="145">
        <f t="shared" si="9"/>
        <v>0.6071428571428571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90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4">
        <f t="shared" si="7"/>
        <v>28</v>
      </c>
      <c r="J101" s="144">
        <f t="shared" si="8"/>
        <v>0</v>
      </c>
      <c r="K101" s="145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90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4">
        <f t="shared" si="7"/>
        <v>21</v>
      </c>
      <c r="J103" s="144">
        <f t="shared" si="8"/>
        <v>7</v>
      </c>
      <c r="K103" s="145">
        <f t="shared" si="9"/>
        <v>0.75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4">
        <f t="shared" si="7"/>
        <v>28</v>
      </c>
      <c r="J107" s="144">
        <f t="shared" si="8"/>
        <v>0</v>
      </c>
      <c r="K107" s="145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90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4">
        <f t="shared" si="7"/>
        <v>28</v>
      </c>
      <c r="J108" s="144">
        <f t="shared" si="8"/>
        <v>0</v>
      </c>
      <c r="K108" s="145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90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4">
        <f t="shared" si="7"/>
        <v>28</v>
      </c>
      <c r="J110" s="144">
        <f t="shared" si="8"/>
        <v>0</v>
      </c>
      <c r="K110" s="145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90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4">
        <f t="shared" si="7"/>
        <v>28</v>
      </c>
      <c r="J113" s="144">
        <f t="shared" si="8"/>
        <v>0</v>
      </c>
      <c r="K113" s="145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17</v>
      </c>
      <c r="J116" s="31">
        <f t="shared" si="8"/>
        <v>11</v>
      </c>
      <c r="K116" s="32">
        <f t="shared" si="9"/>
        <v>0.6071428571428571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4">
        <f t="shared" si="7"/>
        <v>17</v>
      </c>
      <c r="J117" s="144">
        <f t="shared" si="8"/>
        <v>11</v>
      </c>
      <c r="K117" s="145">
        <f t="shared" si="9"/>
        <v>0.6071428571428571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90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17</v>
      </c>
      <c r="J121" s="31">
        <f t="shared" si="8"/>
        <v>11</v>
      </c>
      <c r="K121" s="32">
        <f t="shared" si="9"/>
        <v>0.6071428571428571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17</v>
      </c>
      <c r="J122" s="31">
        <f t="shared" si="8"/>
        <v>11</v>
      </c>
      <c r="K122" s="32">
        <f t="shared" si="9"/>
        <v>0.6071428571428571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4">
        <f t="shared" si="7"/>
        <v>23</v>
      </c>
      <c r="J124" s="144">
        <f t="shared" si="8"/>
        <v>5</v>
      </c>
      <c r="K124" s="145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90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4">
        <f t="shared" si="7"/>
        <v>28</v>
      </c>
      <c r="J129" s="144">
        <f t="shared" si="8"/>
        <v>0</v>
      </c>
      <c r="K129" s="145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90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4">
        <f t="shared" si="7"/>
        <v>28</v>
      </c>
      <c r="J130" s="144">
        <f t="shared" si="8"/>
        <v>0</v>
      </c>
      <c r="K130" s="145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/>
      <c r="F131" s="85" t="s">
        <v>1306</v>
      </c>
      <c r="G131" s="85"/>
      <c r="H131" s="85" t="s">
        <v>1521</v>
      </c>
      <c r="I131" s="144"/>
      <c r="J131" s="144"/>
      <c r="K131" s="145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90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4"/>
      <c r="J134" s="144"/>
      <c r="K134" s="145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90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90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90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2" customFormat="1" ht="15.75" thickBot="1" x14ac:dyDescent="0.3">
      <c r="A147" s="92" t="s">
        <v>184</v>
      </c>
      <c r="B147" s="92" t="s">
        <v>182</v>
      </c>
      <c r="C147" s="92" t="s">
        <v>1066</v>
      </c>
      <c r="D147" s="92" t="s">
        <v>183</v>
      </c>
      <c r="E147" s="93" t="s">
        <v>19</v>
      </c>
      <c r="F147" s="93" t="s">
        <v>20</v>
      </c>
      <c r="G147" s="93"/>
      <c r="H147" s="93" t="s">
        <v>687</v>
      </c>
      <c r="I147" s="142">
        <f t="shared" si="7"/>
        <v>17</v>
      </c>
      <c r="J147" s="142">
        <f t="shared" si="8"/>
        <v>11</v>
      </c>
      <c r="K147" s="143">
        <f t="shared" si="9"/>
        <v>0.6071428571428571</v>
      </c>
      <c r="L147" s="94" t="s">
        <v>1526</v>
      </c>
      <c r="M147" s="94" t="s">
        <v>1526</v>
      </c>
      <c r="N147" s="94" t="s">
        <v>1526</v>
      </c>
      <c r="O147" s="94" t="s">
        <v>1526</v>
      </c>
      <c r="P147" s="94" t="s">
        <v>1526</v>
      </c>
      <c r="Q147" s="94" t="s">
        <v>1526</v>
      </c>
      <c r="R147" s="94" t="s">
        <v>1526</v>
      </c>
      <c r="S147" s="94" t="s">
        <v>1526</v>
      </c>
      <c r="T147" s="94" t="s">
        <v>1526</v>
      </c>
      <c r="U147" s="94" t="s">
        <v>1526</v>
      </c>
      <c r="V147" s="94" t="s">
        <v>1526</v>
      </c>
      <c r="W147" s="94"/>
      <c r="X147" s="94"/>
      <c r="Y147" s="94"/>
      <c r="Z147" s="94"/>
      <c r="AA147" s="94"/>
      <c r="AB147" s="94"/>
      <c r="AC147" s="94"/>
      <c r="AD147" s="94"/>
      <c r="AE147" s="94"/>
      <c r="AF147" s="70"/>
      <c r="AG147" s="94"/>
      <c r="AH147" s="94"/>
      <c r="AI147" s="94"/>
      <c r="AJ147" s="94"/>
      <c r="AK147" s="94"/>
      <c r="AL147" s="94"/>
      <c r="AM147" s="94"/>
      <c r="AN147" s="94"/>
      <c r="AO147" s="94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2" customFormat="1" ht="15.75" thickBot="1" x14ac:dyDescent="0.3">
      <c r="A150" s="92" t="s">
        <v>184</v>
      </c>
      <c r="B150" s="92" t="s">
        <v>943</v>
      </c>
      <c r="C150" s="92" t="s">
        <v>1066</v>
      </c>
      <c r="D150" s="92" t="s">
        <v>944</v>
      </c>
      <c r="E150" s="93" t="s">
        <v>73</v>
      </c>
      <c r="F150" s="93" t="s">
        <v>1060</v>
      </c>
      <c r="G150" s="93" t="s">
        <v>1254</v>
      </c>
      <c r="H150" s="93" t="s">
        <v>1219</v>
      </c>
      <c r="I150" s="31">
        <f t="shared" si="7"/>
        <v>17</v>
      </c>
      <c r="J150" s="31">
        <f t="shared" si="8"/>
        <v>11</v>
      </c>
      <c r="K150" s="32">
        <f t="shared" si="9"/>
        <v>0.6071428571428571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/>
      <c r="X150" s="70"/>
      <c r="Y150" s="70"/>
      <c r="Z150" s="70"/>
      <c r="AA150" s="70"/>
      <c r="AB150" s="70"/>
      <c r="AC150" s="70"/>
      <c r="AD150" s="94"/>
      <c r="AE150" s="94"/>
      <c r="AF150" s="70"/>
      <c r="AG150" s="94"/>
      <c r="AH150" s="94"/>
      <c r="AI150" s="94"/>
      <c r="AJ150" s="94"/>
      <c r="AK150" s="94"/>
      <c r="AL150" s="94"/>
      <c r="AM150" s="94"/>
      <c r="AN150" s="94"/>
      <c r="AO150" s="94"/>
    </row>
    <row r="151" spans="1:41" s="92" customFormat="1" ht="16.149999999999999" customHeight="1" thickBot="1" x14ac:dyDescent="0.3">
      <c r="A151" s="92" t="s">
        <v>184</v>
      </c>
      <c r="B151" s="92" t="s">
        <v>945</v>
      </c>
      <c r="C151" s="92" t="s">
        <v>1066</v>
      </c>
      <c r="D151" s="92" t="s">
        <v>944</v>
      </c>
      <c r="E151" s="93" t="s">
        <v>73</v>
      </c>
      <c r="F151" s="93" t="s">
        <v>1060</v>
      </c>
      <c r="G151" s="93" t="s">
        <v>1254</v>
      </c>
      <c r="H151" s="93" t="s">
        <v>1220</v>
      </c>
      <c r="I151" s="31">
        <f t="shared" si="7"/>
        <v>17</v>
      </c>
      <c r="J151" s="31">
        <f t="shared" si="8"/>
        <v>11</v>
      </c>
      <c r="K151" s="32">
        <f t="shared" si="9"/>
        <v>0.6071428571428571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/>
      <c r="X151" s="70"/>
      <c r="Y151" s="70"/>
      <c r="Z151" s="70"/>
      <c r="AA151" s="70"/>
      <c r="AB151" s="70"/>
      <c r="AC151" s="70"/>
      <c r="AD151" s="94"/>
      <c r="AE151" s="94"/>
      <c r="AF151" s="70"/>
      <c r="AG151" s="94"/>
      <c r="AH151" s="94"/>
      <c r="AI151" s="94"/>
      <c r="AJ151" s="94"/>
      <c r="AK151" s="94"/>
      <c r="AL151" s="94"/>
      <c r="AM151" s="94"/>
      <c r="AN151" s="94"/>
      <c r="AO151" s="94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4"/>
      <c r="J154" s="144"/>
      <c r="K154" s="145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90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4">
        <f t="shared" si="7"/>
        <v>17</v>
      </c>
      <c r="J155" s="144">
        <f t="shared" si="8"/>
        <v>11</v>
      </c>
      <c r="K155" s="145">
        <f t="shared" si="9"/>
        <v>0.6071428571428571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90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/>
      <c r="F156" s="85" t="s">
        <v>1306</v>
      </c>
      <c r="G156" s="85"/>
      <c r="H156" s="85" t="s">
        <v>1505</v>
      </c>
      <c r="I156" s="144">
        <f t="shared" ref="I156:I227" si="10">COUNTIF(L156:AM156,"")</f>
        <v>28</v>
      </c>
      <c r="J156" s="144">
        <f t="shared" ref="J156:J227" si="11">COUNTIF(L156:AM156,"APAGADO")</f>
        <v>0</v>
      </c>
      <c r="K156" s="145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90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4">
        <f t="shared" si="10"/>
        <v>28</v>
      </c>
      <c r="J168" s="144">
        <f t="shared" si="11"/>
        <v>0</v>
      </c>
      <c r="K168" s="145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90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25</v>
      </c>
      <c r="J177" s="31">
        <f t="shared" si="11"/>
        <v>3</v>
      </c>
      <c r="K177" s="32">
        <f t="shared" si="12"/>
        <v>0.8928571428571429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25</v>
      </c>
      <c r="J178" s="31">
        <f t="shared" si="11"/>
        <v>3</v>
      </c>
      <c r="K178" s="32">
        <f t="shared" si="12"/>
        <v>0.8928571428571429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4"/>
      <c r="J180" s="144"/>
      <c r="K180" s="145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4"/>
      <c r="J181" s="144"/>
      <c r="K181" s="145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8" customFormat="1" ht="15.75" thickBot="1" x14ac:dyDescent="0.3">
      <c r="A184" s="138" t="s">
        <v>217</v>
      </c>
      <c r="B184" s="138" t="s">
        <v>954</v>
      </c>
      <c r="C184" s="138" t="s">
        <v>1067</v>
      </c>
      <c r="D184" s="138" t="s">
        <v>218</v>
      </c>
      <c r="E184" s="86"/>
      <c r="F184" s="86" t="s">
        <v>28</v>
      </c>
      <c r="G184" s="86"/>
      <c r="H184" s="86" t="s">
        <v>704</v>
      </c>
      <c r="I184" s="139">
        <f t="shared" si="10"/>
        <v>17</v>
      </c>
      <c r="J184" s="139">
        <f t="shared" si="11"/>
        <v>11</v>
      </c>
      <c r="K184" s="140">
        <f t="shared" si="12"/>
        <v>0.6071428571428571</v>
      </c>
      <c r="L184" s="141" t="s">
        <v>1526</v>
      </c>
      <c r="M184" s="141" t="s">
        <v>1526</v>
      </c>
      <c r="N184" s="141" t="s">
        <v>1526</v>
      </c>
      <c r="O184" s="141" t="s">
        <v>1526</v>
      </c>
      <c r="P184" s="141" t="s">
        <v>1526</v>
      </c>
      <c r="Q184" s="141" t="s">
        <v>1526</v>
      </c>
      <c r="R184" s="141" t="s">
        <v>1526</v>
      </c>
      <c r="S184" s="141" t="s">
        <v>1526</v>
      </c>
      <c r="T184" s="141" t="s">
        <v>1526</v>
      </c>
      <c r="U184" s="141" t="s">
        <v>1526</v>
      </c>
      <c r="V184" s="141" t="s">
        <v>1526</v>
      </c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70"/>
      <c r="AG184" s="141"/>
      <c r="AH184" s="141"/>
      <c r="AI184" s="141"/>
      <c r="AJ184" s="141"/>
      <c r="AK184" s="141"/>
      <c r="AL184" s="141"/>
      <c r="AM184" s="141"/>
      <c r="AN184" s="141"/>
      <c r="AO184" s="141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4">
        <f t="shared" si="10"/>
        <v>28</v>
      </c>
      <c r="J185" s="144">
        <f t="shared" si="11"/>
        <v>0</v>
      </c>
      <c r="K185" s="145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90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4">
        <f t="shared" si="10"/>
        <v>27</v>
      </c>
      <c r="J186" s="144">
        <f t="shared" si="11"/>
        <v>1</v>
      </c>
      <c r="K186" s="145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2" customFormat="1" ht="15.75" thickBot="1" x14ac:dyDescent="0.3">
      <c r="A190" s="92" t="s">
        <v>219</v>
      </c>
      <c r="B190" s="92" t="s">
        <v>240</v>
      </c>
      <c r="C190" s="92" t="s">
        <v>1066</v>
      </c>
      <c r="D190" s="92" t="s">
        <v>241</v>
      </c>
      <c r="E190" s="93" t="s">
        <v>15</v>
      </c>
      <c r="F190" s="93" t="s">
        <v>20</v>
      </c>
      <c r="G190" s="93"/>
      <c r="H190" s="93" t="s">
        <v>705</v>
      </c>
      <c r="I190" s="31">
        <f t="shared" si="10"/>
        <v>17</v>
      </c>
      <c r="J190" s="31">
        <f t="shared" si="11"/>
        <v>11</v>
      </c>
      <c r="K190" s="32">
        <f t="shared" si="12"/>
        <v>0.6071428571428571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/>
      <c r="X190" s="70"/>
      <c r="Y190" s="70"/>
      <c r="Z190" s="70"/>
      <c r="AA190" s="70"/>
      <c r="AB190" s="70"/>
      <c r="AC190" s="70"/>
      <c r="AD190" s="94"/>
      <c r="AE190" s="94"/>
      <c r="AF190" s="70"/>
      <c r="AG190" s="94"/>
      <c r="AH190" s="94"/>
      <c r="AI190" s="94"/>
      <c r="AJ190" s="94"/>
      <c r="AK190" s="94"/>
      <c r="AL190" s="94"/>
      <c r="AM190" s="94"/>
      <c r="AN190" s="94"/>
      <c r="AO190" s="94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4">
        <f t="shared" si="10"/>
        <v>22</v>
      </c>
      <c r="J191" s="144">
        <f t="shared" si="11"/>
        <v>6</v>
      </c>
      <c r="K191" s="145">
        <f t="shared" si="12"/>
        <v>0.7857142857142857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90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4">
        <f t="shared" si="10"/>
        <v>28</v>
      </c>
      <c r="J194" s="144">
        <f t="shared" si="11"/>
        <v>0</v>
      </c>
      <c r="K194" s="145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90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4">
        <f t="shared" si="10"/>
        <v>28</v>
      </c>
      <c r="J202" s="144">
        <f t="shared" si="11"/>
        <v>0</v>
      </c>
      <c r="K202" s="145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90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4"/>
      <c r="J203" s="144"/>
      <c r="K203" s="145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90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4">
        <f t="shared" si="10"/>
        <v>28</v>
      </c>
      <c r="J205" s="144">
        <f t="shared" si="11"/>
        <v>0</v>
      </c>
      <c r="K205" s="145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90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25</v>
      </c>
      <c r="J208" s="31">
        <f t="shared" si="11"/>
        <v>3</v>
      </c>
      <c r="K208" s="32">
        <f t="shared" si="12"/>
        <v>0.8928571428571429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25</v>
      </c>
      <c r="J209" s="31">
        <f t="shared" si="11"/>
        <v>3</v>
      </c>
      <c r="K209" s="32">
        <f t="shared" si="12"/>
        <v>0.8928571428571429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4">
        <f t="shared" si="10"/>
        <v>28</v>
      </c>
      <c r="J211" s="144">
        <f t="shared" si="11"/>
        <v>0</v>
      </c>
      <c r="K211" s="145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90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7"/>
      <c r="F215" s="85" t="s">
        <v>1306</v>
      </c>
      <c r="G215" s="85"/>
      <c r="H215" s="85" t="s">
        <v>1427</v>
      </c>
      <c r="I215" s="144">
        <f t="shared" si="10"/>
        <v>28</v>
      </c>
      <c r="J215" s="144">
        <f t="shared" si="11"/>
        <v>0</v>
      </c>
      <c r="K215" s="145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4"/>
      <c r="J216" s="144"/>
      <c r="K216" s="145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4">
        <f t="shared" si="10"/>
        <v>28</v>
      </c>
      <c r="J217" s="144">
        <f t="shared" si="11"/>
        <v>0</v>
      </c>
      <c r="K217" s="145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90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4">
        <f t="shared" si="10"/>
        <v>28</v>
      </c>
      <c r="J218" s="144">
        <f t="shared" si="11"/>
        <v>0</v>
      </c>
      <c r="K218" s="145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90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4">
        <f t="shared" si="10"/>
        <v>28</v>
      </c>
      <c r="J219" s="144">
        <f t="shared" si="11"/>
        <v>0</v>
      </c>
      <c r="K219" s="145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90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17"/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2" customFormat="1" ht="15.75" thickBot="1" x14ac:dyDescent="0.3">
      <c r="A235" s="92" t="s">
        <v>287</v>
      </c>
      <c r="B235" s="92" t="s">
        <v>969</v>
      </c>
      <c r="C235" s="92" t="s">
        <v>1067</v>
      </c>
      <c r="D235" s="92" t="s">
        <v>1092</v>
      </c>
      <c r="E235" s="93" t="s">
        <v>19</v>
      </c>
      <c r="F235" s="93" t="s">
        <v>20</v>
      </c>
      <c r="G235" s="93"/>
      <c r="H235" s="93" t="s">
        <v>731</v>
      </c>
      <c r="I235" s="31">
        <f t="shared" si="13"/>
        <v>17</v>
      </c>
      <c r="J235" s="31">
        <f t="shared" si="14"/>
        <v>11</v>
      </c>
      <c r="K235" s="32">
        <f t="shared" si="15"/>
        <v>0.6071428571428571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/>
      <c r="X235" s="70"/>
      <c r="Y235" s="70"/>
      <c r="Z235" s="70"/>
      <c r="AA235" s="70"/>
      <c r="AB235" s="70"/>
      <c r="AC235" s="70"/>
      <c r="AD235" s="94"/>
      <c r="AE235" s="94"/>
      <c r="AF235" s="70"/>
      <c r="AG235" s="94"/>
      <c r="AH235" s="94"/>
      <c r="AI235" s="94"/>
      <c r="AJ235" s="94"/>
      <c r="AK235" s="94"/>
      <c r="AL235" s="94"/>
      <c r="AM235" s="94"/>
      <c r="AN235" s="94"/>
      <c r="AO235" s="94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6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4">
        <f t="shared" si="13"/>
        <v>28</v>
      </c>
      <c r="J241" s="144">
        <f t="shared" si="14"/>
        <v>0</v>
      </c>
      <c r="K241" s="145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90"/>
    </row>
    <row r="242" spans="1:41" s="73" customFormat="1" ht="15.75" thickBot="1" x14ac:dyDescent="0.3">
      <c r="A242" s="73" t="s">
        <v>17</v>
      </c>
      <c r="B242" s="146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21</v>
      </c>
      <c r="J243" s="31">
        <f t="shared" si="14"/>
        <v>7</v>
      </c>
      <c r="K243" s="32">
        <f t="shared" si="15"/>
        <v>0.75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27</v>
      </c>
      <c r="J245" s="31">
        <f t="shared" si="14"/>
        <v>1</v>
      </c>
      <c r="K245" s="32">
        <f t="shared" si="15"/>
        <v>0.9642857142857143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4">
        <f t="shared" si="13"/>
        <v>28</v>
      </c>
      <c r="J247" s="144">
        <f t="shared" si="14"/>
        <v>0</v>
      </c>
      <c r="K247" s="145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90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4">
        <f t="shared" si="13"/>
        <v>28</v>
      </c>
      <c r="J258" s="144">
        <f t="shared" si="14"/>
        <v>0</v>
      </c>
      <c r="K258" s="145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90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4">
        <f t="shared" si="13"/>
        <v>28</v>
      </c>
      <c r="J262" s="144">
        <f t="shared" si="14"/>
        <v>0</v>
      </c>
      <c r="K262" s="145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90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4">
        <f t="shared" si="13"/>
        <v>17</v>
      </c>
      <c r="J264" s="144">
        <f t="shared" si="14"/>
        <v>11</v>
      </c>
      <c r="K264" s="145">
        <f t="shared" si="15"/>
        <v>0.6071428571428571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7" t="s">
        <v>1370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4">
        <f t="shared" si="13"/>
        <v>28</v>
      </c>
      <c r="J268" s="144">
        <f t="shared" si="14"/>
        <v>0</v>
      </c>
      <c r="K268" s="145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90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4">
        <f t="shared" si="13"/>
        <v>28</v>
      </c>
      <c r="J269" s="144">
        <f t="shared" si="14"/>
        <v>0</v>
      </c>
      <c r="K269" s="145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90"/>
    </row>
    <row r="270" spans="1:41" s="73" customFormat="1" ht="15.75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/>
      <c r="F270" s="85" t="s">
        <v>1306</v>
      </c>
      <c r="G270" s="85"/>
      <c r="H270" s="85" t="s">
        <v>1364</v>
      </c>
      <c r="I270" s="144">
        <f t="shared" si="13"/>
        <v>28</v>
      </c>
      <c r="J270" s="144">
        <f t="shared" si="14"/>
        <v>0</v>
      </c>
      <c r="K270" s="145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90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4"/>
      <c r="J271" s="144"/>
      <c r="K271" s="145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90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4"/>
      <c r="J272" s="144"/>
      <c r="K272" s="145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90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17</v>
      </c>
      <c r="J283" s="31">
        <f t="shared" si="14"/>
        <v>11</v>
      </c>
      <c r="K283" s="32">
        <f t="shared" si="15"/>
        <v>0.6071428571428571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4">
        <f t="shared" si="13"/>
        <v>22</v>
      </c>
      <c r="J294" s="144">
        <f t="shared" si="14"/>
        <v>6</v>
      </c>
      <c r="K294" s="145">
        <f t="shared" si="15"/>
        <v>0.7857142857142857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90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4">
        <f t="shared" si="13"/>
        <v>24</v>
      </c>
      <c r="J295" s="144">
        <f t="shared" si="14"/>
        <v>4</v>
      </c>
      <c r="K295" s="145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90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21</v>
      </c>
      <c r="J296" s="31">
        <f t="shared" ref="J296:J363" si="17">COUNTIF(L296:AM296,"APAGADO")</f>
        <v>7</v>
      </c>
      <c r="K296" s="32">
        <f t="shared" ref="K296:K363" si="18">(I296)/(J296+I296)</f>
        <v>0.75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90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4">
        <f t="shared" si="16"/>
        <v>28</v>
      </c>
      <c r="J297" s="144">
        <f t="shared" si="17"/>
        <v>0</v>
      </c>
      <c r="K297" s="145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90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4">
        <f t="shared" si="16"/>
        <v>26</v>
      </c>
      <c r="J298" s="144">
        <f t="shared" si="17"/>
        <v>2</v>
      </c>
      <c r="K298" s="145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90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4">
        <f t="shared" si="16"/>
        <v>28</v>
      </c>
      <c r="J299" s="144">
        <f t="shared" si="17"/>
        <v>0</v>
      </c>
      <c r="K299" s="145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90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27</v>
      </c>
      <c r="J300" s="31">
        <f t="shared" si="17"/>
        <v>1</v>
      </c>
      <c r="K300" s="32">
        <f t="shared" si="18"/>
        <v>0.9642857142857143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8">
        <f t="shared" si="16"/>
        <v>28</v>
      </c>
      <c r="J316" s="88">
        <f t="shared" si="17"/>
        <v>0</v>
      </c>
      <c r="K316" s="89">
        <f t="shared" si="18"/>
        <v>1</v>
      </c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4">
        <f t="shared" si="16"/>
        <v>28</v>
      </c>
      <c r="J332" s="144">
        <f t="shared" si="17"/>
        <v>0</v>
      </c>
      <c r="K332" s="145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90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4">
        <f t="shared" si="16"/>
        <v>28</v>
      </c>
      <c r="J333" s="144">
        <f t="shared" si="17"/>
        <v>0</v>
      </c>
      <c r="K333" s="145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90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4">
        <f t="shared" si="16"/>
        <v>24</v>
      </c>
      <c r="J335" s="144">
        <f t="shared" si="17"/>
        <v>4</v>
      </c>
      <c r="K335" s="145">
        <f t="shared" si="18"/>
        <v>0.8571428571428571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90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4">
        <f t="shared" si="16"/>
        <v>24</v>
      </c>
      <c r="J336" s="144">
        <f t="shared" si="17"/>
        <v>4</v>
      </c>
      <c r="K336" s="145">
        <f t="shared" si="18"/>
        <v>0.8571428571428571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90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4"/>
      <c r="J345" s="144"/>
      <c r="K345" s="145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4"/>
      <c r="J346" s="144"/>
      <c r="K346" s="145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90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4"/>
      <c r="J347" s="144"/>
      <c r="K347" s="145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90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4"/>
      <c r="J348" s="144"/>
      <c r="K348" s="145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90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4">
        <f t="shared" si="16"/>
        <v>28</v>
      </c>
      <c r="J351" s="144">
        <f t="shared" si="17"/>
        <v>0</v>
      </c>
      <c r="K351" s="145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27</v>
      </c>
      <c r="J352" s="31">
        <f t="shared" si="17"/>
        <v>1</v>
      </c>
      <c r="K352" s="32">
        <f t="shared" si="18"/>
        <v>0.9642857142857143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26</v>
      </c>
      <c r="J354" s="31">
        <f t="shared" si="17"/>
        <v>2</v>
      </c>
      <c r="K354" s="32">
        <f t="shared" si="18"/>
        <v>0.9285714285714286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26</v>
      </c>
      <c r="J355" s="31">
        <f t="shared" si="17"/>
        <v>2</v>
      </c>
      <c r="K355" s="32">
        <f t="shared" si="18"/>
        <v>0.9285714285714286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27</v>
      </c>
      <c r="J356" s="31">
        <f t="shared" si="17"/>
        <v>1</v>
      </c>
      <c r="K356" s="32">
        <f t="shared" si="18"/>
        <v>0.9642857142857143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17</v>
      </c>
      <c r="J357" s="31">
        <f t="shared" si="17"/>
        <v>11</v>
      </c>
      <c r="K357" s="32">
        <f t="shared" si="18"/>
        <v>0.6071428571428571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90"/>
    </row>
    <row r="358" spans="1:41" s="92" customFormat="1" ht="15.75" thickBot="1" x14ac:dyDescent="0.3">
      <c r="A358" s="92" t="s">
        <v>402</v>
      </c>
      <c r="B358" s="92" t="s">
        <v>407</v>
      </c>
      <c r="C358" s="92" t="s">
        <v>1066</v>
      </c>
      <c r="D358" s="92" t="s">
        <v>408</v>
      </c>
      <c r="E358" s="93" t="s">
        <v>15</v>
      </c>
      <c r="F358" s="93" t="s">
        <v>20</v>
      </c>
      <c r="G358" s="93"/>
      <c r="H358" s="93" t="s">
        <v>791</v>
      </c>
      <c r="I358" s="31">
        <f t="shared" si="16"/>
        <v>17</v>
      </c>
      <c r="J358" s="31">
        <f t="shared" si="17"/>
        <v>11</v>
      </c>
      <c r="K358" s="32">
        <f t="shared" si="18"/>
        <v>0.6071428571428571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/>
      <c r="X358" s="70"/>
      <c r="Y358" s="70"/>
      <c r="Z358" s="70"/>
      <c r="AA358" s="70"/>
      <c r="AB358" s="70"/>
      <c r="AC358" s="70"/>
      <c r="AD358" s="94"/>
      <c r="AE358" s="94"/>
      <c r="AF358" s="70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4">
        <f t="shared" si="16"/>
        <v>17</v>
      </c>
      <c r="J359" s="144">
        <f t="shared" si="17"/>
        <v>11</v>
      </c>
      <c r="K359" s="145">
        <f t="shared" si="18"/>
        <v>0.6071428571428571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90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8">
        <f t="shared" si="16"/>
        <v>28</v>
      </c>
      <c r="J360" s="88">
        <f t="shared" si="17"/>
        <v>0</v>
      </c>
      <c r="K360" s="89">
        <f t="shared" si="18"/>
        <v>1</v>
      </c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26</v>
      </c>
      <c r="J361" s="31">
        <f t="shared" si="17"/>
        <v>2</v>
      </c>
      <c r="K361" s="32">
        <f t="shared" si="18"/>
        <v>0.9285714285714286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25</v>
      </c>
      <c r="J362" s="31">
        <f t="shared" si="17"/>
        <v>3</v>
      </c>
      <c r="K362" s="32">
        <f t="shared" si="18"/>
        <v>0.8928571428571429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25</v>
      </c>
      <c r="J363" s="31">
        <f t="shared" si="17"/>
        <v>3</v>
      </c>
      <c r="K363" s="32">
        <f t="shared" si="18"/>
        <v>0.8928571428571429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25</v>
      </c>
      <c r="J364" s="31">
        <f t="shared" ref="J364:J436" si="20">COUNTIF(L364:AM364,"APAGADO")</f>
        <v>3</v>
      </c>
      <c r="K364" s="32">
        <f t="shared" ref="K364:K436" si="21">(I364)/(J364+I364)</f>
        <v>0.8928571428571429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25</v>
      </c>
      <c r="J365" s="31">
        <f t="shared" si="20"/>
        <v>3</v>
      </c>
      <c r="K365" s="32">
        <f t="shared" si="21"/>
        <v>0.8928571428571429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25</v>
      </c>
      <c r="J366" s="31">
        <f t="shared" si="20"/>
        <v>3</v>
      </c>
      <c r="K366" s="32">
        <f t="shared" si="21"/>
        <v>0.8928571428571429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26</v>
      </c>
      <c r="J367" s="31">
        <f t="shared" si="20"/>
        <v>2</v>
      </c>
      <c r="K367" s="32">
        <f t="shared" si="21"/>
        <v>0.9285714285714286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26</v>
      </c>
      <c r="J368" s="31">
        <f t="shared" si="20"/>
        <v>2</v>
      </c>
      <c r="K368" s="32">
        <f t="shared" si="21"/>
        <v>0.9285714285714286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26</v>
      </c>
      <c r="J369" s="31">
        <f t="shared" si="20"/>
        <v>2</v>
      </c>
      <c r="K369" s="32">
        <f t="shared" si="21"/>
        <v>0.9285714285714286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26</v>
      </c>
      <c r="J370" s="31">
        <f t="shared" si="20"/>
        <v>2</v>
      </c>
      <c r="K370" s="32">
        <f t="shared" si="21"/>
        <v>0.9285714285714286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26</v>
      </c>
      <c r="J371" s="31">
        <f t="shared" si="20"/>
        <v>2</v>
      </c>
      <c r="K371" s="32">
        <f t="shared" si="21"/>
        <v>0.9285714285714286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17</v>
      </c>
      <c r="J372" s="31">
        <f t="shared" si="20"/>
        <v>11</v>
      </c>
      <c r="K372" s="32">
        <f t="shared" si="21"/>
        <v>0.6071428571428571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87"/>
      <c r="F373" s="85" t="s">
        <v>1306</v>
      </c>
      <c r="G373" s="85"/>
      <c r="H373" s="85" t="s">
        <v>1447</v>
      </c>
      <c r="I373" s="144">
        <f t="shared" si="19"/>
        <v>28</v>
      </c>
      <c r="J373" s="144">
        <f t="shared" si="20"/>
        <v>0</v>
      </c>
      <c r="K373" s="145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87"/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1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87"/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1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1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25</v>
      </c>
      <c r="J377" s="31">
        <f t="shared" si="20"/>
        <v>3</v>
      </c>
      <c r="K377" s="32">
        <f t="shared" si="21"/>
        <v>0.8928571428571429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8">
        <f t="shared" si="19"/>
        <v>28</v>
      </c>
      <c r="J381" s="88">
        <f t="shared" si="20"/>
        <v>0</v>
      </c>
      <c r="K381" s="89">
        <f t="shared" si="21"/>
        <v>1</v>
      </c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17</v>
      </c>
      <c r="J383" s="31">
        <f t="shared" si="20"/>
        <v>11</v>
      </c>
      <c r="K383" s="32">
        <f t="shared" si="21"/>
        <v>0.6071428571428571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17</v>
      </c>
      <c r="J384" s="31">
        <f t="shared" si="20"/>
        <v>11</v>
      </c>
      <c r="K384" s="32">
        <f t="shared" si="21"/>
        <v>0.6071428571428571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90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/>
      <c r="F389" s="85"/>
      <c r="G389" s="85"/>
      <c r="H389" s="85" t="s">
        <v>1640</v>
      </c>
      <c r="I389" s="144"/>
      <c r="J389" s="144"/>
      <c r="K389" s="145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90"/>
    </row>
    <row r="390" spans="1:41" s="92" customFormat="1" ht="15.75" thickBot="1" x14ac:dyDescent="0.3">
      <c r="A390" s="92" t="s">
        <v>433</v>
      </c>
      <c r="B390" s="92" t="s">
        <v>434</v>
      </c>
      <c r="C390" s="92" t="s">
        <v>1067</v>
      </c>
      <c r="D390" s="92" t="s">
        <v>435</v>
      </c>
      <c r="E390" s="93" t="s">
        <v>19</v>
      </c>
      <c r="F390" s="93" t="s">
        <v>20</v>
      </c>
      <c r="G390" s="93"/>
      <c r="H390" s="93" t="s">
        <v>808</v>
      </c>
      <c r="I390" s="31">
        <f t="shared" si="19"/>
        <v>17</v>
      </c>
      <c r="J390" s="31">
        <f t="shared" si="20"/>
        <v>11</v>
      </c>
      <c r="K390" s="32">
        <f t="shared" si="21"/>
        <v>0.6071428571428571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/>
      <c r="X390" s="70"/>
      <c r="Y390" s="70"/>
      <c r="Z390" s="70"/>
      <c r="AA390" s="70"/>
      <c r="AB390" s="70"/>
      <c r="AC390" s="70"/>
      <c r="AD390" s="94"/>
      <c r="AE390" s="94"/>
      <c r="AF390" s="70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85"/>
      <c r="F391" s="85" t="s">
        <v>1306</v>
      </c>
      <c r="G391" s="85"/>
      <c r="H391" s="85" t="s">
        <v>1421</v>
      </c>
      <c r="I391" s="144">
        <f t="shared" si="19"/>
        <v>19</v>
      </c>
      <c r="J391" s="144">
        <f t="shared" si="20"/>
        <v>9</v>
      </c>
      <c r="K391" s="145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90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87"/>
      <c r="F392" s="85" t="s">
        <v>1306</v>
      </c>
      <c r="G392" s="85"/>
      <c r="H392" s="85" t="s">
        <v>1411</v>
      </c>
      <c r="I392" s="144">
        <f t="shared" si="19"/>
        <v>28</v>
      </c>
      <c r="J392" s="144">
        <f t="shared" si="20"/>
        <v>0</v>
      </c>
      <c r="K392" s="145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4">
        <f t="shared" si="19"/>
        <v>28</v>
      </c>
      <c r="J394" s="144">
        <f t="shared" si="20"/>
        <v>0</v>
      </c>
      <c r="K394" s="145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s="92" customFormat="1" ht="15.75" thickBot="1" x14ac:dyDescent="0.3">
      <c r="A395" s="92" t="s">
        <v>438</v>
      </c>
      <c r="B395" s="92" t="s">
        <v>436</v>
      </c>
      <c r="C395" s="92" t="s">
        <v>1067</v>
      </c>
      <c r="D395" s="92" t="s">
        <v>437</v>
      </c>
      <c r="E395" s="93" t="s">
        <v>19</v>
      </c>
      <c r="F395" s="93" t="s">
        <v>20</v>
      </c>
      <c r="G395" s="93"/>
      <c r="H395" s="93" t="s">
        <v>809</v>
      </c>
      <c r="I395" s="31">
        <f t="shared" si="19"/>
        <v>17</v>
      </c>
      <c r="J395" s="31">
        <f t="shared" si="20"/>
        <v>11</v>
      </c>
      <c r="K395" s="32">
        <f t="shared" si="21"/>
        <v>0.6071428571428571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/>
      <c r="X395" s="70"/>
      <c r="Y395" s="70"/>
      <c r="Z395" s="70"/>
      <c r="AA395" s="70"/>
      <c r="AB395" s="70"/>
      <c r="AC395" s="70"/>
      <c r="AD395" s="94"/>
      <c r="AE395" s="94"/>
      <c r="AF395" s="70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4">
        <f t="shared" si="19"/>
        <v>28</v>
      </c>
      <c r="J396" s="144">
        <f t="shared" si="20"/>
        <v>0</v>
      </c>
      <c r="K396" s="145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4">
        <f t="shared" si="19"/>
        <v>28</v>
      </c>
      <c r="J399" s="144">
        <f t="shared" si="20"/>
        <v>0</v>
      </c>
      <c r="K399" s="145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90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90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4">
        <f t="shared" si="19"/>
        <v>28</v>
      </c>
      <c r="J410" s="144">
        <f t="shared" si="20"/>
        <v>0</v>
      </c>
      <c r="K410" s="145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90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4">
        <f t="shared" si="19"/>
        <v>28</v>
      </c>
      <c r="J411" s="144">
        <f t="shared" si="20"/>
        <v>0</v>
      </c>
      <c r="K411" s="145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90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17</v>
      </c>
      <c r="J416" s="31">
        <f t="shared" si="20"/>
        <v>11</v>
      </c>
      <c r="K416" s="32">
        <f t="shared" si="21"/>
        <v>0.6071428571428571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25</v>
      </c>
      <c r="J421" s="31">
        <f t="shared" si="20"/>
        <v>3</v>
      </c>
      <c r="K421" s="32">
        <f t="shared" si="21"/>
        <v>0.8928571428571429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4">
        <f t="shared" si="19"/>
        <v>28</v>
      </c>
      <c r="J424" s="144">
        <f t="shared" si="20"/>
        <v>0</v>
      </c>
      <c r="K424" s="145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17</v>
      </c>
      <c r="J428" s="31">
        <f t="shared" si="20"/>
        <v>11</v>
      </c>
      <c r="K428" s="32">
        <f t="shared" si="21"/>
        <v>0.6071428571428571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8" t="s">
        <v>1616</v>
      </c>
      <c r="E429" s="85" t="s">
        <v>15</v>
      </c>
      <c r="F429" s="85" t="s">
        <v>1306</v>
      </c>
      <c r="G429" s="85"/>
      <c r="H429" s="85" t="s">
        <v>1617</v>
      </c>
      <c r="I429" s="144"/>
      <c r="J429" s="144"/>
      <c r="K429" s="145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90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8" t="s">
        <v>1627</v>
      </c>
      <c r="E430" s="85" t="s">
        <v>19</v>
      </c>
      <c r="F430" s="85" t="s">
        <v>1306</v>
      </c>
      <c r="G430" s="85"/>
      <c r="H430" s="85" t="s">
        <v>1628</v>
      </c>
      <c r="I430" s="144"/>
      <c r="J430" s="144"/>
      <c r="K430" s="145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90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8" t="s">
        <v>1621</v>
      </c>
      <c r="E431" s="85" t="s">
        <v>73</v>
      </c>
      <c r="F431" s="85" t="s">
        <v>1306</v>
      </c>
      <c r="G431" s="85"/>
      <c r="H431" s="85" t="s">
        <v>1622</v>
      </c>
      <c r="I431" s="144"/>
      <c r="J431" s="144"/>
      <c r="K431" s="145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4">
        <f t="shared" si="19"/>
        <v>28</v>
      </c>
      <c r="J432" s="144">
        <f t="shared" si="20"/>
        <v>0</v>
      </c>
      <c r="K432" s="145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4">
        <f t="shared" si="19"/>
        <v>28</v>
      </c>
      <c r="J433" s="144">
        <f t="shared" si="20"/>
        <v>0</v>
      </c>
      <c r="K433" s="145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90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4">
        <f t="shared" si="19"/>
        <v>18</v>
      </c>
      <c r="J434" s="144">
        <f t="shared" si="20"/>
        <v>10</v>
      </c>
      <c r="K434" s="145">
        <f t="shared" si="21"/>
        <v>0.6428571428571429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90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4">
        <f t="shared" si="22"/>
        <v>28</v>
      </c>
      <c r="J444" s="144">
        <f t="shared" si="23"/>
        <v>0</v>
      </c>
      <c r="K444" s="145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90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8">
        <f t="shared" si="22"/>
        <v>28</v>
      </c>
      <c r="J445" s="88">
        <f t="shared" si="23"/>
        <v>0</v>
      </c>
      <c r="K445" s="89">
        <f t="shared" si="24"/>
        <v>1</v>
      </c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/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8" t="s">
        <v>1365</v>
      </c>
      <c r="F449" s="73" t="s">
        <v>1306</v>
      </c>
      <c r="H449" s="85" t="s">
        <v>1428</v>
      </c>
      <c r="I449" s="88">
        <f t="shared" si="22"/>
        <v>28</v>
      </c>
      <c r="J449" s="88">
        <f t="shared" si="23"/>
        <v>0</v>
      </c>
      <c r="K449" s="89">
        <f t="shared" si="24"/>
        <v>1</v>
      </c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8" t="s">
        <v>1623</v>
      </c>
      <c r="E450" s="73" t="s">
        <v>15</v>
      </c>
      <c r="F450" s="73" t="s">
        <v>1306</v>
      </c>
      <c r="H450" s="85" t="s">
        <v>1625</v>
      </c>
      <c r="I450" s="88"/>
      <c r="J450" s="88"/>
      <c r="K450" s="89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8" t="s">
        <v>1629</v>
      </c>
      <c r="E451" s="73" t="s">
        <v>19</v>
      </c>
      <c r="H451" s="85" t="s">
        <v>1637</v>
      </c>
      <c r="I451" s="88"/>
      <c r="J451" s="88"/>
      <c r="K451" s="89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8" t="s">
        <v>1630</v>
      </c>
      <c r="E452" s="73" t="s">
        <v>1118</v>
      </c>
      <c r="H452" s="85" t="s">
        <v>1635</v>
      </c>
      <c r="I452" s="88"/>
      <c r="J452" s="88"/>
      <c r="K452" s="89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8" t="s">
        <v>1633</v>
      </c>
      <c r="E453" s="73" t="s">
        <v>1118</v>
      </c>
      <c r="H453" s="85" t="s">
        <v>1634</v>
      </c>
      <c r="I453" s="88"/>
      <c r="J453" s="88"/>
      <c r="K453" s="89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4">
        <f t="shared" si="22"/>
        <v>28</v>
      </c>
      <c r="J454" s="144">
        <f t="shared" si="23"/>
        <v>0</v>
      </c>
      <c r="K454" s="145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90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4">
        <f t="shared" si="22"/>
        <v>28</v>
      </c>
      <c r="J472" s="144">
        <f t="shared" si="23"/>
        <v>0</v>
      </c>
      <c r="K472" s="145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90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/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4">
        <f t="shared" si="22"/>
        <v>28</v>
      </c>
      <c r="J475" s="144">
        <f t="shared" si="23"/>
        <v>0</v>
      </c>
      <c r="K475" s="145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90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4">
        <f t="shared" si="22"/>
        <v>28</v>
      </c>
      <c r="J487" s="144">
        <f t="shared" si="23"/>
        <v>0</v>
      </c>
      <c r="K487" s="145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90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4">
        <f t="shared" si="22"/>
        <v>28</v>
      </c>
      <c r="J494" s="144">
        <f t="shared" si="23"/>
        <v>0</v>
      </c>
      <c r="K494" s="145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90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4"/>
      <c r="J496" s="144"/>
      <c r="K496" s="145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4"/>
      <c r="J497" s="144"/>
      <c r="K497" s="145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90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26</v>
      </c>
      <c r="J498" s="31">
        <f t="shared" si="23"/>
        <v>2</v>
      </c>
      <c r="K498" s="32">
        <f t="shared" si="24"/>
        <v>0.9285714285714286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26</v>
      </c>
      <c r="J499" s="31">
        <f t="shared" si="23"/>
        <v>2</v>
      </c>
      <c r="K499" s="32">
        <f t="shared" si="24"/>
        <v>0.9285714285714286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17</v>
      </c>
      <c r="J500" s="31">
        <f t="shared" si="23"/>
        <v>11</v>
      </c>
      <c r="K500" s="32">
        <f t="shared" si="24"/>
        <v>0.6071428571428571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17</v>
      </c>
      <c r="J501" s="31">
        <f t="shared" si="23"/>
        <v>11</v>
      </c>
      <c r="K501" s="32">
        <f t="shared" si="24"/>
        <v>0.6071428571428571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26</v>
      </c>
      <c r="J502" s="31">
        <f t="shared" si="23"/>
        <v>2</v>
      </c>
      <c r="K502" s="32">
        <f t="shared" si="24"/>
        <v>0.9285714285714286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26</v>
      </c>
      <c r="J503" s="31">
        <f t="shared" si="23"/>
        <v>2</v>
      </c>
      <c r="K503" s="32">
        <f t="shared" si="24"/>
        <v>0.9285714285714286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2" customFormat="1" ht="15.75" thickBot="1" x14ac:dyDescent="0.3">
      <c r="A504" s="73" t="s">
        <v>409</v>
      </c>
      <c r="B504" s="73" t="s">
        <v>548</v>
      </c>
      <c r="C504" s="92" t="s">
        <v>1066</v>
      </c>
      <c r="D504" s="73" t="s">
        <v>549</v>
      </c>
      <c r="E504" s="93" t="s">
        <v>19</v>
      </c>
      <c r="F504" s="85" t="s">
        <v>28</v>
      </c>
      <c r="G504" s="85"/>
      <c r="H504" s="85" t="s">
        <v>878</v>
      </c>
      <c r="I504" s="31">
        <f t="shared" si="22"/>
        <v>26</v>
      </c>
      <c r="J504" s="31">
        <f t="shared" si="23"/>
        <v>2</v>
      </c>
      <c r="K504" s="32">
        <f t="shared" si="24"/>
        <v>0.9285714285714286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2" customFormat="1" ht="15.75" thickBot="1" x14ac:dyDescent="0.3">
      <c r="A505" s="73" t="s">
        <v>409</v>
      </c>
      <c r="B505" s="73" t="s">
        <v>558</v>
      </c>
      <c r="C505" s="92" t="s">
        <v>1066</v>
      </c>
      <c r="D505" s="73" t="s">
        <v>559</v>
      </c>
      <c r="E505" s="93" t="s">
        <v>15</v>
      </c>
      <c r="F505" s="85" t="s">
        <v>28</v>
      </c>
      <c r="G505" s="85"/>
      <c r="H505" s="85" t="s">
        <v>1514</v>
      </c>
      <c r="I505" s="31">
        <f t="shared" si="22"/>
        <v>26</v>
      </c>
      <c r="J505" s="31">
        <f t="shared" si="23"/>
        <v>2</v>
      </c>
      <c r="K505" s="32">
        <f t="shared" si="24"/>
        <v>0.9285714285714286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85"/>
      <c r="F506" s="85" t="s">
        <v>1306</v>
      </c>
      <c r="G506" s="85"/>
      <c r="H506" s="85" t="s">
        <v>1357</v>
      </c>
      <c r="I506" s="144">
        <f t="shared" si="22"/>
        <v>28</v>
      </c>
      <c r="J506" s="144">
        <f t="shared" si="23"/>
        <v>0</v>
      </c>
      <c r="K506" s="145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90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4">
        <f t="shared" ref="I508:I546" si="25">COUNTIF(L508:AM508,"")</f>
        <v>28</v>
      </c>
      <c r="J508" s="144">
        <f t="shared" ref="J508:J546" si="26">COUNTIF(L508:AM508,"APAGADO")</f>
        <v>0</v>
      </c>
      <c r="K508" s="145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4">
        <f t="shared" si="25"/>
        <v>24</v>
      </c>
      <c r="J509" s="144">
        <f t="shared" si="26"/>
        <v>4</v>
      </c>
      <c r="K509" s="145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4">
        <f t="shared" si="25"/>
        <v>24</v>
      </c>
      <c r="J511" s="144">
        <f t="shared" si="26"/>
        <v>4</v>
      </c>
      <c r="K511" s="145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90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4">
        <f t="shared" si="25"/>
        <v>28</v>
      </c>
      <c r="J513" s="144">
        <f t="shared" si="26"/>
        <v>0</v>
      </c>
      <c r="K513" s="145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90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4">
        <f t="shared" si="25"/>
        <v>28</v>
      </c>
      <c r="J514" s="144">
        <f t="shared" si="26"/>
        <v>0</v>
      </c>
      <c r="K514" s="145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90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4">
        <f t="shared" si="25"/>
        <v>28</v>
      </c>
      <c r="J516" s="144">
        <f t="shared" si="26"/>
        <v>0</v>
      </c>
      <c r="K516" s="145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90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4"/>
      <c r="J517" s="144"/>
      <c r="K517" s="145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90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4"/>
      <c r="J518" s="144"/>
      <c r="K518" s="145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18</v>
      </c>
      <c r="J519" s="31">
        <f t="shared" si="26"/>
        <v>10</v>
      </c>
      <c r="K519" s="32">
        <f t="shared" si="27"/>
        <v>0.6428571428571429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18</v>
      </c>
      <c r="J521" s="31">
        <f t="shared" si="26"/>
        <v>10</v>
      </c>
      <c r="K521" s="32">
        <f t="shared" si="27"/>
        <v>0.6428571428571429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4">
        <f t="shared" si="25"/>
        <v>28</v>
      </c>
      <c r="J523" s="144">
        <f t="shared" si="26"/>
        <v>0</v>
      </c>
      <c r="K523" s="145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90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4">
        <f t="shared" si="25"/>
        <v>28</v>
      </c>
      <c r="J540" s="144">
        <f t="shared" si="26"/>
        <v>0</v>
      </c>
      <c r="K540" s="145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90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4">
        <f t="shared" si="25"/>
        <v>28</v>
      </c>
      <c r="J541" s="144">
        <f t="shared" si="26"/>
        <v>0</v>
      </c>
      <c r="K541" s="145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90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4">
        <f t="shared" si="25"/>
        <v>25</v>
      </c>
      <c r="J542" s="144">
        <f t="shared" si="26"/>
        <v>3</v>
      </c>
      <c r="K542" s="145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90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4">
        <f t="shared" si="25"/>
        <v>17</v>
      </c>
      <c r="J543" s="144">
        <f t="shared" si="26"/>
        <v>11</v>
      </c>
      <c r="K543" s="145">
        <f t="shared" si="27"/>
        <v>0.6071428571428571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90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4">
        <f t="shared" si="25"/>
        <v>28</v>
      </c>
      <c r="J544" s="144">
        <f t="shared" si="26"/>
        <v>0</v>
      </c>
      <c r="K544" s="145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90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4">
        <f t="shared" si="25"/>
        <v>28</v>
      </c>
      <c r="J545" s="144">
        <f t="shared" si="26"/>
        <v>0</v>
      </c>
      <c r="K545" s="145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90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4">
        <f t="shared" si="25"/>
        <v>28</v>
      </c>
      <c r="J546" s="144">
        <f t="shared" si="26"/>
        <v>0</v>
      </c>
      <c r="K546" s="145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90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0" priority="492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29" priority="491" operator="equal">
      <formula>$C$273</formula>
    </cfRule>
  </conditionalFormatting>
  <conditionalFormatting sqref="C1:C546 D20:D21 D154 D207 D259:D260 D270:D272 D373:D376 D388:D389 D392 C629:C1048576">
    <cfRule type="cellIs" dxfId="128" priority="37" operator="equal">
      <formula>"IPCOMS"</formula>
    </cfRule>
  </conditionalFormatting>
  <conditionalFormatting sqref="E1:E35 E37:E214 E216:E372 E376:E391 E393:E523 E536:E546 E629:E1048576">
    <cfRule type="containsText" dxfId="127" priority="497" operator="containsText" text="fija">
      <formula>NOT(ISERROR(SEARCH("fija",E1)))</formula>
    </cfRule>
    <cfRule type="containsText" dxfId="126" priority="498" operator="containsText" text="domo">
      <formula>NOT(ISERROR(SEARCH("domo",E1)))</formula>
    </cfRule>
  </conditionalFormatting>
  <conditionalFormatting sqref="E35">
    <cfRule type="containsText" dxfId="125" priority="21" operator="containsText" text="Radio">
      <formula>NOT(ISERROR(SEARCH("Radio",E35)))</formula>
    </cfRule>
  </conditionalFormatting>
  <conditionalFormatting sqref="E376">
    <cfRule type="containsText" dxfId="124" priority="20" operator="containsText" text="Radio">
      <formula>NOT(ISERROR(SEARCH("Radio",E376)))</formula>
    </cfRule>
  </conditionalFormatting>
  <conditionalFormatting sqref="E393:E546 E37:E214 E216:E372 E376:E391 E629:E1048576 E1:E35">
    <cfRule type="cellIs" dxfId="123" priority="493" operator="equal">
      <formula>$E$10</formula>
    </cfRule>
  </conditionalFormatting>
  <conditionalFormatting sqref="E525">
    <cfRule type="containsText" dxfId="122" priority="440" operator="containsText" text="Radio">
      <formula>NOT(ISERROR(SEARCH("Radio",E525)))</formula>
    </cfRule>
    <cfRule type="containsText" dxfId="121" priority="439" operator="containsText" text="domo">
      <formula>NOT(ISERROR(SEARCH("domo",E525)))</formula>
    </cfRule>
    <cfRule type="containsText" dxfId="120" priority="438" operator="containsText" text="fija">
      <formula>NOT(ISERROR(SEARCH("fija",E525)))</formula>
    </cfRule>
  </conditionalFormatting>
  <conditionalFormatting sqref="E525:E526">
    <cfRule type="containsText" dxfId="119" priority="434" operator="containsText" text="domo">
      <formula>NOT(ISERROR(SEARCH("domo",E525)))</formula>
    </cfRule>
    <cfRule type="containsText" dxfId="118" priority="433" operator="containsText" text="fija">
      <formula>NOT(ISERROR(SEARCH("fija",E525)))</formula>
    </cfRule>
  </conditionalFormatting>
  <conditionalFormatting sqref="E526">
    <cfRule type="containsText" dxfId="117" priority="431" operator="containsText" text="fija">
      <formula>NOT(ISERROR(SEARCH("fija",E526)))</formula>
    </cfRule>
    <cfRule type="containsText" dxfId="116" priority="435" operator="containsText" text="Radio">
      <formula>NOT(ISERROR(SEARCH("Radio",E526)))</formula>
    </cfRule>
    <cfRule type="containsText" dxfId="115" priority="432" operator="containsText" text="domo">
      <formula>NOT(ISERROR(SEARCH("domo",E526)))</formula>
    </cfRule>
  </conditionalFormatting>
  <conditionalFormatting sqref="E529">
    <cfRule type="containsText" dxfId="114" priority="430" operator="containsText" text="Radio">
      <formula>NOT(ISERROR(SEARCH("Radio",E529)))</formula>
    </cfRule>
    <cfRule type="containsText" dxfId="113" priority="429" operator="containsText" text="domo">
      <formula>NOT(ISERROR(SEARCH("domo",E529)))</formula>
    </cfRule>
    <cfRule type="containsText" dxfId="112" priority="428" operator="containsText" text="fija">
      <formula>NOT(ISERROR(SEARCH("fija",E529)))</formula>
    </cfRule>
  </conditionalFormatting>
  <conditionalFormatting sqref="E529:E530">
    <cfRule type="containsText" dxfId="111" priority="424" operator="containsText" text="domo">
      <formula>NOT(ISERROR(SEARCH("domo",E529)))</formula>
    </cfRule>
    <cfRule type="containsText" dxfId="110" priority="423" operator="containsText" text="fija">
      <formula>NOT(ISERROR(SEARCH("fija",E529)))</formula>
    </cfRule>
  </conditionalFormatting>
  <conditionalFormatting sqref="E530 F35:G42 E43:H129 F130:F131 E139:H214 E216:F216 E217:H371 E372:F372 F373:F376 E377:H391 F392 E393:H523 E536:H546 E629:H1048576 E130:E138 H372 G372:G376">
    <cfRule type="containsText" dxfId="109" priority="425" operator="containsText" text="Radio">
      <formula>NOT(ISERROR(SEARCH("Radio",E35)))</formula>
    </cfRule>
  </conditionalFormatting>
  <conditionalFormatting sqref="E530:E531">
    <cfRule type="containsText" dxfId="108" priority="418" operator="containsText" text="fija">
      <formula>NOT(ISERROR(SEARCH("fija",E530)))</formula>
    </cfRule>
    <cfRule type="containsText" dxfId="107" priority="419" operator="containsText" text="domo">
      <formula>NOT(ISERROR(SEARCH("domo",E530)))</formula>
    </cfRule>
  </conditionalFormatting>
  <conditionalFormatting sqref="E531">
    <cfRule type="containsText" dxfId="106" priority="420" operator="containsText" text="Radio">
      <formula>NOT(ISERROR(SEARCH("Radio",E531)))</formula>
    </cfRule>
  </conditionalFormatting>
  <conditionalFormatting sqref="E531:E532">
    <cfRule type="containsText" dxfId="105" priority="413" operator="containsText" text="fija">
      <formula>NOT(ISERROR(SEARCH("fija",E531)))</formula>
    </cfRule>
    <cfRule type="containsText" dxfId="104" priority="414" operator="containsText" text="domo">
      <formula>NOT(ISERROR(SEARCH("domo",E531)))</formula>
    </cfRule>
  </conditionalFormatting>
  <conditionalFormatting sqref="E532">
    <cfRule type="containsText" dxfId="103" priority="415" operator="containsText" text="Radio">
      <formula>NOT(ISERROR(SEARCH("Radio",E532)))</formula>
    </cfRule>
    <cfRule type="containsText" dxfId="102" priority="412" operator="containsText" text="domo">
      <formula>NOT(ISERROR(SEARCH("domo",E532)))</formula>
    </cfRule>
    <cfRule type="containsText" dxfId="101" priority="411" operator="containsText" text="fija">
      <formula>NOT(ISERROR(SEARCH("fija",E532)))</formula>
    </cfRule>
  </conditionalFormatting>
  <conditionalFormatting sqref="E534">
    <cfRule type="containsText" dxfId="100" priority="710" operator="containsText" text="domo">
      <formula>NOT(ISERROR(SEARCH("domo",E534)))</formula>
    </cfRule>
    <cfRule type="containsText" dxfId="99" priority="709" operator="containsText" text="fija">
      <formula>NOT(ISERROR(SEARCH("fija",E534)))</formula>
    </cfRule>
  </conditionalFormatting>
  <conditionalFormatting sqref="E537:E539">
    <cfRule type="containsText" dxfId="98" priority="441" operator="containsText" text="fija">
      <formula>NOT(ISERROR(SEARCH("fija",E537)))</formula>
    </cfRule>
    <cfRule type="containsText" dxfId="97" priority="442" operator="containsText" text="domo">
      <formula>NOT(ISERROR(SEARCH("domo",E537)))</formula>
    </cfRule>
  </conditionalFormatting>
  <conditionalFormatting sqref="E1:H34 E37:E42">
    <cfRule type="containsText" dxfId="96" priority="35" operator="containsText" text="Radio">
      <formula>NOT(ISERROR(SEARCH("Radio",E1)))</formula>
    </cfRule>
  </conditionalFormatting>
  <conditionalFormatting sqref="E534:H534">
    <cfRule type="containsText" dxfId="95" priority="966" operator="containsText" text="Radio">
      <formula>NOT(ISERROR(SEARCH("Radio",E534)))</formula>
    </cfRule>
  </conditionalFormatting>
  <conditionalFormatting sqref="F1:F131 F139:F546 F629:F1048576">
    <cfRule type="cellIs" dxfId="94" priority="38" operator="equal">
      <formula>"GPON"</formula>
    </cfRule>
    <cfRule type="cellIs" dxfId="93" priority="39" operator="equal">
      <formula>"GPON"</formula>
    </cfRule>
  </conditionalFormatting>
  <conditionalFormatting sqref="F134">
    <cfRule type="cellIs" dxfId="92" priority="27" operator="equal">
      <formula>"GPON"</formula>
    </cfRule>
    <cfRule type="cellIs" dxfId="91" priority="26" operator="equal">
      <formula>"GPON"</formula>
    </cfRule>
    <cfRule type="cellIs" dxfId="90" priority="29" operator="equal">
      <formula>$F$13</formula>
    </cfRule>
    <cfRule type="cellIs" dxfId="89" priority="30" operator="equal">
      <formula>"PTP A FO"</formula>
    </cfRule>
    <cfRule type="cellIs" dxfId="88" priority="31" operator="equal">
      <formula>"PTP A FO"</formula>
    </cfRule>
    <cfRule type="containsText" dxfId="87" priority="28" operator="containsText" text="Radio">
      <formula>NOT(ISERROR(SEARCH("Radio",F134)))</formula>
    </cfRule>
  </conditionalFormatting>
  <conditionalFormatting sqref="F137:F138">
    <cfRule type="cellIs" dxfId="86" priority="6" operator="equal">
      <formula>"PTP A FO"</formula>
    </cfRule>
    <cfRule type="cellIs" dxfId="85" priority="5" operator="equal">
      <formula>"PTP A FO"</formula>
    </cfRule>
    <cfRule type="cellIs" dxfId="84" priority="1" operator="equal">
      <formula>"GPON"</formula>
    </cfRule>
    <cfRule type="cellIs" dxfId="83" priority="4" operator="equal">
      <formula>$F$13</formula>
    </cfRule>
    <cfRule type="containsText" dxfId="82" priority="3" operator="containsText" text="Radio">
      <formula>NOT(ISERROR(SEARCH("Radio",F137)))</formula>
    </cfRule>
    <cfRule type="cellIs" dxfId="81" priority="2" operator="equal">
      <formula>"GPON"</formula>
    </cfRule>
  </conditionalFormatting>
  <conditionalFormatting sqref="F215">
    <cfRule type="containsText" dxfId="80" priority="16" operator="containsText" text="Radio">
      <formula>NOT(ISERROR(SEARCH("Radio",F215)))</formula>
    </cfRule>
  </conditionalFormatting>
  <conditionalFormatting sqref="F215:F216">
    <cfRule type="cellIs" dxfId="79" priority="19" operator="equal">
      <formula>"PTP A FO"</formula>
    </cfRule>
    <cfRule type="cellIs" dxfId="78" priority="18" operator="equal">
      <formula>"PTP A FO"</formula>
    </cfRule>
    <cfRule type="cellIs" dxfId="77" priority="17" operator="equal">
      <formula>$F$13</formula>
    </cfRule>
  </conditionalFormatting>
  <conditionalFormatting sqref="F216">
    <cfRule type="cellIs" dxfId="76" priority="15" operator="equal">
      <formula>"PTP A FO"</formula>
    </cfRule>
    <cfRule type="cellIs" dxfId="75" priority="14" operator="equal">
      <formula>"PTP A FO"</formula>
    </cfRule>
    <cfRule type="cellIs" dxfId="74" priority="13" operator="equal">
      <formula>$F$13</formula>
    </cfRule>
  </conditionalFormatting>
  <conditionalFormatting sqref="F392">
    <cfRule type="containsText" dxfId="73" priority="22" operator="containsText" text="Radio">
      <formula>NOT(ISERROR(SEARCH("Radio",F392)))</formula>
    </cfRule>
    <cfRule type="cellIs" dxfId="72" priority="24" operator="equal">
      <formula>"PTP A FO"</formula>
    </cfRule>
    <cfRule type="cellIs" dxfId="71" priority="25" operator="equal">
      <formula>"PTP A FO"</formula>
    </cfRule>
    <cfRule type="cellIs" dxfId="70" priority="23" operator="equal">
      <formula>$F$13</formula>
    </cfRule>
  </conditionalFormatting>
  <conditionalFormatting sqref="F524">
    <cfRule type="cellIs" dxfId="69" priority="89" operator="equal">
      <formula>"PTP A FO"</formula>
    </cfRule>
    <cfRule type="containsText" dxfId="68" priority="88" operator="containsText" text="Radio">
      <formula>NOT(ISERROR(SEARCH("Radio",F524)))</formula>
    </cfRule>
  </conditionalFormatting>
  <conditionalFormatting sqref="F1:G129 F130:F131 F139:G214 F217:G391 F392 F393:G523 F534:G534 F536:G546 F629:G1048576">
    <cfRule type="cellIs" dxfId="67" priority="690" operator="equal">
      <formula>"PTP A FO"</formula>
    </cfRule>
  </conditionalFormatting>
  <conditionalFormatting sqref="F1:G129 F130:F131 F139:G214 F217:G391 F392 F393:G546 F629:G1048576">
    <cfRule type="cellIs" dxfId="66" priority="495" operator="equal">
      <formula>"PTP A FO"</formula>
    </cfRule>
    <cfRule type="cellIs" dxfId="65" priority="494" operator="equal">
      <formula>$F$13</formula>
    </cfRule>
  </conditionalFormatting>
  <conditionalFormatting sqref="K7:K546">
    <cfRule type="cellIs" dxfId="64" priority="925" operator="lessThan">
      <formula>0.8</formula>
    </cfRule>
    <cfRule type="cellIs" dxfId="63" priority="926" operator="greaterThan">
      <formula>0.8</formula>
    </cfRule>
  </conditionalFormatting>
  <conditionalFormatting sqref="L629:AN705 V629:AG1048576">
    <cfRule type="cellIs" dxfId="62" priority="72" operator="equal">
      <formula>"apagado"</formula>
    </cfRule>
  </conditionalFormatting>
  <conditionalFormatting sqref="L629:AN1048576">
    <cfRule type="containsText" dxfId="61" priority="622" operator="containsText" text="Caida">
      <formula>NOT(ISERROR(SEARCH("Caida",L629)))</formula>
    </cfRule>
    <cfRule type="notContainsText" dxfId="60" priority="955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59" priority="71" operator="equal">
      <formula>"APAGADO"</formula>
    </cfRule>
  </conditionalFormatting>
  <conditionalFormatting sqref="N629:N1148">
    <cfRule type="cellIs" dxfId="58" priority="254" operator="greaterThan">
      <formula>0.8</formula>
    </cfRule>
    <cfRule type="cellIs" dxfId="57" priority="277" operator="greaterThan">
      <formula>0.8</formula>
    </cfRule>
    <cfRule type="cellIs" dxfId="56" priority="381" operator="equal">
      <formula>"APAGADO"</formula>
    </cfRule>
    <cfRule type="containsText" dxfId="55" priority="252" operator="containsText" text="Caida">
      <formula>NOT(ISERROR(SEARCH("Caida",N629)))</formula>
    </cfRule>
    <cfRule type="notContainsText" dxfId="54" priority="251" operator="notContains" text="Caida">
      <formula>ISERROR(SEARCH("Caida",N629))</formula>
    </cfRule>
    <cfRule type="cellIs" dxfId="53" priority="253" operator="lessThan">
      <formula>0.8</formula>
    </cfRule>
  </conditionalFormatting>
  <conditionalFormatting sqref="N629:N1048576">
    <cfRule type="cellIs" dxfId="52" priority="27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100" zoomScale="90" zoomScaleNormal="90" workbookViewId="0">
      <selection activeCell="B111" sqref="B111:F1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539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0.11502782931354361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0.1038961038961039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8.1632653061224483E-2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6.4935064935064929E-2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290</v>
      </c>
      <c r="D9" s="116">
        <f>Hoja1!F3</f>
        <v>38</v>
      </c>
      <c r="E9" s="106">
        <f>D9/C9</f>
        <v>0.1310344827586207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249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539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0.12987012987012986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0.11873840445269017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9.6474953617810763E-2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7.9777365491651209E-2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290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249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539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0.12615955473098331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0.12615955473098331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0.10575139146567718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0.10575139146567718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290</v>
      </c>
      <c r="D31" s="116">
        <f>Hoja1!H3</f>
        <v>34</v>
      </c>
      <c r="E31" s="106">
        <f>D31/C31</f>
        <v>0.11724137931034483</v>
      </c>
      <c r="F31" s="150"/>
    </row>
    <row r="32" spans="1:6" ht="15.75" thickBot="1" x14ac:dyDescent="0.3">
      <c r="B32" s="113" t="s">
        <v>1067</v>
      </c>
      <c r="C32" s="114">
        <f>COSEIDIcam</f>
        <v>249</v>
      </c>
      <c r="D32" s="114">
        <f>Hoja1!H5</f>
        <v>34</v>
      </c>
      <c r="E32" s="115">
        <f>D32/C32</f>
        <v>0.13654618473895583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539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0.10575139146567718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9.4619666048237475E-2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7.2356215213358069E-2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5.5658627087198514E-2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290</v>
      </c>
      <c r="D42" s="116">
        <f>Hoja1!I3</f>
        <v>35</v>
      </c>
      <c r="E42" s="106">
        <f>D42/C42</f>
        <v>0.1206896551724138</v>
      </c>
      <c r="F42" s="150"/>
    </row>
    <row r="43" spans="1:6" ht="15.75" thickBot="1" x14ac:dyDescent="0.3">
      <c r="B43" s="113" t="s">
        <v>1067</v>
      </c>
      <c r="C43" s="114">
        <f>COSEIDIcam</f>
        <v>249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539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9.2764378478664186E-2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8.1632653061224483E-2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6.1224489795918366E-2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4.4526901669758812E-2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290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249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539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290</v>
      </c>
      <c r="D64" s="116">
        <f>Hoja1!K3</f>
        <v>46</v>
      </c>
      <c r="E64" s="106">
        <f>D64/C64</f>
        <v>0.15862068965517243</v>
      </c>
      <c r="F64" s="150"/>
    </row>
    <row r="65" spans="1:6" ht="15.75" thickBot="1" x14ac:dyDescent="0.3">
      <c r="B65" s="113" t="s">
        <v>1067</v>
      </c>
      <c r="C65" s="114">
        <f>COSEIDIcam</f>
        <v>249</v>
      </c>
      <c r="D65" s="114">
        <f>Hoja1!K5</f>
        <v>34</v>
      </c>
      <c r="E65" s="115">
        <f>D65/C65</f>
        <v>0.13654618473895583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539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0.13172541743970315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0.13172541743970315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0.10575139146567718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0.10575139146567718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290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249</v>
      </c>
      <c r="D76" s="114">
        <f>Hoja1!L5</f>
        <v>37</v>
      </c>
      <c r="E76" s="115">
        <f>D76/C76</f>
        <v>0.14859437751004015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539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0.10575139146567718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9.4619666048237475E-2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6.8645640074211506E-2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5.1948051948051951E-2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290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249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539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50"/>
    </row>
    <row r="92" spans="1:6" x14ac:dyDescent="0.25">
      <c r="B92" s="53" t="s">
        <v>1248</v>
      </c>
      <c r="C92" s="67">
        <v>6</v>
      </c>
      <c r="D92" s="104">
        <v>48</v>
      </c>
      <c r="E92" s="55">
        <f>D92/C90</f>
        <v>8.9053803339517623E-2</v>
      </c>
      <c r="F92" s="150"/>
    </row>
    <row r="93" spans="1:6" x14ac:dyDescent="0.25">
      <c r="B93" s="53" t="s">
        <v>1249</v>
      </c>
      <c r="C93" s="67">
        <v>6</v>
      </c>
      <c r="D93" s="104">
        <f>D92-C93</f>
        <v>42</v>
      </c>
      <c r="E93" s="55">
        <f>D93/C90</f>
        <v>7.792207792207792E-2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10</v>
      </c>
      <c r="D94" s="104">
        <f>D93-C94</f>
        <v>32</v>
      </c>
      <c r="E94" s="55">
        <f>D94/C90</f>
        <v>5.9369202226345084E-2</v>
      </c>
      <c r="F94" s="150"/>
    </row>
    <row r="95" spans="1:6" ht="15.75" thickBot="1" x14ac:dyDescent="0.3">
      <c r="B95" s="56" t="s">
        <v>1470</v>
      </c>
      <c r="C95" s="132">
        <v>9</v>
      </c>
      <c r="D95" s="105">
        <v>23</v>
      </c>
      <c r="E95" s="74">
        <f>D95/C90</f>
        <v>4.267161410018553E-2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290</v>
      </c>
      <c r="D97" s="116">
        <f>Hoja1!N3</f>
        <v>26</v>
      </c>
      <c r="E97" s="106">
        <f>D97/C97</f>
        <v>8.9655172413793102E-2</v>
      </c>
      <c r="F97" s="150"/>
    </row>
    <row r="98" spans="1:6" ht="15.75" thickBot="1" x14ac:dyDescent="0.3">
      <c r="B98" s="113" t="s">
        <v>1067</v>
      </c>
      <c r="C98" s="114">
        <f>COSEIDIcam</f>
        <v>249</v>
      </c>
      <c r="D98" s="114">
        <f>Hoja1!N5</f>
        <v>28</v>
      </c>
      <c r="E98" s="115">
        <v>0.12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539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50"/>
    </row>
    <row r="103" spans="1:6" x14ac:dyDescent="0.25">
      <c r="B103" s="53" t="s">
        <v>1248</v>
      </c>
      <c r="C103" s="67">
        <v>7</v>
      </c>
      <c r="D103" s="104">
        <f>C102-C103</f>
        <v>53</v>
      </c>
      <c r="E103" s="55">
        <f>D103/C101</f>
        <v>9.8330241187384038E-2</v>
      </c>
      <c r="F103" s="150"/>
    </row>
    <row r="104" spans="1:6" x14ac:dyDescent="0.25">
      <c r="B104" s="53" t="s">
        <v>1249</v>
      </c>
      <c r="C104" s="67">
        <v>6</v>
      </c>
      <c r="D104" s="104">
        <f>D103-C104</f>
        <v>47</v>
      </c>
      <c r="E104" s="55">
        <f>D104/C101</f>
        <v>8.7198515769944335E-2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13</v>
      </c>
      <c r="D105" s="104">
        <f>D104-C105</f>
        <v>34</v>
      </c>
      <c r="E105" s="55">
        <f>D105/C101</f>
        <v>6.3079777365491654E-2</v>
      </c>
      <c r="F105" s="150"/>
    </row>
    <row r="106" spans="1:6" ht="15.75" thickBot="1" x14ac:dyDescent="0.3">
      <c r="B106" s="56" t="s">
        <v>1470</v>
      </c>
      <c r="C106" s="132">
        <v>9</v>
      </c>
      <c r="D106" s="105">
        <f>D105-C106</f>
        <v>25</v>
      </c>
      <c r="E106" s="74">
        <f>D106/C101</f>
        <v>4.6382189239332093E-2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290</v>
      </c>
      <c r="D108" s="116">
        <f>Hoja1!O3</f>
        <v>29</v>
      </c>
      <c r="E108" s="106">
        <f>D108/C108</f>
        <v>0.1</v>
      </c>
      <c r="F108" s="150"/>
    </row>
    <row r="109" spans="1:6" ht="15.75" thickBot="1" x14ac:dyDescent="0.3">
      <c r="B109" s="113" t="s">
        <v>1067</v>
      </c>
      <c r="C109" s="114">
        <f>COSEIDIcam</f>
        <v>249</v>
      </c>
      <c r="D109" s="114">
        <f>Hoja1!O5</f>
        <v>31</v>
      </c>
      <c r="E109" s="115">
        <f>D109/C109</f>
        <v>0.12449799196787148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539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50"/>
    </row>
    <row r="114" spans="2:6" x14ac:dyDescent="0.25">
      <c r="B114" s="53" t="s">
        <v>1248</v>
      </c>
      <c r="C114" s="67">
        <v>8</v>
      </c>
      <c r="D114" s="104">
        <f>C113-C114</f>
        <v>66</v>
      </c>
      <c r="E114" s="55">
        <f>D114/C112</f>
        <v>0.12244897959183673</v>
      </c>
      <c r="F114" s="150"/>
    </row>
    <row r="115" spans="2:6" x14ac:dyDescent="0.25">
      <c r="B115" s="53" t="s">
        <v>1249</v>
      </c>
      <c r="C115" s="67">
        <v>6</v>
      </c>
      <c r="D115" s="104">
        <v>60</v>
      </c>
      <c r="E115" s="55">
        <f>D115/C112</f>
        <v>0.11131725417439703</v>
      </c>
      <c r="F115" s="150"/>
    </row>
    <row r="116" spans="2:6" x14ac:dyDescent="0.25">
      <c r="B116" s="53" t="s">
        <v>16</v>
      </c>
      <c r="C116" s="95">
        <f>'RESUMEN TOTAL'!V5</f>
        <v>10</v>
      </c>
      <c r="D116" s="104">
        <v>50</v>
      </c>
      <c r="E116" s="55">
        <f>D116/C112</f>
        <v>9.2764378478664186E-2</v>
      </c>
      <c r="F116" s="150"/>
    </row>
    <row r="117" spans="2:6" ht="15.75" thickBot="1" x14ac:dyDescent="0.3">
      <c r="B117" s="56" t="s">
        <v>1470</v>
      </c>
      <c r="C117" s="132">
        <v>9</v>
      </c>
      <c r="D117" s="105">
        <v>41</v>
      </c>
      <c r="E117" s="74">
        <f>D117/C112</f>
        <v>7.6066790352504632E-2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290</v>
      </c>
      <c r="D119" s="116">
        <f>Hoja1!P3</f>
        <v>47</v>
      </c>
      <c r="E119" s="106">
        <f>D119/C119</f>
        <v>0.16206896551724137</v>
      </c>
      <c r="F119" s="150"/>
    </row>
    <row r="120" spans="2:6" ht="15.75" thickBot="1" x14ac:dyDescent="0.3">
      <c r="B120" s="113" t="s">
        <v>1067</v>
      </c>
      <c r="C120" s="114">
        <f>COSEIDIcam</f>
        <v>249</v>
      </c>
      <c r="D120" s="114">
        <f>Hoja1!P5</f>
        <v>27</v>
      </c>
      <c r="E120" s="115">
        <f>D120/C120</f>
        <v>0.10843373493975904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539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290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249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539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290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249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539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290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249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539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290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249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539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290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249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539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290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249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539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290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249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539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290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249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539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290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249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539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290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249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539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290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249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539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290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249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539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290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249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539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290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249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539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290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249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539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290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249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539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290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249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539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290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249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539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290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249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>
        <f>'RESUMEN TOTAL'!W63</f>
        <v>0</v>
      </c>
      <c r="R45" s="70">
        <f>'RESUMEN TOTAL'!X63</f>
        <v>0</v>
      </c>
      <c r="S45" s="70">
        <f>'RESUMEN TOTAL'!Y63</f>
        <v>0</v>
      </c>
      <c r="T45" s="70">
        <f>'RESUMEN TOTAL'!Z63</f>
        <v>0</v>
      </c>
      <c r="U45" s="70">
        <f>'RESUMEN TOTAL'!AA63</f>
        <v>0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>
        <f>'RESUMEN TOTAL'!W66</f>
        <v>0</v>
      </c>
      <c r="R48" s="70">
        <f>'RESUMEN TOTAL'!X66</f>
        <v>0</v>
      </c>
      <c r="S48" s="70">
        <f>'RESUMEN TOTAL'!Y66</f>
        <v>0</v>
      </c>
      <c r="T48" s="70">
        <f>'RESUMEN TOTAL'!Z66</f>
        <v>0</v>
      </c>
      <c r="U48" s="70">
        <f>'RESUMEN TOTAL'!AA66</f>
        <v>0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>
        <f>'RESUMEN TOTAL'!Z73</f>
        <v>0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>
        <f>'RESUMEN TOTAL'!W95</f>
        <v>0</v>
      </c>
      <c r="R77" s="70">
        <f>'RESUMEN TOTAL'!X95</f>
        <v>0</v>
      </c>
      <c r="S77" s="70">
        <f>'RESUMEN TOTAL'!Y95</f>
        <v>0</v>
      </c>
      <c r="T77" s="70">
        <f>'RESUMEN TOTAL'!Z95</f>
        <v>0</v>
      </c>
      <c r="U77" s="70">
        <f>'RESUMEN TOTAL'!AA95</f>
        <v>0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>
        <f>'RESUMEN TOTAL'!W96</f>
        <v>0</v>
      </c>
      <c r="R78" s="70">
        <f>'RESUMEN TOTAL'!X96</f>
        <v>0</v>
      </c>
      <c r="S78" s="70">
        <f>'RESUMEN TOTAL'!Y96</f>
        <v>0</v>
      </c>
      <c r="T78" s="70">
        <f>'RESUMEN TOTAL'!Z96</f>
        <v>0</v>
      </c>
      <c r="U78" s="70">
        <f>'RESUMEN TOTAL'!AA96</f>
        <v>0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>
        <f>'RESUMEN TOTAL'!W98</f>
        <v>0</v>
      </c>
      <c r="R80" s="70">
        <f>'RESUMEN TOTAL'!X98</f>
        <v>0</v>
      </c>
      <c r="S80" s="70">
        <f>'RESUMEN TOTAL'!Y98</f>
        <v>0</v>
      </c>
      <c r="T80" s="70">
        <f>'RESUMEN TOTAL'!Z98</f>
        <v>0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>
        <f>'RESUMEN TOTAL'!W103</f>
        <v>0</v>
      </c>
      <c r="R85" s="70">
        <f>'RESUMEN TOTAL'!X103</f>
        <v>0</v>
      </c>
      <c r="S85" s="70">
        <f>'RESUMEN TOTAL'!Y103</f>
        <v>0</v>
      </c>
      <c r="T85" s="70">
        <f>'RESUMEN TOTAL'!Z103</f>
        <v>0</v>
      </c>
      <c r="U85" s="70">
        <f>'RESUMEN TOTAL'!AA103</f>
        <v>0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>
        <f>'RESUMEN TOTAL'!W116</f>
        <v>0</v>
      </c>
      <c r="R98" s="70">
        <f>'RESUMEN TOTAL'!X116</f>
        <v>0</v>
      </c>
      <c r="S98" s="70">
        <f>'RESUMEN TOTAL'!Y116</f>
        <v>0</v>
      </c>
      <c r="T98" s="70">
        <f>'RESUMEN TOTAL'!Z116</f>
        <v>0</v>
      </c>
      <c r="U98" s="70">
        <f>'RESUMEN TOTAL'!AA116</f>
        <v>0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>
        <f>'RESUMEN TOTAL'!W117</f>
        <v>0</v>
      </c>
      <c r="R99" s="70">
        <f>'RESUMEN TOTAL'!X117</f>
        <v>0</v>
      </c>
      <c r="S99" s="70">
        <f>'RESUMEN TOTAL'!Y117</f>
        <v>0</v>
      </c>
      <c r="T99" s="70">
        <f>'RESUMEN TOTAL'!Z117</f>
        <v>0</v>
      </c>
      <c r="U99" s="70">
        <f>'RESUMEN TOTAL'!AA117</f>
        <v>0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>
        <f>'RESUMEN TOTAL'!Z120</f>
        <v>0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>
        <f>'RESUMEN TOTAL'!W121</f>
        <v>0</v>
      </c>
      <c r="R103" s="70">
        <f>'RESUMEN TOTAL'!X121</f>
        <v>0</v>
      </c>
      <c r="S103" s="70">
        <f>'RESUMEN TOTAL'!Y121</f>
        <v>0</v>
      </c>
      <c r="T103" s="70">
        <f>'RESUMEN TOTAL'!Z121</f>
        <v>0</v>
      </c>
      <c r="U103" s="70">
        <f>'RESUMEN TOTAL'!AA121</f>
        <v>0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>
        <f>'RESUMEN TOTAL'!W122</f>
        <v>0</v>
      </c>
      <c r="R104" s="70">
        <f>'RESUMEN TOTAL'!X122</f>
        <v>0</v>
      </c>
      <c r="S104" s="70">
        <f>'RESUMEN TOTAL'!Y122</f>
        <v>0</v>
      </c>
      <c r="T104" s="70">
        <f>'RESUMEN TOTAL'!Z122</f>
        <v>0</v>
      </c>
      <c r="U104" s="70">
        <f>'RESUMEN TOTAL'!AA122</f>
        <v>0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>
        <f>'RESUMEN TOTAL'!Z127</f>
        <v>0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>
        <f>'RESUMEN TOTAL'!X140</f>
        <v>0</v>
      </c>
      <c r="S112" s="70">
        <f>'RESUMEN TOTAL'!Y140</f>
        <v>0</v>
      </c>
      <c r="T112" s="70">
        <f>'RESUMEN TOTAL'!Z140</f>
        <v>0</v>
      </c>
      <c r="U112" s="70">
        <f>'RESUMEN TOTAL'!AA140</f>
        <v>0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>
        <f>'RESUMEN TOTAL'!X142</f>
        <v>0</v>
      </c>
      <c r="S114" s="70">
        <f>'RESUMEN TOTAL'!Y142</f>
        <v>0</v>
      </c>
      <c r="T114" s="70">
        <f>'RESUMEN TOTAL'!Z142</f>
        <v>0</v>
      </c>
      <c r="U114" s="70">
        <f>'RESUMEN TOTAL'!AA142</f>
        <v>0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>
        <f>'RESUMEN TOTAL'!W147</f>
        <v>0</v>
      </c>
      <c r="R119" s="70">
        <f>'RESUMEN TOTAL'!X147</f>
        <v>0</v>
      </c>
      <c r="S119" s="70">
        <f>'RESUMEN TOTAL'!Y147</f>
        <v>0</v>
      </c>
      <c r="T119" s="70">
        <f>'RESUMEN TOTAL'!Z147</f>
        <v>0</v>
      </c>
      <c r="U119" s="70">
        <f>'RESUMEN TOTAL'!AA147</f>
        <v>0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>
        <f>'RESUMEN TOTAL'!W150</f>
        <v>0</v>
      </c>
      <c r="R122" s="70">
        <f>'RESUMEN TOTAL'!X150</f>
        <v>0</v>
      </c>
      <c r="S122" s="70">
        <f>'RESUMEN TOTAL'!Y150</f>
        <v>0</v>
      </c>
      <c r="T122" s="70">
        <f>'RESUMEN TOTAL'!Z150</f>
        <v>0</v>
      </c>
      <c r="U122" s="70">
        <f>'RESUMEN TOTAL'!AA150</f>
        <v>0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>
        <f>'RESUMEN TOTAL'!W151</f>
        <v>0</v>
      </c>
      <c r="R123" s="70">
        <f>'RESUMEN TOTAL'!X151</f>
        <v>0</v>
      </c>
      <c r="S123" s="70">
        <f>'RESUMEN TOTAL'!Y151</f>
        <v>0</v>
      </c>
      <c r="T123" s="70">
        <f>'RESUMEN TOTAL'!Z151</f>
        <v>0</v>
      </c>
      <c r="U123" s="70">
        <f>'RESUMEN TOTAL'!AA151</f>
        <v>0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>
        <f>'RESUMEN TOTAL'!W177</f>
        <v>0</v>
      </c>
      <c r="R144" s="70">
        <f>'RESUMEN TOTAL'!X177</f>
        <v>0</v>
      </c>
      <c r="S144" s="70">
        <f>'RESUMEN TOTAL'!Y177</f>
        <v>0</v>
      </c>
      <c r="T144" s="70">
        <f>'RESUMEN TOTAL'!Z177</f>
        <v>0</v>
      </c>
      <c r="U144" s="70">
        <f>'RESUMEN TOTAL'!AA177</f>
        <v>0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>
        <f>'RESUMEN TOTAL'!W178</f>
        <v>0</v>
      </c>
      <c r="R145" s="70">
        <f>'RESUMEN TOTAL'!X178</f>
        <v>0</v>
      </c>
      <c r="S145" s="70">
        <f>'RESUMEN TOTAL'!Y178</f>
        <v>0</v>
      </c>
      <c r="T145" s="70">
        <f>'RESUMEN TOTAL'!Z178</f>
        <v>0</v>
      </c>
      <c r="U145" s="70">
        <f>'RESUMEN TOTAL'!AA178</f>
        <v>0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>
        <f>'RESUMEN TOTAL'!E184</f>
        <v>0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>
        <f>'RESUMEN TOTAL'!W184</f>
        <v>0</v>
      </c>
      <c r="R148" s="70">
        <f>'RESUMEN TOTAL'!X184</f>
        <v>0</v>
      </c>
      <c r="S148" s="70">
        <f>'RESUMEN TOTAL'!Y184</f>
        <v>0</v>
      </c>
      <c r="T148" s="70">
        <f>'RESUMEN TOTAL'!Z184</f>
        <v>0</v>
      </c>
      <c r="U148" s="70">
        <f>'RESUMEN TOTAL'!AA184</f>
        <v>0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>
        <f>'RESUMEN TOTAL'!W190</f>
        <v>0</v>
      </c>
      <c r="R154" s="70">
        <f>'RESUMEN TOTAL'!X190</f>
        <v>0</v>
      </c>
      <c r="S154" s="70">
        <f>'RESUMEN TOTAL'!Y190</f>
        <v>0</v>
      </c>
      <c r="T154" s="70">
        <f>'RESUMEN TOTAL'!Z190</f>
        <v>0</v>
      </c>
      <c r="U154" s="70">
        <f>'RESUMEN TOTAL'!AA190</f>
        <v>0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>
        <f>'RESUMEN TOTAL'!W191</f>
        <v>0</v>
      </c>
      <c r="R155" s="70">
        <f>'RESUMEN TOTAL'!X191</f>
        <v>0</v>
      </c>
      <c r="S155" s="70">
        <f>'RESUMEN TOTAL'!Y191</f>
        <v>0</v>
      </c>
      <c r="T155" s="70">
        <f>'RESUMEN TOTAL'!Z191</f>
        <v>0</v>
      </c>
      <c r="U155" s="70">
        <f>'RESUMEN TOTAL'!AA191</f>
        <v>0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>
        <f>'RESUMEN TOTAL'!AA208</f>
        <v>0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>
        <f>'RESUMEN TOTAL'!AA209</f>
        <v>0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>
        <f>'RESUMEN TOTAL'!E232</f>
        <v>0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>
        <f>'RESUMEN TOTAL'!W235</f>
        <v>0</v>
      </c>
      <c r="R194" s="70">
        <f>'RESUMEN TOTAL'!X235</f>
        <v>0</v>
      </c>
      <c r="S194" s="70">
        <f>'RESUMEN TOTAL'!Y235</f>
        <v>0</v>
      </c>
      <c r="T194" s="70">
        <f>'RESUMEN TOTAL'!Z235</f>
        <v>0</v>
      </c>
      <c r="U194" s="70">
        <f>'RESUMEN TOTAL'!AA235</f>
        <v>0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>
        <f>'RESUMEN TOTAL'!W243</f>
        <v>0</v>
      </c>
      <c r="R202" s="70">
        <f>'RESUMEN TOTAL'!X243</f>
        <v>0</v>
      </c>
      <c r="S202" s="70">
        <f>'RESUMEN TOTAL'!Y243</f>
        <v>0</v>
      </c>
      <c r="T202" s="70">
        <f>'RESUMEN TOTAL'!Z243</f>
        <v>0</v>
      </c>
      <c r="U202" s="70">
        <f>'RESUMEN TOTAL'!AA243</f>
        <v>0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>
        <f>'RESUMEN TOTAL'!W245</f>
        <v>0</v>
      </c>
      <c r="R204" s="70">
        <f>'RESUMEN TOTAL'!X245</f>
        <v>0</v>
      </c>
      <c r="S204" s="70">
        <f>'RESUMEN TOTAL'!Y245</f>
        <v>0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>
        <f>'RESUMEN TOTAL'!W253</f>
        <v>0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>
        <f>'RESUMEN TOTAL'!W264</f>
        <v>0</v>
      </c>
      <c r="R221" s="70">
        <f>'RESUMEN TOTAL'!X264</f>
        <v>0</v>
      </c>
      <c r="S221" s="70">
        <f>'RESUMEN TOTAL'!Y264</f>
        <v>0</v>
      </c>
      <c r="T221" s="70">
        <f>'RESUMEN TOTAL'!Z264</f>
        <v>0</v>
      </c>
      <c r="U221" s="70">
        <f>'RESUMEN TOTAL'!AA264</f>
        <v>0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>
        <f>'RESUMEN TOTAL'!W283</f>
        <v>0</v>
      </c>
      <c r="R237" s="70">
        <f>'RESUMEN TOTAL'!X283</f>
        <v>0</v>
      </c>
      <c r="S237" s="70">
        <f>'RESUMEN TOTAL'!Y283</f>
        <v>0</v>
      </c>
      <c r="T237" s="70">
        <f>'RESUMEN TOTAL'!Z283</f>
        <v>0</v>
      </c>
      <c r="U237" s="70">
        <f>'RESUMEN TOTAL'!AA283</f>
        <v>0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>
        <f>'RESUMEN TOTAL'!W294</f>
        <v>0</v>
      </c>
      <c r="R248" s="70">
        <f>'RESUMEN TOTAL'!X294</f>
        <v>0</v>
      </c>
      <c r="S248" s="70">
        <f>'RESUMEN TOTAL'!Y294</f>
        <v>0</v>
      </c>
      <c r="T248" s="70">
        <f>'RESUMEN TOTAL'!Z294</f>
        <v>0</v>
      </c>
      <c r="U248" s="70">
        <f>'RESUMEN TOTAL'!AA294</f>
        <v>0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>
        <f>'RESUMEN TOTAL'!W296</f>
        <v>0</v>
      </c>
      <c r="R250" s="70">
        <f>'RESUMEN TOTAL'!X296</f>
        <v>0</v>
      </c>
      <c r="S250" s="70">
        <f>'RESUMEN TOTAL'!Y296</f>
        <v>0</v>
      </c>
      <c r="T250" s="70">
        <f>'RESUMEN TOTAL'!Z296</f>
        <v>0</v>
      </c>
      <c r="U250" s="70">
        <f>'RESUMEN TOTAL'!AA296</f>
        <v>0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>
        <f>'RESUMEN TOTAL'!W300</f>
        <v>0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>
        <f>'RESUMEN TOTAL'!X335</f>
        <v>0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>
        <f>'RESUMEN TOTAL'!X336</f>
        <v>0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>
        <f>'RESUMEN TOTAL'!Y338</f>
        <v>0</v>
      </c>
      <c r="T285" s="70">
        <f>'RESUMEN TOTAL'!Z338</f>
        <v>0</v>
      </c>
      <c r="U285" s="70">
        <f>'RESUMEN TOTAL'!AA338</f>
        <v>0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>
        <f>'RESUMEN TOTAL'!W349</f>
        <v>0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>
        <f>'RESUMEN TOTAL'!W352</f>
        <v>0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>
        <f>'RESUMEN TOTAL'!W354</f>
        <v>0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>
        <f>'RESUMEN TOTAL'!W355</f>
        <v>0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>
        <f>'RESUMEN TOTAL'!W356</f>
        <v>0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>
        <f>'RESUMEN TOTAL'!W357</f>
        <v>0</v>
      </c>
      <c r="R300" s="70">
        <f>'RESUMEN TOTAL'!X357</f>
        <v>0</v>
      </c>
      <c r="S300" s="70">
        <f>'RESUMEN TOTAL'!Y357</f>
        <v>0</v>
      </c>
      <c r="T300" s="70">
        <f>'RESUMEN TOTAL'!Z357</f>
        <v>0</v>
      </c>
      <c r="U300" s="70">
        <f>'RESUMEN TOTAL'!AA357</f>
        <v>0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>
        <f>'RESUMEN TOTAL'!W358</f>
        <v>0</v>
      </c>
      <c r="R301" s="70">
        <f>'RESUMEN TOTAL'!X358</f>
        <v>0</v>
      </c>
      <c r="S301" s="70">
        <f>'RESUMEN TOTAL'!Y358</f>
        <v>0</v>
      </c>
      <c r="T301" s="70">
        <f>'RESUMEN TOTAL'!Z358</f>
        <v>0</v>
      </c>
      <c r="U301" s="70">
        <f>'RESUMEN TOTAL'!AA358</f>
        <v>0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>
        <f>'RESUMEN TOTAL'!W359</f>
        <v>0</v>
      </c>
      <c r="R302" s="70">
        <f>'RESUMEN TOTAL'!X359</f>
        <v>0</v>
      </c>
      <c r="S302" s="70">
        <f>'RESUMEN TOTAL'!Y359</f>
        <v>0</v>
      </c>
      <c r="T302" s="70">
        <f>'RESUMEN TOTAL'!Z359</f>
        <v>0</v>
      </c>
      <c r="U302" s="70">
        <f>'RESUMEN TOTAL'!AA359</f>
        <v>0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>
        <f>'RESUMEN TOTAL'!W361</f>
        <v>0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>
        <f>'RESUMEN TOTAL'!W362</f>
        <v>0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>
        <f>'RESUMEN TOTAL'!W363</f>
        <v>0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>
        <f>'RESUMEN TOTAL'!W364</f>
        <v>0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>
        <f>'RESUMEN TOTAL'!W365</f>
        <v>0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>
        <f>'RESUMEN TOTAL'!W366</f>
        <v>0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>
        <f>'RESUMEN TOTAL'!W367</f>
        <v>0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>
        <f>'RESUMEN TOTAL'!W368</f>
        <v>0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>
        <f>'RESUMEN TOTAL'!W369</f>
        <v>0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>
        <f>'RESUMEN TOTAL'!W370</f>
        <v>0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>
        <f>'RESUMEN TOTAL'!W371</f>
        <v>0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>
        <f>'RESUMEN TOTAL'!W372</f>
        <v>0</v>
      </c>
      <c r="R315" s="70">
        <f>'RESUMEN TOTAL'!X372</f>
        <v>0</v>
      </c>
      <c r="S315" s="70">
        <f>'RESUMEN TOTAL'!Y372</f>
        <v>0</v>
      </c>
      <c r="T315" s="70">
        <f>'RESUMEN TOTAL'!Z372</f>
        <v>0</v>
      </c>
      <c r="U315" s="70">
        <f>'RESUMEN TOTAL'!AA372</f>
        <v>0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>
        <f>'RESUMEN TOTAL'!AA377</f>
        <v>0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>
        <f>'RESUMEN TOTAL'!W383</f>
        <v>0</v>
      </c>
      <c r="R322" s="70">
        <f>'RESUMEN TOTAL'!X383</f>
        <v>0</v>
      </c>
      <c r="S322" s="70">
        <f>'RESUMEN TOTAL'!Y383</f>
        <v>0</v>
      </c>
      <c r="T322" s="70">
        <f>'RESUMEN TOTAL'!Z383</f>
        <v>0</v>
      </c>
      <c r="U322" s="70">
        <f>'RESUMEN TOTAL'!AA383</f>
        <v>0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>
        <f>'RESUMEN TOTAL'!W384</f>
        <v>0</v>
      </c>
      <c r="R323" s="70">
        <f>'RESUMEN TOTAL'!X384</f>
        <v>0</v>
      </c>
      <c r="S323" s="70">
        <f>'RESUMEN TOTAL'!Y384</f>
        <v>0</v>
      </c>
      <c r="T323" s="70">
        <f>'RESUMEN TOTAL'!Z384</f>
        <v>0</v>
      </c>
      <c r="U323" s="70">
        <f>'RESUMEN TOTAL'!AA384</f>
        <v>0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>
        <f>'RESUMEN TOTAL'!W390</f>
        <v>0</v>
      </c>
      <c r="R326" s="70">
        <f>'RESUMEN TOTAL'!X390</f>
        <v>0</v>
      </c>
      <c r="S326" s="70">
        <f>'RESUMEN TOTAL'!Y390</f>
        <v>0</v>
      </c>
      <c r="T326" s="70">
        <f>'RESUMEN TOTAL'!Z390</f>
        <v>0</v>
      </c>
      <c r="U326" s="70">
        <f>'RESUMEN TOTAL'!AA390</f>
        <v>0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>
        <f>'RESUMEN TOTAL'!W395</f>
        <v>0</v>
      </c>
      <c r="R329" s="70">
        <f>'RESUMEN TOTAL'!X395</f>
        <v>0</v>
      </c>
      <c r="S329" s="70">
        <f>'RESUMEN TOTAL'!Y395</f>
        <v>0</v>
      </c>
      <c r="T329" s="70">
        <f>'RESUMEN TOTAL'!Z395</f>
        <v>0</v>
      </c>
      <c r="U329" s="70">
        <f>'RESUMEN TOTAL'!AA395</f>
        <v>0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>
        <f>'RESUMEN TOTAL'!X404</f>
        <v>0</v>
      </c>
      <c r="S336" s="70">
        <f>'RESUMEN TOTAL'!Y404</f>
        <v>0</v>
      </c>
      <c r="T336" s="70">
        <f>'RESUMEN TOTAL'!Z404</f>
        <v>0</v>
      </c>
      <c r="U336" s="70">
        <f>'RESUMEN TOTAL'!AA404</f>
        <v>0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>
        <f>'RESUMEN TOTAL'!X405</f>
        <v>0</v>
      </c>
      <c r="S337" s="70">
        <f>'RESUMEN TOTAL'!Y405</f>
        <v>0</v>
      </c>
      <c r="T337" s="70">
        <f>'RESUMEN TOTAL'!Z405</f>
        <v>0</v>
      </c>
      <c r="U337" s="70">
        <f>'RESUMEN TOTAL'!AA405</f>
        <v>0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>
        <f>'RESUMEN TOTAL'!X406</f>
        <v>0</v>
      </c>
      <c r="S338" s="70">
        <f>'RESUMEN TOTAL'!Y406</f>
        <v>0</v>
      </c>
      <c r="T338" s="70">
        <f>'RESUMEN TOTAL'!Z406</f>
        <v>0</v>
      </c>
      <c r="U338" s="70">
        <f>'RESUMEN TOTAL'!AA406</f>
        <v>0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>
        <f>'RESUMEN TOTAL'!X407</f>
        <v>0</v>
      </c>
      <c r="S339" s="70">
        <f>'RESUMEN TOTAL'!Y407</f>
        <v>0</v>
      </c>
      <c r="T339" s="70">
        <f>'RESUMEN TOTAL'!Z407</f>
        <v>0</v>
      </c>
      <c r="U339" s="70">
        <f>'RESUMEN TOTAL'!AA407</f>
        <v>0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>
        <f>'RESUMEN TOTAL'!W416</f>
        <v>0</v>
      </c>
      <c r="R348" s="70">
        <f>'RESUMEN TOTAL'!X416</f>
        <v>0</v>
      </c>
      <c r="S348" s="70">
        <f>'RESUMEN TOTAL'!Y416</f>
        <v>0</v>
      </c>
      <c r="T348" s="70">
        <f>'RESUMEN TOTAL'!Z416</f>
        <v>0</v>
      </c>
      <c r="U348" s="70">
        <f>'RESUMEN TOTAL'!AA416</f>
        <v>0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>
        <f>'RESUMEN TOTAL'!AA421</f>
        <v>0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>
        <f>'RESUMEN TOTAL'!W428</f>
        <v>0</v>
      </c>
      <c r="R360" s="70">
        <f>'RESUMEN TOTAL'!X428</f>
        <v>0</v>
      </c>
      <c r="S360" s="70">
        <f>'RESUMEN TOTAL'!Y428</f>
        <v>0</v>
      </c>
      <c r="T360" s="70">
        <f>'RESUMEN TOTAL'!Z428</f>
        <v>0</v>
      </c>
      <c r="U360" s="70">
        <f>'RESUMEN TOTAL'!AA428</f>
        <v>0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>
        <f>'RESUMEN TOTAL'!W434</f>
        <v>0</v>
      </c>
      <c r="R363" s="70">
        <f>'RESUMEN TOTAL'!X434</f>
        <v>0</v>
      </c>
      <c r="S363" s="70">
        <f>'RESUMEN TOTAL'!Y434</f>
        <v>0</v>
      </c>
      <c r="T363" s="70">
        <f>'RESUMEN TOTAL'!Z434</f>
        <v>0</v>
      </c>
      <c r="U363" s="70">
        <f>'RESUMEN TOTAL'!AA434</f>
        <v>0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>
        <f>'RESUMEN TOTAL'!E474</f>
        <v>0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>
        <f>'RESUMEN TOTAL'!W498</f>
        <v>0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>
        <f>'RESUMEN TOTAL'!W499</f>
        <v>0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>
        <f>'RESUMEN TOTAL'!W500</f>
        <v>0</v>
      </c>
      <c r="R420" s="70">
        <f>'RESUMEN TOTAL'!X500</f>
        <v>0</v>
      </c>
      <c r="S420" s="70">
        <f>'RESUMEN TOTAL'!Y500</f>
        <v>0</v>
      </c>
      <c r="T420" s="70">
        <f>'RESUMEN TOTAL'!Z500</f>
        <v>0</v>
      </c>
      <c r="U420" s="70">
        <f>'RESUMEN TOTAL'!AA500</f>
        <v>0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>
        <f>'RESUMEN TOTAL'!W501</f>
        <v>0</v>
      </c>
      <c r="R421" s="70">
        <f>'RESUMEN TOTAL'!X501</f>
        <v>0</v>
      </c>
      <c r="S421" s="70">
        <f>'RESUMEN TOTAL'!Y501</f>
        <v>0</v>
      </c>
      <c r="T421" s="70">
        <f>'RESUMEN TOTAL'!Z501</f>
        <v>0</v>
      </c>
      <c r="U421" s="70">
        <f>'RESUMEN TOTAL'!AA501</f>
        <v>0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>
        <f>'RESUMEN TOTAL'!W502</f>
        <v>0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>
        <f>'RESUMEN TOTAL'!W503</f>
        <v>0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>
        <f>'RESUMEN TOTAL'!W504</f>
        <v>0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>
        <f>'RESUMEN TOTAL'!W505</f>
        <v>0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>
        <f>'RESUMEN TOTAL'!W519</f>
        <v>0</v>
      </c>
      <c r="R436" s="70">
        <f>'RESUMEN TOTAL'!X519</f>
        <v>0</v>
      </c>
      <c r="S436" s="70">
        <f>'RESUMEN TOTAL'!Y519</f>
        <v>0</v>
      </c>
      <c r="T436" s="70">
        <f>'RESUMEN TOTAL'!Z519</f>
        <v>0</v>
      </c>
      <c r="U436" s="70">
        <f>'RESUMEN TOTAL'!AA519</f>
        <v>0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>
        <f>'RESUMEN TOTAL'!W521</f>
        <v>0</v>
      </c>
      <c r="R438" s="70">
        <f>'RESUMEN TOTAL'!X521</f>
        <v>0</v>
      </c>
      <c r="S438" s="70">
        <f>'RESUMEN TOTAL'!Y521</f>
        <v>0</v>
      </c>
      <c r="T438" s="70">
        <f>'RESUMEN TOTAL'!Z521</f>
        <v>0</v>
      </c>
      <c r="U438" s="70">
        <f>'RESUMEN TOTAL'!AA521</f>
        <v>0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>
        <f>'RESUMEN TOTAL'!Z528</f>
        <v>0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>
        <f>'RESUMEN TOTAL'!W543</f>
        <v>0</v>
      </c>
      <c r="R460" s="70">
        <f>'RESUMEN TOTAL'!X543</f>
        <v>0</v>
      </c>
      <c r="S460" s="70">
        <f>'RESUMEN TOTAL'!Y543</f>
        <v>0</v>
      </c>
      <c r="T460" s="70">
        <f>'RESUMEN TOTAL'!Z543</f>
        <v>0</v>
      </c>
      <c r="U460" s="70">
        <f>'RESUMEN TOTAL'!AA543</f>
        <v>0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0</v>
      </c>
      <c r="R3" s="46">
        <f>COUNTIFS('RESUMEN TOTAL'!X8:X654,"=APAGADO",'RESUMEN TOTAL'!C8:C654,"=BONOMO")</f>
        <v>0</v>
      </c>
      <c r="S3" s="46">
        <f>COUNTIFS('RESUMEN TOTAL'!Y8:Y654,"=APAGADO",'RESUMEN TOTAL'!C8:C654,"=BONOMO")</f>
        <v>0</v>
      </c>
      <c r="T3" s="46">
        <f>COUNTIFS('RESUMEN TOTAL'!Z8:Z654,"=APAGADO",'RESUMEN TOTAL'!C8:C654,"=BONOMO")</f>
        <v>0</v>
      </c>
      <c r="U3" s="46">
        <f>COUNTIFS('RESUMEN TOTAL'!AA8:AA654,"=APAGADO",'RESUMEN TOTAL'!C8:C654,"=BONOMO")</f>
        <v>0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0</v>
      </c>
      <c r="R5" s="46">
        <f>COUNTIFS('RESUMEN TOTAL'!X10:X656,"=APAGADO",'RESUMEN TOTAL'!C10:C656,"=COSEIDI")</f>
        <v>0</v>
      </c>
      <c r="S5" s="46">
        <f>COUNTIFS('RESUMEN TOTAL'!Y10:Y656,"=APAGADO",'RESUMEN TOTAL'!C10:C656,"=COSEIDI")</f>
        <v>0</v>
      </c>
      <c r="T5" s="46">
        <f>COUNTIFS('RESUMEN TOTAL'!Z10:Z656,"=APAGADO",'RESUMEN TOTAL'!C10:C656,"=COSEIDI")</f>
        <v>0</v>
      </c>
      <c r="U5" s="46">
        <f>COUNTIFS('RESUMEN TOTAL'!AA10:AA656,"=APAGADO",'RESUMEN TOTAL'!C10:C656,"=COSEIDI")</f>
        <v>0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2025-09-11T11:56:24Z</dcterms:modified>
</cp:coreProperties>
</file>