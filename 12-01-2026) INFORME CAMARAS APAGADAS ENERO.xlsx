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13_ncr:1_{F726D7B3-8357-4F88-AA8E-7482D0A8CCDA}" xr6:coauthVersionLast="47" xr6:coauthVersionMax="47" xr10:uidLastSave="{00000000-0000-0000-0000-000000000000}"/>
  <bookViews>
    <workbookView xWindow="-108" yWindow="-108" windowWidth="23256" windowHeight="13896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D10" i="24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AI2" i="26" l="1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<sst xmlns="http://schemas.openxmlformats.org/spreadsheetml/2006/main" count="6073" uniqueCount="2289">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</sst>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zoomScale="60" zoomScaleNormal="60" workbookViewId="0">
      <pane xSplit="12" ySplit="7" topLeftCell="X401" activePane="bottomRight" state="frozen"/>
      <selection pane="topRight" activeCell="M1" sqref="M1"/>
      <selection pane="bottomLeft" activeCell="A5" sqref="A5"/>
      <selection pane="bottomRight" activeCell="E447" sqref="E447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0.15214180206794684</v>
      </c>
      <c r="T1" s="3">
        <f t="shared" si="0"/>
        <v>0.13423831070889894</v>
      </c>
      <c r="U1" s="3">
        <f t="shared" si="0"/>
        <v>0.10452418096723869</v>
      </c>
      <c r="V1" s="3">
        <f t="shared" si="0"/>
        <v>0.11419753086419752</v>
      </c>
      <c r="W1" s="3">
        <f t="shared" si="0"/>
        <v>0</v>
      </c>
      <c r="X1" s="3">
        <f t="shared" si="0"/>
        <v>0.14583333333333334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" thickBot="1" x14ac:dyDescent="0.35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103</v>
      </c>
      <c r="T3" s="126">
        <f t="shared" si="4"/>
        <v>89</v>
      </c>
      <c r="U3" s="126">
        <f t="shared" si="4"/>
        <v>67</v>
      </c>
      <c r="V3" s="126">
        <f t="shared" si="4"/>
        <v>74</v>
      </c>
      <c r="W3" s="126">
        <f t="shared" si="4"/>
        <v>0</v>
      </c>
      <c r="X3" s="126">
        <f t="shared" si="4"/>
        <v>98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" thickTop="1" x14ac:dyDescent="0.3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49</v>
      </c>
      <c r="T4" s="10">
        <f>COUNTIFS(T8:T689, "=APAGADO",F8:F689,"=Fibra Optica")</f>
        <v>47</v>
      </c>
      <c r="U4" s="10">
        <f>COUNTIFS(U8:U689, "=APAGADO",F8:F689,"=Fibra Optica")</f>
        <v>34</v>
      </c>
      <c r="V4" s="10">
        <f>COUNTIFS(V8:V689, "=APAGADO",F8:F689,"=Fibra Optica")</f>
        <v>38</v>
      </c>
      <c r="W4" s="10">
        <f>COUNTIFS(W8:W689, "=APAGADO",F8:F689,"=Fibra Optica")</f>
        <v>0</v>
      </c>
      <c r="X4" s="10">
        <f>COUNTIFS(X8:X689, "=APAGADO",F8:F689,"=Fibra Optica")</f>
        <v>43</v>
      </c>
      <c r="Y4" s="10">
        <f>COUNTIFS(Y8:Y689, "=APAGADO",F8:F689,"=Fibra Optica")</f>
        <v>0</v>
      </c>
      <c r="Z4" s="10">
        <f>COUNTIFS(Z8:Z689, "=APAGADO",F8:F689,"=Fibra Optica")</f>
        <v>0</v>
      </c>
      <c r="AA4" s="10">
        <f>COUNTIFS(AA8:AA689, "=APAGADO",F8:F689,"=Fibra Optica")</f>
        <v>0</v>
      </c>
      <c r="AB4" s="10">
        <f>COUNTIFS(AB8:AB689, "=APAGADO",F8:F689,"=Fibra Optica")</f>
        <v>0</v>
      </c>
      <c r="AC4" s="10">
        <f>COUNTIFS(AC8:AC689, "=APAGADO",F8:F689,"=Fibra Optica")</f>
        <v>0</v>
      </c>
      <c r="AD4" s="10">
        <f>COUNTIFS(AD8:AD689, "=APAGADO",F8:F689,"=Fibra Optica")</f>
        <v>0</v>
      </c>
      <c r="AE4" s="10">
        <f>COUNTIFS(AE8:AE689, "=APAGADO",F8:F689,"=Fibra Optica")</f>
        <v>0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3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13</v>
      </c>
      <c r="T5" s="130">
        <f>COUNTIFS(T8:T689, "=APAGADO",F8:F689,"=RADIO")</f>
        <v>5</v>
      </c>
      <c r="U5" s="130">
        <f>COUNTIFS(U8:U689, "=APAGADO",F8:F689,"=RADIO")</f>
        <v>5</v>
      </c>
      <c r="V5" s="130">
        <f>COUNTIFS(V8:V689, "=APAGADO",F8:F689,"=RADIO")</f>
        <v>3</v>
      </c>
      <c r="W5" s="130">
        <f>COUNTIFS(W8:W689, "=APAGADO",F8:F689,"=RADIO")</f>
        <v>0</v>
      </c>
      <c r="X5" s="130">
        <f>COUNTIFS(X8:X689, "=APAGADO",F8:F689,"=RADIO")</f>
        <v>4</v>
      </c>
      <c r="Y5" s="130">
        <f>COUNTIFS(Y8:Y689, "=APAGADO",F8:F689,"=RADIO")</f>
        <v>0</v>
      </c>
      <c r="Z5" s="130">
        <f>COUNTIFS(Z8:Z689, "=APAGADO",F8:F689,"=RADIO")</f>
        <v>0</v>
      </c>
      <c r="AA5" s="130">
        <f>COUNTIFS(AA8:AA689, "=APAGADO",F8:F689,"=RADIO")</f>
        <v>0</v>
      </c>
      <c r="AB5" s="130">
        <f>COUNTIFS(AB8:AB689, "=APAGADO",F8:F689,"=RADIO")</f>
        <v>0</v>
      </c>
      <c r="AC5" s="130">
        <f>COUNTIFS(AC8:AC689, "=APAGADO",F8:F689,"=RADIO")</f>
        <v>0</v>
      </c>
      <c r="AD5" s="130">
        <f>COUNTIFS(AD8:AD689, "=APAGADO",F8:F689,"=RADIO")</f>
        <v>0</v>
      </c>
      <c r="AE5" s="130">
        <f>COUNTIFS(AE8:AE689, "=APAGADO",F8:F689,"=RADIO")</f>
        <v>0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" thickBot="1" x14ac:dyDescent="0.35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11</v>
      </c>
      <c r="T6" s="10">
        <f>COUNTIFS(T8:T689, "=APAGADO",F8:F689,"=PTO A FO")</f>
        <v>10</v>
      </c>
      <c r="U6" s="10">
        <f>COUNTIFS(U8:U689, "=APAGADO",F8:F689,"=PTO A FO")</f>
        <v>5</v>
      </c>
      <c r="V6" s="10">
        <f>COUNTIFS(V8:V689, "=APAGADO",F8:F689,"=PTO A FO")</f>
        <v>6</v>
      </c>
      <c r="W6" s="10">
        <f>COUNTIFS(W8:W689, "=APAGADO",F8:F689,"=PTO A FO")</f>
        <v>0</v>
      </c>
      <c r="X6" s="10">
        <f>COUNTIFS(X8:X689, "=APAGADO",F8:F689,"=PTO A FO")</f>
        <v>10</v>
      </c>
      <c r="Y6" s="10">
        <f>COUNTIFS(Y8:Y689, "=APAGADO",F8:F689,"=PTO A FO")</f>
        <v>0</v>
      </c>
      <c r="Z6" s="10">
        <f>COUNTIFS(Z8:Z689, "=APAGADO",F8:F689,"=PTO A FO")</f>
        <v>0</v>
      </c>
      <c r="AA6" s="10">
        <f>COUNTIFS(AA8:AA689, "=APAGADO",F8:F689,"=PTO A FO")</f>
        <v>0</v>
      </c>
      <c r="AB6" s="10">
        <f>COUNTIFS(AB8:AB689, "=APAGADO",F8:F689,"=PTO A FO")</f>
        <v>0</v>
      </c>
      <c r="AC6" s="10">
        <f>COUNTIFS(AC8:AC689, "=APAGADO",F8:F689,"=PTO A FO")</f>
        <v>0</v>
      </c>
      <c r="AD6" s="10">
        <f>COUNTIFS(AD8:AD689, "=APAGADO",F8:F689,"=PTO A FO")</f>
        <v>0</v>
      </c>
      <c r="AE6" s="10">
        <f>COUNTIFS(AE8:AE689, "=APAGADO",F8:F689,"=PTO A FO")</f>
        <v>0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0.6" thickTop="1" thickBot="1" x14ac:dyDescent="0.4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" thickBot="1" x14ac:dyDescent="0.35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17</v>
      </c>
      <c r="J8" s="147" t="s">
        <v>1667</v>
      </c>
      <c r="K8" s="31">
        <f t="shared" ref="K8:K85" si="6">COUNTIF(M8:AN8,"APAGADO")</f>
        <v>11</v>
      </c>
      <c r="L8" s="32">
        <f t="shared" ref="L8:L85" si="7">(I8)/(K8+I8)</f>
        <v>0.6071428571428571</v>
      </c>
      <c r="M8" s="70" t="s">
        <v>2288</v>
      </c>
      <c r="N8" s="70" t="s">
        <v>2288</v>
      </c>
      <c r="O8" s="70" t="s">
        <v>2288</v>
      </c>
      <c r="P8" s="70" t="s">
        <v>2288</v>
      </c>
      <c r="Q8" s="70" t="s">
        <v>2288</v>
      </c>
      <c r="R8" s="70" t="s">
        <v>2288</v>
      </c>
      <c r="S8" s="70" t="s">
        <v>2288</v>
      </c>
      <c r="T8" s="70" t="s">
        <v>2288</v>
      </c>
      <c r="U8" s="70" t="s">
        <v>2288</v>
      </c>
      <c r="V8" s="70" t="s">
        <v>2288</v>
      </c>
      <c r="W8" s="70"/>
      <c r="X8" s="70" t="s">
        <v>2288</v>
      </c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17</v>
      </c>
      <c r="J9" s="147" t="s">
        <v>1668</v>
      </c>
      <c r="K9" s="31">
        <f t="shared" si="6"/>
        <v>11</v>
      </c>
      <c r="L9" s="32">
        <f t="shared" si="7"/>
        <v>0.6071428571428571</v>
      </c>
      <c r="M9" s="70" t="s">
        <v>2288</v>
      </c>
      <c r="N9" s="70" t="s">
        <v>2288</v>
      </c>
      <c r="O9" s="70" t="s">
        <v>2288</v>
      </c>
      <c r="P9" s="70" t="s">
        <v>2288</v>
      </c>
      <c r="Q9" s="70" t="s">
        <v>2288</v>
      </c>
      <c r="R9" s="70" t="s">
        <v>2288</v>
      </c>
      <c r="S9" s="70" t="s">
        <v>2288</v>
      </c>
      <c r="T9" s="70" t="s">
        <v>2288</v>
      </c>
      <c r="U9" s="70" t="s">
        <v>2288</v>
      </c>
      <c r="V9" s="70" t="s">
        <v>2288</v>
      </c>
      <c r="W9" s="70"/>
      <c r="X9" s="70" t="s">
        <v>2288</v>
      </c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" thickBot="1" x14ac:dyDescent="0.35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" thickBot="1" x14ac:dyDescent="0.35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" thickBot="1" x14ac:dyDescent="0.35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" thickBot="1" x14ac:dyDescent="0.35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17</v>
      </c>
      <c r="J14" s="147" t="s">
        <v>1673</v>
      </c>
      <c r="K14" s="31">
        <f t="shared" si="6"/>
        <v>11</v>
      </c>
      <c r="L14" s="32">
        <f t="shared" si="7"/>
        <v>0.6071428571428571</v>
      </c>
      <c r="M14" s="70" t="s">
        <v>2288</v>
      </c>
      <c r="N14" s="70" t="s">
        <v>2288</v>
      </c>
      <c r="O14" s="70" t="s">
        <v>2288</v>
      </c>
      <c r="P14" s="70" t="s">
        <v>2288</v>
      </c>
      <c r="Q14" s="70" t="s">
        <v>2288</v>
      </c>
      <c r="R14" s="70" t="s">
        <v>2288</v>
      </c>
      <c r="S14" s="70" t="s">
        <v>2288</v>
      </c>
      <c r="T14" s="70" t="s">
        <v>2288</v>
      </c>
      <c r="U14" s="70" t="s">
        <v>2288</v>
      </c>
      <c r="V14" s="70" t="s">
        <v>2288</v>
      </c>
      <c r="W14" s="70"/>
      <c r="X14" s="70" t="s">
        <v>2288</v>
      </c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28</v>
      </c>
      <c r="J17" s="150" t="s">
        <v>1676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" thickBot="1" x14ac:dyDescent="0.35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18</v>
      </c>
      <c r="J19" s="147" t="s">
        <v>1677</v>
      </c>
      <c r="K19" s="31">
        <f t="shared" si="6"/>
        <v>10</v>
      </c>
      <c r="L19" s="32">
        <f t="shared" si="7"/>
        <v>0.6428571428571429</v>
      </c>
      <c r="M19" s="70" t="s">
        <v>2288</v>
      </c>
      <c r="N19" s="70" t="s">
        <v>2288</v>
      </c>
      <c r="O19" s="70" t="s">
        <v>2288</v>
      </c>
      <c r="P19" s="70" t="s">
        <v>2288</v>
      </c>
      <c r="Q19" s="70" t="s">
        <v>2288</v>
      </c>
      <c r="R19" s="70" t="s">
        <v>2288</v>
      </c>
      <c r="S19" s="70" t="s">
        <v>2288</v>
      </c>
      <c r="T19" s="70"/>
      <c r="U19" s="70" t="s">
        <v>2288</v>
      </c>
      <c r="V19" s="70" t="s">
        <v>2288</v>
      </c>
      <c r="W19" s="70"/>
      <c r="X19" s="70" t="s">
        <v>2288</v>
      </c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18</v>
      </c>
      <c r="J20" s="147" t="s">
        <v>1678</v>
      </c>
      <c r="K20" s="31">
        <f t="shared" si="6"/>
        <v>10</v>
      </c>
      <c r="L20" s="32">
        <f t="shared" si="7"/>
        <v>0.6428571428571429</v>
      </c>
      <c r="M20" s="70" t="s">
        <v>2288</v>
      </c>
      <c r="N20" s="70" t="s">
        <v>2288</v>
      </c>
      <c r="O20" s="70" t="s">
        <v>2288</v>
      </c>
      <c r="P20" s="70" t="s">
        <v>2288</v>
      </c>
      <c r="Q20" s="70" t="s">
        <v>2288</v>
      </c>
      <c r="R20" s="70" t="s">
        <v>2288</v>
      </c>
      <c r="S20" s="70" t="s">
        <v>2288</v>
      </c>
      <c r="T20" s="70"/>
      <c r="U20" s="70" t="s">
        <v>2288</v>
      </c>
      <c r="V20" s="70" t="s">
        <v>2288</v>
      </c>
      <c r="W20" s="70"/>
      <c r="X20" s="70" t="s">
        <v>2288</v>
      </c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" thickBot="1" x14ac:dyDescent="0.35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" thickBot="1" x14ac:dyDescent="0.35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" thickBot="1" x14ac:dyDescent="0.35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" thickBot="1" x14ac:dyDescent="0.35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" thickBot="1" x14ac:dyDescent="0.35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" thickBot="1" x14ac:dyDescent="0.35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" thickBot="1" x14ac:dyDescent="0.35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" thickBot="1" x14ac:dyDescent="0.35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" thickBot="1" x14ac:dyDescent="0.35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" thickBot="1" x14ac:dyDescent="0.35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17</v>
      </c>
      <c r="J34" s="147" t="s">
        <v>1689</v>
      </c>
      <c r="K34" s="134">
        <f t="shared" si="6"/>
        <v>11</v>
      </c>
      <c r="L34" s="135">
        <f t="shared" si="7"/>
        <v>0.6071428571428571</v>
      </c>
      <c r="M34" s="136" t="s">
        <v>2288</v>
      </c>
      <c r="N34" s="136" t="s">
        <v>2288</v>
      </c>
      <c r="O34" s="136" t="s">
        <v>2288</v>
      </c>
      <c r="P34" s="136" t="s">
        <v>2288</v>
      </c>
      <c r="Q34" s="136" t="s">
        <v>2288</v>
      </c>
      <c r="R34" s="136" t="s">
        <v>2288</v>
      </c>
      <c r="S34" s="136" t="s">
        <v>2288</v>
      </c>
      <c r="T34" s="136" t="s">
        <v>2288</v>
      </c>
      <c r="U34" s="136" t="s">
        <v>2288</v>
      </c>
      <c r="V34" s="136" t="s">
        <v>2288</v>
      </c>
      <c r="W34" s="136"/>
      <c r="X34" s="136" t="s">
        <v>2288</v>
      </c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" thickBot="1" x14ac:dyDescent="0.35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27</v>
      </c>
      <c r="J35" s="87" t="s">
        <v>2163</v>
      </c>
      <c r="K35" s="142">
        <f t="shared" si="6"/>
        <v>1</v>
      </c>
      <c r="L35" s="143">
        <f t="shared" si="7"/>
        <v>0.9642857142857143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 t="s">
        <v>2288</v>
      </c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" thickBot="1" x14ac:dyDescent="0.35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17</v>
      </c>
      <c r="J36" s="87" t="s">
        <v>2157</v>
      </c>
      <c r="K36" s="142">
        <f t="shared" si="6"/>
        <v>11</v>
      </c>
      <c r="L36" s="143">
        <f t="shared" si="7"/>
        <v>0.6071428571428571</v>
      </c>
      <c r="M36" s="70" t="s">
        <v>2288</v>
      </c>
      <c r="N36" s="70" t="s">
        <v>2288</v>
      </c>
      <c r="O36" s="70" t="s">
        <v>2288</v>
      </c>
      <c r="P36" s="70" t="s">
        <v>2288</v>
      </c>
      <c r="Q36" s="70" t="s">
        <v>2288</v>
      </c>
      <c r="R36" s="70" t="s">
        <v>2288</v>
      </c>
      <c r="S36" s="70" t="s">
        <v>2288</v>
      </c>
      <c r="T36" s="70" t="s">
        <v>2288</v>
      </c>
      <c r="U36" s="70" t="s">
        <v>2288</v>
      </c>
      <c r="V36" s="70" t="s">
        <v>2288</v>
      </c>
      <c r="W36" s="70"/>
      <c r="X36" s="70" t="s">
        <v>2288</v>
      </c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" thickBot="1" x14ac:dyDescent="0.35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" thickBot="1" x14ac:dyDescent="0.35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27</v>
      </c>
      <c r="J40" s="87" t="s">
        <v>2165</v>
      </c>
      <c r="K40" s="31">
        <f t="shared" si="6"/>
        <v>1</v>
      </c>
      <c r="L40" s="32">
        <f t="shared" si="7"/>
        <v>0.9642857142857143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 t="s">
        <v>2288</v>
      </c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27</v>
      </c>
      <c r="J41" s="87" t="s">
        <v>2190</v>
      </c>
      <c r="K41" s="31">
        <f t="shared" si="6"/>
        <v>1</v>
      </c>
      <c r="L41" s="32">
        <f t="shared" si="7"/>
        <v>0.9642857142857143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2288</v>
      </c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27</v>
      </c>
      <c r="J42" s="87" t="s">
        <v>2191</v>
      </c>
      <c r="K42" s="31">
        <f t="shared" si="6"/>
        <v>1</v>
      </c>
      <c r="L42" s="32">
        <f t="shared" si="7"/>
        <v>0.9642857142857143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2288</v>
      </c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28</v>
      </c>
      <c r="J43" s="87" t="s">
        <v>2192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1458</v>
      </c>
      <c r="B44" s="30" t="s">
        <v>2245</v>
      </c>
      <c r="C44" t="s">
        <v>1063</v>
      </c>
      <c r="D44" t="s">
        <v>2250</v>
      </c>
      <c r="E44" s="30" t="s">
        <v>73</v>
      </c>
      <c r="F44" s="30" t="s">
        <v>28</v>
      </c>
      <c r="G44" s="30"/>
      <c r="H44" s="85" t="s">
        <v>2246</v>
      </c>
      <c r="I44" s="31">
        <f t="shared" si="5"/>
        <v>28</v>
      </c>
      <c r="J44" s="153" t="s">
        <v>2247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1458</v>
      </c>
      <c r="B45" s="30" t="s">
        <v>2248</v>
      </c>
      <c r="C45" t="s">
        <v>1063</v>
      </c>
      <c r="D45" t="s">
        <v>2249</v>
      </c>
      <c r="E45" s="30" t="s">
        <v>73</v>
      </c>
      <c r="F45" s="30" t="s">
        <v>28</v>
      </c>
      <c r="G45" s="30"/>
      <c r="H45" s="85" t="s">
        <v>2251</v>
      </c>
      <c r="I45" s="31">
        <f t="shared" si="5"/>
        <v>28</v>
      </c>
      <c r="J45" s="153" t="s">
        <v>2252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27</v>
      </c>
      <c r="J52" s="147" t="s">
        <v>1697</v>
      </c>
      <c r="K52" s="31">
        <f t="shared" si="6"/>
        <v>1</v>
      </c>
      <c r="L52" s="32">
        <f t="shared" si="7"/>
        <v>0.9642857142857143</v>
      </c>
      <c r="M52" s="70"/>
      <c r="N52" s="70"/>
      <c r="O52" s="70"/>
      <c r="P52" s="70"/>
      <c r="Q52" s="70"/>
      <c r="R52" s="70"/>
      <c r="S52" s="70"/>
      <c r="T52" s="70"/>
      <c r="U52" s="70" t="s">
        <v>2288</v>
      </c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" thickBot="1" x14ac:dyDescent="0.35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1703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" thickBot="1" x14ac:dyDescent="0.35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" thickBot="1" x14ac:dyDescent="0.35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" thickBot="1" x14ac:dyDescent="0.35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26</v>
      </c>
      <c r="J62" s="147" t="s">
        <v>1707</v>
      </c>
      <c r="K62" s="31">
        <f t="shared" si="6"/>
        <v>2</v>
      </c>
      <c r="L62" s="32">
        <f t="shared" si="7"/>
        <v>0.9285714285714286</v>
      </c>
      <c r="M62" s="70"/>
      <c r="N62" s="70"/>
      <c r="O62" s="70"/>
      <c r="P62" s="70"/>
      <c r="Q62" s="70"/>
      <c r="R62" s="70"/>
      <c r="S62" s="70"/>
      <c r="T62" s="70"/>
      <c r="U62" s="70"/>
      <c r="V62" s="70" t="s">
        <v>2288</v>
      </c>
      <c r="W62" s="70"/>
      <c r="X62" s="70" t="s">
        <v>2288</v>
      </c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" thickBot="1" x14ac:dyDescent="0.35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" thickBot="1" x14ac:dyDescent="0.35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" thickBot="1" x14ac:dyDescent="0.35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" thickBot="1" x14ac:dyDescent="0.35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" thickBot="1" x14ac:dyDescent="0.35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" thickBot="1" x14ac:dyDescent="0.35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1732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18</v>
      </c>
      <c r="J89" s="147" t="s">
        <v>1733</v>
      </c>
      <c r="K89" s="31">
        <f t="shared" si="9"/>
        <v>10</v>
      </c>
      <c r="L89" s="32">
        <f t="shared" si="10"/>
        <v>0.6428571428571429</v>
      </c>
      <c r="M89" s="70" t="s">
        <v>2288</v>
      </c>
      <c r="N89" s="70" t="s">
        <v>2288</v>
      </c>
      <c r="O89" s="70" t="s">
        <v>2288</v>
      </c>
      <c r="P89" s="70" t="s">
        <v>2288</v>
      </c>
      <c r="Q89" s="70" t="s">
        <v>2288</v>
      </c>
      <c r="R89" s="70" t="s">
        <v>2288</v>
      </c>
      <c r="S89" s="70" t="s">
        <v>2288</v>
      </c>
      <c r="T89" s="70"/>
      <c r="U89" s="70" t="s">
        <v>2288</v>
      </c>
      <c r="V89" s="70" t="s">
        <v>2288</v>
      </c>
      <c r="W89" s="70"/>
      <c r="X89" s="70" t="s">
        <v>2288</v>
      </c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" thickBot="1" x14ac:dyDescent="0.35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28</v>
      </c>
      <c r="J92" s="147" t="s">
        <v>1736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" thickBot="1" x14ac:dyDescent="0.35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" thickBot="1" x14ac:dyDescent="0.35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" thickBot="1" x14ac:dyDescent="0.35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26</v>
      </c>
      <c r="J95" s="147" t="s">
        <v>1739</v>
      </c>
      <c r="K95" s="142">
        <f t="shared" si="9"/>
        <v>2</v>
      </c>
      <c r="L95" s="143">
        <f t="shared" si="10"/>
        <v>0.9285714285714286</v>
      </c>
      <c r="M95" s="70"/>
      <c r="N95" s="70"/>
      <c r="O95" s="70"/>
      <c r="P95" s="70"/>
      <c r="Q95" s="70"/>
      <c r="R95" s="70"/>
      <c r="S95" s="70"/>
      <c r="T95" s="70" t="s">
        <v>2288</v>
      </c>
      <c r="U95" s="70"/>
      <c r="V95" s="70"/>
      <c r="W95" s="70"/>
      <c r="X95" s="70" t="s">
        <v>2288</v>
      </c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" thickBot="1" x14ac:dyDescent="0.35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" thickBot="1" x14ac:dyDescent="0.35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" thickBot="1" x14ac:dyDescent="0.35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" thickBot="1" x14ac:dyDescent="0.35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18</v>
      </c>
      <c r="J99" s="147" t="s">
        <v>1743</v>
      </c>
      <c r="K99" s="142">
        <f t="shared" si="9"/>
        <v>10</v>
      </c>
      <c r="L99" s="143">
        <f t="shared" si="10"/>
        <v>0.6428571428571429</v>
      </c>
      <c r="M99" s="70" t="s">
        <v>2288</v>
      </c>
      <c r="N99" s="70" t="s">
        <v>2288</v>
      </c>
      <c r="O99" s="70" t="s">
        <v>2288</v>
      </c>
      <c r="P99" s="70" t="s">
        <v>2288</v>
      </c>
      <c r="Q99" s="70" t="s">
        <v>2288</v>
      </c>
      <c r="R99" s="70" t="s">
        <v>2288</v>
      </c>
      <c r="S99" s="70" t="s">
        <v>2288</v>
      </c>
      <c r="T99" s="70" t="s">
        <v>2288</v>
      </c>
      <c r="U99" s="70"/>
      <c r="V99" s="70" t="s">
        <v>2288</v>
      </c>
      <c r="W99" s="70"/>
      <c r="X99" s="70" t="s">
        <v>2288</v>
      </c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" thickBot="1" x14ac:dyDescent="0.35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" thickBot="1" x14ac:dyDescent="0.35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" thickBot="1" x14ac:dyDescent="0.35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" thickBot="1" x14ac:dyDescent="0.35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" thickBot="1" x14ac:dyDescent="0.35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" thickBot="1" x14ac:dyDescent="0.35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" thickBot="1" x14ac:dyDescent="0.35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28</v>
      </c>
      <c r="J106" s="147" t="s">
        <v>1750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" thickBot="1" x14ac:dyDescent="0.35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" thickBot="1" x14ac:dyDescent="0.35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" thickBot="1" x14ac:dyDescent="0.35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" thickBot="1" x14ac:dyDescent="0.35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20</v>
      </c>
      <c r="J112" s="147" t="s">
        <v>1756</v>
      </c>
      <c r="K112" s="142">
        <f t="shared" si="9"/>
        <v>8</v>
      </c>
      <c r="L112" s="143">
        <f t="shared" si="10"/>
        <v>0.7142857142857143</v>
      </c>
      <c r="M112" s="70" t="s">
        <v>2288</v>
      </c>
      <c r="N112" s="70" t="s">
        <v>2288</v>
      </c>
      <c r="O112" s="70" t="s">
        <v>2288</v>
      </c>
      <c r="P112" s="70" t="s">
        <v>2288</v>
      </c>
      <c r="Q112" s="70" t="s">
        <v>2288</v>
      </c>
      <c r="R112" s="70" t="s">
        <v>2288</v>
      </c>
      <c r="S112" s="70" t="s">
        <v>2288</v>
      </c>
      <c r="T112" s="70" t="s">
        <v>2288</v>
      </c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" thickBot="1" x14ac:dyDescent="0.35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20</v>
      </c>
      <c r="J113" s="147" t="s">
        <v>1755</v>
      </c>
      <c r="K113" s="142">
        <f t="shared" si="9"/>
        <v>8</v>
      </c>
      <c r="L113" s="143">
        <f t="shared" si="10"/>
        <v>0.7142857142857143</v>
      </c>
      <c r="M113" s="70" t="s">
        <v>2288</v>
      </c>
      <c r="N113" s="70" t="s">
        <v>2288</v>
      </c>
      <c r="O113" s="70" t="s">
        <v>2288</v>
      </c>
      <c r="P113" s="70" t="s">
        <v>2288</v>
      </c>
      <c r="Q113" s="70" t="s">
        <v>2288</v>
      </c>
      <c r="R113" s="70" t="s">
        <v>2288</v>
      </c>
      <c r="S113" s="70" t="s">
        <v>2288</v>
      </c>
      <c r="T113" s="70" t="s">
        <v>2288</v>
      </c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" thickBot="1" x14ac:dyDescent="0.35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" thickBot="1" x14ac:dyDescent="0.35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5" customHeight="1" thickBot="1" x14ac:dyDescent="0.35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" thickBot="1" x14ac:dyDescent="0.35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1761</v>
      </c>
      <c r="K118" s="31">
        <f t="shared" si="9"/>
        <v>2</v>
      </c>
      <c r="L118" s="32">
        <f t="shared" si="10"/>
        <v>0.9285714285714286</v>
      </c>
      <c r="M118" s="70" t="s">
        <v>2288</v>
      </c>
      <c r="N118" s="70" t="s">
        <v>2288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" thickBot="1" x14ac:dyDescent="0.35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17</v>
      </c>
      <c r="J120" s="147" t="s">
        <v>1763</v>
      </c>
      <c r="K120" s="142">
        <f t="shared" si="9"/>
        <v>11</v>
      </c>
      <c r="L120" s="143">
        <f t="shared" si="10"/>
        <v>0.6071428571428571</v>
      </c>
      <c r="M120" s="70" t="s">
        <v>2288</v>
      </c>
      <c r="N120" s="70" t="s">
        <v>2288</v>
      </c>
      <c r="O120" s="70" t="s">
        <v>2288</v>
      </c>
      <c r="P120" s="70" t="s">
        <v>2288</v>
      </c>
      <c r="Q120" s="70" t="s">
        <v>2288</v>
      </c>
      <c r="R120" s="70" t="s">
        <v>2288</v>
      </c>
      <c r="S120" s="70" t="s">
        <v>2288</v>
      </c>
      <c r="T120" s="70" t="s">
        <v>2288</v>
      </c>
      <c r="U120" s="70" t="s">
        <v>2288</v>
      </c>
      <c r="V120" s="70" t="s">
        <v>2288</v>
      </c>
      <c r="W120" s="70"/>
      <c r="X120" s="70" t="s">
        <v>2288</v>
      </c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" thickBot="1" x14ac:dyDescent="0.35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" thickBot="1" x14ac:dyDescent="0.35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24</v>
      </c>
      <c r="J127" s="148" t="s">
        <v>1770</v>
      </c>
      <c r="K127" s="142">
        <f t="shared" si="9"/>
        <v>4</v>
      </c>
      <c r="L127" s="143">
        <f t="shared" si="10"/>
        <v>0.8571428571428571</v>
      </c>
      <c r="M127" s="70"/>
      <c r="N127" s="70" t="s">
        <v>2288</v>
      </c>
      <c r="O127" s="70"/>
      <c r="P127" s="70"/>
      <c r="Q127" s="70" t="s">
        <v>2288</v>
      </c>
      <c r="R127" s="70" t="s">
        <v>2288</v>
      </c>
      <c r="S127" s="70" t="s">
        <v>2288</v>
      </c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" thickBot="1" x14ac:dyDescent="0.35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28</v>
      </c>
      <c r="J128" s="147" t="s">
        <v>1771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" thickBot="1" x14ac:dyDescent="0.35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" thickBot="1" x14ac:dyDescent="0.35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22</v>
      </c>
      <c r="J130" s="147" t="s">
        <v>1773</v>
      </c>
      <c r="K130" s="31">
        <f t="shared" si="9"/>
        <v>6</v>
      </c>
      <c r="L130" s="32">
        <f t="shared" si="10"/>
        <v>0.7857142857142857</v>
      </c>
      <c r="M130" s="70" t="s">
        <v>2288</v>
      </c>
      <c r="N130" s="70" t="s">
        <v>2288</v>
      </c>
      <c r="O130" s="70"/>
      <c r="P130" s="70"/>
      <c r="Q130" s="70" t="s">
        <v>2288</v>
      </c>
      <c r="R130" s="70" t="s">
        <v>2288</v>
      </c>
      <c r="S130" s="70"/>
      <c r="T130" s="70"/>
      <c r="U130" s="70" t="s">
        <v>2288</v>
      </c>
      <c r="V130" s="70" t="s">
        <v>2288</v>
      </c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22</v>
      </c>
      <c r="J131" s="147" t="s">
        <v>1774</v>
      </c>
      <c r="K131" s="31">
        <f t="shared" si="9"/>
        <v>6</v>
      </c>
      <c r="L131" s="32">
        <f t="shared" si="10"/>
        <v>0.7857142857142857</v>
      </c>
      <c r="M131" s="70" t="s">
        <v>2288</v>
      </c>
      <c r="N131" s="70"/>
      <c r="O131" s="70"/>
      <c r="P131" s="70"/>
      <c r="Q131" s="70"/>
      <c r="R131" s="70"/>
      <c r="S131" s="70" t="s">
        <v>2288</v>
      </c>
      <c r="T131" s="70" t="s">
        <v>2288</v>
      </c>
      <c r="U131" s="70" t="s">
        <v>2288</v>
      </c>
      <c r="V131" s="70" t="s">
        <v>2288</v>
      </c>
      <c r="W131" s="70"/>
      <c r="X131" s="70" t="s">
        <v>2288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" thickBot="1" x14ac:dyDescent="0.35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1775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" thickBot="1" x14ac:dyDescent="0.35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5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" thickBot="1" x14ac:dyDescent="0.35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" thickBot="1" x14ac:dyDescent="0.35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" thickBot="1" x14ac:dyDescent="0.35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" thickBot="1" x14ac:dyDescent="0.35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" thickBot="1" x14ac:dyDescent="0.35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" thickBot="1" x14ac:dyDescent="0.35">
      <c r="A143" s="73" t="s">
        <v>52</v>
      </c>
      <c r="B143" s="85" t="s">
        <v>2222</v>
      </c>
      <c r="C143" s="85" t="s">
        <v>1062</v>
      </c>
      <c r="D143" s="73" t="s">
        <v>2223</v>
      </c>
      <c r="E143" s="85" t="s">
        <v>19</v>
      </c>
      <c r="F143" s="85" t="s">
        <v>1301</v>
      </c>
      <c r="G143" s="85"/>
      <c r="H143" s="85" t="s">
        <v>2224</v>
      </c>
      <c r="I143" s="142">
        <f t="shared" si="8"/>
        <v>28</v>
      </c>
      <c r="J143" s="147" t="s">
        <v>2225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" thickBot="1" x14ac:dyDescent="0.35">
      <c r="A144" s="73" t="s">
        <v>52</v>
      </c>
      <c r="B144" s="85" t="s">
        <v>2260</v>
      </c>
      <c r="C144" s="85" t="s">
        <v>1062</v>
      </c>
      <c r="D144" s="73" t="s">
        <v>2261</v>
      </c>
      <c r="E144" s="85" t="s">
        <v>19</v>
      </c>
      <c r="F144" s="30" t="s">
        <v>28</v>
      </c>
      <c r="G144" s="85"/>
      <c r="H144" s="85" t="s">
        <v>2262</v>
      </c>
      <c r="I144" s="142">
        <f t="shared" si="8"/>
        <v>28</v>
      </c>
      <c r="J144" s="147" t="s">
        <v>2263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" thickBot="1" x14ac:dyDescent="0.35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22</v>
      </c>
      <c r="J145" s="147" t="s">
        <v>1784</v>
      </c>
      <c r="K145" s="31">
        <f t="shared" si="9"/>
        <v>6</v>
      </c>
      <c r="L145" s="32">
        <f t="shared" si="10"/>
        <v>0.7857142857142857</v>
      </c>
      <c r="M145" s="70" t="s">
        <v>2288</v>
      </c>
      <c r="N145" s="70" t="s">
        <v>2288</v>
      </c>
      <c r="O145" s="70" t="s">
        <v>2288</v>
      </c>
      <c r="P145" s="70" t="s">
        <v>2288</v>
      </c>
      <c r="Q145" s="70" t="s">
        <v>2288</v>
      </c>
      <c r="R145" s="70" t="s">
        <v>2288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26</v>
      </c>
      <c r="J151" s="87"/>
      <c r="K151" s="31">
        <f t="shared" si="9"/>
        <v>2</v>
      </c>
      <c r="L151" s="32">
        <f t="shared" si="10"/>
        <v>0.9285714285714286</v>
      </c>
      <c r="M151" s="70"/>
      <c r="N151" s="70"/>
      <c r="O151" s="70"/>
      <c r="P151" s="70"/>
      <c r="Q151" s="70" t="s">
        <v>2288</v>
      </c>
      <c r="R151" s="70" t="s">
        <v>2288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" thickBot="1" x14ac:dyDescent="0.35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" thickBot="1" x14ac:dyDescent="0.35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" thickBot="1" x14ac:dyDescent="0.35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" thickBot="1" x14ac:dyDescent="0.35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" thickBot="1" x14ac:dyDescent="0.35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18</v>
      </c>
      <c r="J156" s="87"/>
      <c r="K156" s="31">
        <f t="shared" si="9"/>
        <v>10</v>
      </c>
      <c r="L156" s="32">
        <f t="shared" si="10"/>
        <v>0.6428571428571429</v>
      </c>
      <c r="M156" s="70" t="s">
        <v>2288</v>
      </c>
      <c r="N156" s="70" t="s">
        <v>2288</v>
      </c>
      <c r="O156" s="70" t="s">
        <v>2288</v>
      </c>
      <c r="P156" s="70"/>
      <c r="Q156" s="70" t="s">
        <v>2288</v>
      </c>
      <c r="R156" s="70" t="s">
        <v>2288</v>
      </c>
      <c r="S156" s="70" t="s">
        <v>2288</v>
      </c>
      <c r="T156" s="70" t="s">
        <v>2288</v>
      </c>
      <c r="U156" s="70" t="s">
        <v>2288</v>
      </c>
      <c r="V156" s="70" t="s">
        <v>2288</v>
      </c>
      <c r="W156" s="70"/>
      <c r="X156" s="70" t="s">
        <v>2288</v>
      </c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2" customHeight="1" thickBot="1" x14ac:dyDescent="0.35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18</v>
      </c>
      <c r="J157" s="87"/>
      <c r="K157" s="31">
        <f t="shared" si="9"/>
        <v>10</v>
      </c>
      <c r="L157" s="32">
        <f t="shared" si="10"/>
        <v>0.6428571428571429</v>
      </c>
      <c r="M157" s="70" t="s">
        <v>2288</v>
      </c>
      <c r="N157" s="70" t="s">
        <v>2288</v>
      </c>
      <c r="O157" s="70" t="s">
        <v>2288</v>
      </c>
      <c r="P157" s="70"/>
      <c r="Q157" s="70" t="s">
        <v>2288</v>
      </c>
      <c r="R157" s="70" t="s">
        <v>2288</v>
      </c>
      <c r="S157" s="70" t="s">
        <v>2288</v>
      </c>
      <c r="T157" s="70" t="s">
        <v>2288</v>
      </c>
      <c r="U157" s="70" t="s">
        <v>2288</v>
      </c>
      <c r="V157" s="70" t="s">
        <v>2288</v>
      </c>
      <c r="W157" s="70"/>
      <c r="X157" s="70" t="s">
        <v>2288</v>
      </c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" thickBot="1" x14ac:dyDescent="0.35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" thickBot="1" x14ac:dyDescent="0.35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" thickBot="1" x14ac:dyDescent="0.35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" thickBot="1" x14ac:dyDescent="0.35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28</v>
      </c>
      <c r="J162" s="147" t="s">
        <v>1795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" thickBot="1" x14ac:dyDescent="0.35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" thickBot="1" x14ac:dyDescent="0.35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22</v>
      </c>
      <c r="J164" s="147" t="s">
        <v>1797</v>
      </c>
      <c r="K164" s="31">
        <f t="shared" si="12"/>
        <v>6</v>
      </c>
      <c r="L164" s="32">
        <f t="shared" si="13"/>
        <v>0.7857142857142857</v>
      </c>
      <c r="M164" s="70" t="s">
        <v>2288</v>
      </c>
      <c r="N164" s="70" t="s">
        <v>2288</v>
      </c>
      <c r="O164" s="70" t="s">
        <v>2288</v>
      </c>
      <c r="P164" s="70" t="s">
        <v>2288</v>
      </c>
      <c r="Q164" s="70" t="s">
        <v>2288</v>
      </c>
      <c r="R164" s="70" t="s">
        <v>2288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24</v>
      </c>
      <c r="J165" s="147" t="s">
        <v>1798</v>
      </c>
      <c r="K165" s="31">
        <f t="shared" si="12"/>
        <v>4</v>
      </c>
      <c r="L165" s="32">
        <f t="shared" si="13"/>
        <v>0.8571428571428571</v>
      </c>
      <c r="M165" s="70"/>
      <c r="N165" s="70"/>
      <c r="O165" s="70" t="s">
        <v>2288</v>
      </c>
      <c r="P165" s="70" t="s">
        <v>2288</v>
      </c>
      <c r="Q165" s="70" t="s">
        <v>2288</v>
      </c>
      <c r="R165" s="70" t="s">
        <v>2288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" thickBot="1" x14ac:dyDescent="0.35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27</v>
      </c>
      <c r="J166" s="147" t="s">
        <v>1799</v>
      </c>
      <c r="K166" s="31">
        <f t="shared" si="12"/>
        <v>1</v>
      </c>
      <c r="L166" s="32">
        <f t="shared" si="13"/>
        <v>0.9642857142857143</v>
      </c>
      <c r="M166" s="70"/>
      <c r="N166" s="70"/>
      <c r="O166" s="70"/>
      <c r="P166" s="70"/>
      <c r="Q166" s="70"/>
      <c r="R166" s="70" t="s">
        <v>2288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" thickBot="1" x14ac:dyDescent="0.35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24</v>
      </c>
      <c r="J167" s="147" t="s">
        <v>1800</v>
      </c>
      <c r="K167" s="31">
        <f t="shared" si="12"/>
        <v>4</v>
      </c>
      <c r="L167" s="32">
        <f t="shared" si="13"/>
        <v>0.8571428571428571</v>
      </c>
      <c r="M167" s="70" t="s">
        <v>2288</v>
      </c>
      <c r="N167" s="70" t="s">
        <v>2288</v>
      </c>
      <c r="O167" s="70"/>
      <c r="P167" s="70"/>
      <c r="Q167" s="70" t="s">
        <v>2288</v>
      </c>
      <c r="R167" s="70" t="s">
        <v>2288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19</v>
      </c>
      <c r="J168" s="147" t="s">
        <v>1801</v>
      </c>
      <c r="K168" s="31">
        <f t="shared" si="12"/>
        <v>9</v>
      </c>
      <c r="L168" s="32">
        <f t="shared" si="13"/>
        <v>0.6785714285714286</v>
      </c>
      <c r="M168" s="70" t="s">
        <v>2288</v>
      </c>
      <c r="N168" s="70" t="s">
        <v>2288</v>
      </c>
      <c r="O168" s="70"/>
      <c r="P168" s="70"/>
      <c r="Q168" s="70" t="s">
        <v>2288</v>
      </c>
      <c r="R168" s="70" t="s">
        <v>2288</v>
      </c>
      <c r="S168" s="70" t="s">
        <v>2288</v>
      </c>
      <c r="T168" s="70" t="s">
        <v>2288</v>
      </c>
      <c r="U168" s="70" t="s">
        <v>2288</v>
      </c>
      <c r="V168" s="70" t="s">
        <v>2288</v>
      </c>
      <c r="W168" s="70"/>
      <c r="X168" s="70" t="s">
        <v>2288</v>
      </c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17</v>
      </c>
      <c r="J169" s="147" t="s">
        <v>1802</v>
      </c>
      <c r="K169" s="31">
        <f t="shared" si="12"/>
        <v>11</v>
      </c>
      <c r="L169" s="32">
        <f t="shared" si="13"/>
        <v>0.6071428571428571</v>
      </c>
      <c r="M169" s="70" t="s">
        <v>2288</v>
      </c>
      <c r="N169" s="70" t="s">
        <v>2288</v>
      </c>
      <c r="O169" s="70" t="s">
        <v>2288</v>
      </c>
      <c r="P169" s="70" t="s">
        <v>2288</v>
      </c>
      <c r="Q169" s="70" t="s">
        <v>2288</v>
      </c>
      <c r="R169" s="70" t="s">
        <v>2288</v>
      </c>
      <c r="S169" s="70" t="s">
        <v>2288</v>
      </c>
      <c r="T169" s="70" t="s">
        <v>2288</v>
      </c>
      <c r="U169" s="70" t="s">
        <v>2288</v>
      </c>
      <c r="V169" s="70" t="s">
        <v>2288</v>
      </c>
      <c r="W169" s="70"/>
      <c r="X169" s="70" t="s">
        <v>2288</v>
      </c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" thickBot="1" x14ac:dyDescent="0.35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" thickBot="1" x14ac:dyDescent="0.35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" thickBot="1" x14ac:dyDescent="0.35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1812</v>
      </c>
      <c r="K180" s="31">
        <f t="shared" si="12"/>
        <v>6</v>
      </c>
      <c r="L180" s="32">
        <f t="shared" si="13"/>
        <v>0.7857142857142857</v>
      </c>
      <c r="M180" s="70" t="s">
        <v>2288</v>
      </c>
      <c r="N180" s="70" t="s">
        <v>2288</v>
      </c>
      <c r="O180" s="70" t="s">
        <v>2288</v>
      </c>
      <c r="P180" s="70" t="s">
        <v>2288</v>
      </c>
      <c r="Q180" s="70" t="s">
        <v>2288</v>
      </c>
      <c r="R180" s="70" t="s">
        <v>2288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1813</v>
      </c>
      <c r="K181" s="31">
        <f t="shared" si="12"/>
        <v>6</v>
      </c>
      <c r="L181" s="32">
        <f t="shared" si="13"/>
        <v>0.7857142857142857</v>
      </c>
      <c r="M181" s="70" t="s">
        <v>2288</v>
      </c>
      <c r="N181" s="70" t="s">
        <v>2288</v>
      </c>
      <c r="O181" s="70" t="s">
        <v>2288</v>
      </c>
      <c r="P181" s="70" t="s">
        <v>2288</v>
      </c>
      <c r="Q181" s="70" t="s">
        <v>2288</v>
      </c>
      <c r="R181" s="70" t="s">
        <v>2288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22</v>
      </c>
      <c r="J182" s="147" t="s">
        <v>1814</v>
      </c>
      <c r="K182" s="31">
        <f t="shared" si="12"/>
        <v>6</v>
      </c>
      <c r="L182" s="32">
        <f t="shared" si="13"/>
        <v>0.7857142857142857</v>
      </c>
      <c r="M182" s="70" t="s">
        <v>2288</v>
      </c>
      <c r="N182" s="70" t="s">
        <v>2288</v>
      </c>
      <c r="O182" s="70" t="s">
        <v>2288</v>
      </c>
      <c r="P182" s="70" t="s">
        <v>2288</v>
      </c>
      <c r="Q182" s="70" t="s">
        <v>2288</v>
      </c>
      <c r="R182" s="70" t="s">
        <v>2288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22</v>
      </c>
      <c r="J183" s="147" t="s">
        <v>1815</v>
      </c>
      <c r="K183" s="31">
        <f t="shared" si="12"/>
        <v>6</v>
      </c>
      <c r="L183" s="32">
        <f t="shared" si="13"/>
        <v>0.7857142857142857</v>
      </c>
      <c r="M183" s="70" t="s">
        <v>2288</v>
      </c>
      <c r="N183" s="70" t="s">
        <v>2288</v>
      </c>
      <c r="O183" s="70" t="s">
        <v>2288</v>
      </c>
      <c r="P183" s="70" t="s">
        <v>2288</v>
      </c>
      <c r="Q183" s="70" t="s">
        <v>2288</v>
      </c>
      <c r="R183" s="70" t="s">
        <v>2288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" thickBot="1" x14ac:dyDescent="0.35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17</v>
      </c>
      <c r="J187" s="147" t="s">
        <v>1818</v>
      </c>
      <c r="K187" s="31">
        <f t="shared" si="12"/>
        <v>11</v>
      </c>
      <c r="L187" s="32">
        <f t="shared" si="13"/>
        <v>0.6071428571428571</v>
      </c>
      <c r="M187" s="70" t="s">
        <v>2288</v>
      </c>
      <c r="N187" s="70" t="s">
        <v>2288</v>
      </c>
      <c r="O187" s="70" t="s">
        <v>2288</v>
      </c>
      <c r="P187" s="70" t="s">
        <v>2288</v>
      </c>
      <c r="Q187" s="70" t="s">
        <v>2288</v>
      </c>
      <c r="R187" s="70" t="s">
        <v>2288</v>
      </c>
      <c r="S187" s="70" t="s">
        <v>2288</v>
      </c>
      <c r="T187" s="70" t="s">
        <v>2288</v>
      </c>
      <c r="U187" s="70" t="s">
        <v>2288</v>
      </c>
      <c r="V187" s="70" t="s">
        <v>2288</v>
      </c>
      <c r="W187" s="70"/>
      <c r="X187" s="70" t="s">
        <v>2288</v>
      </c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" thickBot="1" x14ac:dyDescent="0.35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" thickBot="1" x14ac:dyDescent="0.35">
      <c r="A189" s="73" t="s">
        <v>191</v>
      </c>
      <c r="B189" s="85" t="s">
        <v>2236</v>
      </c>
      <c r="C189" s="85" t="s">
        <v>1063</v>
      </c>
      <c r="D189" s="73" t="s">
        <v>2237</v>
      </c>
      <c r="E189" s="85" t="s">
        <v>19</v>
      </c>
      <c r="F189" s="85" t="s">
        <v>1301</v>
      </c>
      <c r="G189" s="85"/>
      <c r="H189" s="85" t="s">
        <v>2238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" thickBot="1" x14ac:dyDescent="0.35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" thickBot="1" x14ac:dyDescent="0.35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" thickBot="1" x14ac:dyDescent="0.35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17</v>
      </c>
      <c r="J193" s="87"/>
      <c r="K193" s="138">
        <f t="shared" si="12"/>
        <v>11</v>
      </c>
      <c r="L193" s="139">
        <f t="shared" si="13"/>
        <v>0.6071428571428571</v>
      </c>
      <c r="M193" s="140" t="s">
        <v>2288</v>
      </c>
      <c r="N193" s="140" t="s">
        <v>2288</v>
      </c>
      <c r="O193" s="140" t="s">
        <v>2288</v>
      </c>
      <c r="P193" s="140" t="s">
        <v>2288</v>
      </c>
      <c r="Q193" s="140" t="s">
        <v>2288</v>
      </c>
      <c r="R193" s="140" t="s">
        <v>2288</v>
      </c>
      <c r="S193" s="140" t="s">
        <v>2288</v>
      </c>
      <c r="T193" s="140" t="s">
        <v>2288</v>
      </c>
      <c r="U193" s="140" t="s">
        <v>2288</v>
      </c>
      <c r="V193" s="140" t="s">
        <v>2288</v>
      </c>
      <c r="W193" s="140"/>
      <c r="X193" s="140" t="s">
        <v>2288</v>
      </c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" thickBot="1" x14ac:dyDescent="0.35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17</v>
      </c>
      <c r="J194" s="147" t="s">
        <v>1822</v>
      </c>
      <c r="K194" s="142">
        <f t="shared" si="12"/>
        <v>11</v>
      </c>
      <c r="L194" s="143">
        <f t="shared" si="13"/>
        <v>0.6071428571428571</v>
      </c>
      <c r="M194" s="70" t="s">
        <v>2288</v>
      </c>
      <c r="N194" s="70" t="s">
        <v>2288</v>
      </c>
      <c r="O194" s="70" t="s">
        <v>2288</v>
      </c>
      <c r="P194" s="70" t="s">
        <v>2288</v>
      </c>
      <c r="Q194" s="70" t="s">
        <v>2288</v>
      </c>
      <c r="R194" s="70" t="s">
        <v>2288</v>
      </c>
      <c r="S194" s="70" t="s">
        <v>2288</v>
      </c>
      <c r="T194" s="70" t="s">
        <v>2288</v>
      </c>
      <c r="U194" s="70" t="s">
        <v>2288</v>
      </c>
      <c r="V194" s="70" t="s">
        <v>2288</v>
      </c>
      <c r="W194" s="70"/>
      <c r="X194" s="70" t="s">
        <v>2288</v>
      </c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" thickBot="1" x14ac:dyDescent="0.35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22</v>
      </c>
      <c r="J195" s="147" t="s">
        <v>1823</v>
      </c>
      <c r="K195" s="142">
        <f t="shared" si="12"/>
        <v>6</v>
      </c>
      <c r="L195" s="143">
        <f t="shared" si="13"/>
        <v>0.7857142857142857</v>
      </c>
      <c r="M195" s="70" t="s">
        <v>2288</v>
      </c>
      <c r="N195" s="70" t="s">
        <v>2288</v>
      </c>
      <c r="O195" s="70" t="s">
        <v>2288</v>
      </c>
      <c r="P195" s="70" t="s">
        <v>2288</v>
      </c>
      <c r="Q195" s="70" t="s">
        <v>2288</v>
      </c>
      <c r="R195" s="70" t="s">
        <v>2288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" thickBot="1" x14ac:dyDescent="0.35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2288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28</v>
      </c>
      <c r="J198" s="147" t="s">
        <v>1826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" thickBot="1" x14ac:dyDescent="0.35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" thickBot="1" x14ac:dyDescent="0.35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18</v>
      </c>
      <c r="J200" s="147" t="s">
        <v>1827</v>
      </c>
      <c r="K200" s="142">
        <f t="shared" si="12"/>
        <v>10</v>
      </c>
      <c r="L200" s="143">
        <f t="shared" si="13"/>
        <v>0.6428571428571429</v>
      </c>
      <c r="M200" s="70" t="s">
        <v>2288</v>
      </c>
      <c r="N200" s="70" t="s">
        <v>2288</v>
      </c>
      <c r="O200" s="70" t="s">
        <v>2288</v>
      </c>
      <c r="P200" s="70" t="s">
        <v>2288</v>
      </c>
      <c r="Q200" s="70" t="s">
        <v>2288</v>
      </c>
      <c r="R200" s="70"/>
      <c r="S200" s="70" t="s">
        <v>2288</v>
      </c>
      <c r="T200" s="70" t="s">
        <v>2288</v>
      </c>
      <c r="U200" s="70" t="s">
        <v>2288</v>
      </c>
      <c r="V200" s="70" t="s">
        <v>2288</v>
      </c>
      <c r="W200" s="70"/>
      <c r="X200" s="70" t="s">
        <v>2288</v>
      </c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" thickBot="1" x14ac:dyDescent="0.35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22</v>
      </c>
      <c r="J201" s="147" t="s">
        <v>1828</v>
      </c>
      <c r="K201" s="31">
        <f t="shared" si="12"/>
        <v>6</v>
      </c>
      <c r="L201" s="32">
        <f t="shared" si="13"/>
        <v>0.7857142857142857</v>
      </c>
      <c r="M201" s="70" t="s">
        <v>2288</v>
      </c>
      <c r="N201" s="70" t="s">
        <v>2288</v>
      </c>
      <c r="O201" s="70" t="s">
        <v>2288</v>
      </c>
      <c r="P201" s="70" t="s">
        <v>2288</v>
      </c>
      <c r="Q201" s="70" t="s">
        <v>2288</v>
      </c>
      <c r="R201" s="70" t="s">
        <v>2288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" thickBot="1" x14ac:dyDescent="0.35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" thickBot="1" x14ac:dyDescent="0.35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" thickBot="1" x14ac:dyDescent="0.35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28</v>
      </c>
      <c r="J205" s="147" t="s">
        <v>1832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28</v>
      </c>
      <c r="J206" s="147" t="s">
        <v>1833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17</v>
      </c>
      <c r="J211" s="147" t="s">
        <v>1837</v>
      </c>
      <c r="K211" s="142">
        <f t="shared" si="12"/>
        <v>11</v>
      </c>
      <c r="L211" s="143">
        <f t="shared" si="13"/>
        <v>0.6071428571428571</v>
      </c>
      <c r="M211" s="70" t="s">
        <v>2288</v>
      </c>
      <c r="N211" s="70" t="s">
        <v>2288</v>
      </c>
      <c r="O211" s="70" t="s">
        <v>2288</v>
      </c>
      <c r="P211" s="70" t="s">
        <v>2288</v>
      </c>
      <c r="Q211" s="70" t="s">
        <v>2288</v>
      </c>
      <c r="R211" s="70" t="s">
        <v>2288</v>
      </c>
      <c r="S211" s="70" t="s">
        <v>2288</v>
      </c>
      <c r="T211" s="70" t="s">
        <v>2288</v>
      </c>
      <c r="U211" s="70" t="s">
        <v>2288</v>
      </c>
      <c r="V211" s="70" t="s">
        <v>2288</v>
      </c>
      <c r="W211" s="70"/>
      <c r="X211" s="70" t="s">
        <v>2288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" thickBot="1" x14ac:dyDescent="0.35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" thickBot="1" x14ac:dyDescent="0.35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" thickBot="1" x14ac:dyDescent="0.35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" thickBot="1" x14ac:dyDescent="0.35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" thickBot="1" x14ac:dyDescent="0.35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" thickBot="1" x14ac:dyDescent="0.35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28</v>
      </c>
      <c r="J217" s="147" t="s">
        <v>1842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2273</v>
      </c>
      <c r="C218" t="s">
        <v>1062</v>
      </c>
      <c r="D218" t="s">
        <v>2274</v>
      </c>
      <c r="E218" s="30" t="s">
        <v>15</v>
      </c>
      <c r="F218" s="85" t="s">
        <v>1301</v>
      </c>
      <c r="G218" s="30"/>
      <c r="H218" s="30" t="s">
        <v>2275</v>
      </c>
      <c r="I218" s="142">
        <f t="shared" si="11"/>
        <v>17</v>
      </c>
      <c r="J218" s="151" t="s">
        <v>2276</v>
      </c>
      <c r="K218" s="142">
        <f t="shared" si="12"/>
        <v>11</v>
      </c>
      <c r="L218" s="143">
        <f t="shared" si="13"/>
        <v>0.6071428571428571</v>
      </c>
      <c r="M218" s="70" t="s">
        <v>2288</v>
      </c>
      <c r="N218" s="70" t="s">
        <v>2288</v>
      </c>
      <c r="O218" s="70" t="s">
        <v>2288</v>
      </c>
      <c r="P218" s="70" t="s">
        <v>2288</v>
      </c>
      <c r="Q218" s="70" t="s">
        <v>2288</v>
      </c>
      <c r="R218" s="70" t="s">
        <v>2288</v>
      </c>
      <c r="S218" s="70" t="s">
        <v>2288</v>
      </c>
      <c r="T218" s="70" t="s">
        <v>2288</v>
      </c>
      <c r="U218" s="70" t="s">
        <v>2288</v>
      </c>
      <c r="V218" s="70" t="s">
        <v>2288</v>
      </c>
      <c r="W218" s="70"/>
      <c r="X218" s="70" t="s">
        <v>2288</v>
      </c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2288</v>
      </c>
      <c r="N219" s="70" t="s">
        <v>2288</v>
      </c>
      <c r="O219" s="70" t="s">
        <v>2288</v>
      </c>
      <c r="P219" s="70" t="s">
        <v>2288</v>
      </c>
      <c r="Q219" s="70" t="s">
        <v>2288</v>
      </c>
      <c r="R219" s="70" t="s">
        <v>2288</v>
      </c>
      <c r="S219" s="70" t="s">
        <v>2288</v>
      </c>
      <c r="T219" s="70" t="s">
        <v>2288</v>
      </c>
      <c r="U219" s="70" t="s">
        <v>2288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2288</v>
      </c>
      <c r="N220" s="70" t="s">
        <v>2288</v>
      </c>
      <c r="O220" s="70" t="s">
        <v>2288</v>
      </c>
      <c r="P220" s="70" t="s">
        <v>2288</v>
      </c>
      <c r="Q220" s="70" t="s">
        <v>2288</v>
      </c>
      <c r="R220" s="70" t="s">
        <v>2288</v>
      </c>
      <c r="S220" s="70" t="s">
        <v>2288</v>
      </c>
      <c r="T220" s="70" t="s">
        <v>2288</v>
      </c>
      <c r="U220" s="70" t="s">
        <v>2288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" thickBot="1" x14ac:dyDescent="0.35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" thickBot="1" x14ac:dyDescent="0.35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" thickBot="1" x14ac:dyDescent="0.35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" thickBot="1" x14ac:dyDescent="0.35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" thickBot="1" x14ac:dyDescent="0.35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" thickBot="1" x14ac:dyDescent="0.35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" thickBot="1" x14ac:dyDescent="0.35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" thickBot="1" x14ac:dyDescent="0.35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" thickBot="1" x14ac:dyDescent="0.35">
      <c r="A231" s="73" t="s">
        <v>258</v>
      </c>
      <c r="B231" s="73" t="s">
        <v>2283</v>
      </c>
      <c r="C231" s="73" t="s">
        <v>1063</v>
      </c>
      <c r="D231" s="73" t="s">
        <v>2284</v>
      </c>
      <c r="E231" s="85" t="s">
        <v>15</v>
      </c>
      <c r="F231" s="85" t="s">
        <v>1301</v>
      </c>
      <c r="G231" s="85"/>
      <c r="H231" s="85" t="s">
        <v>2285</v>
      </c>
      <c r="I231" s="142">
        <f t="shared" si="11"/>
        <v>28</v>
      </c>
      <c r="J231" s="147" t="s">
        <v>2286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" thickBot="1" x14ac:dyDescent="0.35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17</v>
      </c>
      <c r="J232" s="147" t="s">
        <v>1852</v>
      </c>
      <c r="K232" s="31">
        <f t="shared" si="12"/>
        <v>11</v>
      </c>
      <c r="L232" s="32">
        <f t="shared" si="13"/>
        <v>0.6071428571428571</v>
      </c>
      <c r="M232" s="70" t="s">
        <v>2288</v>
      </c>
      <c r="N232" s="70" t="s">
        <v>2288</v>
      </c>
      <c r="O232" s="70" t="s">
        <v>2288</v>
      </c>
      <c r="P232" s="70" t="s">
        <v>2288</v>
      </c>
      <c r="Q232" s="70" t="s">
        <v>2288</v>
      </c>
      <c r="R232" s="70" t="s">
        <v>2288</v>
      </c>
      <c r="S232" s="70" t="s">
        <v>2288</v>
      </c>
      <c r="T232" s="70" t="s">
        <v>2288</v>
      </c>
      <c r="U232" s="70" t="s">
        <v>2288</v>
      </c>
      <c r="V232" s="70" t="s">
        <v>2288</v>
      </c>
      <c r="W232" s="70"/>
      <c r="X232" s="70" t="s">
        <v>2288</v>
      </c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25</v>
      </c>
      <c r="J233" s="147" t="s">
        <v>1853</v>
      </c>
      <c r="K233" s="31">
        <f t="shared" si="12"/>
        <v>3</v>
      </c>
      <c r="L233" s="32">
        <f t="shared" si="13"/>
        <v>0.8928571428571429</v>
      </c>
      <c r="M233" s="70"/>
      <c r="N233" s="70"/>
      <c r="O233" s="70"/>
      <c r="P233" s="70"/>
      <c r="Q233" s="70"/>
      <c r="R233" s="70" t="s">
        <v>2288</v>
      </c>
      <c r="S233" s="70" t="s">
        <v>2288</v>
      </c>
      <c r="T233" s="70" t="s">
        <v>2288</v>
      </c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18</v>
      </c>
      <c r="J234" s="147" t="s">
        <v>1854</v>
      </c>
      <c r="K234" s="31">
        <f t="shared" si="12"/>
        <v>10</v>
      </c>
      <c r="L234" s="32">
        <f t="shared" si="13"/>
        <v>0.6428571428571429</v>
      </c>
      <c r="M234" s="70" t="s">
        <v>2288</v>
      </c>
      <c r="N234" s="70" t="s">
        <v>2288</v>
      </c>
      <c r="O234" s="70" t="s">
        <v>2288</v>
      </c>
      <c r="P234" s="70" t="s">
        <v>2288</v>
      </c>
      <c r="Q234" s="70" t="s">
        <v>2288</v>
      </c>
      <c r="R234" s="70" t="s">
        <v>2288</v>
      </c>
      <c r="S234" s="70" t="s">
        <v>2288</v>
      </c>
      <c r="T234" s="70" t="s">
        <v>2288</v>
      </c>
      <c r="U234" s="70"/>
      <c r="V234" s="70" t="s">
        <v>2288</v>
      </c>
      <c r="W234" s="70"/>
      <c r="X234" s="70" t="s">
        <v>2288</v>
      </c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" thickBot="1" x14ac:dyDescent="0.35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25</v>
      </c>
      <c r="J235" s="147" t="s">
        <v>1855</v>
      </c>
      <c r="K235" s="31">
        <f t="shared" si="12"/>
        <v>3</v>
      </c>
      <c r="L235" s="32">
        <f t="shared" si="13"/>
        <v>0.8928571428571429</v>
      </c>
      <c r="M235" s="70"/>
      <c r="N235" s="70"/>
      <c r="O235" s="70"/>
      <c r="P235" s="70"/>
      <c r="Q235" s="70"/>
      <c r="R235" s="70" t="s">
        <v>2288</v>
      </c>
      <c r="S235" s="70" t="s">
        <v>2288</v>
      </c>
      <c r="T235" s="70" t="s">
        <v>2288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25</v>
      </c>
      <c r="J236" s="147" t="s">
        <v>1856</v>
      </c>
      <c r="K236" s="31">
        <f t="shared" si="12"/>
        <v>3</v>
      </c>
      <c r="L236" s="32">
        <f t="shared" si="13"/>
        <v>0.8928571428571429</v>
      </c>
      <c r="M236" s="70"/>
      <c r="N236" s="70"/>
      <c r="O236" s="70"/>
      <c r="P236" s="70"/>
      <c r="Q236" s="70"/>
      <c r="R236" s="70" t="s">
        <v>2288</v>
      </c>
      <c r="S236" s="70" t="s">
        <v>2288</v>
      </c>
      <c r="T236" s="70" t="s">
        <v>2288</v>
      </c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28</v>
      </c>
      <c r="J237" s="147" t="s">
        <v>1857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28</v>
      </c>
      <c r="J239" s="147" t="s">
        <v>1859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28</v>
      </c>
      <c r="J240" s="147" t="s">
        <v>1860</v>
      </c>
      <c r="K240" s="31">
        <f t="shared" ref="K240:K309" si="15">COUNTIF(M240:AN240,"APAGADO")</f>
        <v>0</v>
      </c>
      <c r="L240" s="32">
        <f t="shared" ref="L240:L309" si="16">(I240)/(K240+I240)</f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20</v>
      </c>
      <c r="J241" s="147" t="s">
        <v>1861</v>
      </c>
      <c r="K241" s="31">
        <f t="shared" si="15"/>
        <v>8</v>
      </c>
      <c r="L241" s="32">
        <f t="shared" si="16"/>
        <v>0.7142857142857143</v>
      </c>
      <c r="M241" s="70"/>
      <c r="N241" s="70" t="s">
        <v>2288</v>
      </c>
      <c r="O241" s="70" t="s">
        <v>2288</v>
      </c>
      <c r="P241" s="70" t="s">
        <v>2288</v>
      </c>
      <c r="Q241" s="70"/>
      <c r="R241" s="70" t="s">
        <v>2288</v>
      </c>
      <c r="S241" s="70" t="s">
        <v>2288</v>
      </c>
      <c r="T241" s="70" t="s">
        <v>2288</v>
      </c>
      <c r="U241" s="70" t="s">
        <v>2288</v>
      </c>
      <c r="V241" s="70" t="s">
        <v>2288</v>
      </c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25</v>
      </c>
      <c r="J242" s="147" t="s">
        <v>1862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 t="s">
        <v>2288</v>
      </c>
      <c r="S242" s="70" t="s">
        <v>2288</v>
      </c>
      <c r="T242" s="70" t="s">
        <v>2288</v>
      </c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" thickBot="1" x14ac:dyDescent="0.35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25</v>
      </c>
      <c r="J243" s="147" t="s">
        <v>1863</v>
      </c>
      <c r="K243" s="31">
        <f t="shared" si="15"/>
        <v>3</v>
      </c>
      <c r="L243" s="32">
        <f t="shared" si="16"/>
        <v>0.8928571428571429</v>
      </c>
      <c r="M243" s="70"/>
      <c r="N243" s="70"/>
      <c r="O243" s="70"/>
      <c r="P243" s="70"/>
      <c r="Q243" s="70"/>
      <c r="R243" s="70" t="s">
        <v>2288</v>
      </c>
      <c r="S243" s="70" t="s">
        <v>2288</v>
      </c>
      <c r="T243" s="70" t="s">
        <v>2288</v>
      </c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27</v>
      </c>
      <c r="J244" s="147" t="s">
        <v>1864</v>
      </c>
      <c r="K244" s="31">
        <f t="shared" si="15"/>
        <v>1</v>
      </c>
      <c r="L244" s="32">
        <f t="shared" si="16"/>
        <v>0.9642857142857143</v>
      </c>
      <c r="M244" s="70"/>
      <c r="N244" s="70"/>
      <c r="O244" s="70"/>
      <c r="P244" s="70"/>
      <c r="Q244" s="70"/>
      <c r="R244" s="70"/>
      <c r="S244" s="70" t="s">
        <v>2288</v>
      </c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25</v>
      </c>
      <c r="J245" s="147" t="s">
        <v>1865</v>
      </c>
      <c r="K245" s="31">
        <f t="shared" si="15"/>
        <v>3</v>
      </c>
      <c r="L245" s="32">
        <f t="shared" si="16"/>
        <v>0.8928571428571429</v>
      </c>
      <c r="M245" s="70"/>
      <c r="N245" s="70"/>
      <c r="O245" s="70"/>
      <c r="P245" s="70"/>
      <c r="Q245" s="70"/>
      <c r="R245" s="70" t="s">
        <v>2288</v>
      </c>
      <c r="S245" s="70" t="s">
        <v>2288</v>
      </c>
      <c r="T245" s="70" t="s">
        <v>2288</v>
      </c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20</v>
      </c>
      <c r="J246" s="147" t="s">
        <v>1866</v>
      </c>
      <c r="K246" s="31">
        <f t="shared" si="15"/>
        <v>8</v>
      </c>
      <c r="L246" s="32">
        <f t="shared" si="16"/>
        <v>0.7142857142857143</v>
      </c>
      <c r="M246" s="70"/>
      <c r="N246" s="70"/>
      <c r="O246" s="70" t="s">
        <v>2288</v>
      </c>
      <c r="P246" s="70" t="s">
        <v>2288</v>
      </c>
      <c r="Q246" s="70" t="s">
        <v>2288</v>
      </c>
      <c r="R246" s="70" t="s">
        <v>2288</v>
      </c>
      <c r="S246" s="70" t="s">
        <v>2288</v>
      </c>
      <c r="T246" s="70" t="s">
        <v>2288</v>
      </c>
      <c r="U246" s="70"/>
      <c r="V246" s="70" t="s">
        <v>2288</v>
      </c>
      <c r="W246" s="70"/>
      <c r="X246" s="70" t="s">
        <v>2288</v>
      </c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" thickBot="1" x14ac:dyDescent="0.35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2259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" thickBot="1" x14ac:dyDescent="0.35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28</v>
      </c>
      <c r="J248" s="147" t="s">
        <v>1822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" thickBot="1" x14ac:dyDescent="0.35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" thickBot="1" x14ac:dyDescent="0.35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thickBot="1" x14ac:dyDescent="0.35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" thickBot="1" x14ac:dyDescent="0.35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" thickBot="1" x14ac:dyDescent="0.35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" thickBot="1" x14ac:dyDescent="0.35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5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5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27</v>
      </c>
      <c r="J257" s="147" t="s">
        <v>1873</v>
      </c>
      <c r="K257" s="31">
        <f t="shared" si="15"/>
        <v>1</v>
      </c>
      <c r="L257" s="32">
        <f t="shared" si="16"/>
        <v>0.9642857142857143</v>
      </c>
      <c r="M257" s="70"/>
      <c r="N257" s="70"/>
      <c r="O257" s="70"/>
      <c r="P257" s="70"/>
      <c r="Q257" s="70"/>
      <c r="R257" s="70"/>
      <c r="S257" s="70" t="s">
        <v>2288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5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28</v>
      </c>
      <c r="J258" s="147" t="s">
        <v>1874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" thickBot="1" x14ac:dyDescent="0.35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" thickBot="1" x14ac:dyDescent="0.35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25</v>
      </c>
      <c r="J260" s="147" t="s">
        <v>1876</v>
      </c>
      <c r="K260" s="31">
        <f t="shared" si="15"/>
        <v>3</v>
      </c>
      <c r="L260" s="32">
        <f t="shared" si="16"/>
        <v>0.8928571428571429</v>
      </c>
      <c r="M260" s="70"/>
      <c r="N260" s="70"/>
      <c r="O260" s="70"/>
      <c r="P260" s="70"/>
      <c r="Q260" s="70"/>
      <c r="R260" s="70" t="s">
        <v>2288</v>
      </c>
      <c r="S260" s="70" t="s">
        <v>2288</v>
      </c>
      <c r="T260" s="70" t="s">
        <v>2288</v>
      </c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" thickBot="1" x14ac:dyDescent="0.35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" thickBot="1" x14ac:dyDescent="0.35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25</v>
      </c>
      <c r="J262" s="147" t="s">
        <v>1864</v>
      </c>
      <c r="K262" s="31">
        <f t="shared" si="15"/>
        <v>3</v>
      </c>
      <c r="L262" s="32">
        <f t="shared" si="16"/>
        <v>0.8928571428571429</v>
      </c>
      <c r="M262" s="70"/>
      <c r="N262" s="70"/>
      <c r="O262" s="70"/>
      <c r="P262" s="70"/>
      <c r="Q262" s="70"/>
      <c r="R262" s="70" t="s">
        <v>2288</v>
      </c>
      <c r="S262" s="70" t="s">
        <v>2288</v>
      </c>
      <c r="T262" s="70" t="s">
        <v>2288</v>
      </c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thickBot="1" x14ac:dyDescent="0.35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27</v>
      </c>
      <c r="J263" s="147" t="s">
        <v>1878</v>
      </c>
      <c r="K263" s="31">
        <f t="shared" si="15"/>
        <v>1</v>
      </c>
      <c r="L263" s="32">
        <f t="shared" si="16"/>
        <v>0.9642857142857143</v>
      </c>
      <c r="M263" s="70"/>
      <c r="N263" s="70" t="s">
        <v>2288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thickBot="1" x14ac:dyDescent="0.35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21</v>
      </c>
      <c r="J264" s="147" t="s">
        <v>1879</v>
      </c>
      <c r="K264" s="31">
        <f t="shared" si="15"/>
        <v>7</v>
      </c>
      <c r="L264" s="32">
        <f t="shared" si="16"/>
        <v>0.75</v>
      </c>
      <c r="M264" s="70" t="s">
        <v>2288</v>
      </c>
      <c r="N264" s="70" t="s">
        <v>2288</v>
      </c>
      <c r="O264" s="70" t="s">
        <v>2288</v>
      </c>
      <c r="P264" s="70" t="s">
        <v>2288</v>
      </c>
      <c r="Q264" s="70" t="s">
        <v>2288</v>
      </c>
      <c r="R264" s="70" t="s">
        <v>2288</v>
      </c>
      <c r="S264" s="70"/>
      <c r="T264" s="70"/>
      <c r="U264" s="70"/>
      <c r="V264" s="70"/>
      <c r="W264" s="70"/>
      <c r="X264" s="70" t="s">
        <v>2288</v>
      </c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" thickBot="1" x14ac:dyDescent="0.35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" thickBot="1" x14ac:dyDescent="0.35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25</v>
      </c>
      <c r="J266" s="147" t="s">
        <v>1881</v>
      </c>
      <c r="K266" s="31">
        <f t="shared" si="15"/>
        <v>3</v>
      </c>
      <c r="L266" s="32">
        <f t="shared" si="16"/>
        <v>0.8928571428571429</v>
      </c>
      <c r="M266" s="70"/>
      <c r="N266" s="70"/>
      <c r="O266" s="70"/>
      <c r="P266" s="70"/>
      <c r="Q266" s="70"/>
      <c r="R266" s="70" t="s">
        <v>2288</v>
      </c>
      <c r="S266" s="70" t="s">
        <v>2288</v>
      </c>
      <c r="T266" s="70" t="s">
        <v>2288</v>
      </c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" thickBot="1" x14ac:dyDescent="0.35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" thickBot="1" x14ac:dyDescent="0.35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2213</v>
      </c>
      <c r="B273" t="s">
        <v>2214</v>
      </c>
      <c r="C273" t="s">
        <v>1063</v>
      </c>
      <c r="D273" t="s">
        <v>2215</v>
      </c>
      <c r="E273" s="30" t="s">
        <v>19</v>
      </c>
      <c r="F273" s="85" t="s">
        <v>1301</v>
      </c>
      <c r="G273" s="30"/>
      <c r="H273" s="30" t="s">
        <v>2216</v>
      </c>
      <c r="I273" s="142">
        <f t="shared" si="14"/>
        <v>28</v>
      </c>
      <c r="J273" s="147" t="s">
        <v>2217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2213</v>
      </c>
      <c r="B274" t="s">
        <v>2218</v>
      </c>
      <c r="C274" t="s">
        <v>1063</v>
      </c>
      <c r="D274" t="s">
        <v>2220</v>
      </c>
      <c r="E274" s="30" t="s">
        <v>19</v>
      </c>
      <c r="F274" s="85" t="s">
        <v>1301</v>
      </c>
      <c r="G274" s="30"/>
      <c r="H274" s="30" t="s">
        <v>2219</v>
      </c>
      <c r="I274" s="142">
        <f t="shared" si="14"/>
        <v>28</v>
      </c>
      <c r="J274" s="147" t="s">
        <v>2221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" thickBot="1" x14ac:dyDescent="0.35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" thickBot="1" x14ac:dyDescent="0.35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" thickBot="1" x14ac:dyDescent="0.35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" thickBot="1" x14ac:dyDescent="0.35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" thickBot="1" x14ac:dyDescent="0.35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17</v>
      </c>
      <c r="J281" s="147" t="s">
        <v>1893</v>
      </c>
      <c r="K281" s="31">
        <f t="shared" si="15"/>
        <v>11</v>
      </c>
      <c r="L281" s="32">
        <f t="shared" si="16"/>
        <v>0.6071428571428571</v>
      </c>
      <c r="M281" s="70" t="s">
        <v>2288</v>
      </c>
      <c r="N281" s="70" t="s">
        <v>2288</v>
      </c>
      <c r="O281" s="70" t="s">
        <v>2288</v>
      </c>
      <c r="P281" s="70" t="s">
        <v>2288</v>
      </c>
      <c r="Q281" s="70" t="s">
        <v>2288</v>
      </c>
      <c r="R281" s="70" t="s">
        <v>2288</v>
      </c>
      <c r="S281" s="70" t="s">
        <v>2288</v>
      </c>
      <c r="T281" s="70" t="s">
        <v>2288</v>
      </c>
      <c r="U281" s="70" t="s">
        <v>2288</v>
      </c>
      <c r="V281" s="70" t="s">
        <v>2288</v>
      </c>
      <c r="W281" s="70"/>
      <c r="X281" s="70" t="s">
        <v>2288</v>
      </c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" thickBot="1" x14ac:dyDescent="0.35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" thickBot="1" x14ac:dyDescent="0.35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28</v>
      </c>
      <c r="J283" s="147" t="s">
        <v>1895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5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22</v>
      </c>
      <c r="J284" s="147" t="s">
        <v>1896</v>
      </c>
      <c r="K284" s="142">
        <f t="shared" si="15"/>
        <v>6</v>
      </c>
      <c r="L284" s="143">
        <f t="shared" si="16"/>
        <v>0.7857142857142857</v>
      </c>
      <c r="M284" s="70"/>
      <c r="N284" s="70"/>
      <c r="O284" s="70"/>
      <c r="P284" s="70"/>
      <c r="Q284" s="70"/>
      <c r="R284" s="70" t="s">
        <v>2288</v>
      </c>
      <c r="S284" s="70" t="s">
        <v>2288</v>
      </c>
      <c r="T284" s="70" t="s">
        <v>2288</v>
      </c>
      <c r="U284" s="70" t="s">
        <v>2288</v>
      </c>
      <c r="V284" s="70" t="s">
        <v>2288</v>
      </c>
      <c r="W284" s="70"/>
      <c r="X284" s="70" t="s">
        <v>2288</v>
      </c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" thickBot="1" x14ac:dyDescent="0.35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" thickBot="1" x14ac:dyDescent="0.35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" thickBot="1" x14ac:dyDescent="0.35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" thickBot="1" x14ac:dyDescent="0.35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" thickBot="1" x14ac:dyDescent="0.35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" thickBot="1" x14ac:dyDescent="0.35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28</v>
      </c>
      <c r="J290" s="147" t="s">
        <v>1901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28</v>
      </c>
      <c r="J291" s="147" t="s">
        <v>1902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5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17</v>
      </c>
      <c r="J296" s="147" t="s">
        <v>1907</v>
      </c>
      <c r="K296" s="31">
        <f t="shared" si="15"/>
        <v>11</v>
      </c>
      <c r="L296" s="32">
        <f t="shared" si="16"/>
        <v>0.6071428571428571</v>
      </c>
      <c r="M296" s="70" t="s">
        <v>2288</v>
      </c>
      <c r="N296" s="70" t="s">
        <v>2288</v>
      </c>
      <c r="O296" s="70" t="s">
        <v>2288</v>
      </c>
      <c r="P296" s="70" t="s">
        <v>2288</v>
      </c>
      <c r="Q296" s="70" t="s">
        <v>2288</v>
      </c>
      <c r="R296" s="70" t="s">
        <v>2288</v>
      </c>
      <c r="S296" s="70" t="s">
        <v>2288</v>
      </c>
      <c r="T296" s="70" t="s">
        <v>2288</v>
      </c>
      <c r="U296" s="70" t="s">
        <v>2288</v>
      </c>
      <c r="V296" s="70" t="s">
        <v>2288</v>
      </c>
      <c r="W296" s="70"/>
      <c r="X296" s="70" t="s">
        <v>2288</v>
      </c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28</v>
      </c>
      <c r="J297" s="147" t="s">
        <v>1908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/>
      <c r="R298" s="70" t="s">
        <v>2288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27</v>
      </c>
      <c r="J299" s="147" t="s">
        <v>1910</v>
      </c>
      <c r="K299" s="31">
        <f t="shared" si="15"/>
        <v>1</v>
      </c>
      <c r="L299" s="32">
        <f t="shared" si="16"/>
        <v>0.9642857142857143</v>
      </c>
      <c r="M299" s="70"/>
      <c r="N299" s="70"/>
      <c r="O299" s="70"/>
      <c r="P299" s="70"/>
      <c r="Q299" s="70"/>
      <c r="R299" s="70" t="s">
        <v>2288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" thickBot="1" x14ac:dyDescent="0.35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" thickBot="1" x14ac:dyDescent="0.35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" thickBot="1" x14ac:dyDescent="0.35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" thickBot="1" x14ac:dyDescent="0.35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" thickBot="1" x14ac:dyDescent="0.35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" thickBot="1" x14ac:dyDescent="0.35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" thickBot="1" x14ac:dyDescent="0.35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17</v>
      </c>
      <c r="J308" s="147" t="s">
        <v>1918</v>
      </c>
      <c r="K308" s="142">
        <f t="shared" si="15"/>
        <v>11</v>
      </c>
      <c r="L308" s="143">
        <f t="shared" si="16"/>
        <v>0.6071428571428571</v>
      </c>
      <c r="M308" s="70" t="s">
        <v>2288</v>
      </c>
      <c r="N308" s="70" t="s">
        <v>2288</v>
      </c>
      <c r="O308" s="70" t="s">
        <v>2288</v>
      </c>
      <c r="P308" s="70" t="s">
        <v>2288</v>
      </c>
      <c r="Q308" s="70" t="s">
        <v>2288</v>
      </c>
      <c r="R308" s="70" t="s">
        <v>2288</v>
      </c>
      <c r="S308" s="70" t="s">
        <v>2288</v>
      </c>
      <c r="T308" s="70" t="s">
        <v>2288</v>
      </c>
      <c r="U308" s="70" t="s">
        <v>2288</v>
      </c>
      <c r="V308" s="70" t="s">
        <v>2288</v>
      </c>
      <c r="W308" s="70"/>
      <c r="X308" s="70" t="s">
        <v>2288</v>
      </c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" thickBot="1" x14ac:dyDescent="0.35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" thickBot="1" x14ac:dyDescent="0.35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17</v>
      </c>
      <c r="J310" s="147" t="s">
        <v>1919</v>
      </c>
      <c r="K310" s="31">
        <f t="shared" ref="K310:K380" si="18">COUNTIF(M310:AN310,"APAGADO")</f>
        <v>11</v>
      </c>
      <c r="L310" s="32">
        <f t="shared" ref="L310:L380" si="19">(I310)/(K310+I310)</f>
        <v>0.6071428571428571</v>
      </c>
      <c r="M310" s="70" t="s">
        <v>2288</v>
      </c>
      <c r="N310" s="70" t="s">
        <v>2288</v>
      </c>
      <c r="O310" s="70" t="s">
        <v>2288</v>
      </c>
      <c r="P310" s="70" t="s">
        <v>2288</v>
      </c>
      <c r="Q310" s="70" t="s">
        <v>2288</v>
      </c>
      <c r="R310" s="70" t="s">
        <v>2288</v>
      </c>
      <c r="S310" s="70" t="s">
        <v>2288</v>
      </c>
      <c r="T310" s="70" t="s">
        <v>2288</v>
      </c>
      <c r="U310" s="70" t="s">
        <v>2288</v>
      </c>
      <c r="V310" s="70" t="s">
        <v>2288</v>
      </c>
      <c r="W310" s="70"/>
      <c r="X310" s="70" t="s">
        <v>2288</v>
      </c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" thickBot="1" x14ac:dyDescent="0.35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20</v>
      </c>
      <c r="J311" s="147" t="s">
        <v>1920</v>
      </c>
      <c r="K311" s="142">
        <f t="shared" si="18"/>
        <v>8</v>
      </c>
      <c r="L311" s="143">
        <f t="shared" si="19"/>
        <v>0.7142857142857143</v>
      </c>
      <c r="M311" s="70"/>
      <c r="N311" s="70" t="s">
        <v>2288</v>
      </c>
      <c r="O311" s="70" t="s">
        <v>2288</v>
      </c>
      <c r="P311" s="70" t="s">
        <v>2288</v>
      </c>
      <c r="Q311" s="70" t="s">
        <v>2288</v>
      </c>
      <c r="R311" s="70" t="s">
        <v>2288</v>
      </c>
      <c r="S311" s="70" t="s">
        <v>2288</v>
      </c>
      <c r="T311" s="70"/>
      <c r="U311" s="70"/>
      <c r="V311" s="70" t="s">
        <v>2288</v>
      </c>
      <c r="W311" s="70"/>
      <c r="X311" s="70" t="s">
        <v>2288</v>
      </c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" thickBot="1" x14ac:dyDescent="0.35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20</v>
      </c>
      <c r="J312" s="87" t="s">
        <v>2197</v>
      </c>
      <c r="K312" s="142">
        <f t="shared" si="18"/>
        <v>8</v>
      </c>
      <c r="L312" s="143">
        <f t="shared" si="19"/>
        <v>0.7142857142857143</v>
      </c>
      <c r="M312" s="70"/>
      <c r="N312" s="70" t="s">
        <v>2288</v>
      </c>
      <c r="O312" s="70" t="s">
        <v>2288</v>
      </c>
      <c r="P312" s="70" t="s">
        <v>2288</v>
      </c>
      <c r="Q312" s="70" t="s">
        <v>2288</v>
      </c>
      <c r="R312" s="70" t="s">
        <v>2288</v>
      </c>
      <c r="S312" s="70" t="s">
        <v>2288</v>
      </c>
      <c r="T312" s="70"/>
      <c r="U312" s="70"/>
      <c r="V312" s="70" t="s">
        <v>2288</v>
      </c>
      <c r="W312" s="70"/>
      <c r="X312" s="70" t="s">
        <v>2288</v>
      </c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" thickBot="1" x14ac:dyDescent="0.35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20</v>
      </c>
      <c r="J313" s="147" t="s">
        <v>1921</v>
      </c>
      <c r="K313" s="142">
        <f t="shared" si="18"/>
        <v>8</v>
      </c>
      <c r="L313" s="143">
        <f t="shared" si="19"/>
        <v>0.7142857142857143</v>
      </c>
      <c r="M313" s="70"/>
      <c r="N313" s="70" t="s">
        <v>2288</v>
      </c>
      <c r="O313" s="70" t="s">
        <v>2288</v>
      </c>
      <c r="P313" s="70" t="s">
        <v>2288</v>
      </c>
      <c r="Q313" s="70" t="s">
        <v>2288</v>
      </c>
      <c r="R313" s="70" t="s">
        <v>2288</v>
      </c>
      <c r="S313" s="70" t="s">
        <v>2288</v>
      </c>
      <c r="T313" s="70"/>
      <c r="U313" s="70"/>
      <c r="V313" s="70" t="s">
        <v>2288</v>
      </c>
      <c r="W313" s="70"/>
      <c r="X313" s="70" t="s">
        <v>2288</v>
      </c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" thickBot="1" x14ac:dyDescent="0.35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17</v>
      </c>
      <c r="J314" s="147" t="s">
        <v>1922</v>
      </c>
      <c r="K314" s="31">
        <f t="shared" si="18"/>
        <v>11</v>
      </c>
      <c r="L314" s="32">
        <f t="shared" si="19"/>
        <v>0.6071428571428571</v>
      </c>
      <c r="M314" s="70" t="s">
        <v>2288</v>
      </c>
      <c r="N314" s="70" t="s">
        <v>2288</v>
      </c>
      <c r="O314" s="70" t="s">
        <v>2288</v>
      </c>
      <c r="P314" s="70" t="s">
        <v>2288</v>
      </c>
      <c r="Q314" s="70" t="s">
        <v>2288</v>
      </c>
      <c r="R314" s="70" t="s">
        <v>2288</v>
      </c>
      <c r="S314" s="70" t="s">
        <v>2288</v>
      </c>
      <c r="T314" s="70" t="s">
        <v>2288</v>
      </c>
      <c r="U314" s="70" t="s">
        <v>2288</v>
      </c>
      <c r="V314" s="70" t="s">
        <v>2288</v>
      </c>
      <c r="W314" s="70"/>
      <c r="X314" s="70" t="s">
        <v>2288</v>
      </c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" thickBot="1" x14ac:dyDescent="0.35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20</v>
      </c>
      <c r="J315" s="147" t="s">
        <v>1923</v>
      </c>
      <c r="K315" s="31">
        <f t="shared" si="18"/>
        <v>8</v>
      </c>
      <c r="L315" s="32">
        <f t="shared" si="19"/>
        <v>0.7142857142857143</v>
      </c>
      <c r="M315" s="70" t="s">
        <v>2288</v>
      </c>
      <c r="N315" s="70" t="s">
        <v>2288</v>
      </c>
      <c r="O315" s="70" t="s">
        <v>2288</v>
      </c>
      <c r="P315" s="70" t="s">
        <v>2288</v>
      </c>
      <c r="Q315" s="70" t="s">
        <v>2288</v>
      </c>
      <c r="R315" s="70"/>
      <c r="S315" s="70"/>
      <c r="T315" s="70" t="s">
        <v>2288</v>
      </c>
      <c r="U315" s="70" t="s">
        <v>2288</v>
      </c>
      <c r="W315" s="70"/>
      <c r="X315" s="70" t="s">
        <v>2288</v>
      </c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" thickBot="1" x14ac:dyDescent="0.35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20</v>
      </c>
      <c r="J316" s="147" t="s">
        <v>1924</v>
      </c>
      <c r="K316" s="31">
        <f t="shared" si="18"/>
        <v>8</v>
      </c>
      <c r="L316" s="32">
        <f t="shared" si="19"/>
        <v>0.7142857142857143</v>
      </c>
      <c r="M316" s="70" t="s">
        <v>2288</v>
      </c>
      <c r="N316" s="70" t="s">
        <v>2288</v>
      </c>
      <c r="O316" s="70" t="s">
        <v>2288</v>
      </c>
      <c r="P316" s="70" t="s">
        <v>2288</v>
      </c>
      <c r="Q316" s="70" t="s">
        <v>2288</v>
      </c>
      <c r="R316" s="70"/>
      <c r="S316" s="70"/>
      <c r="T316" s="70" t="s">
        <v>2288</v>
      </c>
      <c r="U316" s="70" t="s">
        <v>2288</v>
      </c>
      <c r="V316" s="70"/>
      <c r="W316" s="70"/>
      <c r="X316" s="70" t="s">
        <v>2288</v>
      </c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" thickBot="1" x14ac:dyDescent="0.35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28</v>
      </c>
      <c r="J317" s="147" t="s">
        <v>1925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" thickBot="1" x14ac:dyDescent="0.35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28</v>
      </c>
      <c r="J318" s="147" t="s">
        <v>1926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" thickBot="1" x14ac:dyDescent="0.35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28</v>
      </c>
      <c r="J319" s="147" t="s">
        <v>1927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" thickBot="1" x14ac:dyDescent="0.35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" thickBot="1" x14ac:dyDescent="0.35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28</v>
      </c>
      <c r="J326" s="147" t="s">
        <v>1934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28</v>
      </c>
      <c r="J327" s="147" t="s">
        <v>1935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28</v>
      </c>
      <c r="J328" s="147" t="s">
        <v>1936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28</v>
      </c>
      <c r="J329" s="147" t="s">
        <v>1937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2257</v>
      </c>
      <c r="C330" t="s">
        <v>1063</v>
      </c>
      <c r="D330" s="68" t="s">
        <v>2239</v>
      </c>
      <c r="E330" s="85" t="s">
        <v>15</v>
      </c>
      <c r="F330" s="30" t="s">
        <v>28</v>
      </c>
      <c r="G330" s="30"/>
      <c r="H330" s="30" t="s">
        <v>2258</v>
      </c>
      <c r="I330" s="31">
        <f t="shared" si="17"/>
        <v>28</v>
      </c>
      <c r="J330" s="153" t="s">
        <v>2240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2241</v>
      </c>
      <c r="C331" t="s">
        <v>1063</v>
      </c>
      <c r="D331" s="68" t="s">
        <v>2242</v>
      </c>
      <c r="E331" s="85" t="s">
        <v>15</v>
      </c>
      <c r="F331" s="30" t="s">
        <v>28</v>
      </c>
      <c r="G331" s="30"/>
      <c r="H331" s="30" t="s">
        <v>2243</v>
      </c>
      <c r="I331" s="31">
        <f t="shared" si="17"/>
        <v>28</v>
      </c>
      <c r="J331" s="147" t="s">
        <v>2244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" thickBot="1" x14ac:dyDescent="0.35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 t="s">
        <v>2288</v>
      </c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" thickBot="1" x14ac:dyDescent="0.35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" thickBot="1" x14ac:dyDescent="0.35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27</v>
      </c>
      <c r="J348" s="87"/>
      <c r="K348" s="142">
        <f t="shared" si="18"/>
        <v>1</v>
      </c>
      <c r="L348" s="143">
        <f t="shared" si="19"/>
        <v>0.9642857142857143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 t="s">
        <v>2288</v>
      </c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" thickBot="1" x14ac:dyDescent="0.35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27</v>
      </c>
      <c r="J349" s="87"/>
      <c r="K349" s="142">
        <f t="shared" si="18"/>
        <v>1</v>
      </c>
      <c r="L349" s="143">
        <f t="shared" si="19"/>
        <v>0.9642857142857143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 t="s">
        <v>2288</v>
      </c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" thickBot="1" x14ac:dyDescent="0.35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25</v>
      </c>
      <c r="J350" s="147" t="s">
        <v>1952</v>
      </c>
      <c r="K350" s="31">
        <f t="shared" si="18"/>
        <v>3</v>
      </c>
      <c r="L350" s="32">
        <f t="shared" si="19"/>
        <v>0.8928571428571429</v>
      </c>
      <c r="M350" s="70"/>
      <c r="N350" s="70"/>
      <c r="O350" s="70"/>
      <c r="P350" s="70"/>
      <c r="Q350" s="70"/>
      <c r="R350" s="70" t="s">
        <v>2288</v>
      </c>
      <c r="S350" s="70" t="s">
        <v>2288</v>
      </c>
      <c r="T350" s="70" t="s">
        <v>2288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" thickBot="1" x14ac:dyDescent="0.35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28</v>
      </c>
      <c r="J351" s="147" t="s">
        <v>1953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" thickBot="1" x14ac:dyDescent="0.35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28</v>
      </c>
      <c r="J352" s="147" t="s">
        <v>1954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" thickBot="1" x14ac:dyDescent="0.35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2234</v>
      </c>
      <c r="I353" s="31">
        <f t="shared" si="17"/>
        <v>28</v>
      </c>
      <c r="J353" s="147" t="s">
        <v>1955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2235</v>
      </c>
      <c r="I354" s="31">
        <f t="shared" si="17"/>
        <v>28</v>
      </c>
      <c r="J354" s="147" t="s">
        <v>1956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28</v>
      </c>
      <c r="J355" s="147" t="s">
        <v>1957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" thickBot="1" x14ac:dyDescent="0.35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28</v>
      </c>
      <c r="J356" s="147" t="s">
        <v>1958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" thickBot="1" x14ac:dyDescent="0.35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28</v>
      </c>
      <c r="J357" s="147" t="s">
        <v>1959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28</v>
      </c>
      <c r="J358" s="147" t="s">
        <v>1960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" thickBot="1" x14ac:dyDescent="0.35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" thickBot="1" x14ac:dyDescent="0.35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" thickBot="1" x14ac:dyDescent="0.35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" thickBot="1" x14ac:dyDescent="0.35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" thickBot="1" x14ac:dyDescent="0.35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" thickBot="1" x14ac:dyDescent="0.35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" thickBot="1" x14ac:dyDescent="0.35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28</v>
      </c>
      <c r="J368" s="153" t="s">
        <v>2180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" thickBot="1" x14ac:dyDescent="0.35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28</v>
      </c>
      <c r="J369" s="147" t="s">
        <v>1968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28</v>
      </c>
      <c r="J371" s="147" t="s">
        <v>1969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" thickBot="1" x14ac:dyDescent="0.35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28</v>
      </c>
      <c r="J372" s="147" t="s">
        <v>1970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" thickBot="1" x14ac:dyDescent="0.35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28</v>
      </c>
      <c r="J373" s="147" t="s">
        <v>1971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" thickBot="1" x14ac:dyDescent="0.35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28</v>
      </c>
      <c r="J374" s="147" t="s">
        <v>1972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" thickBot="1" x14ac:dyDescent="0.35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17</v>
      </c>
      <c r="J375" s="73"/>
      <c r="K375" s="31">
        <f t="shared" si="18"/>
        <v>11</v>
      </c>
      <c r="L375" s="32">
        <f t="shared" si="19"/>
        <v>0.6071428571428571</v>
      </c>
      <c r="M375" s="70" t="s">
        <v>2288</v>
      </c>
      <c r="N375" s="70" t="s">
        <v>2288</v>
      </c>
      <c r="O375" s="70" t="s">
        <v>2288</v>
      </c>
      <c r="P375" s="70" t="s">
        <v>2288</v>
      </c>
      <c r="Q375" s="70" t="s">
        <v>2288</v>
      </c>
      <c r="R375" s="70" t="s">
        <v>2288</v>
      </c>
      <c r="S375" s="70" t="s">
        <v>2288</v>
      </c>
      <c r="T375" s="70" t="s">
        <v>2288</v>
      </c>
      <c r="U375" s="70" t="s">
        <v>2288</v>
      </c>
      <c r="V375" s="70" t="s">
        <v>2288</v>
      </c>
      <c r="W375" s="70"/>
      <c r="X375" s="70" t="s">
        <v>2288</v>
      </c>
      <c r="Y375" s="70"/>
      <c r="Z375" s="70"/>
      <c r="AA375" s="70"/>
      <c r="AB375" s="70"/>
      <c r="AC375" s="70"/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" thickBot="1" x14ac:dyDescent="0.35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28</v>
      </c>
      <c r="J376" s="147" t="s">
        <v>1973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" thickBot="1" x14ac:dyDescent="0.35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" thickBot="1" x14ac:dyDescent="0.35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20</v>
      </c>
      <c r="J378" s="147" t="s">
        <v>1975</v>
      </c>
      <c r="K378" s="31">
        <f t="shared" si="18"/>
        <v>8</v>
      </c>
      <c r="L378" s="32">
        <f t="shared" si="19"/>
        <v>0.7142857142857143</v>
      </c>
      <c r="M378" s="70" t="s">
        <v>2288</v>
      </c>
      <c r="N378" s="70" t="s">
        <v>2288</v>
      </c>
      <c r="O378" s="70"/>
      <c r="P378" s="70"/>
      <c r="Q378" s="70"/>
      <c r="R378" s="70" t="s">
        <v>2288</v>
      </c>
      <c r="S378" s="70" t="s">
        <v>2288</v>
      </c>
      <c r="T378" s="70" t="s">
        <v>2288</v>
      </c>
      <c r="U378" s="70" t="s">
        <v>2288</v>
      </c>
      <c r="V378" s="70" t="s">
        <v>2288</v>
      </c>
      <c r="W378" s="70"/>
      <c r="X378" s="70" t="s">
        <v>2288</v>
      </c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" thickBot="1" x14ac:dyDescent="0.35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20</v>
      </c>
      <c r="J379" s="147" t="s">
        <v>1976</v>
      </c>
      <c r="K379" s="31">
        <f t="shared" si="18"/>
        <v>8</v>
      </c>
      <c r="L379" s="32">
        <f t="shared" si="19"/>
        <v>0.7142857142857143</v>
      </c>
      <c r="M379" s="70" t="s">
        <v>2288</v>
      </c>
      <c r="N379" s="70" t="s">
        <v>2288</v>
      </c>
      <c r="O379" s="70"/>
      <c r="P379" s="70"/>
      <c r="Q379" s="70"/>
      <c r="R379" s="70" t="s">
        <v>2288</v>
      </c>
      <c r="S379" s="70" t="s">
        <v>2288</v>
      </c>
      <c r="T379" s="70" t="s">
        <v>2288</v>
      </c>
      <c r="U379" s="70" t="s">
        <v>2288</v>
      </c>
      <c r="V379" s="70" t="s">
        <v>2288</v>
      </c>
      <c r="W379" s="70"/>
      <c r="X379" s="70" t="s">
        <v>2288</v>
      </c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" thickBot="1" x14ac:dyDescent="0.35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20</v>
      </c>
      <c r="J380" s="147" t="s">
        <v>1977</v>
      </c>
      <c r="K380" s="31">
        <f t="shared" si="18"/>
        <v>8</v>
      </c>
      <c r="L380" s="32">
        <f t="shared" si="19"/>
        <v>0.7142857142857143</v>
      </c>
      <c r="M380" s="70" t="s">
        <v>2288</v>
      </c>
      <c r="N380" s="70" t="s">
        <v>2288</v>
      </c>
      <c r="O380" s="70"/>
      <c r="P380" s="70"/>
      <c r="Q380" s="70"/>
      <c r="R380" s="70" t="s">
        <v>2288</v>
      </c>
      <c r="S380" s="70" t="s">
        <v>2288</v>
      </c>
      <c r="T380" s="70" t="s">
        <v>2288</v>
      </c>
      <c r="U380" s="70" t="s">
        <v>2288</v>
      </c>
      <c r="V380" s="70" t="s">
        <v>2288</v>
      </c>
      <c r="W380" s="70"/>
      <c r="X380" s="70" t="s">
        <v>2288</v>
      </c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" thickBot="1" x14ac:dyDescent="0.35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20</v>
      </c>
      <c r="J381" s="147" t="s">
        <v>1978</v>
      </c>
      <c r="K381" s="31">
        <f t="shared" ref="K381:K462" si="21">COUNTIF(M381:AN381,"APAGADO")</f>
        <v>8</v>
      </c>
      <c r="L381" s="32">
        <f t="shared" ref="L381:L462" si="22">(I381)/(K381+I381)</f>
        <v>0.7142857142857143</v>
      </c>
      <c r="M381" s="70" t="s">
        <v>2288</v>
      </c>
      <c r="N381" s="70" t="s">
        <v>2288</v>
      </c>
      <c r="O381" s="70"/>
      <c r="P381" s="70"/>
      <c r="Q381" s="70"/>
      <c r="R381" s="70" t="s">
        <v>2288</v>
      </c>
      <c r="S381" s="70" t="s">
        <v>2288</v>
      </c>
      <c r="T381" s="70" t="s">
        <v>2288</v>
      </c>
      <c r="U381" s="70" t="s">
        <v>2288</v>
      </c>
      <c r="V381" s="70" t="s">
        <v>2288</v>
      </c>
      <c r="W381" s="70"/>
      <c r="X381" s="70" t="s">
        <v>2288</v>
      </c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" thickBot="1" x14ac:dyDescent="0.35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20</v>
      </c>
      <c r="J382" s="147" t="s">
        <v>1979</v>
      </c>
      <c r="K382" s="31">
        <f t="shared" si="21"/>
        <v>8</v>
      </c>
      <c r="L382" s="32">
        <f t="shared" si="22"/>
        <v>0.7142857142857143</v>
      </c>
      <c r="M382" s="70" t="s">
        <v>2288</v>
      </c>
      <c r="N382" s="70" t="s">
        <v>2288</v>
      </c>
      <c r="O382" s="70"/>
      <c r="P382" s="70"/>
      <c r="Q382" s="70"/>
      <c r="R382" s="70" t="s">
        <v>2288</v>
      </c>
      <c r="S382" s="70" t="s">
        <v>2288</v>
      </c>
      <c r="T382" s="70" t="s">
        <v>2288</v>
      </c>
      <c r="U382" s="70" t="s">
        <v>2288</v>
      </c>
      <c r="V382" s="70" t="s">
        <v>2288</v>
      </c>
      <c r="W382" s="70"/>
      <c r="X382" s="70" t="s">
        <v>2288</v>
      </c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" thickBot="1" x14ac:dyDescent="0.35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20</v>
      </c>
      <c r="J383" s="147" t="s">
        <v>1980</v>
      </c>
      <c r="K383" s="31">
        <f t="shared" si="21"/>
        <v>8</v>
      </c>
      <c r="L383" s="32">
        <f t="shared" si="22"/>
        <v>0.7142857142857143</v>
      </c>
      <c r="M383" s="70" t="s">
        <v>2288</v>
      </c>
      <c r="N383" s="70" t="s">
        <v>2288</v>
      </c>
      <c r="O383" s="70"/>
      <c r="P383" s="70"/>
      <c r="Q383" s="70"/>
      <c r="R383" s="70" t="s">
        <v>2288</v>
      </c>
      <c r="S383" s="70" t="s">
        <v>2288</v>
      </c>
      <c r="T383" s="70" t="s">
        <v>2288</v>
      </c>
      <c r="U383" s="70" t="s">
        <v>2288</v>
      </c>
      <c r="V383" s="70" t="s">
        <v>2288</v>
      </c>
      <c r="W383" s="70"/>
      <c r="X383" s="70" t="s">
        <v>2288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20</v>
      </c>
      <c r="J384" s="147" t="s">
        <v>1981</v>
      </c>
      <c r="K384" s="31">
        <f t="shared" si="21"/>
        <v>8</v>
      </c>
      <c r="L384" s="32">
        <f t="shared" si="22"/>
        <v>0.7142857142857143</v>
      </c>
      <c r="M384" s="70" t="s">
        <v>2288</v>
      </c>
      <c r="N384" s="70" t="s">
        <v>2288</v>
      </c>
      <c r="O384" s="70"/>
      <c r="P384" s="70"/>
      <c r="Q384" s="70"/>
      <c r="R384" s="70" t="s">
        <v>2288</v>
      </c>
      <c r="S384" s="70" t="s">
        <v>2288</v>
      </c>
      <c r="T384" s="70" t="s">
        <v>2288</v>
      </c>
      <c r="U384" s="70" t="s">
        <v>2288</v>
      </c>
      <c r="V384" s="70" t="s">
        <v>2288</v>
      </c>
      <c r="W384" s="70"/>
      <c r="X384" s="70" t="s">
        <v>2288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20</v>
      </c>
      <c r="J385" s="147" t="s">
        <v>1982</v>
      </c>
      <c r="K385" s="31">
        <f t="shared" si="21"/>
        <v>8</v>
      </c>
      <c r="L385" s="32">
        <f t="shared" si="22"/>
        <v>0.7142857142857143</v>
      </c>
      <c r="M385" s="70" t="s">
        <v>2288</v>
      </c>
      <c r="N385" s="70" t="s">
        <v>2288</v>
      </c>
      <c r="O385" s="70"/>
      <c r="P385" s="70"/>
      <c r="Q385" s="70"/>
      <c r="R385" s="70" t="s">
        <v>2288</v>
      </c>
      <c r="S385" s="70" t="s">
        <v>2288</v>
      </c>
      <c r="T385" s="70" t="s">
        <v>2288</v>
      </c>
      <c r="U385" s="70" t="s">
        <v>2288</v>
      </c>
      <c r="V385" s="70" t="s">
        <v>2288</v>
      </c>
      <c r="W385" s="70"/>
      <c r="X385" s="70" t="s">
        <v>2288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20</v>
      </c>
      <c r="J386" s="147" t="s">
        <v>1983</v>
      </c>
      <c r="K386" s="31">
        <f t="shared" si="21"/>
        <v>8</v>
      </c>
      <c r="L386" s="32">
        <f t="shared" si="22"/>
        <v>0.7142857142857143</v>
      </c>
      <c r="M386" s="70" t="s">
        <v>2288</v>
      </c>
      <c r="N386" s="70" t="s">
        <v>2288</v>
      </c>
      <c r="O386" s="70"/>
      <c r="P386" s="70"/>
      <c r="Q386" s="70"/>
      <c r="R386" s="70" t="s">
        <v>2288</v>
      </c>
      <c r="S386" s="70" t="s">
        <v>2288</v>
      </c>
      <c r="T386" s="70" t="s">
        <v>2288</v>
      </c>
      <c r="U386" s="70" t="s">
        <v>2288</v>
      </c>
      <c r="V386" s="70" t="s">
        <v>2288</v>
      </c>
      <c r="W386" s="70"/>
      <c r="X386" s="70" t="s">
        <v>2288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" thickBot="1" x14ac:dyDescent="0.35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20</v>
      </c>
      <c r="J387" s="147" t="s">
        <v>1984</v>
      </c>
      <c r="K387" s="31">
        <f t="shared" si="21"/>
        <v>8</v>
      </c>
      <c r="L387" s="32">
        <f t="shared" si="22"/>
        <v>0.7142857142857143</v>
      </c>
      <c r="M387" s="70" t="s">
        <v>2288</v>
      </c>
      <c r="N387" s="70" t="s">
        <v>2288</v>
      </c>
      <c r="O387" s="70"/>
      <c r="P387" s="70"/>
      <c r="Q387" s="70"/>
      <c r="R387" s="70" t="s">
        <v>2288</v>
      </c>
      <c r="S387" s="70" t="s">
        <v>2288</v>
      </c>
      <c r="T387" s="70" t="s">
        <v>2288</v>
      </c>
      <c r="U387" s="70" t="s">
        <v>2288</v>
      </c>
      <c r="V387" s="70" t="s">
        <v>2288</v>
      </c>
      <c r="W387" s="70"/>
      <c r="X387" s="70" t="s">
        <v>2288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" thickBot="1" x14ac:dyDescent="0.35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17</v>
      </c>
      <c r="J388" s="147" t="s">
        <v>1985</v>
      </c>
      <c r="K388" s="31">
        <f t="shared" si="21"/>
        <v>11</v>
      </c>
      <c r="L388" s="32">
        <f t="shared" si="22"/>
        <v>0.6071428571428571</v>
      </c>
      <c r="M388" s="70" t="s">
        <v>2288</v>
      </c>
      <c r="N388" s="70" t="s">
        <v>2288</v>
      </c>
      <c r="O388" s="70" t="s">
        <v>2288</v>
      </c>
      <c r="P388" s="70" t="s">
        <v>2288</v>
      </c>
      <c r="Q388" s="70" t="s">
        <v>2288</v>
      </c>
      <c r="R388" s="70" t="s">
        <v>2288</v>
      </c>
      <c r="S388" s="70" t="s">
        <v>2288</v>
      </c>
      <c r="T388" s="70" t="s">
        <v>2288</v>
      </c>
      <c r="U388" s="70" t="s">
        <v>2288</v>
      </c>
      <c r="V388" s="70" t="s">
        <v>2288</v>
      </c>
      <c r="W388" s="70"/>
      <c r="X388" s="70" t="s">
        <v>2288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17</v>
      </c>
      <c r="J389" s="147" t="s">
        <v>1986</v>
      </c>
      <c r="K389" s="31">
        <f t="shared" si="21"/>
        <v>11</v>
      </c>
      <c r="L389" s="32">
        <f t="shared" si="22"/>
        <v>0.6071428571428571</v>
      </c>
      <c r="M389" s="70" t="s">
        <v>2288</v>
      </c>
      <c r="N389" s="70" t="s">
        <v>2288</v>
      </c>
      <c r="O389" s="70" t="s">
        <v>2288</v>
      </c>
      <c r="P389" s="70" t="s">
        <v>2288</v>
      </c>
      <c r="Q389" s="70" t="s">
        <v>2288</v>
      </c>
      <c r="R389" s="70" t="s">
        <v>2288</v>
      </c>
      <c r="S389" s="70" t="s">
        <v>2288</v>
      </c>
      <c r="T389" s="70" t="s">
        <v>2288</v>
      </c>
      <c r="U389" s="70" t="s">
        <v>2288</v>
      </c>
      <c r="V389" s="70" t="s">
        <v>2288</v>
      </c>
      <c r="W389" s="70"/>
      <c r="X389" s="70" t="s">
        <v>2288</v>
      </c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" thickBot="1" x14ac:dyDescent="0.35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" thickBot="1" x14ac:dyDescent="0.35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" thickBot="1" x14ac:dyDescent="0.35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" thickBot="1" x14ac:dyDescent="0.35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18</v>
      </c>
      <c r="J393" s="87"/>
      <c r="K393" s="31">
        <f t="shared" si="21"/>
        <v>10</v>
      </c>
      <c r="L393" s="32">
        <f t="shared" si="22"/>
        <v>0.6428571428571429</v>
      </c>
      <c r="M393" s="70"/>
      <c r="N393" s="70" t="s">
        <v>2288</v>
      </c>
      <c r="O393" s="70" t="s">
        <v>2288</v>
      </c>
      <c r="P393" s="84" t="s">
        <v>2288</v>
      </c>
      <c r="Q393" s="84" t="s">
        <v>2288</v>
      </c>
      <c r="R393" s="84" t="s">
        <v>2288</v>
      </c>
      <c r="S393" s="84" t="s">
        <v>2288</v>
      </c>
      <c r="T393" s="84" t="s">
        <v>2288</v>
      </c>
      <c r="U393" s="84" t="s">
        <v>2288</v>
      </c>
      <c r="V393" s="84" t="s">
        <v>2288</v>
      </c>
      <c r="W393" s="84"/>
      <c r="X393" s="84" t="s">
        <v>2288</v>
      </c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" thickBot="1" x14ac:dyDescent="0.35">
      <c r="A394" t="s">
        <v>402</v>
      </c>
      <c r="B394" t="s">
        <v>2280</v>
      </c>
      <c r="C394" t="s">
        <v>1062</v>
      </c>
      <c r="D394" t="s">
        <v>2281</v>
      </c>
      <c r="E394" s="30" t="s">
        <v>19</v>
      </c>
      <c r="F394" s="85" t="s">
        <v>1301</v>
      </c>
      <c r="G394" s="30"/>
      <c r="H394" s="85" t="s">
        <v>2282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" thickBot="1" x14ac:dyDescent="0.35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19</v>
      </c>
      <c r="J395" s="87"/>
      <c r="K395" s="31">
        <f t="shared" si="21"/>
        <v>9</v>
      </c>
      <c r="L395" s="32">
        <f t="shared" si="22"/>
        <v>0.6785714285714286</v>
      </c>
      <c r="M395" s="70" t="s">
        <v>2288</v>
      </c>
      <c r="N395" s="70" t="s">
        <v>2288</v>
      </c>
      <c r="O395" s="70"/>
      <c r="P395" s="70"/>
      <c r="Q395" s="70" t="s">
        <v>2288</v>
      </c>
      <c r="R395" s="70" t="s">
        <v>2288</v>
      </c>
      <c r="S395" s="70" t="s">
        <v>2288</v>
      </c>
      <c r="T395" s="70" t="s">
        <v>2288</v>
      </c>
      <c r="U395" s="70" t="s">
        <v>2288</v>
      </c>
      <c r="V395" s="70" t="s">
        <v>2288</v>
      </c>
      <c r="W395" s="70"/>
      <c r="X395" s="70" t="s">
        <v>2288</v>
      </c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" thickBot="1" x14ac:dyDescent="0.35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" thickBot="1" x14ac:dyDescent="0.35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26</v>
      </c>
      <c r="J397" s="87"/>
      <c r="K397" s="31">
        <f t="shared" si="21"/>
        <v>2</v>
      </c>
      <c r="L397" s="32">
        <f t="shared" si="22"/>
        <v>0.9285714285714286</v>
      </c>
      <c r="M397" s="70"/>
      <c r="N397" s="70"/>
      <c r="O397" s="70"/>
      <c r="P397" s="70"/>
      <c r="Q397" s="70"/>
      <c r="R397" s="70" t="s">
        <v>2288</v>
      </c>
      <c r="S397" s="70" t="s">
        <v>2288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" thickBot="1" x14ac:dyDescent="0.35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2288</v>
      </c>
      <c r="S398" s="70" t="s">
        <v>2288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" thickBot="1" x14ac:dyDescent="0.35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17</v>
      </c>
      <c r="J399" s="147" t="s">
        <v>1991</v>
      </c>
      <c r="K399" s="87">
        <f t="shared" si="21"/>
        <v>11</v>
      </c>
      <c r="L399" s="88">
        <f t="shared" si="22"/>
        <v>0.6071428571428571</v>
      </c>
      <c r="M399" s="89" t="s">
        <v>2288</v>
      </c>
      <c r="N399" s="89" t="s">
        <v>2288</v>
      </c>
      <c r="O399" s="89" t="s">
        <v>2288</v>
      </c>
      <c r="P399" s="89" t="s">
        <v>2288</v>
      </c>
      <c r="Q399" s="89" t="s">
        <v>2288</v>
      </c>
      <c r="R399" s="89" t="s">
        <v>2288</v>
      </c>
      <c r="S399" s="89" t="s">
        <v>2288</v>
      </c>
      <c r="T399" s="89" t="s">
        <v>2288</v>
      </c>
      <c r="U399" s="89" t="s">
        <v>2288</v>
      </c>
      <c r="V399" s="89" t="s">
        <v>2288</v>
      </c>
      <c r="W399" s="89"/>
      <c r="X399" s="89" t="s">
        <v>2288</v>
      </c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" thickBot="1" x14ac:dyDescent="0.35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25</v>
      </c>
      <c r="J400" s="87"/>
      <c r="K400" s="31">
        <f t="shared" si="21"/>
        <v>3</v>
      </c>
      <c r="L400" s="32">
        <f t="shared" si="22"/>
        <v>0.8928571428571429</v>
      </c>
      <c r="M400" s="70"/>
      <c r="N400" s="70"/>
      <c r="O400" s="70" t="s">
        <v>2288</v>
      </c>
      <c r="P400" s="70"/>
      <c r="Q400" s="70"/>
      <c r="R400" s="70" t="s">
        <v>2288</v>
      </c>
      <c r="S400" s="70" t="s">
        <v>2288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" thickBot="1" x14ac:dyDescent="0.35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17</v>
      </c>
      <c r="J401" s="147" t="s">
        <v>1992</v>
      </c>
      <c r="K401" s="31">
        <f t="shared" si="21"/>
        <v>11</v>
      </c>
      <c r="L401" s="32">
        <f t="shared" si="22"/>
        <v>0.6071428571428571</v>
      </c>
      <c r="M401" s="70" t="s">
        <v>2288</v>
      </c>
      <c r="N401" s="70" t="s">
        <v>2288</v>
      </c>
      <c r="O401" s="70" t="s">
        <v>2288</v>
      </c>
      <c r="P401" s="70" t="s">
        <v>2288</v>
      </c>
      <c r="Q401" s="70" t="s">
        <v>2288</v>
      </c>
      <c r="R401" s="70" t="s">
        <v>2288</v>
      </c>
      <c r="S401" s="70" t="s">
        <v>2288</v>
      </c>
      <c r="T401" s="70" t="s">
        <v>2288</v>
      </c>
      <c r="U401" s="70" t="s">
        <v>2288</v>
      </c>
      <c r="V401" s="70" t="s">
        <v>2288</v>
      </c>
      <c r="W401" s="70"/>
      <c r="X401" s="70" t="s">
        <v>2288</v>
      </c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17</v>
      </c>
      <c r="J402" s="147" t="s">
        <v>1993</v>
      </c>
      <c r="K402" s="31">
        <f t="shared" si="21"/>
        <v>11</v>
      </c>
      <c r="L402" s="32">
        <f t="shared" si="22"/>
        <v>0.6071428571428571</v>
      </c>
      <c r="M402" s="70" t="s">
        <v>2288</v>
      </c>
      <c r="N402" s="70" t="s">
        <v>2288</v>
      </c>
      <c r="O402" s="70" t="s">
        <v>2288</v>
      </c>
      <c r="P402" s="70" t="s">
        <v>2288</v>
      </c>
      <c r="Q402" s="70" t="s">
        <v>2288</v>
      </c>
      <c r="R402" s="70" t="s">
        <v>2288</v>
      </c>
      <c r="S402" s="70" t="s">
        <v>2288</v>
      </c>
      <c r="T402" s="70" t="s">
        <v>2288</v>
      </c>
      <c r="U402" s="70" t="s">
        <v>2288</v>
      </c>
      <c r="V402" s="70" t="s">
        <v>2288</v>
      </c>
      <c r="W402" s="70"/>
      <c r="X402" s="70" t="s">
        <v>2288</v>
      </c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" thickBot="1" x14ac:dyDescent="0.35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5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" thickBot="1" x14ac:dyDescent="0.35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2288</v>
      </c>
      <c r="N405" s="70" t="s">
        <v>2288</v>
      </c>
      <c r="O405" s="70" t="s">
        <v>2288</v>
      </c>
      <c r="P405" s="70" t="s">
        <v>2288</v>
      </c>
      <c r="Q405" s="70" t="s">
        <v>2288</v>
      </c>
      <c r="R405" s="70" t="s">
        <v>2288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" thickBot="1" x14ac:dyDescent="0.35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2288</v>
      </c>
      <c r="N406" s="70" t="s">
        <v>2288</v>
      </c>
      <c r="O406" s="70" t="s">
        <v>2288</v>
      </c>
      <c r="P406" s="70" t="s">
        <v>2288</v>
      </c>
      <c r="Q406" s="70" t="s">
        <v>2288</v>
      </c>
      <c r="R406" s="70" t="s">
        <v>2288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" thickBot="1" x14ac:dyDescent="0.35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28</v>
      </c>
      <c r="J407" s="87" t="s">
        <v>2152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" thickBot="1" x14ac:dyDescent="0.35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" thickBot="1" x14ac:dyDescent="0.35">
      <c r="A409" s="73" t="s">
        <v>2272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" thickBot="1" x14ac:dyDescent="0.35">
      <c r="A410" s="73" t="s">
        <v>2272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" thickBot="1" x14ac:dyDescent="0.35">
      <c r="A411" s="73" t="s">
        <v>2272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" thickBot="1" x14ac:dyDescent="0.35">
      <c r="A412" s="73" t="s">
        <v>2272</v>
      </c>
      <c r="B412" s="73" t="s">
        <v>2268</v>
      </c>
      <c r="C412" s="73" t="s">
        <v>1063</v>
      </c>
      <c r="D412" s="73" t="s">
        <v>2269</v>
      </c>
      <c r="E412" s="92" t="s">
        <v>19</v>
      </c>
      <c r="F412" s="85" t="s">
        <v>1301</v>
      </c>
      <c r="G412" s="85"/>
      <c r="H412" s="85" t="s">
        <v>2270</v>
      </c>
      <c r="I412" s="142">
        <f t="shared" si="20"/>
        <v>28</v>
      </c>
      <c r="J412" s="147" t="s">
        <v>2271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" thickBot="1" x14ac:dyDescent="0.35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23</v>
      </c>
      <c r="J413" s="147" t="s">
        <v>1998</v>
      </c>
      <c r="K413" s="142">
        <f t="shared" si="21"/>
        <v>5</v>
      </c>
      <c r="L413" s="143">
        <f t="shared" si="22"/>
        <v>0.8214285714285714</v>
      </c>
      <c r="M413" s="70" t="s">
        <v>2288</v>
      </c>
      <c r="N413" s="70" t="s">
        <v>2288</v>
      </c>
      <c r="O413" s="70" t="s">
        <v>2288</v>
      </c>
      <c r="P413" s="70" t="s">
        <v>2288</v>
      </c>
      <c r="Q413" s="70" t="s">
        <v>2288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" thickBot="1" x14ac:dyDescent="0.35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28</v>
      </c>
      <c r="J414" s="147" t="s">
        <v>1999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" thickBot="1" x14ac:dyDescent="0.35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17</v>
      </c>
      <c r="J415" s="87"/>
      <c r="K415" s="31">
        <f t="shared" si="21"/>
        <v>11</v>
      </c>
      <c r="L415" s="32">
        <f t="shared" si="22"/>
        <v>0.6071428571428571</v>
      </c>
      <c r="M415" s="70" t="s">
        <v>2288</v>
      </c>
      <c r="N415" s="70" t="s">
        <v>2288</v>
      </c>
      <c r="O415" s="70" t="s">
        <v>2288</v>
      </c>
      <c r="P415" s="70" t="s">
        <v>2288</v>
      </c>
      <c r="Q415" s="70" t="s">
        <v>2288</v>
      </c>
      <c r="R415" s="70" t="s">
        <v>2288</v>
      </c>
      <c r="S415" s="70" t="s">
        <v>2288</v>
      </c>
      <c r="T415" s="70" t="s">
        <v>2288</v>
      </c>
      <c r="U415" s="70" t="s">
        <v>2288</v>
      </c>
      <c r="V415" s="70" t="s">
        <v>2288</v>
      </c>
      <c r="W415" s="70"/>
      <c r="X415" s="70" t="s">
        <v>2288</v>
      </c>
      <c r="Y415" s="70"/>
      <c r="Z415" s="70"/>
      <c r="AA415" s="70"/>
      <c r="AB415" s="70"/>
      <c r="AC415" s="70"/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" thickBot="1" x14ac:dyDescent="0.35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23</v>
      </c>
      <c r="J416" s="147" t="s">
        <v>2000</v>
      </c>
      <c r="K416" s="142">
        <f t="shared" si="21"/>
        <v>5</v>
      </c>
      <c r="L416" s="143">
        <f t="shared" si="22"/>
        <v>0.8214285714285714</v>
      </c>
      <c r="M416" s="70" t="s">
        <v>2288</v>
      </c>
      <c r="N416" s="70" t="s">
        <v>2288</v>
      </c>
      <c r="O416" s="70" t="s">
        <v>2288</v>
      </c>
      <c r="P416" s="70" t="s">
        <v>2288</v>
      </c>
      <c r="Q416" s="70" t="s">
        <v>2288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" thickBot="1" x14ac:dyDescent="0.35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" thickBot="1" x14ac:dyDescent="0.35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" thickBot="1" x14ac:dyDescent="0.35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27</v>
      </c>
      <c r="J419" s="73" t="s">
        <v>2002</v>
      </c>
      <c r="K419" s="142">
        <f t="shared" si="21"/>
        <v>1</v>
      </c>
      <c r="L419" s="143">
        <f t="shared" si="22"/>
        <v>0.9642857142857143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 t="s">
        <v>2288</v>
      </c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" thickBot="1" x14ac:dyDescent="0.35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23</v>
      </c>
      <c r="J420" s="147" t="s">
        <v>2003</v>
      </c>
      <c r="K420" s="31">
        <f t="shared" si="21"/>
        <v>5</v>
      </c>
      <c r="L420" s="32">
        <f t="shared" si="22"/>
        <v>0.8214285714285714</v>
      </c>
      <c r="M420" s="70" t="s">
        <v>2288</v>
      </c>
      <c r="N420" s="70" t="s">
        <v>2288</v>
      </c>
      <c r="O420" s="70" t="s">
        <v>2288</v>
      </c>
      <c r="P420" s="70" t="s">
        <v>2288</v>
      </c>
      <c r="Q420" s="70" t="s">
        <v>2288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95" customHeight="1" thickBot="1" x14ac:dyDescent="0.35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23</v>
      </c>
      <c r="J421" s="147" t="s">
        <v>2004</v>
      </c>
      <c r="K421" s="31">
        <f t="shared" si="21"/>
        <v>5</v>
      </c>
      <c r="L421" s="32">
        <f t="shared" si="22"/>
        <v>0.8214285714285714</v>
      </c>
      <c r="M421" s="70" t="s">
        <v>2288</v>
      </c>
      <c r="N421" s="70" t="s">
        <v>2288</v>
      </c>
      <c r="O421" s="70" t="s">
        <v>2288</v>
      </c>
      <c r="P421" s="70" t="s">
        <v>2288</v>
      </c>
      <c r="Q421" s="70" t="s">
        <v>2288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95" customHeight="1" thickBot="1" x14ac:dyDescent="0.35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27</v>
      </c>
      <c r="J422" s="147" t="s">
        <v>2005</v>
      </c>
      <c r="K422" s="31">
        <f t="shared" si="21"/>
        <v>1</v>
      </c>
      <c r="L422" s="32">
        <f t="shared" si="22"/>
        <v>0.9642857142857143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 t="s">
        <v>2288</v>
      </c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95" customHeight="1" thickBot="1" x14ac:dyDescent="0.35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27</v>
      </c>
      <c r="J423" s="147" t="s">
        <v>2006</v>
      </c>
      <c r="K423" s="31">
        <f t="shared" si="21"/>
        <v>1</v>
      </c>
      <c r="L423" s="32">
        <f t="shared" si="22"/>
        <v>0.9642857142857143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 t="s">
        <v>2288</v>
      </c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95" customHeight="1" thickBot="1" x14ac:dyDescent="0.35">
      <c r="A424" t="s">
        <v>1124</v>
      </c>
      <c r="B424" s="73" t="s">
        <v>2253</v>
      </c>
      <c r="C424" s="73" t="s">
        <v>1063</v>
      </c>
      <c r="D424" s="73" t="s">
        <v>2254</v>
      </c>
      <c r="E424" s="85" t="s">
        <v>1114</v>
      </c>
      <c r="F424" s="85"/>
      <c r="G424" s="85"/>
      <c r="H424" s="85" t="s">
        <v>2255</v>
      </c>
      <c r="I424" s="31">
        <f t="shared" si="20"/>
        <v>27</v>
      </c>
      <c r="J424" s="147"/>
      <c r="K424" s="31">
        <f t="shared" si="21"/>
        <v>1</v>
      </c>
      <c r="L424" s="32">
        <f t="shared" si="22"/>
        <v>0.9642857142857143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2288</v>
      </c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" thickBot="1" x14ac:dyDescent="0.35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" thickBot="1" x14ac:dyDescent="0.35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" thickBot="1" x14ac:dyDescent="0.35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28</v>
      </c>
      <c r="J427" s="147" t="s">
        <v>2009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" thickBot="1" x14ac:dyDescent="0.35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28</v>
      </c>
      <c r="J428" s="147" t="s">
        <v>2010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" thickBot="1" x14ac:dyDescent="0.35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22</v>
      </c>
      <c r="J429" s="147" t="s">
        <v>2011</v>
      </c>
      <c r="K429" s="31">
        <f t="shared" si="21"/>
        <v>6</v>
      </c>
      <c r="L429" s="32">
        <f t="shared" si="22"/>
        <v>0.7857142857142857</v>
      </c>
      <c r="M429" s="70" t="s">
        <v>2288</v>
      </c>
      <c r="N429" s="70" t="s">
        <v>2288</v>
      </c>
      <c r="O429" s="70" t="s">
        <v>2288</v>
      </c>
      <c r="P429" s="70" t="s">
        <v>2288</v>
      </c>
      <c r="Q429" s="70" t="s">
        <v>2288</v>
      </c>
      <c r="R429" s="70"/>
      <c r="S429" s="70"/>
      <c r="T429" s="70"/>
      <c r="U429" s="70"/>
      <c r="V429" s="70"/>
      <c r="W429" s="70"/>
      <c r="X429" s="70" t="s">
        <v>2288</v>
      </c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22</v>
      </c>
      <c r="J430" s="147" t="s">
        <v>2012</v>
      </c>
      <c r="K430" s="31">
        <f t="shared" si="21"/>
        <v>6</v>
      </c>
      <c r="L430" s="32">
        <f t="shared" si="22"/>
        <v>0.7857142857142857</v>
      </c>
      <c r="M430" s="70" t="s">
        <v>2288</v>
      </c>
      <c r="N430" s="70" t="s">
        <v>2288</v>
      </c>
      <c r="O430" s="70" t="s">
        <v>2288</v>
      </c>
      <c r="P430" s="70" t="s">
        <v>2288</v>
      </c>
      <c r="Q430" s="70" t="s">
        <v>2288</v>
      </c>
      <c r="R430" s="70"/>
      <c r="S430" s="70"/>
      <c r="T430" s="70"/>
      <c r="U430" s="70"/>
      <c r="V430" s="70"/>
      <c r="W430" s="70"/>
      <c r="X430" s="70" t="s">
        <v>2288</v>
      </c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" thickBot="1" x14ac:dyDescent="0.35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" thickBot="1" x14ac:dyDescent="0.35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" thickBot="1" x14ac:dyDescent="0.35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20</v>
      </c>
      <c r="J434" s="147" t="s">
        <v>2015</v>
      </c>
      <c r="K434" s="31">
        <f t="shared" si="21"/>
        <v>8</v>
      </c>
      <c r="L434" s="32">
        <f t="shared" si="22"/>
        <v>0.7142857142857143</v>
      </c>
      <c r="M434" s="70" t="s">
        <v>2288</v>
      </c>
      <c r="N434" s="70" t="s">
        <v>2288</v>
      </c>
      <c r="O434" s="70" t="s">
        <v>2288</v>
      </c>
      <c r="P434" s="70" t="s">
        <v>2288</v>
      </c>
      <c r="Q434" s="70" t="s">
        <v>2288</v>
      </c>
      <c r="R434" s="70" t="s">
        <v>2288</v>
      </c>
      <c r="S434" s="70" t="s">
        <v>2288</v>
      </c>
      <c r="T434" s="70" t="s">
        <v>2288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" thickBot="1" x14ac:dyDescent="0.35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" thickBot="1" x14ac:dyDescent="0.35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17</v>
      </c>
      <c r="J436" s="147" t="s">
        <v>2017</v>
      </c>
      <c r="K436" s="31">
        <f t="shared" si="21"/>
        <v>11</v>
      </c>
      <c r="L436" s="32">
        <f t="shared" si="22"/>
        <v>0.6071428571428571</v>
      </c>
      <c r="M436" s="70" t="s">
        <v>2288</v>
      </c>
      <c r="N436" s="70" t="s">
        <v>2288</v>
      </c>
      <c r="O436" s="70" t="s">
        <v>2288</v>
      </c>
      <c r="P436" s="70" t="s">
        <v>2288</v>
      </c>
      <c r="Q436" s="70" t="s">
        <v>2288</v>
      </c>
      <c r="R436" s="70" t="s">
        <v>2288</v>
      </c>
      <c r="S436" s="70" t="s">
        <v>2288</v>
      </c>
      <c r="T436" s="70" t="s">
        <v>2288</v>
      </c>
      <c r="U436" s="70" t="s">
        <v>2288</v>
      </c>
      <c r="V436" s="70" t="s">
        <v>2288</v>
      </c>
      <c r="W436" s="70"/>
      <c r="X436" s="70" t="s">
        <v>2288</v>
      </c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" thickBot="1" x14ac:dyDescent="0.35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20</v>
      </c>
      <c r="J441" s="147" t="s">
        <v>2018</v>
      </c>
      <c r="K441" s="31">
        <f t="shared" si="21"/>
        <v>8</v>
      </c>
      <c r="L441" s="32">
        <f t="shared" si="22"/>
        <v>0.7142857142857143</v>
      </c>
      <c r="M441" s="70" t="s">
        <v>2288</v>
      </c>
      <c r="N441" s="70" t="s">
        <v>2288</v>
      </c>
      <c r="O441" s="70" t="s">
        <v>2288</v>
      </c>
      <c r="P441" s="70" t="s">
        <v>2288</v>
      </c>
      <c r="Q441" s="70" t="s">
        <v>2288</v>
      </c>
      <c r="R441" s="70" t="s">
        <v>2288</v>
      </c>
      <c r="S441" s="70" t="s">
        <v>2288</v>
      </c>
      <c r="T441" s="70"/>
      <c r="U441" s="70"/>
      <c r="V441" s="70"/>
      <c r="W441" s="70"/>
      <c r="X441" s="70" t="s">
        <v>2288</v>
      </c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17</v>
      </c>
      <c r="J442" s="147" t="s">
        <v>2019</v>
      </c>
      <c r="K442" s="31">
        <f t="shared" si="21"/>
        <v>11</v>
      </c>
      <c r="L442" s="32">
        <f t="shared" si="22"/>
        <v>0.6071428571428571</v>
      </c>
      <c r="M442" s="70" t="s">
        <v>2288</v>
      </c>
      <c r="N442" s="70" t="s">
        <v>2288</v>
      </c>
      <c r="O442" s="70" t="s">
        <v>2288</v>
      </c>
      <c r="P442" s="70" t="s">
        <v>2288</v>
      </c>
      <c r="Q442" s="70" t="s">
        <v>2288</v>
      </c>
      <c r="R442" s="70" t="s">
        <v>2288</v>
      </c>
      <c r="S442" s="70" t="s">
        <v>2288</v>
      </c>
      <c r="T442" s="70" t="s">
        <v>2288</v>
      </c>
      <c r="U442" s="70" t="s">
        <v>2288</v>
      </c>
      <c r="V442" s="70" t="s">
        <v>2288</v>
      </c>
      <c r="W442" s="70"/>
      <c r="X442" s="70" t="s">
        <v>2288</v>
      </c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" thickBot="1" x14ac:dyDescent="0.35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27</v>
      </c>
      <c r="J443" s="147" t="s">
        <v>2020</v>
      </c>
      <c r="K443" s="142">
        <f t="shared" si="21"/>
        <v>1</v>
      </c>
      <c r="L443" s="143">
        <f t="shared" si="22"/>
        <v>0.9642857142857143</v>
      </c>
      <c r="M443" s="70" t="s">
        <v>2288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" thickBot="1" x14ac:dyDescent="0.35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" thickBot="1" x14ac:dyDescent="0.35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" thickBot="1" x14ac:dyDescent="0.35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22</v>
      </c>
      <c r="J446" s="147" t="s">
        <v>2023</v>
      </c>
      <c r="K446" s="31">
        <f t="shared" si="21"/>
        <v>6</v>
      </c>
      <c r="L446" s="32">
        <f t="shared" si="22"/>
        <v>0.7857142857142857</v>
      </c>
      <c r="M446" s="70" t="s">
        <v>2288</v>
      </c>
      <c r="N446" s="70" t="s">
        <v>2288</v>
      </c>
      <c r="O446" s="70" t="s">
        <v>2288</v>
      </c>
      <c r="P446" s="70" t="s">
        <v>2288</v>
      </c>
      <c r="Q446" s="70" t="s">
        <v>2288</v>
      </c>
      <c r="R446" s="70"/>
      <c r="S446" s="70"/>
      <c r="T446" s="70"/>
      <c r="U446" s="70"/>
      <c r="V446" s="70"/>
      <c r="W446" s="70"/>
      <c r="X446" s="70" t="s">
        <v>2288</v>
      </c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" thickBot="1" x14ac:dyDescent="0.35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22</v>
      </c>
      <c r="J447" s="147" t="s">
        <v>2024</v>
      </c>
      <c r="K447" s="31">
        <f t="shared" si="21"/>
        <v>6</v>
      </c>
      <c r="L447" s="32">
        <f t="shared" si="22"/>
        <v>0.7857142857142857</v>
      </c>
      <c r="M447" s="70" t="s">
        <v>2288</v>
      </c>
      <c r="N447" s="70" t="s">
        <v>2288</v>
      </c>
      <c r="O447" s="70" t="s">
        <v>2288</v>
      </c>
      <c r="P447" s="70" t="s">
        <v>2288</v>
      </c>
      <c r="Q447" s="70" t="s">
        <v>2288</v>
      </c>
      <c r="R447" s="70"/>
      <c r="S447" s="70"/>
      <c r="T447" s="70"/>
      <c r="U447" s="70"/>
      <c r="V447" s="70"/>
      <c r="W447" s="70"/>
      <c r="X447" s="70" t="s">
        <v>2288</v>
      </c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" thickBot="1" x14ac:dyDescent="0.35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20</v>
      </c>
      <c r="J448" s="147" t="s">
        <v>2025</v>
      </c>
      <c r="K448" s="31">
        <f t="shared" si="21"/>
        <v>8</v>
      </c>
      <c r="L448" s="32">
        <f t="shared" si="22"/>
        <v>0.7142857142857143</v>
      </c>
      <c r="M448" s="70" t="s">
        <v>2288</v>
      </c>
      <c r="N448" s="70" t="s">
        <v>2288</v>
      </c>
      <c r="O448" s="70" t="s">
        <v>2288</v>
      </c>
      <c r="P448" s="70" t="s">
        <v>2288</v>
      </c>
      <c r="Q448" s="70" t="s">
        <v>2288</v>
      </c>
      <c r="R448" s="70" t="s">
        <v>2288</v>
      </c>
      <c r="S448" s="70" t="s">
        <v>2288</v>
      </c>
      <c r="T448" s="70" t="s">
        <v>2288</v>
      </c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" thickBot="1" x14ac:dyDescent="0.35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28</v>
      </c>
      <c r="J449" s="147" t="s">
        <v>2026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" thickBot="1" x14ac:dyDescent="0.35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" thickBot="1" x14ac:dyDescent="0.35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" thickBot="1" x14ac:dyDescent="0.35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" thickBot="1" x14ac:dyDescent="0.35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" thickBot="1" x14ac:dyDescent="0.35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" thickBot="1" x14ac:dyDescent="0.35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" thickBot="1" x14ac:dyDescent="0.35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17</v>
      </c>
      <c r="J456" s="147" t="s">
        <v>2027</v>
      </c>
      <c r="K456" s="142">
        <f t="shared" si="21"/>
        <v>11</v>
      </c>
      <c r="L456" s="143">
        <f t="shared" si="22"/>
        <v>0.6071428571428571</v>
      </c>
      <c r="M456" s="70" t="s">
        <v>2288</v>
      </c>
      <c r="N456" s="70" t="s">
        <v>2288</v>
      </c>
      <c r="O456" s="70" t="s">
        <v>2288</v>
      </c>
      <c r="P456" s="70" t="s">
        <v>2288</v>
      </c>
      <c r="Q456" s="70" t="s">
        <v>2288</v>
      </c>
      <c r="R456" s="70" t="s">
        <v>2288</v>
      </c>
      <c r="S456" s="70" t="s">
        <v>2288</v>
      </c>
      <c r="T456" s="70" t="s">
        <v>2288</v>
      </c>
      <c r="U456" s="70" t="s">
        <v>2288</v>
      </c>
      <c r="V456" s="70" t="s">
        <v>2288</v>
      </c>
      <c r="W456" s="70"/>
      <c r="X456" s="70" t="s">
        <v>2288</v>
      </c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" thickBot="1" x14ac:dyDescent="0.35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17</v>
      </c>
      <c r="J457" s="147" t="s">
        <v>2028</v>
      </c>
      <c r="K457" s="142">
        <f t="shared" si="21"/>
        <v>11</v>
      </c>
      <c r="L457" s="143">
        <f t="shared" si="22"/>
        <v>0.6071428571428571</v>
      </c>
      <c r="M457" s="70" t="s">
        <v>2288</v>
      </c>
      <c r="N457" s="70" t="s">
        <v>2288</v>
      </c>
      <c r="O457" s="70" t="s">
        <v>2288</v>
      </c>
      <c r="P457" s="70" t="s">
        <v>2288</v>
      </c>
      <c r="Q457" s="70" t="s">
        <v>2288</v>
      </c>
      <c r="R457" s="70" t="s">
        <v>2288</v>
      </c>
      <c r="S457" s="70" t="s">
        <v>2288</v>
      </c>
      <c r="T457" s="70" t="s">
        <v>2288</v>
      </c>
      <c r="U457" s="70" t="s">
        <v>2288</v>
      </c>
      <c r="V457" s="70" t="s">
        <v>2288</v>
      </c>
      <c r="W457" s="70"/>
      <c r="X457" s="70" t="s">
        <v>2288</v>
      </c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" thickBot="1" x14ac:dyDescent="0.35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17</v>
      </c>
      <c r="J458" s="87"/>
      <c r="K458" s="142">
        <f t="shared" si="21"/>
        <v>11</v>
      </c>
      <c r="L458" s="143">
        <f t="shared" si="22"/>
        <v>0.6071428571428571</v>
      </c>
      <c r="M458" s="70" t="s">
        <v>2288</v>
      </c>
      <c r="N458" s="70" t="s">
        <v>2288</v>
      </c>
      <c r="O458" s="70" t="s">
        <v>2288</v>
      </c>
      <c r="P458" s="70" t="s">
        <v>2288</v>
      </c>
      <c r="Q458" s="70" t="s">
        <v>2288</v>
      </c>
      <c r="R458" s="70" t="s">
        <v>2288</v>
      </c>
      <c r="S458" s="70" t="s">
        <v>2288</v>
      </c>
      <c r="T458" s="70" t="s">
        <v>2288</v>
      </c>
      <c r="U458" s="70" t="s">
        <v>2288</v>
      </c>
      <c r="V458" s="70" t="s">
        <v>2288</v>
      </c>
      <c r="W458" s="70"/>
      <c r="X458" s="70" t="s">
        <v>2288</v>
      </c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" thickBot="1" x14ac:dyDescent="0.35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18</v>
      </c>
      <c r="J459" s="153" t="s">
        <v>2146</v>
      </c>
      <c r="K459" s="142">
        <f t="shared" si="21"/>
        <v>10</v>
      </c>
      <c r="L459" s="143">
        <f t="shared" si="22"/>
        <v>0.6428571428571429</v>
      </c>
      <c r="M459" s="70" t="s">
        <v>2288</v>
      </c>
      <c r="N459" s="70" t="s">
        <v>2288</v>
      </c>
      <c r="O459" s="70" t="s">
        <v>2288</v>
      </c>
      <c r="P459" s="70" t="s">
        <v>2288</v>
      </c>
      <c r="Q459" s="70" t="s">
        <v>2288</v>
      </c>
      <c r="R459" s="70" t="s">
        <v>2288</v>
      </c>
      <c r="S459" s="70" t="s">
        <v>2288</v>
      </c>
      <c r="T459" s="70" t="s">
        <v>2288</v>
      </c>
      <c r="U459" s="70" t="s">
        <v>2288</v>
      </c>
      <c r="V459" s="70" t="s">
        <v>2288</v>
      </c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" thickBot="1" x14ac:dyDescent="0.35">
      <c r="B460" s="85" t="s">
        <v>2287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17</v>
      </c>
      <c r="J460" s="153"/>
      <c r="K460" s="142">
        <f t="shared" si="21"/>
        <v>11</v>
      </c>
      <c r="L460" s="143">
        <f t="shared" si="22"/>
        <v>0.6071428571428571</v>
      </c>
      <c r="M460" s="70" t="s">
        <v>2288</v>
      </c>
      <c r="N460" s="70" t="s">
        <v>2288</v>
      </c>
      <c r="O460" s="70" t="s">
        <v>2288</v>
      </c>
      <c r="P460" s="70" t="s">
        <v>2288</v>
      </c>
      <c r="Q460" s="70" t="s">
        <v>2288</v>
      </c>
      <c r="R460" s="70" t="s">
        <v>2288</v>
      </c>
      <c r="S460" s="70" t="s">
        <v>2288</v>
      </c>
      <c r="T460" s="70" t="s">
        <v>2288</v>
      </c>
      <c r="U460" s="70" t="s">
        <v>2288</v>
      </c>
      <c r="V460" s="70" t="s">
        <v>2288</v>
      </c>
      <c r="W460" s="70"/>
      <c r="X460" s="70" t="s">
        <v>2288</v>
      </c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" thickBot="1" x14ac:dyDescent="0.35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25</v>
      </c>
      <c r="J461" s="147" t="s">
        <v>2029</v>
      </c>
      <c r="K461" s="31">
        <f t="shared" si="21"/>
        <v>3</v>
      </c>
      <c r="L461" s="32">
        <f t="shared" si="22"/>
        <v>0.8928571428571429</v>
      </c>
      <c r="M461" s="70"/>
      <c r="N461" s="70"/>
      <c r="O461" s="70"/>
      <c r="P461" s="70"/>
      <c r="Q461" s="70"/>
      <c r="R461" s="70" t="s">
        <v>2288</v>
      </c>
      <c r="S461" s="70" t="s">
        <v>2288</v>
      </c>
      <c r="T461" s="70" t="s">
        <v>2288</v>
      </c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" thickBot="1" x14ac:dyDescent="0.35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25</v>
      </c>
      <c r="J462" s="147" t="s">
        <v>2030</v>
      </c>
      <c r="K462" s="31">
        <f t="shared" si="21"/>
        <v>3</v>
      </c>
      <c r="L462" s="32">
        <f t="shared" si="22"/>
        <v>0.8928571428571429</v>
      </c>
      <c r="M462" s="70"/>
      <c r="N462" s="70"/>
      <c r="O462" s="70"/>
      <c r="P462" s="70"/>
      <c r="Q462" s="70"/>
      <c r="R462" s="70" t="s">
        <v>2288</v>
      </c>
      <c r="S462" s="70" t="s">
        <v>2288</v>
      </c>
      <c r="T462" s="70" t="s">
        <v>2288</v>
      </c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" thickBot="1" x14ac:dyDescent="0.35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" thickBot="1" x14ac:dyDescent="0.35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" thickBot="1" x14ac:dyDescent="0.35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" thickBot="1" x14ac:dyDescent="0.35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" thickBot="1" x14ac:dyDescent="0.35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" thickBot="1" x14ac:dyDescent="0.35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" thickBot="1" x14ac:dyDescent="0.35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" thickBot="1" x14ac:dyDescent="0.35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" thickBot="1" x14ac:dyDescent="0.35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" thickBot="1" x14ac:dyDescent="0.35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" thickBot="1" x14ac:dyDescent="0.35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" thickBot="1" x14ac:dyDescent="0.35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" thickBot="1" x14ac:dyDescent="0.35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" thickBot="1" x14ac:dyDescent="0.35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" thickBot="1" x14ac:dyDescent="0.35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" thickBot="1" x14ac:dyDescent="0.35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/>
      <c r="R481" s="70" t="s">
        <v>2288</v>
      </c>
      <c r="S481" s="70" t="s">
        <v>2288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" thickBot="1" x14ac:dyDescent="0.35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/>
      <c r="Q482" s="70"/>
      <c r="R482" s="70" t="s">
        <v>2288</v>
      </c>
      <c r="S482" s="70" t="s">
        <v>2288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" thickBot="1" x14ac:dyDescent="0.35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25</v>
      </c>
      <c r="J483" s="87"/>
      <c r="K483" s="31">
        <f t="shared" si="24"/>
        <v>3</v>
      </c>
      <c r="L483" s="32">
        <f t="shared" si="25"/>
        <v>0.8928571428571429</v>
      </c>
      <c r="M483" s="70"/>
      <c r="N483" s="70"/>
      <c r="O483" s="70"/>
      <c r="P483" s="70"/>
      <c r="Q483" s="70"/>
      <c r="R483" s="70" t="s">
        <v>2288</v>
      </c>
      <c r="S483" s="70" t="s">
        <v>2288</v>
      </c>
      <c r="T483" s="70"/>
      <c r="U483" s="70"/>
      <c r="V483" s="70"/>
      <c r="W483" s="70"/>
      <c r="X483" s="70" t="s">
        <v>2288</v>
      </c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" thickBot="1" x14ac:dyDescent="0.35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2288</v>
      </c>
      <c r="S484" s="70" t="s">
        <v>2288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" thickBot="1" x14ac:dyDescent="0.35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26</v>
      </c>
      <c r="J485" s="87"/>
      <c r="K485" s="31">
        <f t="shared" si="24"/>
        <v>2</v>
      </c>
      <c r="L485" s="32">
        <f t="shared" si="25"/>
        <v>0.9285714285714286</v>
      </c>
      <c r="M485" s="70"/>
      <c r="N485" s="70"/>
      <c r="O485" s="70"/>
      <c r="P485" s="70"/>
      <c r="Q485" s="70"/>
      <c r="R485" s="70" t="s">
        <v>2288</v>
      </c>
      <c r="S485" s="70" t="s">
        <v>2288</v>
      </c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28</v>
      </c>
      <c r="J486" s="147" t="s">
        <v>2045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28</v>
      </c>
      <c r="J491" s="147" t="s">
        <v>2050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28</v>
      </c>
      <c r="J493" s="147" t="s">
        <v>2052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518</v>
      </c>
      <c r="B494" t="s">
        <v>526</v>
      </c>
      <c r="C494" t="s">
        <v>1063</v>
      </c>
      <c r="D494" t="s">
        <v>2256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28</v>
      </c>
      <c r="J494" s="147" t="s">
        <v>2053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22</v>
      </c>
      <c r="J496" s="147" t="s">
        <v>2055</v>
      </c>
      <c r="K496" s="31">
        <f t="shared" si="24"/>
        <v>6</v>
      </c>
      <c r="L496" s="32">
        <f t="shared" si="25"/>
        <v>0.7857142857142857</v>
      </c>
      <c r="M496" s="70" t="s">
        <v>2288</v>
      </c>
      <c r="N496" s="70" t="s">
        <v>2288</v>
      </c>
      <c r="O496" s="70"/>
      <c r="P496" s="70"/>
      <c r="Q496" s="70" t="s">
        <v>2288</v>
      </c>
      <c r="R496" s="70" t="s">
        <v>2288</v>
      </c>
      <c r="S496" s="70" t="s">
        <v>2288</v>
      </c>
      <c r="T496" s="70" t="s">
        <v>2288</v>
      </c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" thickBot="1" x14ac:dyDescent="0.35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" thickBot="1" x14ac:dyDescent="0.35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" thickBot="1" x14ac:dyDescent="0.35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" thickBot="1" x14ac:dyDescent="0.35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2061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22</v>
      </c>
      <c r="J503" s="147" t="s">
        <v>2062</v>
      </c>
      <c r="K503" s="31">
        <f t="shared" si="24"/>
        <v>6</v>
      </c>
      <c r="L503" s="32">
        <f t="shared" si="25"/>
        <v>0.7857142857142857</v>
      </c>
      <c r="M503" s="70" t="s">
        <v>2288</v>
      </c>
      <c r="N503" s="70" t="s">
        <v>2288</v>
      </c>
      <c r="O503" s="70"/>
      <c r="P503" s="70"/>
      <c r="Q503" s="70" t="s">
        <v>2288</v>
      </c>
      <c r="R503" s="70" t="s">
        <v>2288</v>
      </c>
      <c r="S503" s="70" t="s">
        <v>2288</v>
      </c>
      <c r="T503" s="70" t="s">
        <v>2288</v>
      </c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28</v>
      </c>
      <c r="J505" s="147" t="s">
        <v>2064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28</v>
      </c>
      <c r="J506" s="147" t="s">
        <v>2065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" thickBot="1" x14ac:dyDescent="0.35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22</v>
      </c>
      <c r="J508" s="147" t="s">
        <v>2067</v>
      </c>
      <c r="K508" s="31">
        <f t="shared" si="24"/>
        <v>6</v>
      </c>
      <c r="L508" s="32">
        <f t="shared" si="25"/>
        <v>0.7857142857142857</v>
      </c>
      <c r="M508" s="70" t="s">
        <v>2288</v>
      </c>
      <c r="N508" s="70" t="s">
        <v>2288</v>
      </c>
      <c r="O508" s="70"/>
      <c r="P508" s="70"/>
      <c r="Q508" s="70" t="s">
        <v>2288</v>
      </c>
      <c r="R508" s="70" t="s">
        <v>2288</v>
      </c>
      <c r="S508" s="70" t="s">
        <v>2288</v>
      </c>
      <c r="T508" s="70" t="s">
        <v>2288</v>
      </c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2068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17</v>
      </c>
      <c r="J510" s="147" t="s">
        <v>2069</v>
      </c>
      <c r="K510" s="31">
        <f t="shared" si="24"/>
        <v>11</v>
      </c>
      <c r="L510" s="32">
        <f t="shared" si="25"/>
        <v>0.6071428571428571</v>
      </c>
      <c r="M510" s="70" t="s">
        <v>2288</v>
      </c>
      <c r="N510" s="70" t="s">
        <v>2288</v>
      </c>
      <c r="O510" s="70" t="s">
        <v>2288</v>
      </c>
      <c r="P510" s="70" t="s">
        <v>2288</v>
      </c>
      <c r="Q510" s="70" t="s">
        <v>2288</v>
      </c>
      <c r="R510" s="70" t="s">
        <v>2288</v>
      </c>
      <c r="S510" s="70" t="s">
        <v>2288</v>
      </c>
      <c r="T510" s="70" t="s">
        <v>2288</v>
      </c>
      <c r="U510" s="70" t="s">
        <v>2288</v>
      </c>
      <c r="V510" s="70" t="s">
        <v>2288</v>
      </c>
      <c r="W510" s="70"/>
      <c r="X510" s="70" t="s">
        <v>2288</v>
      </c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22</v>
      </c>
      <c r="J511" s="147" t="s">
        <v>2070</v>
      </c>
      <c r="K511" s="31">
        <f t="shared" si="24"/>
        <v>6</v>
      </c>
      <c r="L511" s="32">
        <f t="shared" si="25"/>
        <v>0.7857142857142857</v>
      </c>
      <c r="M511" s="70" t="s">
        <v>2288</v>
      </c>
      <c r="N511" s="70" t="s">
        <v>2288</v>
      </c>
      <c r="O511" s="70"/>
      <c r="P511" s="70"/>
      <c r="Q511" s="70" t="s">
        <v>2288</v>
      </c>
      <c r="R511" s="70" t="s">
        <v>2288</v>
      </c>
      <c r="S511" s="70" t="s">
        <v>2288</v>
      </c>
      <c r="T511" s="70" t="s">
        <v>2288</v>
      </c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" thickBot="1" x14ac:dyDescent="0.35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" thickBot="1" x14ac:dyDescent="0.35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22</v>
      </c>
      <c r="J514" s="147" t="s">
        <v>2072</v>
      </c>
      <c r="K514" s="31">
        <f t="shared" si="24"/>
        <v>6</v>
      </c>
      <c r="L514" s="32">
        <f t="shared" si="25"/>
        <v>0.7857142857142857</v>
      </c>
      <c r="M514" s="70" t="s">
        <v>2288</v>
      </c>
      <c r="N514" s="70" t="s">
        <v>2288</v>
      </c>
      <c r="O514" s="70"/>
      <c r="P514" s="70"/>
      <c r="Q514" s="70" t="s">
        <v>2288</v>
      </c>
      <c r="R514" s="70" t="s">
        <v>2288</v>
      </c>
      <c r="S514" s="70" t="s">
        <v>2288</v>
      </c>
      <c r="T514" s="70" t="s">
        <v>2288</v>
      </c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23</v>
      </c>
      <c r="J515" s="147" t="s">
        <v>2073</v>
      </c>
      <c r="K515" s="31">
        <f t="shared" si="24"/>
        <v>5</v>
      </c>
      <c r="L515" s="32">
        <f t="shared" si="25"/>
        <v>0.8214285714285714</v>
      </c>
      <c r="M515" s="70" t="s">
        <v>2288</v>
      </c>
      <c r="N515" s="70" t="s">
        <v>2288</v>
      </c>
      <c r="O515" s="70"/>
      <c r="P515" s="70"/>
      <c r="Q515" s="70"/>
      <c r="R515" s="70" t="s">
        <v>2288</v>
      </c>
      <c r="S515" s="70" t="s">
        <v>2288</v>
      </c>
      <c r="T515" s="70" t="s">
        <v>2288</v>
      </c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" thickBot="1" x14ac:dyDescent="0.35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28</v>
      </c>
      <c r="J518" s="147" t="s">
        <v>2076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" thickBot="1" x14ac:dyDescent="0.35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28</v>
      </c>
      <c r="J519" s="147" t="s">
        <v>2077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" thickBot="1" x14ac:dyDescent="0.35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17</v>
      </c>
      <c r="J520" s="147" t="s">
        <v>2078</v>
      </c>
      <c r="K520" s="142">
        <f t="shared" si="24"/>
        <v>11</v>
      </c>
      <c r="L520" s="143">
        <f t="shared" si="25"/>
        <v>0.6071428571428571</v>
      </c>
      <c r="M520" s="70" t="s">
        <v>2288</v>
      </c>
      <c r="N520" s="70" t="s">
        <v>2288</v>
      </c>
      <c r="O520" s="70" t="s">
        <v>2288</v>
      </c>
      <c r="P520" s="70" t="s">
        <v>2288</v>
      </c>
      <c r="Q520" s="70" t="s">
        <v>2288</v>
      </c>
      <c r="R520" s="70" t="s">
        <v>2288</v>
      </c>
      <c r="S520" s="70" t="s">
        <v>2288</v>
      </c>
      <c r="T520" s="70" t="s">
        <v>2288</v>
      </c>
      <c r="U520" s="70" t="s">
        <v>2288</v>
      </c>
      <c r="V520" s="70" t="s">
        <v>2288</v>
      </c>
      <c r="W520" s="70"/>
      <c r="X520" s="70" t="s">
        <v>2288</v>
      </c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" thickBot="1" x14ac:dyDescent="0.35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28</v>
      </c>
      <c r="J521" s="147" t="s">
        <v>2079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" thickBot="1" x14ac:dyDescent="0.35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" thickBot="1" x14ac:dyDescent="0.35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22</v>
      </c>
      <c r="J523" s="147" t="s">
        <v>2081</v>
      </c>
      <c r="K523" s="142">
        <f t="shared" si="24"/>
        <v>6</v>
      </c>
      <c r="L523" s="143">
        <f t="shared" si="25"/>
        <v>0.7857142857142857</v>
      </c>
      <c r="M523" s="70" t="s">
        <v>2288</v>
      </c>
      <c r="N523" s="70" t="s">
        <v>2288</v>
      </c>
      <c r="O523" s="70" t="s">
        <v>2288</v>
      </c>
      <c r="P523" s="70" t="s">
        <v>2288</v>
      </c>
      <c r="Q523" s="70" t="s">
        <v>2288</v>
      </c>
      <c r="R523" s="70" t="s">
        <v>2288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" thickBot="1" x14ac:dyDescent="0.35">
      <c r="A524" s="73" t="s">
        <v>518</v>
      </c>
      <c r="B524" s="85" t="s">
        <v>2226</v>
      </c>
      <c r="C524" s="85" t="s">
        <v>1063</v>
      </c>
      <c r="D524" s="73" t="s">
        <v>2227</v>
      </c>
      <c r="E524" s="30" t="s">
        <v>73</v>
      </c>
      <c r="F524" s="85" t="s">
        <v>1301</v>
      </c>
      <c r="G524" s="85"/>
      <c r="H524" s="85" t="s">
        <v>2228</v>
      </c>
      <c r="I524" s="142">
        <f t="shared" si="23"/>
        <v>28</v>
      </c>
      <c r="J524" s="147" t="s">
        <v>2229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" thickBot="1" x14ac:dyDescent="0.35">
      <c r="A525" s="73" t="s">
        <v>518</v>
      </c>
      <c r="B525" s="85" t="s">
        <v>2230</v>
      </c>
      <c r="C525" s="85" t="s">
        <v>1063</v>
      </c>
      <c r="D525" s="73" t="s">
        <v>2231</v>
      </c>
      <c r="E525" s="85" t="s">
        <v>15</v>
      </c>
      <c r="F525" s="85" t="s">
        <v>1301</v>
      </c>
      <c r="G525" s="85"/>
      <c r="H525" s="85" t="s">
        <v>2232</v>
      </c>
      <c r="I525" s="142">
        <f t="shared" si="23"/>
        <v>28</v>
      </c>
      <c r="J525" s="147" t="s">
        <v>2233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" thickBot="1" x14ac:dyDescent="0.35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28</v>
      </c>
      <c r="J526" s="147" t="s">
        <v>2082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" thickBot="1" x14ac:dyDescent="0.35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28</v>
      </c>
      <c r="J527" s="147" t="s">
        <v>2083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" thickBot="1" x14ac:dyDescent="0.35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" thickBot="1" x14ac:dyDescent="0.35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" thickBot="1" x14ac:dyDescent="0.35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26</v>
      </c>
      <c r="J530" s="147" t="s">
        <v>2086</v>
      </c>
      <c r="K530" s="31">
        <f t="shared" si="24"/>
        <v>2</v>
      </c>
      <c r="L530" s="32">
        <f t="shared" si="25"/>
        <v>0.9285714285714286</v>
      </c>
      <c r="M530" s="70" t="s">
        <v>2288</v>
      </c>
      <c r="N530" s="70" t="s">
        <v>2288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26</v>
      </c>
      <c r="J531" s="147" t="s">
        <v>2087</v>
      </c>
      <c r="K531" s="31">
        <f t="shared" si="24"/>
        <v>2</v>
      </c>
      <c r="L531" s="32">
        <f t="shared" si="25"/>
        <v>0.9285714285714286</v>
      </c>
      <c r="M531" s="70" t="s">
        <v>2288</v>
      </c>
      <c r="N531" s="70" t="s">
        <v>2288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" thickBot="1" x14ac:dyDescent="0.35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2288</v>
      </c>
      <c r="N532" s="70" t="s">
        <v>2288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" thickBot="1" x14ac:dyDescent="0.35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26</v>
      </c>
      <c r="J533" s="147" t="s">
        <v>2088</v>
      </c>
      <c r="K533" s="31">
        <f t="shared" si="24"/>
        <v>2</v>
      </c>
      <c r="L533" s="32">
        <f t="shared" si="25"/>
        <v>0.9285714285714286</v>
      </c>
      <c r="M533" s="70" t="s">
        <v>2288</v>
      </c>
      <c r="N533" s="70" t="s">
        <v>2288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" thickBot="1" x14ac:dyDescent="0.35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" thickBot="1" x14ac:dyDescent="0.35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" thickBot="1" x14ac:dyDescent="0.35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" thickBot="1" x14ac:dyDescent="0.35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" thickBot="1" x14ac:dyDescent="0.35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" thickBot="1" x14ac:dyDescent="0.35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27</v>
      </c>
      <c r="J539" s="147" t="s">
        <v>2094</v>
      </c>
      <c r="K539" s="142">
        <f t="shared" si="27"/>
        <v>1</v>
      </c>
      <c r="L539" s="143">
        <f t="shared" si="28"/>
        <v>0.9642857142857143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 t="s">
        <v>2288</v>
      </c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" thickBot="1" x14ac:dyDescent="0.35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17</v>
      </c>
      <c r="J540" s="147" t="s">
        <v>2200</v>
      </c>
      <c r="K540" s="31">
        <f t="shared" si="27"/>
        <v>11</v>
      </c>
      <c r="L540" s="32">
        <f t="shared" si="28"/>
        <v>0.6071428571428571</v>
      </c>
      <c r="M540" s="70" t="s">
        <v>2288</v>
      </c>
      <c r="N540" s="70" t="s">
        <v>2288</v>
      </c>
      <c r="O540" s="70" t="s">
        <v>2288</v>
      </c>
      <c r="P540" s="70" t="s">
        <v>2288</v>
      </c>
      <c r="Q540" s="70" t="s">
        <v>2288</v>
      </c>
      <c r="R540" s="70" t="s">
        <v>2288</v>
      </c>
      <c r="S540" s="70" t="s">
        <v>2288</v>
      </c>
      <c r="T540" s="70" t="s">
        <v>2288</v>
      </c>
      <c r="U540" s="70" t="s">
        <v>2288</v>
      </c>
      <c r="V540" s="70" t="s">
        <v>2288</v>
      </c>
      <c r="W540" s="70"/>
      <c r="X540" s="70" t="s">
        <v>2288</v>
      </c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27</v>
      </c>
      <c r="J542" s="147" t="s">
        <v>2095</v>
      </c>
      <c r="K542" s="142">
        <f t="shared" si="27"/>
        <v>1</v>
      </c>
      <c r="L542" s="143">
        <f t="shared" si="28"/>
        <v>0.9642857142857143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 t="s">
        <v>2288</v>
      </c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" thickBot="1" x14ac:dyDescent="0.35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27</v>
      </c>
      <c r="J543" s="147" t="s">
        <v>2096</v>
      </c>
      <c r="K543" s="142">
        <f t="shared" si="27"/>
        <v>1</v>
      </c>
      <c r="L543" s="143">
        <f t="shared" si="28"/>
        <v>0.9642857142857143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 t="s">
        <v>2288</v>
      </c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" thickBot="1" x14ac:dyDescent="0.35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27</v>
      </c>
      <c r="J544" s="147" t="s">
        <v>2097</v>
      </c>
      <c r="K544" s="142">
        <f t="shared" si="27"/>
        <v>1</v>
      </c>
      <c r="L544" s="143">
        <f t="shared" si="28"/>
        <v>0.9642857142857143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 t="s">
        <v>2288</v>
      </c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" thickBot="1" x14ac:dyDescent="0.35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27</v>
      </c>
      <c r="J545" s="147" t="s">
        <v>2098</v>
      </c>
      <c r="K545" s="142">
        <f t="shared" si="27"/>
        <v>1</v>
      </c>
      <c r="L545" s="143">
        <f t="shared" si="28"/>
        <v>0.9642857142857143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2288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" thickBot="1" x14ac:dyDescent="0.35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27</v>
      </c>
      <c r="J546" s="87" t="s">
        <v>2188</v>
      </c>
      <c r="K546" s="142">
        <f t="shared" si="27"/>
        <v>1</v>
      </c>
      <c r="L546" s="143">
        <f t="shared" si="28"/>
        <v>0.9642857142857143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 t="s">
        <v>2288</v>
      </c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" thickBot="1" x14ac:dyDescent="0.35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20</v>
      </c>
      <c r="J547" s="87"/>
      <c r="K547" s="142">
        <f t="shared" si="27"/>
        <v>8</v>
      </c>
      <c r="L547" s="143">
        <f t="shared" si="28"/>
        <v>0.7142857142857143</v>
      </c>
      <c r="M547" s="70" t="s">
        <v>2288</v>
      </c>
      <c r="N547" s="70" t="s">
        <v>2288</v>
      </c>
      <c r="O547" s="70" t="s">
        <v>2288</v>
      </c>
      <c r="P547" s="70" t="s">
        <v>2288</v>
      </c>
      <c r="Q547" s="70" t="s">
        <v>2288</v>
      </c>
      <c r="R547" s="70" t="s">
        <v>2288</v>
      </c>
      <c r="S547" s="70" t="s">
        <v>2288</v>
      </c>
      <c r="T547" s="70" t="s">
        <v>2288</v>
      </c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" thickBot="1" x14ac:dyDescent="0.35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17</v>
      </c>
      <c r="J548" s="87" t="s">
        <v>2189</v>
      </c>
      <c r="K548" s="142">
        <f t="shared" si="27"/>
        <v>11</v>
      </c>
      <c r="L548" s="143">
        <f t="shared" si="28"/>
        <v>0.6071428571428571</v>
      </c>
      <c r="M548" s="70" t="s">
        <v>2288</v>
      </c>
      <c r="N548" s="70" t="s">
        <v>2288</v>
      </c>
      <c r="O548" s="70" t="s">
        <v>2288</v>
      </c>
      <c r="P548" s="70" t="s">
        <v>2288</v>
      </c>
      <c r="Q548" s="70" t="s">
        <v>2288</v>
      </c>
      <c r="R548" s="70" t="s">
        <v>2288</v>
      </c>
      <c r="S548" s="70" t="s">
        <v>2288</v>
      </c>
      <c r="T548" s="70" t="s">
        <v>2288</v>
      </c>
      <c r="U548" s="70" t="s">
        <v>2288</v>
      </c>
      <c r="V548" s="70" t="s">
        <v>2288</v>
      </c>
      <c r="W548" s="70"/>
      <c r="X548" s="70" t="s">
        <v>2288</v>
      </c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" thickBot="1" x14ac:dyDescent="0.35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21</v>
      </c>
      <c r="J549" s="87" t="s">
        <v>2185</v>
      </c>
      <c r="K549" s="31">
        <f t="shared" si="27"/>
        <v>7</v>
      </c>
      <c r="L549" s="32">
        <f t="shared" si="28"/>
        <v>0.75</v>
      </c>
      <c r="M549" s="70" t="s">
        <v>2288</v>
      </c>
      <c r="N549" s="70" t="s">
        <v>2288</v>
      </c>
      <c r="O549" s="70" t="s">
        <v>2288</v>
      </c>
      <c r="P549" s="70" t="s">
        <v>2288</v>
      </c>
      <c r="Q549" s="70" t="s">
        <v>2288</v>
      </c>
      <c r="R549" s="70" t="s">
        <v>2288</v>
      </c>
      <c r="S549" s="70"/>
      <c r="T549" s="70"/>
      <c r="U549" s="70"/>
      <c r="V549" s="70"/>
      <c r="W549" s="70"/>
      <c r="X549" s="70" t="s">
        <v>2288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" thickBot="1" x14ac:dyDescent="0.35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23</v>
      </c>
      <c r="J550" s="147" t="s">
        <v>2099</v>
      </c>
      <c r="K550" s="31">
        <f t="shared" si="27"/>
        <v>5</v>
      </c>
      <c r="L550" s="32">
        <f t="shared" si="28"/>
        <v>0.8214285714285714</v>
      </c>
      <c r="M550" s="70" t="s">
        <v>2288</v>
      </c>
      <c r="N550" s="70" t="s">
        <v>2288</v>
      </c>
      <c r="O550" s="70" t="s">
        <v>2288</v>
      </c>
      <c r="P550" s="70" t="s">
        <v>2288</v>
      </c>
      <c r="Q550" s="70" t="s">
        <v>2288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" thickBot="1" x14ac:dyDescent="0.35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18</v>
      </c>
      <c r="J551" s="87" t="s">
        <v>2186</v>
      </c>
      <c r="K551" s="31">
        <f t="shared" si="27"/>
        <v>10</v>
      </c>
      <c r="L551" s="32">
        <f t="shared" si="28"/>
        <v>0.6428571428571429</v>
      </c>
      <c r="M551" s="70" t="s">
        <v>2288</v>
      </c>
      <c r="N551" s="70" t="s">
        <v>2288</v>
      </c>
      <c r="O551" s="70" t="s">
        <v>2288</v>
      </c>
      <c r="P551" s="70" t="s">
        <v>2288</v>
      </c>
      <c r="Q551" s="70" t="s">
        <v>2288</v>
      </c>
      <c r="R551" s="70" t="s">
        <v>2288</v>
      </c>
      <c r="S551" s="70"/>
      <c r="T551" s="70" t="s">
        <v>2288</v>
      </c>
      <c r="U551" s="70" t="s">
        <v>2288</v>
      </c>
      <c r="V551" s="70" t="s">
        <v>2288</v>
      </c>
      <c r="W551" s="70"/>
      <c r="X551" s="70" t="s">
        <v>2288</v>
      </c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" thickBot="1" x14ac:dyDescent="0.35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23</v>
      </c>
      <c r="J552" s="147" t="s">
        <v>2100</v>
      </c>
      <c r="K552" s="31">
        <f t="shared" si="27"/>
        <v>5</v>
      </c>
      <c r="L552" s="32">
        <f t="shared" si="28"/>
        <v>0.8214285714285714</v>
      </c>
      <c r="M552" s="70" t="s">
        <v>2288</v>
      </c>
      <c r="N552" s="70" t="s">
        <v>2288</v>
      </c>
      <c r="O552" s="70" t="s">
        <v>2288</v>
      </c>
      <c r="P552" s="70" t="s">
        <v>2288</v>
      </c>
      <c r="Q552" s="70" t="s">
        <v>2288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" thickBot="1" x14ac:dyDescent="0.35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27</v>
      </c>
      <c r="J553" s="147" t="s">
        <v>2101</v>
      </c>
      <c r="K553" s="142">
        <f t="shared" si="27"/>
        <v>1</v>
      </c>
      <c r="L553" s="143">
        <f t="shared" si="28"/>
        <v>0.9642857142857143</v>
      </c>
      <c r="M553" s="70" t="s">
        <v>2288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" thickBot="1" x14ac:dyDescent="0.35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" thickBot="1" x14ac:dyDescent="0.35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28</v>
      </c>
      <c r="J555" s="87" t="s">
        <v>2187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" thickBot="1" x14ac:dyDescent="0.35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" thickBot="1" x14ac:dyDescent="0.35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" thickBot="1" x14ac:dyDescent="0.35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17</v>
      </c>
      <c r="J559" s="147" t="s">
        <v>2105</v>
      </c>
      <c r="K559" s="31">
        <f t="shared" si="27"/>
        <v>11</v>
      </c>
      <c r="L559" s="32">
        <f t="shared" si="28"/>
        <v>0.6071428571428571</v>
      </c>
      <c r="M559" s="70" t="s">
        <v>2288</v>
      </c>
      <c r="N559" s="70" t="s">
        <v>2288</v>
      </c>
      <c r="O559" s="70" t="s">
        <v>2288</v>
      </c>
      <c r="P559" s="70" t="s">
        <v>2288</v>
      </c>
      <c r="Q559" s="70" t="s">
        <v>2288</v>
      </c>
      <c r="R559" s="70" t="s">
        <v>2288</v>
      </c>
      <c r="S559" s="70" t="s">
        <v>2288</v>
      </c>
      <c r="T559" s="70" t="s">
        <v>2288</v>
      </c>
      <c r="U559" s="70" t="s">
        <v>2288</v>
      </c>
      <c r="V559" s="70" t="s">
        <v>2288</v>
      </c>
      <c r="W559" s="70"/>
      <c r="X559" s="70" t="s">
        <v>2288</v>
      </c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" thickBot="1" x14ac:dyDescent="0.35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26</v>
      </c>
      <c r="J560" s="147" t="s">
        <v>2106</v>
      </c>
      <c r="K560" s="31">
        <f t="shared" si="27"/>
        <v>2</v>
      </c>
      <c r="L560" s="32">
        <f t="shared" si="28"/>
        <v>0.9285714285714286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 t="s">
        <v>2288</v>
      </c>
      <c r="W560" s="70"/>
      <c r="X560" s="70" t="s">
        <v>2288</v>
      </c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26</v>
      </c>
      <c r="J561" s="147" t="s">
        <v>2107</v>
      </c>
      <c r="K561" s="31">
        <f t="shared" si="27"/>
        <v>2</v>
      </c>
      <c r="L561" s="32">
        <f t="shared" si="28"/>
        <v>0.9285714285714286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 t="s">
        <v>2288</v>
      </c>
      <c r="W561" s="70"/>
      <c r="X561" s="70" t="s">
        <v>2288</v>
      </c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26</v>
      </c>
      <c r="J562" s="147" t="s">
        <v>2108</v>
      </c>
      <c r="K562" s="31">
        <f t="shared" si="27"/>
        <v>2</v>
      </c>
      <c r="L562" s="32">
        <f t="shared" si="28"/>
        <v>0.9285714285714286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 t="s">
        <v>2288</v>
      </c>
      <c r="W562" s="70"/>
      <c r="X562" s="70" t="s">
        <v>2288</v>
      </c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26</v>
      </c>
      <c r="J563" s="147" t="s">
        <v>2109</v>
      </c>
      <c r="K563" s="31">
        <f t="shared" si="27"/>
        <v>2</v>
      </c>
      <c r="L563" s="32">
        <f t="shared" si="28"/>
        <v>0.9285714285714286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 t="s">
        <v>2288</v>
      </c>
      <c r="W563" s="70"/>
      <c r="X563" s="70" t="s">
        <v>2288</v>
      </c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" thickBot="1" x14ac:dyDescent="0.35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27</v>
      </c>
      <c r="J564" s="87" t="s">
        <v>2203</v>
      </c>
      <c r="K564" s="142">
        <f t="shared" si="27"/>
        <v>1</v>
      </c>
      <c r="L564" s="143">
        <f t="shared" si="28"/>
        <v>0.9642857142857143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 t="s">
        <v>2288</v>
      </c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" thickBot="1" x14ac:dyDescent="0.35">
      <c r="A565" s="73" t="s">
        <v>591</v>
      </c>
      <c r="B565" s="73" t="s">
        <v>2264</v>
      </c>
      <c r="C565" s="73" t="s">
        <v>1063</v>
      </c>
      <c r="D565" s="73" t="s">
        <v>2265</v>
      </c>
      <c r="E565" s="85" t="s">
        <v>15</v>
      </c>
      <c r="F565" s="85" t="s">
        <v>1301</v>
      </c>
      <c r="G565" s="85"/>
      <c r="H565" s="85" t="s">
        <v>2266</v>
      </c>
      <c r="I565" s="142">
        <f t="shared" si="26"/>
        <v>28</v>
      </c>
      <c r="J565" s="87" t="s">
        <v>2267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" thickBot="1" x14ac:dyDescent="0.35">
      <c r="A566" s="73" t="s">
        <v>591</v>
      </c>
      <c r="B566" s="73" t="s">
        <v>2277</v>
      </c>
      <c r="C566" s="73" t="s">
        <v>1063</v>
      </c>
      <c r="D566" s="73" t="s">
        <v>2278</v>
      </c>
      <c r="E566" s="85" t="s">
        <v>15</v>
      </c>
      <c r="F566" s="85"/>
      <c r="G566" s="85"/>
      <c r="H566" s="85" t="s">
        <v>2279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5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" thickBot="1" x14ac:dyDescent="0.35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" thickBot="1" x14ac:dyDescent="0.35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" thickBot="1" x14ac:dyDescent="0.35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" thickBot="1" x14ac:dyDescent="0.35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" thickBot="1" x14ac:dyDescent="0.35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" thickBot="1" x14ac:dyDescent="0.35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" thickBot="1" x14ac:dyDescent="0.35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" thickBot="1" x14ac:dyDescent="0.35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" thickBot="1" x14ac:dyDescent="0.35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" thickBot="1" x14ac:dyDescent="0.35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17</v>
      </c>
      <c r="J577" s="147" t="s">
        <v>2116</v>
      </c>
      <c r="K577" s="142">
        <f t="shared" si="27"/>
        <v>11</v>
      </c>
      <c r="L577" s="143">
        <f t="shared" si="28"/>
        <v>0.6071428571428571</v>
      </c>
      <c r="M577" s="70" t="s">
        <v>2288</v>
      </c>
      <c r="N577" s="70" t="s">
        <v>2288</v>
      </c>
      <c r="O577" s="70" t="s">
        <v>2288</v>
      </c>
      <c r="P577" s="70" t="s">
        <v>2288</v>
      </c>
      <c r="Q577" s="70" t="s">
        <v>2288</v>
      </c>
      <c r="R577" s="70" t="s">
        <v>2288</v>
      </c>
      <c r="S577" s="70" t="s">
        <v>2288</v>
      </c>
      <c r="T577" s="70" t="s">
        <v>2288</v>
      </c>
      <c r="U577" s="70" t="s">
        <v>2288</v>
      </c>
      <c r="V577" s="70" t="s">
        <v>2288</v>
      </c>
      <c r="W577" s="70"/>
      <c r="X577" s="70" t="s">
        <v>2288</v>
      </c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" thickBot="1" x14ac:dyDescent="0.35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" thickBot="1" x14ac:dyDescent="0.35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" thickBot="1" x14ac:dyDescent="0.35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" thickBot="1" x14ac:dyDescent="0.35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3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3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3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3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3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3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3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3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3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3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3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3">
      <c r="E828" s="30"/>
      <c r="F828" s="30"/>
      <c r="G828" s="30"/>
      <c r="H828" s="30"/>
      <c r="L828" s="13"/>
      <c r="O828" s="70"/>
    </row>
    <row r="829" spans="5:41" x14ac:dyDescent="0.3">
      <c r="E829" s="30"/>
      <c r="F829" s="30"/>
      <c r="G829" s="30"/>
      <c r="H829" s="30"/>
      <c r="L829" s="13"/>
      <c r="O829" s="70"/>
    </row>
    <row r="830" spans="5:41" x14ac:dyDescent="0.3">
      <c r="E830" s="30"/>
      <c r="F830" s="30"/>
      <c r="G830" s="30"/>
      <c r="H830" s="30"/>
      <c r="L830" s="13"/>
      <c r="O830" s="70"/>
    </row>
    <row r="831" spans="5:41" x14ac:dyDescent="0.3">
      <c r="L831" s="13"/>
      <c r="O831" s="70"/>
    </row>
    <row r="832" spans="5:41" x14ac:dyDescent="0.3">
      <c r="O832" s="70"/>
    </row>
    <row r="833" spans="15:15" x14ac:dyDescent="0.3">
      <c r="O833" s="70"/>
    </row>
    <row r="834" spans="15:15" x14ac:dyDescent="0.3">
      <c r="O834" s="70"/>
    </row>
    <row r="835" spans="15:15" x14ac:dyDescent="0.3">
      <c r="O835" s="70"/>
    </row>
    <row r="836" spans="15:15" x14ac:dyDescent="0.3">
      <c r="O836" s="70"/>
    </row>
    <row r="837" spans="15:15" x14ac:dyDescent="0.3">
      <c r="O837" s="70"/>
    </row>
    <row r="838" spans="15:15" x14ac:dyDescent="0.3">
      <c r="O838" s="70"/>
    </row>
    <row r="839" spans="15:15" x14ac:dyDescent="0.3">
      <c r="O839" s="70"/>
    </row>
    <row r="840" spans="15:15" x14ac:dyDescent="0.3">
      <c r="O840" s="70"/>
    </row>
    <row r="841" spans="15:15" x14ac:dyDescent="0.3">
      <c r="O841" s="70"/>
    </row>
    <row r="842" spans="15:15" x14ac:dyDescent="0.3">
      <c r="O842" s="70"/>
    </row>
    <row r="843" spans="15:15" x14ac:dyDescent="0.3">
      <c r="O843" s="70"/>
    </row>
    <row r="844" spans="15:15" x14ac:dyDescent="0.3">
      <c r="O844" s="70"/>
    </row>
    <row r="845" spans="15:15" x14ac:dyDescent="0.3">
      <c r="O845" s="70"/>
    </row>
    <row r="846" spans="15:15" x14ac:dyDescent="0.3">
      <c r="O846" s="70"/>
    </row>
    <row r="847" spans="15:15" x14ac:dyDescent="0.3">
      <c r="O847" s="70"/>
    </row>
    <row r="848" spans="15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2" operator="containsText" text="fija">
      <formula>NOT(ISERROR(SEARCH("fija",E1)))</formula>
    </cfRule>
    <cfRule type="containsText" dxfId="137" priority="533" operator="containsText" text="domo">
      <formula>NOT(ISERROR(SEARCH("domo",E1)))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3" operator="containsText" text="fija">
      <formula>NOT(ISERROR(SEARCH("fija",E556)))</formula>
    </cfRule>
    <cfRule type="containsText" dxfId="132" priority="474" operator="containsText" text="domo">
      <formula>NOT(ISERROR(SEARCH("domo",E556)))</formula>
    </cfRule>
    <cfRule type="containsText" dxfId="131" priority="475" operator="containsText" text="Radio">
      <formula>NOT(ISERROR(SEARCH("Radio",E556)))</formula>
    </cfRule>
  </conditionalFormatting>
  <conditionalFormatting sqref="E556:E557">
    <cfRule type="containsText" dxfId="130" priority="468" operator="containsText" text="fija">
      <formula>NOT(ISERROR(SEARCH("fija",E556)))</formula>
    </cfRule>
    <cfRule type="containsText" dxfId="129" priority="469" operator="containsText" text="domo">
      <formula>NOT(ISERROR(SEARCH("domo",E556)))</formula>
    </cfRule>
  </conditionalFormatting>
  <conditionalFormatting sqref="E557">
    <cfRule type="containsText" dxfId="128" priority="466" operator="containsText" text="fija">
      <formula>NOT(ISERROR(SEARCH("fija",E557)))</formula>
    </cfRule>
    <cfRule type="containsText" dxfId="127" priority="467" operator="containsText" text="domo">
      <formula>NOT(ISERROR(SEARCH("domo",E557)))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3" operator="containsText" text="fija">
      <formula>NOT(ISERROR(SEARCH("fija",E560)))</formula>
    </cfRule>
    <cfRule type="containsText" dxfId="124" priority="464" operator="containsText" text="domo">
      <formula>NOT(ISERROR(SEARCH("domo",E560)))</formula>
    </cfRule>
    <cfRule type="containsText" dxfId="123" priority="465" operator="containsText" text="Radio">
      <formula>NOT(ISERROR(SEARCH("Radio",E560)))</formula>
    </cfRule>
  </conditionalFormatting>
  <conditionalFormatting sqref="E560:E561">
    <cfRule type="containsText" dxfId="122" priority="458" operator="containsText" text="fija">
      <formula>NOT(ISERROR(SEARCH("fija",E560)))</formula>
    </cfRule>
    <cfRule type="containsText" dxfId="121" priority="459" operator="containsText" text="domo">
      <formula>NOT(ISERROR(SEARCH("domo",E560)))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3" operator="containsText" text="fija">
      <formula>NOT(ISERROR(SEARCH("fija",E561)))</formula>
    </cfRule>
    <cfRule type="containsText" dxfId="118" priority="454" operator="containsText" text="domo">
      <formula>NOT(ISERROR(SEARCH("domo",E561)))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8" operator="containsText" text="fija">
      <formula>NOT(ISERROR(SEARCH("fija",E562)))</formula>
    </cfRule>
    <cfRule type="containsText" dxfId="115" priority="449" operator="containsText" text="domo">
      <formula>NOT(ISERROR(SEARCH("domo",E562)))</formula>
    </cfRule>
  </conditionalFormatting>
  <conditionalFormatting sqref="E563">
    <cfRule type="containsText" dxfId="114" priority="446" operator="containsText" text="fija">
      <formula>NOT(ISERROR(SEARCH("fija",E563)))</formula>
    </cfRule>
    <cfRule type="containsText" dxfId="113" priority="447" operator="containsText" text="domo">
      <formula>NOT(ISERROR(SEARCH("domo",E563)))</formula>
    </cfRule>
    <cfRule type="containsText" dxfId="112" priority="450" operator="containsText" text="Radio">
      <formula>NOT(ISERROR(SEARCH("Radio",E563)))</formula>
    </cfRule>
  </conditionalFormatting>
  <conditionalFormatting sqref="E567">
    <cfRule type="containsText" dxfId="111" priority="744" operator="containsText" text="fija">
      <formula>NOT(ISERROR(SEARCH("fija",E567)))</formula>
    </cfRule>
    <cfRule type="containsText" dxfId="110" priority="745" operator="containsText" text="domo">
      <formula>NOT(ISERROR(SEARCH("domo",E567)))</formula>
    </cfRule>
  </conditionalFormatting>
  <conditionalFormatting sqref="E570:E573">
    <cfRule type="containsText" dxfId="109" priority="476" operator="containsText" text="fija">
      <formula>NOT(ISERROR(SEARCH("fija",E570)))</formula>
    </cfRule>
    <cfRule type="containsText" dxfId="108" priority="477" operator="containsText" text="domo">
      <formula>NOT(ISERROR(SEARCH("domo",E570)))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3" operator="equal">
      <formula>"GPON"</formula>
    </cfRule>
    <cfRule type="cellIs" dxfId="101" priority="74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4" operator="equal">
      <formula>$F$13</formula>
    </cfRule>
    <cfRule type="cellIs" dxfId="96" priority="65" operator="equal">
      <formula>"PTP A FO"</formula>
    </cfRule>
    <cfRule type="cellIs" dxfId="95" priority="66" operator="equal">
      <formula>"PTP A FO"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ontainsText" dxfId="88" priority="1" operator="containsText" text="Radio">
      <formula>NOT(ISERROR(SEARCH("Radio",F144)))</formula>
    </cfRule>
    <cfRule type="cellIs" dxfId="87" priority="2" operator="equal">
      <formula>$F$13</formula>
    </cfRule>
    <cfRule type="cellIs" dxfId="86" priority="3" operator="equal">
      <formula>"PTP A FO"</formula>
    </cfRule>
    <cfRule type="cellIs" dxfId="85" priority="4" operator="equal">
      <formula>"PTP A FO"</formula>
    </cfRule>
  </conditionalFormatting>
  <conditionalFormatting sqref="F226:F227">
    <cfRule type="cellIs" dxfId="84" priority="52" operator="equal">
      <formula>$F$13</formula>
    </cfRule>
    <cfRule type="cellIs" dxfId="83" priority="53" operator="equal">
      <formula>"PTP A FO"</formula>
    </cfRule>
    <cfRule type="cellIs" dxfId="82" priority="54" operator="equal">
      <formula>"PTP A FO"</formula>
    </cfRule>
  </conditionalFormatting>
  <conditionalFormatting sqref="F227">
    <cfRule type="cellIs" dxfId="81" priority="48" operator="equal">
      <formula>$F$13</formula>
    </cfRule>
    <cfRule type="cellIs" dxfId="80" priority="49" operator="equal">
      <formula>"PTP A FO"</formula>
    </cfRule>
    <cfRule type="cellIs" dxfId="79" priority="50" operator="equal">
      <formula>"PTP A FO"</formula>
    </cfRule>
  </conditionalFormatting>
  <conditionalFormatting sqref="F411:F412">
    <cfRule type="containsText" dxfId="78" priority="57" operator="containsText" text="Radio">
      <formula>NOT(ISERROR(SEARCH("Radio",F411)))</formula>
    </cfRule>
    <cfRule type="cellIs" dxfId="77" priority="58" operator="equal">
      <formula>$F$13</formula>
    </cfRule>
    <cfRule type="cellIs" dxfId="76" priority="59" operator="equal">
      <formula>"PTP A FO"</formula>
    </cfRule>
    <cfRule type="cellIs" dxfId="75" priority="60" operator="equal">
      <formula>"PTP A FO"</formula>
    </cfRule>
  </conditionalFormatting>
  <conditionalFormatting sqref="F555">
    <cfRule type="containsText" dxfId="74" priority="123" operator="containsText" text="Radio">
      <formula>NOT(ISERROR(SEARCH("Radio",F555)))</formula>
    </cfRule>
    <cfRule type="cellIs" dxfId="73" priority="124" operator="equal">
      <formula>"PTP A FO"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29" operator="equal">
      <formula>$F$13</formula>
    </cfRule>
    <cfRule type="cellIs" dxfId="70" priority="530" operator="equal">
      <formula>"PTP A FO"</formula>
    </cfRule>
  </conditionalFormatting>
  <conditionalFormatting sqref="F146:G157">
    <cfRule type="cellIs" dxfId="69" priority="9" operator="equal">
      <formula>$F$13</formula>
    </cfRule>
    <cfRule type="cellIs" dxfId="68" priority="10" operator="equal">
      <formula>"PTP A FO"</formula>
    </cfRule>
    <cfRule type="cellIs" dxfId="67" priority="11" operator="equal">
      <formula>"PTP A FO"</formula>
    </cfRule>
  </conditionalFormatting>
  <conditionalFormatting sqref="G145">
    <cfRule type="cellIs" dxfId="66" priority="15" operator="equal">
      <formula>$F$13</formula>
    </cfRule>
    <cfRule type="cellIs" dxfId="65" priority="16" operator="equal">
      <formula>"PTP A FO"</formula>
    </cfRule>
    <cfRule type="cellIs" dxfId="64" priority="17" operator="equal">
      <formula>"PTP A FO"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AC132:AO132 M132:AB144 AC133:AP144 M145:AP225 Z226:Z227 AQ228:AQ389 M333:AO338 AP333:AP389 M339:AB339 AD339:AO339 M340:AO389 N390:O390 M390:M394 N391:N394 O391:O395 M395:N395 P395:AP395 AQ395:AQ410 M396:AP403 O404:AP410 M404:N412 M413:AQ581 AI664:AO1048576 M94:AO118 M119:U119 W119:AO119 M120:AO131 M316:AP332 M315:U315 W315:AP315 M228:AP314">
    <cfRule type="cellIs" dxfId="57" priority="106" operator="equal">
      <formula>"APAGADO"</formula>
    </cfRule>
  </conditionalFormatting>
  <conditionalFormatting sqref="O664:O1183">
    <cfRule type="notContainsText" dxfId="56" priority="286" operator="notContains" text="Caida">
      <formula>ISERROR(SEARCH("Caida",O664))</formula>
    </cfRule>
    <cfRule type="containsText" dxfId="55" priority="287" operator="containsText" text="Caida">
      <formula>NOT(ISERROR(SEARCH("Caida",O664)))</formula>
    </cfRule>
    <cfRule type="cellIs" dxfId="54" priority="288" operator="lessThan">
      <formula>0.8</formula>
    </cfRule>
    <cfRule type="cellIs" dxfId="53" priority="289" operator="greaterThan">
      <formula>0.8</formula>
    </cfRule>
    <cfRule type="cellIs" dxfId="52" priority="312" operator="greaterThan">
      <formula>0.8</formula>
    </cfRule>
    <cfRule type="cellIs" dxfId="51" priority="416" operator="equal">
      <formula>"APAGADO"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3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3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3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3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3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3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 t="str">
        <f>'RESUMEN TOTAL'!U52</f>
        <v>APAGADO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3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3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3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3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3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3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3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3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3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3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 t="str">
        <f>'RESUMEN TOTAL'!V62</f>
        <v>APAGADO</v>
      </c>
      <c r="P41" s="70">
        <f>'RESUMEN TOTAL'!W62</f>
        <v>0</v>
      </c>
      <c r="Q41" s="70" t="str">
        <f>'RESUMEN TOTAL'!X62</f>
        <v>APAGADO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3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3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3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3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3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3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3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3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3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3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3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3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3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3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3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3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3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3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3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3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3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3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3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3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3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3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3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 t="str">
        <f>'RESUMEN TOTAL'!U89</f>
        <v>APAGADO</v>
      </c>
      <c r="O68" s="70" t="str">
        <f>'RESUMEN TOTAL'!V89</f>
        <v>APAGADO</v>
      </c>
      <c r="P68" s="70">
        <f>'RESUMEN TOTAL'!W89</f>
        <v>0</v>
      </c>
      <c r="Q68" s="70" t="str">
        <f>'RESUMEN TOTAL'!X89</f>
        <v>APAGADO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3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3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3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3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3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3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 t="str">
        <f>'RESUMEN TOTAL'!X95</f>
        <v>APAGADO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3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3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3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3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 t="str">
        <f>'RESUMEN TOTAL'!V99</f>
        <v>APAGADO</v>
      </c>
      <c r="P78" s="70">
        <f>'RESUMEN TOTAL'!W99</f>
        <v>0</v>
      </c>
      <c r="Q78" s="70" t="str">
        <f>'RESUMEN TOTAL'!X99</f>
        <v>APAGADO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3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3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3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3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3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3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3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3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3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3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3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3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3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3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3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3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3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3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3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3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 t="str">
        <f>'RESUMEN TOTAL'!V120</f>
        <v>APAGADO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3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 t="str">
        <f>'RESUMEN TOTAL'!U120</f>
        <v>APAGADO</v>
      </c>
      <c r="O99" s="70" t="e">
        <f>'RESUMEN TOTAL'!#REF!</f>
        <v>#REF!</v>
      </c>
      <c r="P99" s="70">
        <f>'RESUMEN TOTAL'!W120</f>
        <v>0</v>
      </c>
      <c r="Q99" s="70" t="str">
        <f>'RESUMEN TOTAL'!X120</f>
        <v>APAGADO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3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3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3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3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3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3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3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3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3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3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 t="str">
        <f>'RESUMEN TOTAL'!U130</f>
        <v>APAGADO</v>
      </c>
      <c r="O109" s="70" t="str">
        <f>'RESUMEN TOTAL'!V130</f>
        <v>APAGADO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3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 t="str">
        <f>'RESUMEN TOTAL'!U131</f>
        <v>APAGADO</v>
      </c>
      <c r="O110" s="70" t="str">
        <f>'RESUMEN TOTAL'!V131</f>
        <v>APAGADO</v>
      </c>
      <c r="P110" s="70">
        <f>'RESUMEN TOTAL'!W131</f>
        <v>0</v>
      </c>
      <c r="Q110" s="70" t="str">
        <f>'RESUMEN TOTAL'!X131</f>
        <v>APAGADO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3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3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3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3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3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3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3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3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3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3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3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3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 t="str">
        <f>'RESUMEN TOTAL'!U156</f>
        <v>APAGADO</v>
      </c>
      <c r="O122" s="70" t="str">
        <f>'RESUMEN TOTAL'!V156</f>
        <v>APAGADO</v>
      </c>
      <c r="P122" s="70">
        <f>'RESUMEN TOTAL'!W156</f>
        <v>0</v>
      </c>
      <c r="Q122" s="70" t="str">
        <f>'RESUMEN TOTAL'!X156</f>
        <v>APAGADO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3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 t="str">
        <f>'RESUMEN TOTAL'!U157</f>
        <v>APAGADO</v>
      </c>
      <c r="O123" s="70" t="str">
        <f>'RESUMEN TOTAL'!V157</f>
        <v>APAGADO</v>
      </c>
      <c r="P123" s="70">
        <f>'RESUMEN TOTAL'!W157</f>
        <v>0</v>
      </c>
      <c r="Q123" s="70" t="str">
        <f>'RESUMEN TOTAL'!X157</f>
        <v>APAGADO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3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3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3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3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3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3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3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3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3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3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3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3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3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3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3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3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3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3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3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3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3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3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3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3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3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>
        <f>'RESUMEN TOTAL'!W193</f>
        <v>0</v>
      </c>
      <c r="Q148" s="70" t="str">
        <f>'RESUMEN TOTAL'!X193</f>
        <v>APAGADO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3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 t="str">
        <f>'RESUMEN TOTAL'!U194</f>
        <v>APAGADO</v>
      </c>
      <c r="O149" s="70" t="str">
        <f>'RESUMEN TOTAL'!V194</f>
        <v>APAGADO</v>
      </c>
      <c r="P149" s="70">
        <f>'RESUMEN TOTAL'!W194</f>
        <v>0</v>
      </c>
      <c r="Q149" s="70" t="str">
        <f>'RESUMEN TOTAL'!X194</f>
        <v>APAGADO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3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3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3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3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3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3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 t="str">
        <f>'RESUMEN TOTAL'!U200</f>
        <v>APAGADO</v>
      </c>
      <c r="O155" s="70" t="str">
        <f>'RESUMEN TOTAL'!V200</f>
        <v>APAGADO</v>
      </c>
      <c r="P155" s="70">
        <f>'RESUMEN TOTAL'!W200</f>
        <v>0</v>
      </c>
      <c r="Q155" s="70" t="str">
        <f>'RESUMEN TOTAL'!X200</f>
        <v>APAGADO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3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3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3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3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3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3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3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3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3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3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3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 t="str">
        <f>'RESUMEN TOTAL'!U211</f>
        <v>APAGADO</v>
      </c>
      <c r="O166" s="70" t="str">
        <f>'RESUMEN TOTAL'!V211</f>
        <v>APAGADO</v>
      </c>
      <c r="P166" s="70">
        <f>'RESUMEN TOTAL'!W211</f>
        <v>0</v>
      </c>
      <c r="Q166" s="70" t="str">
        <f>'RESUMEN TOTAL'!X211</f>
        <v>APAGADO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3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3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3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3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3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3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3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3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3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3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3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3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3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 t="str">
        <f>'RESUMEN TOTAL'!S232</f>
        <v>APAGADO</v>
      </c>
      <c r="M179" s="70" t="str">
        <f>'RESUMEN TOTAL'!T232</f>
        <v>APAGADO</v>
      </c>
      <c r="N179" s="70" t="str">
        <f>'RESUMEN TOTAL'!U232</f>
        <v>APAGADO</v>
      </c>
      <c r="O179" s="70" t="str">
        <f>'RESUMEN TOTAL'!V232</f>
        <v>APAGADO</v>
      </c>
      <c r="P179" s="70">
        <f>'RESUMEN TOTAL'!W232</f>
        <v>0</v>
      </c>
      <c r="Q179" s="70" t="str">
        <f>'RESUMEN TOTAL'!X232</f>
        <v>APAGADO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>
        <f>'RESUMEN TOTAL'!AC232</f>
        <v>0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3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 t="str">
        <f>'RESUMEN TOTAL'!S233</f>
        <v>APAGADO</v>
      </c>
      <c r="M180" s="70" t="str">
        <f>'RESUMEN TOTAL'!T233</f>
        <v>APAGADO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>
        <f>'RESUMEN TOTAL'!AC233</f>
        <v>0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3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>
        <f>'RESUMEN TOTAL'!U234</f>
        <v>0</v>
      </c>
      <c r="O181" s="70" t="str">
        <f>'RESUMEN TOTAL'!V234</f>
        <v>APAGADO</v>
      </c>
      <c r="P181" s="70">
        <f>'RESUMEN TOTAL'!W234</f>
        <v>0</v>
      </c>
      <c r="Q181" s="70" t="str">
        <f>'RESUMEN TOTAL'!X234</f>
        <v>APAGADO</v>
      </c>
      <c r="R181" s="70">
        <f>'RESUMEN TOTAL'!Y234</f>
        <v>0</v>
      </c>
      <c r="S181" s="70">
        <f>'RESUMEN TOTAL'!Z234</f>
        <v>0</v>
      </c>
      <c r="T181" s="70">
        <f>'RESUMEN TOTAL'!AA234</f>
        <v>0</v>
      </c>
      <c r="U181" s="70">
        <f>'RESUMEN TOTAL'!AB234</f>
        <v>0</v>
      </c>
      <c r="V181" s="70">
        <f>'RESUMEN TOTAL'!AC234</f>
        <v>0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3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 t="str">
        <f>'RESUMEN TOTAL'!S235</f>
        <v>APAGADO</v>
      </c>
      <c r="M182" s="70" t="str">
        <f>'RESUMEN TOTAL'!T235</f>
        <v>APAGADO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>
        <f>'RESUMEN TOTAL'!AC235</f>
        <v>0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3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 t="str">
        <f>'RESUMEN TOTAL'!S236</f>
        <v>APAGADO</v>
      </c>
      <c r="M183" s="70" t="str">
        <f>'RESUMEN TOTAL'!T236</f>
        <v>APAGADO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>
        <f>'RESUMEN TOTAL'!AC236</f>
        <v>0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3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>
        <f>'RESUMEN TOTAL'!AC237</f>
        <v>0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3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3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>
        <f>'RESUMEN TOTAL'!AC239</f>
        <v>0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3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>
        <f>'RESUMEN TOTAL'!AC240</f>
        <v>0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3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 t="str">
        <f>'RESUMEN TOTAL'!S241</f>
        <v>APAGADO</v>
      </c>
      <c r="M188" s="70" t="str">
        <f>'RESUMEN TOTAL'!T241</f>
        <v>APAGADO</v>
      </c>
      <c r="N188" s="70" t="str">
        <f>'RESUMEN TOTAL'!U241</f>
        <v>APAGADO</v>
      </c>
      <c r="O188" s="70" t="str">
        <f>'RESUMEN TOTAL'!V241</f>
        <v>APAGADO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>
        <f>'RESUMEN TOTAL'!AC241</f>
        <v>0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3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 t="str">
        <f>'RESUMEN TOTAL'!S242</f>
        <v>APAGADO</v>
      </c>
      <c r="M189" s="70" t="str">
        <f>'RESUMEN TOTAL'!T242</f>
        <v>APAGADO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>
        <f>'RESUMEN TOTAL'!AC242</f>
        <v>0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3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 t="str">
        <f>'RESUMEN TOTAL'!S243</f>
        <v>APAGADO</v>
      </c>
      <c r="M190" s="70" t="str">
        <f>'RESUMEN TOTAL'!T243</f>
        <v>APAGADO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>
        <f>'RESUMEN TOTAL'!AC243</f>
        <v>0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3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 t="str">
        <f>'RESUMEN TOTAL'!S244</f>
        <v>APAGADO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>
        <f>'RESUMEN TOTAL'!AC244</f>
        <v>0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3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 t="str">
        <f>'RESUMEN TOTAL'!S245</f>
        <v>APAGADO</v>
      </c>
      <c r="M192" s="70" t="str">
        <f>'RESUMEN TOTAL'!T245</f>
        <v>APAGADO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>
        <f>'RESUMEN TOTAL'!AC245</f>
        <v>0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3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 t="str">
        <f>'RESUMEN TOTAL'!S246</f>
        <v>APAGADO</v>
      </c>
      <c r="M193" s="70" t="str">
        <f>'RESUMEN TOTAL'!T246</f>
        <v>APAGADO</v>
      </c>
      <c r="N193" s="70">
        <f>'RESUMEN TOTAL'!U246</f>
        <v>0</v>
      </c>
      <c r="O193" s="70" t="str">
        <f>'RESUMEN TOTAL'!V246</f>
        <v>APAGADO</v>
      </c>
      <c r="P193" s="70">
        <f>'RESUMEN TOTAL'!W246</f>
        <v>0</v>
      </c>
      <c r="Q193" s="70" t="str">
        <f>'RESUMEN TOTAL'!X246</f>
        <v>APAGADO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>
        <f>'RESUMEN TOTAL'!AC246</f>
        <v>0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3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3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3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3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3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3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3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3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3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3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3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3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3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3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 t="str">
        <f>'RESUMEN TOTAL'!S260</f>
        <v>APAGADO</v>
      </c>
      <c r="M207" s="70" t="str">
        <f>'RESUMEN TOTAL'!T260</f>
        <v>APAGADO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>
        <f>'RESUMEN TOTAL'!AC260</f>
        <v>0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3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3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 t="str">
        <f>'RESUMEN TOTAL'!S262</f>
        <v>APAGADO</v>
      </c>
      <c r="M209" s="70" t="str">
        <f>'RESUMEN TOTAL'!T262</f>
        <v>APAGADO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>
        <f>'RESUMEN TOTAL'!AC262</f>
        <v>0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3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3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 t="str">
        <f>'RESUMEN TOTAL'!X264</f>
        <v>APAGADO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3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3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 t="str">
        <f>'RESUMEN TOTAL'!S266</f>
        <v>APAGADO</v>
      </c>
      <c r="M213" s="70" t="str">
        <f>'RESUMEN TOTAL'!T266</f>
        <v>APAGADO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>
        <f>'RESUMEN TOTAL'!AC266</f>
        <v>0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3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3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3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3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3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3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3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3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3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3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3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>
        <f>'RESUMEN TOTAL'!W281</f>
        <v>0</v>
      </c>
      <c r="Q224" s="70" t="str">
        <f>'RESUMEN TOTAL'!X281</f>
        <v>APAGADO</v>
      </c>
      <c r="R224" s="70">
        <f>'RESUMEN TOTAL'!Y281</f>
        <v>0</v>
      </c>
      <c r="S224" s="70">
        <f>'RESUMEN TOTAL'!Z281</f>
        <v>0</v>
      </c>
      <c r="T224" s="70">
        <f>'RESUMEN TOTAL'!AA281</f>
        <v>0</v>
      </c>
      <c r="U224" s="70">
        <f>'RESUMEN TOTAL'!AB281</f>
        <v>0</v>
      </c>
      <c r="V224" s="70">
        <f>'RESUMEN TOTAL'!AC281</f>
        <v>0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3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3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3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3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3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3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3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3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3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3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3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3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>
        <f>'RESUMEN TOTAL'!W296</f>
        <v>0</v>
      </c>
      <c r="Q236" s="70" t="str">
        <f>'RESUMEN TOTAL'!X296</f>
        <v>APAGADO</v>
      </c>
      <c r="R236" s="70">
        <f>'RESUMEN TOTAL'!Y296</f>
        <v>0</v>
      </c>
      <c r="S236" s="70">
        <f>'RESUMEN TOTAL'!Z296</f>
        <v>0</v>
      </c>
      <c r="T236" s="70">
        <f>'RESUMEN TOTAL'!AA296</f>
        <v>0</v>
      </c>
      <c r="U236" s="70">
        <f>'RESUMEN TOTAL'!AB296</f>
        <v>0</v>
      </c>
      <c r="V236" s="70">
        <f>'RESUMEN TOTAL'!AC296</f>
        <v>0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3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3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3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3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3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3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3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3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3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3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3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3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>
        <f>'RESUMEN TOTAL'!W308</f>
        <v>0</v>
      </c>
      <c r="Q248" s="70" t="str">
        <f>'RESUMEN TOTAL'!X308</f>
        <v>APAGADO</v>
      </c>
      <c r="R248" s="70">
        <f>'RESUMEN TOTAL'!Y308</f>
        <v>0</v>
      </c>
      <c r="S248" s="70">
        <f>'RESUMEN TOTAL'!Z308</f>
        <v>0</v>
      </c>
      <c r="T248" s="70">
        <f>'RESUMEN TOTAL'!AA308</f>
        <v>0</v>
      </c>
      <c r="U248" s="70">
        <f>'RESUMEN TOTAL'!AB308</f>
        <v>0</v>
      </c>
      <c r="V248" s="70">
        <f>'RESUMEN TOTAL'!AC308</f>
        <v>0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3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3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>
        <f>'RESUMEN TOTAL'!W310</f>
        <v>0</v>
      </c>
      <c r="Q250" s="70" t="str">
        <f>'RESUMEN TOTAL'!X310</f>
        <v>APAGADO</v>
      </c>
      <c r="R250" s="70">
        <f>'RESUMEN TOTAL'!Y310</f>
        <v>0</v>
      </c>
      <c r="S250" s="70">
        <f>'RESUMEN TOTAL'!Z310</f>
        <v>0</v>
      </c>
      <c r="T250" s="70">
        <f>'RESUMEN TOTAL'!AA310</f>
        <v>0</v>
      </c>
      <c r="U250" s="70">
        <f>'RESUMEN TOTAL'!AB310</f>
        <v>0</v>
      </c>
      <c r="V250" s="70">
        <f>'RESUMEN TOTAL'!AC310</f>
        <v>0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3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>
        <f>'RESUMEN TOTAL'!T311</f>
        <v>0</v>
      </c>
      <c r="N251" s="70">
        <f>'RESUMEN TOTAL'!U311</f>
        <v>0</v>
      </c>
      <c r="O251" s="70" t="str">
        <f>'RESUMEN TOTAL'!V311</f>
        <v>APAGADO</v>
      </c>
      <c r="P251" s="70">
        <f>'RESUMEN TOTAL'!W311</f>
        <v>0</v>
      </c>
      <c r="Q251" s="70" t="str">
        <f>'RESUMEN TOTAL'!X311</f>
        <v>APAGADO</v>
      </c>
      <c r="R251" s="70">
        <f>'RESUMEN TOTAL'!Y311</f>
        <v>0</v>
      </c>
      <c r="S251" s="70">
        <f>'RESUMEN TOTAL'!Z311</f>
        <v>0</v>
      </c>
      <c r="T251" s="70">
        <f>'RESUMEN TOTAL'!AA311</f>
        <v>0</v>
      </c>
      <c r="U251" s="70">
        <f>'RESUMEN TOTAL'!AB311</f>
        <v>0</v>
      </c>
      <c r="V251" s="70">
        <f>'RESUMEN TOTAL'!AC311</f>
        <v>0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3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>
        <f>'RESUMEN TOTAL'!T312</f>
        <v>0</v>
      </c>
      <c r="N252" s="70">
        <f>'RESUMEN TOTAL'!U312</f>
        <v>0</v>
      </c>
      <c r="O252" s="70" t="str">
        <f>'RESUMEN TOTAL'!V312</f>
        <v>APAGADO</v>
      </c>
      <c r="P252" s="70">
        <f>'RESUMEN TOTAL'!W312</f>
        <v>0</v>
      </c>
      <c r="Q252" s="70" t="str">
        <f>'RESUMEN TOTAL'!X312</f>
        <v>APAGADO</v>
      </c>
      <c r="R252" s="70">
        <f>'RESUMEN TOTAL'!Y312</f>
        <v>0</v>
      </c>
      <c r="S252" s="70">
        <f>'RESUMEN TOTAL'!Z312</f>
        <v>0</v>
      </c>
      <c r="T252" s="70">
        <f>'RESUMEN TOTAL'!AA312</f>
        <v>0</v>
      </c>
      <c r="U252" s="70">
        <f>'RESUMEN TOTAL'!AB312</f>
        <v>0</v>
      </c>
      <c r="V252" s="70">
        <f>'RESUMEN TOTAL'!AC312</f>
        <v>0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3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>
        <f>'RESUMEN TOTAL'!T313</f>
        <v>0</v>
      </c>
      <c r="N253" s="70">
        <f>'RESUMEN TOTAL'!U313</f>
        <v>0</v>
      </c>
      <c r="O253" s="70" t="str">
        <f>'RESUMEN TOTAL'!V313</f>
        <v>APAGADO</v>
      </c>
      <c r="P253" s="70">
        <f>'RESUMEN TOTAL'!W313</f>
        <v>0</v>
      </c>
      <c r="Q253" s="70" t="str">
        <f>'RESUMEN TOTAL'!X313</f>
        <v>APAGADO</v>
      </c>
      <c r="R253" s="70">
        <f>'RESUMEN TOTAL'!Y313</f>
        <v>0</v>
      </c>
      <c r="S253" s="70">
        <f>'RESUMEN TOTAL'!Z313</f>
        <v>0</v>
      </c>
      <c r="T253" s="70">
        <f>'RESUMEN TOTAL'!AA313</f>
        <v>0</v>
      </c>
      <c r="U253" s="70">
        <f>'RESUMEN TOTAL'!AB313</f>
        <v>0</v>
      </c>
      <c r="V253" s="70">
        <f>'RESUMEN TOTAL'!AC313</f>
        <v>0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3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e">
        <f>'RESUMEN TOTAL'!#REF!</f>
        <v>#REF!</v>
      </c>
      <c r="P254" s="70">
        <f>'RESUMEN TOTAL'!W314</f>
        <v>0</v>
      </c>
      <c r="Q254" s="70" t="str">
        <f>'RESUMEN TOTAL'!X314</f>
        <v>APAGADO</v>
      </c>
      <c r="R254" s="70">
        <f>'RESUMEN TOTAL'!Y314</f>
        <v>0</v>
      </c>
      <c r="S254" s="70">
        <f>'RESUMEN TOTAL'!Z314</f>
        <v>0</v>
      </c>
      <c r="T254" s="70">
        <f>'RESUMEN TOTAL'!AA314</f>
        <v>0</v>
      </c>
      <c r="U254" s="70">
        <f>'RESUMEN TOTAL'!AB314</f>
        <v>0</v>
      </c>
      <c r="V254" s="70">
        <f>'RESUMEN TOTAL'!AC314</f>
        <v>0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3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 t="str">
        <f>'RESUMEN TOTAL'!T315</f>
        <v>APAGADO</v>
      </c>
      <c r="N255" s="70" t="str">
        <f>'RESUMEN TOTAL'!U315</f>
        <v>APAGADO</v>
      </c>
      <c r="O255" s="70" t="str">
        <f>'RESUMEN TOTAL'!V314</f>
        <v>APAGADO</v>
      </c>
      <c r="P255" s="70">
        <f>'RESUMEN TOTAL'!W315</f>
        <v>0</v>
      </c>
      <c r="Q255" s="70" t="str">
        <f>'RESUMEN TOTAL'!X315</f>
        <v>APAGADO</v>
      </c>
      <c r="R255" s="70">
        <f>'RESUMEN TOTAL'!Y315</f>
        <v>0</v>
      </c>
      <c r="S255" s="70">
        <f>'RESUMEN TOTAL'!Z315</f>
        <v>0</v>
      </c>
      <c r="T255" s="70">
        <f>'RESUMEN TOTAL'!AA315</f>
        <v>0</v>
      </c>
      <c r="U255" s="70">
        <f>'RESUMEN TOTAL'!AB315</f>
        <v>0</v>
      </c>
      <c r="V255" s="70">
        <f>'RESUMEN TOTAL'!AC315</f>
        <v>0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3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 t="str">
        <f>'RESUMEN TOTAL'!T316</f>
        <v>APAGADO</v>
      </c>
      <c r="N256" s="70" t="str">
        <f>'RESUMEN TOTAL'!U316</f>
        <v>APAGADO</v>
      </c>
      <c r="O256" s="70">
        <f>'RESUMEN TOTAL'!V316</f>
        <v>0</v>
      </c>
      <c r="P256" s="70">
        <f>'RESUMEN TOTAL'!W316</f>
        <v>0</v>
      </c>
      <c r="Q256" s="70" t="str">
        <f>'RESUMEN TOTAL'!X316</f>
        <v>APAGADO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>
        <f>'RESUMEN TOTAL'!AB316</f>
        <v>0</v>
      </c>
      <c r="V256" s="70">
        <f>'RESUMEN TOTAL'!AC316</f>
        <v>0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3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3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3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3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3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3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3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3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3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3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3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 t="str">
        <f>'RESUMEN TOTAL'!V333</f>
        <v>APAGADO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3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3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3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3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3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3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3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3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3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3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3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3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 t="str">
        <f>'RESUMEN TOTAL'!X348</f>
        <v>APAGADO</v>
      </c>
      <c r="R279" s="70">
        <f>'RESUMEN TOTAL'!Y348</f>
        <v>0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3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 t="str">
        <f>'RESUMEN TOTAL'!X349</f>
        <v>APAGADO</v>
      </c>
      <c r="R280" s="70">
        <f>'RESUMEN TOTAL'!Y349</f>
        <v>0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3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 t="str">
        <f>'RESUMEN TOTAL'!S350</f>
        <v>APAGADO</v>
      </c>
      <c r="M281" s="70" t="str">
        <f>'RESUMEN TOTAL'!T350</f>
        <v>APAGADO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>
        <f>'RESUMEN TOTAL'!AC350</f>
        <v>0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3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3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3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>
        <f>'RESUMEN TOTAL'!AC353</f>
        <v>0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3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>
        <f>'RESUMEN TOTAL'!AC354</f>
        <v>0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3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>
        <f>'RESUMEN TOTAL'!AC355</f>
        <v>0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3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>
        <f>'RESUMEN TOTAL'!AC356</f>
        <v>0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3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>
        <f>'RESUMEN TOTAL'!AC357</f>
        <v>0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3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>
        <f>'RESUMEN TOTAL'!AC358</f>
        <v>0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3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3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3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3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3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3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3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3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3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3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3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3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>
        <f>'RESUMEN TOTAL'!W375</f>
        <v>0</v>
      </c>
      <c r="Q301" s="70" t="str">
        <f>'RESUMEN TOTAL'!X375</f>
        <v>APAGADO</v>
      </c>
      <c r="R301" s="70">
        <f>'RESUMEN TOTAL'!Y375</f>
        <v>0</v>
      </c>
      <c r="S301" s="70">
        <f>'RESUMEN TOTAL'!Z375</f>
        <v>0</v>
      </c>
      <c r="T301" s="70">
        <f>'RESUMEN TOTAL'!AA375</f>
        <v>0</v>
      </c>
      <c r="U301" s="70">
        <f>'RESUMEN TOTAL'!AB375</f>
        <v>0</v>
      </c>
      <c r="V301" s="70">
        <f>'RESUMEN TOTAL'!AC375</f>
        <v>0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3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3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3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 t="str">
        <f>'RESUMEN TOTAL'!S378</f>
        <v>APAGADO</v>
      </c>
      <c r="M304" s="70" t="str">
        <f>'RESUMEN TOTAL'!T378</f>
        <v>APAGADO</v>
      </c>
      <c r="N304" s="70" t="str">
        <f>'RESUMEN TOTAL'!U378</f>
        <v>APAGADO</v>
      </c>
      <c r="O304" s="70" t="str">
        <f>'RESUMEN TOTAL'!V378</f>
        <v>APAGADO</v>
      </c>
      <c r="P304" s="70">
        <f>'RESUMEN TOTAL'!W378</f>
        <v>0</v>
      </c>
      <c r="Q304" s="70" t="str">
        <f>'RESUMEN TOTAL'!X378</f>
        <v>APAGADO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3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 t="str">
        <f>'RESUMEN TOTAL'!S379</f>
        <v>APAGADO</v>
      </c>
      <c r="M305" s="70" t="str">
        <f>'RESUMEN TOTAL'!T379</f>
        <v>APAGADO</v>
      </c>
      <c r="N305" s="70" t="str">
        <f>'RESUMEN TOTAL'!U379</f>
        <v>APAGADO</v>
      </c>
      <c r="O305" s="70" t="str">
        <f>'RESUMEN TOTAL'!V379</f>
        <v>APAGADO</v>
      </c>
      <c r="P305" s="70">
        <f>'RESUMEN TOTAL'!W379</f>
        <v>0</v>
      </c>
      <c r="Q305" s="70" t="str">
        <f>'RESUMEN TOTAL'!X379</f>
        <v>APAGADO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3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 t="str">
        <f>'RESUMEN TOTAL'!S380</f>
        <v>APAGADO</v>
      </c>
      <c r="M306" s="70" t="str">
        <f>'RESUMEN TOTAL'!T380</f>
        <v>APAGADO</v>
      </c>
      <c r="N306" s="70" t="str">
        <f>'RESUMEN TOTAL'!U380</f>
        <v>APAGADO</v>
      </c>
      <c r="O306" s="70" t="str">
        <f>'RESUMEN TOTAL'!V380</f>
        <v>APAGADO</v>
      </c>
      <c r="P306" s="70">
        <f>'RESUMEN TOTAL'!W380</f>
        <v>0</v>
      </c>
      <c r="Q306" s="70" t="str">
        <f>'RESUMEN TOTAL'!X380</f>
        <v>APAGADO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3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 t="str">
        <f>'RESUMEN TOTAL'!S381</f>
        <v>APAGADO</v>
      </c>
      <c r="M307" s="70" t="str">
        <f>'RESUMEN TOTAL'!T381</f>
        <v>APAGADO</v>
      </c>
      <c r="N307" s="70" t="str">
        <f>'RESUMEN TOTAL'!U381</f>
        <v>APAGADO</v>
      </c>
      <c r="O307" s="70" t="str">
        <f>'RESUMEN TOTAL'!V381</f>
        <v>APAGADO</v>
      </c>
      <c r="P307" s="70">
        <f>'RESUMEN TOTAL'!W381</f>
        <v>0</v>
      </c>
      <c r="Q307" s="70" t="str">
        <f>'RESUMEN TOTAL'!X381</f>
        <v>APAGADO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3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 t="str">
        <f>'RESUMEN TOTAL'!S382</f>
        <v>APAGADO</v>
      </c>
      <c r="M308" s="70" t="str">
        <f>'RESUMEN TOTAL'!T382</f>
        <v>APAGADO</v>
      </c>
      <c r="N308" s="70" t="str">
        <f>'RESUMEN TOTAL'!U382</f>
        <v>APAGADO</v>
      </c>
      <c r="O308" s="70" t="str">
        <f>'RESUMEN TOTAL'!V382</f>
        <v>APAGADO</v>
      </c>
      <c r="P308" s="70">
        <f>'RESUMEN TOTAL'!W382</f>
        <v>0</v>
      </c>
      <c r="Q308" s="70" t="str">
        <f>'RESUMEN TOTAL'!X382</f>
        <v>APAGADO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3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 t="str">
        <f>'RESUMEN TOTAL'!S383</f>
        <v>APAGADO</v>
      </c>
      <c r="M309" s="70" t="str">
        <f>'RESUMEN TOTAL'!T383</f>
        <v>APAGADO</v>
      </c>
      <c r="N309" s="70" t="str">
        <f>'RESUMEN TOTAL'!U383</f>
        <v>APAGADO</v>
      </c>
      <c r="O309" s="70" t="str">
        <f>'RESUMEN TOTAL'!V383</f>
        <v>APAGADO</v>
      </c>
      <c r="P309" s="70">
        <f>'RESUMEN TOTAL'!W383</f>
        <v>0</v>
      </c>
      <c r="Q309" s="70" t="str">
        <f>'RESUMEN TOTAL'!X383</f>
        <v>APAGADO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3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 t="str">
        <f>'RESUMEN TOTAL'!S384</f>
        <v>APAGADO</v>
      </c>
      <c r="M310" s="70" t="str">
        <f>'RESUMEN TOTAL'!T384</f>
        <v>APAGADO</v>
      </c>
      <c r="N310" s="70" t="str">
        <f>'RESUMEN TOTAL'!U384</f>
        <v>APAGADO</v>
      </c>
      <c r="O310" s="70" t="str">
        <f>'RESUMEN TOTAL'!V384</f>
        <v>APAGADO</v>
      </c>
      <c r="P310" s="70">
        <f>'RESUMEN TOTAL'!W384</f>
        <v>0</v>
      </c>
      <c r="Q310" s="70" t="str">
        <f>'RESUMEN TOTAL'!X384</f>
        <v>APAGADO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3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 t="str">
        <f>'RESUMEN TOTAL'!S385</f>
        <v>APAGADO</v>
      </c>
      <c r="M311" s="70" t="str">
        <f>'RESUMEN TOTAL'!T385</f>
        <v>APAGADO</v>
      </c>
      <c r="N311" s="70" t="str">
        <f>'RESUMEN TOTAL'!U385</f>
        <v>APAGADO</v>
      </c>
      <c r="O311" s="70" t="str">
        <f>'RESUMEN TOTAL'!V385</f>
        <v>APAGADO</v>
      </c>
      <c r="P311" s="70">
        <f>'RESUMEN TOTAL'!W385</f>
        <v>0</v>
      </c>
      <c r="Q311" s="70" t="str">
        <f>'RESUMEN TOTAL'!X385</f>
        <v>APAGADO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3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 t="str">
        <f>'RESUMEN TOTAL'!S386</f>
        <v>APAGADO</v>
      </c>
      <c r="M312" s="70" t="str">
        <f>'RESUMEN TOTAL'!T386</f>
        <v>APAGADO</v>
      </c>
      <c r="N312" s="70" t="str">
        <f>'RESUMEN TOTAL'!U386</f>
        <v>APAGADO</v>
      </c>
      <c r="O312" s="70" t="str">
        <f>'RESUMEN TOTAL'!V386</f>
        <v>APAGADO</v>
      </c>
      <c r="P312" s="70">
        <f>'RESUMEN TOTAL'!W386</f>
        <v>0</v>
      </c>
      <c r="Q312" s="70" t="str">
        <f>'RESUMEN TOTAL'!X386</f>
        <v>APAGADO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3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 t="str">
        <f>'RESUMEN TOTAL'!S387</f>
        <v>APAGADO</v>
      </c>
      <c r="M313" s="70" t="str">
        <f>'RESUMEN TOTAL'!T387</f>
        <v>APAGADO</v>
      </c>
      <c r="N313" s="70" t="str">
        <f>'RESUMEN TOTAL'!U387</f>
        <v>APAGADO</v>
      </c>
      <c r="O313" s="70" t="str">
        <f>'RESUMEN TOTAL'!V387</f>
        <v>APAGADO</v>
      </c>
      <c r="P313" s="70">
        <f>'RESUMEN TOTAL'!W387</f>
        <v>0</v>
      </c>
      <c r="Q313" s="70" t="str">
        <f>'RESUMEN TOTAL'!X387</f>
        <v>APAGADO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3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>
        <f>'RESUMEN TOTAL'!W388</f>
        <v>0</v>
      </c>
      <c r="Q314" s="70" t="str">
        <f>'RESUMEN TOTAL'!X388</f>
        <v>APAGADO</v>
      </c>
      <c r="R314" s="70">
        <f>'RESUMEN TOTAL'!Y388</f>
        <v>0</v>
      </c>
      <c r="S314" s="70">
        <f>'RESUMEN TOTAL'!Z388</f>
        <v>0</v>
      </c>
      <c r="T314" s="70">
        <f>'RESUMEN TOTAL'!AA388</f>
        <v>0</v>
      </c>
      <c r="U314" s="70">
        <f>'RESUMEN TOTAL'!AB388</f>
        <v>0</v>
      </c>
      <c r="V314" s="70">
        <f>'RESUMEN TOTAL'!AC388</f>
        <v>0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3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>
        <f>'RESUMEN TOTAL'!W389</f>
        <v>0</v>
      </c>
      <c r="Q315" s="70" t="str">
        <f>'RESUMEN TOTAL'!X389</f>
        <v>APAGADO</v>
      </c>
      <c r="R315" s="70">
        <f>'RESUMEN TOTAL'!Y389</f>
        <v>0</v>
      </c>
      <c r="S315" s="70">
        <f>'RESUMEN TOTAL'!Z389</f>
        <v>0</v>
      </c>
      <c r="T315" s="70">
        <f>'RESUMEN TOTAL'!AA389</f>
        <v>0</v>
      </c>
      <c r="U315" s="70">
        <f>'RESUMEN TOTAL'!AB389</f>
        <v>0</v>
      </c>
      <c r="V315" s="70">
        <f>'RESUMEN TOTAL'!AC389</f>
        <v>0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3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 t="str">
        <f>'RESUMEN TOTAL'!V395</f>
        <v>APAGADO</v>
      </c>
      <c r="P316" s="70">
        <f>'RESUMEN TOTAL'!W395</f>
        <v>0</v>
      </c>
      <c r="Q316" s="70" t="str">
        <f>'RESUMEN TOTAL'!X395</f>
        <v>APAGADO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3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3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 t="str">
        <f>'RESUMEN TOTAL'!S397</f>
        <v>APAGADO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3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 t="str">
        <f>'RESUMEN TOTAL'!S398</f>
        <v>APAGADO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3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>
        <f>'RESUMEN TOTAL'!W399</f>
        <v>0</v>
      </c>
      <c r="Q320" s="70" t="str">
        <f>'RESUMEN TOTAL'!X399</f>
        <v>APAGADO</v>
      </c>
      <c r="R320" s="70">
        <f>'RESUMEN TOTAL'!Y399</f>
        <v>0</v>
      </c>
      <c r="S320" s="70">
        <f>'RESUMEN TOTAL'!Z399</f>
        <v>0</v>
      </c>
      <c r="T320" s="70">
        <f>'RESUMEN TOTAL'!AA399</f>
        <v>0</v>
      </c>
      <c r="U320" s="70">
        <f>'RESUMEN TOTAL'!AB399</f>
        <v>0</v>
      </c>
      <c r="V320" s="70">
        <f>'RESUMEN TOTAL'!AC399</f>
        <v>0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3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 t="str">
        <f>'RESUMEN TOTAL'!S400</f>
        <v>APAGADO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3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>
        <f>'RESUMEN TOTAL'!W401</f>
        <v>0</v>
      </c>
      <c r="Q322" s="70" t="str">
        <f>'RESUMEN TOTAL'!X401</f>
        <v>APAGADO</v>
      </c>
      <c r="R322" s="70">
        <f>'RESUMEN TOTAL'!Y401</f>
        <v>0</v>
      </c>
      <c r="S322" s="70">
        <f>'RESUMEN TOTAL'!Z401</f>
        <v>0</v>
      </c>
      <c r="T322" s="70">
        <f>'RESUMEN TOTAL'!AA401</f>
        <v>0</v>
      </c>
      <c r="U322" s="70">
        <f>'RESUMEN TOTAL'!AB401</f>
        <v>0</v>
      </c>
      <c r="V322" s="70">
        <f>'RESUMEN TOTAL'!AC401</f>
        <v>0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3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>
        <f>'RESUMEN TOTAL'!W402</f>
        <v>0</v>
      </c>
      <c r="Q323" s="70" t="str">
        <f>'RESUMEN TOTAL'!X402</f>
        <v>APAGADO</v>
      </c>
      <c r="R323" s="70">
        <f>'RESUMEN TOTAL'!Y402</f>
        <v>0</v>
      </c>
      <c r="S323" s="70">
        <f>'RESUMEN TOTAL'!Z402</f>
        <v>0</v>
      </c>
      <c r="T323" s="70">
        <f>'RESUMEN TOTAL'!AA402</f>
        <v>0</v>
      </c>
      <c r="U323" s="70">
        <f>'RESUMEN TOTAL'!AB402</f>
        <v>0</v>
      </c>
      <c r="V323" s="70">
        <f>'RESUMEN TOTAL'!AC402</f>
        <v>0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3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3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3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3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3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3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>
        <f>'RESUMEN TOTAL'!W415</f>
        <v>0</v>
      </c>
      <c r="Q329" s="70" t="str">
        <f>'RESUMEN TOTAL'!X415</f>
        <v>APAGADO</v>
      </c>
      <c r="R329" s="70">
        <f>'RESUMEN TOTAL'!Y415</f>
        <v>0</v>
      </c>
      <c r="S329" s="70">
        <f>'RESUMEN TOTAL'!Z415</f>
        <v>0</v>
      </c>
      <c r="T329" s="70">
        <f>'RESUMEN TOTAL'!AA415</f>
        <v>0</v>
      </c>
      <c r="U329" s="70">
        <f>'RESUMEN TOTAL'!AB415</f>
        <v>0</v>
      </c>
      <c r="V329" s="70">
        <f>'RESUMEN TOTAL'!AC415</f>
        <v>0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3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3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3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3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 t="str">
        <f>'RESUMEN TOTAL'!X419</f>
        <v>APAGADO</v>
      </c>
      <c r="R333" s="70">
        <f>'RESUMEN TOTAL'!Y419</f>
        <v>0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3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3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>
        <f>'RESUMEN TOTAL'!AB421</f>
        <v>0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3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3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3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3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3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 t="str">
        <f>'RESUMEN TOTAL'!X429</f>
        <v>APAGADO</v>
      </c>
      <c r="R340" s="70">
        <f>'RESUMEN TOTAL'!Y429</f>
        <v>0</v>
      </c>
      <c r="S340" s="70">
        <f>'RESUMEN TOTAL'!Z429</f>
        <v>0</v>
      </c>
      <c r="T340" s="70">
        <f>'RESUMEN TOTAL'!AA429</f>
        <v>0</v>
      </c>
      <c r="U340" s="70">
        <f>'RESUMEN TOTAL'!AB429</f>
        <v>0</v>
      </c>
      <c r="V340" s="70">
        <f>'RESUMEN TOTAL'!AC429</f>
        <v>0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3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 t="str">
        <f>'RESUMEN TOTAL'!X430</f>
        <v>APAGADO</v>
      </c>
      <c r="R341" s="70">
        <f>'RESUMEN TOTAL'!Y430</f>
        <v>0</v>
      </c>
      <c r="S341" s="70">
        <f>'RESUMEN TOTAL'!Z430</f>
        <v>0</v>
      </c>
      <c r="T341" s="70">
        <f>'RESUMEN TOTAL'!AA430</f>
        <v>0</v>
      </c>
      <c r="U341" s="70">
        <f>'RESUMEN TOTAL'!AB430</f>
        <v>0</v>
      </c>
      <c r="V341" s="70">
        <f>'RESUMEN TOTAL'!AC430</f>
        <v>0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3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3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3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3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3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3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>
        <f>'RESUMEN TOTAL'!W436</f>
        <v>0</v>
      </c>
      <c r="Q347" s="70" t="str">
        <f>'RESUMEN TOTAL'!X436</f>
        <v>APAGADO</v>
      </c>
      <c r="R347" s="70">
        <f>'RESUMEN TOTAL'!Y436</f>
        <v>0</v>
      </c>
      <c r="S347" s="70">
        <f>'RESUMEN TOTAL'!Z436</f>
        <v>0</v>
      </c>
      <c r="T347" s="70">
        <f>'RESUMEN TOTAL'!AA436</f>
        <v>0</v>
      </c>
      <c r="U347" s="70">
        <f>'RESUMEN TOTAL'!AB436</f>
        <v>0</v>
      </c>
      <c r="V347" s="70">
        <f>'RESUMEN TOTAL'!AC436</f>
        <v>0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3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3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3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3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3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 t="str">
        <f>'RESUMEN TOTAL'!X441</f>
        <v>APAGADO</v>
      </c>
      <c r="R352" s="70">
        <f>'RESUMEN TOTAL'!Y441</f>
        <v>0</v>
      </c>
      <c r="S352" s="70">
        <f>'RESUMEN TOTAL'!Z441</f>
        <v>0</v>
      </c>
      <c r="T352" s="70">
        <f>'RESUMEN TOTAL'!AA441</f>
        <v>0</v>
      </c>
      <c r="U352" s="70">
        <f>'RESUMEN TOTAL'!AB441</f>
        <v>0</v>
      </c>
      <c r="V352" s="70">
        <f>'RESUMEN TOTAL'!AC441</f>
        <v>0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3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>
        <f>'RESUMEN TOTAL'!W442</f>
        <v>0</v>
      </c>
      <c r="Q353" s="70" t="str">
        <f>'RESUMEN TOTAL'!X442</f>
        <v>APAGADO</v>
      </c>
      <c r="R353" s="70">
        <f>'RESUMEN TOTAL'!Y442</f>
        <v>0</v>
      </c>
      <c r="S353" s="70">
        <f>'RESUMEN TOTAL'!Z442</f>
        <v>0</v>
      </c>
      <c r="T353" s="70">
        <f>'RESUMEN TOTAL'!AA442</f>
        <v>0</v>
      </c>
      <c r="U353" s="70">
        <f>'RESUMEN TOTAL'!AB442</f>
        <v>0</v>
      </c>
      <c r="V353" s="70">
        <f>'RESUMEN TOTAL'!AC442</f>
        <v>0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3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3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3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3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 t="str">
        <f>'RESUMEN TOTAL'!X446</f>
        <v>APAGADO</v>
      </c>
      <c r="R357" s="70">
        <f>'RESUMEN TOTAL'!Y446</f>
        <v>0</v>
      </c>
      <c r="S357" s="70">
        <f>'RESUMEN TOTAL'!Z446</f>
        <v>0</v>
      </c>
      <c r="T357" s="70">
        <f>'RESUMEN TOTAL'!AA446</f>
        <v>0</v>
      </c>
      <c r="U357" s="70">
        <f>'RESUMEN TOTAL'!AB446</f>
        <v>0</v>
      </c>
      <c r="V357" s="70">
        <f>'RESUMEN TOTAL'!AC446</f>
        <v>0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3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 t="str">
        <f>'RESUMEN TOTAL'!X447</f>
        <v>APAGADO</v>
      </c>
      <c r="R358" s="70">
        <f>'RESUMEN TOTAL'!Y447</f>
        <v>0</v>
      </c>
      <c r="S358" s="70">
        <f>'RESUMEN TOTAL'!Z447</f>
        <v>0</v>
      </c>
      <c r="T358" s="70">
        <f>'RESUMEN TOTAL'!AA447</f>
        <v>0</v>
      </c>
      <c r="U358" s="70">
        <f>'RESUMEN TOTAL'!AB447</f>
        <v>0</v>
      </c>
      <c r="V358" s="70">
        <f>'RESUMEN TOTAL'!AC447</f>
        <v>0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3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3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3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>
        <f>'RESUMEN TOTAL'!W456</f>
        <v>0</v>
      </c>
      <c r="Q361" s="70" t="str">
        <f>'RESUMEN TOTAL'!X456</f>
        <v>APAGADO</v>
      </c>
      <c r="R361" s="70">
        <f>'RESUMEN TOTAL'!Y456</f>
        <v>0</v>
      </c>
      <c r="S361" s="70">
        <f>'RESUMEN TOTAL'!Z456</f>
        <v>0</v>
      </c>
      <c r="T361" s="70">
        <f>'RESUMEN TOTAL'!AA456</f>
        <v>0</v>
      </c>
      <c r="U361" s="70">
        <f>'RESUMEN TOTAL'!AB456</f>
        <v>0</v>
      </c>
      <c r="V361" s="70">
        <f>'RESUMEN TOTAL'!AC456</f>
        <v>0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3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>
        <f>'RESUMEN TOTAL'!W457</f>
        <v>0</v>
      </c>
      <c r="Q362" s="70" t="str">
        <f>'RESUMEN TOTAL'!X457</f>
        <v>APAGADO</v>
      </c>
      <c r="R362" s="70">
        <f>'RESUMEN TOTAL'!Y457</f>
        <v>0</v>
      </c>
      <c r="S362" s="70">
        <f>'RESUMEN TOTAL'!Z457</f>
        <v>0</v>
      </c>
      <c r="T362" s="70">
        <f>'RESUMEN TOTAL'!AA457</f>
        <v>0</v>
      </c>
      <c r="U362" s="70">
        <f>'RESUMEN TOTAL'!AB457</f>
        <v>0</v>
      </c>
      <c r="V362" s="70">
        <f>'RESUMEN TOTAL'!AC457</f>
        <v>0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3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>
        <f>'RESUMEN TOTAL'!W458</f>
        <v>0</v>
      </c>
      <c r="Q363" s="70" t="str">
        <f>'RESUMEN TOTAL'!X458</f>
        <v>APAGADO</v>
      </c>
      <c r="R363" s="70">
        <f>'RESUMEN TOTAL'!Y458</f>
        <v>0</v>
      </c>
      <c r="S363" s="70">
        <f>'RESUMEN TOTAL'!Z458</f>
        <v>0</v>
      </c>
      <c r="T363" s="70">
        <f>'RESUMEN TOTAL'!AA458</f>
        <v>0</v>
      </c>
      <c r="U363" s="70">
        <f>'RESUMEN TOTAL'!AB458</f>
        <v>0</v>
      </c>
      <c r="V363" s="70">
        <f>'RESUMEN TOTAL'!AC458</f>
        <v>0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3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 t="str">
        <f>'RESUMEN TOTAL'!S461</f>
        <v>APAGADO</v>
      </c>
      <c r="M364" s="70" t="str">
        <f>'RESUMEN TOTAL'!T461</f>
        <v>APAGADO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>
        <f>'RESUMEN TOTAL'!AC461</f>
        <v>0</v>
      </c>
      <c r="W364" s="70">
        <f>'RESUMEN TOTAL'!AD461</f>
        <v>0</v>
      </c>
      <c r="X364" s="70">
        <f>'RESUMEN TOTAL'!AE461</f>
        <v>0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3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 t="str">
        <f>'RESUMEN TOTAL'!S462</f>
        <v>APAGADO</v>
      </c>
      <c r="M365" s="70" t="str">
        <f>'RESUMEN TOTAL'!T462</f>
        <v>APAGADO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>
        <f>'RESUMEN TOTAL'!AD462</f>
        <v>0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3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3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3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3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3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3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3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3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3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3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3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3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3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 t="str">
        <f>'RESUMEN TOTAL'!S481</f>
        <v>APAGADO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3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 t="str">
        <f>'RESUMEN TOTAL'!S482</f>
        <v>APAGADO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3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 t="str">
        <f>'RESUMEN TOTAL'!S483</f>
        <v>APAGADO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 t="str">
        <f>'RESUMEN TOTAL'!X483</f>
        <v>APAGADO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3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 t="str">
        <f>'RESUMEN TOTAL'!S484</f>
        <v>APAGADO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3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 t="str">
        <f>'RESUMEN TOTAL'!S485</f>
        <v>APAGADO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3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3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3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3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3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3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3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3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3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3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3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 t="str">
        <f>'RESUMEN TOTAL'!S496</f>
        <v>APAGADO</v>
      </c>
      <c r="M393" s="70" t="str">
        <f>'RESUMEN TOTAL'!T496</f>
        <v>APAGADO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3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3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3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3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3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3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3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 t="str">
        <f>'RESUMEN TOTAL'!S503</f>
        <v>APAGADO</v>
      </c>
      <c r="M400" s="70" t="str">
        <f>'RESUMEN TOTAL'!T503</f>
        <v>APAGADO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3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3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3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>
        <f>'RESUMEN TOTAL'!AE506</f>
        <v>0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3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3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 t="str">
        <f>'RESUMEN TOTAL'!S508</f>
        <v>APAGADO</v>
      </c>
      <c r="M405" s="70" t="str">
        <f>'RESUMEN TOTAL'!T508</f>
        <v>APAGADO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3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3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>
        <f>'RESUMEN TOTAL'!W510</f>
        <v>0</v>
      </c>
      <c r="Q407" s="70" t="str">
        <f>'RESUMEN TOTAL'!X510</f>
        <v>APAGADO</v>
      </c>
      <c r="R407" s="70">
        <f>'RESUMEN TOTAL'!Y510</f>
        <v>0</v>
      </c>
      <c r="S407" s="70">
        <f>'RESUMEN TOTAL'!Z510</f>
        <v>0</v>
      </c>
      <c r="T407" s="70">
        <f>'RESUMEN TOTAL'!AA510</f>
        <v>0</v>
      </c>
      <c r="U407" s="70">
        <f>'RESUMEN TOTAL'!AB510</f>
        <v>0</v>
      </c>
      <c r="V407" s="70">
        <f>'RESUMEN TOTAL'!AC510</f>
        <v>0</v>
      </c>
      <c r="W407" s="70">
        <f>'RESUMEN TOTAL'!AD510</f>
        <v>0</v>
      </c>
      <c r="X407" s="70">
        <f>'RESUMEN TOTAL'!AE510</f>
        <v>0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3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 t="str">
        <f>'RESUMEN TOTAL'!S511</f>
        <v>APAGADO</v>
      </c>
      <c r="M408" s="70" t="str">
        <f>'RESUMEN TOTAL'!T511</f>
        <v>APAGADO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3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3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3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 t="str">
        <f>'RESUMEN TOTAL'!S514</f>
        <v>APAGADO</v>
      </c>
      <c r="M411" s="70" t="str">
        <f>'RESUMEN TOTAL'!T514</f>
        <v>APAGADO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3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 t="str">
        <f>'RESUMEN TOTAL'!S515</f>
        <v>APAGADO</v>
      </c>
      <c r="M412" s="70" t="str">
        <f>'RESUMEN TOTAL'!T515</f>
        <v>APAGADO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3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3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3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3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3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>
        <f>'RESUMEN TOTAL'!W520</f>
        <v>0</v>
      </c>
      <c r="Q417" s="70" t="str">
        <f>'RESUMEN TOTAL'!X520</f>
        <v>APAGADO</v>
      </c>
      <c r="R417" s="70">
        <f>'RESUMEN TOTAL'!Y520</f>
        <v>0</v>
      </c>
      <c r="S417" s="70">
        <f>'RESUMEN TOTAL'!Z520</f>
        <v>0</v>
      </c>
      <c r="T417" s="70">
        <f>'RESUMEN TOTAL'!AA520</f>
        <v>0</v>
      </c>
      <c r="U417" s="70">
        <f>'RESUMEN TOTAL'!AB520</f>
        <v>0</v>
      </c>
      <c r="V417" s="70">
        <f>'RESUMEN TOTAL'!AC520</f>
        <v>0</v>
      </c>
      <c r="W417" s="70">
        <f>'RESUMEN TOTAL'!AD520</f>
        <v>0</v>
      </c>
      <c r="X417" s="70">
        <f>'RESUMEN TOTAL'!AE520</f>
        <v>0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3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3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3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3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3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3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3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3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3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3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3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3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3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 t="str">
        <f>'RESUMEN TOTAL'!X539</f>
        <v>APAGADO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3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 t="str">
        <f>'RESUMEN TOTAL'!S540</f>
        <v>APAGADO</v>
      </c>
      <c r="M431" s="70" t="str">
        <f>'RESUMEN TOTAL'!T540</f>
        <v>APAGADO</v>
      </c>
      <c r="N431" s="70" t="str">
        <f>'RESUMEN TOTAL'!U540</f>
        <v>APAGADO</v>
      </c>
      <c r="O431" s="70" t="str">
        <f>'RESUMEN TOTAL'!V540</f>
        <v>APAGADO</v>
      </c>
      <c r="P431" s="70">
        <f>'RESUMEN TOTAL'!W540</f>
        <v>0</v>
      </c>
      <c r="Q431" s="70" t="str">
        <f>'RESUMEN TOTAL'!X540</f>
        <v>APAGADO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3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 t="str">
        <f>'RESUMEN TOTAL'!X542</f>
        <v>APAGADO</v>
      </c>
      <c r="R432" s="70">
        <f>'RESUMEN TOTAL'!Y542</f>
        <v>0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3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 t="str">
        <f>'RESUMEN TOTAL'!X543</f>
        <v>APAGADO</v>
      </c>
      <c r="R433" s="70">
        <f>'RESUMEN TOTAL'!Y543</f>
        <v>0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3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 t="str">
        <f>'RESUMEN TOTAL'!X544</f>
        <v>APAGADO</v>
      </c>
      <c r="R434" s="70">
        <f>'RESUMEN TOTAL'!Y544</f>
        <v>0</v>
      </c>
      <c r="S434" s="70">
        <f>'RESUMEN TOTAL'!Z544</f>
        <v>0</v>
      </c>
      <c r="T434" s="70">
        <f>'RESUMEN TOTAL'!AA544</f>
        <v>0</v>
      </c>
      <c r="U434" s="70">
        <f>'RESUMEN TOTAL'!AB544</f>
        <v>0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3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 t="str">
        <f>'RESUMEN TOTAL'!X545</f>
        <v>APAGADO</v>
      </c>
      <c r="R435" s="70">
        <f>'RESUMEN TOTAL'!Y545</f>
        <v>0</v>
      </c>
      <c r="S435" s="70">
        <f>'RESUMEN TOTAL'!Z545</f>
        <v>0</v>
      </c>
      <c r="T435" s="70">
        <f>'RESUMEN TOTAL'!AA545</f>
        <v>0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3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 t="str">
        <f>'RESUMEN TOTAL'!X549</f>
        <v>APAGADO</v>
      </c>
      <c r="R436" s="70">
        <f>'RESUMEN TOTAL'!Y549</f>
        <v>0</v>
      </c>
      <c r="S436" s="70">
        <f>'RESUMEN TOTAL'!Z549</f>
        <v>0</v>
      </c>
      <c r="T436" s="70">
        <f>'RESUMEN TOTAL'!AA549</f>
        <v>0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3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3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>
        <f>'RESUMEN TOTAL'!W551</f>
        <v>0</v>
      </c>
      <c r="Q438" s="70" t="str">
        <f>'RESUMEN TOTAL'!X551</f>
        <v>APAGADO</v>
      </c>
      <c r="R438" s="70">
        <f>'RESUMEN TOTAL'!Y551</f>
        <v>0</v>
      </c>
      <c r="S438" s="70">
        <f>'RESUMEN TOTAL'!Z551</f>
        <v>0</v>
      </c>
      <c r="T438" s="70">
        <f>'RESUMEN TOTAL'!AA551</f>
        <v>0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3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3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3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3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3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3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3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>
        <f>'RESUMEN TOTAL'!W559</f>
        <v>0</v>
      </c>
      <c r="Q445" s="70" t="str">
        <f>'RESUMEN TOTAL'!X559</f>
        <v>APAGADO</v>
      </c>
      <c r="R445" s="70">
        <f>'RESUMEN TOTAL'!Y559</f>
        <v>0</v>
      </c>
      <c r="S445" s="70">
        <f>'RESUMEN TOTAL'!Z559</f>
        <v>0</v>
      </c>
      <c r="T445" s="70">
        <f>'RESUMEN TOTAL'!AA559</f>
        <v>0</v>
      </c>
      <c r="U445" s="70">
        <f>'RESUMEN TOTAL'!AB559</f>
        <v>0</v>
      </c>
      <c r="V445" s="70">
        <f>'RESUMEN TOTAL'!AC559</f>
        <v>0</v>
      </c>
      <c r="W445" s="70">
        <f>'RESUMEN TOTAL'!AD559</f>
        <v>0</v>
      </c>
      <c r="X445" s="70">
        <f>'RESUMEN TOTAL'!AE559</f>
        <v>0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3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 t="str">
        <f>'RESUMEN TOTAL'!V560</f>
        <v>APAGADO</v>
      </c>
      <c r="P446" s="70">
        <f>'RESUMEN TOTAL'!W560</f>
        <v>0</v>
      </c>
      <c r="Q446" s="70" t="str">
        <f>'RESUMEN TOTAL'!X560</f>
        <v>APAGADO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3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 t="str">
        <f>'RESUMEN TOTAL'!V561</f>
        <v>APAGADO</v>
      </c>
      <c r="P447" s="70">
        <f>'RESUMEN TOTAL'!W561</f>
        <v>0</v>
      </c>
      <c r="Q447" s="70" t="str">
        <f>'RESUMEN TOTAL'!X561</f>
        <v>APAGADO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3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 t="str">
        <f>'RESUMEN TOTAL'!V562</f>
        <v>APAGADO</v>
      </c>
      <c r="P448" s="70">
        <f>'RESUMEN TOTAL'!W562</f>
        <v>0</v>
      </c>
      <c r="Q448" s="70" t="str">
        <f>'RESUMEN TOTAL'!X562</f>
        <v>APAGADO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3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 t="str">
        <f>'RESUMEN TOTAL'!V563</f>
        <v>APAGADO</v>
      </c>
      <c r="P449" s="70">
        <f>'RESUMEN TOTAL'!W563</f>
        <v>0</v>
      </c>
      <c r="Q449" s="70" t="str">
        <f>'RESUMEN TOTAL'!X563</f>
        <v>APAGADO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3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 t="str">
        <f>'RESUMEN TOTAL'!X564</f>
        <v>APAGADO</v>
      </c>
      <c r="R450" s="70">
        <f>'RESUMEN TOTAL'!Y564</f>
        <v>0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3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3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3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3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3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3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3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3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3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3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>
        <f>'RESUMEN TOTAL'!W577</f>
        <v>0</v>
      </c>
      <c r="Q460" s="70" t="str">
        <f>'RESUMEN TOTAL'!X577</f>
        <v>APAGADO</v>
      </c>
      <c r="R460" s="70">
        <f>'RESUMEN TOTAL'!Y577</f>
        <v>0</v>
      </c>
      <c r="S460" s="70">
        <f>'RESUMEN TOTAL'!Z577</f>
        <v>0</v>
      </c>
      <c r="T460" s="70">
        <f>'RESUMEN TOTAL'!AA577</f>
        <v>0</v>
      </c>
      <c r="U460" s="70">
        <f>'RESUMEN TOTAL'!AB577</f>
        <v>0</v>
      </c>
      <c r="V460" s="70">
        <f>'RESUMEN TOTAL'!AC577</f>
        <v>0</v>
      </c>
      <c r="W460" s="70">
        <f>'RESUMEN TOTAL'!AD577</f>
        <v>0</v>
      </c>
      <c r="X460" s="70">
        <f>'RESUMEN TOTAL'!AE577</f>
        <v>0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3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3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3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3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3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3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3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3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3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3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3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3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3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3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3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3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3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3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3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3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3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3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3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3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3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3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3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3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3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3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3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3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3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3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3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3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3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3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3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3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3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3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3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3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3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3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3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3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3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3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3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3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3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3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3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3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3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3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3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3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3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3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3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3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3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3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3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3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3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3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3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3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3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3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3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3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3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3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3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3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3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3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3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3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3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3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3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3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3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3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3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3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3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3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I6" sqref="I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1070</v>
      </c>
      <c r="C1" s="36">
        <v>45992</v>
      </c>
    </row>
    <row r="2" spans="1:36" ht="15.6" thickTop="1" thickBot="1" x14ac:dyDescent="0.35">
      <c r="A2" s="49" t="s">
        <v>1062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TOTAL'!R8:R689,"=APAGADO",'RESUMEN TOTAL'!C8:C689,"=BONOMO")</f>
        <v>58</v>
      </c>
      <c r="L3" s="46">
        <v>56</v>
      </c>
      <c r="M3" s="46">
        <v>51</v>
      </c>
      <c r="N3" s="46">
        <f>COUNTIFS('RESUMEN TOTAL'!U8:U689,"=APAGADO",'RESUMEN TOTAL'!C8:C689,"=BONOMO")</f>
        <v>38</v>
      </c>
      <c r="O3" s="46"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41</v>
      </c>
      <c r="R3" s="46">
        <f>COUNTIFS('RESUMEN TOTAL'!Y8:Y689,"=APAGADO",'RESUMEN TOTAL'!C8:C689,"=BONOMO")</f>
        <v>0</v>
      </c>
      <c r="S3" s="46">
        <f>COUNTIFS('RESUMEN TOTAL'!Z8:Z689,"=APAGADO",'RESUMEN TOTAL'!C8:C689,"=BONOMO")</f>
        <v>0</v>
      </c>
      <c r="T3" s="46">
        <f>COUNTIFS('RESUMEN TOTAL'!AA8:AA689,"=APAGADO",'RESUMEN TOTAL'!C8:C689,"=BONOMO")</f>
        <v>0</v>
      </c>
      <c r="U3" s="46">
        <f>COUNTIFS('RESUMEN TOTAL'!AB8:AB689,"=APAGADO",'RESUMEN TOTAL'!C8:C689,"=BONOMO")</f>
        <v>0</v>
      </c>
      <c r="V3" s="46">
        <f>COUNTIFS('RESUMEN TOTAL'!AC8:AC689,"=APAGADO",'RESUMEN TOTAL'!C8:C689,"=BONOMO")</f>
        <v>0</v>
      </c>
      <c r="W3" s="46">
        <v>0</v>
      </c>
      <c r="X3" s="46">
        <f>COUNTIFS('RESUMEN TOTAL'!AE8:AE689,"=APAGADO",'RESUMEN TOTAL'!C8:C689,"=BONOMO")</f>
        <v>0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v>0</v>
      </c>
      <c r="J4" s="50">
        <v>0.11</v>
      </c>
      <c r="K4" s="50">
        <f t="shared" si="0"/>
        <v>0.19141914191419143</v>
      </c>
      <c r="L4" s="50">
        <f t="shared" si="0"/>
        <v>0.18481848184818481</v>
      </c>
      <c r="M4" s="50">
        <v>0.17</v>
      </c>
      <c r="N4" s="50">
        <f t="shared" si="0"/>
        <v>0.1254125412541254</v>
      </c>
      <c r="O4" s="50">
        <v>0</v>
      </c>
      <c r="P4" s="50">
        <f t="shared" si="0"/>
        <v>0</v>
      </c>
      <c r="Q4" s="50">
        <f t="shared" si="0"/>
        <v>0.13531353135313531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1063</v>
      </c>
      <c r="E5" s="47" t="s">
        <v>1072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47</v>
      </c>
      <c r="M5" s="46">
        <v>38</v>
      </c>
      <c r="N5" s="46">
        <f>COUNTIFS('RESUMEN TOTAL'!U10:U691,"=APAGADO",'RESUMEN TOTAL'!C10:C691,"=COSEIDI")</f>
        <v>29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57</v>
      </c>
      <c r="R5" s="46">
        <f>COUNTIFS('RESUMEN TOTAL'!Y10:Y691,"=APAGADO",'RESUMEN TOTAL'!C10:C691,"=COSEIDI")</f>
        <v>0</v>
      </c>
      <c r="S5" s="46">
        <f>COUNTIFS('RESUMEN TOTAL'!Z10:Z691,"=APAGADO",'RESUMEN TOTAL'!C10:C691,"=COSEIDI")</f>
        <v>0</v>
      </c>
      <c r="T5" s="46">
        <v>0</v>
      </c>
      <c r="U5" s="46">
        <v>0</v>
      </c>
      <c r="V5" s="46">
        <f>COUNTIFS('RESUMEN TOTAL'!AC10:AC691,"=APAGADO",'RESUMEN TOTAL'!C10:C691,"=COSEIDI")</f>
        <v>0</v>
      </c>
      <c r="W5" s="46">
        <f>COUNTIFS('RESUMEN TOTAL'!AD10:AD691,"=APAGADO",'RESUMEN TOTAL'!C10:C691,"=COSEIDI")</f>
        <v>0</v>
      </c>
      <c r="X5" s="46">
        <f>COUNTIFS('RESUMEN TOTAL'!AE10:AE691,"=APAGADO",'RESUMEN TOTAL'!C10:C691,"=COSEIDI")</f>
        <v>0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1074</v>
      </c>
      <c r="F6" s="50">
        <v>0</v>
      </c>
      <c r="G6" s="50">
        <f>G5/COSEIDIcam</f>
        <v>0.14074074074074075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0.14000000000000001</v>
      </c>
      <c r="N6" s="50">
        <f t="shared" si="1"/>
        <v>0.10740740740740741</v>
      </c>
      <c r="O6" s="50">
        <v>0</v>
      </c>
      <c r="P6" s="50">
        <v>0</v>
      </c>
      <c r="Q6" s="50">
        <f t="shared" si="1"/>
        <v>0.21111111111111111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topLeftCell="A101" zoomScale="84" zoomScaleNormal="84" workbookViewId="0">
      <selection activeCell="B122" sqref="B122:F131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3">
      <c r="A2" s="75"/>
      <c r="B2" s="52" t="s">
        <v>1242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3">
      <c r="A3" s="76" t="s">
        <v>1476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3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3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3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" thickBot="1" x14ac:dyDescent="0.35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5.6" thickTop="1" thickBot="1" x14ac:dyDescent="0.35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5">
      <c r="A9" s="35" t="s">
        <v>1478</v>
      </c>
      <c r="B9" s="98" t="s">
        <v>1062</v>
      </c>
      <c r="C9" s="99">
        <v>304</v>
      </c>
      <c r="D9" s="115"/>
      <c r="E9" s="105"/>
      <c r="F9" s="155"/>
    </row>
    <row r="10" spans="1:6" ht="15" thickBot="1" x14ac:dyDescent="0.35">
      <c r="A10" t="s">
        <v>1478</v>
      </c>
      <c r="B10" s="112" t="s">
        <v>1063</v>
      </c>
      <c r="C10" s="113">
        <f>COSEIDIcam</f>
        <v>270</v>
      </c>
      <c r="D10" s="113">
        <f>Hoja1!F5</f>
        <v>0</v>
      </c>
      <c r="E10" s="114"/>
      <c r="F10" s="156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3">
      <c r="B13" s="52" t="s">
        <v>1242</v>
      </c>
      <c r="C13" s="100">
        <f>CANTIDAD_DE_CAMARAS</f>
        <v>574</v>
      </c>
      <c r="D13" s="101"/>
      <c r="E13" s="106"/>
      <c r="F13" s="154">
        <v>46024</v>
      </c>
    </row>
    <row r="14" spans="1:6" x14ac:dyDescent="0.3">
      <c r="A14" t="s">
        <v>1477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3">
      <c r="B15" s="53" t="s">
        <v>1243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3">
      <c r="B16" s="53" t="s">
        <v>1244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3">
      <c r="A17" t="s">
        <v>1477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" thickBot="1" x14ac:dyDescent="0.35">
      <c r="B18" s="56"/>
      <c r="C18" s="131"/>
      <c r="D18" s="104">
        <v>0</v>
      </c>
      <c r="E18" s="74">
        <f>D18/C13</f>
        <v>0</v>
      </c>
      <c r="F18" s="155"/>
    </row>
    <row r="19" spans="1:6" ht="15.6" thickTop="1" thickBot="1" x14ac:dyDescent="0.35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5.6" thickTop="1" thickBot="1" x14ac:dyDescent="0.35">
      <c r="A20" t="s">
        <v>1479</v>
      </c>
      <c r="B20" s="98" t="s">
        <v>1062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" thickBot="1" x14ac:dyDescent="0.35">
      <c r="A21" t="s">
        <v>1479</v>
      </c>
      <c r="B21" s="112" t="s">
        <v>1063</v>
      </c>
      <c r="C21" s="113">
        <f>COSEIDIcam</f>
        <v>270</v>
      </c>
      <c r="D21" s="113">
        <f>Hoja1!G5</f>
        <v>38</v>
      </c>
      <c r="E21" s="114">
        <f>D21/C21</f>
        <v>0.14074074074074075</v>
      </c>
      <c r="F21" s="156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7" t="s">
        <v>912</v>
      </c>
      <c r="D23" s="108" t="s">
        <v>1464</v>
      </c>
      <c r="E23" s="109" t="s">
        <v>913</v>
      </c>
    </row>
    <row r="24" spans="1:6" ht="15" thickTop="1" x14ac:dyDescent="0.3">
      <c r="B24" s="52" t="s">
        <v>1242</v>
      </c>
      <c r="C24" s="100">
        <f>CANTIDAD_DE_CAMARAS</f>
        <v>574</v>
      </c>
      <c r="D24" s="101"/>
      <c r="E24" s="106"/>
      <c r="F24" s="154">
        <v>46025</v>
      </c>
    </row>
    <row r="25" spans="1:6" x14ac:dyDescent="0.3">
      <c r="A25" t="s">
        <v>1470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3">
      <c r="B26" s="53" t="s">
        <v>1243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3">
      <c r="B27" s="53" t="s">
        <v>1244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3">
      <c r="A28" t="s">
        <v>1470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" thickBot="1" x14ac:dyDescent="0.35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5.6" thickTop="1" thickBot="1" x14ac:dyDescent="0.35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5.6" thickTop="1" thickBot="1" x14ac:dyDescent="0.35">
      <c r="B31" s="98" t="s">
        <v>1062</v>
      </c>
      <c r="C31" s="99">
        <v>304</v>
      </c>
      <c r="D31" s="115">
        <v>0</v>
      </c>
      <c r="E31" s="105">
        <f>D31/C31</f>
        <v>0</v>
      </c>
      <c r="F31" s="155"/>
    </row>
    <row r="32" spans="1:6" ht="15" thickBot="1" x14ac:dyDescent="0.35">
      <c r="B32" s="112" t="s">
        <v>1063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5.6" thickTop="1" thickBot="1" x14ac:dyDescent="0.35"/>
    <row r="34" spans="1:6" ht="15.6" thickTop="1" thickBot="1" x14ac:dyDescent="0.35">
      <c r="C34" s="107" t="s">
        <v>912</v>
      </c>
      <c r="D34" s="108" t="s">
        <v>1464</v>
      </c>
      <c r="E34" s="109" t="s">
        <v>913</v>
      </c>
    </row>
    <row r="35" spans="1:6" ht="15" thickTop="1" x14ac:dyDescent="0.3">
      <c r="B35" s="52" t="s">
        <v>1242</v>
      </c>
      <c r="C35" s="100">
        <f>CANTIDAD_DE_CAMARAS</f>
        <v>574</v>
      </c>
      <c r="D35" s="101"/>
      <c r="E35" s="106"/>
      <c r="F35" s="154">
        <v>46026</v>
      </c>
    </row>
    <row r="36" spans="1:6" x14ac:dyDescent="0.3">
      <c r="A36" t="s">
        <v>1469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3">
      <c r="B37" s="53" t="s">
        <v>1243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3">
      <c r="B38" s="53" t="s">
        <v>1244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3">
      <c r="A39" t="s">
        <v>1469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" thickBot="1" x14ac:dyDescent="0.35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5.6" thickTop="1" thickBot="1" x14ac:dyDescent="0.35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5.6" thickTop="1" thickBot="1" x14ac:dyDescent="0.35">
      <c r="B42" s="98" t="s">
        <v>1062</v>
      </c>
      <c r="C42" s="99">
        <v>304</v>
      </c>
      <c r="D42" s="115">
        <v>0</v>
      </c>
      <c r="E42" s="105">
        <f>D42/C42</f>
        <v>0</v>
      </c>
      <c r="F42" s="155"/>
    </row>
    <row r="43" spans="1:6" ht="15" thickBot="1" x14ac:dyDescent="0.35">
      <c r="B43" s="112" t="s">
        <v>1063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5.6" thickTop="1" thickBot="1" x14ac:dyDescent="0.35"/>
    <row r="45" spans="1:6" ht="15.6" thickTop="1" thickBot="1" x14ac:dyDescent="0.35">
      <c r="C45" s="107" t="s">
        <v>912</v>
      </c>
      <c r="D45" s="108" t="s">
        <v>1464</v>
      </c>
      <c r="E45" s="109" t="s">
        <v>913</v>
      </c>
    </row>
    <row r="46" spans="1:6" ht="15" thickTop="1" x14ac:dyDescent="0.3">
      <c r="B46" s="52" t="s">
        <v>1242</v>
      </c>
      <c r="C46" s="100">
        <f>CANTIDAD_DE_CAMARAS</f>
        <v>574</v>
      </c>
      <c r="D46" s="101"/>
      <c r="E46" s="106"/>
      <c r="F46" s="154">
        <v>46027</v>
      </c>
    </row>
    <row r="47" spans="1:6" x14ac:dyDescent="0.3">
      <c r="A47" t="s">
        <v>1471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3">
      <c r="B48" s="53" t="s">
        <v>1243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3">
      <c r="B49" s="53" t="s">
        <v>1244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3">
      <c r="A50" t="s">
        <v>1471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" thickBot="1" x14ac:dyDescent="0.35">
      <c r="B51" s="56"/>
      <c r="C51" s="131"/>
      <c r="D51" s="104">
        <v>0</v>
      </c>
      <c r="E51" s="74">
        <f>D51/C46</f>
        <v>0</v>
      </c>
      <c r="F51" s="155"/>
    </row>
    <row r="52" spans="1:6" ht="15.6" thickTop="1" thickBot="1" x14ac:dyDescent="0.35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5.6" thickTop="1" thickBot="1" x14ac:dyDescent="0.35">
      <c r="B53" s="98" t="s">
        <v>1062</v>
      </c>
      <c r="C53" s="99">
        <v>304</v>
      </c>
      <c r="D53" s="115">
        <f>Hoja1!J3</f>
        <v>34</v>
      </c>
      <c r="E53" s="105">
        <v>0.11</v>
      </c>
      <c r="F53" s="155"/>
    </row>
    <row r="54" spans="1:6" ht="15" thickBot="1" x14ac:dyDescent="0.35">
      <c r="B54" s="112" t="s">
        <v>1063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5.6" thickTop="1" thickBot="1" x14ac:dyDescent="0.35"/>
    <row r="56" spans="1:6" ht="15.6" thickTop="1" thickBot="1" x14ac:dyDescent="0.35">
      <c r="C56" s="107" t="s">
        <v>912</v>
      </c>
      <c r="D56" s="108" t="s">
        <v>1464</v>
      </c>
      <c r="E56" s="109" t="s">
        <v>913</v>
      </c>
    </row>
    <row r="57" spans="1:6" ht="15" thickTop="1" x14ac:dyDescent="0.3">
      <c r="B57" s="52" t="s">
        <v>1242</v>
      </c>
      <c r="C57" s="100">
        <f>CANTIDAD_DE_CAMARAS</f>
        <v>574</v>
      </c>
      <c r="D57" s="101"/>
      <c r="E57" s="106"/>
      <c r="F57" s="154">
        <v>46028</v>
      </c>
    </row>
    <row r="58" spans="1:6" x14ac:dyDescent="0.3">
      <c r="A58" t="s">
        <v>1472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3">
      <c r="B59" s="53" t="s">
        <v>1243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3">
      <c r="B60" s="53" t="s">
        <v>1244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3">
      <c r="A61" t="s">
        <v>1472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" thickBot="1" x14ac:dyDescent="0.35">
      <c r="B62" s="56"/>
      <c r="C62" s="131"/>
      <c r="D62" s="104"/>
      <c r="E62" s="74">
        <f>D62/C57</f>
        <v>0</v>
      </c>
      <c r="F62" s="155"/>
    </row>
    <row r="63" spans="1:6" ht="15.6" thickTop="1" thickBot="1" x14ac:dyDescent="0.35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5.6" thickTop="1" thickBot="1" x14ac:dyDescent="0.35">
      <c r="B64" s="98" t="s">
        <v>1062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" thickBot="1" x14ac:dyDescent="0.35">
      <c r="B65" s="112" t="s">
        <v>1063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5.6" thickTop="1" thickBot="1" x14ac:dyDescent="0.35"/>
    <row r="67" spans="1:6" ht="15.6" thickTop="1" thickBot="1" x14ac:dyDescent="0.35">
      <c r="C67" s="107" t="s">
        <v>912</v>
      </c>
      <c r="D67" s="108" t="s">
        <v>1464</v>
      </c>
      <c r="E67" s="109" t="s">
        <v>913</v>
      </c>
    </row>
    <row r="68" spans="1:6" ht="15" thickTop="1" x14ac:dyDescent="0.3">
      <c r="B68" s="52" t="s">
        <v>1242</v>
      </c>
      <c r="C68" s="100">
        <f>CANTIDAD_DE_CAMARAS</f>
        <v>574</v>
      </c>
      <c r="D68" s="101"/>
      <c r="E68" s="106"/>
      <c r="F68" s="154">
        <v>46029</v>
      </c>
    </row>
    <row r="69" spans="1:6" x14ac:dyDescent="0.3">
      <c r="A69" t="s">
        <v>1473</v>
      </c>
      <c r="B69" s="53" t="s">
        <v>6</v>
      </c>
      <c r="C69" s="66">
        <f>'RESUMEN TOTAL'!S3</f>
        <v>103</v>
      </c>
      <c r="D69" s="54"/>
      <c r="E69" s="55">
        <f>C69/C68</f>
        <v>0.17944250871080139</v>
      </c>
      <c r="F69" s="155"/>
    </row>
    <row r="70" spans="1:6" x14ac:dyDescent="0.3">
      <c r="B70" s="53" t="s">
        <v>1243</v>
      </c>
      <c r="C70" s="67">
        <v>4</v>
      </c>
      <c r="D70" s="103">
        <f>C69-C70</f>
        <v>99</v>
      </c>
      <c r="E70" s="55">
        <f>D70/C68</f>
        <v>0.17247386759581881</v>
      </c>
      <c r="F70" s="155"/>
    </row>
    <row r="71" spans="1:6" x14ac:dyDescent="0.3">
      <c r="B71" s="53" t="s">
        <v>1244</v>
      </c>
      <c r="C71" s="67">
        <v>3</v>
      </c>
      <c r="D71" s="103">
        <f>D70-C71</f>
        <v>96</v>
      </c>
      <c r="E71" s="55">
        <f>D71/C68</f>
        <v>0.1672473867595819</v>
      </c>
      <c r="F71" s="155"/>
    </row>
    <row r="72" spans="1:6" x14ac:dyDescent="0.3">
      <c r="A72" t="s">
        <v>1473</v>
      </c>
      <c r="B72" s="53" t="s">
        <v>16</v>
      </c>
      <c r="C72" s="94">
        <f>'RESUMEN TOTAL'!S5</f>
        <v>13</v>
      </c>
      <c r="D72" s="103">
        <f>D71-C72</f>
        <v>83</v>
      </c>
      <c r="E72" s="55">
        <f>D72/C68</f>
        <v>0.14459930313588851</v>
      </c>
      <c r="F72" s="155"/>
    </row>
    <row r="73" spans="1:6" ht="15" thickBot="1" x14ac:dyDescent="0.35">
      <c r="B73" s="56"/>
      <c r="C73" s="131">
        <v>0</v>
      </c>
      <c r="D73" s="104">
        <v>0</v>
      </c>
      <c r="E73" s="74">
        <f>D73/C68</f>
        <v>0</v>
      </c>
      <c r="F73" s="155"/>
    </row>
    <row r="74" spans="1:6" ht="15.6" thickTop="1" thickBot="1" x14ac:dyDescent="0.35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5.6" thickTop="1" thickBot="1" x14ac:dyDescent="0.35">
      <c r="B75" s="98" t="s">
        <v>1062</v>
      </c>
      <c r="C75" s="99">
        <v>304</v>
      </c>
      <c r="D75" s="115">
        <v>56</v>
      </c>
      <c r="E75" s="105">
        <v>0.18</v>
      </c>
      <c r="F75" s="155"/>
    </row>
    <row r="76" spans="1:6" ht="15" thickBot="1" x14ac:dyDescent="0.35">
      <c r="B76" s="112" t="s">
        <v>1063</v>
      </c>
      <c r="C76" s="113">
        <f>COSEIDIcam</f>
        <v>270</v>
      </c>
      <c r="D76" s="113">
        <f>Hoja1!L5</f>
        <v>47</v>
      </c>
      <c r="E76" s="114">
        <f>D76/C76</f>
        <v>0.17407407407407408</v>
      </c>
      <c r="F76" s="156"/>
    </row>
    <row r="77" spans="1:6" ht="15.6" thickTop="1" thickBot="1" x14ac:dyDescent="0.35"/>
    <row r="78" spans="1:6" ht="15.6" thickTop="1" thickBot="1" x14ac:dyDescent="0.35">
      <c r="C78" s="107" t="s">
        <v>912</v>
      </c>
      <c r="D78" s="108" t="s">
        <v>1464</v>
      </c>
      <c r="E78" s="109" t="s">
        <v>913</v>
      </c>
    </row>
    <row r="79" spans="1:6" ht="15" thickTop="1" x14ac:dyDescent="0.3">
      <c r="B79" s="52" t="s">
        <v>1242</v>
      </c>
      <c r="C79" s="100">
        <f>CANTIDAD_DE_CAMARAS</f>
        <v>574</v>
      </c>
      <c r="D79" s="101"/>
      <c r="E79" s="106"/>
      <c r="F79" s="154">
        <v>46030</v>
      </c>
    </row>
    <row r="80" spans="1:6" x14ac:dyDescent="0.3">
      <c r="A80" t="s">
        <v>1468</v>
      </c>
      <c r="B80" s="53" t="s">
        <v>6</v>
      </c>
      <c r="C80" s="66">
        <v>89</v>
      </c>
      <c r="D80" s="54"/>
      <c r="E80" s="55">
        <f>C80/C79</f>
        <v>0.15505226480836237</v>
      </c>
      <c r="F80" s="155"/>
    </row>
    <row r="81" spans="1:6" x14ac:dyDescent="0.3">
      <c r="B81" s="53" t="s">
        <v>1243</v>
      </c>
      <c r="C81" s="67">
        <v>3</v>
      </c>
      <c r="D81" s="103">
        <v>86</v>
      </c>
      <c r="E81" s="55">
        <f>D81/C79</f>
        <v>0.14982578397212543</v>
      </c>
      <c r="F81" s="155"/>
    </row>
    <row r="82" spans="1:6" x14ac:dyDescent="0.3">
      <c r="B82" s="53" t="s">
        <v>1244</v>
      </c>
      <c r="C82" s="67">
        <v>3</v>
      </c>
      <c r="D82" s="103">
        <v>83</v>
      </c>
      <c r="E82" s="55">
        <f>D82/C79</f>
        <v>0.14459930313588851</v>
      </c>
      <c r="F82" s="155"/>
    </row>
    <row r="83" spans="1:6" x14ac:dyDescent="0.3">
      <c r="A83" t="s">
        <v>1468</v>
      </c>
      <c r="B83" s="53" t="s">
        <v>16</v>
      </c>
      <c r="C83" s="94">
        <v>5</v>
      </c>
      <c r="D83" s="103">
        <v>78</v>
      </c>
      <c r="E83" s="55">
        <f>D83/C79</f>
        <v>0.13588850174216027</v>
      </c>
      <c r="F83" s="155"/>
    </row>
    <row r="84" spans="1:6" ht="15" thickBot="1" x14ac:dyDescent="0.35">
      <c r="B84" s="56"/>
      <c r="C84" s="131"/>
      <c r="D84" s="104">
        <v>0</v>
      </c>
      <c r="E84" s="74">
        <f>D84/C79</f>
        <v>0</v>
      </c>
      <c r="F84" s="155"/>
    </row>
    <row r="85" spans="1:6" ht="15.6" thickTop="1" thickBot="1" x14ac:dyDescent="0.35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5.6" thickTop="1" thickBot="1" x14ac:dyDescent="0.35">
      <c r="B86" s="98" t="s">
        <v>1062</v>
      </c>
      <c r="C86" s="99">
        <v>304</v>
      </c>
      <c r="D86" s="115">
        <v>51</v>
      </c>
      <c r="E86" s="105">
        <v>0.17</v>
      </c>
      <c r="F86" s="155"/>
    </row>
    <row r="87" spans="1:6" ht="15" thickBot="1" x14ac:dyDescent="0.35">
      <c r="B87" s="112" t="s">
        <v>1063</v>
      </c>
      <c r="C87" s="113">
        <f>COSEIDIcam</f>
        <v>270</v>
      </c>
      <c r="D87" s="113">
        <v>38</v>
      </c>
      <c r="E87" s="114">
        <v>0.14000000000000001</v>
      </c>
      <c r="F87" s="156"/>
    </row>
    <row r="88" spans="1:6" ht="15.6" thickTop="1" thickBot="1" x14ac:dyDescent="0.35"/>
    <row r="89" spans="1:6" ht="15.6" thickTop="1" thickBot="1" x14ac:dyDescent="0.35">
      <c r="C89" s="107" t="s">
        <v>912</v>
      </c>
      <c r="D89" s="108" t="s">
        <v>1464</v>
      </c>
      <c r="E89" s="109" t="s">
        <v>913</v>
      </c>
    </row>
    <row r="90" spans="1:6" ht="15" thickTop="1" x14ac:dyDescent="0.3">
      <c r="B90" s="52" t="s">
        <v>1242</v>
      </c>
      <c r="C90" s="100">
        <f>CANTIDAD_DE_CAMARAS</f>
        <v>574</v>
      </c>
      <c r="D90" s="101"/>
      <c r="E90" s="106"/>
      <c r="F90" s="154">
        <v>46031</v>
      </c>
    </row>
    <row r="91" spans="1:6" x14ac:dyDescent="0.3">
      <c r="A91" t="s">
        <v>1474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3">
      <c r="B92" s="53" t="s">
        <v>1243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3">
      <c r="B93" s="53" t="s">
        <v>1244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3">
      <c r="A94" t="s">
        <v>1474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" thickBot="1" x14ac:dyDescent="0.35">
      <c r="B95" s="56"/>
      <c r="C95" s="131"/>
      <c r="D95" s="104"/>
      <c r="E95" s="74">
        <f>D95/C90</f>
        <v>0</v>
      </c>
      <c r="F95" s="155"/>
    </row>
    <row r="96" spans="1:6" ht="15.6" thickTop="1" thickBot="1" x14ac:dyDescent="0.35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5.6" thickTop="1" thickBot="1" x14ac:dyDescent="0.35">
      <c r="B97" s="98" t="s">
        <v>1062</v>
      </c>
      <c r="C97" s="99">
        <v>304</v>
      </c>
      <c r="D97" s="115">
        <f>Hoja1!N3</f>
        <v>38</v>
      </c>
      <c r="E97" s="105">
        <f>D97/C97</f>
        <v>0.125</v>
      </c>
      <c r="F97" s="155"/>
    </row>
    <row r="98" spans="1:6" ht="15" thickBot="1" x14ac:dyDescent="0.35">
      <c r="B98" s="112" t="s">
        <v>1063</v>
      </c>
      <c r="C98" s="113">
        <f>COSEIDIcam</f>
        <v>270</v>
      </c>
      <c r="D98" s="113">
        <f>Hoja1!N5</f>
        <v>29</v>
      </c>
      <c r="E98" s="114">
        <v>0</v>
      </c>
      <c r="F98" s="156"/>
    </row>
    <row r="99" spans="1:6" ht="15.6" thickTop="1" thickBot="1" x14ac:dyDescent="0.35"/>
    <row r="100" spans="1:6" ht="15.6" thickTop="1" thickBot="1" x14ac:dyDescent="0.35">
      <c r="C100" s="107" t="s">
        <v>912</v>
      </c>
      <c r="D100" s="108" t="s">
        <v>1464</v>
      </c>
      <c r="E100" s="109" t="s">
        <v>913</v>
      </c>
    </row>
    <row r="101" spans="1:6" ht="15" thickTop="1" x14ac:dyDescent="0.3">
      <c r="B101" s="52" t="s">
        <v>1242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3">
      <c r="A102" t="s">
        <v>1475</v>
      </c>
      <c r="B102" s="53" t="s">
        <v>6</v>
      </c>
      <c r="C102" s="66">
        <f>'RESUMEN TOTAL'!V3</f>
        <v>74</v>
      </c>
      <c r="D102" s="54"/>
      <c r="E102" s="55">
        <f>C102/C101</f>
        <v>0.1289198606271777</v>
      </c>
      <c r="F102" s="155"/>
    </row>
    <row r="103" spans="1:6" x14ac:dyDescent="0.3">
      <c r="B103" s="53" t="s">
        <v>1243</v>
      </c>
      <c r="C103" s="67">
        <v>0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3">
      <c r="B104" s="53" t="s">
        <v>1244</v>
      </c>
      <c r="C104" s="67">
        <v>0</v>
      </c>
      <c r="D104" s="103">
        <f>D103-C104</f>
        <v>74</v>
      </c>
      <c r="E104" s="55">
        <f>D104/C101</f>
        <v>0.1289198606271777</v>
      </c>
      <c r="F104" s="155"/>
    </row>
    <row r="105" spans="1:6" x14ac:dyDescent="0.3">
      <c r="A105" t="s">
        <v>1475</v>
      </c>
      <c r="B105" s="53" t="s">
        <v>16</v>
      </c>
      <c r="C105" s="94">
        <f>'RESUMEN TOTAL'!V5</f>
        <v>3</v>
      </c>
      <c r="D105" s="103">
        <f>D104-C105</f>
        <v>71</v>
      </c>
      <c r="E105" s="55">
        <f>D105/C101</f>
        <v>0.12369337979094076</v>
      </c>
      <c r="F105" s="155"/>
    </row>
    <row r="106" spans="1:6" ht="15" thickBot="1" x14ac:dyDescent="0.35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5.6" thickTop="1" thickBot="1" x14ac:dyDescent="0.35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5.6" thickTop="1" thickBot="1" x14ac:dyDescent="0.35">
      <c r="B108" s="98" t="s">
        <v>1062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" thickBot="1" x14ac:dyDescent="0.35">
      <c r="B109" s="112" t="s">
        <v>1063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5.6" thickTop="1" thickBot="1" x14ac:dyDescent="0.35"/>
    <row r="111" spans="1:6" ht="15.6" thickTop="1" thickBot="1" x14ac:dyDescent="0.35">
      <c r="C111" s="107" t="s">
        <v>912</v>
      </c>
      <c r="D111" s="108" t="s">
        <v>1464</v>
      </c>
      <c r="E111" s="109" t="s">
        <v>913</v>
      </c>
    </row>
    <row r="112" spans="1:6" ht="15" thickTop="1" x14ac:dyDescent="0.3">
      <c r="B112" s="52" t="s">
        <v>1242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3">
      <c r="B114" s="53" t="s">
        <v>1243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3">
      <c r="B115" s="53" t="s">
        <v>1244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3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" thickBot="1" x14ac:dyDescent="0.35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5.6" thickTop="1" thickBot="1" x14ac:dyDescent="0.35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5.6" thickTop="1" thickBot="1" x14ac:dyDescent="0.35">
      <c r="B119" s="98" t="s">
        <v>1062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" thickBot="1" x14ac:dyDescent="0.35">
      <c r="B120" s="112" t="s">
        <v>1063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5.6" thickTop="1" thickBot="1" x14ac:dyDescent="0.35"/>
    <row r="122" spans="2:6" ht="15.6" thickTop="1" thickBot="1" x14ac:dyDescent="0.35">
      <c r="C122" s="107" t="s">
        <v>912</v>
      </c>
      <c r="D122" s="108" t="s">
        <v>1464</v>
      </c>
      <c r="E122" s="109" t="s">
        <v>913</v>
      </c>
    </row>
    <row r="123" spans="2:6" ht="15" thickTop="1" x14ac:dyDescent="0.3">
      <c r="B123" s="52" t="s">
        <v>1242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3">
      <c r="B124" s="53" t="s">
        <v>6</v>
      </c>
      <c r="C124" s="66">
        <f>'RESUMEN TOTAL'!X3</f>
        <v>98</v>
      </c>
      <c r="D124" s="54"/>
      <c r="E124" s="55">
        <f>C124/C123</f>
        <v>0.17073170731707318</v>
      </c>
      <c r="F124" s="155"/>
    </row>
    <row r="125" spans="2:6" x14ac:dyDescent="0.3">
      <c r="B125" s="53" t="s">
        <v>1243</v>
      </c>
      <c r="C125" s="67">
        <v>4</v>
      </c>
      <c r="D125" s="103">
        <f>C124-C125</f>
        <v>94</v>
      </c>
      <c r="E125" s="55">
        <f>D125/C123</f>
        <v>0.16376306620209058</v>
      </c>
      <c r="F125" s="155"/>
    </row>
    <row r="126" spans="2:6" x14ac:dyDescent="0.3">
      <c r="B126" s="53" t="s">
        <v>1244</v>
      </c>
      <c r="C126" s="67">
        <v>3</v>
      </c>
      <c r="D126" s="103">
        <f>D125-C126</f>
        <v>91</v>
      </c>
      <c r="E126" s="55">
        <f>D126/C123</f>
        <v>0.15853658536585366</v>
      </c>
      <c r="F126" s="155"/>
    </row>
    <row r="127" spans="2:6" x14ac:dyDescent="0.3">
      <c r="B127" s="53" t="s">
        <v>16</v>
      </c>
      <c r="C127" s="94">
        <v>4</v>
      </c>
      <c r="D127" s="103">
        <f>D126-C127</f>
        <v>87</v>
      </c>
      <c r="E127" s="55">
        <f>D127/C123</f>
        <v>0.15156794425087108</v>
      </c>
      <c r="F127" s="155"/>
    </row>
    <row r="128" spans="2:6" ht="15" thickBot="1" x14ac:dyDescent="0.35">
      <c r="B128" s="56"/>
      <c r="C128" s="131">
        <v>0</v>
      </c>
      <c r="D128" s="104">
        <f>D127-C128</f>
        <v>87</v>
      </c>
      <c r="E128" s="74">
        <f>D128/C123</f>
        <v>0.15156794425087108</v>
      </c>
      <c r="F128" s="155"/>
    </row>
    <row r="129" spans="2:6" ht="15.6" thickTop="1" thickBot="1" x14ac:dyDescent="0.35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5.6" thickTop="1" thickBot="1" x14ac:dyDescent="0.35">
      <c r="B130" s="98" t="s">
        <v>1062</v>
      </c>
      <c r="C130" s="99">
        <v>304</v>
      </c>
      <c r="D130" s="115">
        <f>Hoja1!Q3</f>
        <v>41</v>
      </c>
      <c r="E130" s="105">
        <f>D130/C130</f>
        <v>0.13486842105263158</v>
      </c>
      <c r="F130" s="155"/>
    </row>
    <row r="131" spans="2:6" ht="15" thickBot="1" x14ac:dyDescent="0.35">
      <c r="B131" s="112" t="s">
        <v>1063</v>
      </c>
      <c r="C131" s="113">
        <f>COSEIDIcam</f>
        <v>270</v>
      </c>
      <c r="D131" s="113">
        <f>Hoja1!Q5</f>
        <v>57</v>
      </c>
      <c r="E131" s="114">
        <v>0.21</v>
      </c>
      <c r="F131" s="156"/>
    </row>
    <row r="132" spans="2:6" ht="15.6" thickTop="1" thickBot="1" x14ac:dyDescent="0.35"/>
    <row r="133" spans="2:6" ht="15.6" thickTop="1" thickBot="1" x14ac:dyDescent="0.35">
      <c r="C133" s="107" t="s">
        <v>912</v>
      </c>
      <c r="D133" s="108" t="s">
        <v>1464</v>
      </c>
      <c r="E133" s="109" t="s">
        <v>913</v>
      </c>
    </row>
    <row r="134" spans="2:6" ht="15" thickTop="1" x14ac:dyDescent="0.3">
      <c r="B134" s="52" t="s">
        <v>1242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3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3">
      <c r="B136" s="53" t="s">
        <v>1243</v>
      </c>
      <c r="C136" s="67">
        <v>0</v>
      </c>
      <c r="D136" s="103">
        <v>0</v>
      </c>
      <c r="E136" s="55">
        <f>D136/C134</f>
        <v>0</v>
      </c>
      <c r="F136" s="155"/>
    </row>
    <row r="137" spans="2:6" x14ac:dyDescent="0.3">
      <c r="B137" s="53" t="s">
        <v>1244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3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" thickBot="1" x14ac:dyDescent="0.35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5.6" thickTop="1" thickBot="1" x14ac:dyDescent="0.35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5.6" thickTop="1" thickBot="1" x14ac:dyDescent="0.35">
      <c r="B141" s="98" t="s">
        <v>1062</v>
      </c>
      <c r="C141" s="99">
        <v>304</v>
      </c>
      <c r="D141" s="115">
        <v>0</v>
      </c>
      <c r="E141" s="105">
        <f>D141/C141</f>
        <v>0</v>
      </c>
      <c r="F141" s="155"/>
    </row>
    <row r="142" spans="2:6" ht="15" thickBot="1" x14ac:dyDescent="0.35">
      <c r="B142" s="112" t="s">
        <v>1063</v>
      </c>
      <c r="C142" s="113">
        <f>COSEIDIcam</f>
        <v>270</v>
      </c>
      <c r="D142" s="113">
        <v>0</v>
      </c>
      <c r="E142" s="114">
        <f>D142/C142</f>
        <v>0</v>
      </c>
      <c r="F142" s="156"/>
    </row>
    <row r="143" spans="2:6" ht="15.6" thickTop="1" thickBot="1" x14ac:dyDescent="0.35"/>
    <row r="144" spans="2:6" ht="15.6" thickTop="1" thickBot="1" x14ac:dyDescent="0.35">
      <c r="C144" s="107" t="s">
        <v>912</v>
      </c>
      <c r="D144" s="108" t="s">
        <v>1464</v>
      </c>
      <c r="E144" s="109" t="s">
        <v>913</v>
      </c>
    </row>
    <row r="145" spans="2:6" ht="15" thickTop="1" x14ac:dyDescent="0.3">
      <c r="B145" s="52" t="s">
        <v>1242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3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3">
      <c r="B147" s="53" t="s">
        <v>1243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3">
      <c r="B148" s="53" t="s">
        <v>1244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3">
      <c r="B149" s="53" t="s">
        <v>16</v>
      </c>
      <c r="C149" s="94">
        <v>0</v>
      </c>
      <c r="D149" s="103">
        <f>D148-C149</f>
        <v>0</v>
      </c>
      <c r="E149" s="55">
        <f>D149/C145</f>
        <v>0</v>
      </c>
      <c r="F149" s="155"/>
    </row>
    <row r="150" spans="2:6" ht="15" thickBot="1" x14ac:dyDescent="0.35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5.6" thickTop="1" thickBot="1" x14ac:dyDescent="0.35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5.6" thickTop="1" thickBot="1" x14ac:dyDescent="0.35">
      <c r="B152" s="98" t="s">
        <v>1062</v>
      </c>
      <c r="C152" s="99">
        <v>304</v>
      </c>
      <c r="D152" s="115">
        <v>0</v>
      </c>
      <c r="E152" s="105">
        <v>0</v>
      </c>
      <c r="F152" s="155"/>
    </row>
    <row r="153" spans="2:6" ht="15" thickBot="1" x14ac:dyDescent="0.35">
      <c r="B153" s="112" t="s">
        <v>1063</v>
      </c>
      <c r="C153" s="113">
        <f>COSEIDIcam</f>
        <v>270</v>
      </c>
      <c r="D153" s="113">
        <v>0</v>
      </c>
      <c r="E153" s="114">
        <v>0</v>
      </c>
      <c r="F153" s="156"/>
    </row>
    <row r="154" spans="2:6" ht="15" customHeight="1" thickTop="1" thickBot="1" x14ac:dyDescent="0.35"/>
    <row r="155" spans="2:6" ht="15.6" thickTop="1" thickBot="1" x14ac:dyDescent="0.35">
      <c r="C155" s="107" t="s">
        <v>912</v>
      </c>
      <c r="D155" s="108" t="s">
        <v>1464</v>
      </c>
      <c r="E155" s="109" t="s">
        <v>913</v>
      </c>
    </row>
    <row r="156" spans="2:6" ht="15" thickTop="1" x14ac:dyDescent="0.3">
      <c r="B156" s="52" t="s">
        <v>1242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3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3">
      <c r="B158" s="53" t="s">
        <v>1243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3">
      <c r="B159" s="53" t="s">
        <v>1244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3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" thickBot="1" x14ac:dyDescent="0.35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5.6" thickTop="1" thickBot="1" x14ac:dyDescent="0.35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5.6" thickTop="1" thickBot="1" x14ac:dyDescent="0.35">
      <c r="B163" s="98" t="s">
        <v>1062</v>
      </c>
      <c r="C163" s="99">
        <v>304</v>
      </c>
      <c r="D163" s="115">
        <f>Hoja1!T3</f>
        <v>0</v>
      </c>
      <c r="E163" s="105">
        <f>D163/C163</f>
        <v>0</v>
      </c>
      <c r="F163" s="155"/>
    </row>
    <row r="164" spans="2:6" ht="15" thickBot="1" x14ac:dyDescent="0.35">
      <c r="B164" s="112" t="s">
        <v>1063</v>
      </c>
      <c r="C164" s="113">
        <f>COSEIDIcam</f>
        <v>270</v>
      </c>
      <c r="D164" s="113">
        <v>0</v>
      </c>
      <c r="E164" s="114">
        <f>D164/C164</f>
        <v>0</v>
      </c>
      <c r="F164" s="156"/>
    </row>
    <row r="165" spans="2:6" ht="15.6" thickTop="1" thickBot="1" x14ac:dyDescent="0.35"/>
    <row r="166" spans="2:6" ht="15.6" thickTop="1" thickBot="1" x14ac:dyDescent="0.35">
      <c r="C166" s="107" t="s">
        <v>912</v>
      </c>
      <c r="D166" s="108" t="s">
        <v>1464</v>
      </c>
      <c r="E166" s="109" t="s">
        <v>913</v>
      </c>
    </row>
    <row r="167" spans="2:6" ht="15" thickTop="1" x14ac:dyDescent="0.3">
      <c r="B167" s="52" t="s">
        <v>1242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3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3">
      <c r="B169" s="53" t="s">
        <v>1243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3">
      <c r="B170" s="53" t="s">
        <v>1244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3">
      <c r="B171" s="53" t="s">
        <v>16</v>
      </c>
      <c r="C171" s="94">
        <v>0</v>
      </c>
      <c r="D171" s="103">
        <f>D170-C171</f>
        <v>0</v>
      </c>
      <c r="E171" s="55">
        <f>D171/C167</f>
        <v>0</v>
      </c>
      <c r="F171" s="155"/>
    </row>
    <row r="172" spans="2:6" ht="15" thickBot="1" x14ac:dyDescent="0.35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5.6" thickTop="1" thickBot="1" x14ac:dyDescent="0.35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5.6" thickTop="1" thickBot="1" x14ac:dyDescent="0.35">
      <c r="B174" s="98" t="s">
        <v>1062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" thickBot="1" x14ac:dyDescent="0.35">
      <c r="B175" s="112" t="s">
        <v>1063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5.6" thickTop="1" thickBot="1" x14ac:dyDescent="0.35"/>
    <row r="177" spans="2:12" ht="15.6" thickTop="1" thickBot="1" x14ac:dyDescent="0.35">
      <c r="C177" s="107" t="s">
        <v>912</v>
      </c>
      <c r="D177" s="108" t="s">
        <v>1464</v>
      </c>
      <c r="E177" s="109" t="s">
        <v>913</v>
      </c>
    </row>
    <row r="178" spans="2:12" ht="15" thickTop="1" x14ac:dyDescent="0.3">
      <c r="B178" s="52" t="s">
        <v>1242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3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12" x14ac:dyDescent="0.3">
      <c r="B180" s="53" t="s">
        <v>1243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12" x14ac:dyDescent="0.3">
      <c r="B181" s="53" t="s">
        <v>1244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12" x14ac:dyDescent="0.3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12" ht="15" thickBot="1" x14ac:dyDescent="0.35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5.6" thickTop="1" thickBot="1" x14ac:dyDescent="0.35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5.6" thickTop="1" thickBot="1" x14ac:dyDescent="0.35">
      <c r="B185" s="98" t="s">
        <v>1062</v>
      </c>
      <c r="C185" s="99">
        <v>304</v>
      </c>
      <c r="D185" s="115">
        <f>Hoja1!V3</f>
        <v>0</v>
      </c>
      <c r="E185" s="105">
        <v>0</v>
      </c>
      <c r="F185" s="155"/>
    </row>
    <row r="186" spans="2:12" ht="15" thickBot="1" x14ac:dyDescent="0.35">
      <c r="B186" s="112" t="s">
        <v>1063</v>
      </c>
      <c r="C186" s="113">
        <f>COSEIDIcam</f>
        <v>270</v>
      </c>
      <c r="D186" s="113">
        <f>Hoja1!V5</f>
        <v>0</v>
      </c>
      <c r="E186" s="114">
        <v>0</v>
      </c>
      <c r="F186" s="156"/>
    </row>
    <row r="187" spans="2:12" ht="15.6" thickTop="1" thickBot="1" x14ac:dyDescent="0.35"/>
    <row r="188" spans="2:12" ht="15.6" thickTop="1" thickBot="1" x14ac:dyDescent="0.35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" thickTop="1" x14ac:dyDescent="0.3">
      <c r="B189" s="52" t="s">
        <v>1242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3">
      <c r="B191" s="53" t="s">
        <v>1243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3">
      <c r="B192" s="53" t="s">
        <v>1244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3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" thickBot="1" x14ac:dyDescent="0.35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5.6" thickTop="1" thickBot="1" x14ac:dyDescent="0.35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/>
      <c r="J195" s="96"/>
      <c r="K195" s="102"/>
      <c r="L195" s="155"/>
    </row>
    <row r="196" spans="2:12" ht="15.6" thickTop="1" thickBot="1" x14ac:dyDescent="0.35">
      <c r="B196" s="98" t="s">
        <v>1062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" thickBot="1" x14ac:dyDescent="0.35">
      <c r="B197" s="112" t="s">
        <v>1063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5.6" thickTop="1" thickBot="1" x14ac:dyDescent="0.35"/>
    <row r="199" spans="2:12" ht="15.6" thickTop="1" thickBot="1" x14ac:dyDescent="0.35">
      <c r="C199" s="107" t="s">
        <v>912</v>
      </c>
      <c r="D199" s="108" t="s">
        <v>1464</v>
      </c>
      <c r="E199" s="109" t="s">
        <v>913</v>
      </c>
    </row>
    <row r="200" spans="2:12" ht="15" thickTop="1" x14ac:dyDescent="0.3">
      <c r="B200" s="52" t="s">
        <v>1242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3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3">
      <c r="B202" s="53" t="s">
        <v>1243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12" x14ac:dyDescent="0.3">
      <c r="B203" s="53" t="s">
        <v>1244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12" x14ac:dyDescent="0.3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12" ht="15" thickBot="1" x14ac:dyDescent="0.35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5.6" thickTop="1" thickBot="1" x14ac:dyDescent="0.35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5.6" thickTop="1" thickBot="1" x14ac:dyDescent="0.35">
      <c r="B207" s="98" t="s">
        <v>1062</v>
      </c>
      <c r="C207" s="99">
        <v>304</v>
      </c>
      <c r="D207" s="115">
        <v>0</v>
      </c>
      <c r="E207" s="105">
        <f>D207/C207</f>
        <v>0</v>
      </c>
      <c r="F207" s="155"/>
    </row>
    <row r="208" spans="2:12" ht="15" thickBot="1" x14ac:dyDescent="0.35">
      <c r="B208" s="112" t="s">
        <v>1063</v>
      </c>
      <c r="C208" s="113">
        <f>COSEIDIcam</f>
        <v>270</v>
      </c>
      <c r="D208" s="113">
        <v>0</v>
      </c>
      <c r="E208" s="114">
        <f>D208/C208</f>
        <v>0</v>
      </c>
      <c r="F208" s="156"/>
    </row>
    <row r="209" spans="2:6" ht="15.6" thickTop="1" thickBot="1" x14ac:dyDescent="0.35"/>
    <row r="210" spans="2:6" ht="15.6" thickTop="1" thickBot="1" x14ac:dyDescent="0.35">
      <c r="C210" s="107" t="s">
        <v>912</v>
      </c>
      <c r="D210" s="108" t="s">
        <v>1464</v>
      </c>
      <c r="E210" s="109" t="s">
        <v>913</v>
      </c>
    </row>
    <row r="211" spans="2:6" ht="15" thickTop="1" x14ac:dyDescent="0.3">
      <c r="B211" s="52" t="s">
        <v>1242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3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3">
      <c r="B213" s="53" t="s">
        <v>1243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3">
      <c r="B214" s="53" t="s">
        <v>1244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3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" thickBot="1" x14ac:dyDescent="0.35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5.6" thickTop="1" thickBot="1" x14ac:dyDescent="0.35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5.6" thickTop="1" thickBot="1" x14ac:dyDescent="0.35">
      <c r="B218" s="98" t="s">
        <v>1062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" thickBot="1" x14ac:dyDescent="0.35">
      <c r="B219" s="112" t="s">
        <v>1063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" thickTop="1" x14ac:dyDescent="0.3"/>
    <row r="221" spans="2:6" ht="15" thickBot="1" x14ac:dyDescent="0.35"/>
    <row r="222" spans="2:6" ht="15.6" thickTop="1" thickBot="1" x14ac:dyDescent="0.35">
      <c r="C222" s="107" t="s">
        <v>912</v>
      </c>
      <c r="D222" s="108" t="s">
        <v>1464</v>
      </c>
      <c r="E222" s="109" t="s">
        <v>913</v>
      </c>
    </row>
    <row r="223" spans="2:6" ht="15" thickTop="1" x14ac:dyDescent="0.3">
      <c r="B223" s="52" t="s">
        <v>1242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3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3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3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3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" thickBot="1" x14ac:dyDescent="0.35">
      <c r="B228" s="56"/>
      <c r="C228" s="131">
        <v>0</v>
      </c>
      <c r="D228" s="104">
        <v>0</v>
      </c>
      <c r="E228" s="74">
        <v>0</v>
      </c>
      <c r="F228" s="155"/>
    </row>
    <row r="229" spans="2:6" ht="15.6" thickTop="1" thickBot="1" x14ac:dyDescent="0.35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5.6" thickTop="1" thickBot="1" x14ac:dyDescent="0.35">
      <c r="B230" s="98" t="s">
        <v>1062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" thickBot="1" x14ac:dyDescent="0.35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" thickTop="1" x14ac:dyDescent="0.3"/>
    <row r="233" spans="2:6" ht="15" thickBot="1" x14ac:dyDescent="0.35"/>
    <row r="234" spans="2:6" ht="15.6" thickTop="1" thickBot="1" x14ac:dyDescent="0.35">
      <c r="C234" s="107" t="s">
        <v>912</v>
      </c>
      <c r="D234" s="108" t="s">
        <v>1464</v>
      </c>
      <c r="E234" s="109" t="s">
        <v>913</v>
      </c>
    </row>
    <row r="235" spans="2:6" ht="15" thickTop="1" x14ac:dyDescent="0.3">
      <c r="B235" s="52" t="s">
        <v>1242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3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3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3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" thickBot="1" x14ac:dyDescent="0.35">
      <c r="B240" s="56"/>
      <c r="C240" s="131">
        <v>0</v>
      </c>
      <c r="D240" s="104">
        <v>0</v>
      </c>
      <c r="E240" s="74">
        <v>0</v>
      </c>
      <c r="F240" s="155"/>
    </row>
    <row r="241" spans="2:6" ht="15.6" thickTop="1" thickBot="1" x14ac:dyDescent="0.35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5.6" thickTop="1" thickBot="1" x14ac:dyDescent="0.35">
      <c r="B242" s="98" t="s">
        <v>1062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" thickBot="1" x14ac:dyDescent="0.35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" thickTop="1" x14ac:dyDescent="0.3"/>
    <row r="245" spans="2:6" ht="15" thickBot="1" x14ac:dyDescent="0.35"/>
    <row r="246" spans="2:6" ht="15.6" thickTop="1" thickBot="1" x14ac:dyDescent="0.35">
      <c r="C246" s="107" t="s">
        <v>912</v>
      </c>
      <c r="D246" s="108" t="s">
        <v>1464</v>
      </c>
      <c r="E246" s="109" t="s">
        <v>913</v>
      </c>
    </row>
    <row r="247" spans="2:6" ht="15" thickTop="1" x14ac:dyDescent="0.3">
      <c r="B247" s="52" t="s">
        <v>1242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3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3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3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3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" thickBot="1" x14ac:dyDescent="0.35">
      <c r="B252" s="56"/>
      <c r="C252" s="131">
        <v>0</v>
      </c>
      <c r="D252" s="104">
        <v>0</v>
      </c>
      <c r="E252" s="74">
        <v>0</v>
      </c>
      <c r="F252" s="155"/>
    </row>
    <row r="253" spans="2:6" ht="15.6" thickTop="1" thickBot="1" x14ac:dyDescent="0.35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5.6" thickTop="1" thickBot="1" x14ac:dyDescent="0.35">
      <c r="B254" s="98" t="s">
        <v>1062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" thickBot="1" x14ac:dyDescent="0.35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" thickTop="1" x14ac:dyDescent="0.3"/>
    <row r="257" spans="2:6" ht="15" thickBot="1" x14ac:dyDescent="0.35"/>
    <row r="258" spans="2:6" ht="15.6" thickTop="1" thickBot="1" x14ac:dyDescent="0.35">
      <c r="C258" s="107" t="s">
        <v>912</v>
      </c>
      <c r="D258" s="108" t="s">
        <v>1464</v>
      </c>
      <c r="E258" s="109" t="s">
        <v>913</v>
      </c>
    </row>
    <row r="259" spans="2:6" ht="15" thickTop="1" x14ac:dyDescent="0.3">
      <c r="B259" s="52" t="s">
        <v>1242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3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3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3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" thickBot="1" x14ac:dyDescent="0.35">
      <c r="B264" s="56"/>
      <c r="C264" s="131">
        <v>0</v>
      </c>
      <c r="D264" s="104">
        <v>0</v>
      </c>
      <c r="E264" s="74">
        <v>0</v>
      </c>
      <c r="F264" s="155"/>
    </row>
    <row r="265" spans="2:6" ht="15.6" thickTop="1" thickBot="1" x14ac:dyDescent="0.35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5.6" thickTop="1" thickBot="1" x14ac:dyDescent="0.35">
      <c r="B266" s="98" t="s">
        <v>1062</v>
      </c>
      <c r="C266" s="99">
        <v>304</v>
      </c>
      <c r="D266" s="115">
        <v>0</v>
      </c>
      <c r="E266" s="105">
        <v>0</v>
      </c>
      <c r="F266" s="155"/>
    </row>
    <row r="267" spans="2:6" ht="15" thickBot="1" x14ac:dyDescent="0.35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5.6" thickTop="1" thickBot="1" x14ac:dyDescent="0.35"/>
    <row r="269" spans="2:6" ht="15.6" thickTop="1" thickBot="1" x14ac:dyDescent="0.35">
      <c r="C269" s="107" t="s">
        <v>912</v>
      </c>
      <c r="D269" s="108" t="s">
        <v>1464</v>
      </c>
      <c r="E269" s="109" t="s">
        <v>913</v>
      </c>
    </row>
    <row r="270" spans="2:6" ht="15" thickTop="1" x14ac:dyDescent="0.3">
      <c r="B270" s="52" t="s">
        <v>1242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3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3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3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" thickBot="1" x14ac:dyDescent="0.35">
      <c r="B275" s="56"/>
      <c r="C275" s="131">
        <v>0</v>
      </c>
      <c r="D275" s="104">
        <v>0</v>
      </c>
      <c r="E275" s="74">
        <v>0</v>
      </c>
      <c r="F275" s="155"/>
    </row>
    <row r="276" spans="2:6" ht="15.6" thickTop="1" thickBot="1" x14ac:dyDescent="0.35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5.6" thickTop="1" thickBot="1" x14ac:dyDescent="0.35">
      <c r="B277" s="98" t="s">
        <v>1062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" thickBot="1" x14ac:dyDescent="0.35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5.6" thickTop="1" thickBot="1" x14ac:dyDescent="0.35"/>
    <row r="280" spans="2:6" ht="15.6" thickTop="1" thickBot="1" x14ac:dyDescent="0.35">
      <c r="C280" s="107" t="s">
        <v>912</v>
      </c>
      <c r="D280" s="108" t="s">
        <v>1464</v>
      </c>
      <c r="E280" s="109" t="s">
        <v>913</v>
      </c>
    </row>
    <row r="281" spans="2:6" ht="15" thickTop="1" x14ac:dyDescent="0.3">
      <c r="B281" s="52" t="s">
        <v>1242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3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3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3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" thickBot="1" x14ac:dyDescent="0.35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5.6" thickTop="1" thickBot="1" x14ac:dyDescent="0.35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5.6" thickTop="1" thickBot="1" x14ac:dyDescent="0.35">
      <c r="B288" s="98" t="s">
        <v>1062</v>
      </c>
      <c r="C288" s="99">
        <v>304</v>
      </c>
      <c r="D288" s="115">
        <v>0</v>
      </c>
      <c r="E288" s="105">
        <v>0</v>
      </c>
      <c r="F288" s="155"/>
    </row>
    <row r="289" spans="2:6" ht="15" thickBot="1" x14ac:dyDescent="0.35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5.6" thickTop="1" thickBot="1" x14ac:dyDescent="0.35"/>
    <row r="291" spans="2:6" ht="15.6" thickTop="1" thickBot="1" x14ac:dyDescent="0.35">
      <c r="C291" s="107" t="s">
        <v>912</v>
      </c>
      <c r="D291" s="108" t="s">
        <v>1464</v>
      </c>
      <c r="E291" s="109" t="s">
        <v>913</v>
      </c>
    </row>
    <row r="292" spans="2:6" ht="15" thickTop="1" x14ac:dyDescent="0.3">
      <c r="B292" s="52" t="s">
        <v>1242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3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3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3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" thickBot="1" x14ac:dyDescent="0.35">
      <c r="B297" s="56"/>
      <c r="C297" s="131">
        <v>0</v>
      </c>
      <c r="D297" s="104">
        <v>0</v>
      </c>
      <c r="E297" s="74">
        <v>0</v>
      </c>
      <c r="F297" s="155"/>
    </row>
    <row r="298" spans="2:6" ht="15.6" thickTop="1" thickBot="1" x14ac:dyDescent="0.35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5.6" thickTop="1" thickBot="1" x14ac:dyDescent="0.35">
      <c r="B299" s="98" t="s">
        <v>1062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" thickBot="1" x14ac:dyDescent="0.35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5.6" thickTop="1" thickBot="1" x14ac:dyDescent="0.35"/>
    <row r="302" spans="2:6" ht="15.6" thickTop="1" thickBot="1" x14ac:dyDescent="0.35">
      <c r="C302" s="107" t="s">
        <v>912</v>
      </c>
      <c r="D302" s="108" t="s">
        <v>1464</v>
      </c>
      <c r="E302" s="109" t="s">
        <v>913</v>
      </c>
    </row>
    <row r="303" spans="2:6" ht="15" thickTop="1" x14ac:dyDescent="0.3">
      <c r="B303" s="52" t="s">
        <v>1242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3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3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3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" thickBot="1" x14ac:dyDescent="0.35">
      <c r="B308" s="56"/>
      <c r="C308" s="131">
        <v>0</v>
      </c>
      <c r="D308" s="104">
        <v>0</v>
      </c>
      <c r="E308" s="74">
        <v>0</v>
      </c>
      <c r="F308" s="155"/>
    </row>
    <row r="309" spans="2:6" ht="15.6" thickTop="1" thickBot="1" x14ac:dyDescent="0.35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5.6" thickTop="1" thickBot="1" x14ac:dyDescent="0.35">
      <c r="B310" s="98" t="s">
        <v>1062</v>
      </c>
      <c r="C310" s="99">
        <v>304</v>
      </c>
      <c r="D310" s="115">
        <v>0</v>
      </c>
      <c r="E310" s="105">
        <v>0</v>
      </c>
      <c r="F310" s="155"/>
    </row>
    <row r="311" spans="2:6" ht="15" thickBot="1" x14ac:dyDescent="0.35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5.6" thickTop="1" thickBot="1" x14ac:dyDescent="0.35"/>
    <row r="313" spans="2:6" ht="15.6" thickTop="1" thickBot="1" x14ac:dyDescent="0.35">
      <c r="C313" s="107" t="s">
        <v>912</v>
      </c>
      <c r="D313" s="108" t="s">
        <v>1464</v>
      </c>
      <c r="E313" s="109" t="s">
        <v>913</v>
      </c>
    </row>
    <row r="314" spans="2:6" ht="15" thickTop="1" x14ac:dyDescent="0.3">
      <c r="B314" s="52" t="s">
        <v>1242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3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3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3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" thickBot="1" x14ac:dyDescent="0.35">
      <c r="B319" s="56"/>
      <c r="C319" s="131">
        <v>0</v>
      </c>
      <c r="D319" s="104">
        <v>0</v>
      </c>
      <c r="E319" s="74">
        <v>0</v>
      </c>
      <c r="F319" s="155"/>
    </row>
    <row r="320" spans="2:6" ht="15.6" thickTop="1" thickBot="1" x14ac:dyDescent="0.35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5.6" thickTop="1" thickBot="1" x14ac:dyDescent="0.35">
      <c r="B321" s="98" t="s">
        <v>1062</v>
      </c>
      <c r="C321" s="99">
        <v>304</v>
      </c>
      <c r="D321" s="115">
        <v>0</v>
      </c>
      <c r="E321" s="105">
        <v>0</v>
      </c>
      <c r="F321" s="155"/>
    </row>
    <row r="322" spans="2:6" ht="15" thickBot="1" x14ac:dyDescent="0.35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5.6" thickTop="1" thickBot="1" x14ac:dyDescent="0.35"/>
    <row r="324" spans="2:6" ht="15.6" thickTop="1" thickBot="1" x14ac:dyDescent="0.35">
      <c r="C324" s="107" t="s">
        <v>912</v>
      </c>
      <c r="D324" s="108" t="s">
        <v>1464</v>
      </c>
      <c r="E324" s="109" t="s">
        <v>913</v>
      </c>
    </row>
    <row r="325" spans="2:6" ht="15" thickTop="1" x14ac:dyDescent="0.3">
      <c r="B325" s="52" t="s">
        <v>1242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3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3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3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" thickBot="1" x14ac:dyDescent="0.35">
      <c r="B330" s="56"/>
      <c r="C330" s="131">
        <v>0</v>
      </c>
      <c r="D330" s="104">
        <v>0</v>
      </c>
      <c r="E330" s="74">
        <v>0</v>
      </c>
      <c r="F330" s="155"/>
    </row>
    <row r="331" spans="2:6" ht="15.6" thickTop="1" thickBot="1" x14ac:dyDescent="0.35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5.6" thickTop="1" thickBot="1" x14ac:dyDescent="0.35">
      <c r="B332" s="98" t="s">
        <v>1062</v>
      </c>
      <c r="C332" s="99">
        <v>304</v>
      </c>
      <c r="D332" s="115">
        <v>0</v>
      </c>
      <c r="E332" s="105">
        <v>0</v>
      </c>
      <c r="F332" s="155"/>
    </row>
    <row r="333" spans="2:6" ht="15" thickBot="1" x14ac:dyDescent="0.35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7" t="s">
        <v>912</v>
      </c>
      <c r="D336" s="108" t="s">
        <v>1464</v>
      </c>
      <c r="E336" s="109" t="s">
        <v>913</v>
      </c>
    </row>
    <row r="337" spans="2:6" ht="15" thickTop="1" x14ac:dyDescent="0.3">
      <c r="B337" s="52" t="s">
        <v>1242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3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3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3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" thickBot="1" x14ac:dyDescent="0.35">
      <c r="B342" s="56"/>
      <c r="C342" s="131">
        <v>0</v>
      </c>
      <c r="D342" s="104">
        <v>0</v>
      </c>
      <c r="E342" s="74">
        <v>0</v>
      </c>
      <c r="F342" s="155"/>
    </row>
    <row r="343" spans="2:6" ht="15.6" thickTop="1" thickBot="1" x14ac:dyDescent="0.35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5.6" thickTop="1" thickBot="1" x14ac:dyDescent="0.35">
      <c r="B344" s="98" t="s">
        <v>1062</v>
      </c>
      <c r="C344" s="99">
        <v>340</v>
      </c>
      <c r="D344" s="115">
        <v>0</v>
      </c>
      <c r="E344" s="105">
        <v>0</v>
      </c>
      <c r="F344" s="155"/>
    </row>
    <row r="345" spans="2:6" ht="15" thickBot="1" x14ac:dyDescent="0.35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" thickTop="1" x14ac:dyDescent="0.3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2026-01-12T12:19:34Z</dcterms:modified>
</cp:coreProperties>
</file>