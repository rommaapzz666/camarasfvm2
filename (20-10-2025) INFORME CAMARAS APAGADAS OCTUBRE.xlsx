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CE9C5E7C-5496-425E-B974-B936D216F10B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<sst xmlns="http://schemas.openxmlformats.org/spreadsheetml/2006/main" count="5891" uniqueCount="2217">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</sst>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F330" activePane="bottomRight" state="frozen"/>
      <selection pane="topRight" activeCell="M1" sqref="M1"/>
      <selection pane="bottomLeft" activeCell="A5" sqref="A5"/>
      <selection pane="bottomRight" activeCell="H346" sqref="H34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1686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1687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1688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1689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1690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1691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10</v>
      </c>
      <c r="J34" s="147" t="s">
        <v>1693</v>
      </c>
      <c r="K34" s="134">
        <f t="shared" si="6"/>
        <v>18</v>
      </c>
      <c r="L34" s="135">
        <f t="shared" si="7"/>
        <v>0.35714285714285715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28</v>
      </c>
      <c r="J36" s="87" t="s">
        <v>2162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21</v>
      </c>
      <c r="J38" s="147" t="s">
        <v>1694</v>
      </c>
      <c r="K38" s="31">
        <f t="shared" si="6"/>
        <v>7</v>
      </c>
      <c r="L38" s="32">
        <f t="shared" si="7"/>
        <v>0.75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21</v>
      </c>
      <c r="J39" s="147" t="s">
        <v>1695</v>
      </c>
      <c r="K39" s="31">
        <f t="shared" si="6"/>
        <v>7</v>
      </c>
      <c r="L39" s="32">
        <f t="shared" si="7"/>
        <v>0.75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21</v>
      </c>
      <c r="J43" s="87" t="s">
        <v>2197</v>
      </c>
      <c r="K43" s="31">
        <f t="shared" si="6"/>
        <v>7</v>
      </c>
      <c r="L43" s="32">
        <f t="shared" si="7"/>
        <v>0.75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1737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28</v>
      </c>
      <c r="J93" s="147" t="s">
        <v>1743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28</v>
      </c>
      <c r="J95" s="147" t="s">
        <v>1745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22</v>
      </c>
      <c r="J97" s="147" t="s">
        <v>1747</v>
      </c>
      <c r="K97" s="142">
        <f t="shared" si="9"/>
        <v>6</v>
      </c>
      <c r="L97" s="143">
        <f t="shared" si="10"/>
        <v>0.7857142857142857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16</v>
      </c>
      <c r="J157" s="147"/>
      <c r="K157" s="31">
        <f t="shared" si="9"/>
        <v>12</v>
      </c>
      <c r="L157" s="32">
        <f t="shared" si="10"/>
        <v>0.5714285714285714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28</v>
      </c>
      <c r="J183" s="147" t="s">
        <v>1822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8</v>
      </c>
      <c r="J188" s="87"/>
      <c r="K188" s="138">
        <f t="shared" si="12"/>
        <v>20</v>
      </c>
      <c r="L188" s="139">
        <f t="shared" si="13"/>
        <v>0.2857142857142857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28</v>
      </c>
      <c r="J190" s="147" t="s">
        <v>1827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8</v>
      </c>
      <c r="J194" s="87"/>
      <c r="K194" s="31">
        <f t="shared" si="12"/>
        <v>20</v>
      </c>
      <c r="L194" s="32">
        <f t="shared" si="13"/>
        <v>0.2857142857142857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18</v>
      </c>
      <c r="J195" s="147" t="s">
        <v>1831</v>
      </c>
      <c r="K195" s="142">
        <f t="shared" si="12"/>
        <v>10</v>
      </c>
      <c r="L195" s="143">
        <f t="shared" si="13"/>
        <v>0.6428571428571429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10</v>
      </c>
      <c r="J196" s="147" t="s">
        <v>1832</v>
      </c>
      <c r="K196" s="31">
        <f t="shared" si="12"/>
        <v>18</v>
      </c>
      <c r="L196" s="32">
        <f t="shared" si="13"/>
        <v>0.35714285714285715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23</v>
      </c>
      <c r="J206" s="147" t="s">
        <v>1841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20</v>
      </c>
      <c r="J213" s="87"/>
      <c r="K213" s="31">
        <f t="shared" si="12"/>
        <v>8</v>
      </c>
      <c r="L213" s="32">
        <f t="shared" si="13"/>
        <v>0.7142857142857143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20</v>
      </c>
      <c r="J214" s="87"/>
      <c r="K214" s="31">
        <f t="shared" si="12"/>
        <v>8</v>
      </c>
      <c r="L214" s="32">
        <f t="shared" si="13"/>
        <v>0.7142857142857143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27</v>
      </c>
      <c r="J215" s="147" t="s">
        <v>1847</v>
      </c>
      <c r="K215" s="31">
        <f t="shared" si="12"/>
        <v>1</v>
      </c>
      <c r="L215" s="32">
        <f t="shared" si="13"/>
        <v>0.9642857142857143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1849</v>
      </c>
      <c r="K217" s="31">
        <f t="shared" si="12"/>
        <v>1</v>
      </c>
      <c r="L217" s="32">
        <f t="shared" si="13"/>
        <v>0.9642857142857143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1850</v>
      </c>
      <c r="K218" s="31">
        <f t="shared" si="12"/>
        <v>1</v>
      </c>
      <c r="L218" s="32">
        <f t="shared" si="13"/>
        <v>0.9642857142857143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8</v>
      </c>
      <c r="J240" s="87"/>
      <c r="K240" s="31">
        <f t="shared" si="15"/>
        <v>20</v>
      </c>
      <c r="L240" s="32">
        <f t="shared" si="16"/>
        <v>0.2857142857142857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1872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1873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28</v>
      </c>
      <c r="J246" s="147" t="s">
        <v>1874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28</v>
      </c>
      <c r="J247" s="147" t="s">
        <v>1875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27</v>
      </c>
      <c r="J250" s="147" t="s">
        <v>1877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8</v>
      </c>
      <c r="J268" s="147" t="s">
        <v>1894</v>
      </c>
      <c r="K268" s="31">
        <f t="shared" si="15"/>
        <v>20</v>
      </c>
      <c r="L268" s="32">
        <f t="shared" si="16"/>
        <v>0.2857142857142857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14</v>
      </c>
      <c r="J272" s="147" t="s">
        <v>1897</v>
      </c>
      <c r="K272" s="31">
        <f t="shared" si="15"/>
        <v>14</v>
      </c>
      <c r="L272" s="32">
        <f t="shared" si="16"/>
        <v>0.5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14</v>
      </c>
      <c r="J273" s="147" t="s">
        <v>1898</v>
      </c>
      <c r="K273" s="142">
        <f t="shared" si="15"/>
        <v>14</v>
      </c>
      <c r="L273" s="143">
        <f t="shared" si="16"/>
        <v>0.5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8</v>
      </c>
      <c r="J287" s="147" t="s">
        <v>1911</v>
      </c>
      <c r="K287" s="31">
        <f t="shared" si="15"/>
        <v>20</v>
      </c>
      <c r="L287" s="32">
        <f t="shared" si="16"/>
        <v>0.2857142857142857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8</v>
      </c>
      <c r="J288" s="147" t="s">
        <v>1912</v>
      </c>
      <c r="K288" s="31">
        <f t="shared" si="15"/>
        <v>20</v>
      </c>
      <c r="L288" s="32">
        <f t="shared" si="16"/>
        <v>0.2857142857142857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9</v>
      </c>
      <c r="J299" s="147" t="s">
        <v>1922</v>
      </c>
      <c r="K299" s="142">
        <f t="shared" si="15"/>
        <v>19</v>
      </c>
      <c r="L299" s="143">
        <f t="shared" si="16"/>
        <v>0.32142857142857145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9</v>
      </c>
      <c r="J301" s="147" t="s">
        <v>1923</v>
      </c>
      <c r="K301" s="31">
        <f t="shared" ref="K301:K369" si="18">COUNTIF(M301:AN301,"APAGADO")</f>
        <v>19</v>
      </c>
      <c r="L301" s="32">
        <f t="shared" ref="L301:L369" si="19">(I301)/(K301+I301)</f>
        <v>0.32142857142857145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11</v>
      </c>
      <c r="J305" s="147" t="s">
        <v>1926</v>
      </c>
      <c r="K305" s="31">
        <f t="shared" si="18"/>
        <v>17</v>
      </c>
      <c r="L305" s="32">
        <f t="shared" si="19"/>
        <v>0.39285714285714285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1937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19</v>
      </c>
      <c r="J317" s="147" t="s">
        <v>1938</v>
      </c>
      <c r="K317" s="31">
        <f t="shared" si="18"/>
        <v>9</v>
      </c>
      <c r="L317" s="32">
        <f t="shared" si="19"/>
        <v>0.6785714285714286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21</v>
      </c>
      <c r="J318" s="147" t="s">
        <v>1939</v>
      </c>
      <c r="K318" s="31">
        <f t="shared" si="18"/>
        <v>7</v>
      </c>
      <c r="L318" s="32">
        <f t="shared" si="19"/>
        <v>0.75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12</v>
      </c>
      <c r="J319" s="147" t="s">
        <v>1940</v>
      </c>
      <c r="K319" s="31">
        <f t="shared" si="18"/>
        <v>16</v>
      </c>
      <c r="L319" s="32">
        <f t="shared" si="19"/>
        <v>0.42857142857142855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20</v>
      </c>
      <c r="J320" s="147" t="s">
        <v>1941</v>
      </c>
      <c r="K320" s="31">
        <f t="shared" si="18"/>
        <v>8</v>
      </c>
      <c r="L320" s="32">
        <f t="shared" si="19"/>
        <v>0.7142857142857143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1942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1949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28</v>
      </c>
      <c r="J333" s="147" t="s">
        <v>1954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26</v>
      </c>
      <c r="J336" s="147" t="s">
        <v>1955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25</v>
      </c>
      <c r="J340" s="147" t="s">
        <v>1957</v>
      </c>
      <c r="K340" s="142">
        <f t="shared" si="18"/>
        <v>3</v>
      </c>
      <c r="L340" s="143">
        <f t="shared" si="19"/>
        <v>0.8928571428571429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26</v>
      </c>
      <c r="J341" s="147" t="s">
        <v>1958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27</v>
      </c>
      <c r="J342" s="147" t="s">
        <v>1959</v>
      </c>
      <c r="K342" s="31">
        <f t="shared" si="18"/>
        <v>1</v>
      </c>
      <c r="L342" s="32">
        <f t="shared" si="19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19</v>
      </c>
      <c r="J343" s="147" t="s">
        <v>1960</v>
      </c>
      <c r="K343" s="31">
        <f t="shared" si="18"/>
        <v>9</v>
      </c>
      <c r="L343" s="32">
        <f t="shared" si="19"/>
        <v>0.6785714285714286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9</v>
      </c>
      <c r="J364" s="73"/>
      <c r="K364" s="31">
        <f t="shared" si="18"/>
        <v>19</v>
      </c>
      <c r="L364" s="32">
        <f t="shared" si="19"/>
        <v>0.32142857142857145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22</v>
      </c>
      <c r="J377" s="147" t="s">
        <v>1989</v>
      </c>
      <c r="K377" s="31">
        <f t="shared" si="21"/>
        <v>6</v>
      </c>
      <c r="L377" s="32">
        <f t="shared" si="22"/>
        <v>0.7857142857142857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27</v>
      </c>
      <c r="J378" s="147" t="s">
        <v>1990</v>
      </c>
      <c r="K378" s="31">
        <f t="shared" si="21"/>
        <v>1</v>
      </c>
      <c r="L378" s="32">
        <f t="shared" si="22"/>
        <v>0.9642857142857143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22</v>
      </c>
      <c r="J382" s="87"/>
      <c r="K382" s="31">
        <f t="shared" si="21"/>
        <v>6</v>
      </c>
      <c r="L382" s="32">
        <f t="shared" si="22"/>
        <v>0.7857142857142857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19</v>
      </c>
      <c r="J383" s="87"/>
      <c r="K383" s="31">
        <f t="shared" si="21"/>
        <v>9</v>
      </c>
      <c r="L383" s="32">
        <f t="shared" si="22"/>
        <v>0.6785714285714286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8</v>
      </c>
      <c r="J389" s="147" t="s">
        <v>1996</v>
      </c>
      <c r="K389" s="31">
        <f t="shared" si="21"/>
        <v>20</v>
      </c>
      <c r="L389" s="32">
        <f t="shared" si="22"/>
        <v>0.2857142857142857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8</v>
      </c>
      <c r="J390" s="147" t="s">
        <v>1997</v>
      </c>
      <c r="K390" s="31">
        <f t="shared" si="21"/>
        <v>20</v>
      </c>
      <c r="L390" s="32">
        <f t="shared" si="22"/>
        <v>0.2857142857142857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26</v>
      </c>
      <c r="J396" s="87" t="s">
        <v>2156</v>
      </c>
      <c r="K396" s="142">
        <f t="shared" si="21"/>
        <v>2</v>
      </c>
      <c r="L396" s="143">
        <f t="shared" si="22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8</v>
      </c>
      <c r="J402" s="87"/>
      <c r="K402" s="31">
        <f t="shared" si="21"/>
        <v>20</v>
      </c>
      <c r="L402" s="32">
        <f t="shared" si="22"/>
        <v>0.2857142857142857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17</v>
      </c>
      <c r="J413" s="147" t="s">
        <v>2013</v>
      </c>
      <c r="K413" s="31">
        <f t="shared" si="21"/>
        <v>11</v>
      </c>
      <c r="L413" s="32">
        <f t="shared" si="22"/>
        <v>0.6071428571428571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17</v>
      </c>
      <c r="J414" s="147" t="s">
        <v>2014</v>
      </c>
      <c r="K414" s="31">
        <f t="shared" si="21"/>
        <v>11</v>
      </c>
      <c r="L414" s="32">
        <f t="shared" si="22"/>
        <v>0.6071428571428571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2019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2021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8</v>
      </c>
      <c r="J423" s="87"/>
      <c r="K423" s="31">
        <f t="shared" si="21"/>
        <v>20</v>
      </c>
      <c r="L423" s="32">
        <f t="shared" si="22"/>
        <v>0.2857142857142857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15</v>
      </c>
      <c r="J428" s="147" t="s">
        <v>2023</v>
      </c>
      <c r="K428" s="31">
        <f t="shared" si="21"/>
        <v>13</v>
      </c>
      <c r="L428" s="32">
        <f t="shared" si="22"/>
        <v>0.5357142857142857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28</v>
      </c>
      <c r="J429" s="147" t="s">
        <v>2024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28</v>
      </c>
      <c r="J434" s="147" t="s">
        <v>2029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8</v>
      </c>
      <c r="J435" s="147" t="s">
        <v>2030</v>
      </c>
      <c r="K435" s="31">
        <f t="shared" si="21"/>
        <v>20</v>
      </c>
      <c r="L435" s="32">
        <f t="shared" si="22"/>
        <v>0.2857142857142857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12</v>
      </c>
      <c r="J490" s="147" t="s">
        <v>2068</v>
      </c>
      <c r="K490" s="31">
        <f t="shared" si="24"/>
        <v>16</v>
      </c>
      <c r="L490" s="32">
        <f t="shared" si="25"/>
        <v>0.42857142857142855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17</v>
      </c>
      <c r="J491" s="147" t="s">
        <v>2069</v>
      </c>
      <c r="K491" s="31">
        <f t="shared" si="24"/>
        <v>11</v>
      </c>
      <c r="L491" s="32">
        <f t="shared" si="25"/>
        <v>0.6071428571428571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22</v>
      </c>
      <c r="J495" s="147" t="s">
        <v>2073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28</v>
      </c>
      <c r="J498" s="147" t="s">
        <v>2075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26</v>
      </c>
      <c r="J505" s="147" t="s">
        <v>2082</v>
      </c>
      <c r="K505" s="142">
        <f t="shared" si="24"/>
        <v>2</v>
      </c>
      <c r="L505" s="143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28</v>
      </c>
      <c r="J523" s="147" t="s">
        <v>2205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9</v>
      </c>
      <c r="J542" s="147" t="s">
        <v>2109</v>
      </c>
      <c r="K542" s="31">
        <f t="shared" si="27"/>
        <v>19</v>
      </c>
      <c r="L542" s="32">
        <f t="shared" si="28"/>
        <v>0.32142857142857145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16</v>
      </c>
      <c r="J558" s="147" t="s">
        <v>2120</v>
      </c>
      <c r="K558" s="142">
        <f t="shared" si="27"/>
        <v>12</v>
      </c>
      <c r="L558" s="143">
        <f t="shared" si="28"/>
        <v>0.5714285714285714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05" zoomScale="90" zoomScaleNormal="90" workbookViewId="0">
      <selection activeCell="H215" sqref="H21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2025-10-20T11:06:49Z</dcterms:modified>
</cp:coreProperties>
</file>