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D7FD7781-C7D2-4FB5-A0E3-C6BA683700C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D59" i="24" s="1"/>
  <c r="D60" i="24" s="1"/>
  <c r="D61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<sst xmlns="http://schemas.openxmlformats.org/spreadsheetml/2006/main" count="5621" uniqueCount="2324">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</sst>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view="pageBreakPreview" zoomScale="80" zoomScaleNormal="80" zoomScaleSheetLayoutView="80" workbookViewId="0">
      <pane xSplit="12" ySplit="7" topLeftCell="M78" activePane="bottomRight" state="frozen"/>
      <selection pane="topRight" activeCell="M1" sqref="M1"/>
      <selection pane="bottomLeft" activeCell="A5" sqref="A5"/>
      <selection pane="bottomRight" activeCell="B598" sqref="B598"/>
    </sheetView>
  </sheetViews>
  <sheetFormatPr baseColWidth="10" defaultColWidth="11.5703125" defaultRowHeight="15" x14ac:dyDescent="0.25"/>
  <cols>
    <col min="1" max="1" width="17.28515625" customWidth="1"/>
    <col min="2" max="2" width="18.57031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0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22</v>
      </c>
      <c r="J9" s="146" t="s">
        <v>1657</v>
      </c>
      <c r="K9" s="31">
        <f t="shared" si="7"/>
        <v>6</v>
      </c>
      <c r="L9" s="32">
        <f t="shared" si="8"/>
        <v>0.7857142857142857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22</v>
      </c>
      <c r="J19" s="146" t="s">
        <v>1666</v>
      </c>
      <c r="K19" s="31">
        <f t="shared" si="7"/>
        <v>6</v>
      </c>
      <c r="L19" s="32">
        <f t="shared" si="8"/>
        <v>0.7857142857142857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22</v>
      </c>
      <c r="J20" s="146" t="s">
        <v>1667</v>
      </c>
      <c r="K20" s="31">
        <f t="shared" si="7"/>
        <v>6</v>
      </c>
      <c r="L20" s="32">
        <f t="shared" si="8"/>
        <v>0.7857142857142857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28</v>
      </c>
      <c r="J21" s="146" t="s">
        <v>1668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1190</v>
      </c>
      <c r="B30" s="85" t="s">
        <v>2317</v>
      </c>
      <c r="C30" s="73" t="s">
        <v>1058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hidden="1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22</v>
      </c>
      <c r="J36" s="87" t="s">
        <v>2152</v>
      </c>
      <c r="K36" s="141">
        <f t="shared" si="7"/>
        <v>6</v>
      </c>
      <c r="L36" s="142">
        <f t="shared" si="8"/>
        <v>0.7857142857142857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hidden="1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22</v>
      </c>
      <c r="J37" s="87" t="s">
        <v>2146</v>
      </c>
      <c r="K37" s="141">
        <f t="shared" si="7"/>
        <v>6</v>
      </c>
      <c r="L37" s="142">
        <f t="shared" si="8"/>
        <v>0.7857142857142857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25</v>
      </c>
      <c r="J45" s="151" t="s">
        <v>2236</v>
      </c>
      <c r="K45" s="31">
        <f t="shared" si="7"/>
        <v>3</v>
      </c>
      <c r="L45" s="32">
        <f t="shared" si="8"/>
        <v>0.8928571428571429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25</v>
      </c>
      <c r="J46" s="151" t="s">
        <v>2241</v>
      </c>
      <c r="K46" s="31">
        <f t="shared" si="7"/>
        <v>3</v>
      </c>
      <c r="L46" s="32">
        <f t="shared" si="8"/>
        <v>0.8928571428571429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27</v>
      </c>
      <c r="J71" s="146" t="s">
        <v>1703</v>
      </c>
      <c r="K71" s="31">
        <f t="shared" si="7"/>
        <v>1</v>
      </c>
      <c r="L71" s="32">
        <f t="shared" si="8"/>
        <v>0.9642857142857143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26</v>
      </c>
      <c r="J75" s="146" t="s">
        <v>1707</v>
      </c>
      <c r="K75" s="31">
        <f t="shared" si="7"/>
        <v>2</v>
      </c>
      <c r="L75" s="32">
        <f t="shared" si="8"/>
        <v>0.9285714285714286</v>
      </c>
      <c r="M75" s="70"/>
      <c r="N75" s="70"/>
      <c r="O75" s="70"/>
      <c r="P75" s="70" t="s">
        <v>2277</v>
      </c>
      <c r="Q75" s="70"/>
      <c r="R75" s="70" t="s">
        <v>2277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27</v>
      </c>
      <c r="J82" s="146" t="s">
        <v>1714</v>
      </c>
      <c r="K82" s="31">
        <f t="shared" si="7"/>
        <v>1</v>
      </c>
      <c r="L82" s="32">
        <f t="shared" si="8"/>
        <v>0.9642857142857143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27</v>
      </c>
      <c r="J83" s="146" t="s">
        <v>1715</v>
      </c>
      <c r="K83" s="31">
        <f t="shared" si="7"/>
        <v>1</v>
      </c>
      <c r="L83" s="32">
        <f t="shared" si="8"/>
        <v>0.9642857142857143</v>
      </c>
      <c r="M83" s="70"/>
      <c r="N83" s="70"/>
      <c r="O83" s="70"/>
      <c r="P83" s="70"/>
      <c r="Q83" s="70"/>
      <c r="R83" s="70" t="s">
        <v>2277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27</v>
      </c>
      <c r="J89" s="146" t="s">
        <v>1721</v>
      </c>
      <c r="K89" s="31">
        <f t="shared" si="10"/>
        <v>1</v>
      </c>
      <c r="L89" s="32">
        <f t="shared" si="11"/>
        <v>0.9642857142857143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23</v>
      </c>
      <c r="J90" s="146" t="s">
        <v>1722</v>
      </c>
      <c r="K90" s="31">
        <f t="shared" si="10"/>
        <v>5</v>
      </c>
      <c r="L90" s="32">
        <f t="shared" si="11"/>
        <v>0.8214285714285714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28</v>
      </c>
      <c r="J93" s="146" t="s">
        <v>1725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22</v>
      </c>
      <c r="J95" s="149" t="s">
        <v>1727</v>
      </c>
      <c r="K95" s="31">
        <f t="shared" si="10"/>
        <v>6</v>
      </c>
      <c r="L95" s="32">
        <f t="shared" si="11"/>
        <v>0.7857142857142857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28</v>
      </c>
      <c r="J121" s="146" t="s">
        <v>1752</v>
      </c>
      <c r="K121" s="141">
        <f t="shared" si="10"/>
        <v>0</v>
      </c>
      <c r="L121" s="14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27</v>
      </c>
      <c r="J128" s="147" t="s">
        <v>1759</v>
      </c>
      <c r="K128" s="141">
        <f t="shared" si="10"/>
        <v>1</v>
      </c>
      <c r="L128" s="142">
        <f t="shared" si="11"/>
        <v>0.9642857142857143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24</v>
      </c>
      <c r="J131" s="146" t="s">
        <v>1762</v>
      </c>
      <c r="K131" s="31">
        <f t="shared" si="10"/>
        <v>4</v>
      </c>
      <c r="L131" s="32">
        <f t="shared" si="11"/>
        <v>0.8571428571428571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28</v>
      </c>
      <c r="J144" s="146" t="s">
        <v>2214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27</v>
      </c>
      <c r="J146" s="146" t="s">
        <v>2312</v>
      </c>
      <c r="K146" s="141">
        <f t="shared" si="10"/>
        <v>1</v>
      </c>
      <c r="L146" s="142">
        <f t="shared" si="11"/>
        <v>0.9642857142857143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22</v>
      </c>
      <c r="J152" s="146" t="s">
        <v>1777</v>
      </c>
      <c r="K152" s="31">
        <f t="shared" si="10"/>
        <v>6</v>
      </c>
      <c r="L152" s="32">
        <f t="shared" si="11"/>
        <v>0.7857142857142857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25</v>
      </c>
      <c r="J167" s="146" t="s">
        <v>1786</v>
      </c>
      <c r="K167" s="31">
        <f t="shared" si="13"/>
        <v>3</v>
      </c>
      <c r="L167" s="32">
        <f t="shared" si="14"/>
        <v>0.8928571428571429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25</v>
      </c>
      <c r="J168" s="146" t="s">
        <v>1787</v>
      </c>
      <c r="K168" s="31">
        <f t="shared" si="13"/>
        <v>3</v>
      </c>
      <c r="L168" s="32">
        <f t="shared" si="14"/>
        <v>0.8928571428571429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25</v>
      </c>
      <c r="J169" s="146" t="s">
        <v>1788</v>
      </c>
      <c r="K169" s="31">
        <f t="shared" si="13"/>
        <v>3</v>
      </c>
      <c r="L169" s="32">
        <f t="shared" si="14"/>
        <v>0.8928571428571429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25</v>
      </c>
      <c r="J170" s="146" t="s">
        <v>1789</v>
      </c>
      <c r="K170" s="31">
        <f t="shared" si="13"/>
        <v>3</v>
      </c>
      <c r="L170" s="32">
        <f t="shared" si="14"/>
        <v>0.8928571428571429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22</v>
      </c>
      <c r="J171" s="146" t="s">
        <v>1790</v>
      </c>
      <c r="K171" s="31">
        <f t="shared" si="13"/>
        <v>6</v>
      </c>
      <c r="L171" s="32">
        <f t="shared" si="14"/>
        <v>0.7857142857142857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22</v>
      </c>
      <c r="J172" s="146" t="s">
        <v>1791</v>
      </c>
      <c r="K172" s="31">
        <f t="shared" si="13"/>
        <v>6</v>
      </c>
      <c r="L172" s="32">
        <f t="shared" si="14"/>
        <v>0.7857142857142857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22</v>
      </c>
      <c r="J187" s="146" t="s">
        <v>1805</v>
      </c>
      <c r="K187" s="31">
        <f t="shared" si="13"/>
        <v>6</v>
      </c>
      <c r="L187" s="32">
        <f t="shared" si="14"/>
        <v>0.7857142857142857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22</v>
      </c>
      <c r="J188" s="146" t="s">
        <v>1806</v>
      </c>
      <c r="K188" s="31">
        <f t="shared" si="13"/>
        <v>6</v>
      </c>
      <c r="L188" s="32">
        <f t="shared" si="14"/>
        <v>0.7857142857142857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25</v>
      </c>
      <c r="J195" s="146" t="s">
        <v>1809</v>
      </c>
      <c r="K195" s="31">
        <f t="shared" si="13"/>
        <v>3</v>
      </c>
      <c r="L195" s="32">
        <f t="shared" si="14"/>
        <v>0.8928571428571429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25</v>
      </c>
      <c r="J196" s="146" t="s">
        <v>1810</v>
      </c>
      <c r="K196" s="31">
        <f t="shared" si="13"/>
        <v>3</v>
      </c>
      <c r="L196" s="32">
        <f t="shared" si="14"/>
        <v>0.8928571428571429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217</v>
      </c>
      <c r="B197" s="136" t="s">
        <v>947</v>
      </c>
      <c r="C197" s="136" t="s">
        <v>1059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22</v>
      </c>
      <c r="J197" s="87"/>
      <c r="K197" s="137">
        <f t="shared" si="13"/>
        <v>6</v>
      </c>
      <c r="L197" s="138">
        <f t="shared" si="14"/>
        <v>0.7857142857142857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22</v>
      </c>
      <c r="J198" s="146" t="s">
        <v>1811</v>
      </c>
      <c r="K198" s="141">
        <f t="shared" si="13"/>
        <v>6</v>
      </c>
      <c r="L198" s="142">
        <f t="shared" si="14"/>
        <v>0.7857142857142857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22</v>
      </c>
      <c r="J199" s="146" t="s">
        <v>1812</v>
      </c>
      <c r="K199" s="141">
        <f t="shared" si="13"/>
        <v>6</v>
      </c>
      <c r="L199" s="142">
        <f t="shared" si="14"/>
        <v>0.7857142857142857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22</v>
      </c>
      <c r="J201" s="146" t="s">
        <v>1814</v>
      </c>
      <c r="K201" s="31">
        <f t="shared" si="13"/>
        <v>6</v>
      </c>
      <c r="L201" s="32">
        <f t="shared" si="14"/>
        <v>0.7857142857142857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23</v>
      </c>
      <c r="J237" s="146" t="s">
        <v>1841</v>
      </c>
      <c r="K237" s="31">
        <f t="shared" si="13"/>
        <v>5</v>
      </c>
      <c r="L237" s="32">
        <f t="shared" si="14"/>
        <v>0.8214285714285714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22</v>
      </c>
      <c r="J250" s="146" t="s">
        <v>1854</v>
      </c>
      <c r="K250" s="31">
        <f t="shared" si="16"/>
        <v>6</v>
      </c>
      <c r="L250" s="32">
        <f t="shared" si="17"/>
        <v>0.7857142857142857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22</v>
      </c>
      <c r="J251" s="146" t="s">
        <v>1855</v>
      </c>
      <c r="K251" s="31">
        <f t="shared" si="16"/>
        <v>6</v>
      </c>
      <c r="L251" s="32">
        <f t="shared" si="17"/>
        <v>0.7857142857142857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22</v>
      </c>
      <c r="J254" s="146" t="s">
        <v>1856</v>
      </c>
      <c r="K254" s="31">
        <f t="shared" si="16"/>
        <v>6</v>
      </c>
      <c r="L254" s="32">
        <f t="shared" si="17"/>
        <v>0.7857142857142857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hidden="1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22</v>
      </c>
      <c r="J255" s="146" t="s">
        <v>2293</v>
      </c>
      <c r="K255" s="31">
        <f t="shared" si="16"/>
        <v>6</v>
      </c>
      <c r="L255" s="32">
        <f t="shared" si="17"/>
        <v>0.7857142857142857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27</v>
      </c>
      <c r="J285" s="146" t="s">
        <v>1879</v>
      </c>
      <c r="K285" s="31">
        <f t="shared" si="16"/>
        <v>1</v>
      </c>
      <c r="L285" s="32">
        <f t="shared" si="17"/>
        <v>0.9642857142857143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25</v>
      </c>
      <c r="J291" s="146" t="s">
        <v>1884</v>
      </c>
      <c r="K291" s="141">
        <f t="shared" si="16"/>
        <v>3</v>
      </c>
      <c r="L291" s="142">
        <f t="shared" si="17"/>
        <v>0.8928571428571429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28</v>
      </c>
      <c r="J292" s="146" t="s">
        <v>1885</v>
      </c>
      <c r="K292" s="141">
        <f t="shared" si="16"/>
        <v>0</v>
      </c>
      <c r="L292" s="14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25</v>
      </c>
      <c r="J303" s="146" t="s">
        <v>1895</v>
      </c>
      <c r="K303" s="31">
        <f t="shared" si="16"/>
        <v>3</v>
      </c>
      <c r="L303" s="32">
        <f t="shared" si="17"/>
        <v>0.8928571428571429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hidden="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22</v>
      </c>
      <c r="J304" s="146" t="s">
        <v>1896</v>
      </c>
      <c r="K304" s="31">
        <f t="shared" si="16"/>
        <v>6</v>
      </c>
      <c r="L304" s="32">
        <f t="shared" si="17"/>
        <v>0.7857142857142857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25</v>
      </c>
      <c r="J305" s="146" t="s">
        <v>1897</v>
      </c>
      <c r="K305" s="31">
        <f t="shared" si="16"/>
        <v>3</v>
      </c>
      <c r="L305" s="32">
        <f t="shared" si="17"/>
        <v>0.8928571428571429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25</v>
      </c>
      <c r="J306" s="146" t="s">
        <v>1898</v>
      </c>
      <c r="K306" s="31">
        <f t="shared" si="16"/>
        <v>3</v>
      </c>
      <c r="L306" s="32">
        <f t="shared" si="17"/>
        <v>0.8928571428571429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25</v>
      </c>
      <c r="J307" s="146" t="s">
        <v>1899</v>
      </c>
      <c r="K307" s="31">
        <f t="shared" si="16"/>
        <v>3</v>
      </c>
      <c r="L307" s="32">
        <f t="shared" si="17"/>
        <v>0.8928571428571429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25</v>
      </c>
      <c r="J308" s="146" t="s">
        <v>1900</v>
      </c>
      <c r="K308" s="31">
        <f t="shared" si="16"/>
        <v>3</v>
      </c>
      <c r="L308" s="32">
        <f t="shared" si="17"/>
        <v>0.8928571428571429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hidden="1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22</v>
      </c>
      <c r="J316" s="146" t="s">
        <v>1907</v>
      </c>
      <c r="K316" s="141">
        <f t="shared" si="16"/>
        <v>6</v>
      </c>
      <c r="L316" s="142">
        <f t="shared" si="17"/>
        <v>0.7857142857142857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hidden="1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22</v>
      </c>
      <c r="J318" s="146" t="s">
        <v>1908</v>
      </c>
      <c r="K318" s="31">
        <f t="shared" ref="K318:K388" si="19">COUNTIF(M318:AN318,"APAGADO")</f>
        <v>6</v>
      </c>
      <c r="L318" s="32">
        <f t="shared" ref="L318:L388" si="20">(I318)/(K318+I318)</f>
        <v>0.7857142857142857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22</v>
      </c>
      <c r="J319" s="146" t="s">
        <v>1909</v>
      </c>
      <c r="K319" s="141">
        <f t="shared" si="19"/>
        <v>6</v>
      </c>
      <c r="L319" s="142">
        <f t="shared" si="20"/>
        <v>0.7857142857142857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hidden="1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22</v>
      </c>
      <c r="J320" s="87" t="s">
        <v>2186</v>
      </c>
      <c r="K320" s="141">
        <f t="shared" si="19"/>
        <v>6</v>
      </c>
      <c r="L320" s="142">
        <f t="shared" si="20"/>
        <v>0.7857142857142857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hidden="1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22</v>
      </c>
      <c r="J321" s="146" t="s">
        <v>1910</v>
      </c>
      <c r="K321" s="141">
        <f t="shared" si="19"/>
        <v>6</v>
      </c>
      <c r="L321" s="142">
        <f t="shared" si="20"/>
        <v>0.7857142857142857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25</v>
      </c>
      <c r="J322" s="146" t="s">
        <v>1911</v>
      </c>
      <c r="K322" s="31">
        <f t="shared" si="19"/>
        <v>3</v>
      </c>
      <c r="L322" s="32">
        <f t="shared" si="20"/>
        <v>0.8928571428571429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22</v>
      </c>
      <c r="J383" s="73"/>
      <c r="K383" s="31">
        <f t="shared" si="19"/>
        <v>6</v>
      </c>
      <c r="L383" s="32">
        <f t="shared" si="20"/>
        <v>0.7857142857142857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22</v>
      </c>
      <c r="J389" s="146" t="s">
        <v>1967</v>
      </c>
      <c r="K389" s="31">
        <f t="shared" ref="K389:K470" si="22">COUNTIF(M389:AN389,"APAGADO")</f>
        <v>6</v>
      </c>
      <c r="L389" s="32">
        <f t="shared" ref="L389:L470" si="23">(I389)/(K389+I389)</f>
        <v>0.7857142857142857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22</v>
      </c>
      <c r="J390" s="146" t="s">
        <v>1968</v>
      </c>
      <c r="K390" s="31">
        <f t="shared" si="22"/>
        <v>6</v>
      </c>
      <c r="L390" s="32">
        <f t="shared" si="23"/>
        <v>0.7857142857142857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22</v>
      </c>
      <c r="J395" s="146" t="s">
        <v>1973</v>
      </c>
      <c r="K395" s="31">
        <f t="shared" si="22"/>
        <v>6</v>
      </c>
      <c r="L395" s="32">
        <f t="shared" si="23"/>
        <v>0.7857142857142857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22</v>
      </c>
      <c r="J396" s="146" t="s">
        <v>1974</v>
      </c>
      <c r="K396" s="31">
        <f t="shared" si="22"/>
        <v>6</v>
      </c>
      <c r="L396" s="32">
        <f t="shared" si="23"/>
        <v>0.7857142857142857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22</v>
      </c>
      <c r="J397" s="146" t="s">
        <v>1975</v>
      </c>
      <c r="K397" s="31">
        <f t="shared" si="22"/>
        <v>6</v>
      </c>
      <c r="L397" s="32">
        <f t="shared" si="23"/>
        <v>0.7857142857142857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22</v>
      </c>
      <c r="J402" s="87"/>
      <c r="K402" s="31">
        <f t="shared" si="22"/>
        <v>6</v>
      </c>
      <c r="L402" s="32">
        <f t="shared" si="23"/>
        <v>0.7857142857142857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22</v>
      </c>
      <c r="J403" s="87"/>
      <c r="K403" s="31">
        <f t="shared" si="22"/>
        <v>6</v>
      </c>
      <c r="L403" s="32">
        <f t="shared" si="23"/>
        <v>0.7857142857142857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22</v>
      </c>
      <c r="J407" s="146" t="s">
        <v>1980</v>
      </c>
      <c r="K407" s="87">
        <f t="shared" si="22"/>
        <v>6</v>
      </c>
      <c r="L407" s="88">
        <f t="shared" si="23"/>
        <v>0.7857142857142857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22</v>
      </c>
      <c r="J409" s="146" t="s">
        <v>1981</v>
      </c>
      <c r="K409" s="31">
        <f t="shared" si="22"/>
        <v>6</v>
      </c>
      <c r="L409" s="32">
        <f t="shared" si="23"/>
        <v>0.7857142857142857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22</v>
      </c>
      <c r="J410" s="146" t="s">
        <v>1982</v>
      </c>
      <c r="K410" s="31">
        <f t="shared" si="22"/>
        <v>6</v>
      </c>
      <c r="L410" s="32">
        <f t="shared" si="23"/>
        <v>0.7857142857142857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22</v>
      </c>
      <c r="J411" s="146" t="s">
        <v>1983</v>
      </c>
      <c r="K411" s="141">
        <f t="shared" si="22"/>
        <v>6</v>
      </c>
      <c r="L411" s="142">
        <f t="shared" si="23"/>
        <v>0.7857142857142857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23</v>
      </c>
      <c r="J412" s="146" t="s">
        <v>1984</v>
      </c>
      <c r="K412" s="141">
        <f t="shared" si="22"/>
        <v>5</v>
      </c>
      <c r="L412" s="142">
        <f t="shared" si="23"/>
        <v>0.8214285714285714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28</v>
      </c>
      <c r="J422" s="146" t="s">
        <v>1988</v>
      </c>
      <c r="K422" s="141">
        <f t="shared" si="22"/>
        <v>0</v>
      </c>
      <c r="L422" s="14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hidden="1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22</v>
      </c>
      <c r="J423" s="87"/>
      <c r="K423" s="31">
        <f t="shared" si="22"/>
        <v>6</v>
      </c>
      <c r="L423" s="32">
        <f t="shared" si="23"/>
        <v>0.7857142857142857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23</v>
      </c>
      <c r="J446" s="87"/>
      <c r="K446" s="31">
        <f t="shared" si="22"/>
        <v>5</v>
      </c>
      <c r="L446" s="32">
        <f t="shared" si="23"/>
        <v>0.8214285714285714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23</v>
      </c>
      <c r="J447" s="87"/>
      <c r="K447" s="31">
        <f t="shared" si="22"/>
        <v>5</v>
      </c>
      <c r="L447" s="32">
        <f t="shared" si="23"/>
        <v>0.8214285714285714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22</v>
      </c>
      <c r="J450" s="146" t="s">
        <v>2008</v>
      </c>
      <c r="K450" s="31">
        <f t="shared" si="22"/>
        <v>6</v>
      </c>
      <c r="L450" s="32">
        <f t="shared" si="23"/>
        <v>0.7857142857142857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28</v>
      </c>
      <c r="J452" s="146" t="s">
        <v>2010</v>
      </c>
      <c r="K452" s="141">
        <f t="shared" si="22"/>
        <v>0</v>
      </c>
      <c r="L452" s="142">
        <f t="shared" si="23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28</v>
      </c>
      <c r="J453" s="146" t="s">
        <v>2011</v>
      </c>
      <c r="K453" s="141">
        <f t="shared" si="22"/>
        <v>0</v>
      </c>
      <c r="L453" s="142">
        <f t="shared" si="23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22</v>
      </c>
      <c r="J464" s="146" t="s">
        <v>2016</v>
      </c>
      <c r="K464" s="141">
        <f t="shared" si="22"/>
        <v>6</v>
      </c>
      <c r="L464" s="142">
        <f t="shared" si="23"/>
        <v>0.7857142857142857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22</v>
      </c>
      <c r="J465" s="146" t="s">
        <v>2017</v>
      </c>
      <c r="K465" s="141">
        <f t="shared" si="22"/>
        <v>6</v>
      </c>
      <c r="L465" s="142">
        <f t="shared" si="23"/>
        <v>0.7857142857142857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24</v>
      </c>
      <c r="J466" s="87"/>
      <c r="K466" s="141">
        <f t="shared" si="22"/>
        <v>4</v>
      </c>
      <c r="L466" s="142">
        <f t="shared" si="23"/>
        <v>0.8571428571428571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27</v>
      </c>
      <c r="J467" s="151" t="s">
        <v>2135</v>
      </c>
      <c r="K467" s="141">
        <f t="shared" si="22"/>
        <v>1</v>
      </c>
      <c r="L467" s="142">
        <f t="shared" si="23"/>
        <v>0.9642857142857143</v>
      </c>
      <c r="M467" s="70"/>
      <c r="N467" s="70"/>
      <c r="O467" s="70"/>
      <c r="P467" s="70"/>
      <c r="Q467" s="70"/>
      <c r="R467" s="70" t="s">
        <v>2277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22</v>
      </c>
      <c r="J468" s="151"/>
      <c r="K468" s="141">
        <f t="shared" si="22"/>
        <v>6</v>
      </c>
      <c r="L468" s="142">
        <f t="shared" si="23"/>
        <v>0.7857142857142857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22</v>
      </c>
      <c r="J470" s="146" t="s">
        <v>2019</v>
      </c>
      <c r="K470" s="31">
        <f t="shared" si="22"/>
        <v>6</v>
      </c>
      <c r="L470" s="32">
        <f t="shared" si="23"/>
        <v>0.7857142857142857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24</v>
      </c>
      <c r="J485" s="87" t="s">
        <v>2156</v>
      </c>
      <c r="K485" s="87">
        <f t="shared" si="25"/>
        <v>4</v>
      </c>
      <c r="L485" s="88">
        <f t="shared" si="26"/>
        <v>0.8571428571428571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24</v>
      </c>
      <c r="J514" s="146" t="s">
        <v>2053</v>
      </c>
      <c r="K514" s="31">
        <f t="shared" si="25"/>
        <v>4</v>
      </c>
      <c r="L514" s="32">
        <f t="shared" si="26"/>
        <v>0.8571428571428571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23</v>
      </c>
      <c r="J519" s="146" t="s">
        <v>2058</v>
      </c>
      <c r="K519" s="31">
        <f t="shared" si="25"/>
        <v>5</v>
      </c>
      <c r="L519" s="32">
        <f t="shared" si="26"/>
        <v>0.8214285714285714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22</v>
      </c>
      <c r="J545" s="146" t="s">
        <v>2080</v>
      </c>
      <c r="K545" s="141">
        <f t="shared" ref="K545:K591" si="28">COUNTIF(M545:AN545,"APAGADO")</f>
        <v>6</v>
      </c>
      <c r="L545" s="142">
        <f t="shared" ref="L545:L591" si="29">(I545)/(K545+I545)</f>
        <v>0.7857142857142857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28</v>
      </c>
      <c r="J549" s="146" t="s">
        <v>2189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28</v>
      </c>
      <c r="J555" s="87" t="s">
        <v>2177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22</v>
      </c>
      <c r="J556" s="87"/>
      <c r="K556" s="141">
        <f t="shared" si="28"/>
        <v>6</v>
      </c>
      <c r="L556" s="142">
        <f t="shared" si="29"/>
        <v>0.7857142857142857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22</v>
      </c>
      <c r="J557" s="87" t="s">
        <v>2178</v>
      </c>
      <c r="K557" s="141">
        <f t="shared" si="28"/>
        <v>6</v>
      </c>
      <c r="L557" s="142">
        <f t="shared" si="29"/>
        <v>0.7857142857142857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22</v>
      </c>
      <c r="J558" s="87" t="s">
        <v>2174</v>
      </c>
      <c r="K558" s="31">
        <f t="shared" si="28"/>
        <v>6</v>
      </c>
      <c r="L558" s="32">
        <f t="shared" si="29"/>
        <v>0.7857142857142857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22</v>
      </c>
      <c r="J560" s="87" t="s">
        <v>2175</v>
      </c>
      <c r="K560" s="31">
        <f t="shared" si="28"/>
        <v>6</v>
      </c>
      <c r="L560" s="32">
        <f t="shared" si="29"/>
        <v>0.7857142857142857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22</v>
      </c>
      <c r="J568" s="146" t="s">
        <v>2094</v>
      </c>
      <c r="K568" s="31">
        <f t="shared" si="28"/>
        <v>6</v>
      </c>
      <c r="L568" s="32">
        <f t="shared" si="29"/>
        <v>0.7857142857142857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22</v>
      </c>
      <c r="J569" s="146" t="s">
        <v>2095</v>
      </c>
      <c r="K569" s="31">
        <f t="shared" si="28"/>
        <v>6</v>
      </c>
      <c r="L569" s="32">
        <f t="shared" si="29"/>
        <v>0.7857142857142857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22</v>
      </c>
      <c r="J570" s="146" t="s">
        <v>2096</v>
      </c>
      <c r="K570" s="31">
        <f t="shared" si="28"/>
        <v>6</v>
      </c>
      <c r="L570" s="32">
        <f t="shared" si="29"/>
        <v>0.7857142857142857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22</v>
      </c>
      <c r="J571" s="146" t="s">
        <v>2097</v>
      </c>
      <c r="K571" s="31">
        <f t="shared" si="28"/>
        <v>6</v>
      </c>
      <c r="L571" s="32">
        <f t="shared" si="29"/>
        <v>0.7857142857142857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22</v>
      </c>
      <c r="J572" s="146" t="s">
        <v>2098</v>
      </c>
      <c r="K572" s="31">
        <f t="shared" si="28"/>
        <v>6</v>
      </c>
      <c r="L572" s="32">
        <f t="shared" si="29"/>
        <v>0.7857142857142857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23</v>
      </c>
      <c r="J586" s="146" t="s">
        <v>2105</v>
      </c>
      <c r="K586" s="141">
        <f t="shared" si="28"/>
        <v>5</v>
      </c>
      <c r="L586" s="142">
        <f t="shared" si="29"/>
        <v>0.8214285714285714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7">
      <filters>
        <filter val="172.20.11.179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276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0.14285714285714285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59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0.19565217391304349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9" zoomScaleNormal="100" workbookViewId="0">
      <selection activeCell="D62" sqref="D6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276</v>
      </c>
      <c r="D54" s="112">
        <f>Hoja1!J5</f>
        <v>59</v>
      </c>
      <c r="E54" s="113">
        <f>D54/C54</f>
        <v>0.21376811594202899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276</v>
      </c>
      <c r="D65" s="112">
        <f>Hoja1!K5</f>
        <v>54</v>
      </c>
      <c r="E65" s="113">
        <f>D65/C65</f>
        <v>0.19565217391304349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1239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1240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1468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1059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1239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1240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1469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1059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1239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1240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1059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1239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1240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1059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2026-03-06T20:10:21Z</dcterms:modified>
</cp:coreProperties>
</file>