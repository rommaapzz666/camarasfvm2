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205562E4-984D-4809-9CC1-627A9A4A8C35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<sst xmlns="http://schemas.openxmlformats.org/spreadsheetml/2006/main" count="6248" uniqueCount="2131">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</sst>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zoomScale="53" zoomScaleNormal="53" workbookViewId="0">
      <pane xSplit="12" ySplit="7" topLeftCell="AH319" activePane="bottomRight" state="frozen"/>
      <selection pane="topRight" activeCell="M1" sqref="M1"/>
      <selection pane="bottomLeft" activeCell="A5" sqref="A5"/>
      <selection pane="bottomRight" activeCell="D384" sqref="D384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0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0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0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6</v>
      </c>
      <c r="J22" s="148" t="s">
        <v>1689</v>
      </c>
      <c r="K22" s="31">
        <f t="shared" si="5"/>
        <v>22</v>
      </c>
      <c r="L22" s="32">
        <f t="shared" si="6"/>
        <v>0.21428571428571427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7</v>
      </c>
      <c r="J34" s="148" t="s">
        <v>1698</v>
      </c>
      <c r="K34" s="134">
        <f t="shared" si="5"/>
        <v>21</v>
      </c>
      <c r="L34" s="135">
        <f t="shared" si="6"/>
        <v>0.25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7</v>
      </c>
      <c r="J35" s="87"/>
      <c r="K35" s="143">
        <f t="shared" si="5"/>
        <v>21</v>
      </c>
      <c r="L35" s="144">
        <f t="shared" si="6"/>
        <v>0.25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25</v>
      </c>
      <c r="J46" s="148" t="s">
        <v>1704</v>
      </c>
      <c r="K46" s="31">
        <f t="shared" si="5"/>
        <v>3</v>
      </c>
      <c r="L46" s="32">
        <f t="shared" si="6"/>
        <v>0.8928571428571429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148" t="s">
        <v>1713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6</v>
      </c>
      <c r="J63" s="87"/>
      <c r="K63" s="31">
        <f t="shared" si="5"/>
        <v>22</v>
      </c>
      <c r="L63" s="32">
        <f t="shared" si="6"/>
        <v>0.21428571428571427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/>
      <c r="AJ63" s="93"/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7</v>
      </c>
      <c r="J66" s="148" t="s">
        <v>1722</v>
      </c>
      <c r="K66" s="31">
        <f t="shared" si="5"/>
        <v>21</v>
      </c>
      <c r="L66" s="32">
        <f t="shared" si="6"/>
        <v>0.25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7</v>
      </c>
      <c r="J95" s="148" t="s">
        <v>1751</v>
      </c>
      <c r="K95" s="143">
        <f t="shared" si="8"/>
        <v>21</v>
      </c>
      <c r="L95" s="144">
        <f t="shared" si="9"/>
        <v>0.25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6</v>
      </c>
      <c r="J96" s="148" t="s">
        <v>1752</v>
      </c>
      <c r="K96" s="143">
        <f t="shared" si="8"/>
        <v>22</v>
      </c>
      <c r="L96" s="144">
        <f t="shared" si="9"/>
        <v>0.21428571428571427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7</v>
      </c>
      <c r="J98" s="148" t="s">
        <v>1754</v>
      </c>
      <c r="K98" s="143">
        <f t="shared" si="8"/>
        <v>21</v>
      </c>
      <c r="L98" s="144">
        <f t="shared" si="9"/>
        <v>0.25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10</v>
      </c>
      <c r="J103" s="148" t="s">
        <v>1759</v>
      </c>
      <c r="K103" s="143">
        <f t="shared" si="8"/>
        <v>18</v>
      </c>
      <c r="L103" s="144">
        <f t="shared" si="9"/>
        <v>0.35714285714285715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6</v>
      </c>
      <c r="J116" s="148" t="s">
        <v>1771</v>
      </c>
      <c r="K116" s="31">
        <f t="shared" si="8"/>
        <v>22</v>
      </c>
      <c r="L116" s="32">
        <f t="shared" si="9"/>
        <v>0.21428571428571427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6</v>
      </c>
      <c r="J117" s="148" t="s">
        <v>1772</v>
      </c>
      <c r="K117" s="143">
        <f t="shared" si="8"/>
        <v>22</v>
      </c>
      <c r="L117" s="144">
        <f t="shared" si="9"/>
        <v>0.21428571428571427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/>
      <c r="AJ117" s="70"/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6</v>
      </c>
      <c r="J121" s="148" t="s">
        <v>1776</v>
      </c>
      <c r="K121" s="31">
        <f t="shared" si="8"/>
        <v>22</v>
      </c>
      <c r="L121" s="32">
        <f t="shared" si="9"/>
        <v>0.21428571428571427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6</v>
      </c>
      <c r="J122" s="148" t="s">
        <v>1777</v>
      </c>
      <c r="K122" s="31">
        <f t="shared" si="8"/>
        <v>22</v>
      </c>
      <c r="L122" s="32">
        <f t="shared" si="9"/>
        <v>0.21428571428571427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6</v>
      </c>
      <c r="J147" s="87"/>
      <c r="K147" s="141">
        <f t="shared" si="8"/>
        <v>22</v>
      </c>
      <c r="L147" s="142">
        <f t="shared" si="9"/>
        <v>0.21428571428571427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/>
      <c r="AJ147" s="93"/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6</v>
      </c>
      <c r="J150" s="87"/>
      <c r="K150" s="31">
        <f t="shared" si="8"/>
        <v>22</v>
      </c>
      <c r="L150" s="32">
        <f t="shared" si="9"/>
        <v>0.21428571428571427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/>
      <c r="AJ150" s="93"/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6</v>
      </c>
      <c r="J151" s="87"/>
      <c r="K151" s="31">
        <f t="shared" si="8"/>
        <v>22</v>
      </c>
      <c r="L151" s="32">
        <f t="shared" si="9"/>
        <v>0.21428571428571427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/>
      <c r="AJ151" s="93"/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7</v>
      </c>
      <c r="J155" s="148" t="s">
        <v>1804</v>
      </c>
      <c r="K155" s="143">
        <f t="shared" si="8"/>
        <v>21</v>
      </c>
      <c r="L155" s="144">
        <f t="shared" si="9"/>
        <v>0.25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/>
      <c r="AJ155" s="70"/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14</v>
      </c>
      <c r="J177" s="148" t="s">
        <v>1825</v>
      </c>
      <c r="K177" s="31">
        <f t="shared" si="11"/>
        <v>14</v>
      </c>
      <c r="L177" s="32">
        <f t="shared" si="12"/>
        <v>0.5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14</v>
      </c>
      <c r="J178" s="148" t="s">
        <v>1826</v>
      </c>
      <c r="K178" s="31">
        <f t="shared" si="11"/>
        <v>14</v>
      </c>
      <c r="L178" s="32">
        <f t="shared" si="12"/>
        <v>0.5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6</v>
      </c>
      <c r="J184" s="87"/>
      <c r="K184" s="138">
        <f t="shared" si="11"/>
        <v>22</v>
      </c>
      <c r="L184" s="139">
        <f t="shared" si="12"/>
        <v>0.21428571428571427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/>
      <c r="AJ184" s="140"/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8</v>
      </c>
      <c r="J190" s="87"/>
      <c r="K190" s="31">
        <f t="shared" si="11"/>
        <v>20</v>
      </c>
      <c r="L190" s="32">
        <f t="shared" si="12"/>
        <v>0.2857142857142857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/>
      <c r="AJ190" s="93"/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16</v>
      </c>
      <c r="J191" s="148" t="s">
        <v>1836</v>
      </c>
      <c r="K191" s="143">
        <f t="shared" si="11"/>
        <v>12</v>
      </c>
      <c r="L191" s="144">
        <f t="shared" si="12"/>
        <v>0.5714285714285714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23</v>
      </c>
      <c r="J192" s="148" t="s">
        <v>1837</v>
      </c>
      <c r="K192" s="31">
        <f t="shared" si="11"/>
        <v>5</v>
      </c>
      <c r="L192" s="32">
        <f t="shared" si="12"/>
        <v>0.8214285714285714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18</v>
      </c>
      <c r="J208" s="87"/>
      <c r="K208" s="31">
        <f t="shared" si="11"/>
        <v>10</v>
      </c>
      <c r="L208" s="32">
        <f t="shared" si="12"/>
        <v>0.6428571428571429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18</v>
      </c>
      <c r="J209" s="87"/>
      <c r="K209" s="31">
        <f t="shared" si="11"/>
        <v>10</v>
      </c>
      <c r="L209" s="32">
        <f t="shared" si="12"/>
        <v>0.6428571428571429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6</v>
      </c>
      <c r="J235" s="87"/>
      <c r="K235" s="31">
        <f t="shared" si="14"/>
        <v>22</v>
      </c>
      <c r="L235" s="32">
        <f t="shared" si="15"/>
        <v>0.21428571428571427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/>
      <c r="AJ235" s="93"/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24</v>
      </c>
      <c r="J238" s="87"/>
      <c r="K238" s="31">
        <f t="shared" si="14"/>
        <v>4</v>
      </c>
      <c r="L238" s="32">
        <f t="shared" si="15"/>
        <v>0.8571428571428571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13</v>
      </c>
      <c r="J243" s="148" t="s">
        <v>1881</v>
      </c>
      <c r="K243" s="31">
        <f t="shared" si="14"/>
        <v>15</v>
      </c>
      <c r="L243" s="32">
        <f t="shared" si="15"/>
        <v>0.4642857142857143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148" t="s">
        <v>1882</v>
      </c>
      <c r="K245" s="31">
        <f t="shared" si="14"/>
        <v>4</v>
      </c>
      <c r="L245" s="32">
        <f t="shared" si="15"/>
        <v>0.8571428571428571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6</v>
      </c>
      <c r="J264" s="148" t="s">
        <v>1900</v>
      </c>
      <c r="K264" s="143">
        <f t="shared" si="14"/>
        <v>22</v>
      </c>
      <c r="L264" s="144">
        <f t="shared" si="15"/>
        <v>0.21428571428571427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/>
      <c r="AJ264" s="70"/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6</v>
      </c>
      <c r="J283" s="148" t="s">
        <v>1917</v>
      </c>
      <c r="K283" s="31">
        <f t="shared" si="14"/>
        <v>22</v>
      </c>
      <c r="L283" s="32">
        <f t="shared" si="15"/>
        <v>0.21428571428571427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27</v>
      </c>
      <c r="J284" s="148" t="s">
        <v>1918</v>
      </c>
      <c r="K284" s="31">
        <f t="shared" si="14"/>
        <v>1</v>
      </c>
      <c r="L284" s="32">
        <f t="shared" si="15"/>
        <v>0.9642857142857143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27</v>
      </c>
      <c r="J285" s="148" t="s">
        <v>1919</v>
      </c>
      <c r="K285" s="31">
        <f t="shared" si="14"/>
        <v>1</v>
      </c>
      <c r="L285" s="32">
        <f t="shared" si="15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27</v>
      </c>
      <c r="J286" s="148" t="s">
        <v>1920</v>
      </c>
      <c r="K286" s="31">
        <f t="shared" si="14"/>
        <v>1</v>
      </c>
      <c r="L286" s="32">
        <f t="shared" si="15"/>
        <v>0.9642857142857143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26</v>
      </c>
      <c r="J288" s="148" t="s">
        <v>1922</v>
      </c>
      <c r="K288" s="31">
        <f t="shared" si="14"/>
        <v>2</v>
      </c>
      <c r="L288" s="32">
        <f t="shared" si="15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11</v>
      </c>
      <c r="J294" s="148" t="s">
        <v>1927</v>
      </c>
      <c r="K294" s="143">
        <f t="shared" si="14"/>
        <v>17</v>
      </c>
      <c r="L294" s="144">
        <f t="shared" si="15"/>
        <v>0.39285714285714285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/>
      <c r="AJ294" s="70"/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10</v>
      </c>
      <c r="J296" s="148" t="s">
        <v>1929</v>
      </c>
      <c r="K296" s="31">
        <f t="shared" ref="K296:K363" si="17">COUNTIF(M296:AN296,"APAGADO")</f>
        <v>18</v>
      </c>
      <c r="L296" s="32">
        <f t="shared" ref="L296:L363" si="18">(I296)/(K296+I296)</f>
        <v>0.35714285714285715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/>
      <c r="AJ296" s="70"/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23</v>
      </c>
      <c r="J307" s="148" t="s">
        <v>1939</v>
      </c>
      <c r="K307" s="31">
        <f t="shared" si="17"/>
        <v>5</v>
      </c>
      <c r="L307" s="32">
        <f t="shared" si="18"/>
        <v>0.8214285714285714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23</v>
      </c>
      <c r="J308" s="148" t="s">
        <v>1940</v>
      </c>
      <c r="K308" s="31">
        <f t="shared" si="17"/>
        <v>5</v>
      </c>
      <c r="L308" s="32">
        <f t="shared" si="18"/>
        <v>0.8214285714285714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23</v>
      </c>
      <c r="J309" s="148" t="s">
        <v>1941</v>
      </c>
      <c r="K309" s="31">
        <f t="shared" si="17"/>
        <v>5</v>
      </c>
      <c r="L309" s="32">
        <f t="shared" si="18"/>
        <v>0.8214285714285714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24</v>
      </c>
      <c r="J320" s="148" t="s">
        <v>1952</v>
      </c>
      <c r="K320" s="31">
        <f t="shared" si="17"/>
        <v>4</v>
      </c>
      <c r="L320" s="32">
        <f t="shared" si="18"/>
        <v>0.8571428571428571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8" t="s">
        <v>1963</v>
      </c>
      <c r="K335" s="143">
        <f t="shared" si="17"/>
        <v>5</v>
      </c>
      <c r="L335" s="144">
        <f t="shared" si="18"/>
        <v>0.8214285714285714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8" t="s">
        <v>1964</v>
      </c>
      <c r="K336" s="143">
        <f t="shared" si="17"/>
        <v>5</v>
      </c>
      <c r="L336" s="144">
        <f t="shared" si="18"/>
        <v>0.8214285714285714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23</v>
      </c>
      <c r="J338" s="148" t="s">
        <v>1966</v>
      </c>
      <c r="K338" s="31">
        <f t="shared" si="17"/>
        <v>5</v>
      </c>
      <c r="L338" s="32">
        <f t="shared" si="18"/>
        <v>0.8214285714285714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/>
      <c r="AJ346" s="70"/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7</v>
      </c>
      <c r="J357" s="148" t="s">
        <v>1982</v>
      </c>
      <c r="K357" s="31">
        <f t="shared" si="17"/>
        <v>21</v>
      </c>
      <c r="L357" s="32">
        <f t="shared" si="18"/>
        <v>0.25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/>
      <c r="AJ357" s="70"/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6</v>
      </c>
      <c r="J358" s="73"/>
      <c r="K358" s="31">
        <f t="shared" si="17"/>
        <v>22</v>
      </c>
      <c r="L358" s="32">
        <f t="shared" si="18"/>
        <v>0.21428571428571427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/>
      <c r="AJ358" s="93"/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6</v>
      </c>
      <c r="J359" s="148" t="s">
        <v>1983</v>
      </c>
      <c r="K359" s="143">
        <f t="shared" si="17"/>
        <v>22</v>
      </c>
      <c r="L359" s="144">
        <f t="shared" si="18"/>
        <v>0.21428571428571427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6</v>
      </c>
      <c r="J372" s="148" t="s">
        <v>1996</v>
      </c>
      <c r="K372" s="31">
        <f t="shared" si="20"/>
        <v>22</v>
      </c>
      <c r="L372" s="32">
        <f t="shared" si="21"/>
        <v>0.21428571428571427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/>
      <c r="AJ372" s="70"/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18</v>
      </c>
      <c r="J377" s="87"/>
      <c r="K377" s="31">
        <f t="shared" si="20"/>
        <v>10</v>
      </c>
      <c r="L377" s="32">
        <f t="shared" si="21"/>
        <v>0.6428571428571429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6</v>
      </c>
      <c r="J383" s="148" t="s">
        <v>2002</v>
      </c>
      <c r="K383" s="31">
        <f t="shared" si="20"/>
        <v>22</v>
      </c>
      <c r="L383" s="32">
        <f t="shared" si="21"/>
        <v>0.21428571428571427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6</v>
      </c>
      <c r="J384" s="148" t="s">
        <v>2003</v>
      </c>
      <c r="K384" s="31">
        <f t="shared" si="20"/>
        <v>22</v>
      </c>
      <c r="L384" s="32">
        <f t="shared" si="21"/>
        <v>0.21428571428571427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/>
      <c r="AJ384" s="70"/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6</v>
      </c>
      <c r="J390" s="87"/>
      <c r="K390" s="31">
        <f t="shared" si="20"/>
        <v>22</v>
      </c>
      <c r="L390" s="32">
        <f t="shared" si="21"/>
        <v>0.21428571428571427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/>
      <c r="AJ390" s="93"/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8" t="s">
        <v>2008</v>
      </c>
      <c r="K393" s="143">
        <f t="shared" si="20"/>
        <v>0</v>
      </c>
      <c r="L393" s="144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7</v>
      </c>
      <c r="J395" s="87"/>
      <c r="K395" s="31">
        <f t="shared" si="20"/>
        <v>21</v>
      </c>
      <c r="L395" s="32">
        <f t="shared" si="21"/>
        <v>0.25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/>
      <c r="AJ395" s="93"/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8" t="s">
        <v>2010</v>
      </c>
      <c r="K396" s="143">
        <f t="shared" si="20"/>
        <v>0</v>
      </c>
      <c r="L396" s="144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6</v>
      </c>
      <c r="J416" s="87"/>
      <c r="K416" s="31">
        <f t="shared" si="20"/>
        <v>22</v>
      </c>
      <c r="L416" s="32">
        <f t="shared" si="21"/>
        <v>0.21428571428571427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27</v>
      </c>
      <c r="J418" s="87"/>
      <c r="K418" s="31">
        <f t="shared" si="20"/>
        <v>1</v>
      </c>
      <c r="L418" s="32">
        <f t="shared" si="21"/>
        <v>0.9642857142857143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6</v>
      </c>
      <c r="J428" s="148" t="s">
        <v>2036</v>
      </c>
      <c r="K428" s="31">
        <f t="shared" si="20"/>
        <v>22</v>
      </c>
      <c r="L428" s="32">
        <f t="shared" si="21"/>
        <v>0.21428571428571427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26</v>
      </c>
      <c r="J437" s="148" t="s">
        <v>2039</v>
      </c>
      <c r="K437" s="31">
        <f t="shared" si="20"/>
        <v>2</v>
      </c>
      <c r="L437" s="32">
        <f t="shared" si="21"/>
        <v>0.9285714285714286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26</v>
      </c>
      <c r="J438" s="148" t="s">
        <v>2040</v>
      </c>
      <c r="K438" s="31">
        <f t="shared" si="20"/>
        <v>2</v>
      </c>
      <c r="L438" s="32">
        <f t="shared" si="21"/>
        <v>0.9285714285714286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27</v>
      </c>
      <c r="J488" s="73"/>
      <c r="K488" s="31">
        <f t="shared" si="23"/>
        <v>1</v>
      </c>
      <c r="L488" s="32">
        <f t="shared" si="24"/>
        <v>0.9642857142857143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6</v>
      </c>
      <c r="J502" s="148" t="s">
        <v>2094</v>
      </c>
      <c r="K502" s="31">
        <f t="shared" si="23"/>
        <v>22</v>
      </c>
      <c r="L502" s="32">
        <f t="shared" si="24"/>
        <v>0.21428571428571427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7</v>
      </c>
      <c r="J503" s="148" t="s">
        <v>2095</v>
      </c>
      <c r="K503" s="31">
        <f t="shared" si="23"/>
        <v>21</v>
      </c>
      <c r="L503" s="32">
        <f t="shared" si="24"/>
        <v>0.25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18</v>
      </c>
      <c r="J511" s="148" t="s">
        <v>2102</v>
      </c>
      <c r="K511" s="143">
        <f t="shared" si="26"/>
        <v>10</v>
      </c>
      <c r="L511" s="144">
        <f t="shared" si="27"/>
        <v>0.6428571428571429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/>
      <c r="AJ511" s="70"/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7</v>
      </c>
      <c r="J521" s="87"/>
      <c r="K521" s="31">
        <f t="shared" si="26"/>
        <v>21</v>
      </c>
      <c r="L521" s="32">
        <f t="shared" si="27"/>
        <v>0.25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8</v>
      </c>
      <c r="J523" s="87"/>
      <c r="K523" s="31">
        <f t="shared" si="26"/>
        <v>20</v>
      </c>
      <c r="L523" s="32">
        <f t="shared" si="27"/>
        <v>0.2857142857142857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7</v>
      </c>
      <c r="J545" s="148" t="s">
        <v>2127</v>
      </c>
      <c r="K545" s="143">
        <f t="shared" si="26"/>
        <v>21</v>
      </c>
      <c r="L545" s="144">
        <f t="shared" si="27"/>
        <v>0.25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/>
      <c r="AJ545" s="70"/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28</v>
      </c>
      <c r="J547" s="148" t="s">
        <v>2129</v>
      </c>
      <c r="K547" s="143">
        <f t="shared" si="26"/>
        <v>0</v>
      </c>
      <c r="L547" s="144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28</v>
      </c>
      <c r="J548" s="148" t="s">
        <v>2130</v>
      </c>
      <c r="K548" s="143">
        <f t="shared" si="26"/>
        <v>0</v>
      </c>
      <c r="L548" s="144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230" zoomScale="90" zoomScaleNormal="90" workbookViewId="0">
      <selection activeCell="B234" sqref="B234:F2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f>D267/C267</f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Z9" sqref="Z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0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0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2025-09-22T11:25:03Z</dcterms:modified>
</cp:coreProperties>
</file>