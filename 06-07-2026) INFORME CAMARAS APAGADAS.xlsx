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6927382A-DFC2-415D-B858-35843C7974D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5" i="2"/>
  <c r="Q455" i="2"/>
  <c r="O456" i="2"/>
  <c r="Q456" i="2"/>
  <c r="O457" i="2"/>
  <c r="Q457" i="2"/>
  <c r="O448" i="2"/>
  <c r="Q448" i="2"/>
  <c r="O458" i="2"/>
  <c r="Q458" i="2"/>
  <c r="O459" i="2"/>
  <c r="Q459" i="2"/>
  <c r="O460" i="2"/>
  <c r="Q460" i="2"/>
  <c r="O449" i="2"/>
  <c r="Q449" i="2"/>
  <c r="O461" i="2"/>
  <c r="Q461" i="2"/>
  <c r="O462" i="2"/>
  <c r="Q462" i="2"/>
  <c r="O450" i="2"/>
  <c r="Q450" i="2"/>
  <c r="O463" i="2"/>
  <c r="Q463" i="2"/>
  <c r="O451" i="2"/>
  <c r="Q451" i="2"/>
  <c r="O452" i="2"/>
  <c r="Q452" i="2"/>
  <c r="O464" i="2"/>
  <c r="Q464" i="2"/>
  <c r="O465" i="2"/>
  <c r="Q465" i="2"/>
  <c r="O466" i="2"/>
  <c r="Q466" i="2"/>
  <c r="O453" i="2"/>
  <c r="Q453" i="2"/>
  <c r="O454" i="2"/>
  <c r="Q454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4" i="2"/>
  <c r="Q434" i="2"/>
  <c r="O435" i="2"/>
  <c r="Q435" i="2"/>
  <c r="O436" i="2"/>
  <c r="Q436" i="2"/>
  <c r="O441" i="2"/>
  <c r="Q441" i="2"/>
  <c r="O442" i="2"/>
  <c r="Q442" i="2"/>
  <c r="O443" i="2"/>
  <c r="Q443" i="2"/>
  <c r="O367" i="2"/>
  <c r="Q367" i="2"/>
  <c r="O368" i="2"/>
  <c r="Q368" i="2"/>
  <c r="O383" i="2"/>
  <c r="Q383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4" i="2"/>
  <c r="Q384" i="2"/>
  <c r="O385" i="2"/>
  <c r="Q385" i="2"/>
  <c r="O386" i="2"/>
  <c r="Q386" i="2"/>
  <c r="O387" i="2"/>
  <c r="Q387" i="2"/>
  <c r="O389" i="2"/>
  <c r="Q389" i="2"/>
  <c r="O388" i="2"/>
  <c r="Q388" i="2"/>
  <c r="O390" i="2"/>
  <c r="Q390" i="2"/>
  <c r="O391" i="2"/>
  <c r="Q391" i="2"/>
  <c r="O392" i="2"/>
  <c r="Q392" i="2"/>
  <c r="O440" i="2"/>
  <c r="Q440" i="2"/>
  <c r="O406" i="2"/>
  <c r="Q406" i="2"/>
  <c r="O393" i="2"/>
  <c r="Q393" i="2"/>
  <c r="O394" i="2"/>
  <c r="Q394" i="2"/>
  <c r="O395" i="2"/>
  <c r="Q395" i="2"/>
  <c r="O396" i="2"/>
  <c r="Q396" i="2"/>
  <c r="O397" i="2"/>
  <c r="Q397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398" i="2"/>
  <c r="Q398" i="2"/>
  <c r="O399" i="2"/>
  <c r="Q399" i="2"/>
  <c r="O400" i="2"/>
  <c r="Q400" i="2"/>
  <c r="O401" i="2"/>
  <c r="Q401" i="2"/>
  <c r="O402" i="2"/>
  <c r="Q402" i="2"/>
  <c r="O403" i="2"/>
  <c r="Q403" i="2"/>
  <c r="O404" i="2"/>
  <c r="O405" i="2"/>
  <c r="Q405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7" i="2"/>
  <c r="Q437" i="2"/>
  <c r="O438" i="2"/>
  <c r="Q438" i="2"/>
  <c r="O431" i="2"/>
  <c r="Q431" i="2"/>
  <c r="O432" i="2"/>
  <c r="Q432" i="2"/>
  <c r="O439" i="2"/>
  <c r="Q439" i="2"/>
  <c r="O358" i="2"/>
  <c r="Q358" i="2"/>
  <c r="O366" i="2"/>
  <c r="Q366" i="2"/>
  <c r="O344" i="2"/>
  <c r="Q344" i="2"/>
  <c r="O345" i="2"/>
  <c r="Q345" i="2"/>
  <c r="O346" i="2"/>
  <c r="Q346" i="2"/>
  <c r="O347" i="2"/>
  <c r="Q347" i="2"/>
  <c r="O348" i="2"/>
  <c r="Q348" i="2"/>
  <c r="O349" i="2"/>
  <c r="Q349" i="2"/>
  <c r="O316" i="2"/>
  <c r="Q316" i="2"/>
  <c r="O327" i="2"/>
  <c r="Q327" i="2"/>
  <c r="O328" i="2"/>
  <c r="Q328" i="2"/>
  <c r="O317" i="2"/>
  <c r="Q317" i="2"/>
  <c r="O318" i="2"/>
  <c r="Q318" i="2"/>
  <c r="O329" i="2"/>
  <c r="Q329" i="2"/>
  <c r="O319" i="2"/>
  <c r="Q319" i="2"/>
  <c r="O321" i="2"/>
  <c r="Q321" i="2"/>
  <c r="O322" i="2"/>
  <c r="Q322" i="2"/>
  <c r="O330" i="2"/>
  <c r="Q330" i="2"/>
  <c r="O331" i="2"/>
  <c r="Q331" i="2"/>
  <c r="O323" i="2"/>
  <c r="Q323" i="2"/>
  <c r="O332" i="2"/>
  <c r="Q332" i="2"/>
  <c r="O324" i="2"/>
  <c r="Q324" i="2"/>
  <c r="O325" i="2"/>
  <c r="Q325" i="2"/>
  <c r="O333" i="2"/>
  <c r="Q333" i="2"/>
  <c r="O334" i="2"/>
  <c r="Q334" i="2"/>
  <c r="O335" i="2"/>
  <c r="Q335" i="2"/>
  <c r="O336" i="2"/>
  <c r="Q336" i="2"/>
  <c r="O337" i="2"/>
  <c r="Q337" i="2"/>
  <c r="O338" i="2"/>
  <c r="Q338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8" i="2"/>
  <c r="Q288" i="2"/>
  <c r="O290" i="2"/>
  <c r="Q290" i="2"/>
  <c r="O291" i="2"/>
  <c r="Q291" i="2"/>
  <c r="O292" i="2"/>
  <c r="Q292" i="2"/>
  <c r="O293" i="2"/>
  <c r="Q293" i="2"/>
  <c r="O294" i="2"/>
  <c r="Q294" i="2"/>
  <c r="O295" i="2"/>
  <c r="Q295" i="2"/>
  <c r="O289" i="2"/>
  <c r="Q289" i="2"/>
  <c r="O296" i="2"/>
  <c r="Q296" i="2"/>
  <c r="O297" i="2"/>
  <c r="Q297" i="2"/>
  <c r="O298" i="2"/>
  <c r="Q298" i="2"/>
  <c r="O299" i="2"/>
  <c r="Q299" i="2"/>
  <c r="O303" i="2"/>
  <c r="Q303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26" i="2"/>
  <c r="Q326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0" i="2"/>
  <c r="Q300" i="2"/>
  <c r="O301" i="2"/>
  <c r="Q301" i="2"/>
  <c r="O302" i="2"/>
  <c r="Q302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7" i="2"/>
  <c r="R523" i="2"/>
  <c r="R539" i="2"/>
  <c r="R500" i="2"/>
  <c r="R463" i="2"/>
  <c r="R136" i="2"/>
  <c r="R41" i="2"/>
  <c r="R247" i="2"/>
  <c r="R290" i="2"/>
  <c r="R420" i="2"/>
  <c r="R416" i="2"/>
  <c r="R385" i="2"/>
  <c r="R442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2" i="2"/>
  <c r="R76" i="2"/>
  <c r="R74" i="2"/>
  <c r="R144" i="2"/>
  <c r="R137" i="2"/>
  <c r="R114" i="2"/>
  <c r="R46" i="2"/>
  <c r="R200" i="2"/>
  <c r="R590" i="2"/>
  <c r="R588" i="2"/>
  <c r="R135" i="2"/>
  <c r="R133" i="2"/>
  <c r="R71" i="2"/>
  <c r="R62" i="2"/>
  <c r="R128" i="2"/>
  <c r="R127" i="2"/>
  <c r="R57" i="2"/>
  <c r="R209" i="2"/>
  <c r="R560" i="2"/>
  <c r="R552" i="2"/>
  <c r="R524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3" i="2"/>
  <c r="R398" i="2"/>
  <c r="R407" i="2"/>
  <c r="R392" i="2"/>
  <c r="R602" i="2"/>
  <c r="R238" i="2"/>
  <c r="R586" i="2"/>
  <c r="R525" i="2"/>
  <c r="R301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5" i="2"/>
  <c r="R372" i="2"/>
  <c r="R581" i="2"/>
  <c r="R574" i="2"/>
  <c r="R567" i="2"/>
  <c r="R543" i="2"/>
  <c r="R522" i="2"/>
  <c r="R540" i="2"/>
  <c r="R533" i="2"/>
  <c r="R512" i="2"/>
  <c r="R503" i="2"/>
  <c r="R480" i="2"/>
  <c r="R476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8" i="2"/>
  <c r="R428" i="2"/>
  <c r="R64" i="2"/>
  <c r="R180" i="2"/>
  <c r="R333" i="2"/>
  <c r="R321" i="2"/>
  <c r="R317" i="2"/>
  <c r="R349" i="2"/>
  <c r="R439" i="2"/>
  <c r="R578" i="2"/>
  <c r="R575" i="2"/>
  <c r="R566" i="2"/>
  <c r="R553" i="2"/>
  <c r="R548" i="2"/>
  <c r="R544" i="2"/>
  <c r="R528" i="2"/>
  <c r="R509" i="2"/>
  <c r="R501" i="2"/>
  <c r="R483" i="2"/>
  <c r="R474" i="2"/>
  <c r="R162" i="2"/>
  <c r="R190" i="2"/>
  <c r="R187" i="2"/>
  <c r="R185" i="2"/>
  <c r="R183" i="2"/>
  <c r="R214" i="2"/>
  <c r="R304" i="2"/>
  <c r="R297" i="2"/>
  <c r="R415" i="2"/>
  <c r="R440" i="2"/>
  <c r="R384" i="2"/>
  <c r="R375" i="2"/>
  <c r="R373" i="2"/>
  <c r="R601" i="2"/>
  <c r="R599" i="2"/>
  <c r="R604" i="2"/>
  <c r="R488" i="2"/>
  <c r="R484" i="2"/>
  <c r="R477" i="2"/>
  <c r="R473" i="2"/>
  <c r="R471" i="2"/>
  <c r="R467" i="2"/>
  <c r="R598" i="2"/>
  <c r="R593" i="2"/>
  <c r="R495" i="2"/>
  <c r="R487" i="2"/>
  <c r="R464" i="2"/>
  <c r="R460" i="2"/>
  <c r="R457" i="2"/>
  <c r="R156" i="2"/>
  <c r="R192" i="2"/>
  <c r="R179" i="2"/>
  <c r="R191" i="2"/>
  <c r="R307" i="2"/>
  <c r="R296" i="2"/>
  <c r="R284" i="2"/>
  <c r="R322" i="2"/>
  <c r="R318" i="2"/>
  <c r="R316" i="2"/>
  <c r="R346" i="2"/>
  <c r="R412" i="2"/>
  <c r="R434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3" i="2"/>
  <c r="R330" i="2"/>
  <c r="R358" i="2"/>
  <c r="R405" i="2"/>
  <c r="R408" i="2"/>
  <c r="R406" i="2"/>
  <c r="R391" i="2"/>
  <c r="R435" i="2"/>
  <c r="R594" i="2"/>
  <c r="R579" i="2"/>
  <c r="R556" i="2"/>
  <c r="R549" i="2"/>
  <c r="R516" i="2"/>
  <c r="R513" i="2"/>
  <c r="R491" i="2"/>
  <c r="R489" i="2"/>
  <c r="R465" i="2"/>
  <c r="R449" i="2"/>
  <c r="R448" i="2"/>
  <c r="R19" i="2"/>
  <c r="R13" i="2"/>
  <c r="R18" i="2"/>
  <c r="R17" i="2"/>
  <c r="R37" i="2"/>
  <c r="R153" i="2"/>
  <c r="R300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8" i="2"/>
  <c r="R298" i="2"/>
  <c r="R273" i="2"/>
  <c r="R424" i="2"/>
  <c r="R417" i="2"/>
  <c r="R411" i="2"/>
  <c r="R389" i="2"/>
  <c r="R380" i="2"/>
  <c r="R383" i="2"/>
  <c r="R600" i="2"/>
  <c r="R582" i="2"/>
  <c r="R576" i="2"/>
  <c r="R573" i="2"/>
  <c r="R541" i="2"/>
  <c r="R529" i="2"/>
  <c r="R504" i="2"/>
  <c r="R508" i="2"/>
  <c r="R468" i="2"/>
  <c r="R161" i="2"/>
  <c r="R159" i="2"/>
  <c r="R151" i="2"/>
  <c r="R182" i="2"/>
  <c r="R250" i="2"/>
  <c r="R248" i="2"/>
  <c r="R245" i="2"/>
  <c r="R234" i="2"/>
  <c r="R197" i="2"/>
  <c r="R293" i="2"/>
  <c r="R260" i="2"/>
  <c r="R285" i="2"/>
  <c r="R334" i="2"/>
  <c r="R437" i="2"/>
  <c r="R429" i="2"/>
  <c r="R427" i="2"/>
  <c r="R400" i="2"/>
  <c r="R379" i="2"/>
  <c r="R371" i="2"/>
  <c r="R368" i="2"/>
  <c r="R584" i="2"/>
  <c r="R561" i="2"/>
  <c r="R545" i="2"/>
  <c r="R536" i="2"/>
  <c r="R534" i="2"/>
  <c r="R532" i="2"/>
  <c r="R496" i="2"/>
  <c r="R481" i="2"/>
  <c r="R450" i="2"/>
  <c r="R461" i="2"/>
  <c r="R337" i="2"/>
  <c r="R401" i="2"/>
  <c r="R388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4" i="2"/>
  <c r="R269" i="2"/>
  <c r="R376" i="2"/>
  <c r="R570" i="2"/>
  <c r="R506" i="2"/>
  <c r="R149" i="2"/>
  <c r="R172" i="2"/>
  <c r="R251" i="2"/>
  <c r="R235" i="2"/>
  <c r="R288" i="2"/>
  <c r="R438" i="2"/>
  <c r="R565" i="2"/>
  <c r="R157" i="2"/>
  <c r="R177" i="2"/>
  <c r="R261" i="2"/>
  <c r="R243" i="2"/>
  <c r="R225" i="2"/>
  <c r="R281" i="2"/>
  <c r="R332" i="2"/>
  <c r="R345" i="2"/>
  <c r="R603" i="2"/>
  <c r="R557" i="2"/>
  <c r="R519" i="2"/>
  <c r="R492" i="2"/>
  <c r="R454" i="2"/>
  <c r="R228" i="2"/>
  <c r="R223" i="2"/>
  <c r="R220" i="2"/>
  <c r="R309" i="2"/>
  <c r="R259" i="2"/>
  <c r="R335" i="2"/>
  <c r="R329" i="2"/>
  <c r="R366" i="2"/>
  <c r="R425" i="2"/>
  <c r="R422" i="2"/>
  <c r="R413" i="2"/>
  <c r="R409" i="2"/>
  <c r="R381" i="2"/>
  <c r="R369" i="2"/>
  <c r="R595" i="2"/>
  <c r="R585" i="2"/>
  <c r="R562" i="2"/>
  <c r="R550" i="2"/>
  <c r="R517" i="2"/>
  <c r="R530" i="2"/>
  <c r="R497" i="2"/>
  <c r="R485" i="2"/>
  <c r="R466" i="2"/>
  <c r="R458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5" i="2"/>
  <c r="R282" i="2"/>
  <c r="R280" i="2"/>
  <c r="R270" i="2"/>
  <c r="R268" i="2"/>
  <c r="R324" i="2"/>
  <c r="R331" i="2"/>
  <c r="R327" i="2"/>
  <c r="R431" i="2"/>
  <c r="R402" i="2"/>
  <c r="R390" i="2"/>
  <c r="R377" i="2"/>
  <c r="R591" i="2"/>
  <c r="R571" i="2"/>
  <c r="R569" i="2"/>
  <c r="R558" i="2"/>
  <c r="R542" i="2"/>
  <c r="R521" i="2"/>
  <c r="R537" i="2"/>
  <c r="R507" i="2"/>
  <c r="R505" i="2"/>
  <c r="R493" i="2"/>
  <c r="R472" i="2"/>
  <c r="R470" i="2"/>
  <c r="R451" i="2"/>
  <c r="R230" i="2"/>
  <c r="R227" i="2"/>
  <c r="R206" i="2"/>
  <c r="R204" i="2"/>
  <c r="R213" i="2"/>
  <c r="R211" i="2"/>
  <c r="R305" i="2"/>
  <c r="R303" i="2"/>
  <c r="R291" i="2"/>
  <c r="R274" i="2"/>
  <c r="R347" i="2"/>
  <c r="R421" i="2"/>
  <c r="R419" i="2"/>
  <c r="R396" i="2"/>
  <c r="R394" i="2"/>
  <c r="R386" i="2"/>
  <c r="R443" i="2"/>
  <c r="R441" i="2"/>
  <c r="R605" i="2"/>
  <c r="R564" i="2"/>
  <c r="R527" i="2"/>
  <c r="R511" i="2"/>
  <c r="R479" i="2"/>
  <c r="R455" i="2"/>
  <c r="R217" i="2"/>
  <c r="R289" i="2"/>
  <c r="R336" i="2"/>
  <c r="R430" i="2"/>
  <c r="R397" i="2"/>
  <c r="R367" i="2"/>
  <c r="R580" i="2"/>
  <c r="R546" i="2"/>
  <c r="R514" i="2"/>
  <c r="R482" i="2"/>
  <c r="R456" i="2"/>
  <c r="R224" i="2"/>
  <c r="R306" i="2"/>
  <c r="R271" i="2"/>
  <c r="R344" i="2"/>
  <c r="R399" i="2"/>
  <c r="R374" i="2"/>
  <c r="R589" i="2"/>
  <c r="R554" i="2"/>
  <c r="R535" i="2"/>
  <c r="R490" i="2"/>
  <c r="R462" i="2"/>
  <c r="R210" i="2"/>
  <c r="R276" i="2"/>
  <c r="R328" i="2"/>
  <c r="R414" i="2"/>
  <c r="R382" i="2"/>
  <c r="R555" i="2"/>
  <c r="R563" i="2"/>
  <c r="R518" i="2"/>
  <c r="R498" i="2"/>
  <c r="R453" i="2"/>
  <c r="R232" i="2"/>
  <c r="R203" i="2"/>
  <c r="R198" i="2"/>
  <c r="R326" i="2"/>
  <c r="R299" i="2"/>
  <c r="R292" i="2"/>
  <c r="R283" i="2"/>
  <c r="R278" i="2"/>
  <c r="R267" i="2"/>
  <c r="R325" i="2"/>
  <c r="R319" i="2"/>
  <c r="R348" i="2"/>
  <c r="R432" i="2"/>
  <c r="R426" i="2"/>
  <c r="R418" i="2"/>
  <c r="R403" i="2"/>
  <c r="R410" i="2"/>
  <c r="R393" i="2"/>
  <c r="R387" i="2"/>
  <c r="R378" i="2"/>
  <c r="R370" i="2"/>
  <c r="R436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8" i="2"/>
  <c r="R469" i="2"/>
  <c r="R452" i="2"/>
  <c r="R459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9" i="2"/>
  <c r="Q360" i="2"/>
  <c r="Q361" i="2"/>
  <c r="O359" i="2"/>
  <c r="O360" i="2"/>
  <c r="O361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9" i="2"/>
  <c r="R361" i="2"/>
  <c r="R360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3" i="2"/>
  <c r="Q363" i="2"/>
  <c r="D60" i="24" l="1"/>
  <c r="D172" i="24"/>
  <c r="R363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10" i="2"/>
  <c r="O311" i="2"/>
  <c r="O314" i="2"/>
  <c r="O315" i="2"/>
  <c r="O312" i="2"/>
  <c r="O313" i="2"/>
  <c r="O339" i="2"/>
  <c r="O340" i="2"/>
  <c r="O341" i="2"/>
  <c r="O364" i="2"/>
  <c r="O365" i="2"/>
  <c r="O350" i="2"/>
  <c r="O351" i="2"/>
  <c r="O352" i="2"/>
  <c r="O353" i="2"/>
  <c r="O354" i="2"/>
  <c r="O355" i="2"/>
  <c r="O356" i="2"/>
  <c r="O357" i="2"/>
  <c r="O433" i="2"/>
  <c r="O446" i="2"/>
  <c r="O447" i="2"/>
  <c r="O444" i="2"/>
  <c r="Q444" i="2"/>
  <c r="Q447" i="2"/>
  <c r="Q446" i="2"/>
  <c r="Q433" i="2"/>
  <c r="Q356" i="2"/>
  <c r="Q355" i="2"/>
  <c r="Q354" i="2"/>
  <c r="Q353" i="2"/>
  <c r="Q352" i="2"/>
  <c r="Q351" i="2"/>
  <c r="Q350" i="2"/>
  <c r="Q365" i="2"/>
  <c r="Q364" i="2"/>
  <c r="Q341" i="2"/>
  <c r="Q340" i="2"/>
  <c r="Q339" i="2"/>
  <c r="Q313" i="2"/>
  <c r="Q312" i="2"/>
  <c r="Q315" i="2"/>
  <c r="Q314" i="2"/>
  <c r="Q311" i="2"/>
  <c r="Q310" i="2"/>
  <c r="Q263" i="2"/>
  <c r="Q262" i="2"/>
  <c r="Q196" i="2"/>
  <c r="Q195" i="2"/>
  <c r="Q169" i="2"/>
  <c r="Q168" i="2"/>
  <c r="Q167" i="2"/>
  <c r="Q166" i="2"/>
  <c r="Q147" i="2"/>
  <c r="Q78" i="2"/>
  <c r="Q357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5" i="2"/>
  <c r="R78" i="2"/>
  <c r="R169" i="2"/>
  <c r="R447" i="2"/>
  <c r="R313" i="2"/>
  <c r="R34" i="2"/>
  <c r="R196" i="2"/>
  <c r="R33" i="2"/>
  <c r="R166" i="2"/>
  <c r="R167" i="2"/>
  <c r="R433" i="2"/>
  <c r="R310" i="2"/>
  <c r="R314" i="2"/>
  <c r="R340" i="2"/>
  <c r="R351" i="2"/>
  <c r="R32" i="2"/>
  <c r="R31" i="2"/>
  <c r="R352" i="2"/>
  <c r="R444" i="2"/>
  <c r="R263" i="2"/>
  <c r="R353" i="2"/>
  <c r="R354" i="2"/>
  <c r="R365" i="2"/>
  <c r="R356" i="2"/>
  <c r="R364" i="2"/>
  <c r="R339" i="2"/>
  <c r="R30" i="2"/>
  <c r="R357" i="2"/>
  <c r="R195" i="2"/>
  <c r="R350" i="2"/>
  <c r="R168" i="2"/>
  <c r="R311" i="2"/>
  <c r="R312" i="2"/>
  <c r="R341" i="2"/>
  <c r="R262" i="2"/>
  <c r="R355" i="2"/>
  <c r="R446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2" i="2" l="1"/>
  <c r="O342" i="2"/>
  <c r="R342" i="2" l="1"/>
  <c r="Q445" i="2" l="1"/>
  <c r="O445" i="2"/>
  <c r="R445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<sst xmlns="http://schemas.openxmlformats.org/spreadsheetml/2006/main" count="6148" uniqueCount="2500">
  <si>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</si>
  <si>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</si>
  <si>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</si>
  <si>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</si>
  <si>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</si>
  <si>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</si>
  <si>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</si>
  <si>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</si>
  <si>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</si>
  <si>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</si>
  <si>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</si>
  <si>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</si>
  <si>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</si>
  <si>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</si>
  <si>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</si>
  <si>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</si>
  <si>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</si>
  <si>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</si>
  <si>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</si>
  <si>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</si>
  <si>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</si>
  <si>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</si>
  <si>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</si>
  <si>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</si>
  <si>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</si>
  <si>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</si>
  <si>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</si>
  <si>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</si>
  <si>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</si>
  <si>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</si>
  <si>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</si>
  <si>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</si>
  <si>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</si>
  <si>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</si>
  <si>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</si>
  <si>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</si>
  <si>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</si>
  <si>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</si>
  <si>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</si>
  <si>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</si>
  <si>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</si>
  <si>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</si>
  <si>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</si>
  <si>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</si>
  <si>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</si>
  <si>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</si>
  <si>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</si>
  <si>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</si>
  <si>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</si>
  <si>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</si>
  <si>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</si>
  <si>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</si>
  <si>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</si>
  <si>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</si>
  <si>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</si>
  <si>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</si>
  <si>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</si>
  <si>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</si>
  <si>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</si>
  <si>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</si>
  <si>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</si>
  <si>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</si>
  <si>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</si>
  <si>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</si>
  <si>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</si>
  <si>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</si>
  <si>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</si>
  <si>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</si>
  <si>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</si>
  <si>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</si>
  <si>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</si>
  <si>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</si>
  <si>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</si>
  <si>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</si>
  <si>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</si>
  <si>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</si>
  <si>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</si>
  <si>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</si>
  <si>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</si>
  <si>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</si>
  <si>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</si>
  <si>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</si>
  <si>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</si>
  <si>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</si>
  <si>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</si>
  <si>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</si>
  <si>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</si>
  <si>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</si>
  <si>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</si>
  <si>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</si>
  <si>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</si>
  <si>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</si>
  <si>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</si>
  <si>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</si>
  <si>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</si>
  <si>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</si>
  <si>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</si>
  <si>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</si>
  <si>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</si>
  <si>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</si>
  <si>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</si>
  <si>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</si>
  <si>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</si>
  <si>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</si>
  <si>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</si>
  <si>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</si>
  <si>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</si>
  <si>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</si>
  <si>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</si>
  <si>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</si>
  <si>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</si>
  <si>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</si>
  <si>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</si>
  <si>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</si>
  <si>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</si>
  <si>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</si>
  <si>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</si>
  <si>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</si>
  <si>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</si>
  <si>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</si>
  <si>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</si>
  <si>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</si>
  <si>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</si>
  <si>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</si>
  <si>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</si>
  <si>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</si>
  <si>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</si>
  <si>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</si>
  <si>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</si>
  <si>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</si>
  <si>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</si>
  <si>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</si>
  <si>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</si>
  <si>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</si>
  <si>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</si>
  <si>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</si>
  <si>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</si>
  <si>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</si>
  <si>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</si>
  <si>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</si>
  <si>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</si>
  <si>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</si>
  <si>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</si>
  <si>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</si>
  <si>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</si>
  <si>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</si>
  <si>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</si>
  <si>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</si>
  <si>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</si>
  <si>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</si>
  <si>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</si>
  <si>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</si>
  <si>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</si>
  <si>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</si>
  <si>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</si>
  <si>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</si>
  <si>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</si>
  <si>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</si>
  <si>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</si>
  <si>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</si>
  <si>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</si>
  <si>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</si>
  <si>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</si>
  <si>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</si>
  <si>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</si>
  <si>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</si>
  <si>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</si>
  <si>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</si>
  <si>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</si>
  <si>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</si>
  <si>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</si>
  <si>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</si>
  <si>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</si>
  <si>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</si>
  <si>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</si>
  <si>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</si>
  <si>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</si>
  <si>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</si>
  <si>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</si>
  <si>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</si>
  <si>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</si>
  <si>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</si>
  <si>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</si>
  <si>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</si>
  <si>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</si>
  <si>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</si>
  <si>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</si>
  <si>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</si>
  <si>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</si>
  <si>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</si>
  <si>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</si>
  <si>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</si>
  <si>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</si>
  <si>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</si>
  <si>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</si>
  <si>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</si>
  <si>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</si>
  <si>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</si>
  <si>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</si>
  <si>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</si>
  <si>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</si>
  <si>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</si>
  <si>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</si>
  <si>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</si>
  <si>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</si>
  <si>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</si>
  <si>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</si>
  <si>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</si>
  <si>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</si>
  <si>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</si>
  <si>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</si>
  <si>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</si>
  <si>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</si>
  <si>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</si>
  <si>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</si>
  <si>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</si>
  <si>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</si>
  <si>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</si>
  <si>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</si>
  <si>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</si>
  <si>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</si>
  <si>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</si>
  <si>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</si>
  <si>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</si>
  <si>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</si>
  <si>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</si>
  <si>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</si>
  <si>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</si>
  <si>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</si>
  <si>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</si>
  <si>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</si>
  <si>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</si>
  <si>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</si>
  <si>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</si>
  <si>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</si>
  <si>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</si>
  <si>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</si>
  <si>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</si>
  <si>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</si>
  <si>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</si>
  <si>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</si>
  <si>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</si>
  <si>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</si>
  <si>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</si>
  <si>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</si>
  <si>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</si>
  <si>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</si>
  <si>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</si>
  <si>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</si>
  <si>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</si>
  <si>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</si>
  <si>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</si>
  <si>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</si>
  <si>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</si>
  <si>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</si>
  <si>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</si>
  <si>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</si>
  <si>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</si>
  <si>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</si>
  <si>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</si>
  <si>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</si>
  <si>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</si>
  <si>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</si>
  <si>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</si>
  <si>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</si>
  <si>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</si>
  <si>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</si>
  <si>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</si>
  <si>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</si>
  <si>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</si>
  <si>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</si>
  <si>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</si>
  <si>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</si>
  <si>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</si>
  <si>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</si>
  <si>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</si>
  <si>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</si>
  <si>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</si>
  <si>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</si>
  <si>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</si>
  <si>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</si>
  <si>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</si>
  <si>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</si>
  <si>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</si>
  <si>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</si>
  <si>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</si>
  <si>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</si>
  <si>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</si>
  <si>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</si>
  <si>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</si>
  <si>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</si>
  <si>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</si>
  <si>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</si>
  <si>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</si>
  <si>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</si>
  <si>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</si>
  <si>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</si>
  <si>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</si>
  <si>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</si>
  <si>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</si>
  <si>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</si>
  <si>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</si>
  <si>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</si>
  <si>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</si>
  <si>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</si>
  <si>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</si>
  <si>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</si>
  <si>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</si>
  <si>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</si>
  <si>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</si>
  <si>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</si>
  <si>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</si>
  <si>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</si>
  <si>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</si>
  <si>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</si>
  <si>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</si>
  <si>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</si>
  <si>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</si>
  <si>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</si>
  <si>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</si>
  <si>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</si>
  <si>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</si>
  <si>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</si>
  <si>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</si>
  <si>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</si>
  <si>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</si>
  <si>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</si>
  <si>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</si>
  <si>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</si>
  <si>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</si>
  <si>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</si>
  <si>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</si>
  <si>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</si>
  <si>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</si>
  <si>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</si>
  <si>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</si>
  <si>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</si>
  <si>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</si>
  <si>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</si>
  <si>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</si>
  <si>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</si>
  <si>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</si>
  <si>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</si>
  <si>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</si>
  <si>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</si>
  <si>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</si>
  <si>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</si>
  <si>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</si>
  <si>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</si>
  <si>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</si>
  <si>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</si>
  <si>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</si>
  <si>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</si>
  <si>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</si>
  <si>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</si>
  <si>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</si>
  <si>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</si>
  <si>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</si>
  <si>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</si>
  <si>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</si>
  <si>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</si>
  <si>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</si>
  <si>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</si>
  <si>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</si>
  <si>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</si>
  <si>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</si>
  <si>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</si>
  <si>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</si>
  <si>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</si>
  <si>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</si>
  <si>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</si>
  <si>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</si>
  <si>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</si>
  <si>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</si>
  <si>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</si>
  <si>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</si>
  <si>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</si>
  <si>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</si>
  <si>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</si>
  <si>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</si>
  <si>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</si>
  <si>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</si>
  <si>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</si>
  <si>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</si>
  <si>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</si>
  <si>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</si>
  <si>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</si>
  <si>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</si>
  <si>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</si>
  <si>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</si>
  <si>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</si>
  <si>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</si>
  <si>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</si>
  <si>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</si>
  <si>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</si>
  <si>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</si>
  <si>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</si>
  <si>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</si>
  <si>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</si>
  <si>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</si>
  <si>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</si>
  <si>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</si>
  <si>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</si>
  <si>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</si>
  <si>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</si>
  <si>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</si>
  <si>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</si>
  <si>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</si>
  <si>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</si>
  <si>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</si>
  <si>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</si>
  <si>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</si>
  <si>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</si>
  <si>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</si>
  <si>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</si>
  <si>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</si>
  <si>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</si>
  <si>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</si>
  <si>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</si>
  <si>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</si>
  <si>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</si>
  <si>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</si>
  <si>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</si>
  <si>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</si>
  <si>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</si>
  <si>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</si>
  <si>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</si>
  <si>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</si>
  <si>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</si>
  <si>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</si>
  <si>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</si>
  <si>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</si>
  <si>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</si>
  <si>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</si>
  <si>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</si>
  <si>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</si>
  <si>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</si>
  <si>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</si>
  <si>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</si>
  <si>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</si>
  <si>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</si>
  <si>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</si>
  <si>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</si>
  <si>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</si>
  <si>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</si>
  <si>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</si>
  <si>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</si>
  <si>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</si>
  <si>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</si>
  <si>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</si>
  <si>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</si>
  <si>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</si>
  <si>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</si>
  <si>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</si>
  <si>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</si>
  <si>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</si>
  <si>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</si>
  <si>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</si>
  <si>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</si>
  <si>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</si>
  <si>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</si>
  <si>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</si>
  <si>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</si>
  <si>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</si>
  <si>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</si>
  <si>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</si>
  <si>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</si>
  <si>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</si>
  <si>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</si>
  <si>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</si>
  <si>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</si>
  <si>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</si>
  <si>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</si>
  <si>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</si>
  <si>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</si>
  <si>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</si>
  <si>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</si>
  <si>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</si>
  <si>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</si>
  <si>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</si>
  <si>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</si>
  <si>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</si>
  <si>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</si>
  <si>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</si>
  <si>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</si>
  <si>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</si>
  <si>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</si>
  <si>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</si>
  <si>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</si>
  <si>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</si>
  <si>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</si>
  <si>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</si>
  <si>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</si>
  <si>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</si>
  <si>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</si>
  <si>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</si>
  <si>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</si>
  <si>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</si>
  <si>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</si>
  <si>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</si>
  <si>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</si>
  <si>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</si>
  <si>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</si>
  <si>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</si>
  <si>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</si>
  <si>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</si>
  <si>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</si>
  <si>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</si>
  <si>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</si>
  <si>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</si>
  <si>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</si>
  <si>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</si>
  <si>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</si>
  <si>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</si>
  <si>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</si>
  <si>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</si>
  <si>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</si>
  <si>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</si>
  <si>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</si>
  <si>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</si>
  <si>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</si>
  <si>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</si>
  <si>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</si>
  <si>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</si>
  <si>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</si>
  <si>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</si>
  <si>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</si>
  <si>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</si>
  <si>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</si>
  <si>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</si>
  <si>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</si>
  <si>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</si>
  <si>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</si>
  <si>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</si>
  <si>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</si>
  <si>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</si>
  <si>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</si>
  <si>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</si>
  <si>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</si>
  <si>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</si>
  <si>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</si>
  <si>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</si>
  <si>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</si>
  <si>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</si>
  <si>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</si>
  <si>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</si>
  <si>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</si>
  <si>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</si>
  <si>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</si>
  <si>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</si>
  <si>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</si>
  <si>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</si>
  <si>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</si>
  <si>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</si>
  <si>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</si>
  <si>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</si>
  <si>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</si>
  <si>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</si>
  <si>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</si>
  <si>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</si>
  <si>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</si>
  <si>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</si>
  <si>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</si>
  <si>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</si>
  <si>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</si>
  <si>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</si>
  <si>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</si>
  <si>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</si>
  <si>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</si>
  <si>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</si>
  <si>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</si>
  <si>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</si>
  <si>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</si>
  <si>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</si>
  <si>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</si>
  <si>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</si>
  <si>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</si>
  <si>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</si>
  <si>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</si>
  <si>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</si>
  <si>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</si>
  <si>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</si>
  <si>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</si>
  <si>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</si>
  <si>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</si>
  <si>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</si>
  <si>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</si>
  <si>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</si>
  <si>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</si>
  <si>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</si>
  <si>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</si>
  <si>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</si>
  <si>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</si>
  <si>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</si>
  <si>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</si>
  <si>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</si>
  <si>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</si>
  <si>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</si>
  <si>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</si>
  <si>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</si>
  <si>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</si>
  <si>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</si>
  <si>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</si>
  <si>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</si>
  <si>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</si>
  <si>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</si>
  <si>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</si>
  <si>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</si>
  <si>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</si>
  <si>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</si>
  <si>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</si>
  <si>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</si>
  <si>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</si>
  <si>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</si>
  <si>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</si>
  <si>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</si>
  <si>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</si>
  <si>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</si>
  <si>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</si>
  <si>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</si>
  <si>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</si>
  <si>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</si>
  <si>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</si>
  <si>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</si>
  <si>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</si>
  <si>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</si>
  <si>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</si>
  <si>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</si>
  <si>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</si>
  <si>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</si>
  <si>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</si>
  <si>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</si>
  <si>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</si>
  <si>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</si>
  <si>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</si>
  <si>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</si>
  <si>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</si>
  <si>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</si>
  <si>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</si>
  <si>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</si>
  <si>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</si>
  <si>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</si>
  <si>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</si>
  <si>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</si>
  <si>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</si>
  <si>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</si>
  <si>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</si>
  <si>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</si>
  <si>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</si>
  <si>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</si>
  <si>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</si>
  <si>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</si>
  <si>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</si>
  <si>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</si>
  <si>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</si>
  <si>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</si>
  <si>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</si>
  <si>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</si>
  <si>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</si>
  <si>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</si>
  <si>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</si>
  <si>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</si>
  <si>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</si>
  <si>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</si>
  <si>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</si>
  <si>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</si>
  <si>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</si>
  <si>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</si>
  <si>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</si>
  <si>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</si>
  <si>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</si>
  <si>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</si>
  <si>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</si>
  <si>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</si>
  <si>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</si>
  <si>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</si>
  <si>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</si>
  <si>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</si>
  <si>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</si>
  <si>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</si>
  <si>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</si>
  <si>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</si>
  <si>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</si>
  <si>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</si>
  <si>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</si>
  <si>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</si>
  <si>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</si>
  <si>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</si>
  <si>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</si>
  <si>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</si>
  <si>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</si>
  <si>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</si>
  <si>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</si>
  <si>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</si>
  <si>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</si>
  <si>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</si>
  <si>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</si>
  <si>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</si>
  <si>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</si>
  <si>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</si>
  <si>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</si>
  <si>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</si>
  <si>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</si>
  <si>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</si>
  <si>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</si>
  <si>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</si>
  <si>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</si>
  <si>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</si>
  <si>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</si>
  <si>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</si>
  <si>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</si>
  <si>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</si>
  <si>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</si>
  <si>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</si>
  <si>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</si>
  <si>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</si>
  <si>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</si>
  <si>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</si>
  <si>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</si>
  <si>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</si>
  <si>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</si>
  <si>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</si>
  <si>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</si>
  <si>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</si>
  <si>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</si>
  <si>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</si>
  <si>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</si>
  <si>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</si>
  <si>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</si>
  <si>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</si>
  <si>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</si>
  <si>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</si>
  <si>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</si>
  <si>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</si>
  <si>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</si>
  <si>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</si>
  <si>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</si>
  <si>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</si>
  <si>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</si>
  <si>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</si>
  <si>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</si>
  <si>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</si>
  <si>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</si>
  <si>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</si>
  <si>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</si>
  <si>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</si>
  <si>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</si>
  <si>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</si>
  <si>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</si>
  <si>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</si>
  <si>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</si>
  <si>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</si>
  <si>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</si>
  <si>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</si>
  <si>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</si>
  <si>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</si>
  <si>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</si>
  <si>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</si>
  <si>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</si>
  <si>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</si>
  <si>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</si>
  <si>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</si>
  <si>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</si>
  <si>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</si>
  <si>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</si>
  <si>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</si>
  <si>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</si>
  <si>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</si>
  <si>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</si>
  <si>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</si>
  <si>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</si>
  <si>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</si>
  <si>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</si>
  <si>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</si>
  <si>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</si>
  <si>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</si>
  <si>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</si>
  <si>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</si>
  <si>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</si>
  <si>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</si>
  <si>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</si>
  <si>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</si>
  <si>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</si>
  <si>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</si>
  <si>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</si>
  <si>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</si>
  <si>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</si>
  <si>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</si>
  <si>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</si>
  <si>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</si>
  <si>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</si>
  <si>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</si>
  <si>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</si>
  <si>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</si>
  <si>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</si>
  <si>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</si>
  <si>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</si>
  <si>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</si>
  <si>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</si>
  <si>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</si>
  <si>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</si>
  <si>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</si>
  <si>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</si>
  <si>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</si>
  <si>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</si>
  <si>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</si>
  <si>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</si>
  <si>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</si>
  <si>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</si>
  <si>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</si>
  <si>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</si>
  <si>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</si>
  <si>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</si>
  <si>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</si>
  <si>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</si>
  <si>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</si>
  <si>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</si>
  <si>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</si>
  <si>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</si>
  <si>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</si>
  <si>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</si>
  <si>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</si>
  <si>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</si>
  <si>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</si>
  <si>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</si>
  <si>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</si>
  <si>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</si>
  <si>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</si>
  <si>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</si>
  <si>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</si>
  <si>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</si>
  <si>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</si>
  <si>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</si>
  <si>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</si>
  <si>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</si>
  <si>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</si>
  <si>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</si>
  <si>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</si>
  <si>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</si>
  <si>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</si>
  <si>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</si>
  <si>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</si>
  <si>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</si>
  <si>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</si>
  <si>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</si>
  <si>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</si>
  <si>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</si>
  <si>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</si>
  <si>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</si>
  <si>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</si>
  <si>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</si>
  <si>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</si>
  <si>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</si>
  <si>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</si>
  <si>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</si>
  <si>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</si>
  <si>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</si>
  <si>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</si>
  <si>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</si>
  <si>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</si>
  <si>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</si>
  <si>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</si>
  <si>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</si>
  <si>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</si>
  <si>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</si>
  <si>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</si>
  <si>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</si>
  <si>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</si>
  <si>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</si>
  <si>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</si>
  <si>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</si>
  <si>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</si>
  <si>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</si>
  <si>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</si>
  <si>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</si>
  <si>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</si>
  <si>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</si>
  <si>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</si>
  <si>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</si>
  <si>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</si>
  <si>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</si>
  <si>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</si>
  <si>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</si>
  <si>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</si>
  <si>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</si>
  <si>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</si>
  <si>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</si>
  <si>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</si>
  <si>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</si>
  <si>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</si>
  <si>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</si>
  <si>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</si>
  <si>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</si>
  <si>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</si>
  <si>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</si>
  <si>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</si>
  <si>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</si>
  <si>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</si>
  <si>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</si>
  <si>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</si>
  <si>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</si>
  <si>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</si>
  <si>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</si>
  <si>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</si>
  <si>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</si>
  <si>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</si>
  <si>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</si>
  <si>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</si>
  <si>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</si>
  <si>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</si>
  <si>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</si>
  <si>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</si>
  <si>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</si>
  <si>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</si>
  <si>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</si>
  <si>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</si>
  <si>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</si>
  <si>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</si>
  <si>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</si>
  <si>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</si>
  <si>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</si>
  <si>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</si>
  <si>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</si>
  <si>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</si>
  <si>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</si>
  <si>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</si>
  <si>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</si>
  <si>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</si>
  <si>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</si>
  <si>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</si>
  <si>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</si>
  <si>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</si>
  <si>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</si>
  <si>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</si>
  <si>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</si>
  <si>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</si>
  <si>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</si>
  <si>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</si>
  <si>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</si>
  <si>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</si>
  <si>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</si>
  <si>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</si>
  <si>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</si>
  <si>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</si>
  <si>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</si>
  <si>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</si>
  <si>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</si>
  <si>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</si>
  <si>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</si>
  <si>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</si>
  <si>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</si>
  <si>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</si>
  <si>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</si>
  <si>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</si>
  <si>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</si>
  <si>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</si>
  <si>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</si>
  <si>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</si>
  <si>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</si>
  <si>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</si>
  <si>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</si>
  <si>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</si>
  <si>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</si>
  <si>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</si>
  <si>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</si>
  <si>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</si>
  <si>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</si>
  <si>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</si>
  <si>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</si>
  <si>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</si>
  <si>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</si>
  <si>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</si>
  <si>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</si>
  <si>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</si>
  <si>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</si>
  <si>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</si>
  <si>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</si>
  <si>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</si>
  <si>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</si>
  <si>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</si>
  <si>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</si>
  <si>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</si>
  <si>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</si>
  <si>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</si>
  <si>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</si>
  <si>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</si>
  <si>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</si>
  <si>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</si>
  <si>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</si>
  <si>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</si>
  <si>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</si>
  <si>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</si>
  <si>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</si>
  <si>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</si>
  <si>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</si>
  <si>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</si>
  <si>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</si>
  <si>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</si>
  <si>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</si>
  <si>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</si>
  <si>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</si>
  <si>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</si>
  <si>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</si>
  <si>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</si>
  <si>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</si>
  <si>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</si>
  <si>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</si>
  <si>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</si>
  <si>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</si>
  <si>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</si>
  <si>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</si>
  <si>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</si>
  <si>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</si>
  <si>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</si>
  <si>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</si>
  <si>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</si>
  <si>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</si>
  <si>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</si>
  <si>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</si>
  <si>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</si>
  <si>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</si>
  <si>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</si>
  <si>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</si>
  <si>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</si>
  <si>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</si>
  <si>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</si>
  <si>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</si>
  <si>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</si>
  <si>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</si>
  <si>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</si>
  <si>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</si>
  <si>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</si>
  <si>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</si>
  <si>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</si>
  <si>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</si>
  <si>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</si>
  <si>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</si>
  <si>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</si>
  <si>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</si>
  <si>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</si>
  <si>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</si>
  <si>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</si>
  <si>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</si>
  <si>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</si>
  <si>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</si>
  <si>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</si>
  <si>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</si>
  <si>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</si>
  <si>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</si>
  <si>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</si>
  <si>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</si>
  <si>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</si>
  <si>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</si>
  <si>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</si>
  <si>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</si>
  <si>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</si>
  <si>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</si>
  <si>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</si>
  <si>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</si>
  <si>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</si>
  <si>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</si>
  <si>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</si>
  <si>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</si>
  <si>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</si>
  <si>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</si>
  <si>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</si>
  <si>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</si>
  <si>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</si>
  <si>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</si>
  <si>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</si>
  <si>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</si>
  <si>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</si>
  <si>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</si>
  <si>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</si>
  <si>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</si>
  <si>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</si>
  <si>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</si>
  <si>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</si>
  <si>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</si>
  <si>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</si>
  <si>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</si>
  <si>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</si>
  <si>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</si>
  <si>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</si>
  <si>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</si>
  <si>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</si>
  <si>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</si>
  <si>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</si>
  <si>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</si>
  <si>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</si>
  <si>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</si>
  <si>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</si>
  <si>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</si>
  <si>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</si>
  <si>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</si>
  <si>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</si>
  <si>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</si>
  <si>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</si>
  <si>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</si>
  <si>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</si>
  <si>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</si>
  <si>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</si>
  <si>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</si>
  <si>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</si>
  <si>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</si>
  <si>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</si>
  <si>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</si>
  <si>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</si>
  <si>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</si>
  <si>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</si>
  <si>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</si>
  <si>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</si>
  <si>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</si>
  <si>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</si>
  <si>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</si>
  <si>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</si>
  <si>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</si>
  <si>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</si>
  <si>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</si>
  <si>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</si>
  <si>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</si>
  <si>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</si>
  <si>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</si>
  <si>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</si>
  <si>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</si>
  <si>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</si>
  <si>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</si>
  <si>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</si>
  <si>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</si>
  <si>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</si>
  <si>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</si>
  <si>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</si>
  <si>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</si>
  <si>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</si>
  <si>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</si>
  <si>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</si>
  <si>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</si>
  <si>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</si>
  <si>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</si>
  <si>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</si>
  <si>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</si>
  <si>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</si>
  <si>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</si>
  <si>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</si>
  <si>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</si>
  <si>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</si>
  <si>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</si>
  <si>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</si>
  <si>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</si>
  <si>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</si>
  <si>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</si>
  <si>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</si>
  <si>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</si>
  <si>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</si>
  <si>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</si>
  <si>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</si>
  <si>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</si>
  <si>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</si>
  <si>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</si>
  <si>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</si>
  <si>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</si>
  <si>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</si>
  <si>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</si>
  <si>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</si>
  <si>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</si>
  <si>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</si>
  <si>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</si>
  <si>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</si>
  <si>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</si>
  <si>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</si>
  <si>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</si>
  <si>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</si>
  <si>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</si>
  <si>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</si>
  <si>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</si>
  <si>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</si>
  <si>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</si>
  <si>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</si>
  <si>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</si>
  <si>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</si>
  <si>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</si>
  <si>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</si>
  <si>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</si>
  <si>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</si>
  <si>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</si>
  <si>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</si>
  <si>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</si>
  <si>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</si>
  <si>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</si>
  <si>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</si>
  <si>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</si>
  <si>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</si>
  <si>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</si>
  <si>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</si>
  <si>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</si>
  <si>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</si>
  <si>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</si>
  <si>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</si>
  <si>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</si>
  <si>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</si>
  <si>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</si>
  <si>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</si>
  <si>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</si>
  <si>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</si>
  <si>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</si>
  <si>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</si>
  <si>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</si>
  <si>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</si>
  <si>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</si>
  <si>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</si>
  <si>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</si>
  <si>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</si>
  <si>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</si>
  <si>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</si>
  <si>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</si>
  <si>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</si>
  <si>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</si>
  <si>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</si>
  <si>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</si>
  <si>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</si>
  <si>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</si>
  <si>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</si>
  <si>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</si>
  <si>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</si>
  <si>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</si>
  <si>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</si>
  <si>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</si>
  <si>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</si>
  <si>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</si>
  <si>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</si>
  <si>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</si>
  <si>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</si>
  <si>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</si>
  <si>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</si>
  <si>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</si>
  <si>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</si>
  <si>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</si>
  <si>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</si>
  <si>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</si>
  <si>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</si>
  <si>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</si>
  <si>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</si>
  <si>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</si>
  <si>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</si>
  <si>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</si>
  <si>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</si>
  <si>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</si>
  <si>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</si>
  <si>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</si>
  <si>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</si>
  <si>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</si>
  <si>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</si>
  <si>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</si>
  <si>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</si>
  <si>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</si>
  <si>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</si>
  <si>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</si>
  <si>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</si>
  <si>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</si>
  <si>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</si>
  <si>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</si>
  <si>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</si>
  <si>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</si>
  <si>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</si>
  <si>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</si>
  <si>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</si>
  <si>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</si>
  <si>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</si>
  <si>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</si>
  <si>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</si>
  <si>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</si>
  <si>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</si>
  <si>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</si>
  <si>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</si>
  <si>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</si>
  <si>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</si>
  <si>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</si>
  <si>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</si>
  <si>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</si>
  <si>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</si>
  <si>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</si>
  <si>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</si>
  <si>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</si>
  <si>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</si>
  <si>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</si>
  <si>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</si>
  <si>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</si>
  <si>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</si>
  <si>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</si>
  <si>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</si>
  <si>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</si>
  <si>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</si>
  <si>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</si>
  <si>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</si>
  <si>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</si>
  <si>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</si>
  <si>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</si>
  <si>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</si>
  <si>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</si>
  <si>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</si>
  <si>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</si>
  <si>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</si>
  <si>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</si>
  <si>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</si>
  <si>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</si>
  <si>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</si>
  <si>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</si>
  <si>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</si>
  <si>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</si>
  <si>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</si>
  <si>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</si>
  <si>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</si>
  <si>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</si>
  <si>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</si>
  <si>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</si>
  <si>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</si>
  <si>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</si>
  <si>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</si>
  <si>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</si>
  <si>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</si>
  <si>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</si>
  <si>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</si>
  <si>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</si>
  <si>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</si>
  <si>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</si>
  <si>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</si>
  <si>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</si>
  <si>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</si>
  <si>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</si>
  <si>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</si>
  <si>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</si>
  <si>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</si>
  <si>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</si>
  <si>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</si>
  <si>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</si>
  <si>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</si>
  <si>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</si>
  <si>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</si>
  <si>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</si>
  <si>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</si>
  <si>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</si>
  <si>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</si>
  <si>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</si>
  <si>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</si>
  <si>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</si>
  <si>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</si>
  <si>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</si>
  <si>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</si>
  <si>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</si>
  <si>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</si>
  <si>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</si>
  <si>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</si>
  <si>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</si>
  <si>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</si>
  <si>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</si>
  <si>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</si>
  <si>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</si>
  <si>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</si>
  <si>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</si>
  <si>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</si>
  <si>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</si>
  <si>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</si>
  <si>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</si>
  <si>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</si>
  <si>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</si>
  <si>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</si>
  <si>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</si>
  <si>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</si>
  <si>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</si>
  <si>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</si>
  <si>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</si>
  <si>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</si>
  <si>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</si>
  <si>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</si>
  <si>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</si>
  <si>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</si>
  <si>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</si>
  <si>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</si>
  <si>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</si>
  <si>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</si>
  <si>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</si>
  <si>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</si>
  <si>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</si>
  <si>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</si>
  <si>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</si>
  <si>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</si>
  <si>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</si>
  <si>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</si>
  <si>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</si>
  <si>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</si>
  <si>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</si>
  <si>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</si>
  <si>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</si>
  <si>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</si>
  <si>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</si>
  <si>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</si>
  <si>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</si>
  <si>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</si>
  <si>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</si>
  <si>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</si>
  <si>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</si>
  <si>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</si>
  <si>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</si>
  <si>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</si>
  <si>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</si>
  <si>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</si>
  <si>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</si>
  <si>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</si>
  <si>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</si>
  <si>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</si>
  <si>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</si>
  <si>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</si>
  <si>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</si>
  <si>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</si>
  <si>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</si>
  <si>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</si>
  <si>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</si>
  <si>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</si>
  <si>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</si>
  <si>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</si>
  <si>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</si>
  <si>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</si>
  <si>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</si>
  <si>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</si>
  <si>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</si>
  <si>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</si>
  <si>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</si>
  <si>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</si>
  <si>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</si>
  <si>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</si>
  <si>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</si>
  <si>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</si>
  <si>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</si>
  <si>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</si>
  <si>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</si>
  <si>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</si>
  <si>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</si>
  <si>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</si>
  <si>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</si>
  <si>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</si>
  <si>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</si>
  <si>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</si>
  <si>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</si>
  <si>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</si>
  <si>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</si>
  <si>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</si>
  <si>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</si>
  <si>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</si>
  <si>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</si>
  <si>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</si>
  <si>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</si>
  <si>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</si>
  <si>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</si>
  <si>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</si>
  <si>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</si>
  <si>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</si>
  <si>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</si>
  <si>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</si>
  <si>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</si>
  <si>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</si>
  <si>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</si>
  <si>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</si>
  <si>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</si>
  <si>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</si>
  <si>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</si>
  <si>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</si>
  <si>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</si>
  <si>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</si>
  <si>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</si>
  <si>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</si>
  <si>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</si>
  <si>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</si>
  <si>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</si>
  <si>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</si>
  <si>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</si>
  <si>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</si>
  <si>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</si>
  <si>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</si>
  <si>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</si>
  <si>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</si>
  <si>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</si>
  <si>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</si>
  <si>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</si>
  <si>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</si>
  <si>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</si>
  <si>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</si>
  <si>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</si>
  <si>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</si>
  <si>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</si>
  <si>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</si>
  <si>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</si>
  <si>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</si>
  <si>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</si>
  <si>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</si>
  <si>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</si>
  <si>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</si>
  <si>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</si>
  <si>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</si>
  <si>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</si>
  <si>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</si>
  <si>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</si>
  <si>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</si>
  <si>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</si>
  <si>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</si>
  <si>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</si>
  <si>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</si>
  <si>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</si>
  <si>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</si>
  <si>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</si>
  <si>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</si>
  <si>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</si>
  <si>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</si>
  <si>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</si>
  <si>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</si>
  <si>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</si>
  <si>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</si>
  <si>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</si>
  <si>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</si>
  <si>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</si>
  <si>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</si>
  <si>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</si>
  <si>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</si>
  <si>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</si>
  <si>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</si>
  <si>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</si>
  <si>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</si>
  <si>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</si>
  <si>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</si>
  <si>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</si>
  <si>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</si>
  <si>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</si>
  <si>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</si>
  <si>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</si>
  <si>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</si>
  <si>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</si>
  <si>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</si>
  <si>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</si>
  <si>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</si>
  <si>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</si>
  <si>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</si>
  <si>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</si>
  <si>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</si>
  <si>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</si>
  <si>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</si>
  <si>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</si>
  <si>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</si>
  <si>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</si>
  <si>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</si>
  <si>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</si>
  <si>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</si>
  <si>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</si>
  <si>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</si>
  <si>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</si>
  <si>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</si>
  <si>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</si>
  <si>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</si>
  <si>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</si>
  <si>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</si>
  <si>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</si>
  <si>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</si>
  <si>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</si>
  <si>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</si>
  <si>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</si>
  <si>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</si>
  <si>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</si>
  <si>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</si>
  <si>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</si>
  <si>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</si>
  <si>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</si>
  <si>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</si>
  <si>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</si>
  <si>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</si>
  <si>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</si>
  <si>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</si>
  <si>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</si>
  <si>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</si>
  <si>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</si>
  <si>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</si>
  <si>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</si>
  <si>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</si>
  <si>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</si>
  <si>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</si>
  <si>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</si>
  <si>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</si>
  <si>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</si>
  <si>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</si>
  <si>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</si>
  <si>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</si>
  <si>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</si>
  <si>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</si>
  <si>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</si>
  <si>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</si>
  <si>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</si>
  <si>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</si>
  <si>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</si>
  <si>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</si>
  <si>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</si>
  <si>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</si>
  <si>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</si>
  <si>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</si>
  <si>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</si>
  <si>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</si>
  <si>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</si>
  <si>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</si>
  <si>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</si>
  <si>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</si>
  <si>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</si>
  <si>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</si>
  <si>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</si>
  <si>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</si>
  <si>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</si>
  <si>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</si>
  <si>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</si>
  <si>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</si>
  <si>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</si>
  <si>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</si>
  <si>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</si>
  <si>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</si>
  <si>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</si>
  <si>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</si>
  <si>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</si>
  <si>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</si>
  <si>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</si>
  <si>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</si>
  <si>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</si>
  <si>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</si>
  <si>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</si>
  <si>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</si>
  <si>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</si>
  <si>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</si>
  <si>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</si>
  <si>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</si>
  <si>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</si>
  <si>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</si>
  <si>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</si>
  <si>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</si>
  <si>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</si>
  <si>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</si>
  <si>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</si>
  <si>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</si>
  <si>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</si>
  <si>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</si>
  <si>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</si>
  <si>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</si>
  <si>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</si>
  <si>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</si>
  <si>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</si>
  <si>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</si>
  <si>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</si>
  <si>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</si>
  <si>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</si>
  <si>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</si>
  <si>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</si>
  <si>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</si>
  <si>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</si>
  <si>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</si>
  <si>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</si>
  <si>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</si>
  <si>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</si>
  <si>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</si>
  <si>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</si>
  <si>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</si>
  <si>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</si>
  <si>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</si>
  <si>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</si>
  <si>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</si>
  <si>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</si>
  <si>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</si>
  <si>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</si>
  <si>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</si>
  <si>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</si>
  <si>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</si>
  <si>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</si>
  <si>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</si>
  <si>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</si>
  <si>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</si>
  <si>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</si>
  <si>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</si>
  <si>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</si>
  <si>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</si>
  <si>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</si>
  <si>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</si>
  <si>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</si>
  <si>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</si>
  <si>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</si>
  <si>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</si>
  <si>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</si>
  <si>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</si>
  <si>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</si>
  <si>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</si>
  <si>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</si>
  <si>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</si>
  <si>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</si>
  <si>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</si>
  <si>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</si>
  <si>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</si>
  <si>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</si>
  <si>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</si>
  <si>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</si>
  <si>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</si>
  <si>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</si>
  <si>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</si>
  <si>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</si>
  <si>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</si>
  <si>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</si>
  <si>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</si>
  <si>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</si>
  <si>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</si>
  <si>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</si>
  <si>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</si>
  <si>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</si>
  <si>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</si>
  <si>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</si>
  <si>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</si>
  <si>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</si>
  <si>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</si>
  <si>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</si>
  <si>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</si>
  <si>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</si>
  <si>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</si>
  <si>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</si>
  <si>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</si>
  <si>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</si>
  <si>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</si>
  <si>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</si>
  <si>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</si>
  <si>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</si>
  <si>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</si>
  <si>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</si>
  <si>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</si>
  <si>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</si>
  <si>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</si>
  <si>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</si>
  <si>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</si>
  <si>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</si>
  <si>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</si>
  <si>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</si>
  <si>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</si>
  <si>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</si>
  <si>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</si>
  <si>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</si>
  <si>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</si>
  <si>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</si>
  <si>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</si>
  <si>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</si>
  <si>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</si>
  <si>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</si>
  <si>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</si>
  <si>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</si>
  <si>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</si>
  <si>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</si>
  <si>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</si>
  <si>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</si>
  <si>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</si>
  <si>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</si>
  <si>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</si>
  <si>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</si>
  <si>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</si>
  <si>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</si>
  <si>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</si>
  <si>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</si>
  <si>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</si>
  <si>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</si>
  <si>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</si>
  <si>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</si>
  <si>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</si>
  <si>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</si>
  <si>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</si>
  <si>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</si>
  <si>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</si>
  <si>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</si>
  <si>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</si>
  <si>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</si>
  <si>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</si>
  <si>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</si>
  <si>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</si>
  <si>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</si>
  <si>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</si>
  <si>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</si>
  <si>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</si>
  <si>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</si>
  <si>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</si>
  <si>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</si>
  <si>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</si>
  <si>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</si>
  <si>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</si>
  <si>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</si>
  <si>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</si>
  <si>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</si>
  <si>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</si>
  <si>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</si>
  <si>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</si>
  <si>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</si>
  <si>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</si>
  <si>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</si>
  <si>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</si>
  <si>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</si>
  <si>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</si>
  <si>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</si>
  <si>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</si>
  <si>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</si>
  <si>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</si>
  <si>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</si>
  <si>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</si>
  <si>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</si>
  <si>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</si>
  <si>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</si>
  <si>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</si>
  <si>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</si>
  <si>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</si>
  <si>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</si>
  <si>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</si>
  <si>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</si>
  <si>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</si>
  <si>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</si>
  <si>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</si>
  <si>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</si>
  <si>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</si>
  <si>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</si>
  <si>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</si>
  <si>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</si>
  <si>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</si>
  <si>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</si>
  <si>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</si>
  <si>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</si>
  <si>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</si>
  <si>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</si>
  <si>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</si>
  <si>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</si>
  <si>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</si>
  <si>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</si>
  <si>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</si>
  <si>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</si>
  <si>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</si>
  <si>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</si>
  <si>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</si>
  <si>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</si>
  <si>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</si>
  <si>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</si>
  <si>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</si>
  <si>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</si>
  <si>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</si>
  <si>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</si>
  <si>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</si>
  <si>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</si>
  <si>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</si>
  <si>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</si>
  <si>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</si>
  <si>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</si>
  <si>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</si>
  <si>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</si>
  <si>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</si>
  <si>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</si>
  <si>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</si>
  <si>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</si>
  <si>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</si>
  <si>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</si>
  <si>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</si>
  <si>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</si>
  <si>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</si>
  <si>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</si>
  <si>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</si>
  <si>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</si>
  <si>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</si>
  <si>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</si>
  <si>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</si>
  <si>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</si>
  <si>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</si>
  <si>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</si>
  <si>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</si>
  <si>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</si>
  <si>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</si>
  <si>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</si>
  <si>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</si>
  <si>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</si>
  <si>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</si>
  <si>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</si>
  <si>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</si>
  <si>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</si>
  <si>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</si>
  <si>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</si>
  <si>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</si>
  <si>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</si>
  <si>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</si>
  <si>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</si>
  <si>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</si>
  <si>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</si>
  <si>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</si>
  <si>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</si>
  <si>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</si>
  <si>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</si>
  <si>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</si>
  <si>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</si>
  <si>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</si>
  <si>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</si>
  <si>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</si>
  <si>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</si>
  <si>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</si>
  <si>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</si>
  <si>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</si>
  <si>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</si>
  <si>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</si>
  <si>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</si>
  <si>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</si>
  <si>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</si>
  <si>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</si>
  <si>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</si>
  <si>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</si>
  <si>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</si>
  <si>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</si>
  <si>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</si>
  <si>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</si>
  <si>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</si>
  <si>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</si>
  <si>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</si>
  <si>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</si>
  <si>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</si>
  <si>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</si>
  <si>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</si>
  <si>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</si>
  <si>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</si>
  <si>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</si>
  <si>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</si>
  <si>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</si>
  <si>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</si>
  <si>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</si>
  <si>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</si>
  <si>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</si>
  <si>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</si>
  <si>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</si>
  <si>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</si>
  <si>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</si>
  <si>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</si>
  <si>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</si>
  <si>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</si>
  <si>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</si>
  <si>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</si>
  <si>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</si>
  <si>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</si>
  <si>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</si>
  <si>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</si>
  <si>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</si>
  <si>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</si>
  <si>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</si>
  <si>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</si>
  <si>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</si>
  <si>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</si>
  <si>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</si>
  <si>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</si>
  <si>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</si>
  <si>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</si>
  <si>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</si>
  <si>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</si>
  <si>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</si>
  <si>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</si>
  <si>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</si>
  <si>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</si>
  <si>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</si>
  <si>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</si>
  <si>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</si>
  <si>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</si>
  <si>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</si>
  <si>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</si>
  <si>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</si>
  <si>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</si>
  <si>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</si>
  <si>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</si>
  <si>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</si>
  <si>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</si>
  <si>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</si>
  <si>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</si>
  <si>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</si>
  <si>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</si>
  <si>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</si>
  <si>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</si>
  <si>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</si>
  <si>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</si>
  <si>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</si>
  <si>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</si>
  <si>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</si>
  <si>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</si>
  <si>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</si>
  <si>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</si>
  <si>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</si>
  <si>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</si>
  <si>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</si>
  <si>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</si>
  <si>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</si>
  <si>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</si>
  <si>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</si>
  <si>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</si>
  <si>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</si>
  <si>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</si>
  <si>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</si>
  <si>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</si>
  <si>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</si>
  <si>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</si>
  <si>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</si>
  <si>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</si>
  <si>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</si>
  <si>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</si>
  <si>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</si>
  <si>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</si>
  <si>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</si>
  <si>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</si>
  <si>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</si>
  <si>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</si>
  <si>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</si>
  <si>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</si>
  <si>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</si>
  <si>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</si>
  <si>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</si>
  <si>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</si>
  <si>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</si>
  <si>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</si>
  <si>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</si>
  <si>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</si>
  <si>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</si>
  <si>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</si>
  <si>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</si>
  <si>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</si>
  <si>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</si>
  <si>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</si>
  <si>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</si>
  <si>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</si>
  <si>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</si>
  <si>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</si>
  <si>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</si>
  <si>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</si>
  <si>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</si>
  <si>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</si>
  <si>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</si>
  <si>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</si>
  <si>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</si>
  <si>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</si>
  <si>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</si>
  <si>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</si>
  <si>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</si>
  <si>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</si>
  <si>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</si>
  <si>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</si>
  <si>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</si>
  <si>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</si>
  <si>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</si>
  <si>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</si>
  <si>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</si>
  <si>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</si>
  <si>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</si>
  <si>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</si>
  <si>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</si>
  <si>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</si>
  <si>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</si>
  <si>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</si>
  <si>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</si>
  <si>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</si>
  <si>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</si>
  <si>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</si>
  <si>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</si>
  <si>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</si>
  <si>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</si>
  <si>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</si>
  <si>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</si>
  <si>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</si>
  <si>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</si>
  <si>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</si>
  <si>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</si>
  <si>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</si>
  <si>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</si>
  <si>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</si>
  <si>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</si>
  <si>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</si>
  <si>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</si>
  <si>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</si>
  <si>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</si>
  <si>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</si>
  <si>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</si>
  <si>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</si>
  <si>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</si>
  <si>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</si>
  <si>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</si>
  <si>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</si>
  <si>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</si>
  <si>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</si>
  <si>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</si>
  <si>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</si>
  <si>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</si>
  <si>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</si>
  <si>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</si>
  <si>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</si>
  <si>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</si>
  <si>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</si>
  <si>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</si>
  <si>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</si>
  <si>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</si>
  <si>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</si>
  <si>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</si>
  <si>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</si>
  <si>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</si>
  <si>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</si>
  <si>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</si>
  <si>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</si>
  <si>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</si>
  <si>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</si>
  <si>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</si>
  <si>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</si>
  <si>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</si>
  <si>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</si>
  <si>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</si>
  <si>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</si>
  <si>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</si>
  <si>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</si>
  <si>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</si>
  <si>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</si>
  <si>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</si>
  <si>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</si>
  <si>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</si>
  <si>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</si>
  <si>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</si>
  <si>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</si>
  <si>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</si>
  <si>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</si>
  <si>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</si>
  <si>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</si>
  <si>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</si>
  <si>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</si>
  <si>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</si>
  <si>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</si>
  <si>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</si>
  <si>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</si>
  <si>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</si>
  <si>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</si>
  <si>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</si>
  <si>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</si>
  <si>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</si>
  <si>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</si>
  <si>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</si>
  <si>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</si>
  <si>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</si>
  <si>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</si>
  <si>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</si>
  <si>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</si>
  <si>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</si>
  <si>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</si>
  <si>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</si>
  <si>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</si>
  <si>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</si>
  <si>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</si>
  <si>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</si>
  <si>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</si>
  <si>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</si>
  <si>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</si>
  <si>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</si>
  <si>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</si>
  <si>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</si>
  <si>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</si>
  <si>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</si>
  <si>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</si>
  <si>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</si>
  <si>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</si>
  <si>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</si>
  <si>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</si>
  <si>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</si>
  <si>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</si>
  <si>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</si>
  <si>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</si>
  <si>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</si>
  <si>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</si>
  <si>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</si>
  <si>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</si>
  <si>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</si>
  <si>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</si>
  <si>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</si>
  <si>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</si>
  <si>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</si>
  <si>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</si>
  <si>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</si>
  <si>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</si>
  <si>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</si>
  <si>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</si>
  <si>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</si>
  <si>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</si>
  <si>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</si>
  <si>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</si>
  <si>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</si>
  <si>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</si>
  <si>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</si>
  <si>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</si>
  <si>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</si>
  <si>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</si>
  <si>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</si>
  <si>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</si>
  <si>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</si>
  <si>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</si>
  <si>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</si>
  <si>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</si>
  <si>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</si>
  <si>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</si>
  <si>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</si>
  <si>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</si>
  <si>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</si>
  <si>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</si>
  <si>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</si>
  <si>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</si>
  <si>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</si>
  <si>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</si>
  <si>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</si>
  <si>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</si>
  <si>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</si>
  <si>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</si>
  <si>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</si>
  <si>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</si>
  <si>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</si>
  <si>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</si>
  <si>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</si>
  <si>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</si>
  <si>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</si>
  <si>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</si>
  <si>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</si>
  <si>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</si>
  <si>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</si>
  <si>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</si>
  <si>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</si>
  <si>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</si>
  <si>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</si>
  <si>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</si>
  <si>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</si>
  <si>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</si>
  <si>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</si>
  <si>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</si>
  <si>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</si>
  <si>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</si>
  <si>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</si>
  <si>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</si>
  <si>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</si>
  <si>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</si>
  <si>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</si>
  <si>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</si>
  <si>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</si>
  <si>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</si>
  <si>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</si>
  <si>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</si>
  <si>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</si>
  <si>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</si>
  <si>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</si>
  <si>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</si>
  <si>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</si>
  <si>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</si>
  <si>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</si>
  <si>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</si>
  <si>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</si>
  <si>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</si>
  <si>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</si>
  <si>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</si>
  <si>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</si>
  <si>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</si>
  <si>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</si>
  <si>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</si>
  <si>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</si>
  <si>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</si>
  <si>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</si>
  <si>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</si>
  <si>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</si>
  <si>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</si>
  <si>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</si>
  <si>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</si>
  <si>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</si>
  <si>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</si>
  <si>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</si>
  <si>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</si>
  <si>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</si>
  <si>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</si>
  <si>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</si>
  <si>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</si>
  <si>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</si>
  <si>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</si>
  <si>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</si>
  <si>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</si>
  <si>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</si>
  <si>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</si>
  <si>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</si>
  <si>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</si>
  <si>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</si>
  <si>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</si>
  <si>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</si>
  <si>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</si>
  <si>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</si>
  <si>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</si>
  <si>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</si>
  <si>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</si>
  <si>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</si>
  <si>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</si>
  <si>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</si>
  <si>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</si>
  <si>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</si>
  <si>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</si>
  <si>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</si>
  <si>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</si>
  <si>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</si>
  <si>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</si>
  <si>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</si>
  <si>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</si>
  <si>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</si>
  <si>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</si>
  <si>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</si>
  <si>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</si>
  <si>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</si>
  <si>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</si>
  <si>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</si>
  <si>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</si>
  <si>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</si>
  <si>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</si>
  <si>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</si>
  <si>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</si>
  <si>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</si>
  <si>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</si>
  <si>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</si>
  <si>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</si>
  <si>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</si>
  <si>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</si>
  <si>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</si>
  <si>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</si>
  <si>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</si>
  <si>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</si>
  <si>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</si>
  <si>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</si>
  <si>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</si>
  <si>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</si>
  <si>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</si>
  <si>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</si>
  <si>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</si>
  <si>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</si>
  <si>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</si>
  <si>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</si>
  <si>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</si>
  <si>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</si>
  <si>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</si>
  <si>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</si>
  <si>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</si>
  <si>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</si>
  <si>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</si>
  <si>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</si>
  <si>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</si>
  <si>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</si>
  <si>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</si>
  <si>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</si>
  <si>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</si>
  <si>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</si>
  <si>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</si>
  <si>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</si>
  <si>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</si>
  <si>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</si>
  <si>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</si>
  <si>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</si>
  <si>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</si>
  <si>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</si>
  <si>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</si>
  <si>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</si>
  <si>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</si>
  <si>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</si>
  <si>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</si>
  <si>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</si>
  <si>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</si>
  <si>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</si>
  <si>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</si>
  <si>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</si>
  <si>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</si>
  <si>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</si>
  <si>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</si>
  <si>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</si>
  <si>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</si>
  <si>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</si>
  <si>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</si>
  <si>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</si>
  <si>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</si>
  <si>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</si>
  <si>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</si>
  <si>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</si>
  <si>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</si>
  <si>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</si>
  <si>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</si>
  <si>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</si>
  <si>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</si>
  <si>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</si>
  <si>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</si>
  <si>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</si>
  <si>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</si>
  <si>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</si>
  <si>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</si>
  <si>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</si>
  <si>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</si>
  <si>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</si>
  <si>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</si>
  <si>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</si>
  <si>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</si>
  <si>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</si>
  <si>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</si>
  <si>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</si>
  <si>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</si>
  <si>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</si>
  <si>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</si>
  <si>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</si>
  <si>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</si>
  <si>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</si>
  <si>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</si>
  <si>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</si>
  <si>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</si>
  <si>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</si>
  <si>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</si>
  <si>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</si>
  <si>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</si>
  <si>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</si>
  <si>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</si>
  <si>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</si>
  <si>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</si>
  <si>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</si>
  <si>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</si>
  <si>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</si>
  <si>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</si>
  <si>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</si>
  <si>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</si>
  <si>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</si>
  <si>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</si>
  <si>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</si>
  <si>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</si>
  <si>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</si>
  <si>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</si>
  <si>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</si>
  <si>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</si>
  <si>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</si>
  <si>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</si>
  <si>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</si>
  <si>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</si>
  <si>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</si>
  <si>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</si>
  <si>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</si>
  <si>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</si>
  <si>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</si>
  <si>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</si>
  <si>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</si>
  <si>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</si>
  <si>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</si>
  <si>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</si>
  <si>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</si>
  <si>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</si>
  <si>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</si>
  <si>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</si>
  <si>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</si>
  <si>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</si>
  <si>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</si>
  <si>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</si>
  <si>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</si>
  <si>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</si>
  <si>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</si>
  <si>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</si>
  <si>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</si>
  <si>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</si>
  <si>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</si>
  <si>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</si>
  <si>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</si>
  <si>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</si>
  <si>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</si>
  <si>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</si>
  <si>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</si>
  <si>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</si>
  <si>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</si>
  <si>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</si>
  <si>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</si>
  <si>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</si>
  <si>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</si>
  <si>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</si>
  <si>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</si>
  <si>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</si>
  <si>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</si>
  <si>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</si>
  <si>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</si>
  <si>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</si>
  <si>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</si>
  <si>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</si>
  <si>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</si>
  <si>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</si>
  <si>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</si>
  <si>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</si>
  <si>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</si>
  <si>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</si>
  <si>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</si>
  <si>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</si>
  <si>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</si>
  <si>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</si>
  <si>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</si>
  <si>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</si>
  <si>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</si>
  <si>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</si>
  <si>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</si>
  <si>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</si>
  <si>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</si>
  <si>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</si>
  <si>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</si>
  <si>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Plaza Gobernador Monteverde 1</t>
  </si>
  <si>
    <t>Plaza Gobernador Monteverde 2</t>
  </si>
  <si>
    <t>172.20.8.99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</si>
</sst>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Normal="100" zoomScaleSheetLayoutView="140" workbookViewId="0">
      <pane xSplit="12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I465" sqref="I465:I46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1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4" width="11.8554687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2342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2479</v>
      </c>
      <c r="O1" s="20"/>
      <c r="P1" s="20" t="s">
        <v>2349</v>
      </c>
      <c r="Q1" s="20"/>
      <c r="R1" s="2"/>
      <c r="S1" s="3">
        <f>(S3)/(S2+S3)</f>
        <v>9.5310136157337369E-2</v>
      </c>
      <c r="T1" s="3">
        <f t="shared" ref="T1:AE1" si="0">(T3)/(T2+T3)</f>
        <v>0.12954876273653565</v>
      </c>
      <c r="U1" s="3">
        <f t="shared" si="0"/>
        <v>0.14693295292439373</v>
      </c>
      <c r="V1" s="3">
        <f t="shared" si="0"/>
        <v>0</v>
      </c>
      <c r="W1" s="3">
        <f t="shared" si="0"/>
        <v>0</v>
      </c>
      <c r="X1" s="3">
        <f t="shared" si="0"/>
        <v>0.10075187969924812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COUNTIF(S7:S759, "apagado")</f>
        <v>63</v>
      </c>
      <c r="T3" s="123">
        <f t="shared" si="3"/>
        <v>89</v>
      </c>
      <c r="U3" s="123">
        <f t="shared" si="3"/>
        <v>103</v>
      </c>
      <c r="V3" s="123">
        <f t="shared" si="3"/>
        <v>0</v>
      </c>
      <c r="W3" s="123">
        <f t="shared" si="3"/>
        <v>0</v>
      </c>
      <c r="X3" s="123">
        <f t="shared" si="3"/>
        <v>67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0</v>
      </c>
      <c r="Z4" s="10">
        <f>COUNTIFS(Z8:Z713, "=APAGADO",K8:K713,"=Fibra Optica")</f>
        <v>0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0</v>
      </c>
      <c r="AF4" s="10">
        <f>COUNTIFS(AF8:AF713, "=APAGADO",K8:K713,"=Fibra Optica")</f>
        <v>0</v>
      </c>
      <c r="AG4" s="10">
        <f>COUNTIFS(AG8:AG713, "=APAGADO",K8:K713,"=Fibra Optica")</f>
        <v>0</v>
      </c>
      <c r="AH4" s="10">
        <f>COUNTIFS(AH8:AH713, "=APAGADO",K8:K713,"=Fibra Optica")</f>
        <v>0</v>
      </c>
      <c r="AI4" s="10">
        <f>COUNTIFS(AI8:AI713, "=APAGADO",K8:K713,"=Fibra Optica")</f>
        <v>0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0</v>
      </c>
      <c r="Z5" s="127">
        <f>COUNTIFS(Z8:Z713, "=APAGADO",K8:K713,"=RADIO")</f>
        <v>0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0</v>
      </c>
      <c r="AF5" s="127">
        <f>COUNTIFS(AF8:AF713, "=APAGADO",K8:K713,"=RADIO")</f>
        <v>0</v>
      </c>
      <c r="AG5" s="127">
        <f>COUNTIFS(AG8:AG713, "=APAGADO",K8:K713,"=RADIO")</f>
        <v>0</v>
      </c>
      <c r="AH5" s="127">
        <f>COUNTIFS(AH8:AH713, "=APAGADO",K8:K713,"=RADIO")</f>
        <v>0</v>
      </c>
      <c r="AI5" s="127">
        <f>COUNTIFS(AI8:AI713, "=APAGADO",K8:K713,"=RADIO")</f>
        <v>0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0</v>
      </c>
      <c r="Z6" s="10">
        <f>COUNTIFS(Z8:Z713, "=APAGADO",K8:K713,"=PTO A FO")</f>
        <v>0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0</v>
      </c>
      <c r="AF6" s="10">
        <f>COUNTIFS(AF8:AF713, "=APAGADO",K8:K713,"=PTO A FO")</f>
        <v>0</v>
      </c>
      <c r="AG6" s="10">
        <f>COUNTIFS(AG8:AG713, "=APAGADO",K8:K713,"=PTO A FO")</f>
        <v>0</v>
      </c>
      <c r="AH6" s="10">
        <f>COUNTIFS(AH8:AH713, "=APAGADO",K8:K713,"=PTO A FO")</f>
        <v>0</v>
      </c>
      <c r="AI6" s="10">
        <f>COUNTIFS(AI8:AI713, "=APAGADO",K8:K713,"=PTO A FO")</f>
        <v>0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2317</v>
      </c>
      <c r="B7" s="144" t="s">
        <v>2318</v>
      </c>
      <c r="C7" s="144" t="s">
        <v>2319</v>
      </c>
      <c r="D7" s="144" t="s">
        <v>2320</v>
      </c>
      <c r="E7" s="144" t="s">
        <v>2322</v>
      </c>
      <c r="F7" s="35" t="s">
        <v>7</v>
      </c>
      <c r="G7" s="114" t="s">
        <v>2262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2316</v>
      </c>
      <c r="N7" s="114" t="s">
        <v>2258</v>
      </c>
      <c r="O7" s="19" t="s">
        <v>2</v>
      </c>
      <c r="P7" s="19" t="s">
        <v>1624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2426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1627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2426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4"/>
        <v>28</v>
      </c>
      <c r="P9" s="136" t="s">
        <v>1628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2426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4"/>
        <v>28</v>
      </c>
      <c r="P10" s="136" t="s">
        <v>1630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2426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2358</v>
      </c>
      <c r="L11" s="30"/>
      <c r="M11" s="30" t="s">
        <v>605</v>
      </c>
      <c r="N11" s="30"/>
      <c r="O11" s="31">
        <f t="shared" si="4"/>
        <v>28</v>
      </c>
      <c r="P11" s="136" t="s">
        <v>1632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2426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2358</v>
      </c>
      <c r="L12" s="30"/>
      <c r="M12" s="30" t="s">
        <v>606</v>
      </c>
      <c r="N12" s="30"/>
      <c r="O12" s="31">
        <f t="shared" si="4"/>
        <v>28</v>
      </c>
      <c r="P12" s="136" t="s">
        <v>1633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2426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4"/>
        <v>28</v>
      </c>
      <c r="P13" s="136" t="s">
        <v>1634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2426</v>
      </c>
      <c r="F14" t="s">
        <v>25</v>
      </c>
      <c r="G14" t="s">
        <v>1493</v>
      </c>
      <c r="H14" t="s">
        <v>1038</v>
      </c>
      <c r="I14" s="68" t="s">
        <v>1494</v>
      </c>
      <c r="J14" s="30" t="s">
        <v>71</v>
      </c>
      <c r="K14" s="84" t="s">
        <v>1275</v>
      </c>
      <c r="L14" s="30"/>
      <c r="M14" s="30" t="s">
        <v>1495</v>
      </c>
      <c r="N14" s="30"/>
      <c r="O14" s="31">
        <f t="shared" si="4"/>
        <v>28</v>
      </c>
      <c r="P14" s="136" t="s">
        <v>2103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2321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1625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2321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4"/>
        <v>28</v>
      </c>
      <c r="P16" s="136" t="s">
        <v>1626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2426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4"/>
        <v>28</v>
      </c>
      <c r="P17" s="136" t="s">
        <v>1629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2321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4"/>
        <v>28</v>
      </c>
      <c r="P18" s="136" t="s">
        <v>1631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2425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4"/>
        <v>28</v>
      </c>
      <c r="P19" s="136" t="s">
        <v>1635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2425</v>
      </c>
      <c r="F20" s="73" t="s">
        <v>40</v>
      </c>
      <c r="G20" s="73" t="s">
        <v>1506</v>
      </c>
      <c r="H20" s="73" t="s">
        <v>1038</v>
      </c>
      <c r="I20" s="73" t="s">
        <v>1507</v>
      </c>
      <c r="J20" s="84" t="s">
        <v>71</v>
      </c>
      <c r="K20" s="84" t="s">
        <v>1275</v>
      </c>
      <c r="L20" s="84"/>
      <c r="M20" s="84" t="s">
        <v>1508</v>
      </c>
      <c r="N20" s="84"/>
      <c r="O20" s="31">
        <f t="shared" si="4"/>
        <v>28</v>
      </c>
      <c r="P20" s="136" t="s">
        <v>1636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2425</v>
      </c>
      <c r="F21" s="73" t="s">
        <v>40</v>
      </c>
      <c r="G21" s="73" t="s">
        <v>1534</v>
      </c>
      <c r="H21" s="73" t="s">
        <v>1038</v>
      </c>
      <c r="I21" s="73" t="s">
        <v>1535</v>
      </c>
      <c r="J21" s="84" t="s">
        <v>71</v>
      </c>
      <c r="K21" s="84" t="s">
        <v>1275</v>
      </c>
      <c r="L21" s="84"/>
      <c r="M21" s="84" t="s">
        <v>1536</v>
      </c>
      <c r="N21" s="84"/>
      <c r="O21" s="31">
        <f t="shared" si="4"/>
        <v>28</v>
      </c>
      <c r="P21" s="136" t="s">
        <v>1637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2357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2259</v>
      </c>
      <c r="O22" s="31">
        <f t="shared" si="4"/>
        <v>28</v>
      </c>
      <c r="P22" s="136" t="s">
        <v>2261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2357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4"/>
        <v>28</v>
      </c>
      <c r="P23" s="136" t="s">
        <v>1638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2444</v>
      </c>
      <c r="F24" s="73" t="s">
        <v>1168</v>
      </c>
      <c r="G24" s="84" t="s">
        <v>2251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4"/>
        <v>28</v>
      </c>
      <c r="P24" s="136" t="s">
        <v>1645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2444</v>
      </c>
      <c r="F25" s="73" t="s">
        <v>1168</v>
      </c>
      <c r="G25" s="84" t="s">
        <v>2252</v>
      </c>
      <c r="H25" s="84" t="s">
        <v>1039</v>
      </c>
      <c r="I25" s="73" t="s">
        <v>1559</v>
      </c>
      <c r="J25" s="84" t="s">
        <v>18</v>
      </c>
      <c r="K25" s="84" t="s">
        <v>1275</v>
      </c>
      <c r="L25" s="84"/>
      <c r="M25" s="84" t="s">
        <v>1560</v>
      </c>
      <c r="N25" s="84"/>
      <c r="O25" s="131">
        <f t="shared" si="4"/>
        <v>28</v>
      </c>
      <c r="P25" s="136" t="s">
        <v>2104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2444</v>
      </c>
      <c r="F26" s="73" t="s">
        <v>1168</v>
      </c>
      <c r="G26" s="84" t="s">
        <v>2253</v>
      </c>
      <c r="H26" s="84" t="s">
        <v>1039</v>
      </c>
      <c r="I26" s="73" t="s">
        <v>1563</v>
      </c>
      <c r="J26" s="84" t="s">
        <v>71</v>
      </c>
      <c r="K26" s="84" t="s">
        <v>1275</v>
      </c>
      <c r="L26" s="84"/>
      <c r="M26" s="84" t="s">
        <v>1561</v>
      </c>
      <c r="N26" s="84"/>
      <c r="O26" s="131">
        <f t="shared" si="4"/>
        <v>28</v>
      </c>
      <c r="P26" s="136" t="s">
        <v>2105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2444</v>
      </c>
      <c r="F27" s="73" t="s">
        <v>1168</v>
      </c>
      <c r="G27" s="84" t="s">
        <v>2254</v>
      </c>
      <c r="H27" s="84" t="s">
        <v>1039</v>
      </c>
      <c r="I27" s="73" t="s">
        <v>1563</v>
      </c>
      <c r="J27" s="84" t="s">
        <v>71</v>
      </c>
      <c r="K27" s="84" t="s">
        <v>1275</v>
      </c>
      <c r="L27" s="84"/>
      <c r="M27" s="84" t="s">
        <v>1562</v>
      </c>
      <c r="N27" s="84"/>
      <c r="O27" s="131">
        <f t="shared" si="4"/>
        <v>28</v>
      </c>
      <c r="P27" s="136" t="s">
        <v>2106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2444</v>
      </c>
      <c r="F28" s="73" t="s">
        <v>1168</v>
      </c>
      <c r="G28" s="84" t="s">
        <v>2255</v>
      </c>
      <c r="H28" s="84" t="s">
        <v>1039</v>
      </c>
      <c r="I28" s="73" t="s">
        <v>2234</v>
      </c>
      <c r="J28" s="84" t="s">
        <v>18</v>
      </c>
      <c r="K28" s="84" t="s">
        <v>1275</v>
      </c>
      <c r="L28" s="84"/>
      <c r="M28" s="84" t="s">
        <v>2235</v>
      </c>
      <c r="N28" s="84"/>
      <c r="O28" s="131">
        <f t="shared" si="4"/>
        <v>28</v>
      </c>
      <c r="P28" s="136" t="s">
        <v>2236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2341</v>
      </c>
      <c r="F29" s="73" t="s">
        <v>1168</v>
      </c>
      <c r="G29" s="84" t="s">
        <v>2351</v>
      </c>
      <c r="H29" s="84" t="s">
        <v>1039</v>
      </c>
      <c r="I29" s="73" t="s">
        <v>2352</v>
      </c>
      <c r="J29" s="84"/>
      <c r="K29" s="84" t="s">
        <v>27</v>
      </c>
      <c r="L29" s="84"/>
      <c r="M29" s="84" t="s">
        <v>2353</v>
      </c>
      <c r="N29" s="84"/>
      <c r="O29" s="131"/>
      <c r="P29" s="136" t="s">
        <v>2386</v>
      </c>
      <c r="Q29" s="131"/>
      <c r="R29" s="132"/>
      <c r="S29" s="70"/>
      <c r="T29" s="70"/>
      <c r="U29" s="70" t="s">
        <v>2215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2341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7">COUNTIF(S30:AT30,"")</f>
        <v>26</v>
      </c>
      <c r="P30" s="136" t="s">
        <v>1639</v>
      </c>
      <c r="Q30" s="31">
        <f t="shared" ref="Q30:Q61" si="8">COUNTIF(S30:AT30,"APAGADO")</f>
        <v>2</v>
      </c>
      <c r="R30" s="32">
        <f t="shared" ref="R30:R61" si="9">(O30)/(Q30+O30)</f>
        <v>0.9285714285714286</v>
      </c>
      <c r="S30" s="70"/>
      <c r="T30" s="70"/>
      <c r="U30" s="70" t="s">
        <v>2215</v>
      </c>
      <c r="V30" s="70"/>
      <c r="W30" s="70"/>
      <c r="X30" s="70" t="s">
        <v>2215</v>
      </c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2341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7"/>
        <v>26</v>
      </c>
      <c r="P31" s="136" t="s">
        <v>1640</v>
      </c>
      <c r="Q31" s="31">
        <f t="shared" si="8"/>
        <v>2</v>
      </c>
      <c r="R31" s="32">
        <f t="shared" si="9"/>
        <v>0.9285714285714286</v>
      </c>
      <c r="S31" s="70"/>
      <c r="T31" s="70"/>
      <c r="U31" s="70" t="s">
        <v>2215</v>
      </c>
      <c r="V31" s="70"/>
      <c r="W31" s="70"/>
      <c r="X31" s="70" t="s">
        <v>2215</v>
      </c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2341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7"/>
        <v>25</v>
      </c>
      <c r="P32" s="136" t="s">
        <v>1641</v>
      </c>
      <c r="Q32" s="31">
        <f t="shared" si="8"/>
        <v>3</v>
      </c>
      <c r="R32" s="32">
        <f t="shared" si="9"/>
        <v>0.8928571428571429</v>
      </c>
      <c r="S32" s="70"/>
      <c r="T32" s="70" t="s">
        <v>2215</v>
      </c>
      <c r="U32" s="70" t="s">
        <v>2215</v>
      </c>
      <c r="V32" s="70"/>
      <c r="W32" s="70"/>
      <c r="X32" s="70" t="s">
        <v>2215</v>
      </c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2341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7"/>
        <v>25</v>
      </c>
      <c r="P33" s="136" t="s">
        <v>1642</v>
      </c>
      <c r="Q33" s="31">
        <f t="shared" si="8"/>
        <v>3</v>
      </c>
      <c r="R33" s="32">
        <f t="shared" si="9"/>
        <v>0.8928571428571429</v>
      </c>
      <c r="S33" s="70"/>
      <c r="T33" s="70" t="s">
        <v>2215</v>
      </c>
      <c r="U33" s="70" t="s">
        <v>2215</v>
      </c>
      <c r="V33" s="70"/>
      <c r="W33" s="70"/>
      <c r="X33" s="70" t="s">
        <v>2215</v>
      </c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2341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7"/>
        <v>26</v>
      </c>
      <c r="P34" s="136" t="s">
        <v>1643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2215</v>
      </c>
      <c r="V34" s="70"/>
      <c r="W34" s="70"/>
      <c r="X34" s="70" t="s">
        <v>2215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2341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7"/>
        <v>27</v>
      </c>
      <c r="P35" s="136" t="s">
        <v>1644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2215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2355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7"/>
        <v>27</v>
      </c>
      <c r="P36" s="136" t="s">
        <v>1647</v>
      </c>
      <c r="Q36" s="31">
        <f t="shared" si="8"/>
        <v>1</v>
      </c>
      <c r="R36" s="32">
        <f t="shared" si="9"/>
        <v>0.9642857142857143</v>
      </c>
      <c r="S36" s="70"/>
      <c r="T36" s="70" t="s">
        <v>2215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2355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7"/>
        <v>27</v>
      </c>
      <c r="P37" s="136" t="s">
        <v>1648</v>
      </c>
      <c r="Q37" s="31">
        <f t="shared" si="8"/>
        <v>1</v>
      </c>
      <c r="R37" s="32">
        <f t="shared" si="9"/>
        <v>0.9642857142857143</v>
      </c>
      <c r="S37" s="70"/>
      <c r="T37" s="70" t="s">
        <v>2215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2443</v>
      </c>
      <c r="F38" t="s">
        <v>1425</v>
      </c>
      <c r="G38" s="30" t="s">
        <v>1597</v>
      </c>
      <c r="H38" t="s">
        <v>1039</v>
      </c>
      <c r="I38" t="s">
        <v>1599</v>
      </c>
      <c r="J38" s="30" t="s">
        <v>71</v>
      </c>
      <c r="K38" s="30" t="s">
        <v>1275</v>
      </c>
      <c r="L38" s="30"/>
      <c r="M38" s="84" t="s">
        <v>1600</v>
      </c>
      <c r="N38" s="84"/>
      <c r="O38" s="31">
        <f t="shared" si="7"/>
        <v>26</v>
      </c>
      <c r="P38" s="136" t="s">
        <v>2109</v>
      </c>
      <c r="Q38" s="31">
        <f t="shared" si="8"/>
        <v>2</v>
      </c>
      <c r="R38" s="32">
        <f t="shared" si="9"/>
        <v>0.9285714285714286</v>
      </c>
      <c r="S38" s="70" t="s">
        <v>2215</v>
      </c>
      <c r="T38" s="70" t="s">
        <v>2215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2443</v>
      </c>
      <c r="F39" t="s">
        <v>1425</v>
      </c>
      <c r="G39" s="30" t="s">
        <v>1598</v>
      </c>
      <c r="H39" t="s">
        <v>1039</v>
      </c>
      <c r="I39" t="s">
        <v>1599</v>
      </c>
      <c r="J39" s="30" t="s">
        <v>71</v>
      </c>
      <c r="K39" s="30" t="s">
        <v>1275</v>
      </c>
      <c r="L39" s="30"/>
      <c r="M39" s="84" t="s">
        <v>1601</v>
      </c>
      <c r="N39" s="84"/>
      <c r="O39" s="31">
        <f t="shared" si="7"/>
        <v>26</v>
      </c>
      <c r="P39" s="136" t="s">
        <v>2133</v>
      </c>
      <c r="Q39" s="31">
        <f t="shared" si="8"/>
        <v>2</v>
      </c>
      <c r="R39" s="32">
        <f t="shared" si="9"/>
        <v>0.9285714285714286</v>
      </c>
      <c r="S39" s="70" t="s">
        <v>2215</v>
      </c>
      <c r="T39" s="70" t="s">
        <v>2215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2443</v>
      </c>
      <c r="F40" t="s">
        <v>1425</v>
      </c>
      <c r="G40" s="30" t="s">
        <v>1605</v>
      </c>
      <c r="H40" t="s">
        <v>1039</v>
      </c>
      <c r="I40" t="s">
        <v>1599</v>
      </c>
      <c r="J40" s="30" t="s">
        <v>18</v>
      </c>
      <c r="K40" s="30" t="s">
        <v>1275</v>
      </c>
      <c r="L40" s="30"/>
      <c r="M40" s="84" t="s">
        <v>1603</v>
      </c>
      <c r="N40" s="84"/>
      <c r="O40" s="31">
        <f t="shared" si="7"/>
        <v>26</v>
      </c>
      <c r="P40" s="136" t="s">
        <v>2134</v>
      </c>
      <c r="Q40" s="31">
        <f t="shared" si="8"/>
        <v>2</v>
      </c>
      <c r="R40" s="32">
        <f t="shared" si="9"/>
        <v>0.9285714285714286</v>
      </c>
      <c r="S40" s="70" t="s">
        <v>2215</v>
      </c>
      <c r="T40" s="70" t="s">
        <v>2215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2355</v>
      </c>
      <c r="F41" t="s">
        <v>1425</v>
      </c>
      <c r="G41" s="30" t="s">
        <v>1606</v>
      </c>
      <c r="H41" t="s">
        <v>1039</v>
      </c>
      <c r="I41" t="s">
        <v>1607</v>
      </c>
      <c r="J41" s="30" t="s">
        <v>18</v>
      </c>
      <c r="K41" s="30" t="s">
        <v>27</v>
      </c>
      <c r="L41" s="30"/>
      <c r="M41" s="84" t="s">
        <v>1608</v>
      </c>
      <c r="N41" s="84"/>
      <c r="O41" s="31">
        <f t="shared" si="7"/>
        <v>27</v>
      </c>
      <c r="P41" s="136" t="s">
        <v>2135</v>
      </c>
      <c r="Q41" s="31">
        <f t="shared" si="8"/>
        <v>1</v>
      </c>
      <c r="R41" s="32">
        <f t="shared" si="9"/>
        <v>0.9642857142857143</v>
      </c>
      <c r="S41" s="70"/>
      <c r="T41" s="70" t="s">
        <v>2215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2341</v>
      </c>
      <c r="F42" t="s">
        <v>1425</v>
      </c>
      <c r="G42" s="30" t="s">
        <v>2178</v>
      </c>
      <c r="H42" t="s">
        <v>1039</v>
      </c>
      <c r="I42" t="s">
        <v>2182</v>
      </c>
      <c r="J42" s="30" t="s">
        <v>71</v>
      </c>
      <c r="K42" s="30" t="s">
        <v>27</v>
      </c>
      <c r="L42" s="30"/>
      <c r="M42" s="84" t="s">
        <v>2267</v>
      </c>
      <c r="N42" s="84"/>
      <c r="O42" s="31">
        <f t="shared" si="7"/>
        <v>25</v>
      </c>
      <c r="P42" s="136" t="s">
        <v>2179</v>
      </c>
      <c r="Q42" s="31">
        <f t="shared" si="8"/>
        <v>3</v>
      </c>
      <c r="R42" s="32">
        <f t="shared" si="9"/>
        <v>0.8928571428571429</v>
      </c>
      <c r="S42" s="70"/>
      <c r="T42" s="70" t="s">
        <v>2215</v>
      </c>
      <c r="U42" s="70" t="s">
        <v>2215</v>
      </c>
      <c r="V42" s="70"/>
      <c r="W42" s="70"/>
      <c r="X42" s="70" t="s">
        <v>2215</v>
      </c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2341</v>
      </c>
      <c r="F43" t="s">
        <v>1425</v>
      </c>
      <c r="G43" s="30" t="s">
        <v>2180</v>
      </c>
      <c r="H43" t="s">
        <v>1039</v>
      </c>
      <c r="I43" t="s">
        <v>2181</v>
      </c>
      <c r="J43" s="30" t="s">
        <v>71</v>
      </c>
      <c r="K43" s="30" t="s">
        <v>27</v>
      </c>
      <c r="L43" s="30"/>
      <c r="M43" s="84" t="s">
        <v>2268</v>
      </c>
      <c r="N43" s="84"/>
      <c r="O43" s="31">
        <f t="shared" si="7"/>
        <v>25</v>
      </c>
      <c r="P43" s="136" t="s">
        <v>2183</v>
      </c>
      <c r="Q43" s="31">
        <f t="shared" si="8"/>
        <v>3</v>
      </c>
      <c r="R43" s="32">
        <f t="shared" si="9"/>
        <v>0.8928571428571429</v>
      </c>
      <c r="S43" s="70"/>
      <c r="T43" s="70" t="s">
        <v>2215</v>
      </c>
      <c r="U43" s="70" t="s">
        <v>2215</v>
      </c>
      <c r="V43" s="70"/>
      <c r="W43" s="70"/>
      <c r="X43" s="70" t="s">
        <v>2215</v>
      </c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2324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1653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2325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1659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2445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7"/>
        <v>28</v>
      </c>
      <c r="P46" s="136" t="s">
        <v>1660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2360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1682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2445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7"/>
        <v>28</v>
      </c>
      <c r="P48" s="136" t="s">
        <v>1695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7"/>
        <v>28</v>
      </c>
      <c r="P49" s="136" t="s">
        <v>1696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7"/>
        <v>28</v>
      </c>
      <c r="P50" s="136" t="s">
        <v>1698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7"/>
        <v>28</v>
      </c>
      <c r="P51" s="136" t="s">
        <v>1699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7"/>
        <v>28</v>
      </c>
      <c r="P52" s="136" t="s">
        <v>1700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7"/>
        <v>28</v>
      </c>
      <c r="P53" s="136" t="s">
        <v>1701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7"/>
        <v>28</v>
      </c>
      <c r="P54" s="136" t="s">
        <v>1702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2326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2359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7"/>
        <v>28</v>
      </c>
      <c r="P57" s="136" t="s">
        <v>1706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2447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7"/>
        <v>28</v>
      </c>
      <c r="P58" s="136" t="s">
        <v>1710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2336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7"/>
        <v>28</v>
      </c>
      <c r="P60" s="136" t="s">
        <v>1715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10">COUNTIF(S62:AT62,"")</f>
        <v>28</v>
      </c>
      <c r="P62" s="136" t="s">
        <v>1719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2325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1461</v>
      </c>
      <c r="N63" s="30"/>
      <c r="O63" s="31">
        <f t="shared" si="10"/>
        <v>28</v>
      </c>
      <c r="P63" s="136" t="s">
        <v>1720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2325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10"/>
        <v>28</v>
      </c>
      <c r="P64" s="136" t="s">
        <v>1721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2325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10"/>
        <v>28</v>
      </c>
      <c r="P65" s="136" t="s">
        <v>1722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2360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10"/>
        <v>28</v>
      </c>
      <c r="P66" s="136" t="s">
        <v>1723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2360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10"/>
        <v>28</v>
      </c>
      <c r="P67" s="136" t="s">
        <v>1724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2424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10"/>
        <v>28</v>
      </c>
      <c r="P68" s="136" t="s">
        <v>1725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10"/>
        <v>28</v>
      </c>
      <c r="P69" s="136" t="s">
        <v>1726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10"/>
        <v>28</v>
      </c>
      <c r="P70" s="136" t="s">
        <v>1728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2325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10"/>
        <v>28</v>
      </c>
      <c r="P71" s="136" t="s">
        <v>1729</v>
      </c>
      <c r="Q71" s="31">
        <f t="shared" si="11"/>
        <v>0</v>
      </c>
      <c r="R71" s="32">
        <f t="shared" si="12"/>
        <v>1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2325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10"/>
        <v>28</v>
      </c>
      <c r="P72" s="136" t="s">
        <v>1730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2446</v>
      </c>
      <c r="F73" t="s">
        <v>51</v>
      </c>
      <c r="G73" t="s">
        <v>2375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10"/>
        <v>28</v>
      </c>
      <c r="P73" s="136" t="s">
        <v>1649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2446</v>
      </c>
      <c r="F74" t="s">
        <v>51</v>
      </c>
      <c r="G74" t="s">
        <v>2376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10"/>
        <v>28</v>
      </c>
      <c r="P74" s="136" t="s">
        <v>1650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2356</v>
      </c>
      <c r="C75"/>
      <c r="D75"/>
      <c r="E75" t="s">
        <v>2324</v>
      </c>
      <c r="F75" t="s">
        <v>51</v>
      </c>
      <c r="G75" t="s">
        <v>2377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2468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2323</v>
      </c>
      <c r="F76" t="s">
        <v>51</v>
      </c>
      <c r="G76" t="s">
        <v>2378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1652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2324</v>
      </c>
      <c r="F77" t="s">
        <v>51</v>
      </c>
      <c r="G77" t="s">
        <v>2379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24</v>
      </c>
      <c r="P77" s="136" t="s">
        <v>2421</v>
      </c>
      <c r="Q77" s="31">
        <f t="shared" si="11"/>
        <v>4</v>
      </c>
      <c r="R77" s="32">
        <f t="shared" si="12"/>
        <v>0.8571428571428571</v>
      </c>
      <c r="S77" s="70" t="s">
        <v>2215</v>
      </c>
      <c r="T77" s="70" t="s">
        <v>2215</v>
      </c>
      <c r="U77" s="70" t="s">
        <v>2215</v>
      </c>
      <c r="V77" s="70"/>
      <c r="W77" s="70"/>
      <c r="X77" s="70" t="s">
        <v>2215</v>
      </c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2357</v>
      </c>
      <c r="F78" t="s">
        <v>51</v>
      </c>
      <c r="G78" t="s">
        <v>2380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1654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2324</v>
      </c>
      <c r="F79" t="s">
        <v>51</v>
      </c>
      <c r="G79" t="s">
        <v>2381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1655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2333</v>
      </c>
      <c r="F80" t="s">
        <v>51</v>
      </c>
      <c r="G80" t="s">
        <v>2382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1656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2325</v>
      </c>
      <c r="F81" t="s">
        <v>51</v>
      </c>
      <c r="G81" t="s">
        <v>2383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1657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2360</v>
      </c>
      <c r="F82" s="73" t="s">
        <v>51</v>
      </c>
      <c r="G82" s="84" t="s">
        <v>2243</v>
      </c>
      <c r="H82" s="84" t="s">
        <v>1038</v>
      </c>
      <c r="I82" s="73" t="s">
        <v>2244</v>
      </c>
      <c r="J82" s="84" t="s">
        <v>18</v>
      </c>
      <c r="K82" s="30" t="s">
        <v>27</v>
      </c>
      <c r="L82" s="84"/>
      <c r="M82" s="84" t="s">
        <v>2245</v>
      </c>
      <c r="N82" s="84"/>
      <c r="O82" s="131">
        <f t="shared" si="10"/>
        <v>28</v>
      </c>
      <c r="P82" s="136" t="s">
        <v>2246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2325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1658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2325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1661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10"/>
        <v>28</v>
      </c>
      <c r="P85" s="136" t="s">
        <v>1662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2324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1663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2324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10"/>
        <v>28</v>
      </c>
      <c r="P87" s="136" t="s">
        <v>1664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2325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1665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2333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1666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10"/>
        <v>28</v>
      </c>
      <c r="P90" s="136" t="s">
        <v>1667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2250</v>
      </c>
      <c r="N91" s="89"/>
      <c r="O91" s="31">
        <f t="shared" si="10"/>
        <v>28</v>
      </c>
      <c r="P91" s="136" t="s">
        <v>2299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10"/>
        <v>28</v>
      </c>
      <c r="P92" s="136" t="s">
        <v>1668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2325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1669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2308</v>
      </c>
      <c r="N94" s="30"/>
      <c r="O94" s="31">
        <f t="shared" ref="O94:O125" si="13">COUNTIF(S94:AT94,"")</f>
        <v>28</v>
      </c>
      <c r="P94" s="136" t="s">
        <v>1670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2446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3"/>
        <v>28</v>
      </c>
      <c r="P95" s="136" t="s">
        <v>1671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2324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2384</v>
      </c>
      <c r="N96" s="30"/>
      <c r="O96" s="31">
        <f t="shared" si="13"/>
        <v>28</v>
      </c>
      <c r="P96" s="136" t="s">
        <v>2385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2324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3"/>
        <v>28</v>
      </c>
      <c r="P97" s="136" t="s">
        <v>1672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2324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1673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2324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2325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2325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1676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2325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2325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1678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2324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1679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2360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1680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3"/>
        <v>28</v>
      </c>
      <c r="P106" s="136" t="s">
        <v>1681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2360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2323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1684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2323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2323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24</v>
      </c>
      <c r="P110" s="136" t="s">
        <v>1686</v>
      </c>
      <c r="Q110" s="31">
        <f t="shared" si="14"/>
        <v>4</v>
      </c>
      <c r="R110" s="32">
        <f t="shared" si="15"/>
        <v>0.8571428571428571</v>
      </c>
      <c r="S110" s="70" t="s">
        <v>2215</v>
      </c>
      <c r="T110" s="70" t="s">
        <v>2215</v>
      </c>
      <c r="U110" s="70" t="s">
        <v>2215</v>
      </c>
      <c r="V110" s="70"/>
      <c r="W110" s="70"/>
      <c r="X110" s="70" t="s">
        <v>2215</v>
      </c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1486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3"/>
        <v>27</v>
      </c>
      <c r="P111" s="136" t="s">
        <v>1687</v>
      </c>
      <c r="Q111" s="131">
        <f t="shared" si="14"/>
        <v>1</v>
      </c>
      <c r="R111" s="132">
        <f t="shared" si="15"/>
        <v>0.9642857142857143</v>
      </c>
      <c r="S111" s="70"/>
      <c r="T111" s="70"/>
      <c r="U111" s="70"/>
      <c r="V111" s="70"/>
      <c r="W111" s="70"/>
      <c r="X111" s="70" t="s">
        <v>2215</v>
      </c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2325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1688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2325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1689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2326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2326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2325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3"/>
        <v>28</v>
      </c>
      <c r="P117" s="136" t="s">
        <v>1693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2360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3"/>
        <v>28</v>
      </c>
      <c r="P118" s="136" t="s">
        <v>1694</v>
      </c>
      <c r="Q118" s="31">
        <f t="shared" si="14"/>
        <v>0</v>
      </c>
      <c r="R118" s="32">
        <f t="shared" si="15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2446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3"/>
        <v>28</v>
      </c>
      <c r="P119" s="136" t="s">
        <v>1697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3"/>
        <v>28</v>
      </c>
      <c r="P120" s="136" t="s">
        <v>1704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2323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3"/>
        <v>28</v>
      </c>
      <c r="P121" s="136" t="s">
        <v>1707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2446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3"/>
        <v>28</v>
      </c>
      <c r="P122" s="136" t="s">
        <v>1708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2324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1709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2447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3"/>
        <v>28</v>
      </c>
      <c r="P124" s="136" t="s">
        <v>1710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3"/>
        <v>28</v>
      </c>
      <c r="P125" s="136" t="s">
        <v>1712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2336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6"/>
        <v>28</v>
      </c>
      <c r="P128" s="136" t="s">
        <v>1717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2445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2361</v>
      </c>
      <c r="L129" s="30"/>
      <c r="M129" s="30" t="s">
        <v>667</v>
      </c>
      <c r="N129" s="30"/>
      <c r="O129" s="31">
        <f t="shared" si="16"/>
        <v>28</v>
      </c>
      <c r="P129" s="136" t="s">
        <v>1718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6"/>
        <v>28</v>
      </c>
      <c r="P130" s="136" t="s">
        <v>1727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6"/>
        <v>24</v>
      </c>
      <c r="P131" s="136" t="s">
        <v>1731</v>
      </c>
      <c r="Q131" s="131">
        <f t="shared" si="17"/>
        <v>4</v>
      </c>
      <c r="R131" s="132">
        <f t="shared" si="18"/>
        <v>0.8571428571428571</v>
      </c>
      <c r="S131" s="70" t="s">
        <v>2215</v>
      </c>
      <c r="T131" s="70" t="s">
        <v>2215</v>
      </c>
      <c r="U131" s="70" t="s">
        <v>2215</v>
      </c>
      <c r="V131" s="70"/>
      <c r="W131" s="70"/>
      <c r="X131" s="70" t="s">
        <v>2215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1496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6"/>
        <v>28</v>
      </c>
      <c r="P132" s="136" t="s">
        <v>1732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1473</v>
      </c>
      <c r="H133" s="84" t="s">
        <v>1038</v>
      </c>
      <c r="I133" s="73" t="s">
        <v>1474</v>
      </c>
      <c r="J133" s="84" t="s">
        <v>18</v>
      </c>
      <c r="K133" s="84" t="s">
        <v>1275</v>
      </c>
      <c r="L133" s="84"/>
      <c r="M133" s="84" t="s">
        <v>1478</v>
      </c>
      <c r="N133" s="84"/>
      <c r="O133" s="131">
        <f t="shared" si="16"/>
        <v>28</v>
      </c>
      <c r="P133" s="136" t="s">
        <v>1733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2357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2259</v>
      </c>
      <c r="O134" s="131">
        <f t="shared" si="16"/>
        <v>28</v>
      </c>
      <c r="P134" s="136" t="s">
        <v>1734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2357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2259</v>
      </c>
      <c r="O135" s="131">
        <f t="shared" si="16"/>
        <v>28</v>
      </c>
      <c r="P135" s="136" t="s">
        <v>1735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1487</v>
      </c>
      <c r="H136" s="84" t="s">
        <v>1038</v>
      </c>
      <c r="I136" s="73" t="s">
        <v>1488</v>
      </c>
      <c r="J136" s="84" t="s">
        <v>18</v>
      </c>
      <c r="K136" s="84" t="s">
        <v>1275</v>
      </c>
      <c r="L136" s="84"/>
      <c r="M136" s="84" t="s">
        <v>1489</v>
      </c>
      <c r="N136" s="84"/>
      <c r="O136" s="131">
        <f t="shared" si="16"/>
        <v>28</v>
      </c>
      <c r="P136" s="136" t="s">
        <v>1736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2324</v>
      </c>
      <c r="F137" t="s">
        <v>51</v>
      </c>
      <c r="G137" s="30" t="s">
        <v>1490</v>
      </c>
      <c r="H137" s="30" t="s">
        <v>1038</v>
      </c>
      <c r="I137" t="s">
        <v>1491</v>
      </c>
      <c r="J137" s="84" t="s">
        <v>18</v>
      </c>
      <c r="K137" s="84" t="s">
        <v>27</v>
      </c>
      <c r="L137" s="84"/>
      <c r="M137" s="84" t="s">
        <v>1492</v>
      </c>
      <c r="N137" s="84"/>
      <c r="O137" s="131">
        <f t="shared" si="16"/>
        <v>28</v>
      </c>
      <c r="P137" s="136" t="s">
        <v>1737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2325</v>
      </c>
      <c r="F138" t="s">
        <v>51</v>
      </c>
      <c r="G138" s="30" t="s">
        <v>1610</v>
      </c>
      <c r="H138" s="30" t="s">
        <v>1038</v>
      </c>
      <c r="I138" t="s">
        <v>1611</v>
      </c>
      <c r="J138" s="84" t="s">
        <v>18</v>
      </c>
      <c r="K138" s="84" t="s">
        <v>27</v>
      </c>
      <c r="L138" s="84"/>
      <c r="M138" s="84" t="s">
        <v>2076</v>
      </c>
      <c r="N138" s="84"/>
      <c r="O138" s="131">
        <f t="shared" si="16"/>
        <v>28</v>
      </c>
      <c r="P138" s="136" t="s">
        <v>2136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2360</v>
      </c>
      <c r="F139" s="73" t="s">
        <v>51</v>
      </c>
      <c r="G139" s="84" t="s">
        <v>1528</v>
      </c>
      <c r="H139" s="84" t="s">
        <v>1038</v>
      </c>
      <c r="I139" s="73" t="s">
        <v>1530</v>
      </c>
      <c r="J139" s="84" t="s">
        <v>18</v>
      </c>
      <c r="K139" s="84" t="s">
        <v>27</v>
      </c>
      <c r="L139" s="84"/>
      <c r="M139" s="84" t="s">
        <v>1532</v>
      </c>
      <c r="N139" s="84"/>
      <c r="O139" s="131">
        <f t="shared" si="16"/>
        <v>28</v>
      </c>
      <c r="P139" s="136" t="s">
        <v>1738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2323</v>
      </c>
      <c r="F140" s="73" t="s">
        <v>51</v>
      </c>
      <c r="G140" s="84" t="s">
        <v>1529</v>
      </c>
      <c r="H140" s="84" t="s">
        <v>1038</v>
      </c>
      <c r="I140" s="73" t="s">
        <v>1531</v>
      </c>
      <c r="J140" s="84" t="s">
        <v>18</v>
      </c>
      <c r="K140" s="84" t="s">
        <v>27</v>
      </c>
      <c r="L140" s="84"/>
      <c r="M140" s="84" t="s">
        <v>1533</v>
      </c>
      <c r="N140" s="84"/>
      <c r="O140" s="131">
        <f t="shared" si="16"/>
        <v>28</v>
      </c>
      <c r="P140" s="136" t="s">
        <v>1739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2081</v>
      </c>
      <c r="H141" s="84" t="s">
        <v>1038</v>
      </c>
      <c r="I141" s="73" t="s">
        <v>2082</v>
      </c>
      <c r="J141" s="84" t="s">
        <v>18</v>
      </c>
      <c r="K141" s="84" t="s">
        <v>1275</v>
      </c>
      <c r="L141" s="84"/>
      <c r="M141" s="84" t="s">
        <v>2137</v>
      </c>
      <c r="N141" s="84"/>
      <c r="O141" s="131">
        <f t="shared" si="16"/>
        <v>28</v>
      </c>
      <c r="P141" s="136" t="s">
        <v>2138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2161</v>
      </c>
      <c r="H142" s="84" t="s">
        <v>1038</v>
      </c>
      <c r="I142" s="73" t="s">
        <v>2162</v>
      </c>
      <c r="J142" s="84" t="s">
        <v>18</v>
      </c>
      <c r="K142" s="84" t="s">
        <v>1275</v>
      </c>
      <c r="L142" s="84"/>
      <c r="M142" s="84" t="s">
        <v>2263</v>
      </c>
      <c r="N142" s="84"/>
      <c r="O142" s="131">
        <f t="shared" si="16"/>
        <v>28</v>
      </c>
      <c r="P142" s="136" t="s">
        <v>2163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2445</v>
      </c>
      <c r="F143" s="73" t="s">
        <v>51</v>
      </c>
      <c r="G143" s="84" t="s">
        <v>2190</v>
      </c>
      <c r="H143" s="84" t="s">
        <v>1038</v>
      </c>
      <c r="I143" s="73" t="s">
        <v>2191</v>
      </c>
      <c r="J143" s="84" t="s">
        <v>18</v>
      </c>
      <c r="K143" s="30" t="s">
        <v>2361</v>
      </c>
      <c r="L143" s="84"/>
      <c r="M143" s="84" t="s">
        <v>2192</v>
      </c>
      <c r="N143" s="84"/>
      <c r="O143" s="131">
        <f t="shared" si="16"/>
        <v>28</v>
      </c>
      <c r="P143" s="136" t="s">
        <v>2193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6"/>
        <v>28</v>
      </c>
      <c r="P144" s="136" t="s">
        <v>1740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2334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1741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2328</v>
      </c>
      <c r="F148" t="s">
        <v>165</v>
      </c>
      <c r="G148" t="s">
        <v>2347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2153</v>
      </c>
      <c r="N148" s="30"/>
      <c r="O148" s="31">
        <f t="shared" si="16"/>
        <v>28</v>
      </c>
      <c r="P148" s="136" t="s">
        <v>1743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2328</v>
      </c>
      <c r="F149" t="s">
        <v>167</v>
      </c>
      <c r="G149" t="s">
        <v>2348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6"/>
        <v>25</v>
      </c>
      <c r="P149" s="136" t="s">
        <v>1744</v>
      </c>
      <c r="Q149" s="31">
        <f t="shared" si="17"/>
        <v>3</v>
      </c>
      <c r="R149" s="32">
        <f t="shared" si="18"/>
        <v>0.8928571428571429</v>
      </c>
      <c r="S149" s="70" t="s">
        <v>2215</v>
      </c>
      <c r="T149" s="70" t="s">
        <v>2215</v>
      </c>
      <c r="U149" s="70" t="s">
        <v>2215</v>
      </c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2350</v>
      </c>
      <c r="N150" s="30"/>
      <c r="O150" s="31">
        <f t="shared" si="16"/>
        <v>26</v>
      </c>
      <c r="P150" s="136" t="s">
        <v>1743</v>
      </c>
      <c r="Q150" s="31">
        <f t="shared" si="17"/>
        <v>2</v>
      </c>
      <c r="R150" s="32">
        <f t="shared" si="18"/>
        <v>0.9285714285714286</v>
      </c>
      <c r="S150" s="70"/>
      <c r="T150" s="70"/>
      <c r="U150" s="70" t="s">
        <v>2215</v>
      </c>
      <c r="V150" s="70"/>
      <c r="W150" s="70"/>
      <c r="X150" s="70" t="s">
        <v>2215</v>
      </c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2328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6"/>
        <v>28</v>
      </c>
      <c r="P151" s="136" t="s">
        <v>1745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2337</v>
      </c>
      <c r="H152" t="s">
        <v>1039</v>
      </c>
      <c r="I152" t="s">
        <v>2338</v>
      </c>
      <c r="J152" s="30" t="s">
        <v>14</v>
      </c>
      <c r="K152" s="30" t="s">
        <v>1275</v>
      </c>
      <c r="L152"/>
      <c r="M152" s="30" t="s">
        <v>2339</v>
      </c>
      <c r="N152" s="30"/>
      <c r="O152" s="31"/>
      <c r="P152" s="136" t="s">
        <v>2340</v>
      </c>
      <c r="Q152" s="31"/>
      <c r="R152" s="32"/>
      <c r="S152" s="70" t="s">
        <v>2215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1168</v>
      </c>
      <c r="G153" s="84" t="s">
        <v>1475</v>
      </c>
      <c r="H153" s="73" t="s">
        <v>1039</v>
      </c>
      <c r="I153" s="73" t="s">
        <v>1476</v>
      </c>
      <c r="J153" s="84" t="s">
        <v>18</v>
      </c>
      <c r="K153" s="84" t="s">
        <v>1275</v>
      </c>
      <c r="L153" s="84"/>
      <c r="M153" s="84" t="s">
        <v>1477</v>
      </c>
      <c r="N153" s="84"/>
      <c r="O153" s="131">
        <f t="shared" ref="O153:O185" si="19">COUNTIF(S153:AT153,"")</f>
        <v>28</v>
      </c>
      <c r="P153" s="136" t="s">
        <v>2108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2432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9"/>
        <v>28</v>
      </c>
      <c r="P154" s="136" t="s">
        <v>1749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2431</v>
      </c>
      <c r="H155" s="73" t="s">
        <v>1038</v>
      </c>
      <c r="I155" s="73" t="s">
        <v>1520</v>
      </c>
      <c r="J155" s="84" t="s">
        <v>45</v>
      </c>
      <c r="K155" s="84" t="s">
        <v>1275</v>
      </c>
      <c r="L155" s="84"/>
      <c r="M155" s="84" t="s">
        <v>1521</v>
      </c>
      <c r="N155" s="84"/>
      <c r="O155" s="31">
        <f t="shared" si="19"/>
        <v>28</v>
      </c>
      <c r="P155" s="136" t="s">
        <v>2304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2430</v>
      </c>
      <c r="H156" s="73" t="s">
        <v>1038</v>
      </c>
      <c r="I156" s="73" t="s">
        <v>2077</v>
      </c>
      <c r="J156" s="84" t="s">
        <v>45</v>
      </c>
      <c r="K156" s="84" t="s">
        <v>1275</v>
      </c>
      <c r="L156" s="84"/>
      <c r="M156" s="84" t="s">
        <v>2079</v>
      </c>
      <c r="N156" s="84"/>
      <c r="O156" s="31">
        <f t="shared" si="19"/>
        <v>28</v>
      </c>
      <c r="P156" s="136" t="s">
        <v>2305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2429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9"/>
        <v>28</v>
      </c>
      <c r="P157" s="136" t="s">
        <v>1748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2328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9"/>
        <v>28</v>
      </c>
      <c r="P158" s="136" t="s">
        <v>1746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2328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9"/>
        <v>28</v>
      </c>
      <c r="P159" s="136" t="s">
        <v>1747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9"/>
        <v>28</v>
      </c>
      <c r="P160" s="136" t="s">
        <v>2302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9"/>
        <v>28</v>
      </c>
      <c r="P161" s="136" t="s">
        <v>2303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2428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2300</v>
      </c>
      <c r="N162" s="84"/>
      <c r="O162" s="85">
        <f t="shared" si="19"/>
        <v>28</v>
      </c>
      <c r="P162" s="136" t="s">
        <v>2301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1462</v>
      </c>
      <c r="N163" s="84"/>
      <c r="O163" s="131">
        <f t="shared" si="19"/>
        <v>28</v>
      </c>
      <c r="P163" s="136" t="s">
        <v>1751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1303</v>
      </c>
      <c r="G164" s="73" t="s">
        <v>2237</v>
      </c>
      <c r="H164" s="73" t="s">
        <v>1039</v>
      </c>
      <c r="I164" s="73" t="s">
        <v>2238</v>
      </c>
      <c r="J164" s="84" t="s">
        <v>14</v>
      </c>
      <c r="K164" s="84" t="s">
        <v>1275</v>
      </c>
      <c r="L164" s="84"/>
      <c r="M164" s="84" t="s">
        <v>2239</v>
      </c>
      <c r="N164" s="84"/>
      <c r="O164" s="131">
        <f t="shared" si="19"/>
        <v>28</v>
      </c>
      <c r="P164" s="136" t="s">
        <v>2306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2307</v>
      </c>
      <c r="N165" s="84"/>
      <c r="O165" s="131">
        <f t="shared" si="19"/>
        <v>28</v>
      </c>
      <c r="P165" s="136" t="s">
        <v>1750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2341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25</v>
      </c>
      <c r="P166" s="136" t="s">
        <v>1752</v>
      </c>
      <c r="Q166" s="31">
        <f t="shared" si="20"/>
        <v>3</v>
      </c>
      <c r="R166" s="32">
        <f t="shared" si="21"/>
        <v>0.8928571428571429</v>
      </c>
      <c r="S166" s="70"/>
      <c r="T166" s="70" t="s">
        <v>2215</v>
      </c>
      <c r="U166" s="70" t="s">
        <v>2215</v>
      </c>
      <c r="V166" s="70"/>
      <c r="W166" s="70"/>
      <c r="X166" s="70" t="s">
        <v>2215</v>
      </c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2341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26</v>
      </c>
      <c r="P167" s="136" t="s">
        <v>1753</v>
      </c>
      <c r="Q167" s="31">
        <f t="shared" si="20"/>
        <v>2</v>
      </c>
      <c r="R167" s="32">
        <f t="shared" si="21"/>
        <v>0.9285714285714286</v>
      </c>
      <c r="S167" s="70"/>
      <c r="T167" s="70" t="s">
        <v>2215</v>
      </c>
      <c r="U167" s="70" t="s">
        <v>2215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2341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9"/>
        <v>26</v>
      </c>
      <c r="P168" s="136" t="s">
        <v>1754</v>
      </c>
      <c r="Q168" s="31">
        <f t="shared" si="20"/>
        <v>2</v>
      </c>
      <c r="R168" s="32">
        <f t="shared" si="21"/>
        <v>0.9285714285714286</v>
      </c>
      <c r="S168" s="70"/>
      <c r="T168" s="70" t="s">
        <v>2215</v>
      </c>
      <c r="U168" s="70" t="s">
        <v>2215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2341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26</v>
      </c>
      <c r="P169" s="136" t="s">
        <v>1755</v>
      </c>
      <c r="Q169" s="31">
        <f t="shared" si="20"/>
        <v>2</v>
      </c>
      <c r="R169" s="32">
        <f t="shared" si="21"/>
        <v>0.9285714285714286</v>
      </c>
      <c r="S169" s="70"/>
      <c r="T169" s="70" t="s">
        <v>2215</v>
      </c>
      <c r="U169" s="70" t="s">
        <v>2215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2341</v>
      </c>
      <c r="F170" t="s">
        <v>173</v>
      </c>
      <c r="G170" t="s">
        <v>1512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1515</v>
      </c>
      <c r="N170" s="30"/>
      <c r="O170" s="31">
        <f t="shared" si="19"/>
        <v>26</v>
      </c>
      <c r="P170" s="136" t="s">
        <v>1756</v>
      </c>
      <c r="Q170" s="31">
        <f t="shared" si="20"/>
        <v>2</v>
      </c>
      <c r="R170" s="32">
        <f t="shared" si="21"/>
        <v>0.9285714285714286</v>
      </c>
      <c r="S170" s="70"/>
      <c r="T170" s="70" t="s">
        <v>2215</v>
      </c>
      <c r="U170" s="70" t="s">
        <v>2215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2341</v>
      </c>
      <c r="F171" s="69" t="s">
        <v>173</v>
      </c>
      <c r="G171" s="69" t="s">
        <v>1513</v>
      </c>
      <c r="H171" s="69" t="s">
        <v>1039</v>
      </c>
      <c r="I171" s="69" t="s">
        <v>1514</v>
      </c>
      <c r="J171" s="137" t="s">
        <v>14</v>
      </c>
      <c r="K171" s="137" t="s">
        <v>27</v>
      </c>
      <c r="L171" s="137"/>
      <c r="M171" s="137" t="s">
        <v>1516</v>
      </c>
      <c r="N171" s="137"/>
      <c r="O171" s="139">
        <f t="shared" si="19"/>
        <v>24</v>
      </c>
      <c r="P171" s="140" t="s">
        <v>1757</v>
      </c>
      <c r="Q171" s="139">
        <f t="shared" si="20"/>
        <v>4</v>
      </c>
      <c r="R171" s="141">
        <f t="shared" si="21"/>
        <v>0.8571428571428571</v>
      </c>
      <c r="S171" s="70" t="s">
        <v>2215</v>
      </c>
      <c r="T171" s="70" t="s">
        <v>2215</v>
      </c>
      <c r="U171" s="70" t="s">
        <v>2215</v>
      </c>
      <c r="V171" s="70"/>
      <c r="W171" s="70"/>
      <c r="X171" s="70" t="s">
        <v>2215</v>
      </c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138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2369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2441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2361</v>
      </c>
      <c r="L173" s="30"/>
      <c r="M173" s="30" t="s">
        <v>1128</v>
      </c>
      <c r="N173" s="30"/>
      <c r="O173" s="31">
        <f t="shared" si="19"/>
        <v>27</v>
      </c>
      <c r="P173" s="136" t="s">
        <v>1769</v>
      </c>
      <c r="Q173" s="31">
        <f t="shared" si="20"/>
        <v>1</v>
      </c>
      <c r="R173" s="32">
        <f t="shared" si="21"/>
        <v>0.9642857142857143</v>
      </c>
      <c r="S173" s="70" t="s">
        <v>2215</v>
      </c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138"/>
    </row>
    <row r="174" spans="1:49" s="69" customFormat="1" ht="15.75" thickBot="1" x14ac:dyDescent="0.3">
      <c r="A174"/>
      <c r="B174"/>
      <c r="C174"/>
      <c r="D174"/>
      <c r="E174" s="150" t="s">
        <v>2441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2361</v>
      </c>
      <c r="L174" s="30"/>
      <c r="M174" s="30" t="s">
        <v>1129</v>
      </c>
      <c r="N174" s="30"/>
      <c r="O174" s="31">
        <f t="shared" si="19"/>
        <v>27</v>
      </c>
      <c r="P174" s="136" t="s">
        <v>2440</v>
      </c>
      <c r="Q174" s="31">
        <f t="shared" si="20"/>
        <v>1</v>
      </c>
      <c r="R174" s="32">
        <f t="shared" si="21"/>
        <v>0.9642857142857143</v>
      </c>
      <c r="S174" s="70" t="s">
        <v>2215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  <c r="AW174"/>
    </row>
    <row r="175" spans="1:49" s="69" customFormat="1" ht="15.75" thickBot="1" x14ac:dyDescent="0.3">
      <c r="A175"/>
      <c r="B175"/>
      <c r="C175"/>
      <c r="D175"/>
      <c r="E175" s="69" t="s">
        <v>2341</v>
      </c>
      <c r="F175"/>
      <c r="G175" s="30" t="s">
        <v>2470</v>
      </c>
      <c r="H175" s="30" t="s">
        <v>1039</v>
      </c>
      <c r="I175" t="s">
        <v>2472</v>
      </c>
      <c r="J175" s="30" t="s">
        <v>45</v>
      </c>
      <c r="K175" s="30" t="s">
        <v>27</v>
      </c>
      <c r="L175" s="30"/>
      <c r="M175" s="30" t="s">
        <v>2471</v>
      </c>
      <c r="N175" s="30"/>
      <c r="O175" s="31"/>
      <c r="P175" s="136"/>
      <c r="Q175" s="31"/>
      <c r="R175" s="32"/>
      <c r="S175" s="70"/>
      <c r="T175" s="70" t="s">
        <v>2215</v>
      </c>
      <c r="U175" s="70" t="s">
        <v>2215</v>
      </c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9"/>
        <v>28</v>
      </c>
      <c r="P176" s="136" t="s">
        <v>1770</v>
      </c>
      <c r="Q176" s="31">
        <f t="shared" si="20"/>
        <v>0</v>
      </c>
      <c r="R176" s="32">
        <f t="shared" si="21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9"/>
        <v>28</v>
      </c>
      <c r="P177" s="136" t="s">
        <v>1771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2329</v>
      </c>
      <c r="F178" t="s">
        <v>178</v>
      </c>
      <c r="G178" s="30" t="s">
        <v>1479</v>
      </c>
      <c r="H178" s="30" t="s">
        <v>1039</v>
      </c>
      <c r="I178" t="s">
        <v>1480</v>
      </c>
      <c r="J178" s="30" t="s">
        <v>18</v>
      </c>
      <c r="K178" s="30" t="s">
        <v>27</v>
      </c>
      <c r="L178" s="30"/>
      <c r="M178" s="30" t="s">
        <v>1481</v>
      </c>
      <c r="N178" s="30"/>
      <c r="O178" s="31">
        <f t="shared" si="19"/>
        <v>28</v>
      </c>
      <c r="P178" s="136" t="s">
        <v>2370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1517</v>
      </c>
      <c r="H179" s="84" t="s">
        <v>1039</v>
      </c>
      <c r="I179" s="73" t="s">
        <v>1518</v>
      </c>
      <c r="J179" s="84" t="s">
        <v>18</v>
      </c>
      <c r="K179" s="84" t="s">
        <v>1275</v>
      </c>
      <c r="L179" s="84"/>
      <c r="M179" s="84" t="s">
        <v>1519</v>
      </c>
      <c r="N179" s="84"/>
      <c r="O179" s="31">
        <f t="shared" si="19"/>
        <v>28</v>
      </c>
      <c r="P179" s="136" t="s">
        <v>1772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2240</v>
      </c>
      <c r="H180" s="84" t="s">
        <v>1039</v>
      </c>
      <c r="I180" s="73" t="s">
        <v>2241</v>
      </c>
      <c r="J180" s="84" t="s">
        <v>1090</v>
      </c>
      <c r="K180" s="84" t="s">
        <v>1275</v>
      </c>
      <c r="L180" s="84"/>
      <c r="M180" s="84" t="s">
        <v>2242</v>
      </c>
      <c r="N180" s="84"/>
      <c r="O180" s="31">
        <f t="shared" si="19"/>
        <v>28</v>
      </c>
      <c r="P180" s="136" t="s">
        <v>2371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2326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9"/>
        <v>28</v>
      </c>
      <c r="P181" s="136" t="s">
        <v>1758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2441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9"/>
        <v>24</v>
      </c>
      <c r="P182" s="136" t="s">
        <v>1759</v>
      </c>
      <c r="Q182" s="31">
        <f t="shared" si="20"/>
        <v>4</v>
      </c>
      <c r="R182" s="32">
        <f t="shared" si="21"/>
        <v>0.8571428571428571</v>
      </c>
      <c r="S182" s="70" t="s">
        <v>2215</v>
      </c>
      <c r="T182" s="70" t="s">
        <v>2215</v>
      </c>
      <c r="U182" s="70" t="s">
        <v>2215</v>
      </c>
      <c r="V182" s="70"/>
      <c r="W182" s="70"/>
      <c r="X182" s="70" t="s">
        <v>2215</v>
      </c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138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1760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2329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1761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2329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1762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2">COUNTIF(S186:AT186,"")</f>
        <v>28</v>
      </c>
      <c r="P186" s="136" t="s">
        <v>1763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2441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1764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2326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1765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2326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28</v>
      </c>
      <c r="P189" s="136" t="s">
        <v>1766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2441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2361</v>
      </c>
      <c r="L190" s="30"/>
      <c r="M190" s="30" t="s">
        <v>658</v>
      </c>
      <c r="N190" s="30"/>
      <c r="O190" s="31">
        <f t="shared" si="22"/>
        <v>27</v>
      </c>
      <c r="P190" s="136" t="s">
        <v>1767</v>
      </c>
      <c r="Q190" s="31">
        <f t="shared" si="23"/>
        <v>1</v>
      </c>
      <c r="R190" s="32">
        <f t="shared" si="24"/>
        <v>0.9642857142857143</v>
      </c>
      <c r="S190" s="70" t="s">
        <v>2215</v>
      </c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138"/>
    </row>
    <row r="191" spans="1:49" ht="15.75" thickBot="1" x14ac:dyDescent="0.3">
      <c r="A191"/>
      <c r="B191"/>
      <c r="C191"/>
      <c r="D191"/>
      <c r="E191" s="150" t="s">
        <v>2441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2361</v>
      </c>
      <c r="L191" s="30"/>
      <c r="M191" s="30" t="s">
        <v>659</v>
      </c>
      <c r="N191" s="30"/>
      <c r="O191" s="31">
        <f t="shared" si="22"/>
        <v>27</v>
      </c>
      <c r="P191" s="136" t="s">
        <v>1768</v>
      </c>
      <c r="Q191" s="31">
        <f t="shared" si="23"/>
        <v>1</v>
      </c>
      <c r="R191" s="32">
        <f t="shared" si="24"/>
        <v>0.9642857142857143</v>
      </c>
      <c r="S191" s="70" t="s">
        <v>2215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2114</v>
      </c>
      <c r="H192" s="84" t="s">
        <v>1039</v>
      </c>
      <c r="I192" s="73" t="s">
        <v>2115</v>
      </c>
      <c r="J192" s="84" t="s">
        <v>18</v>
      </c>
      <c r="K192" s="84" t="s">
        <v>1275</v>
      </c>
      <c r="L192" s="84"/>
      <c r="M192" s="84" t="s">
        <v>2116</v>
      </c>
      <c r="N192" s="84"/>
      <c r="O192" s="31">
        <f t="shared" si="22"/>
        <v>28</v>
      </c>
      <c r="P192" s="136" t="s">
        <v>2117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2326</v>
      </c>
      <c r="F193" s="73" t="s">
        <v>178</v>
      </c>
      <c r="G193" s="84" t="s">
        <v>2171</v>
      </c>
      <c r="H193" s="84" t="s">
        <v>1039</v>
      </c>
      <c r="I193" s="73" t="s">
        <v>2172</v>
      </c>
      <c r="J193" s="84" t="s">
        <v>18</v>
      </c>
      <c r="K193" s="84" t="s">
        <v>27</v>
      </c>
      <c r="L193" s="84"/>
      <c r="M193" s="84" t="s">
        <v>2269</v>
      </c>
      <c r="N193" s="84"/>
      <c r="O193" s="31">
        <f t="shared" si="22"/>
        <v>28</v>
      </c>
      <c r="P193" s="136" t="s">
        <v>2117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2216</v>
      </c>
      <c r="H194" s="84" t="s">
        <v>1039</v>
      </c>
      <c r="I194" s="73" t="s">
        <v>1500</v>
      </c>
      <c r="J194" s="84" t="s">
        <v>1090</v>
      </c>
      <c r="K194" s="84" t="s">
        <v>1275</v>
      </c>
      <c r="L194" s="84"/>
      <c r="M194" s="84" t="s">
        <v>1501</v>
      </c>
      <c r="N194" s="84"/>
      <c r="O194" s="31">
        <f t="shared" si="22"/>
        <v>28</v>
      </c>
      <c r="P194" s="136" t="s">
        <v>1773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2341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26</v>
      </c>
      <c r="P195" s="136" t="s">
        <v>1774</v>
      </c>
      <c r="Q195" s="31">
        <f t="shared" si="23"/>
        <v>2</v>
      </c>
      <c r="R195" s="32">
        <f t="shared" si="24"/>
        <v>0.9285714285714286</v>
      </c>
      <c r="S195" s="70"/>
      <c r="T195" s="70" t="s">
        <v>2215</v>
      </c>
      <c r="U195" s="70" t="s">
        <v>2215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2341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26</v>
      </c>
      <c r="P196" s="136" t="s">
        <v>1775</v>
      </c>
      <c r="Q196" s="31">
        <f t="shared" si="23"/>
        <v>2</v>
      </c>
      <c r="R196" s="32">
        <f t="shared" si="24"/>
        <v>0.9285714285714286</v>
      </c>
      <c r="S196" s="70"/>
      <c r="T196" s="70" t="s">
        <v>2215</v>
      </c>
      <c r="U196" s="70" t="s">
        <v>2215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2448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2"/>
        <v>24</v>
      </c>
      <c r="P197" s="140"/>
      <c r="Q197" s="139">
        <f t="shared" si="23"/>
        <v>4</v>
      </c>
      <c r="R197" s="141">
        <f t="shared" si="24"/>
        <v>0.8571428571428571</v>
      </c>
      <c r="S197" s="70" t="s">
        <v>2215</v>
      </c>
      <c r="T197" s="70" t="s">
        <v>2215</v>
      </c>
      <c r="U197" s="70" t="s">
        <v>2215</v>
      </c>
      <c r="V197" s="70"/>
      <c r="W197" s="70"/>
      <c r="X197" s="70" t="s">
        <v>2215</v>
      </c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138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1555</v>
      </c>
      <c r="N198" s="84"/>
      <c r="O198" s="131">
        <f t="shared" si="22"/>
        <v>28</v>
      </c>
      <c r="P198" s="136" t="s">
        <v>1781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2"/>
        <v>28</v>
      </c>
      <c r="P199" s="136" t="s">
        <v>1784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2"/>
        <v>28</v>
      </c>
      <c r="P200" s="136" t="s">
        <v>1786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2"/>
        <v>28</v>
      </c>
      <c r="P201" s="136" t="s">
        <v>1787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2"/>
        <v>28</v>
      </c>
      <c r="P202" s="136" t="s">
        <v>1788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2"/>
        <v>28</v>
      </c>
      <c r="P203" s="136" t="s">
        <v>1789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2"/>
        <v>28</v>
      </c>
      <c r="P204" s="136" t="s">
        <v>1790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2"/>
        <v>28</v>
      </c>
      <c r="P205" s="136" t="s">
        <v>1650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2425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2"/>
        <v>28</v>
      </c>
      <c r="P206" s="136" t="s">
        <v>1791</v>
      </c>
      <c r="Q206" s="131">
        <f t="shared" si="23"/>
        <v>0</v>
      </c>
      <c r="R206" s="1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2425</v>
      </c>
      <c r="G207" s="73" t="s">
        <v>2343</v>
      </c>
      <c r="H207" s="73" t="s">
        <v>1038</v>
      </c>
      <c r="I207" s="73" t="s">
        <v>2345</v>
      </c>
      <c r="J207" s="84"/>
      <c r="K207" s="84" t="s">
        <v>1275</v>
      </c>
      <c r="M207" s="84" t="s">
        <v>2344</v>
      </c>
      <c r="N207" s="84"/>
      <c r="O207" s="131"/>
      <c r="P207" s="136" t="s">
        <v>2346</v>
      </c>
      <c r="Q207" s="131"/>
      <c r="R207" s="132"/>
      <c r="S207" s="70"/>
      <c r="T207" s="70" t="s">
        <v>2215</v>
      </c>
      <c r="U207" s="70" t="s">
        <v>2215</v>
      </c>
      <c r="V207" s="70"/>
      <c r="W207" s="70"/>
      <c r="X207" s="70" t="s">
        <v>2215</v>
      </c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2425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5">COUNTIF(S208:AT208,"")</f>
        <v>28</v>
      </c>
      <c r="P208" s="136" t="s">
        <v>1776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2425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5"/>
        <v>24</v>
      </c>
      <c r="P209" s="136" t="s">
        <v>1777</v>
      </c>
      <c r="Q209" s="131">
        <f t="shared" si="26"/>
        <v>4</v>
      </c>
      <c r="R209" s="132">
        <f t="shared" si="27"/>
        <v>0.8571428571428571</v>
      </c>
      <c r="S209" s="70" t="s">
        <v>2215</v>
      </c>
      <c r="T209" s="70" t="s">
        <v>2215</v>
      </c>
      <c r="U209" s="70" t="s">
        <v>2215</v>
      </c>
      <c r="V209" s="70"/>
      <c r="W209" s="70"/>
      <c r="X209" s="70" t="s">
        <v>2215</v>
      </c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138"/>
    </row>
    <row r="210" spans="1:49" s="73" customFormat="1" ht="15.75" thickBot="1" x14ac:dyDescent="0.3">
      <c r="A210"/>
      <c r="B210"/>
      <c r="C210"/>
      <c r="D210"/>
      <c r="E210" s="150" t="s">
        <v>2425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5"/>
        <v>28</v>
      </c>
      <c r="P210" s="136" t="s">
        <v>1778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2368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2270</v>
      </c>
      <c r="N211" s="30"/>
      <c r="O211" s="31">
        <f t="shared" si="25"/>
        <v>27</v>
      </c>
      <c r="P211" s="136" t="s">
        <v>1779</v>
      </c>
      <c r="Q211" s="31">
        <f t="shared" si="26"/>
        <v>1</v>
      </c>
      <c r="R211" s="32">
        <f t="shared" si="27"/>
        <v>0.9642857142857143</v>
      </c>
      <c r="S211" s="70"/>
      <c r="T211" s="70"/>
      <c r="U211" s="70"/>
      <c r="V211" s="70"/>
      <c r="W211" s="70"/>
      <c r="X211" s="70" t="s">
        <v>2215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2366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2271</v>
      </c>
      <c r="N212" s="30"/>
      <c r="O212" s="31">
        <f t="shared" si="25"/>
        <v>27</v>
      </c>
      <c r="P212" s="136" t="s">
        <v>1780</v>
      </c>
      <c r="Q212" s="31">
        <f t="shared" si="26"/>
        <v>1</v>
      </c>
      <c r="R212" s="32">
        <f t="shared" si="27"/>
        <v>0.9642857142857143</v>
      </c>
      <c r="S212" s="70"/>
      <c r="T212" s="70"/>
      <c r="U212" s="70"/>
      <c r="V212" s="70"/>
      <c r="W212" s="70"/>
      <c r="X212" s="70" t="s">
        <v>2215</v>
      </c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2425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2256</v>
      </c>
      <c r="N213" s="30"/>
      <c r="O213" s="31">
        <f t="shared" si="25"/>
        <v>28</v>
      </c>
      <c r="P213" s="136" t="s">
        <v>2372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2425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5"/>
        <v>24</v>
      </c>
      <c r="P214" s="136" t="s">
        <v>1782</v>
      </c>
      <c r="Q214" s="31">
        <f t="shared" si="26"/>
        <v>4</v>
      </c>
      <c r="R214" s="32">
        <f t="shared" si="27"/>
        <v>0.8571428571428571</v>
      </c>
      <c r="S214" s="70" t="s">
        <v>2215</v>
      </c>
      <c r="T214" s="70" t="s">
        <v>2215</v>
      </c>
      <c r="U214" s="70" t="s">
        <v>2215</v>
      </c>
      <c r="V214" s="70"/>
      <c r="W214" s="70"/>
      <c r="X214" s="70" t="s">
        <v>2215</v>
      </c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</row>
    <row r="215" spans="1:49" ht="15.75" thickBot="1" x14ac:dyDescent="0.3">
      <c r="A215"/>
      <c r="B215"/>
      <c r="C215"/>
      <c r="D215"/>
      <c r="E215" s="150" t="s">
        <v>2425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5"/>
        <v>28</v>
      </c>
      <c r="P215" s="136" t="s">
        <v>1783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2425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5"/>
        <v>28</v>
      </c>
      <c r="P216" s="136" t="s">
        <v>1785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2425</v>
      </c>
      <c r="F217" s="73" t="s">
        <v>206</v>
      </c>
      <c r="G217" s="73" t="s">
        <v>1552</v>
      </c>
      <c r="H217" s="73" t="s">
        <v>1038</v>
      </c>
      <c r="I217" s="73" t="s">
        <v>1553</v>
      </c>
      <c r="J217" s="84" t="s">
        <v>71</v>
      </c>
      <c r="K217" s="84" t="s">
        <v>1275</v>
      </c>
      <c r="L217" s="73"/>
      <c r="M217" s="84" t="s">
        <v>1554</v>
      </c>
      <c r="N217" s="84"/>
      <c r="O217" s="131">
        <f t="shared" si="25"/>
        <v>28</v>
      </c>
      <c r="P217" s="136" t="s">
        <v>1792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2425</v>
      </c>
      <c r="F218" s="73" t="s">
        <v>206</v>
      </c>
      <c r="G218" s="73" t="s">
        <v>2149</v>
      </c>
      <c r="H218" s="73" t="s">
        <v>1038</v>
      </c>
      <c r="I218" s="73" t="s">
        <v>2150</v>
      </c>
      <c r="J218" s="84" t="s">
        <v>71</v>
      </c>
      <c r="K218" s="84" t="s">
        <v>1275</v>
      </c>
      <c r="M218" s="84" t="s">
        <v>2151</v>
      </c>
      <c r="N218" s="84"/>
      <c r="O218" s="131">
        <f t="shared" si="25"/>
        <v>28</v>
      </c>
      <c r="P218" s="136" t="s">
        <v>2152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5"/>
        <v>24</v>
      </c>
      <c r="P219" s="136" t="s">
        <v>1793</v>
      </c>
      <c r="Q219" s="31">
        <f t="shared" si="26"/>
        <v>4</v>
      </c>
      <c r="R219" s="32">
        <f t="shared" si="27"/>
        <v>0.8571428571428571</v>
      </c>
      <c r="S219" s="70" t="s">
        <v>2215</v>
      </c>
      <c r="T219" s="70" t="s">
        <v>2215</v>
      </c>
      <c r="U219" s="70" t="s">
        <v>2215</v>
      </c>
      <c r="V219" s="70"/>
      <c r="W219" s="70"/>
      <c r="X219" s="70" t="s">
        <v>2215</v>
      </c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5"/>
        <v>27</v>
      </c>
      <c r="P220" s="136" t="s">
        <v>1794</v>
      </c>
      <c r="Q220" s="131">
        <f t="shared" si="26"/>
        <v>1</v>
      </c>
      <c r="R220" s="132">
        <f t="shared" si="27"/>
        <v>0.9642857142857143</v>
      </c>
      <c r="S220" s="70"/>
      <c r="T220" s="70"/>
      <c r="U220" s="70" t="s">
        <v>2215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2264</v>
      </c>
      <c r="N221" s="84"/>
      <c r="O221" s="131">
        <f t="shared" si="25"/>
        <v>28</v>
      </c>
      <c r="P221" s="136" t="s">
        <v>1795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1483</v>
      </c>
      <c r="H222" t="s">
        <v>1038</v>
      </c>
      <c r="I222" t="s">
        <v>1484</v>
      </c>
      <c r="J222" s="30" t="s">
        <v>14</v>
      </c>
      <c r="K222" s="30" t="s">
        <v>2361</v>
      </c>
      <c r="L222" s="30" t="s">
        <v>2362</v>
      </c>
      <c r="M222" s="30" t="s">
        <v>1485</v>
      </c>
      <c r="N222" s="30"/>
      <c r="O222" s="131">
        <f t="shared" si="25"/>
        <v>28</v>
      </c>
      <c r="P222" s="136" t="s">
        <v>1796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2203</v>
      </c>
      <c r="H223" t="s">
        <v>1038</v>
      </c>
      <c r="I223" t="s">
        <v>2204</v>
      </c>
      <c r="J223" s="30" t="s">
        <v>14</v>
      </c>
      <c r="K223" s="84" t="s">
        <v>1275</v>
      </c>
      <c r="L223" s="30"/>
      <c r="M223" s="30" t="s">
        <v>2205</v>
      </c>
      <c r="N223" s="30"/>
      <c r="O223" s="131">
        <f t="shared" si="25"/>
        <v>28</v>
      </c>
      <c r="P223" s="136" t="s">
        <v>2206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5"/>
        <v>28</v>
      </c>
      <c r="P224" s="136" t="s">
        <v>2373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5"/>
        <v>28</v>
      </c>
      <c r="P225" s="136" t="s">
        <v>2374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2335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2272</v>
      </c>
      <c r="N226" s="30"/>
      <c r="O226" s="31">
        <f t="shared" si="25"/>
        <v>28</v>
      </c>
      <c r="P226" s="136" t="s">
        <v>1797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5"/>
        <v>28</v>
      </c>
      <c r="P227" s="136" t="s">
        <v>1798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2335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1799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2335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1800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5"/>
        <v>28</v>
      </c>
      <c r="P230" s="136" t="s">
        <v>1801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5"/>
        <v>28</v>
      </c>
      <c r="P231" s="136" t="s">
        <v>1802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1556</v>
      </c>
      <c r="H232" s="73" t="s">
        <v>1038</v>
      </c>
      <c r="I232" s="73" t="s">
        <v>1557</v>
      </c>
      <c r="J232" s="84" t="s">
        <v>14</v>
      </c>
      <c r="K232" s="84" t="s">
        <v>1275</v>
      </c>
      <c r="L232" s="84"/>
      <c r="M232" s="84" t="s">
        <v>1558</v>
      </c>
      <c r="N232" s="84"/>
      <c r="O232" s="131">
        <f t="shared" si="25"/>
        <v>28</v>
      </c>
      <c r="P232" s="136" t="s">
        <v>2422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2217</v>
      </c>
      <c r="H233" s="73" t="s">
        <v>1038</v>
      </c>
      <c r="I233" s="73" t="s">
        <v>2218</v>
      </c>
      <c r="J233" s="84" t="s">
        <v>14</v>
      </c>
      <c r="K233" s="84" t="s">
        <v>1275</v>
      </c>
      <c r="L233" s="84"/>
      <c r="M233" s="84" t="s">
        <v>2273</v>
      </c>
      <c r="N233" s="84"/>
      <c r="O233" s="131">
        <f t="shared" si="25"/>
        <v>28</v>
      </c>
      <c r="P233" s="136" t="s">
        <v>2219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5"/>
        <v>28</v>
      </c>
      <c r="P234" s="136" t="s">
        <v>1803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5"/>
        <v>28</v>
      </c>
      <c r="P235" s="136" t="s">
        <v>2474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5"/>
        <v>28</v>
      </c>
      <c r="P236" s="136" t="s">
        <v>1804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2211</v>
      </c>
      <c r="H237" s="73" t="s">
        <v>1039</v>
      </c>
      <c r="I237" s="73" t="s">
        <v>2212</v>
      </c>
      <c r="J237" s="84" t="s">
        <v>14</v>
      </c>
      <c r="K237" s="84" t="s">
        <v>1275</v>
      </c>
      <c r="L237" s="84"/>
      <c r="M237" s="84" t="s">
        <v>2274</v>
      </c>
      <c r="N237" s="84"/>
      <c r="O237" s="131">
        <f t="shared" si="25"/>
        <v>28</v>
      </c>
      <c r="P237" s="136" t="s">
        <v>2213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2321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1805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2321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1806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2321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8">COUNTIF(S240:AT240,"")</f>
        <v>28</v>
      </c>
      <c r="P240" s="136" t="s">
        <v>1807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2321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1808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2321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1809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2321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1810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2321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1811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2321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1812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2321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1813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2321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1814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2321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2265</v>
      </c>
      <c r="N248" s="30"/>
      <c r="O248" s="31">
        <f t="shared" si="28"/>
        <v>28</v>
      </c>
      <c r="P248" s="136" t="s">
        <v>1815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2321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8"/>
        <v>28</v>
      </c>
      <c r="P249" s="136" t="s">
        <v>1816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2321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1817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2442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28</v>
      </c>
      <c r="P251" s="136" t="s">
        <v>1818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2321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8"/>
        <v>24</v>
      </c>
      <c r="P252" s="136" t="s">
        <v>1819</v>
      </c>
      <c r="Q252" s="31">
        <f t="shared" si="29"/>
        <v>4</v>
      </c>
      <c r="R252" s="32">
        <f t="shared" si="30"/>
        <v>0.8571428571428571</v>
      </c>
      <c r="S252" s="70" t="s">
        <v>2215</v>
      </c>
      <c r="T252" s="70" t="s">
        <v>2215</v>
      </c>
      <c r="U252" s="70" t="s">
        <v>2215</v>
      </c>
      <c r="V252" s="70"/>
      <c r="W252" s="70"/>
      <c r="X252" s="70" t="s">
        <v>2215</v>
      </c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138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2189</v>
      </c>
      <c r="N253" s="84"/>
      <c r="O253" s="31">
        <f t="shared" si="28"/>
        <v>28</v>
      </c>
      <c r="P253" s="136" t="s">
        <v>2298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8"/>
        <v>27</v>
      </c>
      <c r="P254" s="136" t="s">
        <v>1776</v>
      </c>
      <c r="Q254" s="31">
        <f t="shared" si="29"/>
        <v>1</v>
      </c>
      <c r="R254" s="32">
        <f t="shared" si="30"/>
        <v>0.9642857142857143</v>
      </c>
      <c r="S254" s="70"/>
      <c r="T254" s="70"/>
      <c r="U254" s="70"/>
      <c r="V254" s="70"/>
      <c r="W254" s="70"/>
      <c r="X254" s="70" t="s">
        <v>2215</v>
      </c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2451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8"/>
        <v>24</v>
      </c>
      <c r="P255" s="140" t="s">
        <v>1820</v>
      </c>
      <c r="Q255" s="139">
        <f t="shared" si="29"/>
        <v>4</v>
      </c>
      <c r="R255" s="141">
        <f t="shared" si="30"/>
        <v>0.8571428571428571</v>
      </c>
      <c r="S255" s="70" t="s">
        <v>2215</v>
      </c>
      <c r="T255" s="70" t="s">
        <v>2215</v>
      </c>
      <c r="U255" s="70" t="s">
        <v>2215</v>
      </c>
      <c r="V255" s="70"/>
      <c r="W255" s="70"/>
      <c r="X255" s="70" t="s">
        <v>2215</v>
      </c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138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2226</v>
      </c>
      <c r="H256" s="69" t="s">
        <v>1039</v>
      </c>
      <c r="I256" s="69" t="s">
        <v>2227</v>
      </c>
      <c r="J256" s="137" t="s">
        <v>71</v>
      </c>
      <c r="K256" s="137" t="s">
        <v>1275</v>
      </c>
      <c r="L256" s="137"/>
      <c r="M256" s="137" t="s">
        <v>2228</v>
      </c>
      <c r="N256" s="137"/>
      <c r="O256" s="139">
        <f t="shared" si="28"/>
        <v>24</v>
      </c>
      <c r="P256" s="140" t="s">
        <v>2229</v>
      </c>
      <c r="Q256" s="139">
        <f t="shared" si="29"/>
        <v>4</v>
      </c>
      <c r="R256" s="141">
        <f t="shared" si="30"/>
        <v>0.8571428571428571</v>
      </c>
      <c r="S256" s="70" t="s">
        <v>2215</v>
      </c>
      <c r="T256" s="70" t="s">
        <v>2215</v>
      </c>
      <c r="U256" s="70" t="s">
        <v>2215</v>
      </c>
      <c r="V256" s="70"/>
      <c r="W256" s="70"/>
      <c r="X256" s="70" t="s">
        <v>2215</v>
      </c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2230</v>
      </c>
      <c r="H257" t="s">
        <v>1039</v>
      </c>
      <c r="I257" t="s">
        <v>2227</v>
      </c>
      <c r="J257" s="30" t="s">
        <v>14</v>
      </c>
      <c r="K257" s="84" t="s">
        <v>1275</v>
      </c>
      <c r="L257" s="30"/>
      <c r="M257" s="30" t="s">
        <v>2275</v>
      </c>
      <c r="N257" s="30"/>
      <c r="O257" s="31">
        <f t="shared" si="28"/>
        <v>28</v>
      </c>
      <c r="P257" s="136" t="s">
        <v>2387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2231</v>
      </c>
      <c r="H258" t="s">
        <v>1039</v>
      </c>
      <c r="I258" t="s">
        <v>2232</v>
      </c>
      <c r="J258" s="30" t="s">
        <v>14</v>
      </c>
      <c r="K258" s="84" t="s">
        <v>1275</v>
      </c>
      <c r="L258" s="30"/>
      <c r="M258" s="30" t="s">
        <v>2315</v>
      </c>
      <c r="N258" s="30"/>
      <c r="O258" s="31">
        <f t="shared" si="28"/>
        <v>28</v>
      </c>
      <c r="P258" s="136" t="s">
        <v>2388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2154</v>
      </c>
      <c r="G259" t="s">
        <v>2155</v>
      </c>
      <c r="H259" t="s">
        <v>1039</v>
      </c>
      <c r="I259" t="s">
        <v>2156</v>
      </c>
      <c r="J259" s="30" t="s">
        <v>18</v>
      </c>
      <c r="K259" s="84" t="s">
        <v>1275</v>
      </c>
      <c r="L259" s="30"/>
      <c r="M259" s="30" t="s">
        <v>2276</v>
      </c>
      <c r="N259" s="30"/>
      <c r="O259" s="131">
        <f t="shared" si="28"/>
        <v>28</v>
      </c>
      <c r="P259" s="136" t="s">
        <v>2157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2154</v>
      </c>
      <c r="G260" t="s">
        <v>2158</v>
      </c>
      <c r="H260" t="s">
        <v>1039</v>
      </c>
      <c r="I260" t="s">
        <v>2159</v>
      </c>
      <c r="J260" s="30" t="s">
        <v>18</v>
      </c>
      <c r="K260" s="84" t="s">
        <v>1275</v>
      </c>
      <c r="L260" s="30"/>
      <c r="M260" s="30" t="s">
        <v>2277</v>
      </c>
      <c r="N260" s="30"/>
      <c r="O260" s="131">
        <f t="shared" si="28"/>
        <v>28</v>
      </c>
      <c r="P260" s="136" t="s">
        <v>2160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8"/>
        <v>25</v>
      </c>
      <c r="P261" s="136" t="s">
        <v>2389</v>
      </c>
      <c r="Q261" s="31">
        <f t="shared" si="29"/>
        <v>3</v>
      </c>
      <c r="R261" s="32">
        <f t="shared" si="30"/>
        <v>0.8928571428571429</v>
      </c>
      <c r="S261" s="70" t="s">
        <v>2215</v>
      </c>
      <c r="T261" s="70" t="s">
        <v>2215</v>
      </c>
      <c r="U261" s="70" t="s">
        <v>2215</v>
      </c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2341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8"/>
        <v>27</v>
      </c>
      <c r="P262" s="136" t="s">
        <v>1821</v>
      </c>
      <c r="Q262" s="31">
        <f t="shared" si="29"/>
        <v>1</v>
      </c>
      <c r="R262" s="32">
        <f t="shared" si="30"/>
        <v>0.9642857142857143</v>
      </c>
      <c r="S262" s="70"/>
      <c r="T262" s="70"/>
      <c r="U262" s="70" t="s">
        <v>2215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2341</v>
      </c>
      <c r="F263" t="s">
        <v>947</v>
      </c>
      <c r="G263" t="s">
        <v>2310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8"/>
        <v>27</v>
      </c>
      <c r="P263" s="136" t="s">
        <v>1822</v>
      </c>
      <c r="Q263" s="31">
        <f t="shared" si="29"/>
        <v>1</v>
      </c>
      <c r="R263" s="32">
        <f t="shared" si="30"/>
        <v>0.9642857142857143</v>
      </c>
      <c r="S263" s="70"/>
      <c r="T263" s="70"/>
      <c r="U263" s="70" t="s">
        <v>2215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2309</v>
      </c>
      <c r="H264" t="s">
        <v>1039</v>
      </c>
      <c r="I264" t="s">
        <v>2312</v>
      </c>
      <c r="J264" s="30" t="s">
        <v>45</v>
      </c>
      <c r="K264" s="30" t="s">
        <v>1275</v>
      </c>
      <c r="L264" s="30"/>
      <c r="M264" s="30" t="s">
        <v>2313</v>
      </c>
      <c r="N264" s="30"/>
      <c r="O264" s="31"/>
      <c r="P264" s="136" t="s">
        <v>2408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2311</v>
      </c>
      <c r="H265" t="s">
        <v>1039</v>
      </c>
      <c r="I265" t="s">
        <v>2312</v>
      </c>
      <c r="J265" s="30" t="s">
        <v>14</v>
      </c>
      <c r="K265" s="30" t="s">
        <v>1275</v>
      </c>
      <c r="L265" s="30"/>
      <c r="M265" s="30" t="s">
        <v>2314</v>
      </c>
      <c r="N265" s="30"/>
      <c r="O265" s="31"/>
      <c r="P265" s="136" t="s">
        <v>2390</v>
      </c>
      <c r="Q265" s="31"/>
      <c r="R265" s="32"/>
      <c r="S265" s="70"/>
      <c r="T265" s="70" t="s">
        <v>2215</v>
      </c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2" si="31">COUNTIF(S266:AT266,"")</f>
        <v>28</v>
      </c>
      <c r="P266" s="136" t="s">
        <v>1823</v>
      </c>
      <c r="Q266" s="131">
        <f t="shared" ref="Q266:Q332" si="32">COUNTIF(S266:AT266,"APAGADO")</f>
        <v>0</v>
      </c>
      <c r="R266" s="132">
        <f t="shared" ref="R266:R332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1"/>
        <v>28</v>
      </c>
      <c r="P267" s="136" t="s">
        <v>1824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1"/>
        <v>28</v>
      </c>
      <c r="P268" s="136" t="s">
        <v>1825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2391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2360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1"/>
        <v>28</v>
      </c>
      <c r="P270" s="136" t="s">
        <v>1826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2360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1"/>
        <v>28</v>
      </c>
      <c r="P271" s="136" t="s">
        <v>1827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1"/>
        <v>28</v>
      </c>
      <c r="P272" s="136" t="s">
        <v>1828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2426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1"/>
        <v>27</v>
      </c>
      <c r="P273" s="136" t="s">
        <v>1830</v>
      </c>
      <c r="Q273" s="31">
        <f t="shared" si="32"/>
        <v>1</v>
      </c>
      <c r="R273" s="32">
        <f t="shared" si="33"/>
        <v>0.9642857142857143</v>
      </c>
      <c r="S273" s="70"/>
      <c r="T273" s="70" t="s">
        <v>2215</v>
      </c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2426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2427</v>
      </c>
      <c r="L274" s="30"/>
      <c r="M274" s="30" t="s">
        <v>719</v>
      </c>
      <c r="N274" s="30"/>
      <c r="O274" s="31">
        <f t="shared" si="31"/>
        <v>27</v>
      </c>
      <c r="P274" s="136" t="s">
        <v>1831</v>
      </c>
      <c r="Q274" s="31">
        <f t="shared" si="32"/>
        <v>1</v>
      </c>
      <c r="R274" s="32">
        <f t="shared" si="33"/>
        <v>0.9642857142857143</v>
      </c>
      <c r="S274" s="70"/>
      <c r="T274" s="70" t="s">
        <v>2215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2259</v>
      </c>
      <c r="O275" s="131">
        <f t="shared" si="31"/>
        <v>26</v>
      </c>
      <c r="P275" s="136" t="s">
        <v>1833</v>
      </c>
      <c r="Q275" s="131">
        <f t="shared" si="32"/>
        <v>2</v>
      </c>
      <c r="R275" s="132">
        <f t="shared" si="33"/>
        <v>0.9285714285714286</v>
      </c>
      <c r="S275" s="70"/>
      <c r="T275" s="70" t="s">
        <v>2215</v>
      </c>
      <c r="U275" s="70" t="s">
        <v>2215</v>
      </c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2321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1"/>
        <v>26</v>
      </c>
      <c r="P276" s="136" t="s">
        <v>1834</v>
      </c>
      <c r="Q276" s="31">
        <f t="shared" si="32"/>
        <v>2</v>
      </c>
      <c r="R276" s="32">
        <f t="shared" si="33"/>
        <v>0.9285714285714286</v>
      </c>
      <c r="S276" s="70"/>
      <c r="T276" s="70" t="s">
        <v>2215</v>
      </c>
      <c r="U276" s="70" t="s">
        <v>2215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2321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1"/>
        <v>28</v>
      </c>
      <c r="P277" s="136" t="s">
        <v>1829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2321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1817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1"/>
        <v>27</v>
      </c>
      <c r="P279" s="136" t="s">
        <v>1832</v>
      </c>
      <c r="Q279" s="31">
        <f t="shared" si="32"/>
        <v>1</v>
      </c>
      <c r="R279" s="32">
        <f t="shared" si="33"/>
        <v>0.9642857142857143</v>
      </c>
      <c r="S279" s="70"/>
      <c r="T279" s="70" t="s">
        <v>2215</v>
      </c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2354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2259</v>
      </c>
      <c r="O280" s="31">
        <f t="shared" si="31"/>
        <v>28</v>
      </c>
      <c r="P280" s="136" t="s">
        <v>1835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2360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2257</v>
      </c>
      <c r="N281" s="30"/>
      <c r="O281" s="31">
        <f t="shared" si="31"/>
        <v>27</v>
      </c>
      <c r="P281" s="136" t="s">
        <v>1836</v>
      </c>
      <c r="Q281" s="31">
        <f t="shared" si="32"/>
        <v>1</v>
      </c>
      <c r="R281" s="32">
        <f t="shared" si="33"/>
        <v>0.9642857142857143</v>
      </c>
      <c r="S281" s="70" t="s">
        <v>2215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1463</v>
      </c>
      <c r="N282" s="30"/>
      <c r="O282" s="31">
        <f t="shared" si="31"/>
        <v>28</v>
      </c>
      <c r="P282" s="136" t="s">
        <v>1837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1464</v>
      </c>
      <c r="N283" s="84"/>
      <c r="O283" s="131">
        <f t="shared" si="31"/>
        <v>28</v>
      </c>
      <c r="P283" s="136" t="s">
        <v>1838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2360</v>
      </c>
      <c r="F284" t="s">
        <v>288</v>
      </c>
      <c r="G284" t="s">
        <v>2493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1460</v>
      </c>
      <c r="N284" s="30" t="s">
        <v>2259</v>
      </c>
      <c r="O284" s="131">
        <f t="shared" si="31"/>
        <v>28</v>
      </c>
      <c r="P284" s="136" t="s">
        <v>1839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2360</v>
      </c>
      <c r="F285" t="s">
        <v>288</v>
      </c>
      <c r="G285" t="s">
        <v>2494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1465</v>
      </c>
      <c r="N285" s="30" t="s">
        <v>2259</v>
      </c>
      <c r="O285" s="131">
        <f t="shared" si="31"/>
        <v>28</v>
      </c>
      <c r="P285" s="136" t="s">
        <v>1840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/>
      <c r="B286"/>
      <c r="C286"/>
      <c r="D286"/>
      <c r="E286"/>
      <c r="G286" t="s">
        <v>2495</v>
      </c>
      <c r="H286" t="s">
        <v>1038</v>
      </c>
      <c r="I286" t="s">
        <v>2497</v>
      </c>
      <c r="J286" s="30"/>
      <c r="K286" s="30" t="s">
        <v>27</v>
      </c>
      <c r="L286" s="30"/>
      <c r="M286" s="30" t="s">
        <v>2499</v>
      </c>
      <c r="N286" s="30"/>
      <c r="O286" s="131"/>
      <c r="P286" s="136"/>
      <c r="Q286" s="131"/>
      <c r="R286" s="132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2496</v>
      </c>
      <c r="H287" t="s">
        <v>1038</v>
      </c>
      <c r="I287" t="s">
        <v>2498</v>
      </c>
      <c r="J287" s="30"/>
      <c r="K287" s="30" t="s">
        <v>27</v>
      </c>
      <c r="L287" s="30"/>
      <c r="M287" s="30" t="s">
        <v>2263</v>
      </c>
      <c r="N287" s="30"/>
      <c r="O287" s="131"/>
      <c r="P287" s="136"/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>
        <v>3</v>
      </c>
      <c r="B288">
        <v>1</v>
      </c>
      <c r="C288"/>
      <c r="D288"/>
      <c r="E288" t="s">
        <v>2325</v>
      </c>
      <c r="F288" t="s">
        <v>297</v>
      </c>
      <c r="G288" t="s">
        <v>951</v>
      </c>
      <c r="H288" t="s">
        <v>1038</v>
      </c>
      <c r="I288" t="s">
        <v>300</v>
      </c>
      <c r="J288" s="30" t="s">
        <v>18</v>
      </c>
      <c r="K288" s="30" t="s">
        <v>27</v>
      </c>
      <c r="L288" s="30"/>
      <c r="M288" s="30" t="s">
        <v>722</v>
      </c>
      <c r="N288" s="30"/>
      <c r="O288" s="31">
        <f t="shared" si="31"/>
        <v>28</v>
      </c>
      <c r="P288" s="136" t="s">
        <v>1841</v>
      </c>
      <c r="Q288" s="31">
        <f t="shared" si="32"/>
        <v>0</v>
      </c>
      <c r="R288" s="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129"/>
    </row>
    <row r="289" spans="1:49" ht="15.75" thickBot="1" x14ac:dyDescent="0.3">
      <c r="A289"/>
      <c r="B289"/>
      <c r="C289"/>
      <c r="D289"/>
      <c r="E289"/>
      <c r="F289" s="73" t="s">
        <v>297</v>
      </c>
      <c r="G289" s="73" t="s">
        <v>298</v>
      </c>
      <c r="H289" s="73" t="s">
        <v>1038</v>
      </c>
      <c r="I289" s="73" t="s">
        <v>299</v>
      </c>
      <c r="J289" s="84" t="s">
        <v>14</v>
      </c>
      <c r="K289" s="84" t="s">
        <v>1275</v>
      </c>
      <c r="L289" s="84"/>
      <c r="M289" s="84" t="s">
        <v>1344</v>
      </c>
      <c r="N289" s="84"/>
      <c r="O289" s="131">
        <f t="shared" si="31"/>
        <v>28</v>
      </c>
      <c r="P289" s="136" t="s">
        <v>1847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301</v>
      </c>
      <c r="H290" s="73" t="s">
        <v>1038</v>
      </c>
      <c r="I290" s="73" t="s">
        <v>302</v>
      </c>
      <c r="J290" s="84" t="s">
        <v>18</v>
      </c>
      <c r="K290" s="84" t="s">
        <v>1275</v>
      </c>
      <c r="L290" s="84"/>
      <c r="M290" s="84" t="s">
        <v>1345</v>
      </c>
      <c r="N290" s="84"/>
      <c r="O290" s="131">
        <f t="shared" si="31"/>
        <v>28</v>
      </c>
      <c r="P290" s="136" t="s">
        <v>1842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t="s">
        <v>297</v>
      </c>
      <c r="G291" t="s">
        <v>303</v>
      </c>
      <c r="H291" t="s">
        <v>1038</v>
      </c>
      <c r="I291" t="s">
        <v>304</v>
      </c>
      <c r="J291" s="30" t="s">
        <v>18</v>
      </c>
      <c r="K291" s="30" t="s">
        <v>1032</v>
      </c>
      <c r="L291" s="30" t="s">
        <v>1229</v>
      </c>
      <c r="M291" s="30" t="s">
        <v>723</v>
      </c>
      <c r="N291" s="30"/>
      <c r="O291" s="31">
        <f t="shared" si="31"/>
        <v>28</v>
      </c>
      <c r="P291" s="136" t="s">
        <v>1843</v>
      </c>
      <c r="Q291" s="31">
        <f t="shared" si="32"/>
        <v>0</v>
      </c>
      <c r="R291" s="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/>
      <c r="B292"/>
      <c r="C292"/>
      <c r="D292"/>
      <c r="E292"/>
      <c r="F292" s="73" t="s">
        <v>297</v>
      </c>
      <c r="G292" s="73" t="s">
        <v>305</v>
      </c>
      <c r="H292" s="73" t="s">
        <v>1038</v>
      </c>
      <c r="I292" s="73" t="s">
        <v>306</v>
      </c>
      <c r="J292" s="84" t="s">
        <v>18</v>
      </c>
      <c r="K292" s="84" t="s">
        <v>1275</v>
      </c>
      <c r="L292" s="84"/>
      <c r="M292" s="84" t="s">
        <v>1335</v>
      </c>
      <c r="N292" s="84"/>
      <c r="O292" s="131">
        <f t="shared" si="31"/>
        <v>28</v>
      </c>
      <c r="P292" s="136" t="s">
        <v>1844</v>
      </c>
      <c r="Q292" s="131">
        <f t="shared" si="32"/>
        <v>0</v>
      </c>
      <c r="R292" s="1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307</v>
      </c>
      <c r="G293" s="73" t="s">
        <v>308</v>
      </c>
      <c r="H293" s="73" t="s">
        <v>1038</v>
      </c>
      <c r="I293" s="73" t="s">
        <v>309</v>
      </c>
      <c r="J293" s="84" t="s">
        <v>18</v>
      </c>
      <c r="K293" s="84" t="s">
        <v>1275</v>
      </c>
      <c r="L293" s="84"/>
      <c r="M293" s="134" t="s">
        <v>1336</v>
      </c>
      <c r="N293" s="134"/>
      <c r="O293" s="131">
        <f t="shared" si="31"/>
        <v>28</v>
      </c>
      <c r="P293" s="136" t="s">
        <v>1845</v>
      </c>
      <c r="Q293" s="131">
        <f t="shared" si="32"/>
        <v>0</v>
      </c>
      <c r="R293" s="1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9" s="73" customFormat="1" ht="15.75" thickBot="1" x14ac:dyDescent="0.3">
      <c r="A294">
        <v>3</v>
      </c>
      <c r="B294">
        <v>1</v>
      </c>
      <c r="C294"/>
      <c r="D294"/>
      <c r="E294" t="s">
        <v>2325</v>
      </c>
      <c r="F294" t="s">
        <v>51</v>
      </c>
      <c r="G294" t="s">
        <v>310</v>
      </c>
      <c r="H294" t="s">
        <v>1038</v>
      </c>
      <c r="I294" t="s">
        <v>311</v>
      </c>
      <c r="J294" s="30" t="s">
        <v>18</v>
      </c>
      <c r="K294" s="30" t="s">
        <v>27</v>
      </c>
      <c r="L294" s="30"/>
      <c r="M294" s="30" t="s">
        <v>724</v>
      </c>
      <c r="N294" s="30"/>
      <c r="O294" s="31">
        <f t="shared" si="31"/>
        <v>28</v>
      </c>
      <c r="P294" s="136" t="s">
        <v>1651</v>
      </c>
      <c r="Q294" s="31">
        <f t="shared" si="32"/>
        <v>0</v>
      </c>
      <c r="R294" s="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2325</v>
      </c>
      <c r="F295" t="s">
        <v>297</v>
      </c>
      <c r="G295" t="s">
        <v>312</v>
      </c>
      <c r="H295" t="s">
        <v>1038</v>
      </c>
      <c r="I295" t="s">
        <v>313</v>
      </c>
      <c r="J295" s="30" t="s">
        <v>18</v>
      </c>
      <c r="K295" s="30" t="s">
        <v>27</v>
      </c>
      <c r="L295" s="30"/>
      <c r="M295" s="30" t="s">
        <v>725</v>
      </c>
      <c r="N295" s="30"/>
      <c r="O295" s="31">
        <f t="shared" si="31"/>
        <v>28</v>
      </c>
      <c r="P295" s="136" t="s">
        <v>1846</v>
      </c>
      <c r="Q295" s="31">
        <f t="shared" si="32"/>
        <v>0</v>
      </c>
      <c r="R295" s="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ht="15.75" thickBot="1" x14ac:dyDescent="0.3">
      <c r="A296"/>
      <c r="B296"/>
      <c r="C296"/>
      <c r="D296"/>
      <c r="E296"/>
      <c r="F296" s="73" t="s">
        <v>297</v>
      </c>
      <c r="G296" s="73" t="s">
        <v>314</v>
      </c>
      <c r="H296" s="73" t="s">
        <v>1038</v>
      </c>
      <c r="I296" s="73" t="s">
        <v>315</v>
      </c>
      <c r="J296" s="84" t="s">
        <v>14</v>
      </c>
      <c r="K296" s="84" t="s">
        <v>1275</v>
      </c>
      <c r="L296" s="84"/>
      <c r="M296" s="84" t="s">
        <v>726</v>
      </c>
      <c r="N296" s="84"/>
      <c r="O296" s="131">
        <f t="shared" si="31"/>
        <v>28</v>
      </c>
      <c r="P296" s="136" t="s">
        <v>1848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129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1316</v>
      </c>
      <c r="H297" s="73" t="s">
        <v>1038</v>
      </c>
      <c r="I297" s="73" t="s">
        <v>1317</v>
      </c>
      <c r="J297" s="84" t="s">
        <v>14</v>
      </c>
      <c r="K297" s="84" t="s">
        <v>1275</v>
      </c>
      <c r="L297" s="84"/>
      <c r="M297" s="84" t="s">
        <v>1331</v>
      </c>
      <c r="N297" s="84"/>
      <c r="O297" s="131">
        <f t="shared" si="31"/>
        <v>28</v>
      </c>
      <c r="P297" s="136" t="s">
        <v>1849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9" s="73" customFormat="1" ht="15.75" thickBot="1" x14ac:dyDescent="0.3">
      <c r="A298"/>
      <c r="B298"/>
      <c r="C298"/>
      <c r="D298"/>
      <c r="E298"/>
      <c r="F298" s="73" t="s">
        <v>1503</v>
      </c>
      <c r="G298" s="73" t="s">
        <v>1502</v>
      </c>
      <c r="H298" s="73" t="s">
        <v>1038</v>
      </c>
      <c r="I298" s="73" t="s">
        <v>1504</v>
      </c>
      <c r="J298" s="84" t="s">
        <v>18</v>
      </c>
      <c r="K298" s="84" t="s">
        <v>1275</v>
      </c>
      <c r="L298" s="84"/>
      <c r="M298" s="84" t="s">
        <v>1505</v>
      </c>
      <c r="N298" s="84"/>
      <c r="O298" s="131">
        <f t="shared" si="31"/>
        <v>28</v>
      </c>
      <c r="P298" s="136" t="s">
        <v>1850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69"/>
    </row>
    <row r="299" spans="1:49" s="73" customFormat="1" ht="15.75" thickBot="1" x14ac:dyDescent="0.3">
      <c r="A299">
        <v>3</v>
      </c>
      <c r="B299">
        <v>1</v>
      </c>
      <c r="C299"/>
      <c r="D299"/>
      <c r="E299" t="s">
        <v>2325</v>
      </c>
      <c r="F299" s="73" t="s">
        <v>1503</v>
      </c>
      <c r="G299" s="73" t="s">
        <v>1612</v>
      </c>
      <c r="H299" s="73" t="s">
        <v>1038</v>
      </c>
      <c r="I299" s="73" t="s">
        <v>1613</v>
      </c>
      <c r="J299" s="84" t="s">
        <v>18</v>
      </c>
      <c r="K299" s="84" t="s">
        <v>27</v>
      </c>
      <c r="L299" s="84"/>
      <c r="M299" s="84" t="s">
        <v>1614</v>
      </c>
      <c r="N299" s="84"/>
      <c r="O299" s="131">
        <f t="shared" si="31"/>
        <v>28</v>
      </c>
      <c r="P299" s="136" t="s">
        <v>2139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4.25" customHeight="1" thickBot="1" x14ac:dyDescent="0.3">
      <c r="A300" s="8"/>
      <c r="B300" s="8"/>
      <c r="C300" s="8"/>
      <c r="D300" s="8"/>
      <c r="E300" s="150" t="s">
        <v>2444</v>
      </c>
      <c r="F300" s="69" t="s">
        <v>2102</v>
      </c>
      <c r="G300" s="30" t="s">
        <v>1322</v>
      </c>
      <c r="H300" t="s">
        <v>1039</v>
      </c>
      <c r="I300" t="s">
        <v>1323</v>
      </c>
      <c r="J300" s="30" t="s">
        <v>18</v>
      </c>
      <c r="K300" s="30" t="s">
        <v>1275</v>
      </c>
      <c r="L300" s="137"/>
      <c r="M300" s="30" t="s">
        <v>1413</v>
      </c>
      <c r="N300" s="137"/>
      <c r="O300" s="139">
        <f t="shared" si="31"/>
        <v>28</v>
      </c>
      <c r="P300" s="143" t="s">
        <v>1646</v>
      </c>
      <c r="Q300" s="139">
        <f t="shared" si="32"/>
        <v>0</v>
      </c>
      <c r="R300" s="141">
        <f t="shared" si="33"/>
        <v>1</v>
      </c>
      <c r="S300" s="138"/>
      <c r="T300" s="138"/>
      <c r="U300" s="138"/>
      <c r="V300" s="138"/>
      <c r="W300" s="138"/>
      <c r="X300" s="138"/>
      <c r="Y300" s="138"/>
      <c r="Z300" s="138"/>
      <c r="AA300" s="70"/>
      <c r="AB300" s="70"/>
      <c r="AC300" s="70"/>
      <c r="AD300" s="70"/>
      <c r="AE300" s="138"/>
      <c r="AF300" s="138"/>
      <c r="AG300" s="138"/>
      <c r="AH300" s="70"/>
      <c r="AI300" s="70"/>
      <c r="AJ300" s="70"/>
      <c r="AK300" s="138"/>
      <c r="AL300" s="138"/>
      <c r="AM300" s="138"/>
      <c r="AN300" s="138"/>
      <c r="AO300" s="138"/>
      <c r="AP300" s="138"/>
      <c r="AQ300" s="138"/>
      <c r="AR300" s="138"/>
      <c r="AS300" s="138"/>
      <c r="AT300" s="70"/>
      <c r="AU300" s="138"/>
      <c r="AV300" s="138"/>
      <c r="AW300"/>
    </row>
    <row r="301" spans="1:49" s="73" customFormat="1" ht="15.75" thickBot="1" x14ac:dyDescent="0.3">
      <c r="A301" s="8"/>
      <c r="B301" s="8"/>
      <c r="C301" s="8"/>
      <c r="D301" s="8"/>
      <c r="E301" s="8"/>
      <c r="F301" s="73" t="s">
        <v>2102</v>
      </c>
      <c r="G301" s="84" t="s">
        <v>1372</v>
      </c>
      <c r="H301" s="73" t="s">
        <v>1039</v>
      </c>
      <c r="I301" s="73" t="s">
        <v>1373</v>
      </c>
      <c r="J301" s="84" t="s">
        <v>18</v>
      </c>
      <c r="K301" s="84" t="s">
        <v>1275</v>
      </c>
      <c r="L301" s="84"/>
      <c r="M301" s="84" t="s">
        <v>1374</v>
      </c>
      <c r="N301" s="84"/>
      <c r="O301" s="131">
        <f t="shared" si="31"/>
        <v>24</v>
      </c>
      <c r="P301" s="136" t="s">
        <v>2107</v>
      </c>
      <c r="Q301" s="131">
        <f t="shared" si="32"/>
        <v>4</v>
      </c>
      <c r="R301" s="132">
        <f t="shared" si="33"/>
        <v>0.8571428571428571</v>
      </c>
      <c r="S301" s="70" t="s">
        <v>2215</v>
      </c>
      <c r="T301" s="70" t="s">
        <v>2215</v>
      </c>
      <c r="U301" s="70" t="s">
        <v>2215</v>
      </c>
      <c r="V301" s="70"/>
      <c r="W301" s="70"/>
      <c r="X301" s="70" t="s">
        <v>2215</v>
      </c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/>
    </row>
    <row r="302" spans="1:49" s="73" customFormat="1" ht="15.75" thickBot="1" x14ac:dyDescent="0.3">
      <c r="A302"/>
      <c r="B302"/>
      <c r="C302"/>
      <c r="D302"/>
      <c r="E302"/>
      <c r="F302" s="73" t="s">
        <v>2102</v>
      </c>
      <c r="G302" s="84" t="s">
        <v>2099</v>
      </c>
      <c r="H302" s="73" t="s">
        <v>1039</v>
      </c>
      <c r="I302" s="73" t="s">
        <v>2100</v>
      </c>
      <c r="J302" s="84" t="s">
        <v>18</v>
      </c>
      <c r="K302" s="84" t="s">
        <v>1275</v>
      </c>
      <c r="L302" s="84"/>
      <c r="M302" s="84" t="s">
        <v>2266</v>
      </c>
      <c r="N302" s="84"/>
      <c r="O302" s="131">
        <f t="shared" si="31"/>
        <v>24</v>
      </c>
      <c r="P302" s="136" t="s">
        <v>2101</v>
      </c>
      <c r="Q302" s="131">
        <f t="shared" si="32"/>
        <v>4</v>
      </c>
      <c r="R302" s="132">
        <f t="shared" si="33"/>
        <v>0.8571428571428571</v>
      </c>
      <c r="S302" s="70" t="s">
        <v>2215</v>
      </c>
      <c r="T302" s="70" t="s">
        <v>2215</v>
      </c>
      <c r="U302" s="70" t="s">
        <v>2215</v>
      </c>
      <c r="V302" s="70"/>
      <c r="W302" s="70"/>
      <c r="X302" s="70" t="s">
        <v>2215</v>
      </c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ht="15.75" thickBot="1" x14ac:dyDescent="0.3">
      <c r="A303">
        <v>6</v>
      </c>
      <c r="B303">
        <v>12</v>
      </c>
      <c r="C303"/>
      <c r="D303"/>
      <c r="E303" t="s">
        <v>2328</v>
      </c>
      <c r="F303" t="s">
        <v>318</v>
      </c>
      <c r="G303" t="s">
        <v>316</v>
      </c>
      <c r="H303" t="s">
        <v>1039</v>
      </c>
      <c r="I303" t="s">
        <v>317</v>
      </c>
      <c r="J303" s="30" t="s">
        <v>14</v>
      </c>
      <c r="K303" s="30" t="s">
        <v>27</v>
      </c>
      <c r="L303" s="30"/>
      <c r="M303" s="30" t="s">
        <v>727</v>
      </c>
      <c r="N303" s="30"/>
      <c r="O303" s="31">
        <f t="shared" si="31"/>
        <v>28</v>
      </c>
      <c r="P303" s="136" t="s">
        <v>1851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2328</v>
      </c>
      <c r="F304" t="s">
        <v>318</v>
      </c>
      <c r="G304" t="s">
        <v>319</v>
      </c>
      <c r="H304" t="s">
        <v>1039</v>
      </c>
      <c r="I304" t="s">
        <v>320</v>
      </c>
      <c r="J304" s="30" t="s">
        <v>71</v>
      </c>
      <c r="K304" s="30" t="s">
        <v>27</v>
      </c>
      <c r="L304" s="30"/>
      <c r="M304" s="30" t="s">
        <v>728</v>
      </c>
      <c r="N304" s="30"/>
      <c r="O304" s="31">
        <f t="shared" si="31"/>
        <v>28</v>
      </c>
      <c r="P304" s="136" t="s">
        <v>1852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2328</v>
      </c>
      <c r="F305" t="s">
        <v>318</v>
      </c>
      <c r="G305" t="s">
        <v>321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729</v>
      </c>
      <c r="N305" s="30"/>
      <c r="O305" s="31">
        <f t="shared" si="31"/>
        <v>28</v>
      </c>
      <c r="P305" s="136" t="s">
        <v>1853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2328</v>
      </c>
      <c r="F306" t="s">
        <v>318</v>
      </c>
      <c r="G306" t="s">
        <v>322</v>
      </c>
      <c r="H306" t="s">
        <v>1039</v>
      </c>
      <c r="I306" t="s">
        <v>323</v>
      </c>
      <c r="J306" s="30" t="s">
        <v>71</v>
      </c>
      <c r="K306" s="30" t="s">
        <v>27</v>
      </c>
      <c r="L306" s="30"/>
      <c r="M306" s="30" t="s">
        <v>730</v>
      </c>
      <c r="N306" s="30"/>
      <c r="O306" s="31">
        <f t="shared" si="31"/>
        <v>28</v>
      </c>
      <c r="P306" s="136" t="s">
        <v>1854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2328</v>
      </c>
      <c r="F307" t="s">
        <v>318</v>
      </c>
      <c r="G307" t="s">
        <v>324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731</v>
      </c>
      <c r="N307" s="30"/>
      <c r="O307" s="31">
        <f t="shared" si="31"/>
        <v>28</v>
      </c>
      <c r="P307" s="136" t="s">
        <v>1855</v>
      </c>
      <c r="Q307" s="31">
        <f t="shared" si="32"/>
        <v>0</v>
      </c>
      <c r="R307" s="32">
        <f t="shared" si="33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10</v>
      </c>
      <c r="B308">
        <v>10</v>
      </c>
      <c r="C308"/>
      <c r="D308"/>
      <c r="E308" t="s">
        <v>2327</v>
      </c>
      <c r="F308" t="s">
        <v>40</v>
      </c>
      <c r="G308" t="s">
        <v>326</v>
      </c>
      <c r="H308" t="s">
        <v>1038</v>
      </c>
      <c r="I308" t="s">
        <v>327</v>
      </c>
      <c r="J308" s="30" t="s">
        <v>14</v>
      </c>
      <c r="K308" s="30" t="s">
        <v>27</v>
      </c>
      <c r="L308" s="30"/>
      <c r="M308" s="30" t="s">
        <v>734</v>
      </c>
      <c r="N308" s="30"/>
      <c r="O308" s="31">
        <f t="shared" si="31"/>
        <v>28</v>
      </c>
      <c r="P308" s="136" t="s">
        <v>1856</v>
      </c>
      <c r="Q308" s="31">
        <f t="shared" si="32"/>
        <v>0</v>
      </c>
      <c r="R308" s="32">
        <f t="shared" si="33"/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5.75" thickBot="1" x14ac:dyDescent="0.3">
      <c r="A309">
        <v>10</v>
      </c>
      <c r="B309">
        <v>10</v>
      </c>
      <c r="C309"/>
      <c r="D309"/>
      <c r="E309" t="s">
        <v>2327</v>
      </c>
      <c r="F309" t="s">
        <v>40</v>
      </c>
      <c r="G309" t="s">
        <v>328</v>
      </c>
      <c r="H309" t="s">
        <v>1038</v>
      </c>
      <c r="I309" t="s">
        <v>327</v>
      </c>
      <c r="J309" s="30" t="s">
        <v>71</v>
      </c>
      <c r="K309" s="30" t="s">
        <v>27</v>
      </c>
      <c r="L309" s="30"/>
      <c r="M309" s="30" t="s">
        <v>735</v>
      </c>
      <c r="N309" s="30"/>
      <c r="O309" s="31">
        <f t="shared" si="31"/>
        <v>28</v>
      </c>
      <c r="P309" s="136" t="s">
        <v>1857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2341</v>
      </c>
      <c r="F310" t="s">
        <v>173</v>
      </c>
      <c r="G310" t="s">
        <v>329</v>
      </c>
      <c r="H310" t="s">
        <v>1039</v>
      </c>
      <c r="I310" t="s">
        <v>330</v>
      </c>
      <c r="J310" s="30" t="s">
        <v>14</v>
      </c>
      <c r="K310" s="30" t="s">
        <v>27</v>
      </c>
      <c r="L310" s="30"/>
      <c r="M310" s="30" t="s">
        <v>736</v>
      </c>
      <c r="N310" s="30"/>
      <c r="O310" s="31">
        <f t="shared" si="31"/>
        <v>26</v>
      </c>
      <c r="P310" s="136" t="s">
        <v>1859</v>
      </c>
      <c r="Q310" s="31">
        <f t="shared" si="32"/>
        <v>2</v>
      </c>
      <c r="R310" s="32">
        <f t="shared" si="33"/>
        <v>0.9285714285714286</v>
      </c>
      <c r="S310" s="70"/>
      <c r="T310" s="70" t="s">
        <v>2215</v>
      </c>
      <c r="U310" s="70" t="s">
        <v>2215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7.25" customHeight="1" thickBot="1" x14ac:dyDescent="0.3">
      <c r="A311" s="69"/>
      <c r="B311" s="69"/>
      <c r="C311" s="69"/>
      <c r="D311" s="69"/>
      <c r="E311" t="s">
        <v>2341</v>
      </c>
      <c r="F311" s="69" t="s">
        <v>173</v>
      </c>
      <c r="G311" t="s">
        <v>331</v>
      </c>
      <c r="H311" t="s">
        <v>1039</v>
      </c>
      <c r="I311" t="s">
        <v>330</v>
      </c>
      <c r="J311" s="30" t="s">
        <v>71</v>
      </c>
      <c r="K311" s="30" t="s">
        <v>27</v>
      </c>
      <c r="L311" s="137"/>
      <c r="M311" s="30" t="s">
        <v>737</v>
      </c>
      <c r="N311" s="137"/>
      <c r="O311" s="139">
        <f t="shared" si="31"/>
        <v>26</v>
      </c>
      <c r="P311" s="140" t="s">
        <v>1860</v>
      </c>
      <c r="Q311" s="31">
        <f t="shared" si="32"/>
        <v>2</v>
      </c>
      <c r="R311" s="157">
        <f t="shared" si="33"/>
        <v>0.9285714285714286</v>
      </c>
      <c r="S311" s="138"/>
      <c r="T311" s="70" t="s">
        <v>2215</v>
      </c>
      <c r="U311" s="70" t="s">
        <v>2215</v>
      </c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  <c r="AS311" s="138"/>
      <c r="AT311" s="138"/>
      <c r="AU311" s="138"/>
      <c r="AV311" s="138"/>
    </row>
    <row r="312" spans="1:49" s="69" customFormat="1" ht="16.5" customHeight="1" thickBot="1" x14ac:dyDescent="0.3">
      <c r="A312"/>
      <c r="B312"/>
      <c r="C312"/>
      <c r="D312"/>
      <c r="E312" t="s">
        <v>2341</v>
      </c>
      <c r="F312" t="s">
        <v>173</v>
      </c>
      <c r="G312" t="s">
        <v>1269</v>
      </c>
      <c r="H312" t="s">
        <v>1039</v>
      </c>
      <c r="I312" t="s">
        <v>955</v>
      </c>
      <c r="J312" s="30" t="s">
        <v>71</v>
      </c>
      <c r="K312" s="30" t="s">
        <v>27</v>
      </c>
      <c r="L312" s="30"/>
      <c r="M312" s="30" t="s">
        <v>1248</v>
      </c>
      <c r="N312" s="30"/>
      <c r="O312" s="31">
        <f t="shared" si="31"/>
        <v>26</v>
      </c>
      <c r="P312" s="136" t="s">
        <v>1861</v>
      </c>
      <c r="Q312" s="31">
        <f t="shared" si="32"/>
        <v>2</v>
      </c>
      <c r="R312" s="32">
        <f t="shared" si="33"/>
        <v>0.9285714285714286</v>
      </c>
      <c r="S312" s="70"/>
      <c r="T312" s="70" t="s">
        <v>2215</v>
      </c>
      <c r="U312" s="70" t="s">
        <v>2215</v>
      </c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2341</v>
      </c>
      <c r="F313" t="s">
        <v>201</v>
      </c>
      <c r="G313" t="s">
        <v>1268</v>
      </c>
      <c r="H313" t="s">
        <v>1039</v>
      </c>
      <c r="I313" t="s">
        <v>956</v>
      </c>
      <c r="J313" s="30" t="s">
        <v>18</v>
      </c>
      <c r="K313" s="30" t="s">
        <v>27</v>
      </c>
      <c r="L313" s="30"/>
      <c r="M313" s="30" t="s">
        <v>1249</v>
      </c>
      <c r="N313" s="30"/>
      <c r="O313" s="31">
        <f t="shared" si="31"/>
        <v>26</v>
      </c>
      <c r="P313" s="136" t="s">
        <v>1864</v>
      </c>
      <c r="Q313" s="31">
        <f t="shared" si="32"/>
        <v>2</v>
      </c>
      <c r="R313" s="32">
        <f t="shared" si="33"/>
        <v>0.9285714285714286</v>
      </c>
      <c r="S313" s="70"/>
      <c r="T313" s="70" t="s">
        <v>2215</v>
      </c>
      <c r="U313" s="70" t="s">
        <v>2215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9" ht="15.75" thickBot="1" x14ac:dyDescent="0.3">
      <c r="A314"/>
      <c r="B314"/>
      <c r="C314"/>
      <c r="D314"/>
      <c r="E314" t="s">
        <v>2341</v>
      </c>
      <c r="F314" t="s">
        <v>201</v>
      </c>
      <c r="G314" t="s">
        <v>332</v>
      </c>
      <c r="H314" t="s">
        <v>1039</v>
      </c>
      <c r="I314" t="s">
        <v>333</v>
      </c>
      <c r="J314" s="30" t="s">
        <v>14</v>
      </c>
      <c r="K314" s="30" t="s">
        <v>27</v>
      </c>
      <c r="L314" s="30"/>
      <c r="M314" s="30" t="s">
        <v>738</v>
      </c>
      <c r="N314" s="30"/>
      <c r="O314" s="31">
        <f t="shared" si="31"/>
        <v>26</v>
      </c>
      <c r="P314" s="136" t="s">
        <v>1862</v>
      </c>
      <c r="Q314" s="31">
        <f t="shared" si="32"/>
        <v>2</v>
      </c>
      <c r="R314" s="32">
        <f t="shared" si="33"/>
        <v>0.9285714285714286</v>
      </c>
      <c r="S314" s="70"/>
      <c r="T314" s="70" t="s">
        <v>2215</v>
      </c>
      <c r="U314" s="70" t="s">
        <v>2215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2341</v>
      </c>
      <c r="F315" t="s">
        <v>201</v>
      </c>
      <c r="G315" t="s">
        <v>334</v>
      </c>
      <c r="H315" t="s">
        <v>1039</v>
      </c>
      <c r="I315" t="s">
        <v>333</v>
      </c>
      <c r="J315" s="30" t="s">
        <v>71</v>
      </c>
      <c r="K315" s="30" t="s">
        <v>27</v>
      </c>
      <c r="L315" s="30"/>
      <c r="M315" s="30" t="s">
        <v>739</v>
      </c>
      <c r="N315" s="30"/>
      <c r="O315" s="31">
        <f t="shared" si="31"/>
        <v>26</v>
      </c>
      <c r="P315" s="136" t="s">
        <v>1863</v>
      </c>
      <c r="Q315" s="31">
        <f t="shared" si="32"/>
        <v>2</v>
      </c>
      <c r="R315" s="32">
        <f t="shared" si="33"/>
        <v>0.9285714285714286</v>
      </c>
      <c r="S315" s="70"/>
      <c r="T315" s="70" t="s">
        <v>2215</v>
      </c>
      <c r="U315" s="70" t="s">
        <v>2215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0" t="s">
        <v>2433</v>
      </c>
      <c r="F316" t="s">
        <v>274</v>
      </c>
      <c r="G316" t="s">
        <v>335</v>
      </c>
      <c r="H316" t="s">
        <v>1039</v>
      </c>
      <c r="I316" t="s">
        <v>336</v>
      </c>
      <c r="J316" s="30" t="s">
        <v>71</v>
      </c>
      <c r="K316" s="30" t="s">
        <v>1275</v>
      </c>
      <c r="L316" s="30"/>
      <c r="M316" s="30" t="s">
        <v>741</v>
      </c>
      <c r="N316" s="30"/>
      <c r="O316" s="31">
        <f t="shared" si="31"/>
        <v>27</v>
      </c>
      <c r="P316" s="136" t="s">
        <v>1865</v>
      </c>
      <c r="Q316" s="31">
        <f t="shared" si="32"/>
        <v>1</v>
      </c>
      <c r="R316" s="32">
        <f t="shared" si="33"/>
        <v>0.9642857142857143</v>
      </c>
      <c r="S316" s="70" t="s">
        <v>2215</v>
      </c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>
        <v>6</v>
      </c>
      <c r="B317">
        <v>12</v>
      </c>
      <c r="C317"/>
      <c r="D317"/>
      <c r="E317" t="s">
        <v>2328</v>
      </c>
      <c r="F317" t="s">
        <v>337</v>
      </c>
      <c r="G317" t="s">
        <v>338</v>
      </c>
      <c r="H317" t="s">
        <v>1039</v>
      </c>
      <c r="I317" t="s">
        <v>339</v>
      </c>
      <c r="J317" s="30" t="s">
        <v>14</v>
      </c>
      <c r="K317" s="30" t="s">
        <v>27</v>
      </c>
      <c r="L317" s="30"/>
      <c r="M317" s="30" t="s">
        <v>743</v>
      </c>
      <c r="N317" s="30"/>
      <c r="O317" s="31">
        <f t="shared" si="31"/>
        <v>28</v>
      </c>
      <c r="P317" s="136" t="s">
        <v>1868</v>
      </c>
      <c r="Q317" s="31">
        <f t="shared" si="32"/>
        <v>0</v>
      </c>
      <c r="R317" s="32">
        <f t="shared" si="33"/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>
        <v>6</v>
      </c>
      <c r="B318">
        <v>12</v>
      </c>
      <c r="C318"/>
      <c r="D318"/>
      <c r="E318" t="s">
        <v>2328</v>
      </c>
      <c r="F318" t="s">
        <v>337</v>
      </c>
      <c r="G318" t="s">
        <v>340</v>
      </c>
      <c r="H318" t="s">
        <v>1039</v>
      </c>
      <c r="I318" t="s">
        <v>339</v>
      </c>
      <c r="J318" s="30" t="s">
        <v>71</v>
      </c>
      <c r="K318" s="30" t="s">
        <v>27</v>
      </c>
      <c r="L318" s="30"/>
      <c r="M318" s="30" t="s">
        <v>744</v>
      </c>
      <c r="N318" s="30"/>
      <c r="O318" s="31">
        <f t="shared" si="31"/>
        <v>28</v>
      </c>
      <c r="P318" s="136" t="s">
        <v>1869</v>
      </c>
      <c r="Q318" s="31">
        <f t="shared" si="32"/>
        <v>0</v>
      </c>
      <c r="R318" s="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2451</v>
      </c>
      <c r="F319" t="s">
        <v>341</v>
      </c>
      <c r="G319" t="s">
        <v>952</v>
      </c>
      <c r="H319" t="s">
        <v>1039</v>
      </c>
      <c r="I319" t="s">
        <v>342</v>
      </c>
      <c r="J319" s="30" t="s">
        <v>14</v>
      </c>
      <c r="K319" s="30" t="s">
        <v>2427</v>
      </c>
      <c r="L319" s="30"/>
      <c r="M319" s="30" t="s">
        <v>749</v>
      </c>
      <c r="N319" s="30"/>
      <c r="O319" s="31">
        <f t="shared" si="31"/>
        <v>28</v>
      </c>
      <c r="P319" s="143"/>
      <c r="Q319" s="31">
        <f t="shared" si="32"/>
        <v>0</v>
      </c>
      <c r="R319" s="157">
        <f t="shared" si="33"/>
        <v>1</v>
      </c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  <c r="AI319" s="138"/>
      <c r="AJ319" s="138"/>
      <c r="AK319" s="138"/>
      <c r="AL319" s="138"/>
      <c r="AM319" s="138"/>
      <c r="AN319" s="138"/>
      <c r="AO319" s="138"/>
      <c r="AP319" s="138"/>
      <c r="AQ319" s="138"/>
      <c r="AR319" s="138"/>
      <c r="AS319" s="138"/>
      <c r="AT319" s="138"/>
      <c r="AU319" s="138"/>
      <c r="AV319" s="138"/>
    </row>
    <row r="320" spans="1:49" ht="15.75" thickBot="1" x14ac:dyDescent="0.3">
      <c r="A320"/>
      <c r="B320"/>
      <c r="C320"/>
      <c r="D320"/>
      <c r="E320" s="150"/>
      <c r="G320" t="s">
        <v>2475</v>
      </c>
      <c r="H320" t="s">
        <v>1039</v>
      </c>
      <c r="I320" t="s">
        <v>342</v>
      </c>
      <c r="J320" s="30" t="s">
        <v>1090</v>
      </c>
      <c r="K320" s="30" t="s">
        <v>2427</v>
      </c>
      <c r="L320" s="30"/>
      <c r="M320" s="30" t="s">
        <v>2476</v>
      </c>
      <c r="N320" s="30"/>
      <c r="O320" s="31"/>
      <c r="P320" s="143"/>
      <c r="Q320" s="31"/>
      <c r="R320" s="157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s="69" customFormat="1" ht="15.75" thickBot="1" x14ac:dyDescent="0.3">
      <c r="A321"/>
      <c r="B321"/>
      <c r="C321"/>
      <c r="D321"/>
      <c r="E321" t="s">
        <v>2434</v>
      </c>
      <c r="F321" s="73" t="s">
        <v>183</v>
      </c>
      <c r="G321" s="69" t="s">
        <v>343</v>
      </c>
      <c r="H321" s="69" t="s">
        <v>1039</v>
      </c>
      <c r="I321" s="69" t="s">
        <v>344</v>
      </c>
      <c r="J321" s="137" t="s">
        <v>14</v>
      </c>
      <c r="K321" s="137" t="s">
        <v>1275</v>
      </c>
      <c r="L321" s="84"/>
      <c r="M321" s="137" t="s">
        <v>745</v>
      </c>
      <c r="N321" s="84"/>
      <c r="O321" s="131">
        <f t="shared" si="31"/>
        <v>24</v>
      </c>
      <c r="P321" s="136" t="s">
        <v>1871</v>
      </c>
      <c r="Q321" s="131">
        <f t="shared" si="32"/>
        <v>4</v>
      </c>
      <c r="R321" s="132">
        <f t="shared" si="33"/>
        <v>0.8571428571428571</v>
      </c>
      <c r="S321" s="70" t="s">
        <v>2215</v>
      </c>
      <c r="T321" s="70" t="s">
        <v>2215</v>
      </c>
      <c r="U321" s="70" t="s">
        <v>2215</v>
      </c>
      <c r="V321" s="70"/>
      <c r="W321" s="70"/>
      <c r="X321" s="70" t="s">
        <v>2215</v>
      </c>
      <c r="Y321" s="142"/>
      <c r="Z321" s="70"/>
      <c r="AA321" s="70"/>
      <c r="AB321" s="70"/>
      <c r="AC321" s="70"/>
      <c r="AD321" s="70"/>
      <c r="AE321" s="142"/>
      <c r="AF321" s="142"/>
      <c r="AG321" s="142"/>
      <c r="AH321" s="70"/>
      <c r="AI321" s="70"/>
      <c r="AJ321" s="70"/>
      <c r="AK321" s="70"/>
      <c r="AL321" s="142"/>
      <c r="AM321" s="142"/>
      <c r="AN321" s="70"/>
      <c r="AO321" s="70"/>
      <c r="AP321" s="142"/>
      <c r="AQ321" s="142"/>
      <c r="AR321" s="70"/>
      <c r="AS321" s="142"/>
      <c r="AT321" s="142"/>
      <c r="AU321" s="70"/>
      <c r="AV321" s="70"/>
    </row>
    <row r="322" spans="1:49" ht="15.75" thickBot="1" x14ac:dyDescent="0.3">
      <c r="A322"/>
      <c r="B322"/>
      <c r="C322"/>
      <c r="D322"/>
      <c r="E322" t="s">
        <v>2434</v>
      </c>
      <c r="F322" s="73" t="s">
        <v>183</v>
      </c>
      <c r="G322" s="73" t="s">
        <v>345</v>
      </c>
      <c r="H322" s="73" t="s">
        <v>1039</v>
      </c>
      <c r="I322" s="73" t="s">
        <v>344</v>
      </c>
      <c r="J322" s="84" t="s">
        <v>71</v>
      </c>
      <c r="K322" s="84" t="s">
        <v>1275</v>
      </c>
      <c r="L322" s="84"/>
      <c r="M322" s="84" t="s">
        <v>1591</v>
      </c>
      <c r="N322" s="84"/>
      <c r="O322" s="131">
        <f t="shared" si="31"/>
        <v>28</v>
      </c>
      <c r="P322" s="136" t="s">
        <v>2098</v>
      </c>
      <c r="Q322" s="131">
        <f t="shared" si="32"/>
        <v>0</v>
      </c>
      <c r="R322" s="1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69" customFormat="1" ht="15.75" thickBot="1" x14ac:dyDescent="0.3">
      <c r="A323"/>
      <c r="B323"/>
      <c r="C323"/>
      <c r="D323"/>
      <c r="E323"/>
      <c r="F323" s="73" t="s">
        <v>346</v>
      </c>
      <c r="G323" s="69" t="s">
        <v>347</v>
      </c>
      <c r="H323" s="69" t="s">
        <v>1039</v>
      </c>
      <c r="I323" s="69" t="s">
        <v>1184</v>
      </c>
      <c r="J323" s="137" t="s">
        <v>71</v>
      </c>
      <c r="K323" s="137" t="s">
        <v>1275</v>
      </c>
      <c r="L323" s="84"/>
      <c r="M323" s="137" t="s">
        <v>751</v>
      </c>
      <c r="N323" s="84"/>
      <c r="O323" s="131">
        <f t="shared" si="31"/>
        <v>24</v>
      </c>
      <c r="P323" s="136" t="s">
        <v>2140</v>
      </c>
      <c r="Q323" s="131">
        <f t="shared" si="32"/>
        <v>4</v>
      </c>
      <c r="R323" s="132">
        <f t="shared" si="33"/>
        <v>0.8571428571428571</v>
      </c>
      <c r="S323" s="70" t="s">
        <v>2215</v>
      </c>
      <c r="T323" s="70" t="s">
        <v>2215</v>
      </c>
      <c r="U323" s="70" t="s">
        <v>2215</v>
      </c>
      <c r="V323" s="70"/>
      <c r="W323" s="70"/>
      <c r="X323" s="70" t="s">
        <v>2215</v>
      </c>
      <c r="Y323" s="142"/>
      <c r="Z323" s="70"/>
      <c r="AA323" s="70"/>
      <c r="AB323" s="70"/>
      <c r="AC323" s="70"/>
      <c r="AD323" s="70"/>
      <c r="AE323" s="142"/>
      <c r="AF323" s="142"/>
      <c r="AG323" s="142"/>
      <c r="AH323" s="70"/>
      <c r="AI323" s="70"/>
      <c r="AJ323" s="70"/>
      <c r="AK323" s="70"/>
      <c r="AL323" s="142"/>
      <c r="AM323" s="142"/>
      <c r="AN323" s="70"/>
      <c r="AO323" s="70"/>
      <c r="AP323" s="142"/>
      <c r="AQ323" s="142"/>
      <c r="AR323" s="70"/>
      <c r="AS323" s="142"/>
      <c r="AT323" s="142"/>
      <c r="AU323" s="70"/>
      <c r="AV323" s="70"/>
    </row>
    <row r="324" spans="1:49" s="69" customFormat="1" ht="15.75" thickBot="1" x14ac:dyDescent="0.3">
      <c r="A324"/>
      <c r="B324"/>
      <c r="C324"/>
      <c r="D324"/>
      <c r="E324" t="s">
        <v>2433</v>
      </c>
      <c r="F324" t="s">
        <v>337</v>
      </c>
      <c r="G324" t="s">
        <v>348</v>
      </c>
      <c r="H324" t="s">
        <v>1039</v>
      </c>
      <c r="I324" t="s">
        <v>349</v>
      </c>
      <c r="J324" s="30" t="s">
        <v>14</v>
      </c>
      <c r="K324" s="30" t="s">
        <v>27</v>
      </c>
      <c r="L324" s="30"/>
      <c r="M324" s="30" t="s">
        <v>747</v>
      </c>
      <c r="N324" s="30"/>
      <c r="O324" s="31">
        <f t="shared" si="31"/>
        <v>24</v>
      </c>
      <c r="P324" s="136" t="s">
        <v>1875</v>
      </c>
      <c r="Q324" s="31">
        <f t="shared" si="32"/>
        <v>4</v>
      </c>
      <c r="R324" s="32">
        <f t="shared" si="33"/>
        <v>0.8571428571428571</v>
      </c>
      <c r="S324" s="70" t="s">
        <v>2215</v>
      </c>
      <c r="T324" s="70" t="s">
        <v>2215</v>
      </c>
      <c r="U324" s="70" t="s">
        <v>2215</v>
      </c>
      <c r="V324" s="70"/>
      <c r="W324" s="70"/>
      <c r="X324" s="70" t="s">
        <v>2215</v>
      </c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t="s">
        <v>2433</v>
      </c>
      <c r="F325" t="s">
        <v>337</v>
      </c>
      <c r="G325" t="s">
        <v>350</v>
      </c>
      <c r="H325" t="s">
        <v>1039</v>
      </c>
      <c r="I325" t="s">
        <v>349</v>
      </c>
      <c r="J325" s="30" t="s">
        <v>71</v>
      </c>
      <c r="K325" s="30" t="s">
        <v>27</v>
      </c>
      <c r="L325" s="30"/>
      <c r="M325" s="30" t="s">
        <v>746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73" customFormat="1" ht="15.75" thickBot="1" x14ac:dyDescent="0.3">
      <c r="A326">
        <v>10</v>
      </c>
      <c r="B326">
        <v>10</v>
      </c>
      <c r="C326"/>
      <c r="D326"/>
      <c r="E326" t="s">
        <v>2327</v>
      </c>
      <c r="F326" t="s">
        <v>40</v>
      </c>
      <c r="G326" t="s">
        <v>953</v>
      </c>
      <c r="H326" t="s">
        <v>1038</v>
      </c>
      <c r="I326" t="s">
        <v>954</v>
      </c>
      <c r="J326" s="30" t="s">
        <v>71</v>
      </c>
      <c r="K326" s="30" t="s">
        <v>27</v>
      </c>
      <c r="L326" s="30"/>
      <c r="M326" s="30" t="s">
        <v>1247</v>
      </c>
      <c r="N326" s="30"/>
      <c r="O326" s="31">
        <f t="shared" si="31"/>
        <v>28</v>
      </c>
      <c r="P326" s="136" t="s">
        <v>1858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/>
      <c r="B327"/>
      <c r="C327"/>
      <c r="D327"/>
      <c r="E327" s="150" t="s">
        <v>2433</v>
      </c>
      <c r="F327" t="s">
        <v>274</v>
      </c>
      <c r="G327" t="s">
        <v>351</v>
      </c>
      <c r="H327" t="s">
        <v>1039</v>
      </c>
      <c r="I327" t="s">
        <v>336</v>
      </c>
      <c r="J327" s="30" t="s">
        <v>14</v>
      </c>
      <c r="K327" s="30" t="s">
        <v>1275</v>
      </c>
      <c r="L327" s="30"/>
      <c r="M327" s="30" t="s">
        <v>742</v>
      </c>
      <c r="N327" s="30"/>
      <c r="O327" s="31">
        <f t="shared" si="31"/>
        <v>27</v>
      </c>
      <c r="P327" s="136" t="s">
        <v>1866</v>
      </c>
      <c r="Q327" s="31">
        <f t="shared" si="32"/>
        <v>1</v>
      </c>
      <c r="R327" s="32">
        <f t="shared" si="33"/>
        <v>0.9642857142857143</v>
      </c>
      <c r="S327" s="70" t="s">
        <v>2215</v>
      </c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2433</v>
      </c>
      <c r="F328" t="s">
        <v>274</v>
      </c>
      <c r="G328" t="s">
        <v>957</v>
      </c>
      <c r="H328" t="s">
        <v>1039</v>
      </c>
      <c r="I328" t="s">
        <v>958</v>
      </c>
      <c r="J328" s="30" t="s">
        <v>71</v>
      </c>
      <c r="K328" s="30" t="s">
        <v>1275</v>
      </c>
      <c r="L328" s="30"/>
      <c r="M328" s="30" t="s">
        <v>1250</v>
      </c>
      <c r="N328" s="30"/>
      <c r="O328" s="31">
        <f t="shared" si="31"/>
        <v>27</v>
      </c>
      <c r="P328" s="136" t="s">
        <v>1867</v>
      </c>
      <c r="Q328" s="31">
        <f t="shared" si="32"/>
        <v>1</v>
      </c>
      <c r="R328" s="32">
        <f t="shared" si="33"/>
        <v>0.9642857142857143</v>
      </c>
      <c r="S328" s="70" t="s">
        <v>2215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>
        <v>6</v>
      </c>
      <c r="B329">
        <v>12</v>
      </c>
      <c r="C329"/>
      <c r="D329"/>
      <c r="E329" t="s">
        <v>2328</v>
      </c>
      <c r="F329" t="s">
        <v>337</v>
      </c>
      <c r="G329" t="s">
        <v>959</v>
      </c>
      <c r="H329" t="s">
        <v>1039</v>
      </c>
      <c r="I329" t="s">
        <v>339</v>
      </c>
      <c r="J329" s="30" t="s">
        <v>18</v>
      </c>
      <c r="K329" s="30" t="s">
        <v>27</v>
      </c>
      <c r="L329" s="30"/>
      <c r="M329" s="30" t="s">
        <v>1251</v>
      </c>
      <c r="N329" s="30"/>
      <c r="O329" s="31">
        <f t="shared" si="31"/>
        <v>28</v>
      </c>
      <c r="P329" s="136" t="s">
        <v>1870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69" customFormat="1" ht="15.75" thickBot="1" x14ac:dyDescent="0.3">
      <c r="A330"/>
      <c r="B330"/>
      <c r="C330"/>
      <c r="D330"/>
      <c r="E330" t="s">
        <v>2434</v>
      </c>
      <c r="F330" s="73" t="s">
        <v>183</v>
      </c>
      <c r="G330" s="69" t="s">
        <v>960</v>
      </c>
      <c r="H330" s="69" t="s">
        <v>1039</v>
      </c>
      <c r="I330" s="69" t="s">
        <v>961</v>
      </c>
      <c r="J330" s="137" t="s">
        <v>71</v>
      </c>
      <c r="K330" s="137" t="s">
        <v>1275</v>
      </c>
      <c r="L330" s="84"/>
      <c r="M330" s="137" t="s">
        <v>1252</v>
      </c>
      <c r="N330" s="84"/>
      <c r="O330" s="31">
        <f t="shared" si="31"/>
        <v>24</v>
      </c>
      <c r="P330" s="136" t="s">
        <v>1872</v>
      </c>
      <c r="Q330" s="31">
        <f t="shared" si="32"/>
        <v>4</v>
      </c>
      <c r="R330" s="32">
        <f t="shared" si="33"/>
        <v>0.8571428571428571</v>
      </c>
      <c r="S330" s="70" t="s">
        <v>2215</v>
      </c>
      <c r="T330" s="70" t="s">
        <v>2215</v>
      </c>
      <c r="U330" s="70" t="s">
        <v>2215</v>
      </c>
      <c r="V330" s="70"/>
      <c r="W330" s="70"/>
      <c r="X330" s="70" t="s">
        <v>2215</v>
      </c>
      <c r="Y330" s="142"/>
      <c r="Z330" s="70"/>
      <c r="AA330" s="70"/>
      <c r="AB330" s="70"/>
      <c r="AC330" s="70"/>
      <c r="AD330" s="70"/>
      <c r="AE330" s="142"/>
      <c r="AF330" s="142"/>
      <c r="AG330" s="142"/>
      <c r="AH330" s="70"/>
      <c r="AI330" s="70"/>
      <c r="AJ330" s="70"/>
      <c r="AK330" s="70"/>
      <c r="AL330" s="142"/>
      <c r="AM330" s="142"/>
      <c r="AN330" s="70"/>
      <c r="AO330" s="70"/>
      <c r="AP330" s="142"/>
      <c r="AQ330" s="142"/>
      <c r="AR330" s="70"/>
      <c r="AS330" s="142"/>
      <c r="AT330" s="142"/>
      <c r="AU330" s="70"/>
      <c r="AV330" s="70"/>
    </row>
    <row r="331" spans="1:49" s="69" customFormat="1" ht="15.75" thickBot="1" x14ac:dyDescent="0.3">
      <c r="A331"/>
      <c r="B331"/>
      <c r="C331"/>
      <c r="D331"/>
      <c r="E331"/>
      <c r="F331" s="73" t="s">
        <v>346</v>
      </c>
      <c r="G331" s="69" t="s">
        <v>1183</v>
      </c>
      <c r="H331" s="69" t="s">
        <v>1039</v>
      </c>
      <c r="I331" s="69" t="s">
        <v>1184</v>
      </c>
      <c r="J331" s="137" t="s">
        <v>14</v>
      </c>
      <c r="K331" s="137" t="s">
        <v>1275</v>
      </c>
      <c r="L331" s="84"/>
      <c r="M331" s="137" t="s">
        <v>750</v>
      </c>
      <c r="N331" s="84"/>
      <c r="O331" s="131">
        <f t="shared" si="31"/>
        <v>24</v>
      </c>
      <c r="P331" s="136" t="s">
        <v>1873</v>
      </c>
      <c r="Q331" s="131">
        <f t="shared" si="32"/>
        <v>4</v>
      </c>
      <c r="R331" s="132">
        <f t="shared" si="33"/>
        <v>0.8571428571428571</v>
      </c>
      <c r="S331" s="70" t="s">
        <v>2215</v>
      </c>
      <c r="T331" s="70" t="s">
        <v>2215</v>
      </c>
      <c r="U331" s="70" t="s">
        <v>2215</v>
      </c>
      <c r="V331" s="70"/>
      <c r="W331" s="70"/>
      <c r="X331" s="70" t="s">
        <v>2215</v>
      </c>
      <c r="Y331" s="142"/>
      <c r="Z331" s="70"/>
      <c r="AA331" s="70"/>
      <c r="AB331" s="70"/>
      <c r="AC331" s="70"/>
      <c r="AD331" s="70"/>
      <c r="AE331" s="142"/>
      <c r="AF331" s="142"/>
      <c r="AG331" s="142"/>
      <c r="AH331" s="70"/>
      <c r="AI331" s="70"/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962</v>
      </c>
      <c r="H332" s="69" t="s">
        <v>1039</v>
      </c>
      <c r="I332" s="69" t="s">
        <v>963</v>
      </c>
      <c r="J332" s="137" t="s">
        <v>18</v>
      </c>
      <c r="K332" s="137" t="s">
        <v>1275</v>
      </c>
      <c r="L332" s="84"/>
      <c r="M332" s="137" t="s">
        <v>1253</v>
      </c>
      <c r="N332" s="84"/>
      <c r="O332" s="131">
        <f t="shared" si="31"/>
        <v>24</v>
      </c>
      <c r="P332" s="136" t="s">
        <v>1874</v>
      </c>
      <c r="Q332" s="131">
        <f t="shared" si="32"/>
        <v>4</v>
      </c>
      <c r="R332" s="132">
        <f t="shared" si="33"/>
        <v>0.8571428571428571</v>
      </c>
      <c r="S332" s="70" t="s">
        <v>2215</v>
      </c>
      <c r="T332" s="70" t="s">
        <v>2215</v>
      </c>
      <c r="U332" s="70" t="s">
        <v>2215</v>
      </c>
      <c r="V332" s="70"/>
      <c r="W332" s="70"/>
      <c r="X332" s="70" t="s">
        <v>2215</v>
      </c>
      <c r="Y332" s="142"/>
      <c r="Z332" s="70"/>
      <c r="AA332" s="70"/>
      <c r="AB332" s="70"/>
      <c r="AC332" s="70"/>
      <c r="AD332" s="70"/>
      <c r="AE332" s="142"/>
      <c r="AF332" s="142"/>
      <c r="AG332" s="142"/>
      <c r="AH332" s="70"/>
      <c r="AI332" s="70"/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ht="15.75" thickBot="1" x14ac:dyDescent="0.3">
      <c r="A333"/>
      <c r="B333"/>
      <c r="C333"/>
      <c r="D333"/>
      <c r="E333" t="s">
        <v>2433</v>
      </c>
      <c r="F333" t="s">
        <v>337</v>
      </c>
      <c r="G333" t="s">
        <v>964</v>
      </c>
      <c r="H333" t="s">
        <v>1039</v>
      </c>
      <c r="I333" t="s">
        <v>965</v>
      </c>
      <c r="J333" s="30" t="s">
        <v>71</v>
      </c>
      <c r="K333" s="30" t="s">
        <v>27</v>
      </c>
      <c r="L333" s="30"/>
      <c r="M333" s="30" t="s">
        <v>1254</v>
      </c>
      <c r="N333" s="30"/>
      <c r="O333" s="31">
        <f t="shared" ref="O333:O398" si="34">COUNTIF(S333:AT333,"")</f>
        <v>28</v>
      </c>
      <c r="P333" s="136" t="s">
        <v>1877</v>
      </c>
      <c r="Q333" s="31">
        <f t="shared" ref="Q333:Q398" si="35">COUNTIF(S333:AT333,"APAGADO")</f>
        <v>0</v>
      </c>
      <c r="R333" s="32">
        <f t="shared" ref="R333:R398" si="36">(O333)/(Q333+O333)</f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2367</v>
      </c>
      <c r="C334"/>
      <c r="D334"/>
      <c r="E334" t="s">
        <v>2366</v>
      </c>
      <c r="F334" t="s">
        <v>216</v>
      </c>
      <c r="G334" t="s">
        <v>1265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748</v>
      </c>
      <c r="N334" s="30"/>
      <c r="O334" s="31">
        <f t="shared" si="34"/>
        <v>28</v>
      </c>
      <c r="P334" s="136" t="s">
        <v>1878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2367</v>
      </c>
      <c r="C335"/>
      <c r="D335"/>
      <c r="E335" t="s">
        <v>2366</v>
      </c>
      <c r="F335" t="s">
        <v>216</v>
      </c>
      <c r="G335" t="s">
        <v>1266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740</v>
      </c>
      <c r="N335" s="30"/>
      <c r="O335" s="31">
        <f t="shared" si="34"/>
        <v>25</v>
      </c>
      <c r="P335" s="136" t="s">
        <v>1879</v>
      </c>
      <c r="Q335" s="31">
        <f t="shared" si="35"/>
        <v>3</v>
      </c>
      <c r="R335" s="32">
        <f t="shared" si="36"/>
        <v>0.8928571428571429</v>
      </c>
      <c r="S335" s="70"/>
      <c r="T335" s="70" t="s">
        <v>2215</v>
      </c>
      <c r="U335" s="70" t="s">
        <v>2215</v>
      </c>
      <c r="V335" s="70"/>
      <c r="W335" s="70"/>
      <c r="X335" s="70" t="s">
        <v>2215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2367</v>
      </c>
      <c r="C336"/>
      <c r="D336"/>
      <c r="E336" t="s">
        <v>2366</v>
      </c>
      <c r="F336" t="s">
        <v>216</v>
      </c>
      <c r="G336" t="s">
        <v>966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1267</v>
      </c>
      <c r="N336" s="30"/>
      <c r="O336" s="31">
        <f t="shared" si="34"/>
        <v>28</v>
      </c>
      <c r="P336" s="136" t="s">
        <v>1880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3"/>
    </row>
    <row r="337" spans="1:49" ht="15.75" thickBot="1" x14ac:dyDescent="0.3">
      <c r="A337"/>
      <c r="B337"/>
      <c r="C337"/>
      <c r="D337"/>
      <c r="E337" t="s">
        <v>2341</v>
      </c>
      <c r="F337" t="s">
        <v>352</v>
      </c>
      <c r="G337" t="s">
        <v>353</v>
      </c>
      <c r="H337" t="s">
        <v>1039</v>
      </c>
      <c r="I337" t="s">
        <v>354</v>
      </c>
      <c r="J337" s="30" t="s">
        <v>14</v>
      </c>
      <c r="K337" s="30" t="s">
        <v>27</v>
      </c>
      <c r="L337" s="30"/>
      <c r="M337" s="30" t="s">
        <v>752</v>
      </c>
      <c r="N337" s="30"/>
      <c r="O337" s="31">
        <f t="shared" si="34"/>
        <v>27</v>
      </c>
      <c r="P337" s="136" t="s">
        <v>1881</v>
      </c>
      <c r="Q337" s="31">
        <f t="shared" si="35"/>
        <v>1</v>
      </c>
      <c r="R337" s="32">
        <f t="shared" si="36"/>
        <v>0.9642857142857143</v>
      </c>
      <c r="S337" s="70"/>
      <c r="T337" s="70"/>
      <c r="U337" s="70" t="s">
        <v>2215</v>
      </c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2341</v>
      </c>
      <c r="F338" t="s">
        <v>352</v>
      </c>
      <c r="G338" t="s">
        <v>968</v>
      </c>
      <c r="H338" t="s">
        <v>1039</v>
      </c>
      <c r="I338" t="s">
        <v>355</v>
      </c>
      <c r="J338" s="30" t="s">
        <v>14</v>
      </c>
      <c r="K338" s="30" t="s">
        <v>27</v>
      </c>
      <c r="L338" s="30"/>
      <c r="M338" s="30" t="s">
        <v>753</v>
      </c>
      <c r="N338" s="30"/>
      <c r="O338" s="31">
        <f t="shared" si="34"/>
        <v>27</v>
      </c>
      <c r="P338" s="136" t="s">
        <v>1882</v>
      </c>
      <c r="Q338" s="31">
        <f t="shared" si="35"/>
        <v>1</v>
      </c>
      <c r="R338" s="32">
        <f t="shared" si="36"/>
        <v>0.9642857142857143</v>
      </c>
      <c r="S338" s="70"/>
      <c r="T338" s="70"/>
      <c r="U338" s="70" t="s">
        <v>2215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2341</v>
      </c>
      <c r="F339" t="s">
        <v>352</v>
      </c>
      <c r="G339" t="s">
        <v>356</v>
      </c>
      <c r="H339" t="s">
        <v>1039</v>
      </c>
      <c r="I339" t="s">
        <v>357</v>
      </c>
      <c r="J339" s="30" t="s">
        <v>71</v>
      </c>
      <c r="K339" s="30" t="s">
        <v>27</v>
      </c>
      <c r="L339" s="30"/>
      <c r="M339" s="30" t="s">
        <v>754</v>
      </c>
      <c r="N339" s="30"/>
      <c r="O339" s="31">
        <f t="shared" si="34"/>
        <v>27</v>
      </c>
      <c r="P339" s="136" t="s">
        <v>1883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 t="s">
        <v>2215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2341</v>
      </c>
      <c r="F340" t="s">
        <v>352</v>
      </c>
      <c r="G340" t="s">
        <v>358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755</v>
      </c>
      <c r="N340" s="30"/>
      <c r="O340" s="31">
        <f t="shared" si="34"/>
        <v>27</v>
      </c>
      <c r="P340" s="136" t="s">
        <v>1884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2215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2341</v>
      </c>
      <c r="F341" t="s">
        <v>352</v>
      </c>
      <c r="G341" t="s">
        <v>359</v>
      </c>
      <c r="H341" t="s">
        <v>1039</v>
      </c>
      <c r="I341" t="s">
        <v>360</v>
      </c>
      <c r="J341" s="30" t="s">
        <v>71</v>
      </c>
      <c r="K341" s="30" t="s">
        <v>27</v>
      </c>
      <c r="L341" s="30"/>
      <c r="M341" s="30" t="s">
        <v>756</v>
      </c>
      <c r="N341" s="30"/>
      <c r="O341" s="31">
        <f t="shared" si="34"/>
        <v>27</v>
      </c>
      <c r="P341" s="136" t="s">
        <v>1885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2215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3"/>
    </row>
    <row r="342" spans="1:49" ht="15.75" thickBot="1" x14ac:dyDescent="0.3">
      <c r="A342"/>
      <c r="B342"/>
      <c r="C342"/>
      <c r="D342"/>
      <c r="E342" t="s">
        <v>2341</v>
      </c>
      <c r="F342" t="s">
        <v>352</v>
      </c>
      <c r="G342" t="s">
        <v>361</v>
      </c>
      <c r="H342" t="s">
        <v>1039</v>
      </c>
      <c r="I342" t="s">
        <v>360</v>
      </c>
      <c r="J342" s="30" t="s">
        <v>45</v>
      </c>
      <c r="K342" s="30" t="s">
        <v>27</v>
      </c>
      <c r="L342" s="30"/>
      <c r="M342" s="30" t="s">
        <v>757</v>
      </c>
      <c r="N342" s="30"/>
      <c r="O342" s="31">
        <f t="shared" si="34"/>
        <v>27</v>
      </c>
      <c r="P342" s="136" t="s">
        <v>1886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 t="s">
        <v>2215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/>
      <c r="G343" t="s">
        <v>2491</v>
      </c>
      <c r="H343" t="s">
        <v>1039</v>
      </c>
      <c r="I343" t="s">
        <v>2490</v>
      </c>
      <c r="J343" s="30" t="s">
        <v>18</v>
      </c>
      <c r="K343" s="30" t="s">
        <v>1275</v>
      </c>
      <c r="L343" s="30"/>
      <c r="M343" s="30" t="s">
        <v>2492</v>
      </c>
      <c r="N343" s="30"/>
      <c r="O343" s="31"/>
      <c r="P343" s="136"/>
      <c r="Q343" s="31"/>
      <c r="R343" s="32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>
        <v>2</v>
      </c>
      <c r="B344">
        <v>2</v>
      </c>
      <c r="C344"/>
      <c r="D344"/>
      <c r="E344" t="s">
        <v>2355</v>
      </c>
      <c r="F344" t="s">
        <v>352</v>
      </c>
      <c r="G344" t="s">
        <v>1309</v>
      </c>
      <c r="H344" t="s">
        <v>1038</v>
      </c>
      <c r="I344" t="s">
        <v>1310</v>
      </c>
      <c r="J344" s="30"/>
      <c r="K344" s="30" t="s">
        <v>27</v>
      </c>
      <c r="L344" s="30"/>
      <c r="M344" s="30" t="s">
        <v>1320</v>
      </c>
      <c r="N344" s="30"/>
      <c r="O344" s="31">
        <f t="shared" si="34"/>
        <v>24</v>
      </c>
      <c r="P344" s="136" t="s">
        <v>1887</v>
      </c>
      <c r="Q344" s="31">
        <f t="shared" si="35"/>
        <v>4</v>
      </c>
      <c r="R344" s="32">
        <f t="shared" si="36"/>
        <v>0.8571428571428571</v>
      </c>
      <c r="S344" s="70" t="s">
        <v>2215</v>
      </c>
      <c r="T344" s="70" t="s">
        <v>2215</v>
      </c>
      <c r="U344" s="70" t="s">
        <v>2215</v>
      </c>
      <c r="V344" s="70"/>
      <c r="W344" s="70"/>
      <c r="X344" s="70" t="s">
        <v>2215</v>
      </c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2355</v>
      </c>
      <c r="F345" t="s">
        <v>352</v>
      </c>
      <c r="G345" t="s">
        <v>1352</v>
      </c>
      <c r="H345" t="s">
        <v>1039</v>
      </c>
      <c r="I345" s="68" t="s">
        <v>1355</v>
      </c>
      <c r="J345" s="30" t="s">
        <v>18</v>
      </c>
      <c r="K345" s="30" t="s">
        <v>27</v>
      </c>
      <c r="L345" s="30"/>
      <c r="M345" s="30" t="s">
        <v>1367</v>
      </c>
      <c r="N345" s="30"/>
      <c r="O345" s="31">
        <f t="shared" si="34"/>
        <v>27</v>
      </c>
      <c r="P345" s="136" t="s">
        <v>1888</v>
      </c>
      <c r="Q345" s="31">
        <f t="shared" si="35"/>
        <v>1</v>
      </c>
      <c r="R345" s="32">
        <f t="shared" si="36"/>
        <v>0.9642857142857143</v>
      </c>
      <c r="S345" s="70"/>
      <c r="T345" s="70" t="s">
        <v>2215</v>
      </c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2355</v>
      </c>
      <c r="F346" t="s">
        <v>352</v>
      </c>
      <c r="G346" t="s">
        <v>1353</v>
      </c>
      <c r="H346" t="s">
        <v>1039</v>
      </c>
      <c r="I346" s="68" t="s">
        <v>1356</v>
      </c>
      <c r="J346" s="30" t="s">
        <v>71</v>
      </c>
      <c r="K346" s="30" t="s">
        <v>27</v>
      </c>
      <c r="L346" s="30"/>
      <c r="M346" s="30" t="s">
        <v>1368</v>
      </c>
      <c r="N346" s="30"/>
      <c r="O346" s="31">
        <f t="shared" si="34"/>
        <v>27</v>
      </c>
      <c r="P346" s="136" t="s">
        <v>1889</v>
      </c>
      <c r="Q346" s="31">
        <f t="shared" si="35"/>
        <v>1</v>
      </c>
      <c r="R346" s="32">
        <f t="shared" si="36"/>
        <v>0.9642857142857143</v>
      </c>
      <c r="S346" s="70"/>
      <c r="T346" s="70" t="s">
        <v>2215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2355</v>
      </c>
      <c r="F347" t="s">
        <v>352</v>
      </c>
      <c r="G347" t="s">
        <v>1354</v>
      </c>
      <c r="H347" t="s">
        <v>1039</v>
      </c>
      <c r="I347" s="68" t="s">
        <v>1357</v>
      </c>
      <c r="J347" s="30" t="s">
        <v>71</v>
      </c>
      <c r="K347" s="30" t="s">
        <v>27</v>
      </c>
      <c r="L347" s="30"/>
      <c r="M347" s="30" t="s">
        <v>1369</v>
      </c>
      <c r="N347" s="30"/>
      <c r="O347" s="31">
        <f t="shared" si="34"/>
        <v>27</v>
      </c>
      <c r="P347" s="136" t="s">
        <v>1890</v>
      </c>
      <c r="Q347" s="31">
        <f t="shared" si="35"/>
        <v>1</v>
      </c>
      <c r="R347" s="32">
        <f t="shared" si="36"/>
        <v>0.9642857142857143</v>
      </c>
      <c r="S347" s="70"/>
      <c r="T347" s="70" t="s">
        <v>2215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2355</v>
      </c>
      <c r="F348" t="s">
        <v>352</v>
      </c>
      <c r="G348" t="s">
        <v>2187</v>
      </c>
      <c r="H348" t="s">
        <v>1039</v>
      </c>
      <c r="I348" s="68" t="s">
        <v>2173</v>
      </c>
      <c r="J348" s="84" t="s">
        <v>14</v>
      </c>
      <c r="K348" s="30" t="s">
        <v>27</v>
      </c>
      <c r="L348" s="30"/>
      <c r="M348" s="30" t="s">
        <v>2188</v>
      </c>
      <c r="N348" s="30"/>
      <c r="O348" s="31">
        <f t="shared" si="34"/>
        <v>27</v>
      </c>
      <c r="P348" s="136" t="s">
        <v>2174</v>
      </c>
      <c r="Q348" s="31">
        <f t="shared" si="35"/>
        <v>1</v>
      </c>
      <c r="R348" s="32">
        <f t="shared" si="36"/>
        <v>0.9642857142857143</v>
      </c>
      <c r="S348" s="70"/>
      <c r="T348" s="70" t="s">
        <v>2215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2355</v>
      </c>
      <c r="F349" t="s">
        <v>352</v>
      </c>
      <c r="G349" t="s">
        <v>2175</v>
      </c>
      <c r="H349" t="s">
        <v>1039</v>
      </c>
      <c r="I349" s="68" t="s">
        <v>2176</v>
      </c>
      <c r="J349" s="84" t="s">
        <v>14</v>
      </c>
      <c r="K349" s="30" t="s">
        <v>27</v>
      </c>
      <c r="L349" s="30"/>
      <c r="M349" s="30" t="s">
        <v>2278</v>
      </c>
      <c r="N349" s="30"/>
      <c r="O349" s="31">
        <f t="shared" si="34"/>
        <v>27</v>
      </c>
      <c r="P349" s="136" t="s">
        <v>2177</v>
      </c>
      <c r="Q349" s="31">
        <f t="shared" si="35"/>
        <v>1</v>
      </c>
      <c r="R349" s="32">
        <f t="shared" si="36"/>
        <v>0.9642857142857143</v>
      </c>
      <c r="S349" s="70"/>
      <c r="T349" s="70" t="s">
        <v>2215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s="73" customFormat="1" ht="15.75" thickBot="1" x14ac:dyDescent="0.3">
      <c r="A350"/>
      <c r="B350"/>
      <c r="C350"/>
      <c r="D350"/>
      <c r="E350" t="s">
        <v>2341</v>
      </c>
      <c r="F350" t="s">
        <v>362</v>
      </c>
      <c r="G350" t="s">
        <v>969</v>
      </c>
      <c r="H350" t="s">
        <v>1039</v>
      </c>
      <c r="I350" t="s">
        <v>368</v>
      </c>
      <c r="J350" s="30" t="s">
        <v>14</v>
      </c>
      <c r="K350" s="30" t="s">
        <v>27</v>
      </c>
      <c r="L350" s="30"/>
      <c r="M350" s="30" t="s">
        <v>762</v>
      </c>
      <c r="N350" s="30"/>
      <c r="O350" s="31">
        <f t="shared" si="34"/>
        <v>27</v>
      </c>
      <c r="P350" s="136" t="s">
        <v>1895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 t="s">
        <v>2215</v>
      </c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/>
    </row>
    <row r="351" spans="1:49" ht="15.75" thickBot="1" x14ac:dyDescent="0.3">
      <c r="A351"/>
      <c r="B351"/>
      <c r="C351"/>
      <c r="D351"/>
      <c r="E351" t="s">
        <v>2341</v>
      </c>
      <c r="F351" t="s">
        <v>362</v>
      </c>
      <c r="G351" t="s">
        <v>970</v>
      </c>
      <c r="H351" t="s">
        <v>1039</v>
      </c>
      <c r="I351" t="s">
        <v>971</v>
      </c>
      <c r="J351" s="30" t="s">
        <v>18</v>
      </c>
      <c r="K351" s="30" t="s">
        <v>27</v>
      </c>
      <c r="L351" s="30"/>
      <c r="M351" s="30" t="s">
        <v>884</v>
      </c>
      <c r="N351" s="30"/>
      <c r="O351" s="31">
        <f t="shared" si="34"/>
        <v>26</v>
      </c>
      <c r="P351" s="136" t="s">
        <v>1896</v>
      </c>
      <c r="Q351" s="31">
        <f t="shared" si="35"/>
        <v>2</v>
      </c>
      <c r="R351" s="32">
        <f t="shared" si="36"/>
        <v>0.9285714285714286</v>
      </c>
      <c r="S351" s="70"/>
      <c r="T351" s="70"/>
      <c r="U351" s="70" t="s">
        <v>2215</v>
      </c>
      <c r="V351" s="70"/>
      <c r="W351" s="70"/>
      <c r="X351" s="70" t="s">
        <v>2215</v>
      </c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69"/>
    </row>
    <row r="352" spans="1:49" ht="15.75" thickBot="1" x14ac:dyDescent="0.3">
      <c r="A352"/>
      <c r="B352"/>
      <c r="C352"/>
      <c r="D352"/>
      <c r="E352" t="s">
        <v>2341</v>
      </c>
      <c r="F352" t="s">
        <v>362</v>
      </c>
      <c r="G352" t="s">
        <v>972</v>
      </c>
      <c r="H352" t="s">
        <v>1039</v>
      </c>
      <c r="I352" t="s">
        <v>973</v>
      </c>
      <c r="J352" s="30" t="s">
        <v>18</v>
      </c>
      <c r="K352" s="30" t="s">
        <v>27</v>
      </c>
      <c r="L352" s="30"/>
      <c r="M352" s="30" t="s">
        <v>885</v>
      </c>
      <c r="N352" s="30"/>
      <c r="O352" s="31">
        <f t="shared" si="34"/>
        <v>27</v>
      </c>
      <c r="P352" s="136" t="s">
        <v>1897</v>
      </c>
      <c r="Q352" s="31">
        <f t="shared" si="35"/>
        <v>1</v>
      </c>
      <c r="R352" s="32">
        <f t="shared" si="36"/>
        <v>0.9642857142857143</v>
      </c>
      <c r="S352" s="70"/>
      <c r="T352" s="70"/>
      <c r="U352" s="70" t="s">
        <v>2215</v>
      </c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2341</v>
      </c>
      <c r="F353" t="s">
        <v>362</v>
      </c>
      <c r="G353" t="s">
        <v>974</v>
      </c>
      <c r="H353" t="s">
        <v>1039</v>
      </c>
      <c r="I353" t="s">
        <v>975</v>
      </c>
      <c r="J353" s="30" t="s">
        <v>18</v>
      </c>
      <c r="K353" s="30" t="s">
        <v>27</v>
      </c>
      <c r="L353" s="30"/>
      <c r="M353" s="30" t="s">
        <v>886</v>
      </c>
      <c r="N353" s="30"/>
      <c r="O353" s="31">
        <f t="shared" si="34"/>
        <v>27</v>
      </c>
      <c r="P353" s="136" t="s">
        <v>1898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2215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138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2341</v>
      </c>
      <c r="F354" t="s">
        <v>362</v>
      </c>
      <c r="G354" t="s">
        <v>976</v>
      </c>
      <c r="H354" t="s">
        <v>1039</v>
      </c>
      <c r="I354" t="s">
        <v>977</v>
      </c>
      <c r="J354" s="30" t="s">
        <v>18</v>
      </c>
      <c r="K354" s="30" t="s">
        <v>27</v>
      </c>
      <c r="L354" s="30"/>
      <c r="M354" s="30" t="s">
        <v>887</v>
      </c>
      <c r="N354" s="30"/>
      <c r="O354" s="31">
        <f t="shared" si="34"/>
        <v>26</v>
      </c>
      <c r="P354" s="136" t="s">
        <v>1899</v>
      </c>
      <c r="Q354" s="31">
        <f t="shared" si="35"/>
        <v>2</v>
      </c>
      <c r="R354" s="32">
        <f t="shared" si="36"/>
        <v>0.9285714285714286</v>
      </c>
      <c r="S354" s="70"/>
      <c r="T354" s="70"/>
      <c r="U354" s="70" t="s">
        <v>2215</v>
      </c>
      <c r="V354" s="70"/>
      <c r="W354" s="70"/>
      <c r="X354" s="70" t="s">
        <v>2215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88"/>
    </row>
    <row r="355" spans="1:49" ht="15.75" thickBot="1" x14ac:dyDescent="0.3">
      <c r="A355"/>
      <c r="B355"/>
      <c r="C355"/>
      <c r="D355"/>
      <c r="E355" t="s">
        <v>2341</v>
      </c>
      <c r="F355" t="s">
        <v>362</v>
      </c>
      <c r="G355" t="s">
        <v>1148</v>
      </c>
      <c r="H355" t="s">
        <v>1039</v>
      </c>
      <c r="I355" t="s">
        <v>1131</v>
      </c>
      <c r="J355" s="30" t="s">
        <v>18</v>
      </c>
      <c r="K355" s="30" t="s">
        <v>27</v>
      </c>
      <c r="L355" s="30"/>
      <c r="M355" s="30" t="s">
        <v>1133</v>
      </c>
      <c r="N355" s="30"/>
      <c r="O355" s="31">
        <f t="shared" si="34"/>
        <v>27</v>
      </c>
      <c r="P355" s="136" t="s">
        <v>1900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2215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2341</v>
      </c>
      <c r="F356" t="s">
        <v>362</v>
      </c>
      <c r="G356" t="s">
        <v>1149</v>
      </c>
      <c r="H356" t="s">
        <v>1039</v>
      </c>
      <c r="I356" t="s">
        <v>1131</v>
      </c>
      <c r="J356" s="30" t="s">
        <v>18</v>
      </c>
      <c r="K356" s="30" t="s">
        <v>27</v>
      </c>
      <c r="L356" s="30"/>
      <c r="M356" s="30" t="s">
        <v>1134</v>
      </c>
      <c r="N356" s="30"/>
      <c r="O356" s="31">
        <f t="shared" si="34"/>
        <v>27</v>
      </c>
      <c r="P356" s="136" t="s">
        <v>1901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2215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83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2341</v>
      </c>
      <c r="F357" t="s">
        <v>362</v>
      </c>
      <c r="G357" t="s">
        <v>1167</v>
      </c>
      <c r="H357" t="s">
        <v>1039</v>
      </c>
      <c r="I357" t="s">
        <v>1130</v>
      </c>
      <c r="J357" s="30" t="s">
        <v>14</v>
      </c>
      <c r="K357" s="30" t="s">
        <v>27</v>
      </c>
      <c r="L357" s="30"/>
      <c r="M357" s="30" t="s">
        <v>1132</v>
      </c>
      <c r="N357" s="30"/>
      <c r="O357" s="31">
        <f t="shared" si="34"/>
        <v>27</v>
      </c>
      <c r="P357" s="136" t="s">
        <v>1902</v>
      </c>
      <c r="Q357" s="31">
        <f t="shared" si="35"/>
        <v>1</v>
      </c>
      <c r="R357" s="32">
        <f t="shared" si="36"/>
        <v>0.9642857142857143</v>
      </c>
      <c r="S357" s="70"/>
      <c r="T357" s="70"/>
      <c r="U357" s="70" t="s">
        <v>2215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1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2341</v>
      </c>
      <c r="F358" t="s">
        <v>362</v>
      </c>
      <c r="G358" t="s">
        <v>1270</v>
      </c>
      <c r="H358" t="s">
        <v>1039</v>
      </c>
      <c r="I358" t="s">
        <v>1271</v>
      </c>
      <c r="J358" s="30" t="s">
        <v>71</v>
      </c>
      <c r="K358" s="30" t="s">
        <v>27</v>
      </c>
      <c r="L358" s="30"/>
      <c r="M358" s="30" t="s">
        <v>1452</v>
      </c>
      <c r="N358" s="30"/>
      <c r="O358" s="31">
        <f t="shared" si="34"/>
        <v>27</v>
      </c>
      <c r="P358" s="136" t="s">
        <v>1903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2215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2341</v>
      </c>
      <c r="F359" t="s">
        <v>362</v>
      </c>
      <c r="G359" t="s">
        <v>1358</v>
      </c>
      <c r="H359" t="s">
        <v>1039</v>
      </c>
      <c r="I359" s="68" t="s">
        <v>1361</v>
      </c>
      <c r="J359" s="30" t="s">
        <v>14</v>
      </c>
      <c r="K359" s="30" t="s">
        <v>1032</v>
      </c>
      <c r="L359" s="30"/>
      <c r="M359" s="30" t="s">
        <v>1365</v>
      </c>
      <c r="N359" s="30"/>
      <c r="O359" s="31">
        <f t="shared" si="34"/>
        <v>27</v>
      </c>
      <c r="P359" s="136"/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2215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2341</v>
      </c>
      <c r="F360" t="s">
        <v>362</v>
      </c>
      <c r="G360" t="s">
        <v>1359</v>
      </c>
      <c r="H360" t="s">
        <v>1039</v>
      </c>
      <c r="I360" s="68" t="s">
        <v>1362</v>
      </c>
      <c r="J360" s="30" t="s">
        <v>71</v>
      </c>
      <c r="K360" s="30" t="s">
        <v>1032</v>
      </c>
      <c r="L360" s="30"/>
      <c r="M360" s="30" t="s">
        <v>1366</v>
      </c>
      <c r="N360" s="30"/>
      <c r="O360" s="31">
        <f t="shared" si="34"/>
        <v>27</v>
      </c>
      <c r="P360" s="136"/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2215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2341</v>
      </c>
      <c r="F361" t="s">
        <v>362</v>
      </c>
      <c r="G361" t="s">
        <v>1360</v>
      </c>
      <c r="H361" t="s">
        <v>1039</v>
      </c>
      <c r="I361" s="68" t="s">
        <v>1363</v>
      </c>
      <c r="J361" s="30" t="s">
        <v>14</v>
      </c>
      <c r="K361" s="30" t="s">
        <v>27</v>
      </c>
      <c r="L361" s="30"/>
      <c r="M361" s="30" t="s">
        <v>1467</v>
      </c>
      <c r="N361" s="30"/>
      <c r="O361" s="31">
        <f t="shared" si="34"/>
        <v>27</v>
      </c>
      <c r="P361" s="136" t="s">
        <v>1904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2215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/>
      <c r="G362" t="s">
        <v>2484</v>
      </c>
      <c r="H362" t="s">
        <v>1039</v>
      </c>
      <c r="I362" s="68" t="s">
        <v>2487</v>
      </c>
      <c r="J362" s="30" t="s">
        <v>14</v>
      </c>
      <c r="K362" s="30" t="s">
        <v>1275</v>
      </c>
      <c r="L362" s="30"/>
      <c r="M362" s="30" t="s">
        <v>2488</v>
      </c>
      <c r="N362" s="30"/>
      <c r="O362" s="31"/>
      <c r="P362" s="136" t="s">
        <v>2489</v>
      </c>
      <c r="Q362" s="31"/>
      <c r="R362" s="32"/>
      <c r="S362" s="70"/>
      <c r="T362" s="70"/>
      <c r="U362" s="70" t="s">
        <v>2215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2341</v>
      </c>
      <c r="F363" s="73" t="s">
        <v>362</v>
      </c>
      <c r="G363" s="73" t="s">
        <v>978</v>
      </c>
      <c r="H363" s="73" t="s">
        <v>1039</v>
      </c>
      <c r="I363" s="73" t="s">
        <v>363</v>
      </c>
      <c r="J363" s="84" t="s">
        <v>14</v>
      </c>
      <c r="K363" s="84" t="s">
        <v>27</v>
      </c>
      <c r="L363" s="84"/>
      <c r="M363" s="84" t="s">
        <v>758</v>
      </c>
      <c r="N363" s="84"/>
      <c r="O363" s="85">
        <f t="shared" si="34"/>
        <v>27</v>
      </c>
      <c r="P363" s="136" t="s">
        <v>1891</v>
      </c>
      <c r="Q363" s="85">
        <f t="shared" si="35"/>
        <v>1</v>
      </c>
      <c r="R363" s="86">
        <f t="shared" si="36"/>
        <v>0.9642857142857143</v>
      </c>
      <c r="S363" s="70"/>
      <c r="T363" s="70"/>
      <c r="U363" s="70" t="s">
        <v>2215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2341</v>
      </c>
      <c r="F364" t="s">
        <v>362</v>
      </c>
      <c r="G364" t="s">
        <v>979</v>
      </c>
      <c r="H364" t="s">
        <v>1039</v>
      </c>
      <c r="I364" t="s">
        <v>364</v>
      </c>
      <c r="J364" s="30" t="s">
        <v>14</v>
      </c>
      <c r="K364" s="30" t="s">
        <v>27</v>
      </c>
      <c r="L364" s="30"/>
      <c r="M364" s="30" t="s">
        <v>761</v>
      </c>
      <c r="N364" s="30"/>
      <c r="O364" s="31">
        <f t="shared" si="34"/>
        <v>27</v>
      </c>
      <c r="P364" s="136" t="s">
        <v>1892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2215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2341</v>
      </c>
      <c r="F365" t="s">
        <v>362</v>
      </c>
      <c r="G365" t="s">
        <v>365</v>
      </c>
      <c r="H365" t="s">
        <v>1039</v>
      </c>
      <c r="I365" t="s">
        <v>366</v>
      </c>
      <c r="J365" s="30" t="s">
        <v>71</v>
      </c>
      <c r="K365" s="30" t="s">
        <v>27</v>
      </c>
      <c r="L365" s="30"/>
      <c r="M365" s="30" t="s">
        <v>759</v>
      </c>
      <c r="N365" s="30"/>
      <c r="O365" s="31">
        <f t="shared" si="34"/>
        <v>27</v>
      </c>
      <c r="P365" s="136" t="s">
        <v>1893</v>
      </c>
      <c r="Q365" s="31">
        <f t="shared" si="35"/>
        <v>1</v>
      </c>
      <c r="R365" s="32">
        <f t="shared" si="36"/>
        <v>0.9642857142857143</v>
      </c>
      <c r="S365" s="70"/>
      <c r="T365" s="70"/>
      <c r="U365" s="70" t="s">
        <v>2215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2341</v>
      </c>
      <c r="F366" t="s">
        <v>362</v>
      </c>
      <c r="G366" t="s">
        <v>367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760</v>
      </c>
      <c r="N366" s="30"/>
      <c r="O366" s="31">
        <f t="shared" si="34"/>
        <v>27</v>
      </c>
      <c r="P366" s="136" t="s">
        <v>1894</v>
      </c>
      <c r="Q366" s="31">
        <f t="shared" si="35"/>
        <v>1</v>
      </c>
      <c r="R366" s="32">
        <f t="shared" si="36"/>
        <v>0.9642857142857143</v>
      </c>
      <c r="S366" s="70"/>
      <c r="T366" s="70"/>
      <c r="U366" s="70" t="s">
        <v>2215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s="73" customFormat="1" ht="15.75" thickBot="1" x14ac:dyDescent="0.3">
      <c r="A367"/>
      <c r="B367"/>
      <c r="C367"/>
      <c r="D367"/>
      <c r="E367"/>
      <c r="F367" s="73" t="s">
        <v>877</v>
      </c>
      <c r="G367" s="73" t="s">
        <v>980</v>
      </c>
      <c r="H367" s="73" t="s">
        <v>1039</v>
      </c>
      <c r="I367" s="73" t="s">
        <v>981</v>
      </c>
      <c r="J367" s="84" t="s">
        <v>1033</v>
      </c>
      <c r="K367" s="84" t="s">
        <v>1275</v>
      </c>
      <c r="L367" s="30"/>
      <c r="M367" s="84" t="s">
        <v>879</v>
      </c>
      <c r="N367" s="84"/>
      <c r="O367" s="131">
        <f t="shared" si="34"/>
        <v>28</v>
      </c>
      <c r="P367" s="136" t="s">
        <v>2392</v>
      </c>
      <c r="Q367" s="131">
        <f t="shared" si="35"/>
        <v>0</v>
      </c>
      <c r="R367" s="1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876</v>
      </c>
      <c r="H368" s="73" t="s">
        <v>1039</v>
      </c>
      <c r="I368" s="73" t="s">
        <v>981</v>
      </c>
      <c r="J368" s="84" t="s">
        <v>1034</v>
      </c>
      <c r="K368" s="84" t="s">
        <v>1275</v>
      </c>
      <c r="L368" s="30"/>
      <c r="M368" s="84" t="s">
        <v>878</v>
      </c>
      <c r="N368" s="84"/>
      <c r="O368" s="131">
        <f t="shared" si="34"/>
        <v>28</v>
      </c>
      <c r="P368" s="136" t="s">
        <v>2393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ht="15.75" thickBot="1" x14ac:dyDescent="0.3">
      <c r="A369"/>
      <c r="B369"/>
      <c r="C369"/>
      <c r="D369"/>
      <c r="E369"/>
      <c r="F369" s="73" t="s">
        <v>251</v>
      </c>
      <c r="G369" s="73" t="s">
        <v>982</v>
      </c>
      <c r="H369" s="73" t="s">
        <v>1038</v>
      </c>
      <c r="I369" s="73" t="s">
        <v>325</v>
      </c>
      <c r="J369" s="84" t="s">
        <v>71</v>
      </c>
      <c r="K369" s="84" t="s">
        <v>1275</v>
      </c>
      <c r="L369" s="30"/>
      <c r="M369" s="84" t="s">
        <v>732</v>
      </c>
      <c r="N369" s="84"/>
      <c r="O369" s="131">
        <f t="shared" si="34"/>
        <v>28</v>
      </c>
      <c r="P369" s="136" t="s">
        <v>1906</v>
      </c>
      <c r="Q369" s="131">
        <f t="shared" si="35"/>
        <v>0</v>
      </c>
      <c r="R369" s="1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251</v>
      </c>
      <c r="G370" s="73" t="s">
        <v>983</v>
      </c>
      <c r="H370" s="73" t="s">
        <v>1038</v>
      </c>
      <c r="I370" s="73" t="s">
        <v>325</v>
      </c>
      <c r="J370" s="84" t="s">
        <v>71</v>
      </c>
      <c r="K370" s="84" t="s">
        <v>1275</v>
      </c>
      <c r="L370" s="30"/>
      <c r="M370" s="84" t="s">
        <v>733</v>
      </c>
      <c r="N370" s="84"/>
      <c r="O370" s="131">
        <f t="shared" si="34"/>
        <v>28</v>
      </c>
      <c r="P370" s="136" t="s">
        <v>1907</v>
      </c>
      <c r="Q370" s="131">
        <f t="shared" si="35"/>
        <v>0</v>
      </c>
      <c r="R370" s="1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>
        <v>1</v>
      </c>
      <c r="B371">
        <v>19</v>
      </c>
      <c r="C371"/>
      <c r="D371"/>
      <c r="E371" t="s">
        <v>2321</v>
      </c>
      <c r="F371" t="s">
        <v>251</v>
      </c>
      <c r="G371" t="s">
        <v>984</v>
      </c>
      <c r="H371" t="s">
        <v>1038</v>
      </c>
      <c r="I371" t="s">
        <v>985</v>
      </c>
      <c r="J371" s="30" t="s">
        <v>18</v>
      </c>
      <c r="K371" s="30" t="s">
        <v>27</v>
      </c>
      <c r="L371" s="30"/>
      <c r="M371" s="30" t="s">
        <v>2170</v>
      </c>
      <c r="N371" s="30"/>
      <c r="O371" s="31">
        <f t="shared" si="34"/>
        <v>28</v>
      </c>
      <c r="P371" s="136" t="s">
        <v>1908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9" ht="15.75" thickBot="1" x14ac:dyDescent="0.3">
      <c r="A372">
        <v>1</v>
      </c>
      <c r="B372">
        <v>19</v>
      </c>
      <c r="C372"/>
      <c r="D372"/>
      <c r="E372" t="s">
        <v>2321</v>
      </c>
      <c r="F372" t="s">
        <v>251</v>
      </c>
      <c r="G372" t="s">
        <v>986</v>
      </c>
      <c r="H372" t="s">
        <v>1038</v>
      </c>
      <c r="I372" t="s">
        <v>987</v>
      </c>
      <c r="J372" s="30" t="s">
        <v>18</v>
      </c>
      <c r="K372" s="30" t="s">
        <v>27</v>
      </c>
      <c r="L372" s="30"/>
      <c r="M372" s="30" t="s">
        <v>2279</v>
      </c>
      <c r="N372" s="30"/>
      <c r="O372" s="31">
        <f t="shared" si="34"/>
        <v>28</v>
      </c>
      <c r="P372" s="136" t="s">
        <v>1909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19</v>
      </c>
      <c r="C373"/>
      <c r="D373"/>
      <c r="E373" t="s">
        <v>2321</v>
      </c>
      <c r="F373" t="s">
        <v>251</v>
      </c>
      <c r="G373" t="s">
        <v>1106</v>
      </c>
      <c r="H373" t="s">
        <v>1038</v>
      </c>
      <c r="I373" t="s">
        <v>1103</v>
      </c>
      <c r="J373" s="30" t="s">
        <v>71</v>
      </c>
      <c r="K373" s="30" t="s">
        <v>27</v>
      </c>
      <c r="L373" s="30"/>
      <c r="M373" s="30" t="s">
        <v>1110</v>
      </c>
      <c r="N373" s="30"/>
      <c r="O373" s="31">
        <f t="shared" si="34"/>
        <v>28</v>
      </c>
      <c r="P373" s="136" t="s">
        <v>1910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2321</v>
      </c>
      <c r="F374" t="s">
        <v>251</v>
      </c>
      <c r="G374" t="s">
        <v>1107</v>
      </c>
      <c r="H374" t="s">
        <v>1038</v>
      </c>
      <c r="I374" t="s">
        <v>1103</v>
      </c>
      <c r="J374" s="30" t="s">
        <v>71</v>
      </c>
      <c r="K374" s="30" t="s">
        <v>27</v>
      </c>
      <c r="L374" s="30"/>
      <c r="M374" s="30" t="s">
        <v>1111</v>
      </c>
      <c r="N374" s="30"/>
      <c r="O374" s="31">
        <f t="shared" si="34"/>
        <v>28</v>
      </c>
      <c r="P374" s="136" t="s">
        <v>1911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2321</v>
      </c>
      <c r="F375" t="s">
        <v>251</v>
      </c>
      <c r="G375" t="s">
        <v>1108</v>
      </c>
      <c r="H375" t="s">
        <v>1038</v>
      </c>
      <c r="I375" t="s">
        <v>1104</v>
      </c>
      <c r="J375" s="30" t="s">
        <v>71</v>
      </c>
      <c r="K375" s="30" t="s">
        <v>27</v>
      </c>
      <c r="L375" s="30"/>
      <c r="M375" s="30" t="s">
        <v>1112</v>
      </c>
      <c r="N375" s="30"/>
      <c r="O375" s="31">
        <f t="shared" si="34"/>
        <v>28</v>
      </c>
      <c r="P375" s="136" t="s">
        <v>1912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2321</v>
      </c>
      <c r="F376" t="s">
        <v>251</v>
      </c>
      <c r="G376" t="s">
        <v>1109</v>
      </c>
      <c r="H376" t="s">
        <v>1038</v>
      </c>
      <c r="I376" t="s">
        <v>1104</v>
      </c>
      <c r="J376" s="30" t="s">
        <v>71</v>
      </c>
      <c r="K376" s="30" t="s">
        <v>27</v>
      </c>
      <c r="L376" s="30"/>
      <c r="M376" s="30" t="s">
        <v>1113</v>
      </c>
      <c r="N376" s="30"/>
      <c r="O376" s="31">
        <f t="shared" si="34"/>
        <v>28</v>
      </c>
      <c r="P376" s="136" t="s">
        <v>1913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14</v>
      </c>
      <c r="C377"/>
      <c r="D377"/>
      <c r="E377" t="s">
        <v>2360</v>
      </c>
      <c r="F377" s="73" t="s">
        <v>1294</v>
      </c>
      <c r="G377" t="s">
        <v>1207</v>
      </c>
      <c r="H377" t="s">
        <v>1038</v>
      </c>
      <c r="I377" t="s">
        <v>1208</v>
      </c>
      <c r="J377" t="s">
        <v>18</v>
      </c>
      <c r="K377" t="s">
        <v>27</v>
      </c>
      <c r="L377"/>
      <c r="M377" s="30" t="s">
        <v>1214</v>
      </c>
      <c r="N377" s="30"/>
      <c r="O377" s="31">
        <f t="shared" si="34"/>
        <v>28</v>
      </c>
      <c r="P377" s="136" t="s">
        <v>1914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142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2360</v>
      </c>
      <c r="F378" s="73" t="s">
        <v>1294</v>
      </c>
      <c r="G378" t="s">
        <v>1209</v>
      </c>
      <c r="H378" t="s">
        <v>1038</v>
      </c>
      <c r="I378" t="s">
        <v>1210</v>
      </c>
      <c r="J378" t="s">
        <v>18</v>
      </c>
      <c r="K378" t="s">
        <v>27</v>
      </c>
      <c r="L378"/>
      <c r="M378" s="30" t="s">
        <v>1215</v>
      </c>
      <c r="N378" s="30"/>
      <c r="O378" s="31">
        <f t="shared" si="34"/>
        <v>28</v>
      </c>
      <c r="P378" s="136" t="s">
        <v>1915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/>
      <c r="B379"/>
      <c r="C379"/>
      <c r="D379"/>
      <c r="E379"/>
      <c r="F379" s="73" t="s">
        <v>1294</v>
      </c>
      <c r="G379" s="73" t="s">
        <v>1537</v>
      </c>
      <c r="H379" s="73" t="s">
        <v>1038</v>
      </c>
      <c r="I379" s="73" t="s">
        <v>1540</v>
      </c>
      <c r="J379" s="84" t="s">
        <v>71</v>
      </c>
      <c r="K379" s="84" t="s">
        <v>1275</v>
      </c>
      <c r="L379"/>
      <c r="M379" s="84" t="s">
        <v>1541</v>
      </c>
      <c r="N379" s="84"/>
      <c r="O379" s="31">
        <f t="shared" si="34"/>
        <v>28</v>
      </c>
      <c r="P379" s="136" t="s">
        <v>1916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/>
      <c r="F380" s="73" t="s">
        <v>1294</v>
      </c>
      <c r="G380" s="73" t="s">
        <v>1538</v>
      </c>
      <c r="H380" s="73" t="s">
        <v>1038</v>
      </c>
      <c r="I380" s="73" t="s">
        <v>1542</v>
      </c>
      <c r="J380" s="73" t="s">
        <v>71</v>
      </c>
      <c r="K380" s="84" t="s">
        <v>1275</v>
      </c>
      <c r="L380"/>
      <c r="M380" s="84" t="s">
        <v>1543</v>
      </c>
      <c r="N380" s="84"/>
      <c r="O380" s="31">
        <f t="shared" si="34"/>
        <v>28</v>
      </c>
      <c r="P380" s="136" t="s">
        <v>1917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/>
      <c r="F381" s="73" t="s">
        <v>1294</v>
      </c>
      <c r="G381" s="73" t="s">
        <v>1539</v>
      </c>
      <c r="H381" s="73" t="s">
        <v>1038</v>
      </c>
      <c r="I381" s="73" t="s">
        <v>1544</v>
      </c>
      <c r="J381" s="73" t="s">
        <v>71</v>
      </c>
      <c r="K381" s="84" t="s">
        <v>1275</v>
      </c>
      <c r="L381"/>
      <c r="M381" s="84" t="s">
        <v>1545</v>
      </c>
      <c r="N381" s="84"/>
      <c r="O381" s="31">
        <f t="shared" si="34"/>
        <v>28</v>
      </c>
      <c r="P381" s="136" t="s">
        <v>1918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/>
      <c r="F382" s="73" t="s">
        <v>1294</v>
      </c>
      <c r="G382" s="73" t="s">
        <v>1594</v>
      </c>
      <c r="H382" s="73" t="s">
        <v>1038</v>
      </c>
      <c r="I382" s="73" t="s">
        <v>1595</v>
      </c>
      <c r="J382" s="73" t="s">
        <v>18</v>
      </c>
      <c r="K382" s="84" t="s">
        <v>1275</v>
      </c>
      <c r="L382"/>
      <c r="M382" s="84" t="s">
        <v>1596</v>
      </c>
      <c r="N382" s="84"/>
      <c r="O382" s="31">
        <f t="shared" si="34"/>
        <v>28</v>
      </c>
      <c r="P382" s="136" t="s">
        <v>2093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>
        <v>1</v>
      </c>
      <c r="B383">
        <v>7</v>
      </c>
      <c r="C383"/>
      <c r="D383"/>
      <c r="E383" t="s">
        <v>2321</v>
      </c>
      <c r="F383" t="s">
        <v>251</v>
      </c>
      <c r="G383" t="s">
        <v>369</v>
      </c>
      <c r="H383" t="s">
        <v>1038</v>
      </c>
      <c r="I383" t="s">
        <v>370</v>
      </c>
      <c r="J383" s="30" t="s">
        <v>18</v>
      </c>
      <c r="K383" s="30" t="s">
        <v>27</v>
      </c>
      <c r="L383" s="30"/>
      <c r="M383" s="30" t="s">
        <v>763</v>
      </c>
      <c r="N383" s="30"/>
      <c r="O383" s="31">
        <f t="shared" si="34"/>
        <v>28</v>
      </c>
      <c r="P383" s="136" t="s">
        <v>1905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ht="15.75" thickBot="1" x14ac:dyDescent="0.3">
      <c r="A384">
        <v>1</v>
      </c>
      <c r="B384">
        <v>18</v>
      </c>
      <c r="C384"/>
      <c r="D384"/>
      <c r="E384" t="s">
        <v>2354</v>
      </c>
      <c r="F384" t="s">
        <v>371</v>
      </c>
      <c r="G384" t="s">
        <v>372</v>
      </c>
      <c r="H384" t="s">
        <v>1038</v>
      </c>
      <c r="I384" t="s">
        <v>373</v>
      </c>
      <c r="J384" s="30" t="s">
        <v>18</v>
      </c>
      <c r="K384" s="30" t="s">
        <v>27</v>
      </c>
      <c r="L384"/>
      <c r="M384" s="30" t="s">
        <v>764</v>
      </c>
      <c r="N384" s="30" t="s">
        <v>2259</v>
      </c>
      <c r="O384" s="31">
        <f t="shared" si="34"/>
        <v>28</v>
      </c>
      <c r="P384" s="136" t="s">
        <v>1919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/>
      <c r="B385"/>
      <c r="C385"/>
      <c r="D385"/>
      <c r="E385" s="150" t="s">
        <v>2449</v>
      </c>
      <c r="F385" t="s">
        <v>371</v>
      </c>
      <c r="G385" t="s">
        <v>374</v>
      </c>
      <c r="H385" t="s">
        <v>1038</v>
      </c>
      <c r="I385" t="s">
        <v>375</v>
      </c>
      <c r="J385" s="30" t="s">
        <v>18</v>
      </c>
      <c r="K385" s="30" t="s">
        <v>1275</v>
      </c>
      <c r="L385"/>
      <c r="M385" s="30" t="s">
        <v>765</v>
      </c>
      <c r="N385" s="30"/>
      <c r="O385" s="31">
        <f t="shared" si="34"/>
        <v>28</v>
      </c>
      <c r="P385" s="136" t="s">
        <v>1920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s="73" customFormat="1" ht="15.75" thickBot="1" x14ac:dyDescent="0.3">
      <c r="A386"/>
      <c r="B386"/>
      <c r="C386"/>
      <c r="D386"/>
      <c r="E386" s="150" t="s">
        <v>2449</v>
      </c>
      <c r="F386" s="73" t="s">
        <v>376</v>
      </c>
      <c r="G386" s="73" t="s">
        <v>377</v>
      </c>
      <c r="H386" s="73" t="s">
        <v>1038</v>
      </c>
      <c r="I386" s="73" t="s">
        <v>378</v>
      </c>
      <c r="J386" s="84" t="s">
        <v>18</v>
      </c>
      <c r="K386" s="84" t="s">
        <v>1275</v>
      </c>
      <c r="L386"/>
      <c r="M386" s="84" t="s">
        <v>1451</v>
      </c>
      <c r="N386" s="84"/>
      <c r="O386" s="131">
        <f t="shared" si="34"/>
        <v>28</v>
      </c>
      <c r="P386" s="136" t="s">
        <v>2394</v>
      </c>
      <c r="Q386" s="131">
        <f t="shared" si="35"/>
        <v>0</v>
      </c>
      <c r="R386" s="1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s="73" customFormat="1" ht="15.75" thickBot="1" x14ac:dyDescent="0.3">
      <c r="A387"/>
      <c r="B387"/>
      <c r="C387"/>
      <c r="D387"/>
      <c r="E387" s="150" t="s">
        <v>2449</v>
      </c>
      <c r="F387" s="73" t="s">
        <v>371</v>
      </c>
      <c r="G387" s="73" t="s">
        <v>2120</v>
      </c>
      <c r="H387" s="73" t="s">
        <v>1038</v>
      </c>
      <c r="I387" s="73" t="s">
        <v>2121</v>
      </c>
      <c r="J387" s="84" t="s">
        <v>71</v>
      </c>
      <c r="K387" s="30" t="s">
        <v>1275</v>
      </c>
      <c r="L387"/>
      <c r="M387" s="84" t="s">
        <v>2122</v>
      </c>
      <c r="N387" s="84" t="s">
        <v>2259</v>
      </c>
      <c r="O387" s="131">
        <f t="shared" si="34"/>
        <v>28</v>
      </c>
      <c r="P387" s="136" t="s">
        <v>2123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2426</v>
      </c>
      <c r="F388" t="s">
        <v>281</v>
      </c>
      <c r="G388" t="s">
        <v>988</v>
      </c>
      <c r="H388" t="s">
        <v>1038</v>
      </c>
      <c r="I388" t="s">
        <v>381</v>
      </c>
      <c r="J388" s="30" t="s">
        <v>18</v>
      </c>
      <c r="K388" s="30" t="s">
        <v>1275</v>
      </c>
      <c r="L388" s="30"/>
      <c r="M388" s="30" t="s">
        <v>769</v>
      </c>
      <c r="N388" s="30"/>
      <c r="O388" s="31">
        <f t="shared" si="34"/>
        <v>28</v>
      </c>
      <c r="P388" s="136" t="s">
        <v>2395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thickBot="1" x14ac:dyDescent="0.3">
      <c r="A389">
        <v>1</v>
      </c>
      <c r="B389">
        <v>18</v>
      </c>
      <c r="C389"/>
      <c r="D389"/>
      <c r="E389" t="s">
        <v>2354</v>
      </c>
      <c r="F389" t="s">
        <v>281</v>
      </c>
      <c r="G389" t="s">
        <v>379</v>
      </c>
      <c r="H389" t="s">
        <v>1038</v>
      </c>
      <c r="I389" t="s">
        <v>380</v>
      </c>
      <c r="J389" s="30" t="s">
        <v>18</v>
      </c>
      <c r="K389" s="30" t="s">
        <v>27</v>
      </c>
      <c r="L389"/>
      <c r="M389" s="30" t="s">
        <v>768</v>
      </c>
      <c r="N389" s="30" t="s">
        <v>2259</v>
      </c>
      <c r="O389" s="31">
        <f t="shared" si="34"/>
        <v>28</v>
      </c>
      <c r="P389" s="136" t="s">
        <v>1921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ht="15.75" thickBot="1" x14ac:dyDescent="0.3">
      <c r="A390">
        <v>1</v>
      </c>
      <c r="B390">
        <v>18</v>
      </c>
      <c r="C390"/>
      <c r="D390"/>
      <c r="E390" t="s">
        <v>2354</v>
      </c>
      <c r="F390" t="s">
        <v>281</v>
      </c>
      <c r="G390" t="s">
        <v>382</v>
      </c>
      <c r="H390" t="s">
        <v>1038</v>
      </c>
      <c r="I390" t="s">
        <v>383</v>
      </c>
      <c r="J390" s="30" t="s">
        <v>71</v>
      </c>
      <c r="K390" s="30" t="s">
        <v>27</v>
      </c>
      <c r="L390" s="30"/>
      <c r="M390" s="30" t="s">
        <v>766</v>
      </c>
      <c r="N390" s="30" t="s">
        <v>2259</v>
      </c>
      <c r="O390" s="31">
        <f t="shared" si="34"/>
        <v>28</v>
      </c>
      <c r="P390" s="136" t="s">
        <v>1922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3"/>
    </row>
    <row r="391" spans="1:49" ht="15.75" thickBot="1" x14ac:dyDescent="0.3">
      <c r="A391">
        <v>1</v>
      </c>
      <c r="B391">
        <v>18</v>
      </c>
      <c r="C391"/>
      <c r="D391"/>
      <c r="E391" t="s">
        <v>2354</v>
      </c>
      <c r="F391" t="s">
        <v>281</v>
      </c>
      <c r="G391" t="s">
        <v>384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767</v>
      </c>
      <c r="N391" s="30" t="s">
        <v>2259</v>
      </c>
      <c r="O391" s="31">
        <f t="shared" si="34"/>
        <v>28</v>
      </c>
      <c r="P391" s="136" t="s">
        <v>1923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2354</v>
      </c>
      <c r="F392" t="s">
        <v>281</v>
      </c>
      <c r="G392" t="s">
        <v>1238</v>
      </c>
      <c r="H392" t="s">
        <v>1038</v>
      </c>
      <c r="I392" t="s">
        <v>1239</v>
      </c>
      <c r="J392" s="30" t="s">
        <v>14</v>
      </c>
      <c r="K392" s="30" t="s">
        <v>1032</v>
      </c>
      <c r="L392" s="30" t="s">
        <v>1241</v>
      </c>
      <c r="M392" s="30" t="s">
        <v>1240</v>
      </c>
      <c r="N392" s="30" t="s">
        <v>2259</v>
      </c>
      <c r="O392" s="31">
        <f t="shared" si="34"/>
        <v>28</v>
      </c>
      <c r="P392" s="136" t="s">
        <v>1924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s="73" customFormat="1" ht="15.75" thickBot="1" x14ac:dyDescent="0.3">
      <c r="A393"/>
      <c r="B393"/>
      <c r="C393"/>
      <c r="D393"/>
      <c r="E393"/>
      <c r="F393" s="73" t="s">
        <v>371</v>
      </c>
      <c r="G393" s="73" t="s">
        <v>385</v>
      </c>
      <c r="H393" s="73" t="s">
        <v>1038</v>
      </c>
      <c r="I393" s="73" t="s">
        <v>386</v>
      </c>
      <c r="J393" s="84" t="s">
        <v>18</v>
      </c>
      <c r="K393" s="84" t="s">
        <v>1275</v>
      </c>
      <c r="L393" s="84"/>
      <c r="M393" s="84" t="s">
        <v>2075</v>
      </c>
      <c r="N393" s="84" t="s">
        <v>2259</v>
      </c>
      <c r="O393" s="131">
        <f t="shared" si="34"/>
        <v>28</v>
      </c>
      <c r="P393" s="136" t="s">
        <v>2260</v>
      </c>
      <c r="Q393" s="131">
        <f t="shared" si="35"/>
        <v>0</v>
      </c>
      <c r="R393" s="1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s="88" customFormat="1" ht="15.75" thickBot="1" x14ac:dyDescent="0.3">
      <c r="A394">
        <v>1</v>
      </c>
      <c r="B394">
        <v>15</v>
      </c>
      <c r="C394"/>
      <c r="D394"/>
      <c r="E394" t="s">
        <v>2357</v>
      </c>
      <c r="F394" s="73" t="s">
        <v>371</v>
      </c>
      <c r="G394" s="73" t="s">
        <v>387</v>
      </c>
      <c r="H394" s="73" t="s">
        <v>1038</v>
      </c>
      <c r="I394" s="73" t="s">
        <v>388</v>
      </c>
      <c r="J394" s="84" t="s">
        <v>14</v>
      </c>
      <c r="K394" s="84" t="s">
        <v>27</v>
      </c>
      <c r="L394" s="84"/>
      <c r="M394" s="84" t="s">
        <v>1482</v>
      </c>
      <c r="N394" s="84"/>
      <c r="O394" s="85">
        <f t="shared" si="34"/>
        <v>28</v>
      </c>
      <c r="P394" s="136" t="s">
        <v>1926</v>
      </c>
      <c r="Q394" s="85">
        <f t="shared" si="35"/>
        <v>0</v>
      </c>
      <c r="R394" s="86">
        <f t="shared" si="36"/>
        <v>1</v>
      </c>
      <c r="S394" s="87"/>
      <c r="T394" s="87"/>
      <c r="U394" s="87"/>
      <c r="V394" s="87"/>
      <c r="W394" s="87"/>
      <c r="X394" s="70"/>
      <c r="Y394" s="70"/>
      <c r="Z394" s="70"/>
      <c r="AA394" s="87"/>
      <c r="AB394" s="87"/>
      <c r="AC394" s="70"/>
      <c r="AD394" s="70"/>
      <c r="AE394" s="70"/>
      <c r="AF394" s="70"/>
      <c r="AG394" s="70"/>
      <c r="AH394" s="87"/>
      <c r="AI394" s="87"/>
      <c r="AJ394" s="70"/>
      <c r="AK394" s="70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/>
    </row>
    <row r="395" spans="1:49" s="73" customFormat="1" ht="15.75" thickBot="1" x14ac:dyDescent="0.3">
      <c r="A395">
        <v>1</v>
      </c>
      <c r="B395">
        <v>18</v>
      </c>
      <c r="C395"/>
      <c r="D395"/>
      <c r="E395" t="s">
        <v>2354</v>
      </c>
      <c r="F395" t="s">
        <v>389</v>
      </c>
      <c r="G395" t="s">
        <v>390</v>
      </c>
      <c r="H395" t="s">
        <v>1038</v>
      </c>
      <c r="I395" t="s">
        <v>391</v>
      </c>
      <c r="J395" s="30" t="s">
        <v>18</v>
      </c>
      <c r="K395" s="30" t="s">
        <v>27</v>
      </c>
      <c r="L395" s="30"/>
      <c r="M395" s="30" t="s">
        <v>771</v>
      </c>
      <c r="N395" s="30" t="s">
        <v>2259</v>
      </c>
      <c r="O395" s="31">
        <f t="shared" si="34"/>
        <v>28</v>
      </c>
      <c r="P395" s="136" t="s">
        <v>1927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2354</v>
      </c>
      <c r="F396" t="s">
        <v>389</v>
      </c>
      <c r="G396" t="s">
        <v>392</v>
      </c>
      <c r="H396" t="s">
        <v>1038</v>
      </c>
      <c r="I396" t="s">
        <v>391</v>
      </c>
      <c r="J396" s="30" t="s">
        <v>71</v>
      </c>
      <c r="K396" s="30" t="s">
        <v>27</v>
      </c>
      <c r="L396" s="30"/>
      <c r="M396" s="30" t="s">
        <v>772</v>
      </c>
      <c r="N396" s="30" t="s">
        <v>2259</v>
      </c>
      <c r="O396" s="31">
        <f t="shared" si="34"/>
        <v>28</v>
      </c>
      <c r="P396" s="136" t="s">
        <v>1928</v>
      </c>
      <c r="Q396" s="31">
        <f t="shared" si="35"/>
        <v>0</v>
      </c>
      <c r="R396" s="32">
        <f t="shared" si="36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ht="15.75" thickBot="1" x14ac:dyDescent="0.3">
      <c r="A397">
        <v>1</v>
      </c>
      <c r="B397">
        <v>18</v>
      </c>
      <c r="C397"/>
      <c r="D397"/>
      <c r="E397" t="s">
        <v>2354</v>
      </c>
      <c r="F397" t="s">
        <v>389</v>
      </c>
      <c r="G397" t="s">
        <v>393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773</v>
      </c>
      <c r="N397" s="30" t="s">
        <v>2259</v>
      </c>
      <c r="O397" s="31">
        <f t="shared" si="34"/>
        <v>28</v>
      </c>
      <c r="P397" s="136" t="s">
        <v>1929</v>
      </c>
      <c r="Q397" s="31">
        <f t="shared" si="35"/>
        <v>0</v>
      </c>
      <c r="R397" s="32">
        <f t="shared" si="36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</row>
    <row r="398" spans="1:49" ht="15.75" thickBot="1" x14ac:dyDescent="0.3">
      <c r="A398">
        <v>1</v>
      </c>
      <c r="B398">
        <v>18</v>
      </c>
      <c r="C398"/>
      <c r="D398"/>
      <c r="E398" t="s">
        <v>2354</v>
      </c>
      <c r="F398" t="s">
        <v>389</v>
      </c>
      <c r="G398" t="s">
        <v>880</v>
      </c>
      <c r="H398" t="s">
        <v>1038</v>
      </c>
      <c r="I398" t="s">
        <v>881</v>
      </c>
      <c r="J398" s="30" t="s">
        <v>18</v>
      </c>
      <c r="K398" s="30" t="s">
        <v>27</v>
      </c>
      <c r="L398" s="137"/>
      <c r="M398" s="30" t="s">
        <v>888</v>
      </c>
      <c r="N398" s="137" t="s">
        <v>2259</v>
      </c>
      <c r="O398" s="139">
        <f t="shared" si="34"/>
        <v>28</v>
      </c>
      <c r="P398" s="140" t="s">
        <v>1936</v>
      </c>
      <c r="Q398" s="139">
        <f t="shared" si="35"/>
        <v>0</v>
      </c>
      <c r="R398" s="141">
        <f t="shared" si="36"/>
        <v>1</v>
      </c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70"/>
      <c r="AD398" s="70"/>
      <c r="AE398" s="138"/>
      <c r="AF398" s="138"/>
      <c r="AG398" s="138"/>
      <c r="AH398" s="138"/>
      <c r="AI398" s="138"/>
      <c r="AJ398" s="138"/>
      <c r="AK398" s="138"/>
      <c r="AL398" s="138"/>
      <c r="AM398" s="138"/>
      <c r="AN398" s="138"/>
      <c r="AO398" s="138"/>
      <c r="AP398" s="138"/>
      <c r="AQ398" s="138"/>
      <c r="AR398" s="138"/>
      <c r="AS398" s="138"/>
      <c r="AT398" s="138"/>
      <c r="AU398" s="138"/>
      <c r="AV398" s="138"/>
    </row>
    <row r="399" spans="1:49" ht="15.75" thickBot="1" x14ac:dyDescent="0.3">
      <c r="A399" s="69">
        <v>1</v>
      </c>
      <c r="B399" s="69">
        <v>18</v>
      </c>
      <c r="C399" s="69"/>
      <c r="D399" s="69"/>
      <c r="E399" s="69" t="s">
        <v>2354</v>
      </c>
      <c r="F399" s="69" t="s">
        <v>389</v>
      </c>
      <c r="G399" t="s">
        <v>882</v>
      </c>
      <c r="H399" t="s">
        <v>1038</v>
      </c>
      <c r="I399" t="s">
        <v>883</v>
      </c>
      <c r="J399" s="30" t="s">
        <v>18</v>
      </c>
      <c r="K399" s="30" t="s">
        <v>27</v>
      </c>
      <c r="L399" s="30"/>
      <c r="M399" s="30" t="s">
        <v>889</v>
      </c>
      <c r="N399" s="30" t="s">
        <v>2259</v>
      </c>
      <c r="O399" s="31">
        <f t="shared" ref="O399:O462" si="37">COUNTIF(S399:AT399,"")</f>
        <v>28</v>
      </c>
      <c r="P399" s="143" t="s">
        <v>1937</v>
      </c>
      <c r="Q399" s="31">
        <f t="shared" ref="Q399:Q462" si="38">COUNTIF(S399:AT399,"APAGADO")</f>
        <v>0</v>
      </c>
      <c r="R399" s="157">
        <f t="shared" ref="R399:R462" si="39">(O399)/(Q399+O399)</f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s="69" customFormat="1" ht="15.75" thickBot="1" x14ac:dyDescent="0.3">
      <c r="A400"/>
      <c r="B400"/>
      <c r="C400"/>
      <c r="D400"/>
      <c r="E400"/>
      <c r="F400" t="s">
        <v>389</v>
      </c>
      <c r="G400" t="s">
        <v>989</v>
      </c>
      <c r="H400" t="s">
        <v>1038</v>
      </c>
      <c r="I400" t="s">
        <v>990</v>
      </c>
      <c r="J400" s="30" t="s">
        <v>18</v>
      </c>
      <c r="K400" s="30" t="s">
        <v>1275</v>
      </c>
      <c r="L400" s="30"/>
      <c r="M400" s="30" t="s">
        <v>1193</v>
      </c>
      <c r="N400" s="30" t="s">
        <v>2259</v>
      </c>
      <c r="O400" s="31">
        <f t="shared" si="37"/>
        <v>28</v>
      </c>
      <c r="P400" s="136" t="s">
        <v>1938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/>
    </row>
    <row r="401" spans="1:49" s="69" customFormat="1" ht="15.75" thickBot="1" x14ac:dyDescent="0.3">
      <c r="A401"/>
      <c r="B401"/>
      <c r="C401"/>
      <c r="D401"/>
      <c r="E401"/>
      <c r="F401" s="73" t="s">
        <v>389</v>
      </c>
      <c r="G401" s="73" t="s">
        <v>1406</v>
      </c>
      <c r="H401" s="73" t="s">
        <v>1038</v>
      </c>
      <c r="I401" s="73" t="s">
        <v>1409</v>
      </c>
      <c r="J401" s="30" t="s">
        <v>18</v>
      </c>
      <c r="K401" s="84" t="s">
        <v>1275</v>
      </c>
      <c r="L401" s="30"/>
      <c r="M401" s="84" t="s">
        <v>2280</v>
      </c>
      <c r="N401" s="84"/>
      <c r="O401" s="131">
        <f t="shared" si="37"/>
        <v>28</v>
      </c>
      <c r="P401" s="136" t="s">
        <v>1939</v>
      </c>
      <c r="Q401" s="131">
        <f t="shared" si="38"/>
        <v>0</v>
      </c>
      <c r="R401" s="132">
        <f t="shared" si="39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3"/>
    </row>
    <row r="402" spans="1:49" ht="15.75" thickBot="1" x14ac:dyDescent="0.3">
      <c r="A402"/>
      <c r="B402"/>
      <c r="C402"/>
      <c r="D402"/>
      <c r="E402"/>
      <c r="F402" t="s">
        <v>389</v>
      </c>
      <c r="G402" t="s">
        <v>1407</v>
      </c>
      <c r="H402" t="s">
        <v>1038</v>
      </c>
      <c r="I402" t="s">
        <v>1409</v>
      </c>
      <c r="J402" s="30" t="s">
        <v>71</v>
      </c>
      <c r="K402" s="30" t="s">
        <v>1275</v>
      </c>
      <c r="L402" s="30"/>
      <c r="M402" s="84" t="s">
        <v>1468</v>
      </c>
      <c r="N402" s="84"/>
      <c r="O402" s="31">
        <f t="shared" si="37"/>
        <v>28</v>
      </c>
      <c r="P402" s="136" t="s">
        <v>1940</v>
      </c>
      <c r="Q402" s="31">
        <f t="shared" si="38"/>
        <v>0</v>
      </c>
      <c r="R402" s="32">
        <f t="shared" si="39"/>
        <v>1</v>
      </c>
      <c r="S402" s="70"/>
      <c r="T402" s="70"/>
      <c r="U402" s="70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70"/>
      <c r="AO402" s="147"/>
      <c r="AP402" s="147"/>
      <c r="AQ402" s="147"/>
      <c r="AR402" s="70"/>
      <c r="AS402" s="147"/>
      <c r="AT402" s="147"/>
      <c r="AU402" s="147"/>
      <c r="AV402" s="147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1408</v>
      </c>
      <c r="H403" t="s">
        <v>1038</v>
      </c>
      <c r="I403" t="s">
        <v>1409</v>
      </c>
      <c r="J403" s="30" t="s">
        <v>71</v>
      </c>
      <c r="K403" s="30" t="s">
        <v>1275</v>
      </c>
      <c r="L403" s="30"/>
      <c r="M403" s="84" t="s">
        <v>1466</v>
      </c>
      <c r="N403" s="84"/>
      <c r="O403" s="31">
        <f t="shared" si="37"/>
        <v>28</v>
      </c>
      <c r="P403" s="136" t="s">
        <v>1941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147"/>
      <c r="AS403" s="147"/>
      <c r="AT403" s="147"/>
      <c r="AU403" s="147"/>
      <c r="AV403" s="147"/>
    </row>
    <row r="404" spans="1:49" ht="15.75" thickBot="1" x14ac:dyDescent="0.3">
      <c r="A404">
        <v>1</v>
      </c>
      <c r="B404">
        <v>18</v>
      </c>
      <c r="C404"/>
      <c r="D404"/>
      <c r="E404" t="s">
        <v>2354</v>
      </c>
      <c r="F404" t="s">
        <v>389</v>
      </c>
      <c r="G404" t="s">
        <v>1592</v>
      </c>
      <c r="H404" t="s">
        <v>1038</v>
      </c>
      <c r="I404" t="s">
        <v>2249</v>
      </c>
      <c r="J404" s="30" t="s">
        <v>18</v>
      </c>
      <c r="K404" s="30" t="s">
        <v>27</v>
      </c>
      <c r="L404" s="30"/>
      <c r="M404" s="84" t="s">
        <v>1593</v>
      </c>
      <c r="N404" s="84"/>
      <c r="O404" s="31">
        <f t="shared" si="37"/>
        <v>28</v>
      </c>
      <c r="P404" s="136" t="s">
        <v>2396</v>
      </c>
      <c r="Q404" s="136" t="s">
        <v>2397</v>
      </c>
      <c r="R404" s="136" t="s">
        <v>2398</v>
      </c>
      <c r="S404" s="136"/>
      <c r="T404" s="136"/>
      <c r="U404" s="136"/>
      <c r="V404" s="136"/>
      <c r="W404" s="136"/>
      <c r="X404" s="136"/>
      <c r="Y404" s="70"/>
      <c r="Z404" s="70"/>
      <c r="AA404" s="147"/>
      <c r="AB404" s="147"/>
      <c r="AC404" s="147"/>
      <c r="AD404" s="70"/>
      <c r="AE404" s="70"/>
      <c r="AF404" s="70"/>
      <c r="AG404" s="142"/>
      <c r="AH404" s="70"/>
      <c r="AI404" s="70"/>
      <c r="AJ404" s="147"/>
      <c r="AK404" s="147"/>
      <c r="AL404" s="70"/>
      <c r="AM404" s="70"/>
      <c r="AN404" s="70"/>
      <c r="AO404" s="70"/>
      <c r="AP404" s="70"/>
      <c r="AQ404" s="147"/>
      <c r="AR404" s="147"/>
      <c r="AS404" s="147"/>
      <c r="AT404" s="147"/>
      <c r="AU404" s="147"/>
      <c r="AV404" s="129"/>
      <c r="AW404" s="73"/>
    </row>
    <row r="405" spans="1:49" ht="15.75" thickBot="1" x14ac:dyDescent="0.3">
      <c r="A405"/>
      <c r="B405"/>
      <c r="C405"/>
      <c r="D405"/>
      <c r="E405"/>
      <c r="F405" t="s">
        <v>389</v>
      </c>
      <c r="G405" t="s">
        <v>2209</v>
      </c>
      <c r="H405" t="s">
        <v>1038</v>
      </c>
      <c r="I405" t="s">
        <v>2210</v>
      </c>
      <c r="J405" s="30" t="s">
        <v>18</v>
      </c>
      <c r="K405" s="84" t="s">
        <v>1275</v>
      </c>
      <c r="L405" s="30"/>
      <c r="M405" s="84" t="s">
        <v>2281</v>
      </c>
      <c r="N405" s="84"/>
      <c r="O405" s="31">
        <f t="shared" si="37"/>
        <v>28</v>
      </c>
      <c r="P405" s="136" t="s">
        <v>2399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70"/>
      <c r="Y405" s="70"/>
      <c r="Z405" s="70"/>
      <c r="AA405" s="147"/>
      <c r="AB405" s="147"/>
      <c r="AC405" s="147"/>
      <c r="AD405" s="147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70"/>
      <c r="AT405" s="147"/>
      <c r="AU405" s="147"/>
      <c r="AV405" s="70"/>
    </row>
    <row r="406" spans="1:49" ht="15.75" thickBot="1" x14ac:dyDescent="0.3">
      <c r="A406" s="88"/>
      <c r="B406" s="88"/>
      <c r="C406" s="88"/>
      <c r="D406" s="88"/>
      <c r="E406" s="88"/>
      <c r="F406" s="88" t="s">
        <v>389</v>
      </c>
      <c r="G406" t="s">
        <v>394</v>
      </c>
      <c r="H406" t="s">
        <v>1038</v>
      </c>
      <c r="I406" t="s">
        <v>395</v>
      </c>
      <c r="J406" s="30" t="s">
        <v>14</v>
      </c>
      <c r="K406" s="30" t="s">
        <v>1275</v>
      </c>
      <c r="L406" s="89"/>
      <c r="M406" s="30" t="s">
        <v>2473</v>
      </c>
      <c r="N406" s="89"/>
      <c r="O406" s="31">
        <f t="shared" si="37"/>
        <v>28</v>
      </c>
      <c r="P406" s="136"/>
      <c r="Q406" s="31">
        <f t="shared" si="38"/>
        <v>0</v>
      </c>
      <c r="R406" s="32">
        <f t="shared" si="39"/>
        <v>1</v>
      </c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70"/>
      <c r="AJ406" s="70"/>
      <c r="AK406" s="70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</row>
    <row r="407" spans="1:49" ht="15.75" thickBot="1" x14ac:dyDescent="0.3">
      <c r="A407" s="69">
        <v>1</v>
      </c>
      <c r="B407" s="69">
        <v>18</v>
      </c>
      <c r="C407" s="69"/>
      <c r="D407" s="69"/>
      <c r="E407" s="69" t="s">
        <v>2354</v>
      </c>
      <c r="F407" s="69" t="s">
        <v>396</v>
      </c>
      <c r="G407" t="s">
        <v>397</v>
      </c>
      <c r="H407" t="s">
        <v>1038</v>
      </c>
      <c r="I407" t="s">
        <v>398</v>
      </c>
      <c r="J407" s="30" t="s">
        <v>71</v>
      </c>
      <c r="K407" s="30" t="s">
        <v>27</v>
      </c>
      <c r="L407" s="137"/>
      <c r="M407" s="30" t="s">
        <v>774</v>
      </c>
      <c r="N407" s="137" t="s">
        <v>2259</v>
      </c>
      <c r="O407" s="139">
        <f t="shared" si="37"/>
        <v>28</v>
      </c>
      <c r="P407" s="143" t="s">
        <v>1930</v>
      </c>
      <c r="Q407" s="139">
        <f t="shared" si="38"/>
        <v>0</v>
      </c>
      <c r="R407" s="141">
        <f t="shared" si="39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2354</v>
      </c>
      <c r="F408" s="69" t="s">
        <v>396</v>
      </c>
      <c r="G408" t="s">
        <v>399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775</v>
      </c>
      <c r="N408" s="137" t="s">
        <v>2259</v>
      </c>
      <c r="O408" s="139">
        <f t="shared" si="37"/>
        <v>28</v>
      </c>
      <c r="P408" s="143" t="s">
        <v>1931</v>
      </c>
      <c r="Q408" s="139">
        <f t="shared" si="38"/>
        <v>0</v>
      </c>
      <c r="R408" s="141">
        <f t="shared" si="39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s="73" customFormat="1" ht="15.75" thickBot="1" x14ac:dyDescent="0.3">
      <c r="A409">
        <v>1</v>
      </c>
      <c r="B409">
        <v>18</v>
      </c>
      <c r="C409"/>
      <c r="D409"/>
      <c r="E409" t="s">
        <v>2354</v>
      </c>
      <c r="F409" t="s">
        <v>389</v>
      </c>
      <c r="G409" t="s">
        <v>400</v>
      </c>
      <c r="H409" t="s">
        <v>1038</v>
      </c>
      <c r="I409" t="s">
        <v>401</v>
      </c>
      <c r="J409" s="30" t="s">
        <v>71</v>
      </c>
      <c r="K409" s="30" t="s">
        <v>27</v>
      </c>
      <c r="L409" s="30"/>
      <c r="M409" s="30" t="s">
        <v>776</v>
      </c>
      <c r="N409" s="30" t="s">
        <v>2259</v>
      </c>
      <c r="O409" s="31">
        <f t="shared" si="37"/>
        <v>28</v>
      </c>
      <c r="P409" s="136" t="s">
        <v>1932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148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149"/>
    </row>
    <row r="410" spans="1:49" ht="15.75" thickBot="1" x14ac:dyDescent="0.3">
      <c r="A410">
        <v>1</v>
      </c>
      <c r="B410">
        <v>18</v>
      </c>
      <c r="C410"/>
      <c r="D410"/>
      <c r="E410" t="s">
        <v>2354</v>
      </c>
      <c r="F410" t="s">
        <v>389</v>
      </c>
      <c r="G410" t="s">
        <v>402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777</v>
      </c>
      <c r="N410" s="30" t="s">
        <v>2259</v>
      </c>
      <c r="O410" s="31">
        <f t="shared" si="37"/>
        <v>28</v>
      </c>
      <c r="P410" s="136" t="s">
        <v>1933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3"/>
    </row>
    <row r="411" spans="1:49" ht="15.75" thickBot="1" x14ac:dyDescent="0.3">
      <c r="A411">
        <v>1</v>
      </c>
      <c r="B411">
        <v>18</v>
      </c>
      <c r="C411"/>
      <c r="D411"/>
      <c r="E411" t="s">
        <v>2354</v>
      </c>
      <c r="F411" t="s">
        <v>389</v>
      </c>
      <c r="G411" t="s">
        <v>403</v>
      </c>
      <c r="H411" t="s">
        <v>1038</v>
      </c>
      <c r="I411" t="s">
        <v>404</v>
      </c>
      <c r="J411" s="30" t="s">
        <v>71</v>
      </c>
      <c r="K411" s="30" t="s">
        <v>27</v>
      </c>
      <c r="L411" s="30"/>
      <c r="M411" s="30" t="s">
        <v>778</v>
      </c>
      <c r="N411" s="30" t="s">
        <v>2259</v>
      </c>
      <c r="O411" s="31">
        <f t="shared" si="37"/>
        <v>28</v>
      </c>
      <c r="P411" s="136" t="s">
        <v>1934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69"/>
    </row>
    <row r="412" spans="1:49" ht="15.75" thickBot="1" x14ac:dyDescent="0.3">
      <c r="A412">
        <v>1</v>
      </c>
      <c r="B412">
        <v>18</v>
      </c>
      <c r="C412"/>
      <c r="D412"/>
      <c r="E412" t="s">
        <v>2354</v>
      </c>
      <c r="F412" t="s">
        <v>389</v>
      </c>
      <c r="G412" t="s">
        <v>405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779</v>
      </c>
      <c r="N412" s="30" t="s">
        <v>2259</v>
      </c>
      <c r="O412" s="31">
        <f t="shared" si="37"/>
        <v>28</v>
      </c>
      <c r="P412" s="136" t="s">
        <v>1935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0"/>
      <c r="Y412" s="70"/>
      <c r="Z412" s="70"/>
      <c r="AA412" s="71"/>
      <c r="AB412" s="71"/>
      <c r="AC412" s="71"/>
      <c r="AD412" s="70"/>
      <c r="AE412" s="70"/>
      <c r="AF412" s="70"/>
      <c r="AG412" s="142"/>
      <c r="AH412" s="70"/>
      <c r="AI412" s="70"/>
      <c r="AJ412" s="71"/>
      <c r="AK412" s="71"/>
      <c r="AL412" s="70"/>
      <c r="AM412" s="70"/>
      <c r="AN412" s="70"/>
      <c r="AO412" s="70"/>
      <c r="AP412" s="70"/>
      <c r="AQ412" s="71"/>
      <c r="AR412" s="71"/>
      <c r="AS412" s="71"/>
      <c r="AT412" s="71"/>
      <c r="AU412" s="71"/>
      <c r="AV412" s="70"/>
    </row>
    <row r="413" spans="1:49" ht="15.75" thickBot="1" x14ac:dyDescent="0.3">
      <c r="A413" s="69"/>
      <c r="B413" s="69"/>
      <c r="C413" s="69"/>
      <c r="D413" s="69"/>
      <c r="E413" s="69"/>
      <c r="F413" s="69" t="s">
        <v>183</v>
      </c>
      <c r="G413" s="69" t="s">
        <v>406</v>
      </c>
      <c r="H413" s="69" t="s">
        <v>1039</v>
      </c>
      <c r="I413" s="69" t="s">
        <v>407</v>
      </c>
      <c r="J413" s="137" t="s">
        <v>14</v>
      </c>
      <c r="K413" s="137" t="s">
        <v>19</v>
      </c>
      <c r="L413" s="137"/>
      <c r="M413" s="137" t="s">
        <v>781</v>
      </c>
      <c r="N413" s="137"/>
      <c r="O413" s="139">
        <f t="shared" si="37"/>
        <v>24</v>
      </c>
      <c r="P413" s="140"/>
      <c r="Q413" s="139">
        <f t="shared" si="38"/>
        <v>4</v>
      </c>
      <c r="R413" s="141">
        <f t="shared" si="39"/>
        <v>0.8571428571428571</v>
      </c>
      <c r="S413" s="70" t="s">
        <v>2215</v>
      </c>
      <c r="T413" s="70" t="s">
        <v>2215</v>
      </c>
      <c r="U413" s="70" t="s">
        <v>2215</v>
      </c>
      <c r="V413" s="70"/>
      <c r="W413" s="70"/>
      <c r="X413" s="70" t="s">
        <v>2215</v>
      </c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148"/>
      <c r="AR413" s="70"/>
      <c r="AS413" s="70"/>
      <c r="AT413" s="70"/>
      <c r="AU413" s="70"/>
      <c r="AV413" s="70"/>
    </row>
    <row r="414" spans="1:49" s="69" customFormat="1" ht="15.75" thickBot="1" x14ac:dyDescent="0.3">
      <c r="A414"/>
      <c r="B414"/>
      <c r="C414"/>
      <c r="D414"/>
      <c r="E414"/>
      <c r="F414" s="73" t="s">
        <v>183</v>
      </c>
      <c r="G414" s="73" t="s">
        <v>408</v>
      </c>
      <c r="H414" s="73" t="s">
        <v>1039</v>
      </c>
      <c r="I414" s="73" t="s">
        <v>409</v>
      </c>
      <c r="J414" s="84" t="s">
        <v>14</v>
      </c>
      <c r="K414" s="84" t="s">
        <v>1275</v>
      </c>
      <c r="L414" s="84"/>
      <c r="M414" s="84" t="s">
        <v>1403</v>
      </c>
      <c r="N414" s="84"/>
      <c r="O414" s="131">
        <f t="shared" si="37"/>
        <v>27</v>
      </c>
      <c r="P414" s="136" t="s">
        <v>1942</v>
      </c>
      <c r="Q414" s="131">
        <f t="shared" si="38"/>
        <v>1</v>
      </c>
      <c r="R414" s="132">
        <f t="shared" si="39"/>
        <v>0.9642857142857143</v>
      </c>
      <c r="S414" s="70"/>
      <c r="T414" s="70"/>
      <c r="U414" s="70"/>
      <c r="V414" s="70"/>
      <c r="W414" s="70"/>
      <c r="X414" s="70" t="s">
        <v>2215</v>
      </c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3"/>
    </row>
    <row r="415" spans="1:49" s="73" customFormat="1" ht="15.75" thickBot="1" x14ac:dyDescent="0.3">
      <c r="A415"/>
      <c r="B415"/>
      <c r="C415"/>
      <c r="D415"/>
      <c r="E415"/>
      <c r="F415" t="s">
        <v>183</v>
      </c>
      <c r="G415" t="s">
        <v>991</v>
      </c>
      <c r="H415" t="s">
        <v>1039</v>
      </c>
      <c r="I415" t="s">
        <v>992</v>
      </c>
      <c r="J415" s="30" t="s">
        <v>71</v>
      </c>
      <c r="K415" s="30" t="s">
        <v>19</v>
      </c>
      <c r="L415" s="30"/>
      <c r="M415" s="30" t="s">
        <v>1255</v>
      </c>
      <c r="N415" s="30"/>
      <c r="O415" s="31">
        <f t="shared" si="37"/>
        <v>28</v>
      </c>
      <c r="P415" s="136" t="s">
        <v>2400</v>
      </c>
      <c r="Q415" s="31">
        <f t="shared" si="38"/>
        <v>0</v>
      </c>
      <c r="R415" s="32">
        <f t="shared" si="39"/>
        <v>1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/>
      <c r="F416" t="s">
        <v>183</v>
      </c>
      <c r="G416" t="s">
        <v>993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1371</v>
      </c>
      <c r="N416" s="30"/>
      <c r="O416" s="31">
        <f t="shared" si="37"/>
        <v>28</v>
      </c>
      <c r="P416" s="136" t="s">
        <v>2401</v>
      </c>
      <c r="Q416" s="31">
        <f t="shared" si="38"/>
        <v>0</v>
      </c>
      <c r="R416" s="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3"/>
    </row>
    <row r="417" spans="1:49" ht="15.75" thickBot="1" x14ac:dyDescent="0.3">
      <c r="A417"/>
      <c r="B417"/>
      <c r="C417"/>
      <c r="D417"/>
      <c r="E417"/>
      <c r="F417" s="73" t="s">
        <v>183</v>
      </c>
      <c r="G417" s="73" t="s">
        <v>410</v>
      </c>
      <c r="H417" s="73" t="s">
        <v>1039</v>
      </c>
      <c r="I417" s="73" t="s">
        <v>411</v>
      </c>
      <c r="J417" s="84" t="s">
        <v>18</v>
      </c>
      <c r="K417" s="30" t="s">
        <v>1032</v>
      </c>
      <c r="L417" s="84"/>
      <c r="M417" s="84" t="s">
        <v>1404</v>
      </c>
      <c r="N417" s="84"/>
      <c r="O417" s="85">
        <f t="shared" si="37"/>
        <v>24</v>
      </c>
      <c r="P417" s="136" t="s">
        <v>1943</v>
      </c>
      <c r="Q417" s="85">
        <f t="shared" si="38"/>
        <v>4</v>
      </c>
      <c r="R417" s="86">
        <f t="shared" si="39"/>
        <v>0.8571428571428571</v>
      </c>
      <c r="S417" s="70" t="s">
        <v>2215</v>
      </c>
      <c r="T417" s="70" t="s">
        <v>2215</v>
      </c>
      <c r="U417" s="70" t="s">
        <v>2215</v>
      </c>
      <c r="V417" s="70"/>
      <c r="W417" s="70"/>
      <c r="X417" s="70" t="s">
        <v>2215</v>
      </c>
      <c r="Y417" s="87"/>
      <c r="Z417" s="70"/>
      <c r="AA417" s="70"/>
      <c r="AB417" s="70"/>
      <c r="AC417" s="70"/>
      <c r="AD417" s="70"/>
      <c r="AE417" s="87"/>
      <c r="AF417" s="87"/>
      <c r="AG417" s="87"/>
      <c r="AH417" s="70"/>
      <c r="AI417" s="70"/>
      <c r="AJ417" s="70"/>
      <c r="AK417" s="70"/>
      <c r="AL417" s="87"/>
      <c r="AM417" s="87"/>
      <c r="AN417" s="70"/>
      <c r="AO417" s="70"/>
      <c r="AP417" s="87"/>
      <c r="AQ417" s="87"/>
      <c r="AR417" s="70"/>
      <c r="AS417" s="87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412</v>
      </c>
      <c r="H418" t="s">
        <v>1039</v>
      </c>
      <c r="I418" t="s">
        <v>413</v>
      </c>
      <c r="J418" s="30" t="s">
        <v>18</v>
      </c>
      <c r="K418" s="30" t="s">
        <v>19</v>
      </c>
      <c r="L418" s="30"/>
      <c r="M418" s="30" t="s">
        <v>780</v>
      </c>
      <c r="N418" s="30"/>
      <c r="O418" s="31">
        <f t="shared" si="37"/>
        <v>28</v>
      </c>
      <c r="P418" s="136" t="s">
        <v>1847</v>
      </c>
      <c r="Q418" s="31">
        <f t="shared" si="38"/>
        <v>0</v>
      </c>
      <c r="R418" s="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 s="150" t="s">
        <v>2433</v>
      </c>
      <c r="F419" t="s">
        <v>183</v>
      </c>
      <c r="G419" t="s">
        <v>414</v>
      </c>
      <c r="H419" t="s">
        <v>1039</v>
      </c>
      <c r="I419" t="s">
        <v>415</v>
      </c>
      <c r="J419" s="30" t="s">
        <v>71</v>
      </c>
      <c r="K419" s="30" t="s">
        <v>2361</v>
      </c>
      <c r="L419" s="30"/>
      <c r="M419" s="30" t="s">
        <v>783</v>
      </c>
      <c r="N419" s="30"/>
      <c r="O419" s="31">
        <f t="shared" si="37"/>
        <v>24</v>
      </c>
      <c r="P419" s="136" t="s">
        <v>1944</v>
      </c>
      <c r="Q419" s="31">
        <f t="shared" si="38"/>
        <v>4</v>
      </c>
      <c r="R419" s="32">
        <f t="shared" si="39"/>
        <v>0.8571428571428571</v>
      </c>
      <c r="S419" s="70" t="s">
        <v>2215</v>
      </c>
      <c r="T419" s="70" t="s">
        <v>2215</v>
      </c>
      <c r="U419" s="70" t="s">
        <v>2215</v>
      </c>
      <c r="V419" s="70"/>
      <c r="W419" s="70"/>
      <c r="X419" s="70" t="s">
        <v>2215</v>
      </c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2433</v>
      </c>
      <c r="F420" t="s">
        <v>183</v>
      </c>
      <c r="G420" t="s">
        <v>416</v>
      </c>
      <c r="H420" t="s">
        <v>1039</v>
      </c>
      <c r="I420" t="s">
        <v>415</v>
      </c>
      <c r="J420" s="30" t="s">
        <v>71</v>
      </c>
      <c r="K420" s="30" t="s">
        <v>2361</v>
      </c>
      <c r="L420" s="30"/>
      <c r="M420" s="30" t="s">
        <v>784</v>
      </c>
      <c r="N420" s="30"/>
      <c r="O420" s="31">
        <f t="shared" si="37"/>
        <v>24</v>
      </c>
      <c r="P420" s="136" t="s">
        <v>1945</v>
      </c>
      <c r="Q420" s="31">
        <f t="shared" si="38"/>
        <v>4</v>
      </c>
      <c r="R420" s="32">
        <f t="shared" si="39"/>
        <v>0.8571428571428571</v>
      </c>
      <c r="S420" s="70" t="s">
        <v>2215</v>
      </c>
      <c r="T420" s="70" t="s">
        <v>2215</v>
      </c>
      <c r="U420" s="70" t="s">
        <v>2215</v>
      </c>
      <c r="V420" s="70"/>
      <c r="W420" s="70"/>
      <c r="X420" s="70" t="s">
        <v>2215</v>
      </c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2433</v>
      </c>
      <c r="F421" s="73" t="s">
        <v>183</v>
      </c>
      <c r="G421" s="73" t="s">
        <v>417</v>
      </c>
      <c r="H421" s="73" t="s">
        <v>1039</v>
      </c>
      <c r="I421" s="73" t="s">
        <v>418</v>
      </c>
      <c r="J421" s="84" t="s">
        <v>71</v>
      </c>
      <c r="K421" s="84" t="s">
        <v>1275</v>
      </c>
      <c r="L421" s="84"/>
      <c r="M421" s="84" t="s">
        <v>785</v>
      </c>
      <c r="N421" s="84"/>
      <c r="O421" s="131">
        <f t="shared" si="37"/>
        <v>27</v>
      </c>
      <c r="P421" s="136" t="s">
        <v>1946</v>
      </c>
      <c r="Q421" s="131">
        <f t="shared" si="38"/>
        <v>1</v>
      </c>
      <c r="R421" s="132">
        <f t="shared" si="39"/>
        <v>0.9642857142857143</v>
      </c>
      <c r="S421" s="70"/>
      <c r="T421" s="70"/>
      <c r="U421" s="70"/>
      <c r="V421" s="70"/>
      <c r="W421" s="70"/>
      <c r="X421" s="70" t="s">
        <v>2215</v>
      </c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s="73" customFormat="1" ht="15.75" thickBot="1" x14ac:dyDescent="0.3">
      <c r="A422"/>
      <c r="B422"/>
      <c r="C422"/>
      <c r="D422"/>
      <c r="E422" s="150" t="s">
        <v>2433</v>
      </c>
      <c r="F422" s="73" t="s">
        <v>183</v>
      </c>
      <c r="G422" s="73" t="s">
        <v>419</v>
      </c>
      <c r="H422" s="73" t="s">
        <v>1039</v>
      </c>
      <c r="I422" s="73" t="s">
        <v>418</v>
      </c>
      <c r="J422" s="84" t="s">
        <v>71</v>
      </c>
      <c r="K422" s="84" t="s">
        <v>1275</v>
      </c>
      <c r="L422" s="84"/>
      <c r="M422" s="84" t="s">
        <v>786</v>
      </c>
      <c r="N422" s="84"/>
      <c r="O422" s="131">
        <f t="shared" si="37"/>
        <v>27</v>
      </c>
      <c r="P422" s="136" t="s">
        <v>1947</v>
      </c>
      <c r="Q422" s="131">
        <f t="shared" si="38"/>
        <v>1</v>
      </c>
      <c r="R422" s="132">
        <f t="shared" si="39"/>
        <v>0.9642857142857143</v>
      </c>
      <c r="S422" s="70"/>
      <c r="T422" s="70"/>
      <c r="U422" s="70"/>
      <c r="V422" s="70"/>
      <c r="W422" s="70"/>
      <c r="X422" s="70" t="s">
        <v>2215</v>
      </c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7.25" customHeight="1" thickBot="1" x14ac:dyDescent="0.3">
      <c r="A423"/>
      <c r="B423"/>
      <c r="C423"/>
      <c r="D423"/>
      <c r="E423"/>
      <c r="F423" s="73" t="s">
        <v>183</v>
      </c>
      <c r="G423" s="73" t="s">
        <v>1509</v>
      </c>
      <c r="H423" s="73" t="s">
        <v>1039</v>
      </c>
      <c r="I423" s="73" t="s">
        <v>1510</v>
      </c>
      <c r="J423" s="84" t="s">
        <v>71</v>
      </c>
      <c r="K423" s="84" t="s">
        <v>1275</v>
      </c>
      <c r="L423" s="84"/>
      <c r="M423" s="84" t="s">
        <v>2294</v>
      </c>
      <c r="N423" s="84"/>
      <c r="O423" s="131">
        <f t="shared" si="37"/>
        <v>28</v>
      </c>
      <c r="P423" s="136" t="s">
        <v>2296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183</v>
      </c>
      <c r="G424" s="73" t="s">
        <v>1511</v>
      </c>
      <c r="H424" s="73" t="s">
        <v>1039</v>
      </c>
      <c r="I424" s="73" t="s">
        <v>1510</v>
      </c>
      <c r="J424" s="84" t="s">
        <v>71</v>
      </c>
      <c r="K424" s="84" t="s">
        <v>1275</v>
      </c>
      <c r="L424" s="84"/>
      <c r="M424" s="84" t="s">
        <v>2295</v>
      </c>
      <c r="N424" s="84"/>
      <c r="O424" s="131">
        <f t="shared" si="37"/>
        <v>28</v>
      </c>
      <c r="P424" s="136" t="s">
        <v>2297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1588</v>
      </c>
      <c r="H425" s="73" t="s">
        <v>1039</v>
      </c>
      <c r="I425" s="73" t="s">
        <v>1589</v>
      </c>
      <c r="J425" s="84" t="s">
        <v>71</v>
      </c>
      <c r="K425" s="84" t="s">
        <v>1275</v>
      </c>
      <c r="L425" s="84"/>
      <c r="M425" s="84" t="s">
        <v>1590</v>
      </c>
      <c r="N425" s="84"/>
      <c r="O425" s="131">
        <f t="shared" si="37"/>
        <v>28</v>
      </c>
      <c r="P425" s="136" t="s">
        <v>2097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2094</v>
      </c>
      <c r="H426" s="73" t="s">
        <v>1039</v>
      </c>
      <c r="I426" s="73" t="s">
        <v>2095</v>
      </c>
      <c r="J426" s="89" t="s">
        <v>18</v>
      </c>
      <c r="K426" s="84" t="s">
        <v>1275</v>
      </c>
      <c r="L426" s="84"/>
      <c r="M426" s="84" t="s">
        <v>2282</v>
      </c>
      <c r="N426" s="84"/>
      <c r="O426" s="131">
        <f t="shared" si="37"/>
        <v>26</v>
      </c>
      <c r="P426" s="136" t="s">
        <v>2096</v>
      </c>
      <c r="Q426" s="131">
        <f t="shared" si="38"/>
        <v>2</v>
      </c>
      <c r="R426" s="132">
        <f t="shared" si="39"/>
        <v>0.9285714285714286</v>
      </c>
      <c r="S426" s="70"/>
      <c r="T426" s="70" t="s">
        <v>2215</v>
      </c>
      <c r="U426" s="70" t="s">
        <v>2215</v>
      </c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 s="88"/>
      <c r="B427" s="88"/>
      <c r="C427" s="88"/>
      <c r="D427" s="88"/>
      <c r="E427" s="88"/>
      <c r="F427" s="73" t="s">
        <v>2202</v>
      </c>
      <c r="G427" s="73" t="s">
        <v>421</v>
      </c>
      <c r="H427" s="88" t="s">
        <v>1039</v>
      </c>
      <c r="I427" s="73" t="s">
        <v>422</v>
      </c>
      <c r="J427" s="89" t="s">
        <v>18</v>
      </c>
      <c r="K427" s="84" t="s">
        <v>1275</v>
      </c>
      <c r="L427" s="84"/>
      <c r="M427" s="84" t="s">
        <v>2143</v>
      </c>
      <c r="N427" s="84"/>
      <c r="O427" s="31">
        <f t="shared" si="37"/>
        <v>28</v>
      </c>
      <c r="P427" s="136" t="s">
        <v>2144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90"/>
      <c r="AL427" s="90"/>
      <c r="AM427" s="70"/>
      <c r="AN427" s="90"/>
      <c r="AO427" s="90"/>
      <c r="AP427" s="90"/>
      <c r="AQ427" s="90"/>
      <c r="AR427" s="90"/>
      <c r="AS427" s="90"/>
      <c r="AT427" s="90"/>
      <c r="AU427" s="90"/>
      <c r="AV427" s="9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2202</v>
      </c>
      <c r="G428" s="73" t="s">
        <v>1326</v>
      </c>
      <c r="H428" s="73" t="s">
        <v>1039</v>
      </c>
      <c r="I428" s="73" t="s">
        <v>1327</v>
      </c>
      <c r="J428" s="89" t="s">
        <v>18</v>
      </c>
      <c r="K428" s="84" t="s">
        <v>1275</v>
      </c>
      <c r="L428" s="84"/>
      <c r="M428" s="84" t="s">
        <v>1387</v>
      </c>
      <c r="N428" s="84"/>
      <c r="O428" s="131">
        <f t="shared" si="37"/>
        <v>28</v>
      </c>
      <c r="P428" s="136" t="s">
        <v>1948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2202</v>
      </c>
      <c r="G429" s="73" t="s">
        <v>1375</v>
      </c>
      <c r="H429" s="73" t="s">
        <v>1039</v>
      </c>
      <c r="I429" s="73" t="s">
        <v>1376</v>
      </c>
      <c r="J429" s="89" t="s">
        <v>18</v>
      </c>
      <c r="K429" s="84" t="s">
        <v>1275</v>
      </c>
      <c r="L429" s="84"/>
      <c r="M429" s="84" t="s">
        <v>1377</v>
      </c>
      <c r="N429" s="84"/>
      <c r="O429" s="131">
        <f t="shared" si="37"/>
        <v>28</v>
      </c>
      <c r="P429" s="136" t="s">
        <v>1949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2202</v>
      </c>
      <c r="G430" s="73" t="s">
        <v>2198</v>
      </c>
      <c r="H430" s="73" t="s">
        <v>1039</v>
      </c>
      <c r="I430" s="73" t="s">
        <v>2199</v>
      </c>
      <c r="J430" s="89" t="s">
        <v>18</v>
      </c>
      <c r="K430" s="84" t="s">
        <v>1275</v>
      </c>
      <c r="L430" s="84"/>
      <c r="M430" s="84" t="s">
        <v>2200</v>
      </c>
      <c r="N430" s="84"/>
      <c r="O430" s="131">
        <f t="shared" si="37"/>
        <v>28</v>
      </c>
      <c r="P430" s="136" t="s">
        <v>2201</v>
      </c>
      <c r="Q430" s="131">
        <f t="shared" si="38"/>
        <v>0</v>
      </c>
      <c r="R430" s="132">
        <f t="shared" si="39"/>
        <v>1</v>
      </c>
      <c r="S430" s="70"/>
      <c r="T430" s="70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</row>
    <row r="431" spans="1:49" ht="15.75" thickBot="1" x14ac:dyDescent="0.3">
      <c r="A431" s="88"/>
      <c r="B431" s="88"/>
      <c r="C431" s="88"/>
      <c r="D431" s="88"/>
      <c r="E431" s="88"/>
      <c r="F431" s="88" t="s">
        <v>425</v>
      </c>
      <c r="G431" t="s">
        <v>423</v>
      </c>
      <c r="H431" t="s">
        <v>1039</v>
      </c>
      <c r="I431" t="s">
        <v>424</v>
      </c>
      <c r="J431" s="30" t="s">
        <v>18</v>
      </c>
      <c r="K431" s="30" t="s">
        <v>1275</v>
      </c>
      <c r="L431" s="89"/>
      <c r="M431" s="30" t="s">
        <v>2477</v>
      </c>
      <c r="N431" s="89"/>
      <c r="O431" s="31">
        <f t="shared" si="37"/>
        <v>28</v>
      </c>
      <c r="P431" s="136" t="s">
        <v>2478</v>
      </c>
      <c r="Q431" s="31">
        <f t="shared" si="38"/>
        <v>0</v>
      </c>
      <c r="R431" s="32">
        <f t="shared" si="39"/>
        <v>1</v>
      </c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  <c r="AI431" s="138"/>
      <c r="AJ431" s="138"/>
      <c r="AK431" s="138"/>
      <c r="AL431" s="138"/>
      <c r="AM431" s="138"/>
      <c r="AN431" s="70"/>
      <c r="AO431" s="70"/>
      <c r="AR431" s="138"/>
      <c r="AS431" s="138"/>
      <c r="AT431" s="138"/>
      <c r="AU431" s="138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426</v>
      </c>
      <c r="H432" s="73" t="s">
        <v>1039</v>
      </c>
      <c r="I432" s="73" t="s">
        <v>427</v>
      </c>
      <c r="J432" s="84" t="s">
        <v>45</v>
      </c>
      <c r="K432" s="84" t="s">
        <v>1275</v>
      </c>
      <c r="L432" s="84"/>
      <c r="M432" s="84" t="s">
        <v>1347</v>
      </c>
      <c r="N432" s="84"/>
      <c r="O432" s="131">
        <f t="shared" si="37"/>
        <v>28</v>
      </c>
      <c r="P432" s="136" t="s">
        <v>1952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 t="s">
        <v>2341</v>
      </c>
      <c r="F433" t="s">
        <v>425</v>
      </c>
      <c r="G433" t="s">
        <v>428</v>
      </c>
      <c r="H433" t="s">
        <v>1039</v>
      </c>
      <c r="I433" t="s">
        <v>429</v>
      </c>
      <c r="J433" s="30" t="s">
        <v>14</v>
      </c>
      <c r="K433" s="30" t="s">
        <v>27</v>
      </c>
      <c r="L433" s="30"/>
      <c r="M433" s="30" t="s">
        <v>788</v>
      </c>
      <c r="N433" s="30"/>
      <c r="O433" s="31">
        <f t="shared" si="37"/>
        <v>28</v>
      </c>
      <c r="P433" s="136" t="s">
        <v>2402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88" customFormat="1" ht="15.75" thickBot="1" x14ac:dyDescent="0.3">
      <c r="A434"/>
      <c r="B434"/>
      <c r="C434"/>
      <c r="D434"/>
      <c r="E434"/>
      <c r="F434" s="73" t="s">
        <v>425</v>
      </c>
      <c r="G434" s="73" t="s">
        <v>430</v>
      </c>
      <c r="H434" s="73" t="s">
        <v>1039</v>
      </c>
      <c r="I434" s="73" t="s">
        <v>431</v>
      </c>
      <c r="J434" s="84" t="s">
        <v>14</v>
      </c>
      <c r="K434" s="84" t="s">
        <v>1275</v>
      </c>
      <c r="L434" s="84"/>
      <c r="M434" s="84" t="s">
        <v>789</v>
      </c>
      <c r="N434" s="84"/>
      <c r="O434" s="131">
        <f t="shared" si="37"/>
        <v>24</v>
      </c>
      <c r="P434" s="136" t="s">
        <v>1954</v>
      </c>
      <c r="Q434" s="131">
        <f t="shared" si="38"/>
        <v>4</v>
      </c>
      <c r="R434" s="132">
        <f t="shared" si="39"/>
        <v>0.8571428571428571</v>
      </c>
      <c r="S434" s="70" t="s">
        <v>2215</v>
      </c>
      <c r="T434" s="70" t="s">
        <v>2215</v>
      </c>
      <c r="U434" s="70" t="s">
        <v>2215</v>
      </c>
      <c r="V434" s="70"/>
      <c r="W434" s="70"/>
      <c r="X434" s="70" t="s">
        <v>2215</v>
      </c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73" customFormat="1" ht="15.75" thickBot="1" x14ac:dyDescent="0.3">
      <c r="A435"/>
      <c r="B435"/>
      <c r="C435"/>
      <c r="D435"/>
      <c r="E435" s="150" t="s">
        <v>2448</v>
      </c>
      <c r="F435" t="s">
        <v>1100</v>
      </c>
      <c r="G435" t="s">
        <v>1101</v>
      </c>
      <c r="H435" t="s">
        <v>1039</v>
      </c>
      <c r="I435" t="s">
        <v>1102</v>
      </c>
      <c r="J435" s="30" t="s">
        <v>1090</v>
      </c>
      <c r="K435" s="30" t="s">
        <v>2361</v>
      </c>
      <c r="L435" s="30"/>
      <c r="M435" s="30" t="s">
        <v>1114</v>
      </c>
      <c r="N435" s="30"/>
      <c r="O435" s="31">
        <f t="shared" si="37"/>
        <v>28</v>
      </c>
      <c r="P435" s="136" t="s">
        <v>1955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ht="15.75" thickBot="1" x14ac:dyDescent="0.3">
      <c r="A436"/>
      <c r="B436"/>
      <c r="C436"/>
      <c r="D436"/>
      <c r="E436" s="150" t="s">
        <v>2448</v>
      </c>
      <c r="F436" t="s">
        <v>1100</v>
      </c>
      <c r="G436" t="s">
        <v>1118</v>
      </c>
      <c r="H436" t="s">
        <v>1039</v>
      </c>
      <c r="I436" t="s">
        <v>1102</v>
      </c>
      <c r="J436" s="30" t="s">
        <v>1090</v>
      </c>
      <c r="K436" s="30" t="s">
        <v>2361</v>
      </c>
      <c r="L436" s="30"/>
      <c r="M436" s="30" t="s">
        <v>1115</v>
      </c>
      <c r="N436" s="30"/>
      <c r="O436" s="31">
        <f t="shared" si="37"/>
        <v>28</v>
      </c>
      <c r="P436" s="136" t="s">
        <v>1956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69"/>
    </row>
    <row r="437" spans="1:49" ht="15.75" thickBot="1" x14ac:dyDescent="0.3">
      <c r="A437"/>
      <c r="B437"/>
      <c r="C437"/>
      <c r="D437"/>
      <c r="E437"/>
      <c r="F437" s="73" t="s">
        <v>425</v>
      </c>
      <c r="G437" s="73" t="s">
        <v>432</v>
      </c>
      <c r="H437" s="73" t="s">
        <v>1039</v>
      </c>
      <c r="I437" s="73" t="s">
        <v>433</v>
      </c>
      <c r="J437" s="84" t="s">
        <v>14</v>
      </c>
      <c r="K437" s="84" t="s">
        <v>1275</v>
      </c>
      <c r="L437" s="84"/>
      <c r="M437" s="84" t="s">
        <v>1346</v>
      </c>
      <c r="N437" s="84"/>
      <c r="O437" s="131">
        <f t="shared" si="37"/>
        <v>28</v>
      </c>
      <c r="P437" s="136" t="s">
        <v>1950</v>
      </c>
      <c r="Q437" s="131">
        <f t="shared" si="38"/>
        <v>0</v>
      </c>
      <c r="R437" s="1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5.75" thickBot="1" x14ac:dyDescent="0.3">
      <c r="A438"/>
      <c r="B438"/>
      <c r="C438"/>
      <c r="D438"/>
      <c r="E438"/>
      <c r="F438" s="73" t="s">
        <v>425</v>
      </c>
      <c r="G438" s="73" t="s">
        <v>434</v>
      </c>
      <c r="H438" s="73" t="s">
        <v>1039</v>
      </c>
      <c r="I438" s="73" t="s">
        <v>435</v>
      </c>
      <c r="J438" s="84" t="s">
        <v>18</v>
      </c>
      <c r="K438" s="84" t="s">
        <v>1275</v>
      </c>
      <c r="L438" s="84"/>
      <c r="M438" s="84" t="s">
        <v>1396</v>
      </c>
      <c r="N438" s="84"/>
      <c r="O438" s="131">
        <f t="shared" si="37"/>
        <v>24</v>
      </c>
      <c r="P438" s="136" t="s">
        <v>1951</v>
      </c>
      <c r="Q438" s="131">
        <f t="shared" si="38"/>
        <v>4</v>
      </c>
      <c r="R438" s="132">
        <f t="shared" si="39"/>
        <v>0.8571428571428571</v>
      </c>
      <c r="S438" s="70" t="s">
        <v>2215</v>
      </c>
      <c r="T438" s="70" t="s">
        <v>2215</v>
      </c>
      <c r="U438" s="70" t="s">
        <v>2215</v>
      </c>
      <c r="V438" s="70"/>
      <c r="W438" s="70"/>
      <c r="X438" s="70" t="s">
        <v>2215</v>
      </c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>
        <v>5</v>
      </c>
      <c r="B439">
        <v>3</v>
      </c>
      <c r="C439"/>
      <c r="D439"/>
      <c r="E439" t="s">
        <v>1230</v>
      </c>
      <c r="F439" t="s">
        <v>425</v>
      </c>
      <c r="G439" t="s">
        <v>436</v>
      </c>
      <c r="H439" t="s">
        <v>1039</v>
      </c>
      <c r="I439" t="s">
        <v>437</v>
      </c>
      <c r="J439" s="30" t="s">
        <v>14</v>
      </c>
      <c r="K439" s="30" t="s">
        <v>1032</v>
      </c>
      <c r="L439" s="30" t="s">
        <v>1230</v>
      </c>
      <c r="M439" s="30" t="s">
        <v>787</v>
      </c>
      <c r="N439" s="30"/>
      <c r="O439" s="31">
        <f t="shared" si="37"/>
        <v>28</v>
      </c>
      <c r="P439" s="136" t="s">
        <v>1953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6.899999999999999" customHeight="1" thickBot="1" x14ac:dyDescent="0.3">
      <c r="A440"/>
      <c r="B440"/>
      <c r="C440"/>
      <c r="D440"/>
      <c r="E440"/>
      <c r="F440" s="73" t="s">
        <v>281</v>
      </c>
      <c r="G440" s="73" t="s">
        <v>1287</v>
      </c>
      <c r="H440" s="73" t="s">
        <v>1039</v>
      </c>
      <c r="I440" s="73" t="s">
        <v>1288</v>
      </c>
      <c r="J440" s="84" t="s">
        <v>14</v>
      </c>
      <c r="K440" s="84" t="s">
        <v>1275</v>
      </c>
      <c r="L440" s="84"/>
      <c r="M440" s="84" t="s">
        <v>1289</v>
      </c>
      <c r="N440" s="84"/>
      <c r="O440" s="31">
        <f t="shared" si="37"/>
        <v>27</v>
      </c>
      <c r="P440" s="136" t="s">
        <v>1925</v>
      </c>
      <c r="Q440" s="31">
        <f t="shared" si="38"/>
        <v>1</v>
      </c>
      <c r="R440" s="32">
        <f t="shared" si="39"/>
        <v>0.9642857142857143</v>
      </c>
      <c r="S440" s="70"/>
      <c r="T440" s="70"/>
      <c r="U440" s="70"/>
      <c r="V440" s="70"/>
      <c r="W440" s="70"/>
      <c r="X440" s="70" t="s">
        <v>2215</v>
      </c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6.899999999999999" customHeight="1" thickBot="1" x14ac:dyDescent="0.3">
      <c r="A441"/>
      <c r="B441"/>
      <c r="C441"/>
      <c r="D441"/>
      <c r="E441"/>
      <c r="F441" t="s">
        <v>1100</v>
      </c>
      <c r="G441" s="73" t="s">
        <v>1523</v>
      </c>
      <c r="H441" s="73" t="s">
        <v>1039</v>
      </c>
      <c r="I441" s="73" t="s">
        <v>1524</v>
      </c>
      <c r="J441" s="84" t="s">
        <v>1090</v>
      </c>
      <c r="K441" s="84" t="s">
        <v>1275</v>
      </c>
      <c r="L441" s="84"/>
      <c r="M441" s="84" t="s">
        <v>1526</v>
      </c>
      <c r="N441" s="84"/>
      <c r="O441" s="31">
        <f t="shared" si="37"/>
        <v>27</v>
      </c>
      <c r="P441" s="136" t="s">
        <v>1957</v>
      </c>
      <c r="Q441" s="31">
        <f t="shared" si="38"/>
        <v>1</v>
      </c>
      <c r="R441" s="32">
        <f t="shared" si="39"/>
        <v>0.9642857142857143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1100</v>
      </c>
      <c r="G442" s="73" t="s">
        <v>1522</v>
      </c>
      <c r="H442" s="73" t="s">
        <v>1039</v>
      </c>
      <c r="I442" s="73" t="s">
        <v>1525</v>
      </c>
      <c r="J442" s="84" t="s">
        <v>1090</v>
      </c>
      <c r="K442" s="84" t="s">
        <v>1275</v>
      </c>
      <c r="L442" s="84"/>
      <c r="M442" s="84" t="s">
        <v>1527</v>
      </c>
      <c r="N442" s="84"/>
      <c r="O442" s="31">
        <f t="shared" si="37"/>
        <v>27</v>
      </c>
      <c r="P442" s="136" t="s">
        <v>1958</v>
      </c>
      <c r="Q442" s="31">
        <f t="shared" si="38"/>
        <v>1</v>
      </c>
      <c r="R442" s="32">
        <f t="shared" si="39"/>
        <v>0.9642857142857143</v>
      </c>
      <c r="S442" s="70" t="s">
        <v>2215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1100</v>
      </c>
      <c r="G443" s="73" t="s">
        <v>2184</v>
      </c>
      <c r="H443" s="73" t="s">
        <v>1039</v>
      </c>
      <c r="I443" s="73" t="s">
        <v>2185</v>
      </c>
      <c r="J443" s="84" t="s">
        <v>1090</v>
      </c>
      <c r="K443" s="84" t="s">
        <v>1275</v>
      </c>
      <c r="L443" s="84"/>
      <c r="M443" s="84" t="s">
        <v>2283</v>
      </c>
      <c r="N443" s="84"/>
      <c r="O443" s="31">
        <f t="shared" si="37"/>
        <v>27</v>
      </c>
      <c r="P443" s="136" t="s">
        <v>2409</v>
      </c>
      <c r="Q443" s="31">
        <f t="shared" si="38"/>
        <v>1</v>
      </c>
      <c r="R443" s="32">
        <f t="shared" si="39"/>
        <v>0.9642857142857143</v>
      </c>
      <c r="S443" s="70" t="s">
        <v>2215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994</v>
      </c>
      <c r="H444" t="s">
        <v>1038</v>
      </c>
      <c r="I444" t="s">
        <v>441</v>
      </c>
      <c r="J444" s="30" t="s">
        <v>71</v>
      </c>
      <c r="K444" s="30" t="s">
        <v>27</v>
      </c>
      <c r="L444" s="30"/>
      <c r="M444" s="30" t="s">
        <v>792</v>
      </c>
      <c r="N444" s="30"/>
      <c r="O444" s="31">
        <f t="shared" si="37"/>
        <v>28</v>
      </c>
      <c r="P444" s="136" t="s">
        <v>1961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3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995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793</v>
      </c>
      <c r="N445" s="30"/>
      <c r="O445" s="31">
        <f t="shared" si="37"/>
        <v>28</v>
      </c>
      <c r="P445" s="136" t="s">
        <v>1962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438</v>
      </c>
      <c r="H446" t="s">
        <v>1038</v>
      </c>
      <c r="I446" t="s">
        <v>439</v>
      </c>
      <c r="J446" s="30" t="s">
        <v>71</v>
      </c>
      <c r="K446" s="30" t="s">
        <v>27</v>
      </c>
      <c r="L446" s="30"/>
      <c r="M446" s="30" t="s">
        <v>790</v>
      </c>
      <c r="N446" s="30"/>
      <c r="O446" s="31">
        <f t="shared" si="37"/>
        <v>28</v>
      </c>
      <c r="P446" s="136" t="s">
        <v>1959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440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791</v>
      </c>
      <c r="N447" s="30"/>
      <c r="O447" s="31">
        <f t="shared" si="37"/>
        <v>28</v>
      </c>
      <c r="P447" s="136" t="s">
        <v>1960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/>
      <c r="F448" s="73" t="s">
        <v>442</v>
      </c>
      <c r="G448" s="73" t="s">
        <v>996</v>
      </c>
      <c r="H448" s="73" t="s">
        <v>1039</v>
      </c>
      <c r="I448" s="73" t="s">
        <v>455</v>
      </c>
      <c r="J448" s="84" t="s">
        <v>18</v>
      </c>
      <c r="K448" s="84" t="s">
        <v>1275</v>
      </c>
      <c r="L448" s="84"/>
      <c r="M448" s="84" t="s">
        <v>1302</v>
      </c>
      <c r="N448" s="84"/>
      <c r="O448" s="131">
        <f t="shared" si="37"/>
        <v>28</v>
      </c>
      <c r="P448" s="136" t="s">
        <v>1966</v>
      </c>
      <c r="Q448" s="131">
        <f t="shared" si="38"/>
        <v>0</v>
      </c>
      <c r="R448" s="1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2447</v>
      </c>
      <c r="F449" t="s">
        <v>442</v>
      </c>
      <c r="G449" t="s">
        <v>446</v>
      </c>
      <c r="H449" t="s">
        <v>1039</v>
      </c>
      <c r="I449" t="s">
        <v>447</v>
      </c>
      <c r="J449" s="30" t="s">
        <v>18</v>
      </c>
      <c r="K449" s="30" t="s">
        <v>1275</v>
      </c>
      <c r="L449" s="30"/>
      <c r="M449" s="30" t="s">
        <v>798</v>
      </c>
      <c r="N449" s="30"/>
      <c r="O449" s="31">
        <f t="shared" si="37"/>
        <v>28</v>
      </c>
      <c r="P449" s="136" t="s">
        <v>1969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 s="69"/>
      <c r="B450" s="69"/>
      <c r="C450" s="69"/>
      <c r="D450" s="69"/>
      <c r="E450" s="69"/>
      <c r="F450" s="69" t="s">
        <v>442</v>
      </c>
      <c r="G450" t="s">
        <v>997</v>
      </c>
      <c r="H450" t="s">
        <v>1039</v>
      </c>
      <c r="I450" t="s">
        <v>456</v>
      </c>
      <c r="J450" s="30" t="s">
        <v>14</v>
      </c>
      <c r="K450" s="30" t="s">
        <v>1275</v>
      </c>
      <c r="L450" s="137"/>
      <c r="M450" s="30" t="s">
        <v>2485</v>
      </c>
      <c r="N450" s="137"/>
      <c r="O450" s="139">
        <f t="shared" si="37"/>
        <v>27</v>
      </c>
      <c r="P450" s="143"/>
      <c r="Q450" s="139">
        <f t="shared" si="38"/>
        <v>1</v>
      </c>
      <c r="R450" s="141">
        <f t="shared" si="39"/>
        <v>0.9642857142857143</v>
      </c>
      <c r="S450" s="138"/>
      <c r="T450" s="138"/>
      <c r="U450" s="138"/>
      <c r="V450" s="138"/>
      <c r="W450" s="138"/>
      <c r="X450" s="70" t="s">
        <v>2215</v>
      </c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70"/>
      <c r="AN450" s="70"/>
      <c r="AO450" s="70"/>
      <c r="AP450" s="70"/>
      <c r="AQ450" s="142"/>
      <c r="AR450" s="138"/>
      <c r="AS450" s="70"/>
      <c r="AT450" s="70"/>
      <c r="AU450" s="138"/>
      <c r="AV450" s="138"/>
    </row>
    <row r="451" spans="1:49" s="73" customFormat="1" ht="15.75" thickBot="1" x14ac:dyDescent="0.3">
      <c r="A451"/>
      <c r="B451"/>
      <c r="C451"/>
      <c r="D451"/>
      <c r="E451" s="150" t="s">
        <v>2433</v>
      </c>
      <c r="F451" t="s">
        <v>337</v>
      </c>
      <c r="G451" t="s">
        <v>998</v>
      </c>
      <c r="H451" t="s">
        <v>1039</v>
      </c>
      <c r="I451" t="s">
        <v>459</v>
      </c>
      <c r="J451" s="30" t="s">
        <v>71</v>
      </c>
      <c r="K451" s="30" t="s">
        <v>2361</v>
      </c>
      <c r="L451" s="30"/>
      <c r="M451" s="30" t="s">
        <v>1385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129"/>
      <c r="AW451"/>
    </row>
    <row r="452" spans="1:49" ht="15.75" thickBot="1" x14ac:dyDescent="0.3">
      <c r="A452"/>
      <c r="B452"/>
      <c r="C452"/>
      <c r="D452"/>
      <c r="E452" s="150" t="s">
        <v>2433</v>
      </c>
      <c r="F452" t="s">
        <v>337</v>
      </c>
      <c r="G452" t="s">
        <v>999</v>
      </c>
      <c r="H452" t="s">
        <v>1039</v>
      </c>
      <c r="I452" t="s">
        <v>459</v>
      </c>
      <c r="J452" s="30" t="s">
        <v>71</v>
      </c>
      <c r="K452" s="30" t="s">
        <v>2361</v>
      </c>
      <c r="L452" s="30"/>
      <c r="M452" s="30" t="s">
        <v>1386</v>
      </c>
      <c r="N452" s="30"/>
      <c r="O452" s="31">
        <f t="shared" si="37"/>
        <v>28</v>
      </c>
      <c r="P452" s="136" t="s">
        <v>1971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thickBot="1" x14ac:dyDescent="0.3">
      <c r="A453"/>
      <c r="B453"/>
      <c r="C453"/>
      <c r="D453"/>
      <c r="E453" s="150" t="s">
        <v>2433</v>
      </c>
      <c r="F453" t="s">
        <v>442</v>
      </c>
      <c r="G453" t="s">
        <v>1000</v>
      </c>
      <c r="H453" t="s">
        <v>1039</v>
      </c>
      <c r="I453" t="s">
        <v>462</v>
      </c>
      <c r="J453" s="30" t="s">
        <v>71</v>
      </c>
      <c r="K453" s="30" t="s">
        <v>2361</v>
      </c>
      <c r="L453" s="30" t="s">
        <v>2363</v>
      </c>
      <c r="M453" s="30" t="s">
        <v>802</v>
      </c>
      <c r="N453" s="30"/>
      <c r="O453" s="31">
        <f t="shared" si="37"/>
        <v>26</v>
      </c>
      <c r="P453" s="136" t="s">
        <v>1975</v>
      </c>
      <c r="Q453" s="31">
        <f t="shared" si="38"/>
        <v>2</v>
      </c>
      <c r="R453" s="32">
        <f t="shared" si="39"/>
        <v>0.9285714285714286</v>
      </c>
      <c r="S453" s="70" t="s">
        <v>2215</v>
      </c>
      <c r="T453" s="70" t="s">
        <v>2215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88"/>
    </row>
    <row r="454" spans="1:49" ht="15.75" thickBot="1" x14ac:dyDescent="0.3">
      <c r="A454"/>
      <c r="B454"/>
      <c r="C454"/>
      <c r="D454"/>
      <c r="E454" s="150" t="s">
        <v>2433</v>
      </c>
      <c r="F454" t="s">
        <v>442</v>
      </c>
      <c r="G454" t="s">
        <v>1001</v>
      </c>
      <c r="H454" t="s">
        <v>1039</v>
      </c>
      <c r="I454" t="s">
        <v>462</v>
      </c>
      <c r="J454" s="30" t="s">
        <v>71</v>
      </c>
      <c r="K454" s="30" t="s">
        <v>2361</v>
      </c>
      <c r="L454" s="30" t="s">
        <v>2363</v>
      </c>
      <c r="M454" s="30" t="s">
        <v>803</v>
      </c>
      <c r="N454" s="30"/>
      <c r="O454" s="31">
        <f t="shared" si="37"/>
        <v>26</v>
      </c>
      <c r="P454" s="136" t="s">
        <v>1976</v>
      </c>
      <c r="Q454" s="31">
        <f t="shared" si="38"/>
        <v>2</v>
      </c>
      <c r="R454" s="32">
        <f t="shared" si="39"/>
        <v>0.9285714285714286</v>
      </c>
      <c r="S454" s="70" t="s">
        <v>2215</v>
      </c>
      <c r="T454" s="70" t="s">
        <v>2215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2435</v>
      </c>
      <c r="F455" t="s">
        <v>442</v>
      </c>
      <c r="G455" t="s">
        <v>451</v>
      </c>
      <c r="H455" t="s">
        <v>1039</v>
      </c>
      <c r="I455" t="s">
        <v>2364</v>
      </c>
      <c r="J455" s="30" t="s">
        <v>18</v>
      </c>
      <c r="K455" s="30" t="s">
        <v>1032</v>
      </c>
      <c r="L455" s="30"/>
      <c r="M455" s="30" t="s">
        <v>1383</v>
      </c>
      <c r="N455" s="30"/>
      <c r="O455" s="31">
        <f t="shared" si="37"/>
        <v>28</v>
      </c>
      <c r="P455" s="136" t="s">
        <v>1963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2433</v>
      </c>
      <c r="F456" t="s">
        <v>337</v>
      </c>
      <c r="G456" t="s">
        <v>452</v>
      </c>
      <c r="H456" t="s">
        <v>1039</v>
      </c>
      <c r="I456" t="s">
        <v>1295</v>
      </c>
      <c r="J456" s="30" t="s">
        <v>18</v>
      </c>
      <c r="K456" s="30" t="s">
        <v>2359</v>
      </c>
      <c r="L456" s="30"/>
      <c r="M456" s="30" t="s">
        <v>1384</v>
      </c>
      <c r="N456" s="30"/>
      <c r="O456" s="31">
        <f t="shared" si="37"/>
        <v>28</v>
      </c>
      <c r="P456" s="136" t="s">
        <v>1964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69" customFormat="1" ht="15.75" thickBot="1" x14ac:dyDescent="0.3">
      <c r="A457"/>
      <c r="B457"/>
      <c r="C457"/>
      <c r="D457"/>
      <c r="E457" s="150" t="s">
        <v>2451</v>
      </c>
      <c r="F457" s="73" t="s">
        <v>442</v>
      </c>
      <c r="G457" s="73" t="s">
        <v>453</v>
      </c>
      <c r="H457" s="73" t="s">
        <v>1039</v>
      </c>
      <c r="I457" s="73" t="s">
        <v>454</v>
      </c>
      <c r="J457" s="84" t="s">
        <v>18</v>
      </c>
      <c r="K457" s="84" t="s">
        <v>1275</v>
      </c>
      <c r="L457" s="84"/>
      <c r="M457" s="84" t="s">
        <v>1395</v>
      </c>
      <c r="N457" s="84"/>
      <c r="O457" s="131">
        <f t="shared" si="37"/>
        <v>28</v>
      </c>
      <c r="P457" s="136" t="s">
        <v>1965</v>
      </c>
      <c r="Q457" s="131">
        <f t="shared" si="38"/>
        <v>0</v>
      </c>
      <c r="R457" s="1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/>
    </row>
    <row r="458" spans="1:49" s="69" customFormat="1" ht="15.75" thickBot="1" x14ac:dyDescent="0.3">
      <c r="A458"/>
      <c r="B458"/>
      <c r="C458"/>
      <c r="D458"/>
      <c r="E458" t="s">
        <v>2436</v>
      </c>
      <c r="F458" t="s">
        <v>442</v>
      </c>
      <c r="G458" t="s">
        <v>1002</v>
      </c>
      <c r="H458" t="s">
        <v>1039</v>
      </c>
      <c r="I458" t="s">
        <v>443</v>
      </c>
      <c r="J458" s="30" t="s">
        <v>14</v>
      </c>
      <c r="K458" s="30" t="s">
        <v>19</v>
      </c>
      <c r="L458" s="30"/>
      <c r="M458" s="30" t="s">
        <v>795</v>
      </c>
      <c r="N458" s="30"/>
      <c r="O458" s="31">
        <f t="shared" si="37"/>
        <v>28</v>
      </c>
      <c r="P458" s="136" t="s">
        <v>2403</v>
      </c>
      <c r="Q458" s="31">
        <f t="shared" si="38"/>
        <v>0</v>
      </c>
      <c r="R458" s="32">
        <f t="shared" si="39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ht="15.75" thickBot="1" x14ac:dyDescent="0.3">
      <c r="A459"/>
      <c r="B459"/>
      <c r="C459"/>
      <c r="D459"/>
      <c r="E459" s="150" t="s">
        <v>2441</v>
      </c>
      <c r="F459" t="s">
        <v>442</v>
      </c>
      <c r="G459" t="s">
        <v>1003</v>
      </c>
      <c r="H459" t="s">
        <v>1039</v>
      </c>
      <c r="I459" t="s">
        <v>444</v>
      </c>
      <c r="J459" s="30" t="s">
        <v>18</v>
      </c>
      <c r="K459" s="30" t="s">
        <v>1275</v>
      </c>
      <c r="L459" s="30"/>
      <c r="M459" s="30" t="s">
        <v>796</v>
      </c>
      <c r="N459" s="30"/>
      <c r="O459" s="31">
        <f t="shared" si="37"/>
        <v>28</v>
      </c>
      <c r="P459" s="136" t="s">
        <v>1967</v>
      </c>
      <c r="Q459" s="31">
        <f t="shared" si="38"/>
        <v>0</v>
      </c>
      <c r="R459" s="32">
        <f t="shared" si="39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0" t="s">
        <v>2441</v>
      </c>
      <c r="F460" t="s">
        <v>442</v>
      </c>
      <c r="G460" t="s">
        <v>1004</v>
      </c>
      <c r="H460" t="s">
        <v>1039</v>
      </c>
      <c r="I460" t="s">
        <v>445</v>
      </c>
      <c r="J460" s="30" t="s">
        <v>18</v>
      </c>
      <c r="K460" s="30" t="s">
        <v>1275</v>
      </c>
      <c r="L460" s="30"/>
      <c r="M460" s="30" t="s">
        <v>797</v>
      </c>
      <c r="N460" s="30"/>
      <c r="O460" s="31">
        <f t="shared" si="37"/>
        <v>28</v>
      </c>
      <c r="P460" s="136" t="s">
        <v>1968</v>
      </c>
      <c r="Q460" s="31">
        <f t="shared" si="38"/>
        <v>0</v>
      </c>
      <c r="R460" s="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t="s">
        <v>2437</v>
      </c>
      <c r="F461" t="s">
        <v>442</v>
      </c>
      <c r="G461" t="s">
        <v>1005</v>
      </c>
      <c r="H461" t="s">
        <v>1039</v>
      </c>
      <c r="I461" t="s">
        <v>448</v>
      </c>
      <c r="J461" s="30" t="s">
        <v>14</v>
      </c>
      <c r="K461" s="30" t="s">
        <v>19</v>
      </c>
      <c r="L461" s="30"/>
      <c r="M461" s="30" t="s">
        <v>782</v>
      </c>
      <c r="N461" s="30"/>
      <c r="O461" s="31">
        <f t="shared" si="37"/>
        <v>28</v>
      </c>
      <c r="P461" s="136" t="s">
        <v>2404</v>
      </c>
      <c r="Q461" s="31">
        <f t="shared" si="38"/>
        <v>0</v>
      </c>
      <c r="R461" s="32">
        <f t="shared" si="39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s="69" customFormat="1" ht="15.75" thickBot="1" x14ac:dyDescent="0.3">
      <c r="E462" s="69" t="s">
        <v>2438</v>
      </c>
      <c r="F462" s="69" t="s">
        <v>442</v>
      </c>
      <c r="G462" s="69" t="s">
        <v>1006</v>
      </c>
      <c r="H462" s="69" t="s">
        <v>1039</v>
      </c>
      <c r="I462" s="69" t="s">
        <v>449</v>
      </c>
      <c r="J462" s="137" t="s">
        <v>14</v>
      </c>
      <c r="K462" s="137" t="s">
        <v>1275</v>
      </c>
      <c r="L462" s="137"/>
      <c r="M462" s="137" t="s">
        <v>2486</v>
      </c>
      <c r="N462" s="137"/>
      <c r="O462" s="139">
        <f t="shared" si="37"/>
        <v>24</v>
      </c>
      <c r="P462" s="140"/>
      <c r="Q462" s="139">
        <f t="shared" si="38"/>
        <v>4</v>
      </c>
      <c r="R462" s="141">
        <f t="shared" si="39"/>
        <v>0.8571428571428571</v>
      </c>
      <c r="S462" s="70" t="s">
        <v>2215</v>
      </c>
      <c r="T462" s="70" t="s">
        <v>2215</v>
      </c>
      <c r="U462" s="70" t="s">
        <v>2215</v>
      </c>
      <c r="V462" s="142"/>
      <c r="W462" s="142"/>
      <c r="X462" s="70" t="s">
        <v>2215</v>
      </c>
      <c r="Y462" s="142"/>
      <c r="Z462" s="142"/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142"/>
      <c r="AT462" s="142"/>
      <c r="AU462" s="142"/>
      <c r="AV462" s="142"/>
    </row>
    <row r="463" spans="1:49" s="73" customFormat="1" ht="15.75" thickBot="1" x14ac:dyDescent="0.3">
      <c r="A463"/>
      <c r="B463"/>
      <c r="C463"/>
      <c r="D463"/>
      <c r="E463" t="s">
        <v>2439</v>
      </c>
      <c r="F463" t="s">
        <v>442</v>
      </c>
      <c r="G463" t="s">
        <v>457</v>
      </c>
      <c r="H463" t="s">
        <v>1039</v>
      </c>
      <c r="I463" t="s">
        <v>458</v>
      </c>
      <c r="J463" s="30" t="s">
        <v>14</v>
      </c>
      <c r="K463" s="30" t="s">
        <v>19</v>
      </c>
      <c r="L463" s="30"/>
      <c r="M463" s="30" t="s">
        <v>794</v>
      </c>
      <c r="N463" s="30"/>
      <c r="O463" s="31">
        <f t="shared" ref="O463:O527" si="40">COUNTIF(S463:AT463,"")</f>
        <v>28</v>
      </c>
      <c r="P463" s="136" t="s">
        <v>2405</v>
      </c>
      <c r="Q463" s="31">
        <f t="shared" ref="Q463:Q527" si="41">COUNTIF(S463:AT463,"APAGADO")</f>
        <v>0</v>
      </c>
      <c r="R463" s="32">
        <f t="shared" ref="R463:R527" si="42">(O463)/(Q463+O463)</f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s="73" customFormat="1" ht="15.75" thickBot="1" x14ac:dyDescent="0.3">
      <c r="A464"/>
      <c r="B464"/>
      <c r="C464"/>
      <c r="D464"/>
      <c r="E464" s="150" t="s">
        <v>2441</v>
      </c>
      <c r="F464" s="73" t="s">
        <v>442</v>
      </c>
      <c r="G464" s="73" t="s">
        <v>460</v>
      </c>
      <c r="H464" s="73" t="s">
        <v>1039</v>
      </c>
      <c r="I464" s="73" t="s">
        <v>461</v>
      </c>
      <c r="J464" s="84" t="s">
        <v>14</v>
      </c>
      <c r="K464" s="84" t="s">
        <v>1275</v>
      </c>
      <c r="L464" s="84"/>
      <c r="M464" s="84" t="s">
        <v>799</v>
      </c>
      <c r="N464" s="84"/>
      <c r="O464" s="131">
        <f t="shared" si="40"/>
        <v>27</v>
      </c>
      <c r="P464" s="136" t="s">
        <v>1972</v>
      </c>
      <c r="Q464" s="131">
        <f t="shared" si="41"/>
        <v>1</v>
      </c>
      <c r="R464" s="132">
        <f t="shared" si="42"/>
        <v>0.9642857142857143</v>
      </c>
      <c r="S464" s="70"/>
      <c r="T464" s="70" t="s">
        <v>2215</v>
      </c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142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ht="15.75" thickBot="1" x14ac:dyDescent="0.3">
      <c r="A465"/>
      <c r="B465"/>
      <c r="C465"/>
      <c r="D465"/>
      <c r="E465" s="150" t="s">
        <v>2441</v>
      </c>
      <c r="F465" s="73" t="s">
        <v>442</v>
      </c>
      <c r="G465" s="73" t="s">
        <v>1007</v>
      </c>
      <c r="H465" s="73" t="s">
        <v>1039</v>
      </c>
      <c r="I465" s="73" t="s">
        <v>450</v>
      </c>
      <c r="J465" s="84" t="s">
        <v>71</v>
      </c>
      <c r="K465" s="84" t="s">
        <v>1275</v>
      </c>
      <c r="L465" s="84"/>
      <c r="M465" s="84" t="s">
        <v>800</v>
      </c>
      <c r="N465" s="84"/>
      <c r="O465" s="131">
        <f t="shared" si="40"/>
        <v>24</v>
      </c>
      <c r="P465" s="136" t="s">
        <v>1973</v>
      </c>
      <c r="Q465" s="131">
        <f t="shared" si="41"/>
        <v>4</v>
      </c>
      <c r="R465" s="132">
        <f t="shared" si="42"/>
        <v>0.8571428571428571</v>
      </c>
      <c r="S465" s="70" t="s">
        <v>2215</v>
      </c>
      <c r="T465" s="70" t="s">
        <v>2215</v>
      </c>
      <c r="U465" s="70" t="s">
        <v>2215</v>
      </c>
      <c r="V465" s="70"/>
      <c r="W465" s="70"/>
      <c r="X465" s="70" t="s">
        <v>2215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ht="15.75" thickBot="1" x14ac:dyDescent="0.3">
      <c r="A466"/>
      <c r="B466"/>
      <c r="C466"/>
      <c r="D466"/>
      <c r="E466" s="150" t="s">
        <v>2441</v>
      </c>
      <c r="F466" s="73" t="s">
        <v>442</v>
      </c>
      <c r="G466" s="73" t="s">
        <v>1008</v>
      </c>
      <c r="H466" s="73" t="s">
        <v>1039</v>
      </c>
      <c r="I466" s="73" t="s">
        <v>450</v>
      </c>
      <c r="J466" s="84" t="s">
        <v>71</v>
      </c>
      <c r="K466" s="84" t="s">
        <v>1275</v>
      </c>
      <c r="L466" s="84"/>
      <c r="M466" s="84" t="s">
        <v>801</v>
      </c>
      <c r="N466" s="84"/>
      <c r="O466" s="131">
        <f t="shared" si="40"/>
        <v>24</v>
      </c>
      <c r="P466" s="136" t="s">
        <v>1974</v>
      </c>
      <c r="Q466" s="131">
        <f t="shared" si="41"/>
        <v>4</v>
      </c>
      <c r="R466" s="132">
        <f t="shared" si="42"/>
        <v>0.8571428571428571</v>
      </c>
      <c r="S466" s="70" t="s">
        <v>2215</v>
      </c>
      <c r="T466" s="70" t="s">
        <v>2215</v>
      </c>
      <c r="U466" s="70" t="s">
        <v>2215</v>
      </c>
      <c r="V466" s="70"/>
      <c r="W466" s="70"/>
      <c r="X466" s="70" t="s">
        <v>2215</v>
      </c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2441</v>
      </c>
      <c r="F467" t="s">
        <v>442</v>
      </c>
      <c r="G467" s="30" t="s">
        <v>1262</v>
      </c>
      <c r="H467" t="s">
        <v>1039</v>
      </c>
      <c r="I467" s="68" t="s">
        <v>1261</v>
      </c>
      <c r="J467" s="30" t="s">
        <v>71</v>
      </c>
      <c r="K467" s="30" t="s">
        <v>1275</v>
      </c>
      <c r="L467" s="30"/>
      <c r="M467" s="30" t="s">
        <v>1263</v>
      </c>
      <c r="N467" s="30"/>
      <c r="O467" s="31">
        <f t="shared" si="40"/>
        <v>28</v>
      </c>
      <c r="P467" s="136" t="s">
        <v>1977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2441</v>
      </c>
      <c r="F468" t="s">
        <v>442</v>
      </c>
      <c r="G468" t="s">
        <v>1260</v>
      </c>
      <c r="H468" t="s">
        <v>1039</v>
      </c>
      <c r="I468" s="68" t="s">
        <v>1261</v>
      </c>
      <c r="J468" s="30" t="s">
        <v>71</v>
      </c>
      <c r="K468" s="30" t="s">
        <v>1275</v>
      </c>
      <c r="L468" s="30"/>
      <c r="M468" s="30" t="s">
        <v>1264</v>
      </c>
      <c r="N468" s="30"/>
      <c r="O468" s="31">
        <f t="shared" si="40"/>
        <v>28</v>
      </c>
      <c r="P468" s="136" t="s">
        <v>1978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s="73" customFormat="1" ht="15.75" thickBot="1" x14ac:dyDescent="0.3">
      <c r="A469"/>
      <c r="B469"/>
      <c r="C469"/>
      <c r="D469"/>
      <c r="E469" s="150" t="s">
        <v>2441</v>
      </c>
      <c r="F469" s="73" t="s">
        <v>1564</v>
      </c>
      <c r="G469" s="73" t="s">
        <v>1565</v>
      </c>
      <c r="H469" s="73" t="s">
        <v>1039</v>
      </c>
      <c r="I469" s="135" t="s">
        <v>1566</v>
      </c>
      <c r="J469" s="84" t="s">
        <v>14</v>
      </c>
      <c r="K469" s="84" t="s">
        <v>1275</v>
      </c>
      <c r="L469" s="84"/>
      <c r="M469" s="84" t="s">
        <v>1567</v>
      </c>
      <c r="N469" s="84"/>
      <c r="O469" s="31">
        <f t="shared" si="40"/>
        <v>28</v>
      </c>
      <c r="P469" s="136" t="s">
        <v>2406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2441</v>
      </c>
      <c r="F470" s="73" t="s">
        <v>1564</v>
      </c>
      <c r="G470" s="73" t="s">
        <v>1576</v>
      </c>
      <c r="H470" s="73" t="s">
        <v>1039</v>
      </c>
      <c r="I470" s="135" t="s">
        <v>1577</v>
      </c>
      <c r="J470" s="84" t="s">
        <v>18</v>
      </c>
      <c r="K470" s="84" t="s">
        <v>1275</v>
      </c>
      <c r="L470" s="84"/>
      <c r="M470" s="84" t="s">
        <v>1578</v>
      </c>
      <c r="N470" s="84"/>
      <c r="O470" s="31">
        <f t="shared" si="40"/>
        <v>28</v>
      </c>
      <c r="P470" s="136" t="s">
        <v>2407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2441</v>
      </c>
      <c r="F471" s="73" t="s">
        <v>1570</v>
      </c>
      <c r="G471" s="73" t="s">
        <v>1569</v>
      </c>
      <c r="H471" s="73" t="s">
        <v>1039</v>
      </c>
      <c r="I471" s="135" t="s">
        <v>1571</v>
      </c>
      <c r="J471" s="84" t="s">
        <v>71</v>
      </c>
      <c r="K471" s="84" t="s">
        <v>1275</v>
      </c>
      <c r="L471" s="84"/>
      <c r="M471" s="84" t="s">
        <v>1572</v>
      </c>
      <c r="N471" s="84"/>
      <c r="O471" s="31">
        <f t="shared" si="40"/>
        <v>28</v>
      </c>
      <c r="P471" s="136" t="s">
        <v>2410</v>
      </c>
      <c r="Q471" s="31">
        <f t="shared" si="41"/>
        <v>0</v>
      </c>
      <c r="R471" s="32">
        <f t="shared" si="42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 s="150" t="s">
        <v>2441</v>
      </c>
      <c r="F472" s="73" t="s">
        <v>1564</v>
      </c>
      <c r="G472" s="73" t="s">
        <v>1620</v>
      </c>
      <c r="H472" s="73" t="s">
        <v>1039</v>
      </c>
      <c r="I472" s="135" t="s">
        <v>1618</v>
      </c>
      <c r="J472" s="84" t="s">
        <v>71</v>
      </c>
      <c r="K472" s="84" t="s">
        <v>1275</v>
      </c>
      <c r="L472" s="84"/>
      <c r="M472" s="84" t="s">
        <v>1622</v>
      </c>
      <c r="N472" s="84"/>
      <c r="O472" s="31">
        <f t="shared" si="40"/>
        <v>28</v>
      </c>
      <c r="P472" s="136" t="s">
        <v>2411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2441</v>
      </c>
      <c r="F473" s="73" t="s">
        <v>1564</v>
      </c>
      <c r="G473" s="73" t="s">
        <v>1621</v>
      </c>
      <c r="H473" s="73" t="s">
        <v>1039</v>
      </c>
      <c r="I473" s="135" t="s">
        <v>1619</v>
      </c>
      <c r="J473" s="84" t="s">
        <v>71</v>
      </c>
      <c r="K473" s="84" t="s">
        <v>1275</v>
      </c>
      <c r="L473" s="84"/>
      <c r="M473" s="84" t="s">
        <v>1623</v>
      </c>
      <c r="N473" s="84"/>
      <c r="O473" s="31">
        <f t="shared" si="40"/>
        <v>28</v>
      </c>
      <c r="P473" s="136" t="s">
        <v>2412</v>
      </c>
      <c r="Q473" s="31">
        <f t="shared" si="41"/>
        <v>0</v>
      </c>
      <c r="R473" s="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2441</v>
      </c>
      <c r="F474" s="73" t="s">
        <v>1564</v>
      </c>
      <c r="G474" s="73" t="s">
        <v>2118</v>
      </c>
      <c r="H474" s="73" t="s">
        <v>1039</v>
      </c>
      <c r="I474" s="135" t="s">
        <v>2119</v>
      </c>
      <c r="J474" s="84"/>
      <c r="K474" s="84" t="s">
        <v>1275</v>
      </c>
      <c r="L474" s="84"/>
      <c r="M474" s="84" t="s">
        <v>2284</v>
      </c>
      <c r="N474" s="84"/>
      <c r="O474" s="31">
        <f t="shared" si="40"/>
        <v>28</v>
      </c>
      <c r="P474" s="136" t="s">
        <v>2413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/>
      <c r="G475" s="73" t="s">
        <v>2480</v>
      </c>
      <c r="H475" s="73" t="s">
        <v>1039</v>
      </c>
      <c r="I475" s="135" t="s">
        <v>2481</v>
      </c>
      <c r="J475" s="84" t="s">
        <v>14</v>
      </c>
      <c r="K475" s="84" t="s">
        <v>1275</v>
      </c>
      <c r="L475" s="84"/>
      <c r="M475" s="84" t="s">
        <v>2482</v>
      </c>
      <c r="N475" s="84"/>
      <c r="O475" s="31"/>
      <c r="P475" s="136" t="s">
        <v>2483</v>
      </c>
      <c r="Q475" s="31"/>
      <c r="R475" s="32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/>
      <c r="F476" s="73" t="s">
        <v>346</v>
      </c>
      <c r="G476" s="73" t="s">
        <v>463</v>
      </c>
      <c r="H476" s="73" t="s">
        <v>1039</v>
      </c>
      <c r="I476" s="73" t="s">
        <v>464</v>
      </c>
      <c r="J476" s="84" t="s">
        <v>71</v>
      </c>
      <c r="K476" s="84" t="s">
        <v>1275</v>
      </c>
      <c r="L476" s="84"/>
      <c r="M476" s="84" t="s">
        <v>804</v>
      </c>
      <c r="N476" s="84"/>
      <c r="O476" s="131">
        <f t="shared" si="40"/>
        <v>24</v>
      </c>
      <c r="P476" s="136" t="s">
        <v>1979</v>
      </c>
      <c r="Q476" s="131">
        <f t="shared" si="41"/>
        <v>4</v>
      </c>
      <c r="R476" s="132">
        <f t="shared" si="42"/>
        <v>0.8571428571428571</v>
      </c>
      <c r="S476" s="70" t="s">
        <v>2215</v>
      </c>
      <c r="T476" s="70" t="s">
        <v>2215</v>
      </c>
      <c r="U476" s="70" t="s">
        <v>2215</v>
      </c>
      <c r="V476" s="70"/>
      <c r="W476" s="70"/>
      <c r="X476" s="70" t="s">
        <v>2215</v>
      </c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465</v>
      </c>
      <c r="H477" s="73" t="s">
        <v>1039</v>
      </c>
      <c r="I477" s="73" t="s">
        <v>464</v>
      </c>
      <c r="J477" s="84" t="s">
        <v>71</v>
      </c>
      <c r="K477" s="84" t="s">
        <v>1275</v>
      </c>
      <c r="L477" s="84"/>
      <c r="M477" s="84" t="s">
        <v>805</v>
      </c>
      <c r="N477" s="84"/>
      <c r="O477" s="131">
        <f t="shared" si="40"/>
        <v>24</v>
      </c>
      <c r="P477" s="136" t="s">
        <v>1980</v>
      </c>
      <c r="Q477" s="131">
        <f t="shared" si="41"/>
        <v>4</v>
      </c>
      <c r="R477" s="132">
        <f t="shared" si="42"/>
        <v>0.8571428571428571</v>
      </c>
      <c r="S477" s="70" t="s">
        <v>2215</v>
      </c>
      <c r="T477" s="70" t="s">
        <v>2215</v>
      </c>
      <c r="U477" s="70" t="s">
        <v>2215</v>
      </c>
      <c r="V477" s="70"/>
      <c r="W477" s="70"/>
      <c r="X477" s="70" t="s">
        <v>2215</v>
      </c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84" t="s">
        <v>1081</v>
      </c>
      <c r="H478" s="84" t="s">
        <v>1039</v>
      </c>
      <c r="I478" s="73" t="s">
        <v>1080</v>
      </c>
      <c r="J478" s="84" t="s">
        <v>14</v>
      </c>
      <c r="K478" s="84" t="s">
        <v>1275</v>
      </c>
      <c r="L478" s="84"/>
      <c r="M478" s="84" t="s">
        <v>1082</v>
      </c>
      <c r="N478" s="84"/>
      <c r="O478" s="131">
        <f t="shared" si="40"/>
        <v>24</v>
      </c>
      <c r="P478" s="136"/>
      <c r="Q478" s="131">
        <f t="shared" si="41"/>
        <v>4</v>
      </c>
      <c r="R478" s="132">
        <f t="shared" si="42"/>
        <v>0.8571428571428571</v>
      </c>
      <c r="S478" s="70" t="s">
        <v>2215</v>
      </c>
      <c r="T478" s="70" t="s">
        <v>2215</v>
      </c>
      <c r="U478" s="70" t="s">
        <v>2215</v>
      </c>
      <c r="V478" s="70"/>
      <c r="W478" s="70"/>
      <c r="X478" s="70" t="s">
        <v>2215</v>
      </c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/>
    </row>
    <row r="479" spans="1:49" s="73" customFormat="1" ht="15.75" thickBot="1" x14ac:dyDescent="0.3">
      <c r="A479"/>
      <c r="B479"/>
      <c r="C479"/>
      <c r="D479"/>
      <c r="E479"/>
      <c r="F479" s="73" t="s">
        <v>420</v>
      </c>
      <c r="G479" s="84" t="s">
        <v>2090</v>
      </c>
      <c r="H479" t="s">
        <v>1038</v>
      </c>
      <c r="I479" s="73" t="s">
        <v>2091</v>
      </c>
      <c r="J479" s="84" t="s">
        <v>14</v>
      </c>
      <c r="K479" s="84" t="s">
        <v>1275</v>
      </c>
      <c r="L479" s="84"/>
      <c r="M479" s="84" t="s">
        <v>2285</v>
      </c>
      <c r="N479" s="84"/>
      <c r="O479" s="131">
        <f t="shared" si="40"/>
        <v>28</v>
      </c>
      <c r="P479" s="136" t="s">
        <v>2092</v>
      </c>
      <c r="Q479" s="131">
        <f t="shared" si="41"/>
        <v>0</v>
      </c>
      <c r="R479" s="1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142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G480" s="84" t="s">
        <v>2214</v>
      </c>
      <c r="H480" t="s">
        <v>1038</v>
      </c>
      <c r="I480" s="73" t="s">
        <v>2233</v>
      </c>
      <c r="J480" s="84" t="s">
        <v>71</v>
      </c>
      <c r="K480" s="84" t="s">
        <v>1275</v>
      </c>
      <c r="L480" s="84"/>
      <c r="M480" s="84" t="s">
        <v>2293</v>
      </c>
      <c r="N480" s="84"/>
      <c r="O480" s="131">
        <f t="shared" si="40"/>
        <v>24</v>
      </c>
      <c r="P480" s="136"/>
      <c r="Q480" s="131">
        <f t="shared" si="41"/>
        <v>4</v>
      </c>
      <c r="R480" s="132">
        <f t="shared" si="42"/>
        <v>0.8571428571428571</v>
      </c>
      <c r="S480" s="70" t="s">
        <v>2215</v>
      </c>
      <c r="T480" s="70" t="s">
        <v>2215</v>
      </c>
      <c r="U480" s="70" t="s">
        <v>2215</v>
      </c>
      <c r="V480" s="70"/>
      <c r="W480" s="70"/>
      <c r="X480" s="70" t="s">
        <v>2215</v>
      </c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1231</v>
      </c>
      <c r="M481" s="30" t="s">
        <v>814</v>
      </c>
      <c r="N481" s="30"/>
      <c r="O481" s="31">
        <f t="shared" si="40"/>
        <v>28</v>
      </c>
      <c r="P481" s="136" t="s">
        <v>1981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2321</v>
      </c>
      <c r="F482" t="s">
        <v>466</v>
      </c>
      <c r="G482" t="s">
        <v>467</v>
      </c>
      <c r="H482" t="s">
        <v>1038</v>
      </c>
      <c r="I482" t="s">
        <v>1574</v>
      </c>
      <c r="J482" s="30" t="s">
        <v>18</v>
      </c>
      <c r="K482" s="30" t="s">
        <v>1032</v>
      </c>
      <c r="L482" s="30" t="s">
        <v>1231</v>
      </c>
      <c r="M482" s="30" t="s">
        <v>806</v>
      </c>
      <c r="N482" s="30"/>
      <c r="O482" s="31">
        <f t="shared" si="40"/>
        <v>27</v>
      </c>
      <c r="P482" s="136" t="s">
        <v>1982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/>
      <c r="W482" s="70"/>
      <c r="X482" s="70" t="s">
        <v>2215</v>
      </c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2330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40"/>
        <v>28</v>
      </c>
      <c r="P483" s="136" t="s">
        <v>1983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2330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40"/>
        <v>28</v>
      </c>
      <c r="P484" s="136" t="s">
        <v>1984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2331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40"/>
        <v>28</v>
      </c>
      <c r="P485" s="136" t="s">
        <v>1985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2331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40"/>
        <v>28</v>
      </c>
      <c r="P486" s="136" t="s">
        <v>1986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1275</v>
      </c>
      <c r="L487" s="84"/>
      <c r="M487" s="84" t="s">
        <v>811</v>
      </c>
      <c r="N487" s="84"/>
      <c r="O487" s="131">
        <f t="shared" si="40"/>
        <v>28</v>
      </c>
      <c r="P487" s="136" t="s">
        <v>1987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2450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1275</v>
      </c>
      <c r="L488" s="84"/>
      <c r="M488" s="84" t="s">
        <v>812</v>
      </c>
      <c r="N488" s="84"/>
      <c r="O488" s="31">
        <f t="shared" si="40"/>
        <v>28</v>
      </c>
      <c r="P488" s="136" t="s">
        <v>1988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2331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1232</v>
      </c>
      <c r="M489" s="30" t="s">
        <v>813</v>
      </c>
      <c r="N489" s="30"/>
      <c r="O489" s="31">
        <f t="shared" si="40"/>
        <v>28</v>
      </c>
      <c r="P489" s="136" t="s">
        <v>1989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1162</v>
      </c>
      <c r="H490" s="73" t="s">
        <v>1038</v>
      </c>
      <c r="I490" s="73" t="s">
        <v>1163</v>
      </c>
      <c r="J490" s="84" t="s">
        <v>1090</v>
      </c>
      <c r="K490" s="84" t="s">
        <v>1275</v>
      </c>
      <c r="L490" s="84"/>
      <c r="M490" s="84" t="s">
        <v>1164</v>
      </c>
      <c r="N490" s="84"/>
      <c r="O490" s="131">
        <f t="shared" si="40"/>
        <v>28</v>
      </c>
      <c r="P490" s="136" t="s">
        <v>1990</v>
      </c>
      <c r="Q490" s="131">
        <f t="shared" si="41"/>
        <v>0</v>
      </c>
      <c r="R490" s="1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2365</v>
      </c>
      <c r="F491" s="73" t="s">
        <v>466</v>
      </c>
      <c r="G491" s="73" t="s">
        <v>1165</v>
      </c>
      <c r="H491" s="73" t="s">
        <v>1038</v>
      </c>
      <c r="I491" s="73" t="s">
        <v>1163</v>
      </c>
      <c r="J491" s="84" t="s">
        <v>1090</v>
      </c>
      <c r="K491" s="84" t="s">
        <v>27</v>
      </c>
      <c r="L491" s="84"/>
      <c r="M491" s="84" t="s">
        <v>1166</v>
      </c>
      <c r="N491" s="84"/>
      <c r="O491" s="85">
        <f t="shared" si="40"/>
        <v>28</v>
      </c>
      <c r="P491" s="136" t="s">
        <v>1991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2332</v>
      </c>
      <c r="F492" t="s">
        <v>466</v>
      </c>
      <c r="G492" t="s">
        <v>1195</v>
      </c>
      <c r="H492" t="s">
        <v>1038</v>
      </c>
      <c r="I492" t="s">
        <v>1211</v>
      </c>
      <c r="J492" t="s">
        <v>71</v>
      </c>
      <c r="K492" t="s">
        <v>27</v>
      </c>
      <c r="L492"/>
      <c r="M492" s="30" t="s">
        <v>1256</v>
      </c>
      <c r="N492" s="30"/>
      <c r="O492" s="31">
        <f t="shared" si="40"/>
        <v>28</v>
      </c>
      <c r="P492" s="136" t="s">
        <v>1992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2332</v>
      </c>
      <c r="F493" t="s">
        <v>466</v>
      </c>
      <c r="G493" t="s">
        <v>1196</v>
      </c>
      <c r="H493" t="s">
        <v>1038</v>
      </c>
      <c r="I493" t="s">
        <v>1211</v>
      </c>
      <c r="J493" t="s">
        <v>71</v>
      </c>
      <c r="K493" t="s">
        <v>27</v>
      </c>
      <c r="L493"/>
      <c r="M493" s="30" t="s">
        <v>1257</v>
      </c>
      <c r="N493" s="30"/>
      <c r="O493" s="31">
        <f t="shared" si="40"/>
        <v>28</v>
      </c>
      <c r="P493" s="136" t="s">
        <v>1993</v>
      </c>
      <c r="Q493" s="31">
        <f t="shared" si="41"/>
        <v>0</v>
      </c>
      <c r="R493" s="32">
        <f t="shared" si="42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2331</v>
      </c>
      <c r="F494" t="s">
        <v>466</v>
      </c>
      <c r="G494" t="s">
        <v>1314</v>
      </c>
      <c r="H494" t="s">
        <v>1038</v>
      </c>
      <c r="I494" s="68" t="s">
        <v>1315</v>
      </c>
      <c r="J494" t="s">
        <v>71</v>
      </c>
      <c r="K494" t="s">
        <v>27</v>
      </c>
      <c r="L494"/>
      <c r="M494" s="30" t="s">
        <v>1304</v>
      </c>
      <c r="N494" s="30"/>
      <c r="O494" s="31">
        <f t="shared" si="40"/>
        <v>28</v>
      </c>
      <c r="P494" s="136" t="s">
        <v>1994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1325</v>
      </c>
      <c r="H495" s="73" t="s">
        <v>1038</v>
      </c>
      <c r="I495" s="135" t="s">
        <v>1332</v>
      </c>
      <c r="J495" s="73" t="s">
        <v>14</v>
      </c>
      <c r="K495" s="73" t="s">
        <v>1275</v>
      </c>
      <c r="M495" s="84" t="s">
        <v>1394</v>
      </c>
      <c r="N495" s="84"/>
      <c r="O495" s="85">
        <f t="shared" si="40"/>
        <v>28</v>
      </c>
      <c r="P495" s="136" t="s">
        <v>1995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1568</v>
      </c>
      <c r="H496" s="73" t="s">
        <v>1038</v>
      </c>
      <c r="I496" s="135" t="s">
        <v>1573</v>
      </c>
      <c r="J496" s="73" t="s">
        <v>14</v>
      </c>
      <c r="K496" s="73" t="s">
        <v>1275</v>
      </c>
      <c r="M496" s="84" t="s">
        <v>1575</v>
      </c>
      <c r="N496" s="84"/>
      <c r="O496" s="85">
        <f t="shared" si="40"/>
        <v>28</v>
      </c>
      <c r="P496" s="136" t="s">
        <v>2110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1586</v>
      </c>
      <c r="H497" s="73" t="s">
        <v>1038</v>
      </c>
      <c r="I497" s="135" t="s">
        <v>1579</v>
      </c>
      <c r="J497" s="73" t="s">
        <v>18</v>
      </c>
      <c r="K497" s="73" t="s">
        <v>1275</v>
      </c>
      <c r="M497" s="84" t="s">
        <v>1587</v>
      </c>
      <c r="N497" s="84"/>
      <c r="O497" s="85">
        <f t="shared" si="40"/>
        <v>28</v>
      </c>
      <c r="P497" s="136" t="s">
        <v>2111</v>
      </c>
      <c r="Q497" s="85">
        <f t="shared" si="41"/>
        <v>0</v>
      </c>
      <c r="R497" s="86">
        <f t="shared" si="42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1581</v>
      </c>
      <c r="H498" s="73" t="s">
        <v>1038</v>
      </c>
      <c r="I498" s="135" t="s">
        <v>1580</v>
      </c>
      <c r="J498" s="73" t="s">
        <v>1090</v>
      </c>
      <c r="K498" s="73" t="s">
        <v>1275</v>
      </c>
      <c r="M498" s="84" t="s">
        <v>1585</v>
      </c>
      <c r="N498" s="84"/>
      <c r="O498" s="85">
        <f t="shared" si="40"/>
        <v>28</v>
      </c>
      <c r="P498" s="136" t="s">
        <v>2112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1582</v>
      </c>
      <c r="H499" s="73" t="s">
        <v>1038</v>
      </c>
      <c r="I499" s="135" t="s">
        <v>1583</v>
      </c>
      <c r="J499" s="73" t="s">
        <v>1090</v>
      </c>
      <c r="K499" s="73" t="s">
        <v>1275</v>
      </c>
      <c r="M499" s="84" t="s">
        <v>1584</v>
      </c>
      <c r="N499" s="84"/>
      <c r="O499" s="85">
        <f t="shared" si="40"/>
        <v>28</v>
      </c>
      <c r="P499" s="136" t="s">
        <v>2113</v>
      </c>
      <c r="Q499" s="85">
        <f t="shared" si="41"/>
        <v>0</v>
      </c>
      <c r="R499" s="86">
        <f t="shared" si="42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2224</v>
      </c>
      <c r="H500" s="73" t="s">
        <v>1038</v>
      </c>
      <c r="I500" s="135" t="s">
        <v>2225</v>
      </c>
      <c r="J500" s="30" t="s">
        <v>14</v>
      </c>
      <c r="K500" s="73" t="s">
        <v>1275</v>
      </c>
      <c r="M500" s="84" t="s">
        <v>2247</v>
      </c>
      <c r="N500" s="84"/>
      <c r="O500" s="85">
        <f t="shared" si="40"/>
        <v>28</v>
      </c>
      <c r="P500" s="136" t="s">
        <v>2248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1275</v>
      </c>
      <c r="L501" s="84"/>
      <c r="M501" s="84" t="s">
        <v>815</v>
      </c>
      <c r="N501" s="84"/>
      <c r="O501" s="131">
        <f t="shared" si="40"/>
        <v>27</v>
      </c>
      <c r="P501" s="136" t="s">
        <v>1996</v>
      </c>
      <c r="Q501" s="131">
        <f t="shared" si="41"/>
        <v>1</v>
      </c>
      <c r="R501" s="132">
        <f t="shared" si="42"/>
        <v>0.9642857142857143</v>
      </c>
      <c r="S501" s="70"/>
      <c r="T501" s="70"/>
      <c r="U501" s="70" t="s">
        <v>2215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40"/>
        <v>28</v>
      </c>
      <c r="P502" s="136" t="s">
        <v>2414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2366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40"/>
        <v>28</v>
      </c>
      <c r="P503" s="136" t="s">
        <v>1998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2366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1999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40"/>
        <v>28</v>
      </c>
      <c r="P505" s="136" t="s">
        <v>2415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40"/>
        <v>28</v>
      </c>
      <c r="P506" s="136" t="s">
        <v>2416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40"/>
        <v>28</v>
      </c>
      <c r="P507" s="136" t="s">
        <v>2417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40"/>
        <v>28</v>
      </c>
      <c r="P508" s="136" t="s">
        <v>2418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2368</v>
      </c>
      <c r="C509"/>
      <c r="D509"/>
      <c r="E509" t="s">
        <v>2366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40"/>
        <v>27</v>
      </c>
      <c r="P509" s="136" t="s">
        <v>1997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 t="s">
        <v>2215</v>
      </c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2366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40"/>
        <v>28</v>
      </c>
      <c r="P510" s="136" t="s">
        <v>2000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2366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40"/>
        <v>28</v>
      </c>
      <c r="P511" s="136" t="s">
        <v>2001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2366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40"/>
        <v>28</v>
      </c>
      <c r="P512" s="136" t="s">
        <v>2002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2366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40"/>
        <v>28</v>
      </c>
      <c r="P513" s="136" t="s">
        <v>2003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2368</v>
      </c>
      <c r="C514"/>
      <c r="D514"/>
      <c r="E514" t="s">
        <v>2366</v>
      </c>
      <c r="F514" t="s">
        <v>216</v>
      </c>
      <c r="G514" s="30" t="s">
        <v>1077</v>
      </c>
      <c r="H514" s="30" t="s">
        <v>1039</v>
      </c>
      <c r="I514" t="s">
        <v>1078</v>
      </c>
      <c r="J514" s="30" t="s">
        <v>18</v>
      </c>
      <c r="K514" s="30" t="s">
        <v>27</v>
      </c>
      <c r="L514" s="30"/>
      <c r="M514" s="30" t="s">
        <v>1079</v>
      </c>
      <c r="N514" s="30"/>
      <c r="O514" s="31">
        <f t="shared" si="40"/>
        <v>28</v>
      </c>
      <c r="P514" s="136" t="s">
        <v>2004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2326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40"/>
        <v>28</v>
      </c>
      <c r="P515" s="136" t="s">
        <v>2014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2447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2359</v>
      </c>
      <c r="L516" s="30"/>
      <c r="M516" s="30" t="s">
        <v>838</v>
      </c>
      <c r="N516" s="30"/>
      <c r="O516" s="31">
        <f t="shared" si="40"/>
        <v>28</v>
      </c>
      <c r="P516" s="136" t="s">
        <v>2018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2326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1234</v>
      </c>
      <c r="M517" s="30" t="s">
        <v>839</v>
      </c>
      <c r="N517" s="30"/>
      <c r="O517" s="31">
        <f t="shared" si="40"/>
        <v>28</v>
      </c>
      <c r="P517" s="136" t="s">
        <v>2019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1230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1230</v>
      </c>
      <c r="M518" s="30" t="s">
        <v>840</v>
      </c>
      <c r="N518" s="30"/>
      <c r="O518" s="31">
        <f t="shared" si="40"/>
        <v>28</v>
      </c>
      <c r="P518" s="136" t="s">
        <v>2020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1235</v>
      </c>
      <c r="M519" s="30" t="s">
        <v>841</v>
      </c>
      <c r="N519" s="30"/>
      <c r="O519" s="31">
        <f t="shared" si="40"/>
        <v>27</v>
      </c>
      <c r="P519" s="136" t="s">
        <v>2021</v>
      </c>
      <c r="Q519" s="31">
        <f t="shared" si="41"/>
        <v>1</v>
      </c>
      <c r="R519" s="32">
        <f t="shared" si="42"/>
        <v>0.9642857142857143</v>
      </c>
      <c r="S519" s="70"/>
      <c r="T519" s="70" t="s">
        <v>2215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1275</v>
      </c>
      <c r="L520" s="84"/>
      <c r="M520" s="84" t="s">
        <v>1339</v>
      </c>
      <c r="N520" s="84"/>
      <c r="O520" s="131">
        <f t="shared" si="40"/>
        <v>28</v>
      </c>
      <c r="P520" s="136" t="s">
        <v>2023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2326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40"/>
        <v>28</v>
      </c>
      <c r="P521" s="136" t="s">
        <v>2024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2326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40"/>
        <v>28</v>
      </c>
      <c r="P522" s="136" t="s">
        <v>2025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2447</v>
      </c>
      <c r="F523" t="s">
        <v>501</v>
      </c>
      <c r="G523" t="s">
        <v>1119</v>
      </c>
      <c r="H523" t="s">
        <v>1039</v>
      </c>
      <c r="I523" t="s">
        <v>1121</v>
      </c>
      <c r="J523" s="30" t="s">
        <v>71</v>
      </c>
      <c r="K523" s="30" t="s">
        <v>2361</v>
      </c>
      <c r="L523" s="30"/>
      <c r="M523" s="30" t="s">
        <v>1122</v>
      </c>
      <c r="N523" s="30"/>
      <c r="O523" s="31">
        <f t="shared" si="40"/>
        <v>28</v>
      </c>
      <c r="P523" s="136" t="s">
        <v>2028</v>
      </c>
      <c r="Q523" s="31">
        <f t="shared" si="41"/>
        <v>0</v>
      </c>
      <c r="R523" s="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2447</v>
      </c>
      <c r="F524" t="s">
        <v>501</v>
      </c>
      <c r="G524" t="s">
        <v>1120</v>
      </c>
      <c r="H524" t="s">
        <v>1039</v>
      </c>
      <c r="I524" t="s">
        <v>1121</v>
      </c>
      <c r="J524" s="30" t="s">
        <v>1090</v>
      </c>
      <c r="K524" s="30" t="s">
        <v>2361</v>
      </c>
      <c r="L524" s="30"/>
      <c r="M524" s="30" t="s">
        <v>1123</v>
      </c>
      <c r="N524" s="30"/>
      <c r="O524" s="31">
        <f t="shared" si="40"/>
        <v>28</v>
      </c>
      <c r="P524" s="136" t="s">
        <v>2029</v>
      </c>
      <c r="Q524" s="31">
        <f t="shared" si="41"/>
        <v>0</v>
      </c>
      <c r="R524" s="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1182</v>
      </c>
      <c r="H525" s="84" t="s">
        <v>1039</v>
      </c>
      <c r="I525" s="73" t="s">
        <v>1178</v>
      </c>
      <c r="J525" s="84" t="s">
        <v>14</v>
      </c>
      <c r="K525" s="84" t="s">
        <v>1275</v>
      </c>
      <c r="L525" s="84"/>
      <c r="M525" s="84" t="s">
        <v>1179</v>
      </c>
      <c r="N525" s="84"/>
      <c r="O525" s="131">
        <f t="shared" si="40"/>
        <v>28</v>
      </c>
      <c r="P525" s="136" t="s">
        <v>2030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2447</v>
      </c>
      <c r="F526" t="s">
        <v>505</v>
      </c>
      <c r="G526" s="30" t="s">
        <v>1497</v>
      </c>
      <c r="H526" s="30" t="s">
        <v>1039</v>
      </c>
      <c r="I526" t="s">
        <v>1498</v>
      </c>
      <c r="J526" s="30" t="s">
        <v>1090</v>
      </c>
      <c r="K526" s="30" t="s">
        <v>2361</v>
      </c>
      <c r="L526" s="30"/>
      <c r="M526" s="30" t="s">
        <v>1499</v>
      </c>
      <c r="N526" s="30"/>
      <c r="O526" s="131">
        <f t="shared" si="40"/>
        <v>28</v>
      </c>
      <c r="P526" s="136" t="s">
        <v>2031</v>
      </c>
      <c r="Q526" s="131">
        <f t="shared" si="41"/>
        <v>0</v>
      </c>
      <c r="R526" s="132">
        <f t="shared" si="42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1546</v>
      </c>
      <c r="H527" s="84" t="s">
        <v>1039</v>
      </c>
      <c r="I527" s="73" t="s">
        <v>1547</v>
      </c>
      <c r="J527" s="84" t="s">
        <v>14</v>
      </c>
      <c r="K527" s="84" t="s">
        <v>1275</v>
      </c>
      <c r="L527" s="84"/>
      <c r="M527" s="84" t="s">
        <v>1548</v>
      </c>
      <c r="N527" s="84"/>
      <c r="O527" s="131">
        <f t="shared" si="40"/>
        <v>28</v>
      </c>
      <c r="P527" s="136" t="s">
        <v>2032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2447</v>
      </c>
      <c r="F528" t="s">
        <v>505</v>
      </c>
      <c r="G528" t="s">
        <v>513</v>
      </c>
      <c r="H528" t="s">
        <v>1039</v>
      </c>
      <c r="I528" t="s">
        <v>2186</v>
      </c>
      <c r="J528" s="30" t="s">
        <v>18</v>
      </c>
      <c r="K528" s="30" t="s">
        <v>2361</v>
      </c>
      <c r="L528" s="30"/>
      <c r="M528" s="30" t="s">
        <v>826</v>
      </c>
      <c r="N528" s="30"/>
      <c r="O528" s="31">
        <f t="shared" ref="O528:O593" si="43">COUNTIF(S528:AT528,"")</f>
        <v>27</v>
      </c>
      <c r="P528" s="136" t="s">
        <v>2005</v>
      </c>
      <c r="Q528" s="31">
        <f t="shared" ref="Q528:Q593" si="44">COUNTIF(S528:AT528,"APAGADO")</f>
        <v>1</v>
      </c>
      <c r="R528" s="32">
        <f t="shared" ref="R528:R593" si="45">(O528)/(Q528+O528)</f>
        <v>0.9642857142857143</v>
      </c>
      <c r="S528" s="70"/>
      <c r="T528" s="70" t="s">
        <v>2215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3"/>
        <v>28</v>
      </c>
      <c r="P529" s="136" t="s">
        <v>2006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2326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3"/>
        <v>28</v>
      </c>
      <c r="P530" s="136" t="s">
        <v>2007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2326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3"/>
        <v>28</v>
      </c>
      <c r="P531" s="136" t="s">
        <v>2008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1275</v>
      </c>
      <c r="L532" s="84"/>
      <c r="M532" s="84" t="s">
        <v>1469</v>
      </c>
      <c r="N532" s="84"/>
      <c r="O532" s="131">
        <f t="shared" si="43"/>
        <v>28</v>
      </c>
      <c r="P532" s="136" t="s">
        <v>2009</v>
      </c>
      <c r="Q532" s="131">
        <f t="shared" si="44"/>
        <v>0</v>
      </c>
      <c r="R532" s="1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3"/>
        <v>28</v>
      </c>
      <c r="P533" s="136" t="s">
        <v>2010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2447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2361</v>
      </c>
      <c r="L534" s="30"/>
      <c r="M534" s="30" t="s">
        <v>831</v>
      </c>
      <c r="N534" s="30"/>
      <c r="O534" s="31">
        <f t="shared" si="43"/>
        <v>28</v>
      </c>
      <c r="P534" s="136" t="s">
        <v>2011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1275</v>
      </c>
      <c r="L535" s="84"/>
      <c r="M535" s="84" t="s">
        <v>832</v>
      </c>
      <c r="N535" s="84"/>
      <c r="O535" s="131">
        <f t="shared" si="43"/>
        <v>24</v>
      </c>
      <c r="P535" s="136" t="s">
        <v>2012</v>
      </c>
      <c r="Q535" s="131">
        <f t="shared" si="44"/>
        <v>4</v>
      </c>
      <c r="R535" s="132">
        <f t="shared" si="45"/>
        <v>0.8571428571428571</v>
      </c>
      <c r="S535" s="70" t="s">
        <v>2215</v>
      </c>
      <c r="T535" s="70" t="s">
        <v>2215</v>
      </c>
      <c r="U535" s="70" t="s">
        <v>2215</v>
      </c>
      <c r="V535" s="70"/>
      <c r="W535" s="70"/>
      <c r="X535" s="70" t="s">
        <v>2215</v>
      </c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1230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3"/>
        <v>28</v>
      </c>
      <c r="P536" s="136" t="s">
        <v>2013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1275</v>
      </c>
      <c r="L537" s="30"/>
      <c r="M537" s="30" t="s">
        <v>835</v>
      </c>
      <c r="N537" s="30"/>
      <c r="O537" s="31">
        <f t="shared" si="43"/>
        <v>28</v>
      </c>
      <c r="P537" s="136" t="s">
        <v>2015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1233</v>
      </c>
      <c r="M538" s="30" t="s">
        <v>836</v>
      </c>
      <c r="N538" s="30"/>
      <c r="O538" s="31">
        <f t="shared" si="43"/>
        <v>24</v>
      </c>
      <c r="P538" s="136" t="s">
        <v>2016</v>
      </c>
      <c r="Q538" s="31">
        <f t="shared" si="44"/>
        <v>4</v>
      </c>
      <c r="R538" s="32">
        <f t="shared" si="45"/>
        <v>0.8571428571428571</v>
      </c>
      <c r="S538" s="70" t="s">
        <v>2215</v>
      </c>
      <c r="T538" s="70" t="s">
        <v>2215</v>
      </c>
      <c r="U538" s="70" t="s">
        <v>2215</v>
      </c>
      <c r="V538" s="70"/>
      <c r="W538" s="70"/>
      <c r="X538" s="70" t="s">
        <v>2215</v>
      </c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2447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2359</v>
      </c>
      <c r="L539" s="30"/>
      <c r="M539" s="30" t="s">
        <v>837</v>
      </c>
      <c r="N539" s="30"/>
      <c r="O539" s="31">
        <f t="shared" si="43"/>
        <v>24</v>
      </c>
      <c r="P539" s="136" t="s">
        <v>2017</v>
      </c>
      <c r="Q539" s="31">
        <f t="shared" si="44"/>
        <v>4</v>
      </c>
      <c r="R539" s="32">
        <f t="shared" si="45"/>
        <v>0.8571428571428571</v>
      </c>
      <c r="S539" s="70" t="s">
        <v>2215</v>
      </c>
      <c r="T539" s="70" t="s">
        <v>2215</v>
      </c>
      <c r="U539" s="70" t="s">
        <v>2215</v>
      </c>
      <c r="V539" s="70"/>
      <c r="W539" s="70"/>
      <c r="X539" s="70" t="s">
        <v>2215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2326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1236</v>
      </c>
      <c r="M540" s="30" t="s">
        <v>842</v>
      </c>
      <c r="N540" s="30"/>
      <c r="O540" s="31">
        <f t="shared" si="43"/>
        <v>28</v>
      </c>
      <c r="P540" s="136" t="s">
        <v>2022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3"/>
        <v>28</v>
      </c>
      <c r="P541" s="136" t="s">
        <v>2419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2447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2361</v>
      </c>
      <c r="L542" s="30"/>
      <c r="M542" s="30" t="s">
        <v>657</v>
      </c>
      <c r="N542" s="30"/>
      <c r="O542" s="31">
        <f t="shared" si="43"/>
        <v>28</v>
      </c>
      <c r="P542" s="136" t="s">
        <v>2026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2447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2361</v>
      </c>
      <c r="L543" s="30"/>
      <c r="M543" s="30" t="s">
        <v>846</v>
      </c>
      <c r="N543" s="30"/>
      <c r="O543" s="31">
        <f t="shared" si="43"/>
        <v>28</v>
      </c>
      <c r="P543" s="136" t="s">
        <v>2027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1549</v>
      </c>
      <c r="H544" s="84" t="s">
        <v>1039</v>
      </c>
      <c r="I544" s="73" t="s">
        <v>1550</v>
      </c>
      <c r="J544" s="84" t="s">
        <v>14</v>
      </c>
      <c r="K544" s="84" t="s">
        <v>1275</v>
      </c>
      <c r="L544" s="84"/>
      <c r="M544" s="84" t="s">
        <v>1551</v>
      </c>
      <c r="N544" s="84"/>
      <c r="O544" s="131">
        <f t="shared" si="43"/>
        <v>28</v>
      </c>
      <c r="P544" s="136" t="s">
        <v>2033</v>
      </c>
      <c r="Q544" s="131">
        <f t="shared" si="44"/>
        <v>0</v>
      </c>
      <c r="R544" s="1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2164</v>
      </c>
      <c r="H545" s="84" t="s">
        <v>1039</v>
      </c>
      <c r="I545" s="73" t="s">
        <v>2165</v>
      </c>
      <c r="J545" s="30" t="s">
        <v>71</v>
      </c>
      <c r="K545" s="84" t="s">
        <v>1275</v>
      </c>
      <c r="L545" s="84"/>
      <c r="M545" s="84" t="s">
        <v>2286</v>
      </c>
      <c r="N545" s="84"/>
      <c r="O545" s="131">
        <f t="shared" si="43"/>
        <v>24</v>
      </c>
      <c r="P545" s="136" t="s">
        <v>2166</v>
      </c>
      <c r="Q545" s="131">
        <f t="shared" si="44"/>
        <v>4</v>
      </c>
      <c r="R545" s="132">
        <f t="shared" si="45"/>
        <v>0.8571428571428571</v>
      </c>
      <c r="S545" s="70" t="s">
        <v>2215</v>
      </c>
      <c r="T545" s="70" t="s">
        <v>2215</v>
      </c>
      <c r="U545" s="70" t="s">
        <v>2215</v>
      </c>
      <c r="V545" s="70"/>
      <c r="W545" s="70"/>
      <c r="X545" s="70" t="s">
        <v>2215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2167</v>
      </c>
      <c r="H546" s="84" t="s">
        <v>1039</v>
      </c>
      <c r="I546" s="73" t="s">
        <v>2168</v>
      </c>
      <c r="J546" s="84" t="s">
        <v>14</v>
      </c>
      <c r="K546" s="84" t="s">
        <v>1275</v>
      </c>
      <c r="L546" s="84"/>
      <c r="M546" s="84" t="s">
        <v>2287</v>
      </c>
      <c r="N546" s="84"/>
      <c r="O546" s="131">
        <f t="shared" si="43"/>
        <v>24</v>
      </c>
      <c r="P546" s="136" t="s">
        <v>2169</v>
      </c>
      <c r="Q546" s="131">
        <f t="shared" si="44"/>
        <v>4</v>
      </c>
      <c r="R546" s="132">
        <f t="shared" si="45"/>
        <v>0.8571428571428571</v>
      </c>
      <c r="S546" s="70" t="s">
        <v>2215</v>
      </c>
      <c r="T546" s="70" t="s">
        <v>2215</v>
      </c>
      <c r="U546" s="70" t="s">
        <v>2215</v>
      </c>
      <c r="V546" s="70"/>
      <c r="W546" s="70"/>
      <c r="X546" s="70" t="s">
        <v>2215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2354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2259</v>
      </c>
      <c r="O547" s="31">
        <f t="shared" si="43"/>
        <v>28</v>
      </c>
      <c r="P547" s="136" t="s">
        <v>2034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2354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2259</v>
      </c>
      <c r="O548" s="31">
        <f t="shared" si="43"/>
        <v>28</v>
      </c>
      <c r="P548" s="136" t="s">
        <v>2035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2354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2259</v>
      </c>
      <c r="O549" s="31">
        <f t="shared" si="43"/>
        <v>28</v>
      </c>
      <c r="P549" s="136" t="s">
        <v>2467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2354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2259</v>
      </c>
      <c r="O550" s="31">
        <f t="shared" si="43"/>
        <v>28</v>
      </c>
      <c r="P550" s="136" t="s">
        <v>2036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2354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2259</v>
      </c>
      <c r="O551" s="31">
        <f t="shared" si="43"/>
        <v>28</v>
      </c>
      <c r="P551" s="136" t="s">
        <v>2037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2354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2259</v>
      </c>
      <c r="O552" s="31">
        <f t="shared" si="43"/>
        <v>28</v>
      </c>
      <c r="P552" s="136" t="s">
        <v>2038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2354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2259</v>
      </c>
      <c r="O553" s="31">
        <f t="shared" si="43"/>
        <v>28</v>
      </c>
      <c r="P553" s="136" t="s">
        <v>2039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2354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1471</v>
      </c>
      <c r="N554" s="84" t="s">
        <v>2259</v>
      </c>
      <c r="O554" s="31">
        <f t="shared" si="43"/>
        <v>28</v>
      </c>
      <c r="P554" s="136" t="s">
        <v>2040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2449</v>
      </c>
      <c r="F555" t="s">
        <v>376</v>
      </c>
      <c r="G555" s="30" t="s">
        <v>2124</v>
      </c>
      <c r="H555" s="73" t="s">
        <v>1038</v>
      </c>
      <c r="I555" t="s">
        <v>2125</v>
      </c>
      <c r="J555" s="84" t="s">
        <v>45</v>
      </c>
      <c r="K555" s="30" t="s">
        <v>2361</v>
      </c>
      <c r="L555" s="30"/>
      <c r="M555" s="30" t="s">
        <v>2126</v>
      </c>
      <c r="N555" s="30" t="s">
        <v>2259</v>
      </c>
      <c r="O555" s="31">
        <f t="shared" si="43"/>
        <v>28</v>
      </c>
      <c r="P555" s="136" t="s">
        <v>2127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1318</v>
      </c>
      <c r="H556" s="84" t="s">
        <v>1038</v>
      </c>
      <c r="I556" s="73" t="s">
        <v>1319</v>
      </c>
      <c r="J556" s="89" t="s">
        <v>14</v>
      </c>
      <c r="K556" s="84" t="s">
        <v>1275</v>
      </c>
      <c r="L556" s="84"/>
      <c r="M556" s="84" t="s">
        <v>1324</v>
      </c>
      <c r="N556" s="84"/>
      <c r="O556" s="131">
        <f t="shared" si="43"/>
        <v>28</v>
      </c>
      <c r="P556" s="136" t="s">
        <v>2041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2423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3"/>
        <v>28</v>
      </c>
      <c r="P557" s="136" t="s">
        <v>2042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1275</v>
      </c>
      <c r="L558" s="84"/>
      <c r="M558" s="84" t="s">
        <v>1342</v>
      </c>
      <c r="N558" s="84"/>
      <c r="O558" s="131">
        <f t="shared" si="43"/>
        <v>24</v>
      </c>
      <c r="P558" s="136" t="s">
        <v>2043</v>
      </c>
      <c r="Q558" s="131">
        <f t="shared" si="44"/>
        <v>4</v>
      </c>
      <c r="R558" s="132">
        <f t="shared" si="45"/>
        <v>0.8571428571428571</v>
      </c>
      <c r="S558" s="70" t="s">
        <v>2215</v>
      </c>
      <c r="T558" s="70" t="s">
        <v>2215</v>
      </c>
      <c r="U558" s="70" t="s">
        <v>2215</v>
      </c>
      <c r="V558" s="70"/>
      <c r="W558" s="70"/>
      <c r="X558" s="70" t="s">
        <v>2215</v>
      </c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1275</v>
      </c>
      <c r="L559" s="84"/>
      <c r="M559" s="84" t="s">
        <v>1400</v>
      </c>
      <c r="N559" s="84"/>
      <c r="O559" s="131">
        <f t="shared" si="43"/>
        <v>28</v>
      </c>
      <c r="P559" s="136" t="s">
        <v>2044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2330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1237</v>
      </c>
      <c r="M560" s="30" t="s">
        <v>855</v>
      </c>
      <c r="N560" s="30"/>
      <c r="O560" s="31">
        <f t="shared" si="43"/>
        <v>28</v>
      </c>
      <c r="P560" s="136" t="s">
        <v>2045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1275</v>
      </c>
      <c r="L561" s="84"/>
      <c r="M561" s="84" t="s">
        <v>1470</v>
      </c>
      <c r="N561" s="84"/>
      <c r="O561" s="131">
        <f t="shared" si="43"/>
        <v>28</v>
      </c>
      <c r="P561" s="136" t="s">
        <v>2046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1286</v>
      </c>
      <c r="H562" t="s">
        <v>1038</v>
      </c>
      <c r="I562" t="s">
        <v>2141</v>
      </c>
      <c r="J562" s="84" t="s">
        <v>14</v>
      </c>
      <c r="K562" s="84" t="s">
        <v>1275</v>
      </c>
      <c r="L562" s="30"/>
      <c r="M562" s="30" t="s">
        <v>2288</v>
      </c>
      <c r="N562" s="30"/>
      <c r="O562" s="31">
        <f t="shared" si="43"/>
        <v>28</v>
      </c>
      <c r="P562" s="136" t="s">
        <v>2142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2083</v>
      </c>
      <c r="H563" t="s">
        <v>1038</v>
      </c>
      <c r="I563" s="73" t="s">
        <v>2084</v>
      </c>
      <c r="J563" s="84" t="s">
        <v>14</v>
      </c>
      <c r="K563" s="84" t="s">
        <v>1275</v>
      </c>
      <c r="L563" s="30"/>
      <c r="M563" s="30" t="s">
        <v>2289</v>
      </c>
      <c r="N563" s="30"/>
      <c r="O563" s="31">
        <f t="shared" si="43"/>
        <v>28</v>
      </c>
      <c r="P563" s="136" t="s">
        <v>2085</v>
      </c>
      <c r="Q563" s="31">
        <f t="shared" si="44"/>
        <v>0</v>
      </c>
      <c r="R563" s="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2088</v>
      </c>
      <c r="G564" s="73" t="s">
        <v>2086</v>
      </c>
      <c r="H564" t="s">
        <v>1038</v>
      </c>
      <c r="I564" s="73" t="s">
        <v>2087</v>
      </c>
      <c r="J564" s="84" t="s">
        <v>14</v>
      </c>
      <c r="K564" s="84" t="s">
        <v>1275</v>
      </c>
      <c r="L564" s="84"/>
      <c r="M564" s="84" t="s">
        <v>2290</v>
      </c>
      <c r="N564" s="84"/>
      <c r="O564" s="131">
        <f t="shared" si="43"/>
        <v>28</v>
      </c>
      <c r="P564" s="136" t="s">
        <v>2089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1275</v>
      </c>
      <c r="L565" s="84"/>
      <c r="M565" s="84" t="s">
        <v>856</v>
      </c>
      <c r="N565" s="84"/>
      <c r="O565" s="131">
        <f t="shared" si="43"/>
        <v>27</v>
      </c>
      <c r="P565" s="136" t="s">
        <v>2047</v>
      </c>
      <c r="Q565" s="131">
        <f t="shared" si="44"/>
        <v>1</v>
      </c>
      <c r="R565" s="132">
        <f t="shared" si="45"/>
        <v>0.9642857142857143</v>
      </c>
      <c r="S565" s="70"/>
      <c r="T565" s="70"/>
      <c r="U565" s="70" t="s">
        <v>2215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1430</v>
      </c>
      <c r="H566" s="73" t="s">
        <v>1039</v>
      </c>
      <c r="I566" s="73" t="s">
        <v>560</v>
      </c>
      <c r="J566" s="84" t="s">
        <v>14</v>
      </c>
      <c r="K566" s="84" t="s">
        <v>1275</v>
      </c>
      <c r="L566" s="84"/>
      <c r="M566" s="84" t="s">
        <v>857</v>
      </c>
      <c r="N566" s="84"/>
      <c r="O566" s="131">
        <f t="shared" si="43"/>
        <v>24</v>
      </c>
      <c r="P566" s="136" t="s">
        <v>2048</v>
      </c>
      <c r="Q566" s="131">
        <f t="shared" si="44"/>
        <v>4</v>
      </c>
      <c r="R566" s="132">
        <f t="shared" si="45"/>
        <v>0.8571428571428571</v>
      </c>
      <c r="S566" s="70" t="s">
        <v>2215</v>
      </c>
      <c r="T566" s="70" t="s">
        <v>2215</v>
      </c>
      <c r="U566" s="70" t="s">
        <v>2215</v>
      </c>
      <c r="V566" s="70"/>
      <c r="W566" s="70"/>
      <c r="X566" s="70" t="s">
        <v>2215</v>
      </c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1275</v>
      </c>
      <c r="L567" s="84"/>
      <c r="M567" s="84" t="s">
        <v>858</v>
      </c>
      <c r="N567" s="84"/>
      <c r="O567" s="131">
        <f t="shared" si="43"/>
        <v>28</v>
      </c>
      <c r="P567" s="136" t="s">
        <v>2049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1275</v>
      </c>
      <c r="L568" s="84"/>
      <c r="M568" s="84" t="s">
        <v>859</v>
      </c>
      <c r="N568" s="84"/>
      <c r="O568" s="131">
        <f t="shared" si="43"/>
        <v>28</v>
      </c>
      <c r="P568" s="136" t="s">
        <v>2050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2443</v>
      </c>
      <c r="F569" s="73" t="s">
        <v>557</v>
      </c>
      <c r="G569" s="73" t="s">
        <v>1602</v>
      </c>
      <c r="H569" s="73" t="s">
        <v>1039</v>
      </c>
      <c r="I569" s="73" t="s">
        <v>1609</v>
      </c>
      <c r="J569" s="84" t="s">
        <v>1090</v>
      </c>
      <c r="K569" s="84" t="s">
        <v>1275</v>
      </c>
      <c r="L569" s="84"/>
      <c r="M569" s="84" t="s">
        <v>1604</v>
      </c>
      <c r="N569" s="84"/>
      <c r="O569" s="131">
        <f t="shared" si="43"/>
        <v>26</v>
      </c>
      <c r="P569" s="136" t="s">
        <v>2131</v>
      </c>
      <c r="Q569" s="131">
        <f t="shared" si="44"/>
        <v>2</v>
      </c>
      <c r="R569" s="132">
        <f t="shared" si="45"/>
        <v>0.9285714285714286</v>
      </c>
      <c r="S569" s="70" t="s">
        <v>2215</v>
      </c>
      <c r="T569" s="70" t="s">
        <v>2215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2078</v>
      </c>
      <c r="H570" s="73" t="s">
        <v>1039</v>
      </c>
      <c r="I570" s="73" t="s">
        <v>2469</v>
      </c>
      <c r="J570" s="30" t="s">
        <v>14</v>
      </c>
      <c r="K570" s="84" t="s">
        <v>1275</v>
      </c>
      <c r="L570" s="84"/>
      <c r="M570" s="84" t="s">
        <v>2080</v>
      </c>
      <c r="N570" s="84"/>
      <c r="O570" s="131">
        <f t="shared" si="43"/>
        <v>24</v>
      </c>
      <c r="P570" s="136"/>
      <c r="Q570" s="131">
        <f t="shared" si="44"/>
        <v>4</v>
      </c>
      <c r="R570" s="132">
        <f t="shared" si="45"/>
        <v>0.8571428571428571</v>
      </c>
      <c r="S570" s="70" t="s">
        <v>2215</v>
      </c>
      <c r="T570" s="70" t="s">
        <v>2215</v>
      </c>
      <c r="U570" s="70" t="s">
        <v>2215</v>
      </c>
      <c r="V570" s="70"/>
      <c r="W570" s="70"/>
      <c r="X570" s="70" t="s">
        <v>2215</v>
      </c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1615</v>
      </c>
      <c r="H571" s="73" t="s">
        <v>1039</v>
      </c>
      <c r="I571" s="73" t="s">
        <v>1616</v>
      </c>
      <c r="J571" s="84" t="s">
        <v>14</v>
      </c>
      <c r="K571" s="84" t="s">
        <v>1275</v>
      </c>
      <c r="L571" s="84"/>
      <c r="M571" s="84" t="s">
        <v>1617</v>
      </c>
      <c r="N571" s="84"/>
      <c r="O571" s="131">
        <f t="shared" si="43"/>
        <v>28</v>
      </c>
      <c r="P571" s="136" t="s">
        <v>2132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2463</v>
      </c>
      <c r="H572" s="73" t="s">
        <v>1039</v>
      </c>
      <c r="I572" s="73" t="s">
        <v>2464</v>
      </c>
      <c r="J572" s="84" t="s">
        <v>14</v>
      </c>
      <c r="K572" s="84" t="s">
        <v>1275</v>
      </c>
      <c r="L572" s="84"/>
      <c r="M572" s="84" t="s">
        <v>2465</v>
      </c>
      <c r="N572" s="84"/>
      <c r="O572" s="131"/>
      <c r="P572" s="136" t="s">
        <v>2466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2456</v>
      </c>
      <c r="B573" t="s">
        <v>73</v>
      </c>
      <c r="C573" t="s">
        <v>2457</v>
      </c>
      <c r="D573" t="s">
        <v>610</v>
      </c>
      <c r="E573" s="155" t="s">
        <v>2458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1275</v>
      </c>
      <c r="L573" s="30"/>
      <c r="M573" s="30" t="s">
        <v>860</v>
      </c>
      <c r="N573" s="30"/>
      <c r="O573" s="31">
        <f t="shared" si="43"/>
        <v>28</v>
      </c>
      <c r="P573" s="136" t="s">
        <v>2128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1275</v>
      </c>
      <c r="D574" t="s">
        <v>1349</v>
      </c>
      <c r="E574" t="s">
        <v>2459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2361</v>
      </c>
      <c r="L574" s="30"/>
      <c r="M574" s="30" t="s">
        <v>861</v>
      </c>
      <c r="N574" s="30"/>
      <c r="O574" s="31">
        <f t="shared" si="43"/>
        <v>28</v>
      </c>
      <c r="P574" s="136" t="s">
        <v>2051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2457</v>
      </c>
      <c r="D575" t="s">
        <v>643</v>
      </c>
      <c r="E575" t="s">
        <v>2459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1275</v>
      </c>
      <c r="L575" s="30"/>
      <c r="M575" s="30" t="s">
        <v>862</v>
      </c>
      <c r="N575" s="30"/>
      <c r="O575" s="31">
        <f t="shared" si="43"/>
        <v>28</v>
      </c>
      <c r="P575" s="136" t="s">
        <v>2129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2457</v>
      </c>
      <c r="D576" t="s">
        <v>1429</v>
      </c>
      <c r="E576" s="126" t="s">
        <v>2460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2361</v>
      </c>
      <c r="L576" s="30"/>
      <c r="M576" s="30" t="s">
        <v>863</v>
      </c>
      <c r="N576" s="30"/>
      <c r="O576" s="31">
        <f t="shared" si="43"/>
        <v>28</v>
      </c>
      <c r="P576" s="136" t="s">
        <v>2052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1275</v>
      </c>
      <c r="D577" t="s">
        <v>1329</v>
      </c>
      <c r="E577" t="s">
        <v>2459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1275</v>
      </c>
      <c r="L577" s="84"/>
      <c r="M577" s="84" t="s">
        <v>864</v>
      </c>
      <c r="N577" s="84"/>
      <c r="O577" s="131">
        <f t="shared" si="43"/>
        <v>28</v>
      </c>
      <c r="P577" s="136" t="s">
        <v>2053</v>
      </c>
      <c r="Q577" s="131">
        <f t="shared" si="44"/>
        <v>0</v>
      </c>
      <c r="R577" s="1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2457</v>
      </c>
      <c r="D578" t="s">
        <v>667</v>
      </c>
      <c r="E578" s="156" t="s">
        <v>2461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1370</v>
      </c>
      <c r="N578" s="30"/>
      <c r="O578" s="31">
        <f t="shared" si="43"/>
        <v>28</v>
      </c>
      <c r="P578" s="136" t="s">
        <v>2130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1298</v>
      </c>
      <c r="B579" t="s">
        <v>1299</v>
      </c>
      <c r="C579" t="s">
        <v>1275</v>
      </c>
      <c r="D579" t="s">
        <v>1300</v>
      </c>
      <c r="E579" t="s">
        <v>2459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3"/>
        <v>28</v>
      </c>
      <c r="P579" s="136" t="s">
        <v>2054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2190</v>
      </c>
      <c r="B580" t="s">
        <v>2191</v>
      </c>
      <c r="C580" t="s">
        <v>2457</v>
      </c>
      <c r="D580" t="s">
        <v>2192</v>
      </c>
      <c r="E580" s="156" t="s">
        <v>2461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3"/>
        <v>28</v>
      </c>
      <c r="P580" s="136" t="s">
        <v>2055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1275</v>
      </c>
      <c r="D581" t="s">
        <v>1379</v>
      </c>
      <c r="E581" t="s">
        <v>2459</v>
      </c>
      <c r="F581" t="s">
        <v>165</v>
      </c>
      <c r="G581" t="s">
        <v>1028</v>
      </c>
      <c r="H581" t="s">
        <v>1039</v>
      </c>
      <c r="I581" t="s">
        <v>1083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3"/>
        <v>28</v>
      </c>
      <c r="P581" s="136" t="s">
        <v>2056</v>
      </c>
      <c r="Q581" s="31">
        <f t="shared" si="44"/>
        <v>0</v>
      </c>
      <c r="R581" s="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1204</v>
      </c>
      <c r="B582" t="s">
        <v>1203</v>
      </c>
      <c r="C582" t="s">
        <v>1275</v>
      </c>
      <c r="D582" t="s">
        <v>1213</v>
      </c>
      <c r="E582" s="156" t="s">
        <v>2461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1194</v>
      </c>
      <c r="N582" s="30"/>
      <c r="O582" s="31">
        <f t="shared" si="43"/>
        <v>24</v>
      </c>
      <c r="P582" s="136" t="s">
        <v>2057</v>
      </c>
      <c r="Q582" s="31">
        <f t="shared" si="44"/>
        <v>4</v>
      </c>
      <c r="R582" s="32">
        <f t="shared" si="45"/>
        <v>0.8571428571428571</v>
      </c>
      <c r="S582" s="70" t="s">
        <v>2215</v>
      </c>
      <c r="T582" s="70" t="s">
        <v>2215</v>
      </c>
      <c r="U582" s="70" t="s">
        <v>2215</v>
      </c>
      <c r="V582" s="70"/>
      <c r="W582" s="70"/>
      <c r="X582" s="70" t="s">
        <v>2215</v>
      </c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2457</v>
      </c>
      <c r="D583" t="s">
        <v>711</v>
      </c>
      <c r="E583" s="156" t="s">
        <v>2461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1275</v>
      </c>
      <c r="L583" s="30"/>
      <c r="M583" s="30" t="s">
        <v>869</v>
      </c>
      <c r="N583" s="30"/>
      <c r="O583" s="31">
        <f t="shared" si="43"/>
        <v>28</v>
      </c>
      <c r="P583" s="136" t="s">
        <v>2059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1290</v>
      </c>
      <c r="B584" t="s">
        <v>1293</v>
      </c>
      <c r="C584" t="s">
        <v>2457</v>
      </c>
      <c r="D584" t="s">
        <v>1305</v>
      </c>
      <c r="E584" s="156" t="s">
        <v>2461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1275</v>
      </c>
      <c r="L584" s="30"/>
      <c r="M584" s="30" t="s">
        <v>870</v>
      </c>
      <c r="N584" s="30"/>
      <c r="O584" s="31">
        <f t="shared" si="43"/>
        <v>28</v>
      </c>
      <c r="P584" s="136" t="s">
        <v>2060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1219</v>
      </c>
      <c r="B585" t="s">
        <v>1220</v>
      </c>
      <c r="C585" t="s">
        <v>1275</v>
      </c>
      <c r="D585" t="s">
        <v>1221</v>
      </c>
      <c r="E585" t="s">
        <v>2459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1275</v>
      </c>
      <c r="L585" s="30"/>
      <c r="M585" s="30" t="s">
        <v>868</v>
      </c>
      <c r="N585" s="30"/>
      <c r="O585" s="31">
        <f t="shared" si="43"/>
        <v>28</v>
      </c>
      <c r="P585" s="136" t="s">
        <v>2058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1258</v>
      </c>
      <c r="B586" t="s">
        <v>1259</v>
      </c>
      <c r="C586" t="s">
        <v>1032</v>
      </c>
      <c r="D586" t="s">
        <v>1333</v>
      </c>
      <c r="E586" t="s">
        <v>2459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1275</v>
      </c>
      <c r="L586" s="30"/>
      <c r="M586" s="30" t="s">
        <v>871</v>
      </c>
      <c r="N586" s="30"/>
      <c r="O586" s="31">
        <f t="shared" si="43"/>
        <v>28</v>
      </c>
      <c r="P586" s="136" t="s">
        <v>2061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2457</v>
      </c>
      <c r="D587" t="s">
        <v>725</v>
      </c>
      <c r="E587" t="s">
        <v>2459</v>
      </c>
      <c r="F587" t="s">
        <v>573</v>
      </c>
      <c r="G587" t="s">
        <v>2452</v>
      </c>
      <c r="H587" t="s">
        <v>1039</v>
      </c>
      <c r="I587" t="s">
        <v>2453</v>
      </c>
      <c r="J587" s="30" t="s">
        <v>14</v>
      </c>
      <c r="K587" s="30" t="s">
        <v>1275</v>
      </c>
      <c r="L587" s="30"/>
      <c r="M587" s="30" t="s">
        <v>2454</v>
      </c>
      <c r="N587" s="154"/>
      <c r="O587" s="152">
        <f t="shared" si="43"/>
        <v>28</v>
      </c>
      <c r="P587" s="153" t="s">
        <v>2455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1316</v>
      </c>
      <c r="B588" t="s">
        <v>1317</v>
      </c>
      <c r="C588" t="s">
        <v>1275</v>
      </c>
      <c r="D588" t="s">
        <v>1331</v>
      </c>
      <c r="E588" t="s">
        <v>2459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1275</v>
      </c>
      <c r="L588" s="84"/>
      <c r="M588" s="84" t="s">
        <v>872</v>
      </c>
      <c r="N588" s="84"/>
      <c r="O588" s="131">
        <f t="shared" si="43"/>
        <v>28</v>
      </c>
      <c r="P588" s="136" t="s">
        <v>2145</v>
      </c>
      <c r="Q588" s="131">
        <f t="shared" si="44"/>
        <v>0</v>
      </c>
      <c r="R588" s="132">
        <f t="shared" si="45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1309</v>
      </c>
      <c r="B589" t="s">
        <v>1310</v>
      </c>
      <c r="C589" t="s">
        <v>2457</v>
      </c>
      <c r="D589" t="s">
        <v>1320</v>
      </c>
      <c r="E589" s="156" t="s">
        <v>2461</v>
      </c>
      <c r="F589" s="73" t="s">
        <v>578</v>
      </c>
      <c r="G589" s="73" t="s">
        <v>2194</v>
      </c>
      <c r="H589" s="73" t="s">
        <v>1039</v>
      </c>
      <c r="I589" s="73" t="s">
        <v>2195</v>
      </c>
      <c r="J589" s="84" t="s">
        <v>14</v>
      </c>
      <c r="K589" s="84" t="s">
        <v>1275</v>
      </c>
      <c r="L589" s="84"/>
      <c r="M589" s="84" t="s">
        <v>2196</v>
      </c>
      <c r="N589" s="84"/>
      <c r="O589" s="131">
        <f t="shared" si="43"/>
        <v>28</v>
      </c>
      <c r="P589" s="136" t="s">
        <v>2197</v>
      </c>
      <c r="Q589" s="131">
        <f t="shared" si="44"/>
        <v>0</v>
      </c>
      <c r="R589" s="1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1538</v>
      </c>
      <c r="B590" t="s">
        <v>1542</v>
      </c>
      <c r="C590" t="s">
        <v>1275</v>
      </c>
      <c r="D590" t="s">
        <v>1543</v>
      </c>
      <c r="E590" s="156" t="s">
        <v>2461</v>
      </c>
      <c r="F590" s="73" t="s">
        <v>578</v>
      </c>
      <c r="G590" s="73" t="s">
        <v>2207</v>
      </c>
      <c r="H590" s="73" t="s">
        <v>1039</v>
      </c>
      <c r="I590" s="73" t="s">
        <v>2208</v>
      </c>
      <c r="J590" s="84" t="s">
        <v>14</v>
      </c>
      <c r="K590" s="84" t="s">
        <v>1275</v>
      </c>
      <c r="L590" s="84"/>
      <c r="M590" s="84" t="s">
        <v>2291</v>
      </c>
      <c r="N590" s="84"/>
      <c r="O590" s="131">
        <f t="shared" si="43"/>
        <v>28</v>
      </c>
      <c r="P590" s="136" t="s">
        <v>2420</v>
      </c>
      <c r="Q590" s="131">
        <f t="shared" si="44"/>
        <v>0</v>
      </c>
      <c r="R590" s="1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2459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3"/>
        <v>27</v>
      </c>
      <c r="P591" s="136" t="s">
        <v>2147</v>
      </c>
      <c r="Q591" s="31">
        <f t="shared" si="44"/>
        <v>1</v>
      </c>
      <c r="R591" s="32">
        <f t="shared" si="45"/>
        <v>0.9642857142857143</v>
      </c>
      <c r="S591" s="70"/>
      <c r="T591" s="70"/>
      <c r="U591" s="70" t="s">
        <v>2215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2457</v>
      </c>
      <c r="D592" s="69" t="s">
        <v>774</v>
      </c>
      <c r="E592" s="69" t="s">
        <v>2459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3"/>
        <v>28</v>
      </c>
      <c r="P592" s="136" t="s">
        <v>2148</v>
      </c>
      <c r="Q592" s="31">
        <f t="shared" si="44"/>
        <v>0</v>
      </c>
      <c r="R592" s="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2457</v>
      </c>
      <c r="D593" s="69" t="s">
        <v>775</v>
      </c>
      <c r="E593" s="69" t="s">
        <v>2459</v>
      </c>
      <c r="F593" t="s">
        <v>581</v>
      </c>
      <c r="G593" s="30" t="s">
        <v>1091</v>
      </c>
      <c r="H593" s="30" t="s">
        <v>1039</v>
      </c>
      <c r="I593" t="s">
        <v>1093</v>
      </c>
      <c r="J593" s="30" t="s">
        <v>1090</v>
      </c>
      <c r="K593" s="30" t="s">
        <v>27</v>
      </c>
      <c r="L593" s="30"/>
      <c r="M593" s="30" t="s">
        <v>1098</v>
      </c>
      <c r="N593" s="30"/>
      <c r="O593" s="31">
        <f t="shared" si="43"/>
        <v>28</v>
      </c>
      <c r="P593" s="136" t="s">
        <v>2063</v>
      </c>
      <c r="Q593" s="31">
        <f t="shared" si="44"/>
        <v>0</v>
      </c>
      <c r="R593" s="32">
        <f t="shared" si="45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2457</v>
      </c>
      <c r="D594" s="69" t="s">
        <v>888</v>
      </c>
      <c r="E594" s="69" t="s">
        <v>2459</v>
      </c>
      <c r="F594" t="s">
        <v>581</v>
      </c>
      <c r="G594" s="30" t="s">
        <v>1092</v>
      </c>
      <c r="H594" s="30" t="s">
        <v>1039</v>
      </c>
      <c r="I594" t="s">
        <v>1093</v>
      </c>
      <c r="J594" s="30" t="s">
        <v>1090</v>
      </c>
      <c r="K594" s="30" t="s">
        <v>27</v>
      </c>
      <c r="L594" s="30"/>
      <c r="M594" s="30" t="s">
        <v>1099</v>
      </c>
      <c r="N594" s="30"/>
      <c r="O594" s="31">
        <f t="shared" ref="O594:O605" si="46">COUNTIF(S594:AT594,"")</f>
        <v>28</v>
      </c>
      <c r="P594" s="136" t="s">
        <v>2062</v>
      </c>
      <c r="Q594" s="31">
        <f t="shared" ref="Q594:Q605" si="47">COUNTIF(S594:AT594,"APAGADO")</f>
        <v>0</v>
      </c>
      <c r="R594" s="32">
        <f t="shared" ref="R594:R605" si="48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2457</v>
      </c>
      <c r="D595" s="69" t="s">
        <v>889</v>
      </c>
      <c r="E595" s="69" t="s">
        <v>2459</v>
      </c>
      <c r="F595" t="s">
        <v>581</v>
      </c>
      <c r="G595" s="30" t="s">
        <v>1175</v>
      </c>
      <c r="H595" s="30" t="s">
        <v>1039</v>
      </c>
      <c r="I595" t="s">
        <v>1176</v>
      </c>
      <c r="J595" s="30" t="s">
        <v>14</v>
      </c>
      <c r="K595" s="30" t="s">
        <v>27</v>
      </c>
      <c r="L595" s="30"/>
      <c r="M595" s="30" t="s">
        <v>1177</v>
      </c>
      <c r="N595" s="30"/>
      <c r="O595" s="31">
        <f t="shared" si="46"/>
        <v>28</v>
      </c>
      <c r="P595" s="136" t="s">
        <v>2064</v>
      </c>
      <c r="Q595" s="31">
        <f t="shared" si="47"/>
        <v>0</v>
      </c>
      <c r="R595" s="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2214</v>
      </c>
      <c r="B596" t="s">
        <v>2233</v>
      </c>
      <c r="C596" t="s">
        <v>2462</v>
      </c>
      <c r="D596" t="s">
        <v>2293</v>
      </c>
      <c r="E596" t="s">
        <v>2459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6"/>
        <v>28</v>
      </c>
      <c r="P596" s="136" t="s">
        <v>2146</v>
      </c>
      <c r="Q596" s="31">
        <f t="shared" si="47"/>
        <v>0</v>
      </c>
      <c r="R596" s="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1275</v>
      </c>
      <c r="D597" t="s">
        <v>1342</v>
      </c>
      <c r="E597" s="156" t="s">
        <v>2461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1275</v>
      </c>
      <c r="L597" s="84"/>
      <c r="M597" s="84" t="s">
        <v>1401</v>
      </c>
      <c r="N597" s="84"/>
      <c r="O597" s="131">
        <f t="shared" si="46"/>
        <v>28</v>
      </c>
      <c r="P597" s="136" t="s">
        <v>2068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2458</v>
      </c>
      <c r="F598" s="73" t="s">
        <v>589</v>
      </c>
      <c r="G598" s="73" t="s">
        <v>1414</v>
      </c>
      <c r="H598" s="73" t="s">
        <v>1038</v>
      </c>
      <c r="I598" s="73" t="s">
        <v>1415</v>
      </c>
      <c r="J598" s="84" t="s">
        <v>45</v>
      </c>
      <c r="K598" s="84" t="s">
        <v>1275</v>
      </c>
      <c r="L598" s="84"/>
      <c r="M598" s="84" t="s">
        <v>1420</v>
      </c>
      <c r="N598" s="84"/>
      <c r="O598" s="131">
        <f t="shared" si="46"/>
        <v>28</v>
      </c>
      <c r="P598" s="136" t="s">
        <v>2069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1286</v>
      </c>
      <c r="B599" t="s">
        <v>2141</v>
      </c>
      <c r="C599" t="s">
        <v>1275</v>
      </c>
      <c r="D599" t="s">
        <v>2288</v>
      </c>
      <c r="E599" s="156" t="s">
        <v>2461</v>
      </c>
      <c r="F599" s="73" t="s">
        <v>589</v>
      </c>
      <c r="G599" s="73" t="s">
        <v>1417</v>
      </c>
      <c r="H599" s="73" t="s">
        <v>1038</v>
      </c>
      <c r="I599" s="73" t="s">
        <v>1416</v>
      </c>
      <c r="J599" s="84" t="s">
        <v>71</v>
      </c>
      <c r="K599" s="84" t="s">
        <v>1275</v>
      </c>
      <c r="L599" s="84"/>
      <c r="M599" s="84" t="s">
        <v>1421</v>
      </c>
      <c r="N599" s="84"/>
      <c r="O599" s="131">
        <f t="shared" si="46"/>
        <v>28</v>
      </c>
      <c r="P599" s="136" t="s">
        <v>2070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1418</v>
      </c>
      <c r="H600" s="73" t="s">
        <v>1038</v>
      </c>
      <c r="I600" s="73" t="s">
        <v>1419</v>
      </c>
      <c r="J600" s="84" t="s">
        <v>71</v>
      </c>
      <c r="K600" s="84" t="s">
        <v>1275</v>
      </c>
      <c r="L600" s="84"/>
      <c r="M600" s="84" t="s">
        <v>1422</v>
      </c>
      <c r="N600" s="84"/>
      <c r="O600" s="131">
        <f t="shared" si="46"/>
        <v>28</v>
      </c>
      <c r="P600" s="136" t="s">
        <v>2071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2448</v>
      </c>
      <c r="F601" s="73" t="s">
        <v>589</v>
      </c>
      <c r="G601" s="73" t="s">
        <v>2072</v>
      </c>
      <c r="H601" s="73" t="s">
        <v>1038</v>
      </c>
      <c r="I601" s="73" t="s">
        <v>2073</v>
      </c>
      <c r="J601" s="84" t="s">
        <v>14</v>
      </c>
      <c r="K601" s="84" t="s">
        <v>1275</v>
      </c>
      <c r="L601" s="84"/>
      <c r="M601" s="84" t="s">
        <v>2292</v>
      </c>
      <c r="N601" s="84"/>
      <c r="O601" s="131">
        <f t="shared" si="46"/>
        <v>28</v>
      </c>
      <c r="P601" s="136" t="s">
        <v>2074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2220</v>
      </c>
      <c r="H602" s="73" t="s">
        <v>1038</v>
      </c>
      <c r="I602" s="73" t="s">
        <v>2221</v>
      </c>
      <c r="J602" s="84" t="s">
        <v>14</v>
      </c>
      <c r="K602" s="84" t="s">
        <v>1275</v>
      </c>
      <c r="L602" s="84"/>
      <c r="M602" s="84" t="s">
        <v>2222</v>
      </c>
      <c r="N602" s="84"/>
      <c r="O602" s="131">
        <f t="shared" si="46"/>
        <v>28</v>
      </c>
      <c r="P602" s="136" t="s">
        <v>2223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2448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1275</v>
      </c>
      <c r="L603" s="84"/>
      <c r="M603" s="84" t="s">
        <v>1343</v>
      </c>
      <c r="N603" s="84"/>
      <c r="O603" s="131">
        <f t="shared" si="46"/>
        <v>28</v>
      </c>
      <c r="P603" s="136" t="s">
        <v>2065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1275</v>
      </c>
      <c r="L604" s="84"/>
      <c r="M604" s="84" t="s">
        <v>1340</v>
      </c>
      <c r="N604" s="84"/>
      <c r="O604" s="131">
        <f t="shared" si="46"/>
        <v>28</v>
      </c>
      <c r="P604" s="136" t="s">
        <v>2066</v>
      </c>
      <c r="Q604" s="131">
        <f t="shared" si="47"/>
        <v>0</v>
      </c>
      <c r="R604" s="132">
        <f t="shared" si="48"/>
        <v>1</v>
      </c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1275</v>
      </c>
      <c r="L605" s="84"/>
      <c r="M605" s="84" t="s">
        <v>1472</v>
      </c>
      <c r="N605" s="84"/>
      <c r="O605" s="131">
        <f t="shared" si="46"/>
        <v>28</v>
      </c>
      <c r="P605" s="136" t="s">
        <v>2067</v>
      </c>
      <c r="Q605" s="131">
        <f t="shared" si="47"/>
        <v>0</v>
      </c>
      <c r="R605" s="132">
        <f t="shared" si="48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2328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2328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2328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2328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2328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2328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2328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2328</v>
      </c>
      <c r="P613" s="136"/>
    </row>
    <row r="614" spans="1:19" x14ac:dyDescent="0.25">
      <c r="A614"/>
      <c r="B614"/>
      <c r="E614" s="150" t="s">
        <v>2451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2326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2326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2326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6 H393:I393 I131:I147 I155:I156 I164:I165 I218:I221 I225:I228 I233:I236 I261 I271:I272 I279 I285:I290 I300:I302 I378:I383 I392 I409:I413 I425:I427 I430:I431 I490:I493 I561:I562 H688:H1048576">
    <cfRule type="cellIs" dxfId="192" priority="2106" operator="equal">
      <formula>$H$303</formula>
    </cfRule>
  </conditionalFormatting>
  <conditionalFormatting sqref="H1:H606">
    <cfRule type="cellIs" dxfId="191" priority="2103" operator="equal">
      <formula>"IPCOMS"</formula>
    </cfRule>
  </conditionalFormatting>
  <conditionalFormatting sqref="H281:H606">
    <cfRule type="cellIs" dxfId="190" priority="2107" operator="equal">
      <formula>$H$282</formula>
    </cfRule>
  </conditionalFormatting>
  <conditionalFormatting sqref="I20:I21 I164:I165 I225:I228 I261 I285:I290 I300:I302 I409:I413 I425:I427 I430:I431 H688:H1048576 H1:H279 I131:I147 I155:I156 I218:I221 I233:I236 I271:I272 I279 H280:I280 I378:I383 I392 H393:I393 I490:I493 I561:I562">
    <cfRule type="cellIs" dxfId="189" priority="4770" operator="equal">
      <formula>$H$282</formula>
    </cfRule>
  </conditionalFormatting>
  <conditionalFormatting sqref="I20:I21">
    <cfRule type="cellIs" dxfId="188" priority="4769" operator="equal">
      <formula>$H$303</formula>
    </cfRule>
  </conditionalFormatting>
  <conditionalFormatting sqref="I164:I165 I225:I226 I261 I285:I290 I300:I302 I409:I413 I425:I427 I430:I431 H688:H1048576 I20:I21">
    <cfRule type="cellIs" dxfId="187" priority="4315" operator="equal">
      <formula>"IPCOMS"</formula>
    </cfRule>
  </conditionalFormatting>
  <conditionalFormatting sqref="J1:J576 J592:J606 J688:J1048576">
    <cfRule type="containsText" dxfId="186" priority="4776" operator="containsText" text="domo">
      <formula>NOT(ISERROR(SEARCH("domo",J1)))</formula>
    </cfRule>
    <cfRule type="containsText" dxfId="185" priority="4775" operator="containsText" text="fija">
      <formula>NOT(ISERROR(SEARCH("fija",J1)))</formula>
    </cfRule>
  </conditionalFormatting>
  <conditionalFormatting sqref="J34:J35 J162:N233 J237:N407">
    <cfRule type="containsText" dxfId="184" priority="4243" operator="containsText" text="Radio">
      <formula>NOT(ISERROR(SEARCH("Radio",J34)))</formula>
    </cfRule>
  </conditionalFormatting>
  <conditionalFormatting sqref="J135:J148 L148:N148">
    <cfRule type="containsText" dxfId="183" priority="4257" operator="containsText" text="Radio">
      <formula>NOT(ISERROR(SEARCH("Radio",J135)))</formula>
    </cfRule>
  </conditionalFormatting>
  <conditionalFormatting sqref="J409:J413">
    <cfRule type="containsText" dxfId="182" priority="4276" operator="containsText" text="Radio">
      <formula>NOT(ISERROR(SEARCH("Radio",J409)))</formula>
    </cfRule>
  </conditionalFormatting>
  <conditionalFormatting sqref="J578">
    <cfRule type="containsText" dxfId="181" priority="4718" operator="containsText" text="Radio">
      <formula>NOT(ISERROR(SEARCH("Radio",J578)))</formula>
    </cfRule>
    <cfRule type="containsText" dxfId="180" priority="4717" operator="containsText" text="domo">
      <formula>NOT(ISERROR(SEARCH("domo",J578)))</formula>
    </cfRule>
    <cfRule type="containsText" dxfId="179" priority="4716" operator="containsText" text="fija">
      <formula>NOT(ISERROR(SEARCH("fija",J578)))</formula>
    </cfRule>
  </conditionalFormatting>
  <conditionalFormatting sqref="J578:J579">
    <cfRule type="containsText" dxfId="178" priority="4712" operator="containsText" text="domo">
      <formula>NOT(ISERROR(SEARCH("domo",J578)))</formula>
    </cfRule>
    <cfRule type="containsText" dxfId="177" priority="4711" operator="containsText" text="fija">
      <formula>NOT(ISERROR(SEARCH("fija",J578)))</formula>
    </cfRule>
  </conditionalFormatting>
  <conditionalFormatting sqref="J579">
    <cfRule type="containsText" dxfId="176" priority="4713" operator="containsText" text="Radio">
      <formula>NOT(ISERROR(SEARCH("Radio",J579)))</formula>
    </cfRule>
    <cfRule type="containsText" dxfId="175" priority="4710" operator="containsText" text="domo">
      <formula>NOT(ISERROR(SEARCH("domo",J579)))</formula>
    </cfRule>
    <cfRule type="containsText" dxfId="174" priority="4709" operator="containsText" text="fija">
      <formula>NOT(ISERROR(SEARCH("fija",J579)))</formula>
    </cfRule>
  </conditionalFormatting>
  <conditionalFormatting sqref="J582">
    <cfRule type="containsText" dxfId="173" priority="4707" operator="containsText" text="domo">
      <formula>NOT(ISERROR(SEARCH("domo",J582)))</formula>
    </cfRule>
    <cfRule type="containsText" dxfId="172" priority="4706" operator="containsText" text="fija">
      <formula>NOT(ISERROR(SEARCH("fija",J582)))</formula>
    </cfRule>
    <cfRule type="containsText" dxfId="171" priority="4708" operator="containsText" text="Radio">
      <formula>NOT(ISERROR(SEARCH("Radio",J582)))</formula>
    </cfRule>
  </conditionalFormatting>
  <conditionalFormatting sqref="J582:J583">
    <cfRule type="containsText" dxfId="170" priority="4702" operator="containsText" text="domo">
      <formula>NOT(ISERROR(SEARCH("domo",J582)))</formula>
    </cfRule>
    <cfRule type="containsText" dxfId="169" priority="4701" operator="containsText" text="fija">
      <formula>NOT(ISERROR(SEARCH("fija",J582)))</formula>
    </cfRule>
  </conditionalFormatting>
  <conditionalFormatting sqref="J583 J48:N134 K135:K136 J235:K236 J408:K408 K409:K413 J414:N429 J430:K431 J432:N576 J688:N1048576 J592:N606 M408:N408 L408:L413">
    <cfRule type="containsText" dxfId="168" priority="4703" operator="containsText" text="Radio">
      <formula>NOT(ISERROR(SEARCH("Radio",J48)))</formula>
    </cfRule>
  </conditionalFormatting>
  <conditionalFormatting sqref="J583:J584">
    <cfRule type="containsText" dxfId="167" priority="4696" operator="containsText" text="fija">
      <formula>NOT(ISERROR(SEARCH("fija",J583)))</formula>
    </cfRule>
    <cfRule type="containsText" dxfId="166" priority="4697" operator="containsText" text="domo">
      <formula>NOT(ISERROR(SEARCH("domo",J583)))</formula>
    </cfRule>
  </conditionalFormatting>
  <conditionalFormatting sqref="J584">
    <cfRule type="containsText" dxfId="165" priority="4698" operator="containsText" text="Radio">
      <formula>NOT(ISERROR(SEARCH("Radio",J584)))</formula>
    </cfRule>
  </conditionalFormatting>
  <conditionalFormatting sqref="J584:J585">
    <cfRule type="containsText" dxfId="164" priority="4691" operator="containsText" text="fija">
      <formula>NOT(ISERROR(SEARCH("fija",J584)))</formula>
    </cfRule>
    <cfRule type="containsText" dxfId="163" priority="4692" operator="containsText" text="domo">
      <formula>NOT(ISERROR(SEARCH("domo",J584)))</formula>
    </cfRule>
  </conditionalFormatting>
  <conditionalFormatting sqref="J585">
    <cfRule type="containsText" dxfId="162" priority="4689" operator="containsText" text="fija">
      <formula>NOT(ISERROR(SEARCH("fija",J585)))</formula>
    </cfRule>
    <cfRule type="containsText" dxfId="161" priority="4690" operator="containsText" text="domo">
      <formula>NOT(ISERROR(SEARCH("domo",J585)))</formula>
    </cfRule>
    <cfRule type="containsText" dxfId="160" priority="4693" operator="containsText" text="Radio">
      <formula>NOT(ISERROR(SEARCH("Radio",J585)))</formula>
    </cfRule>
  </conditionalFormatting>
  <conditionalFormatting sqref="J587">
    <cfRule type="cellIs" dxfId="159" priority="2108" operator="equal">
      <formula>$J$10</formula>
    </cfRule>
  </conditionalFormatting>
  <conditionalFormatting sqref="J588:J606 J1:J586 J688:J1048576">
    <cfRule type="cellIs" dxfId="158" priority="4771" operator="equal">
      <formula>$J$10</formula>
    </cfRule>
  </conditionalFormatting>
  <conditionalFormatting sqref="J590">
    <cfRule type="containsText" dxfId="157" priority="4988" operator="containsText" text="domo">
      <formula>NOT(ISERROR(SEARCH("domo",J590)))</formula>
    </cfRule>
    <cfRule type="containsText" dxfId="156" priority="4987" operator="containsText" text="fija">
      <formula>NOT(ISERROR(SEARCH("fija",J590)))</formula>
    </cfRule>
  </conditionalFormatting>
  <conditionalFormatting sqref="J593:J596">
    <cfRule type="containsText" dxfId="155" priority="4719" operator="containsText" text="fija">
      <formula>NOT(ISERROR(SEARCH("fija",J593)))</formula>
    </cfRule>
    <cfRule type="containsText" dxfId="154" priority="4720" operator="containsText" text="domo">
      <formula>NOT(ISERROR(SEARCH("domo",J593)))</formula>
    </cfRule>
  </conditionalFormatting>
  <conditionalFormatting sqref="J234:K234">
    <cfRule type="containsText" dxfId="153" priority="4278" operator="containsText" text="Radio">
      <formula>NOT(ISERROR(SEARCH("Radio",J234)))</formula>
    </cfRule>
  </conditionalFormatting>
  <conditionalFormatting sqref="J37:L47">
    <cfRule type="containsText" dxfId="152" priority="4248" operator="containsText" text="Radio">
      <formula>NOT(ISERROR(SEARCH("Radio",J37)))</formula>
    </cfRule>
  </conditionalFormatting>
  <conditionalFormatting sqref="J1:N36">
    <cfRule type="containsText" dxfId="151" priority="4313" operator="containsText" text="Radio">
      <formula>NOT(ISERROR(SEARCH("Radio",J1)))</formula>
    </cfRule>
  </conditionalFormatting>
  <conditionalFormatting sqref="J149:N161">
    <cfRule type="containsText" dxfId="150" priority="4251" operator="containsText" text="Radio">
      <formula>NOT(ISERROR(SEARCH("Radio",J149)))</formula>
    </cfRule>
  </conditionalFormatting>
  <conditionalFormatting sqref="J590:N590 K591">
    <cfRule type="containsText" dxfId="149" priority="5244" operator="containsText" text="Radio">
      <formula>NOT(ISERROR(SEARCH("Radio",J590)))</formula>
    </cfRule>
  </conditionalFormatting>
  <conditionalFormatting sqref="K1:K136 K162:K586 K688:K1048576">
    <cfRule type="cellIs" dxfId="148" priority="4316" operator="equal">
      <formula>"GPON"</formula>
    </cfRule>
    <cfRule type="cellIs" dxfId="147" priority="4317" operator="equal">
      <formula>"GPON"</formula>
    </cfRule>
  </conditionalFormatting>
  <conditionalFormatting sqref="K139">
    <cfRule type="containsText" dxfId="146" priority="4306" operator="containsText" text="Radio">
      <formula>NOT(ISERROR(SEARCH("Radio",K139)))</formula>
    </cfRule>
    <cfRule type="cellIs" dxfId="145" priority="4307" operator="equal">
      <formula>$K$13</formula>
    </cfRule>
    <cfRule type="cellIs" dxfId="144" priority="4305" operator="equal">
      <formula>"GPON"</formula>
    </cfRule>
    <cfRule type="cellIs" dxfId="143" priority="4304" operator="equal">
      <formula>"GPON"</formula>
    </cfRule>
    <cfRule type="cellIs" dxfId="142" priority="4309" operator="equal">
      <formula>"PTP A FO"</formula>
    </cfRule>
    <cfRule type="cellIs" dxfId="141" priority="4308" operator="equal">
      <formula>"PTP A FO"</formula>
    </cfRule>
  </conditionalFormatting>
  <conditionalFormatting sqref="K142:K149">
    <cfRule type="cellIs" dxfId="140" priority="4284" operator="equal">
      <formula>"PTP A FO"</formula>
    </cfRule>
    <cfRule type="cellIs" dxfId="139" priority="4283" operator="equal">
      <formula>"PTP A FO"</formula>
    </cfRule>
    <cfRule type="cellIs" dxfId="138" priority="4282" operator="equal">
      <formula>$K$13</formula>
    </cfRule>
    <cfRule type="containsText" dxfId="137" priority="4281" operator="containsText" text="Radio">
      <formula>NOT(ISERROR(SEARCH("Radio",K142)))</formula>
    </cfRule>
  </conditionalFormatting>
  <conditionalFormatting sqref="K142:K161">
    <cfRule type="cellIs" dxfId="136" priority="4250" operator="equal">
      <formula>"GPON"</formula>
    </cfRule>
    <cfRule type="cellIs" dxfId="135" priority="4249" operator="equal">
      <formula>"GPON"</formula>
    </cfRule>
  </conditionalFormatting>
  <conditionalFormatting sqref="K146:K147">
    <cfRule type="cellIs" dxfId="134" priority="4245" operator="equal">
      <formula>$K$13</formula>
    </cfRule>
    <cfRule type="containsText" dxfId="133" priority="4244" operator="containsText" text="Radio">
      <formula>NOT(ISERROR(SEARCH("Radio",K146)))</formula>
    </cfRule>
    <cfRule type="cellIs" dxfId="132" priority="4247" operator="equal">
      <formula>"PTP A FO"</formula>
    </cfRule>
    <cfRule type="cellIs" dxfId="131" priority="4246" operator="equal">
      <formula>"PTP A FO"</formula>
    </cfRule>
  </conditionalFormatting>
  <conditionalFormatting sqref="K234:K236">
    <cfRule type="cellIs" dxfId="130" priority="4297" operator="equal">
      <formula>"PTP A FO"</formula>
    </cfRule>
    <cfRule type="cellIs" dxfId="129" priority="4296" operator="equal">
      <formula>"PTP A FO"</formula>
    </cfRule>
    <cfRule type="cellIs" dxfId="128" priority="4295" operator="equal">
      <formula>$K$13</formula>
    </cfRule>
  </conditionalFormatting>
  <conditionalFormatting sqref="K235:K236">
    <cfRule type="cellIs" dxfId="127" priority="4292" operator="equal">
      <formula>"PTP A FO"</formula>
    </cfRule>
    <cfRule type="cellIs" dxfId="126" priority="4291" operator="equal">
      <formula>$K$13</formula>
    </cfRule>
    <cfRule type="cellIs" dxfId="125" priority="4293" operator="equal">
      <formula>"PTP A FO"</formula>
    </cfRule>
  </conditionalFormatting>
  <conditionalFormatting sqref="K430:K431">
    <cfRule type="cellIs" dxfId="124" priority="4303" operator="equal">
      <formula>"PTP A FO"</formula>
    </cfRule>
    <cfRule type="cellIs" dxfId="123" priority="4302" operator="equal">
      <formula>"PTP A FO"</formula>
    </cfRule>
    <cfRule type="cellIs" dxfId="122" priority="4301" operator="equal">
      <formula>$K$13</formula>
    </cfRule>
    <cfRule type="containsText" dxfId="121" priority="4300" operator="containsText" text="Radio">
      <formula>NOT(ISERROR(SEARCH("Radio",K430)))</formula>
    </cfRule>
  </conditionalFormatting>
  <conditionalFormatting sqref="K577">
    <cfRule type="cellIs" dxfId="120" priority="4367" operator="equal">
      <formula>"PTP A FO"</formula>
    </cfRule>
    <cfRule type="containsText" dxfId="119" priority="4366" operator="containsText" text="Radio">
      <formula>NOT(ISERROR(SEARCH("Radio",K577)))</formula>
    </cfRule>
  </conditionalFormatting>
  <conditionalFormatting sqref="K587:K606">
    <cfRule type="cellIs" dxfId="118" priority="2105" operator="equal">
      <formula>"GPON"</formula>
    </cfRule>
    <cfRule type="cellIs" dxfId="117" priority="2104" operator="equal">
      <formula>"GPON"</formula>
    </cfRule>
  </conditionalFormatting>
  <conditionalFormatting sqref="K1:L134 K135:K136 K162:L233 K237:L429 K430:K431 K432:L576 K590:L590 K591 K592:L606 K688:L1048576">
    <cfRule type="cellIs" dxfId="116" priority="4968" operator="equal">
      <formula>"PTP A FO"</formula>
    </cfRule>
  </conditionalFormatting>
  <conditionalFormatting sqref="K1:L134 K135:K136 K162:L233 K237:L429 K430:K431 K432:L586 K588:L606 K688:L1048576">
    <cfRule type="cellIs" dxfId="115" priority="4773" operator="equal">
      <formula>"PTP A FO"</formula>
    </cfRule>
  </conditionalFormatting>
  <conditionalFormatting sqref="K1:L134 K135:K136 K237:L429 K430:K431 K432:L586 K588:L606 K688:L1048576 K162:L233">
    <cfRule type="cellIs" dxfId="114" priority="4772" operator="equal">
      <formula>$K$13</formula>
    </cfRule>
  </conditionalFormatting>
  <conditionalFormatting sqref="K149:L161">
    <cfRule type="cellIs" dxfId="113" priority="4254" operator="equal">
      <formula>"PTP A FO"</formula>
    </cfRule>
    <cfRule type="cellIs" dxfId="112" priority="4252" operator="equal">
      <formula>$K$13</formula>
    </cfRule>
    <cfRule type="cellIs" dxfId="111" priority="4253" operator="equal">
      <formula>"PTP A FO"</formula>
    </cfRule>
  </conditionalFormatting>
  <conditionalFormatting sqref="K587:L587">
    <cfRule type="cellIs" dxfId="110" priority="2110" operator="equal">
      <formula>"PTP A FO"</formula>
    </cfRule>
    <cfRule type="cellIs" dxfId="109" priority="2109" operator="equal">
      <formula>$K$13</formula>
    </cfRule>
  </conditionalFormatting>
  <conditionalFormatting sqref="L148">
    <cfRule type="cellIs" dxfId="108" priority="4260" operator="equal">
      <formula>"PTP A FO"</formula>
    </cfRule>
    <cfRule type="cellIs" dxfId="107" priority="4259" operator="equal">
      <formula>"PTP A FO"</formula>
    </cfRule>
    <cfRule type="cellIs" dxfId="106" priority="4258" operator="equal">
      <formula>$K$13</formula>
    </cfRule>
  </conditionalFormatting>
  <conditionalFormatting sqref="R7:R403 R405:R606">
    <cfRule type="cellIs" dxfId="105" priority="5203" operator="lessThan">
      <formula>0.8</formula>
    </cfRule>
    <cfRule type="cellIs" dxfId="104" priority="5204" operator="greaterThan">
      <formula>0.8</formula>
    </cfRule>
  </conditionalFormatting>
  <conditionalFormatting sqref="S36:T43">
    <cfRule type="cellIs" dxfId="103" priority="203" operator="equal">
      <formula>"APAGADO"</formula>
    </cfRule>
  </conditionalFormatting>
  <conditionalFormatting sqref="S423:T431">
    <cfRule type="cellIs" dxfId="102" priority="161" operator="equal">
      <formula>"APAGADO"</formula>
    </cfRule>
  </conditionalFormatting>
  <conditionalFormatting sqref="S350:U366">
    <cfRule type="cellIs" dxfId="101" priority="78" operator="equal">
      <formula>"APAGADO"</formula>
    </cfRule>
  </conditionalFormatting>
  <conditionalFormatting sqref="S409:U412">
    <cfRule type="cellIs" dxfId="100" priority="1299" operator="equal">
      <formula>"APAGADO"</formula>
    </cfRule>
  </conditionalFormatting>
  <conditionalFormatting sqref="S432:W432 Y432:AV432">
    <cfRule type="cellIs" dxfId="99" priority="3001" operator="equal">
      <formula>"APAGADO"</formula>
    </cfRule>
  </conditionalFormatting>
  <conditionalFormatting sqref="S413:X414">
    <cfRule type="cellIs" dxfId="98" priority="33" operator="equal">
      <formula>"APAGADO"</formula>
    </cfRule>
  </conditionalFormatting>
  <conditionalFormatting sqref="S121:AA121">
    <cfRule type="cellIs" dxfId="97" priority="3094" operator="equal">
      <formula>"APAGADO"</formula>
    </cfRule>
  </conditionalFormatting>
  <conditionalFormatting sqref="S333:AT349">
    <cfRule type="cellIs" dxfId="96" priority="1" operator="equal">
      <formula>"APAGADO"</formula>
    </cfRule>
  </conditionalFormatting>
  <conditionalFormatting sqref="S405:AT408">
    <cfRule type="cellIs" dxfId="95" priority="646" operator="equal">
      <formula>"APAGADO"</formula>
    </cfRule>
  </conditionalFormatting>
  <conditionalFormatting sqref="S8:AV35">
    <cfRule type="cellIs" dxfId="94" priority="211" operator="equal">
      <formula>"APAGADO"</formula>
    </cfRule>
  </conditionalFormatting>
  <conditionalFormatting sqref="S44:AV120">
    <cfRule type="cellIs" dxfId="93" priority="58" operator="equal">
      <formula>"APAGADO"</formula>
    </cfRule>
  </conditionalFormatting>
  <conditionalFormatting sqref="S122:AV233">
    <cfRule type="cellIs" dxfId="92" priority="46" operator="equal">
      <formula>"APAGADO"</formula>
    </cfRule>
  </conditionalFormatting>
  <conditionalFormatting sqref="S237:AV332">
    <cfRule type="cellIs" dxfId="91" priority="2" operator="equal">
      <formula>"APAGADO"</formula>
    </cfRule>
  </conditionalFormatting>
  <conditionalFormatting sqref="S415:AV422">
    <cfRule type="cellIs" dxfId="90" priority="30" operator="equal">
      <formula>"APAGADO"</formula>
    </cfRule>
  </conditionalFormatting>
  <conditionalFormatting sqref="S433:AV606">
    <cfRule type="cellIs" dxfId="89" priority="8" operator="equal">
      <formula>"APAGADO"</formula>
    </cfRule>
  </conditionalFormatting>
  <conditionalFormatting sqref="S688:AV764 AC688:AN1048576">
    <cfRule type="cellIs" dxfId="88" priority="4350" operator="equal">
      <formula>"apagado"</formula>
    </cfRule>
  </conditionalFormatting>
  <conditionalFormatting sqref="S688:AV1048576">
    <cfRule type="containsText" dxfId="87" priority="4900" operator="containsText" text="Caida">
      <formula>NOT(ISERROR(SEARCH("Caida",S688)))</formula>
    </cfRule>
    <cfRule type="notContainsText" dxfId="86" priority="5233" operator="notContains" text="Caida">
      <formula>ISERROR(SEARCH("Caida",S688))</formula>
    </cfRule>
  </conditionalFormatting>
  <conditionalFormatting sqref="U688:U1207">
    <cfRule type="cellIs" dxfId="85" priority="4555" operator="greaterThan">
      <formula>0.8</formula>
    </cfRule>
    <cfRule type="cellIs" dxfId="84" priority="4659" operator="equal">
      <formula>"APAGADO"</formula>
    </cfRule>
    <cfRule type="cellIs" dxfId="83" priority="4532" operator="greaterThan">
      <formula>0.8</formula>
    </cfRule>
    <cfRule type="cellIs" dxfId="82" priority="4531" operator="lessThan">
      <formula>0.8</formula>
    </cfRule>
    <cfRule type="containsText" dxfId="81" priority="4530" operator="containsText" text="Caida">
      <formula>NOT(ISERROR(SEARCH("Caida",U688)))</formula>
    </cfRule>
    <cfRule type="notContainsText" dxfId="80" priority="4529" operator="notContains" text="Caida">
      <formula>ISERROR(SEARCH("Caida",U688))</formula>
    </cfRule>
  </conditionalFormatting>
  <conditionalFormatting sqref="U688:U1048576">
    <cfRule type="cellIs" dxfId="79" priority="4549" operator="equal">
      <formula>$U$16</formula>
    </cfRule>
  </conditionalFormatting>
  <conditionalFormatting sqref="U37:W38">
    <cfRule type="cellIs" dxfId="78" priority="3062" operator="equal">
      <formula>"APAGADO"</formula>
    </cfRule>
  </conditionalFormatting>
  <conditionalFormatting sqref="U431:W431">
    <cfRule type="cellIs" dxfId="77" priority="1178" operator="equal">
      <formula>"APAGADO"</formula>
    </cfRule>
  </conditionalFormatting>
  <conditionalFormatting sqref="U39:AG40">
    <cfRule type="cellIs" dxfId="76" priority="909" operator="equal">
      <formula>"APAGADO"</formula>
    </cfRule>
  </conditionalFormatting>
  <conditionalFormatting sqref="U36:AV36">
    <cfRule type="cellIs" dxfId="75" priority="486" operator="equal">
      <formula>"APAGADO"</formula>
    </cfRule>
  </conditionalFormatting>
  <conditionalFormatting sqref="U41:AV43">
    <cfRule type="cellIs" dxfId="74" priority="60" operator="equal">
      <formula>"APAGADO"</formula>
    </cfRule>
  </conditionalFormatting>
  <conditionalFormatting sqref="U423:AV429">
    <cfRule type="cellIs" dxfId="73" priority="73" operator="equal">
      <formula>"APAGADO"</formula>
    </cfRule>
  </conditionalFormatting>
  <conditionalFormatting sqref="V235:W235">
    <cfRule type="cellIs" dxfId="72" priority="3074" operator="equal">
      <formula>"APAGADO"</formula>
    </cfRule>
  </conditionalFormatting>
  <conditionalFormatting sqref="V350:AT356">
    <cfRule type="cellIs" dxfId="71" priority="37" operator="equal">
      <formula>"APAGADO"</formula>
    </cfRule>
  </conditionalFormatting>
  <conditionalFormatting sqref="V358:AT366 S367:AT403">
    <cfRule type="cellIs" dxfId="70" priority="454" operator="equal">
      <formula>"APAGADO"</formula>
    </cfRule>
  </conditionalFormatting>
  <conditionalFormatting sqref="X431:X432">
    <cfRule type="cellIs" dxfId="69" priority="2930" operator="equal">
      <formula>"APAGADO"</formula>
    </cfRule>
  </conditionalFormatting>
  <conditionalFormatting sqref="X412:Z412">
    <cfRule type="cellIs" dxfId="68" priority="2649" operator="equal">
      <formula>"APAGADO"</formula>
    </cfRule>
  </conditionalFormatting>
  <conditionalFormatting sqref="X38:AG38">
    <cfRule type="cellIs" dxfId="67" priority="4126" operator="equal">
      <formula>"APAGADO"</formula>
    </cfRule>
  </conditionalFormatting>
  <conditionalFormatting sqref="X37:AJ37 AF234:AF236 V357:AH357 AJ357:AT357 AO688:AV1048576">
    <cfRule type="cellIs" dxfId="66" priority="4349" operator="equal">
      <formula>"APAGADO"</formula>
    </cfRule>
  </conditionalFormatting>
  <conditionalFormatting sqref="Y431:AO431">
    <cfRule type="cellIs" dxfId="65" priority="572" operator="equal">
      <formula>"APAGADO"</formula>
    </cfRule>
  </conditionalFormatting>
  <conditionalFormatting sqref="Y413:AP413">
    <cfRule type="cellIs" dxfId="64" priority="77" operator="equal">
      <formula>"APAGADO"</formula>
    </cfRule>
  </conditionalFormatting>
  <conditionalFormatting sqref="Y404:AT404">
    <cfRule type="cellIs" dxfId="63" priority="2650" operator="equal">
      <formula>"APAGADO"</formula>
    </cfRule>
  </conditionalFormatting>
  <conditionalFormatting sqref="Y414:AU414">
    <cfRule type="cellIs" dxfId="62" priority="1890" operator="equal">
      <formula>"APAGADO"</formula>
    </cfRule>
  </conditionalFormatting>
  <conditionalFormatting sqref="AC121:AV121">
    <cfRule type="cellIs" dxfId="61" priority="3262" operator="equal">
      <formula>"APAGADO"</formula>
    </cfRule>
  </conditionalFormatting>
  <conditionalFormatting sqref="AD412:AI412">
    <cfRule type="cellIs" dxfId="60" priority="1003" operator="equal">
      <formula>"APAGADO"</formula>
    </cfRule>
  </conditionalFormatting>
  <conditionalFormatting sqref="AH235:AI235">
    <cfRule type="cellIs" dxfId="59" priority="4131" operator="equal">
      <formula>"APAGADO"</formula>
    </cfRule>
  </conditionalFormatting>
  <conditionalFormatting sqref="AH38:AV40">
    <cfRule type="cellIs" dxfId="58" priority="335" operator="equal">
      <formula>"APAGADO"</formula>
    </cfRule>
  </conditionalFormatting>
  <conditionalFormatting sqref="AL235:AP235">
    <cfRule type="cellIs" dxfId="57" priority="3672" operator="equal">
      <formula>"APAGADO"</formula>
    </cfRule>
  </conditionalFormatting>
  <conditionalFormatting sqref="AL412:AP412">
    <cfRule type="cellIs" dxfId="56" priority="696" operator="equal">
      <formula>"APAGADO"</formula>
    </cfRule>
  </conditionalFormatting>
  <conditionalFormatting sqref="AL37:AV37">
    <cfRule type="cellIs" dxfId="55" priority="3269" operator="equal">
      <formula>"APAGADO"</formula>
    </cfRule>
  </conditionalFormatting>
  <conditionalFormatting sqref="AR413:AU413">
    <cfRule type="cellIs" dxfId="54" priority="363" operator="equal">
      <formula>"APAGADO"</formula>
    </cfRule>
  </conditionalFormatting>
  <conditionalFormatting sqref="AR431:AU431">
    <cfRule type="cellIs" dxfId="53" priority="1464" operator="equal">
      <formula>"APAGADO"</formula>
    </cfRule>
  </conditionalFormatting>
  <conditionalFormatting sqref="AR235:AV235">
    <cfRule type="cellIs" dxfId="52" priority="3243" operator="equal">
      <formula>"APAGADO"</formula>
    </cfRule>
  </conditionalFormatting>
  <conditionalFormatting sqref="AU333:AV408">
    <cfRule type="cellIs" dxfId="51" priority="277" operator="equal">
      <formula>"APAGADO"</formula>
    </cfRule>
  </conditionalFormatting>
  <conditionalFormatting sqref="AV412:AV414">
    <cfRule type="cellIs" dxfId="50" priority="313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1494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 t="str">
        <f>'RESUMEN TOTAL'!T169</f>
        <v>APAGADO</v>
      </c>
      <c r="H126" s="70" t="str">
        <f>'RESUMEN TOTAL'!U169</f>
        <v>APAGADO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 t="str">
        <f>'RESUMEN TOTAL'!T170</f>
        <v>APAGADO</v>
      </c>
      <c r="H127" s="70" t="str">
        <f>'RESUMEN TOTAL'!U170</f>
        <v>APAGADO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>
        <f>'RESUMEN TOTAL'!V171</f>
        <v>0</v>
      </c>
      <c r="J128" s="70">
        <f>'RESUMEN TOTAL'!W171</f>
        <v>0</v>
      </c>
      <c r="K128" s="70" t="str">
        <f>'RESUMEN TOTAL'!X171</f>
        <v>APAGADO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>
        <f>'RESUMEN TOTAL'!S176</f>
        <v>0</v>
      </c>
      <c r="G130" s="70">
        <f>'RESUMEN TOTAL'!T176</f>
        <v>0</v>
      </c>
      <c r="H130" s="70">
        <f>'RESUMEN TOTAL'!U176</f>
        <v>0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>
        <f>'RESUMEN TOTAL'!S177</f>
        <v>0</v>
      </c>
      <c r="G131" s="70">
        <f>'RESUMEN TOTAL'!T177</f>
        <v>0</v>
      </c>
      <c r="H131" s="70">
        <f>'RESUMEN TOTAL'!U177</f>
        <v>0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 t="str">
        <f>'RESUMEN TOTAL'!S182</f>
        <v>APAGADO</v>
      </c>
      <c r="G136" s="70" t="str">
        <f>'RESUMEN TOTAL'!T182</f>
        <v>APAGADO</v>
      </c>
      <c r="H136" s="70" t="str">
        <f>'RESUMEN TOTAL'!U182</f>
        <v>APAGADO</v>
      </c>
      <c r="I136" s="70">
        <f>'RESUMEN TOTAL'!V182</f>
        <v>0</v>
      </c>
      <c r="J136" s="70">
        <f>'RESUMEN TOTAL'!W182</f>
        <v>0</v>
      </c>
      <c r="K136" s="70" t="str">
        <f>'RESUMEN TOTAL'!X182</f>
        <v>APAGADO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 t="str">
        <f>'RESUMEN TOTAL'!S190</f>
        <v>APAGADO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 t="str">
        <f>'RESUMEN TOTAL'!S191</f>
        <v>APAGADO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>
        <f>'RESUMEN TOTAL'!S198</f>
        <v>0</v>
      </c>
      <c r="G146" s="70">
        <f>'RESUMEN TOTAL'!T198</f>
        <v>0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>
        <f>'RESUMEN TOTAL'!S206</f>
        <v>0</v>
      </c>
      <c r="G154" s="70">
        <f>'RESUMEN TOTAL'!T206</f>
        <v>0</v>
      </c>
      <c r="H154" s="70">
        <f>'RESUMEN TOTAL'!U206</f>
        <v>0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 t="str">
        <f>'RESUMEN TOTAL'!T207</f>
        <v>APAGADO</v>
      </c>
      <c r="H155" s="70" t="str">
        <f>'RESUMEN TOTAL'!U207</f>
        <v>APAGADO</v>
      </c>
      <c r="I155" s="70">
        <f>'RESUMEN TOTAL'!V207</f>
        <v>0</v>
      </c>
      <c r="J155" s="70">
        <f>'RESUMEN TOTAL'!W207</f>
        <v>0</v>
      </c>
      <c r="K155" s="70" t="str">
        <f>'RESUMEN TOTAL'!X207</f>
        <v>APAGADO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 t="str">
        <f>'RESUMEN TOTAL'!S209</f>
        <v>APAGADO</v>
      </c>
      <c r="G157" s="70" t="str">
        <f>'RESUMEN TOTAL'!T209</f>
        <v>APAGADO</v>
      </c>
      <c r="H157" s="70" t="str">
        <f>'RESUMEN TOTAL'!U209</f>
        <v>APAGADO</v>
      </c>
      <c r="I157" s="70">
        <f>'RESUMEN TOTAL'!V209</f>
        <v>0</v>
      </c>
      <c r="J157" s="70">
        <f>'RESUMEN TOTAL'!W209</f>
        <v>0</v>
      </c>
      <c r="K157" s="70" t="str">
        <f>'RESUMEN TOTAL'!X209</f>
        <v>APAGADO</v>
      </c>
      <c r="L157" s="70">
        <f>'RESUMEN TOTAL'!Y209</f>
        <v>0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 t="str">
        <f>'RESUMEN TOTAL'!X211</f>
        <v>APAGADO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 t="str">
        <f>'RESUMEN TOTAL'!X212</f>
        <v>APAGADO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 t="str">
        <f>'RESUMEN TOTAL'!S214</f>
        <v>APAGADO</v>
      </c>
      <c r="G162" s="70" t="str">
        <f>'RESUMEN TOTAL'!T214</f>
        <v>APAGADO</v>
      </c>
      <c r="H162" s="70" t="str">
        <f>'RESUMEN TOTAL'!U214</f>
        <v>APAGADO</v>
      </c>
      <c r="I162" s="70">
        <f>'RESUMEN TOTAL'!V214</f>
        <v>0</v>
      </c>
      <c r="J162" s="70">
        <f>'RESUMEN TOTAL'!W214</f>
        <v>0</v>
      </c>
      <c r="K162" s="70" t="str">
        <f>'RESUMEN TOTAL'!X214</f>
        <v>APAGADO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>
        <f>'RESUMEN TOTAL'!T232</f>
        <v>0</v>
      </c>
      <c r="H175" s="70">
        <f>'RESUMEN TOTAL'!U232</f>
        <v>0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>
        <f>'RESUMEN TOTAL'!S251</f>
        <v>0</v>
      </c>
      <c r="G189" s="70">
        <f>'RESUMEN TOTAL'!T251</f>
        <v>0</v>
      </c>
      <c r="H189" s="70">
        <f>'RESUMEN TOTAL'!U251</f>
        <v>0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 t="str">
        <f>'RESUMEN TOTAL'!U252</f>
        <v>APAGADO</v>
      </c>
      <c r="I190" s="70">
        <f>'RESUMEN TOTAL'!V252</f>
        <v>0</v>
      </c>
      <c r="J190" s="70">
        <f>'RESUMEN TOTAL'!W252</f>
        <v>0</v>
      </c>
      <c r="K190" s="70" t="str">
        <f>'RESUMEN TOTAL'!X252</f>
        <v>APAGADO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 t="str">
        <f>'RESUMEN TOTAL'!X254</f>
        <v>APAGADO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>
        <f>'RESUMEN TOTAL'!V255</f>
        <v>0</v>
      </c>
      <c r="J193" s="70">
        <f>'RESUMEN TOTAL'!W255</f>
        <v>0</v>
      </c>
      <c r="K193" s="70" t="str">
        <f>'RESUMEN TOTAL'!X255</f>
        <v>APAGADO</v>
      </c>
      <c r="L193" s="70">
        <f>'RESUMEN TOTAL'!Y255</f>
        <v>0</v>
      </c>
      <c r="M193" s="70">
        <f>'RESUMEN TOTAL'!Z255</f>
        <v>0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>
        <f>'RESUMEN TOTAL'!V256</f>
        <v>0</v>
      </c>
      <c r="J194" s="70">
        <f>'RESUMEN TOTAL'!W256</f>
        <v>0</v>
      </c>
      <c r="K194" s="70" t="str">
        <f>'RESUMEN TOTAL'!X256</f>
        <v>APAGADO</v>
      </c>
      <c r="L194" s="70">
        <f>'RESUMEN TOTAL'!Y256</f>
        <v>0</v>
      </c>
      <c r="M194" s="70">
        <f>'RESUMEN TOTAL'!Z256</f>
        <v>0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 t="str">
        <f>'RESUMEN TOTAL'!U262</f>
        <v>APAGADO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 t="str">
        <f>'RESUMEN TOTAL'!U263</f>
        <v>APAGADO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 t="str">
        <f>'RESUMEN TOTAL'!T273</f>
        <v>APAGADO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 t="str">
        <f>'RESUMEN TOTAL'!T274</f>
        <v>APAGADO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 t="str">
        <f>'RESUMEN TOTAL'!T275</f>
        <v>APAGADO</v>
      </c>
      <c r="H208" s="70" t="str">
        <f>'RESUMEN TOTAL'!U275</f>
        <v>APAGADO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>
        <f>'RESUMEN TOTAL'!S276</f>
        <v>0</v>
      </c>
      <c r="G209" s="70" t="str">
        <f>'RESUMEN TOTAL'!T276</f>
        <v>APAGADO</v>
      </c>
      <c r="H209" s="70" t="str">
        <f>'RESUMEN TOTAL'!U276</f>
        <v>APAGADO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 t="str">
        <f>'RESUMEN TOTAL'!T279</f>
        <v>APAGADO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 t="str">
        <f>'RESUMEN TOTAL'!S281</f>
        <v>APAGADO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 xml:space="preserve">MON05 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TOTAL'!F291</f>
        <v>9 DE JULIO</v>
      </c>
      <c r="B218" t="str">
        <f>'RESUMEN TOTAL'!G291</f>
        <v>NJU03</v>
      </c>
      <c r="C218" t="str">
        <f>'RESUMEN TOTAL'!I291</f>
        <v>San Juan y Parrillo</v>
      </c>
      <c r="D218" s="30" t="str">
        <f>'RESUMEN TOTAL'!J291</f>
        <v>Domo</v>
      </c>
      <c r="E218" s="30" t="str">
        <f>'RESUMEN TOTAL'!K291</f>
        <v>PTO A FO</v>
      </c>
      <c r="F218" s="70">
        <f>'RESUMEN TOTAL'!S291</f>
        <v>0</v>
      </c>
      <c r="G218" s="70">
        <f>'RESUMEN TOTAL'!T291</f>
        <v>0</v>
      </c>
      <c r="H218" s="70">
        <f>'RESUMEN TOTAL'!U291</f>
        <v>0</v>
      </c>
      <c r="I218" s="70">
        <f>'RESUMEN TOTAL'!V291</f>
        <v>0</v>
      </c>
      <c r="J218" s="70">
        <f>'RESUMEN TOTAL'!W291</f>
        <v>0</v>
      </c>
      <c r="K218" s="70">
        <f>'RESUMEN TOTAL'!X291</f>
        <v>0</v>
      </c>
      <c r="L218" s="70">
        <f>'RESUMEN TOTAL'!Y291</f>
        <v>0</v>
      </c>
      <c r="M218" s="70">
        <f>'RESUMEN TOTAL'!Z291</f>
        <v>0</v>
      </c>
      <c r="N218" s="70">
        <f>'RESUMEN TOTAL'!AA291</f>
        <v>0</v>
      </c>
      <c r="O218" s="70">
        <f>'RESUMEN TOTAL'!AB291</f>
        <v>0</v>
      </c>
      <c r="P218" s="70">
        <f>'RESUMEN TOTAL'!AC291</f>
        <v>0</v>
      </c>
      <c r="Q218" s="70">
        <f>'RESUMEN TOTAL'!AD291</f>
        <v>0</v>
      </c>
      <c r="R218" s="70">
        <f>'RESUMEN TOTAL'!AE291</f>
        <v>0</v>
      </c>
      <c r="S218" s="70">
        <f>'RESUMEN TOTAL'!AF291</f>
        <v>0</v>
      </c>
      <c r="T218" s="70">
        <f>'RESUMEN TOTAL'!AG291</f>
        <v>0</v>
      </c>
      <c r="U218" s="70">
        <f>'RESUMEN TOTAL'!AH291</f>
        <v>0</v>
      </c>
      <c r="V218" s="70">
        <f>'RESUMEN TOTAL'!AI291</f>
        <v>0</v>
      </c>
      <c r="W218" s="70">
        <f>'RESUMEN TOTAL'!AJ291</f>
        <v>0</v>
      </c>
      <c r="X218" s="70">
        <f>'RESUMEN TOTAL'!AK291</f>
        <v>0</v>
      </c>
      <c r="Y218" s="70">
        <f>'RESUMEN TOTAL'!AL291</f>
        <v>0</v>
      </c>
      <c r="Z218" s="70">
        <f>'RESUMEN TOTAL'!AM291</f>
        <v>0</v>
      </c>
      <c r="AA218" s="70">
        <f>'RESUMEN TOTAL'!AN291</f>
        <v>0</v>
      </c>
      <c r="AB218" s="70">
        <f>'RESUMEN TOTAL'!AO291</f>
        <v>0</v>
      </c>
      <c r="AC218" s="70">
        <f>'RESUMEN TOTAL'!AP291</f>
        <v>0</v>
      </c>
      <c r="AD218" s="70">
        <f>'RESUMEN TOTAL'!AQ291</f>
        <v>0</v>
      </c>
      <c r="AE218" s="70">
        <f>'RESUMEN TOTAL'!AR291</f>
        <v>0</v>
      </c>
      <c r="AF218" s="70">
        <f>'RESUMEN TOTAL'!AS291</f>
        <v>0</v>
      </c>
      <c r="AG218" s="70">
        <f>'RESUMEN TOTAL'!AT291</f>
        <v>0</v>
      </c>
      <c r="AH218" s="70">
        <f>'RESUMEN TOTAL'!AU291</f>
        <v>0</v>
      </c>
      <c r="AI218" s="70">
        <f>'RESUMEN TOTAL'!AV291</f>
        <v>0</v>
      </c>
      <c r="AJ218" s="70" t="e">
        <f>'RESUMEN TOTAL'!#REF!</f>
        <v>#REF!</v>
      </c>
    </row>
    <row r="219" spans="1:36" x14ac:dyDescent="0.25">
      <c r="A219" t="str">
        <f>'RESUMEN TOTAL'!F292</f>
        <v>9 DE JULIO</v>
      </c>
      <c r="B219" t="str">
        <f>'RESUMEN TOTAL'!G292</f>
        <v>NJU04</v>
      </c>
      <c r="C219" t="str">
        <f>'RESUMEN TOTAL'!I292</f>
        <v>Ituzaingo y 214 A</v>
      </c>
      <c r="D219" s="30" t="str">
        <f>'RESUMEN TOTAL'!J292</f>
        <v>Domo</v>
      </c>
      <c r="E219" s="30" t="str">
        <f>'RESUMEN TOTAL'!K292</f>
        <v>GPON</v>
      </c>
      <c r="F219" s="70">
        <f>'RESUMEN TOTAL'!S292</f>
        <v>0</v>
      </c>
      <c r="G219" s="70">
        <f>'RESUMEN TOTAL'!T292</f>
        <v>0</v>
      </c>
      <c r="H219" s="70">
        <f>'RESUMEN TOTAL'!U292</f>
        <v>0</v>
      </c>
      <c r="I219" s="70">
        <f>'RESUMEN TOTAL'!V292</f>
        <v>0</v>
      </c>
      <c r="J219" s="70">
        <f>'RESUMEN TOTAL'!W292</f>
        <v>0</v>
      </c>
      <c r="K219" s="70">
        <f>'RESUMEN TOTAL'!X292</f>
        <v>0</v>
      </c>
      <c r="L219" s="70">
        <f>'RESUMEN TOTAL'!Y292</f>
        <v>0</v>
      </c>
      <c r="M219" s="70">
        <f>'RESUMEN TOTAL'!Z292</f>
        <v>0</v>
      </c>
      <c r="N219" s="70">
        <f>'RESUMEN TOTAL'!AA292</f>
        <v>0</v>
      </c>
      <c r="O219" s="70">
        <f>'RESUMEN TOTAL'!AB292</f>
        <v>0</v>
      </c>
      <c r="P219" s="70">
        <f>'RESUMEN TOTAL'!AC292</f>
        <v>0</v>
      </c>
      <c r="Q219" s="70">
        <f>'RESUMEN TOTAL'!AD292</f>
        <v>0</v>
      </c>
      <c r="R219" s="70">
        <f>'RESUMEN TOTAL'!AE292</f>
        <v>0</v>
      </c>
      <c r="S219" s="70">
        <f>'RESUMEN TOTAL'!AF292</f>
        <v>0</v>
      </c>
      <c r="T219" s="70">
        <f>'RESUMEN TOTAL'!AG292</f>
        <v>0</v>
      </c>
      <c r="U219" s="70">
        <f>'RESUMEN TOTAL'!AH292</f>
        <v>0</v>
      </c>
      <c r="V219" s="70">
        <f>'RESUMEN TOTAL'!AI292</f>
        <v>0</v>
      </c>
      <c r="W219" s="70">
        <f>'RESUMEN TOTAL'!AJ292</f>
        <v>0</v>
      </c>
      <c r="X219" s="70">
        <f>'RESUMEN TOTAL'!AK292</f>
        <v>0</v>
      </c>
      <c r="Y219" s="70">
        <f>'RESUMEN TOTAL'!AL292</f>
        <v>0</v>
      </c>
      <c r="Z219" s="70">
        <f>'RESUMEN TOTAL'!AM292</f>
        <v>0</v>
      </c>
      <c r="AA219" s="70">
        <f>'RESUMEN TOTAL'!AN292</f>
        <v>0</v>
      </c>
      <c r="AB219" s="70">
        <f>'RESUMEN TOTAL'!AO292</f>
        <v>0</v>
      </c>
      <c r="AC219" s="70">
        <f>'RESUMEN TOTAL'!AP292</f>
        <v>0</v>
      </c>
      <c r="AD219" s="70">
        <f>'RESUMEN TOTAL'!AQ292</f>
        <v>0</v>
      </c>
      <c r="AE219" s="70">
        <f>'RESUMEN TOTAL'!AR292</f>
        <v>0</v>
      </c>
      <c r="AF219" s="70">
        <f>'RESUMEN TOTAL'!AS292</f>
        <v>0</v>
      </c>
      <c r="AG219" s="70">
        <f>'RESUMEN TOTAL'!AT292</f>
        <v>0</v>
      </c>
      <c r="AH219" s="70">
        <f>'RESUMEN TOTAL'!AU292</f>
        <v>0</v>
      </c>
      <c r="AI219" s="70">
        <f>'RESUMEN TOTAL'!AV292</f>
        <v>0</v>
      </c>
      <c r="AJ219" s="70" t="e">
        <f>'RESUMEN TOTAL'!#REF!</f>
        <v>#REF!</v>
      </c>
    </row>
    <row r="220" spans="1:36" x14ac:dyDescent="0.25">
      <c r="A220" t="str">
        <f>'RESUMEN TOTAL'!F293</f>
        <v>ZEBALLOS CENTRO</v>
      </c>
      <c r="B220" t="str">
        <f>'RESUMEN TOTAL'!G293</f>
        <v>NJU05</v>
      </c>
      <c r="C220" t="str">
        <f>'RESUMEN TOTAL'!I293</f>
        <v>Ituzaingo y Alem</v>
      </c>
      <c r="D220" s="30" t="str">
        <f>'RESUMEN TOTAL'!J293</f>
        <v>Domo</v>
      </c>
      <c r="E220" s="30" t="str">
        <f>'RESUMEN TOTAL'!K293</f>
        <v>GPON</v>
      </c>
      <c r="F220" s="70">
        <f>'RESUMEN TOTAL'!S293</f>
        <v>0</v>
      </c>
      <c r="G220" s="70">
        <f>'RESUMEN TOTAL'!T293</f>
        <v>0</v>
      </c>
      <c r="H220" s="70">
        <f>'RESUMEN TOTAL'!U293</f>
        <v>0</v>
      </c>
      <c r="I220" s="70">
        <f>'RESUMEN TOTAL'!V293</f>
        <v>0</v>
      </c>
      <c r="J220" s="70">
        <f>'RESUMEN TOTAL'!W293</f>
        <v>0</v>
      </c>
      <c r="K220" s="70">
        <f>'RESUMEN TOTAL'!X293</f>
        <v>0</v>
      </c>
      <c r="L220" s="70">
        <f>'RESUMEN TOTAL'!Y293</f>
        <v>0</v>
      </c>
      <c r="M220" s="70">
        <f>'RESUMEN TOTAL'!Z293</f>
        <v>0</v>
      </c>
      <c r="N220" s="70">
        <f>'RESUMEN TOTAL'!AA293</f>
        <v>0</v>
      </c>
      <c r="O220" s="70">
        <f>'RESUMEN TOTAL'!AB293</f>
        <v>0</v>
      </c>
      <c r="P220" s="70">
        <f>'RESUMEN TOTAL'!AC293</f>
        <v>0</v>
      </c>
      <c r="Q220" s="70">
        <f>'RESUMEN TOTAL'!AD293</f>
        <v>0</v>
      </c>
      <c r="R220" s="70">
        <f>'RESUMEN TOTAL'!AE293</f>
        <v>0</v>
      </c>
      <c r="S220" s="70">
        <f>'RESUMEN TOTAL'!AF293</f>
        <v>0</v>
      </c>
      <c r="T220" s="70">
        <f>'RESUMEN TOTAL'!AG293</f>
        <v>0</v>
      </c>
      <c r="U220" s="70">
        <f>'RESUMEN TOTAL'!AH293</f>
        <v>0</v>
      </c>
      <c r="V220" s="70">
        <f>'RESUMEN TOTAL'!AI293</f>
        <v>0</v>
      </c>
      <c r="W220" s="70">
        <f>'RESUMEN TOTAL'!AJ293</f>
        <v>0</v>
      </c>
      <c r="X220" s="70">
        <f>'RESUMEN TOTAL'!AK293</f>
        <v>0</v>
      </c>
      <c r="Y220" s="70">
        <f>'RESUMEN TOTAL'!AL293</f>
        <v>0</v>
      </c>
      <c r="Z220" s="70">
        <f>'RESUMEN TOTAL'!AM293</f>
        <v>0</v>
      </c>
      <c r="AA220" s="70">
        <f>'RESUMEN TOTAL'!AN293</f>
        <v>0</v>
      </c>
      <c r="AB220" s="70">
        <f>'RESUMEN TOTAL'!AO293</f>
        <v>0</v>
      </c>
      <c r="AC220" s="70">
        <f>'RESUMEN TOTAL'!AP293</f>
        <v>0</v>
      </c>
      <c r="AD220" s="70">
        <f>'RESUMEN TOTAL'!AQ293</f>
        <v>0</v>
      </c>
      <c r="AE220" s="70">
        <f>'RESUMEN TOTAL'!AR293</f>
        <v>0</v>
      </c>
      <c r="AF220" s="70">
        <f>'RESUMEN TOTAL'!AS293</f>
        <v>0</v>
      </c>
      <c r="AG220" s="70">
        <f>'RESUMEN TOTAL'!AT293</f>
        <v>0</v>
      </c>
      <c r="AH220" s="70">
        <f>'RESUMEN TOTAL'!AU293</f>
        <v>0</v>
      </c>
      <c r="AI220" s="70">
        <f>'RESUMEN TOTAL'!AV293</f>
        <v>0</v>
      </c>
      <c r="AJ220" s="70" t="e">
        <f>'RESUMEN TOTAL'!#REF!</f>
        <v>#REF!</v>
      </c>
    </row>
    <row r="221" spans="1:36" x14ac:dyDescent="0.25">
      <c r="A221" t="str">
        <f>'RESUMEN TOTAL'!F294</f>
        <v>CENTRO</v>
      </c>
      <c r="B221" t="str">
        <f>'RESUMEN TOTAL'!G294</f>
        <v>NJU06</v>
      </c>
      <c r="C221" t="str">
        <f>'RESUMEN TOTAL'!I294</f>
        <v>Sallares y Rodo</v>
      </c>
      <c r="D221" s="30" t="str">
        <f>'RESUMEN TOTAL'!J294</f>
        <v>Domo</v>
      </c>
      <c r="E221" s="30" t="str">
        <f>'RESUMEN TOTAL'!K294</f>
        <v>Fibra Optica</v>
      </c>
      <c r="F221" s="70">
        <f>'RESUMEN TOTAL'!S294</f>
        <v>0</v>
      </c>
      <c r="G221" s="70">
        <f>'RESUMEN TOTAL'!T294</f>
        <v>0</v>
      </c>
      <c r="H221" s="70">
        <f>'RESUMEN TOTAL'!U294</f>
        <v>0</v>
      </c>
      <c r="I221" s="70">
        <f>'RESUMEN TOTAL'!V294</f>
        <v>0</v>
      </c>
      <c r="J221" s="70">
        <f>'RESUMEN TOTAL'!W294</f>
        <v>0</v>
      </c>
      <c r="K221" s="70">
        <f>'RESUMEN TOTAL'!X294</f>
        <v>0</v>
      </c>
      <c r="L221" s="70">
        <f>'RESUMEN TOTAL'!Y294</f>
        <v>0</v>
      </c>
      <c r="M221" s="70">
        <f>'RESUMEN TOTAL'!Z294</f>
        <v>0</v>
      </c>
      <c r="N221" s="70">
        <f>'RESUMEN TOTAL'!AA294</f>
        <v>0</v>
      </c>
      <c r="O221" s="70">
        <f>'RESUMEN TOTAL'!AB294</f>
        <v>0</v>
      </c>
      <c r="P221" s="70">
        <f>'RESUMEN TOTAL'!AC294</f>
        <v>0</v>
      </c>
      <c r="Q221" s="70">
        <f>'RESUMEN TOTAL'!AD294</f>
        <v>0</v>
      </c>
      <c r="R221" s="70">
        <f>'RESUMEN TOTAL'!AE294</f>
        <v>0</v>
      </c>
      <c r="S221" s="70">
        <f>'RESUMEN TOTAL'!AF294</f>
        <v>0</v>
      </c>
      <c r="T221" s="70">
        <f>'RESUMEN TOTAL'!AG294</f>
        <v>0</v>
      </c>
      <c r="U221" s="70">
        <f>'RESUMEN TOTAL'!AH294</f>
        <v>0</v>
      </c>
      <c r="V221" s="70">
        <f>'RESUMEN TOTAL'!AI294</f>
        <v>0</v>
      </c>
      <c r="W221" s="70">
        <f>'RESUMEN TOTAL'!AJ294</f>
        <v>0</v>
      </c>
      <c r="X221" s="70">
        <f>'RESUMEN TOTAL'!AK294</f>
        <v>0</v>
      </c>
      <c r="Y221" s="70">
        <f>'RESUMEN TOTAL'!AL294</f>
        <v>0</v>
      </c>
      <c r="Z221" s="70">
        <f>'RESUMEN TOTAL'!AM294</f>
        <v>0</v>
      </c>
      <c r="AA221" s="70">
        <f>'RESUMEN TOTAL'!AN294</f>
        <v>0</v>
      </c>
      <c r="AB221" s="70">
        <f>'RESUMEN TOTAL'!AO294</f>
        <v>0</v>
      </c>
      <c r="AC221" s="70">
        <f>'RESUMEN TOTAL'!AP294</f>
        <v>0</v>
      </c>
      <c r="AD221" s="70">
        <f>'RESUMEN TOTAL'!AQ294</f>
        <v>0</v>
      </c>
      <c r="AE221" s="70">
        <f>'RESUMEN TOTAL'!AR294</f>
        <v>0</v>
      </c>
      <c r="AF221" s="70">
        <f>'RESUMEN TOTAL'!AS294</f>
        <v>0</v>
      </c>
      <c r="AG221" s="70">
        <f>'RESUMEN TOTAL'!AT294</f>
        <v>0</v>
      </c>
      <c r="AH221" s="70">
        <f>'RESUMEN TOTAL'!AU294</f>
        <v>0</v>
      </c>
      <c r="AI221" s="70">
        <f>'RESUMEN TOTAL'!AV294</f>
        <v>0</v>
      </c>
      <c r="AJ221" s="70" t="e">
        <f>'RESUMEN TOTAL'!#REF!</f>
        <v>#REF!</v>
      </c>
    </row>
    <row r="222" spans="1:36" x14ac:dyDescent="0.25">
      <c r="A222" t="str">
        <f>'RESUMEN TOTAL'!F295</f>
        <v>9 DE JULIO</v>
      </c>
      <c r="B222" t="str">
        <f>'RESUMEN TOTAL'!G295</f>
        <v>NJU07</v>
      </c>
      <c r="C222" t="str">
        <f>'RESUMEN TOTAL'!I295</f>
        <v>Gral. Juan Domingo Peron y Parrillo</v>
      </c>
      <c r="D222" s="30" t="str">
        <f>'RESUMEN TOTAL'!J295</f>
        <v>Domo</v>
      </c>
      <c r="E222" s="30" t="str">
        <f>'RESUMEN TOTAL'!K295</f>
        <v>Fibra Optica</v>
      </c>
      <c r="F222" s="70">
        <f>'RESUMEN TOTAL'!S295</f>
        <v>0</v>
      </c>
      <c r="G222" s="70">
        <f>'RESUMEN TOTAL'!T295</f>
        <v>0</v>
      </c>
      <c r="H222" s="70">
        <f>'RESUMEN TOTAL'!U295</f>
        <v>0</v>
      </c>
      <c r="I222" s="70">
        <f>'RESUMEN TOTAL'!V295</f>
        <v>0</v>
      </c>
      <c r="J222" s="70">
        <f>'RESUMEN TOTAL'!W295</f>
        <v>0</v>
      </c>
      <c r="K222" s="70">
        <f>'RESUMEN TOTAL'!X295</f>
        <v>0</v>
      </c>
      <c r="L222" s="70">
        <f>'RESUMEN TOTAL'!Y295</f>
        <v>0</v>
      </c>
      <c r="M222" s="70">
        <f>'RESUMEN TOTAL'!Z295</f>
        <v>0</v>
      </c>
      <c r="N222" s="70">
        <f>'RESUMEN TOTAL'!AA295</f>
        <v>0</v>
      </c>
      <c r="O222" s="70">
        <f>'RESUMEN TOTAL'!AB295</f>
        <v>0</v>
      </c>
      <c r="P222" s="70">
        <f>'RESUMEN TOTAL'!AC295</f>
        <v>0</v>
      </c>
      <c r="Q222" s="70">
        <f>'RESUMEN TOTAL'!AD295</f>
        <v>0</v>
      </c>
      <c r="R222" s="70">
        <f>'RESUMEN TOTAL'!AE295</f>
        <v>0</v>
      </c>
      <c r="S222" s="70">
        <f>'RESUMEN TOTAL'!AF295</f>
        <v>0</v>
      </c>
      <c r="T222" s="70">
        <f>'RESUMEN TOTAL'!AG295</f>
        <v>0</v>
      </c>
      <c r="U222" s="70">
        <f>'RESUMEN TOTAL'!AH295</f>
        <v>0</v>
      </c>
      <c r="V222" s="70">
        <f>'RESUMEN TOTAL'!AI295</f>
        <v>0</v>
      </c>
      <c r="W222" s="70">
        <f>'RESUMEN TOTAL'!AJ295</f>
        <v>0</v>
      </c>
      <c r="X222" s="70">
        <f>'RESUMEN TOTAL'!AK295</f>
        <v>0</v>
      </c>
      <c r="Y222" s="70">
        <f>'RESUMEN TOTAL'!AL295</f>
        <v>0</v>
      </c>
      <c r="Z222" s="70">
        <f>'RESUMEN TOTAL'!AM295</f>
        <v>0</v>
      </c>
      <c r="AA222" s="70">
        <f>'RESUMEN TOTAL'!AN295</f>
        <v>0</v>
      </c>
      <c r="AB222" s="70">
        <f>'RESUMEN TOTAL'!AO295</f>
        <v>0</v>
      </c>
      <c r="AC222" s="70">
        <f>'RESUMEN TOTAL'!AP295</f>
        <v>0</v>
      </c>
      <c r="AD222" s="70">
        <f>'RESUMEN TOTAL'!AQ295</f>
        <v>0</v>
      </c>
      <c r="AE222" s="70">
        <f>'RESUMEN TOTAL'!AR295</f>
        <v>0</v>
      </c>
      <c r="AF222" s="70">
        <f>'RESUMEN TOTAL'!AS295</f>
        <v>0</v>
      </c>
      <c r="AG222" s="70">
        <f>'RESUMEN TOTAL'!AT295</f>
        <v>0</v>
      </c>
      <c r="AH222" s="70">
        <f>'RESUMEN TOTAL'!AU295</f>
        <v>0</v>
      </c>
      <c r="AI222" s="70">
        <f>'RESUMEN TOTAL'!AV295</f>
        <v>0</v>
      </c>
      <c r="AJ222" s="70" t="e">
        <f>'RESUMEN TOTAL'!#REF!</f>
        <v>#REF!</v>
      </c>
    </row>
    <row r="223" spans="1:36" x14ac:dyDescent="0.25">
      <c r="A223" t="str">
        <f>'RESUMEN TOTAL'!F296</f>
        <v>9 DE JULIO</v>
      </c>
      <c r="B223" t="str">
        <f>'RESUMEN TOTAL'!G296</f>
        <v>NJU09</v>
      </c>
      <c r="C223" t="str">
        <f>'RESUMEN TOTAL'!I296</f>
        <v>PARRILLO Y CONTRERAS</v>
      </c>
      <c r="D223" s="30" t="str">
        <f>'RESUMEN TOTAL'!J296</f>
        <v>DOMO</v>
      </c>
      <c r="E223" s="30" t="str">
        <f>'RESUMEN TOTAL'!K296</f>
        <v>GPON</v>
      </c>
      <c r="F223" s="70">
        <f>'RESUMEN TOTAL'!S296</f>
        <v>0</v>
      </c>
      <c r="G223" s="70">
        <f>'RESUMEN TOTAL'!T296</f>
        <v>0</v>
      </c>
      <c r="H223" s="70">
        <f>'RESUMEN TOTAL'!U296</f>
        <v>0</v>
      </c>
      <c r="I223" s="70">
        <f>'RESUMEN TOTAL'!V296</f>
        <v>0</v>
      </c>
      <c r="J223" s="70">
        <f>'RESUMEN TOTAL'!W296</f>
        <v>0</v>
      </c>
      <c r="K223" s="70">
        <f>'RESUMEN TOTAL'!X296</f>
        <v>0</v>
      </c>
      <c r="L223" s="70">
        <f>'RESUMEN TOTAL'!Y296</f>
        <v>0</v>
      </c>
      <c r="M223" s="70">
        <f>'RESUMEN TOTAL'!Z296</f>
        <v>0</v>
      </c>
      <c r="N223" s="70">
        <f>'RESUMEN TOTAL'!AA296</f>
        <v>0</v>
      </c>
      <c r="O223" s="70">
        <f>'RESUMEN TOTAL'!AB296</f>
        <v>0</v>
      </c>
      <c r="P223" s="70">
        <f>'RESUMEN TOTAL'!AC296</f>
        <v>0</v>
      </c>
      <c r="Q223" s="70">
        <f>'RESUMEN TOTAL'!AD296</f>
        <v>0</v>
      </c>
      <c r="R223" s="70">
        <f>'RESUMEN TOTAL'!AE296</f>
        <v>0</v>
      </c>
      <c r="S223" s="70">
        <f>'RESUMEN TOTAL'!AF296</f>
        <v>0</v>
      </c>
      <c r="T223" s="70">
        <f>'RESUMEN TOTAL'!AG296</f>
        <v>0</v>
      </c>
      <c r="U223" s="70">
        <f>'RESUMEN TOTAL'!AH296</f>
        <v>0</v>
      </c>
      <c r="V223" s="70">
        <f>'RESUMEN TOTAL'!AI296</f>
        <v>0</v>
      </c>
      <c r="W223" s="70">
        <f>'RESUMEN TOTAL'!AJ296</f>
        <v>0</v>
      </c>
      <c r="X223" s="70">
        <f>'RESUMEN TOTAL'!AK296</f>
        <v>0</v>
      </c>
      <c r="Y223" s="70">
        <f>'RESUMEN TOTAL'!AL296</f>
        <v>0</v>
      </c>
      <c r="Z223" s="70">
        <f>'RESUMEN TOTAL'!AM296</f>
        <v>0</v>
      </c>
      <c r="AA223" s="70">
        <f>'RESUMEN TOTAL'!AN296</f>
        <v>0</v>
      </c>
      <c r="AB223" s="70">
        <f>'RESUMEN TOTAL'!AO296</f>
        <v>0</v>
      </c>
      <c r="AC223" s="70">
        <f>'RESUMEN TOTAL'!AP296</f>
        <v>0</v>
      </c>
      <c r="AD223" s="70">
        <f>'RESUMEN TOTAL'!AQ296</f>
        <v>0</v>
      </c>
      <c r="AE223" s="70">
        <f>'RESUMEN TOTAL'!AR296</f>
        <v>0</v>
      </c>
      <c r="AF223" s="70">
        <f>'RESUMEN TOTAL'!AS296</f>
        <v>0</v>
      </c>
      <c r="AG223" s="70">
        <f>'RESUMEN TOTAL'!AT296</f>
        <v>0</v>
      </c>
      <c r="AH223" s="70">
        <f>'RESUMEN TOTAL'!AU296</f>
        <v>0</v>
      </c>
      <c r="AI223" s="70">
        <f>'RESUMEN TOTAL'!AV296</f>
        <v>0</v>
      </c>
      <c r="AJ223" s="70" t="e">
        <f>'RESUMEN TOTAL'!#REF!</f>
        <v>#REF!</v>
      </c>
    </row>
    <row r="224" spans="1:36" x14ac:dyDescent="0.25">
      <c r="A224" t="str">
        <f>'RESUMEN TOTAL'!F297</f>
        <v>9 DE JULIO</v>
      </c>
      <c r="B224" t="str">
        <f>'RESUMEN TOTAL'!G297</f>
        <v>NJU10</v>
      </c>
      <c r="C224" t="str">
        <f>'RESUMEN TOTAL'!I297</f>
        <v>BOCUZZI Y BARO</v>
      </c>
      <c r="D224" s="30" t="str">
        <f>'RESUMEN TOTAL'!J297</f>
        <v>DOMO</v>
      </c>
      <c r="E224" s="30" t="str">
        <f>'RESUMEN TOTAL'!K297</f>
        <v>GPON</v>
      </c>
      <c r="F224" s="70">
        <f>'RESUMEN TOTAL'!S297</f>
        <v>0</v>
      </c>
      <c r="G224" s="70">
        <f>'RESUMEN TOTAL'!T297</f>
        <v>0</v>
      </c>
      <c r="H224" s="70">
        <f>'RESUMEN TOTAL'!U297</f>
        <v>0</v>
      </c>
      <c r="I224" s="70">
        <f>'RESUMEN TOTAL'!V297</f>
        <v>0</v>
      </c>
      <c r="J224" s="70">
        <f>'RESUMEN TOTAL'!W297</f>
        <v>0</v>
      </c>
      <c r="K224" s="70">
        <f>'RESUMEN TOTAL'!X297</f>
        <v>0</v>
      </c>
      <c r="L224" s="70">
        <f>'RESUMEN TOTAL'!Y297</f>
        <v>0</v>
      </c>
      <c r="M224" s="70">
        <f>'RESUMEN TOTAL'!Z297</f>
        <v>0</v>
      </c>
      <c r="N224" s="70">
        <f>'RESUMEN TOTAL'!AA297</f>
        <v>0</v>
      </c>
      <c r="O224" s="70">
        <f>'RESUMEN TOTAL'!AB297</f>
        <v>0</v>
      </c>
      <c r="P224" s="70">
        <f>'RESUMEN TOTAL'!AC297</f>
        <v>0</v>
      </c>
      <c r="Q224" s="70">
        <f>'RESUMEN TOTAL'!AD297</f>
        <v>0</v>
      </c>
      <c r="R224" s="70">
        <f>'RESUMEN TOTAL'!AE297</f>
        <v>0</v>
      </c>
      <c r="S224" s="70">
        <f>'RESUMEN TOTAL'!AF297</f>
        <v>0</v>
      </c>
      <c r="T224" s="70">
        <f>'RESUMEN TOTAL'!AG297</f>
        <v>0</v>
      </c>
      <c r="U224" s="70">
        <f>'RESUMEN TOTAL'!AH297</f>
        <v>0</v>
      </c>
      <c r="V224" s="70">
        <f>'RESUMEN TOTAL'!AI297</f>
        <v>0</v>
      </c>
      <c r="W224" s="70">
        <f>'RESUMEN TOTAL'!AJ297</f>
        <v>0</v>
      </c>
      <c r="X224" s="70">
        <f>'RESUMEN TOTAL'!AK297</f>
        <v>0</v>
      </c>
      <c r="Y224" s="70">
        <f>'RESUMEN TOTAL'!AL297</f>
        <v>0</v>
      </c>
      <c r="Z224" s="70">
        <f>'RESUMEN TOTAL'!AM297</f>
        <v>0</v>
      </c>
      <c r="AA224" s="70">
        <f>'RESUMEN TOTAL'!AN297</f>
        <v>0</v>
      </c>
      <c r="AB224" s="70">
        <f>'RESUMEN TOTAL'!AO297</f>
        <v>0</v>
      </c>
      <c r="AC224" s="70">
        <f>'RESUMEN TOTAL'!AP297</f>
        <v>0</v>
      </c>
      <c r="AD224" s="70">
        <f>'RESUMEN TOTAL'!AQ297</f>
        <v>0</v>
      </c>
      <c r="AE224" s="70">
        <f>'RESUMEN TOTAL'!AR297</f>
        <v>0</v>
      </c>
      <c r="AF224" s="70">
        <f>'RESUMEN TOTAL'!AS297</f>
        <v>0</v>
      </c>
      <c r="AG224" s="70">
        <f>'RESUMEN TOTAL'!AT297</f>
        <v>0</v>
      </c>
      <c r="AH224" s="70">
        <f>'RESUMEN TOTAL'!AU297</f>
        <v>0</v>
      </c>
      <c r="AI224" s="70">
        <f>'RESUMEN TOTAL'!AV297</f>
        <v>0</v>
      </c>
      <c r="AJ224" s="70" t="e">
        <f>'RESUMEN TOTAL'!#REF!</f>
        <v>#REF!</v>
      </c>
    </row>
    <row r="225" spans="1:36" x14ac:dyDescent="0.25">
      <c r="A225" t="str">
        <f>'RESUMEN TOTAL'!F298</f>
        <v>10 DE JULIO</v>
      </c>
      <c r="B225" t="str">
        <f>'RESUMEN TOTAL'!G298</f>
        <v>NJU11</v>
      </c>
      <c r="C225" t="str">
        <f>'RESUMEN TOTAL'!I298</f>
        <v>Tte:Peron y Chile</v>
      </c>
      <c r="D225" s="30" t="str">
        <f>'RESUMEN TOTAL'!J298</f>
        <v>Domo</v>
      </c>
      <c r="E225" s="30" t="str">
        <f>'RESUMEN TOTAL'!K298</f>
        <v>GPON</v>
      </c>
      <c r="F225" s="70">
        <f>'RESUMEN TOTAL'!S298</f>
        <v>0</v>
      </c>
      <c r="G225" s="70">
        <f>'RESUMEN TOTAL'!T298</f>
        <v>0</v>
      </c>
      <c r="H225" s="70">
        <f>'RESUMEN TOTAL'!U298</f>
        <v>0</v>
      </c>
      <c r="I225" s="70">
        <f>'RESUMEN TOTAL'!V298</f>
        <v>0</v>
      </c>
      <c r="J225" s="70">
        <f>'RESUMEN TOTAL'!W298</f>
        <v>0</v>
      </c>
      <c r="K225" s="70">
        <f>'RESUMEN TOTAL'!X298</f>
        <v>0</v>
      </c>
      <c r="L225" s="70">
        <f>'RESUMEN TOTAL'!Y298</f>
        <v>0</v>
      </c>
      <c r="M225" s="70">
        <f>'RESUMEN TOTAL'!Z298</f>
        <v>0</v>
      </c>
      <c r="N225" s="70">
        <f>'RESUMEN TOTAL'!AA298</f>
        <v>0</v>
      </c>
      <c r="O225" s="70">
        <f>'RESUMEN TOTAL'!AB298</f>
        <v>0</v>
      </c>
      <c r="P225" s="70">
        <f>'RESUMEN TOTAL'!AC298</f>
        <v>0</v>
      </c>
      <c r="Q225" s="70">
        <f>'RESUMEN TOTAL'!AD298</f>
        <v>0</v>
      </c>
      <c r="R225" s="70">
        <f>'RESUMEN TOTAL'!AE298</f>
        <v>0</v>
      </c>
      <c r="S225" s="70">
        <f>'RESUMEN TOTAL'!AF298</f>
        <v>0</v>
      </c>
      <c r="T225" s="70">
        <f>'RESUMEN TOTAL'!AG298</f>
        <v>0</v>
      </c>
      <c r="U225" s="70">
        <f>'RESUMEN TOTAL'!AH298</f>
        <v>0</v>
      </c>
      <c r="V225" s="70">
        <f>'RESUMEN TOTAL'!AI298</f>
        <v>0</v>
      </c>
      <c r="W225" s="70">
        <f>'RESUMEN TOTAL'!AJ298</f>
        <v>0</v>
      </c>
      <c r="X225" s="70">
        <f>'RESUMEN TOTAL'!AK298</f>
        <v>0</v>
      </c>
      <c r="Y225" s="70">
        <f>'RESUMEN TOTAL'!AL298</f>
        <v>0</v>
      </c>
      <c r="Z225" s="70">
        <f>'RESUMEN TOTAL'!AM298</f>
        <v>0</v>
      </c>
      <c r="AA225" s="70">
        <f>'RESUMEN TOTAL'!AN298</f>
        <v>0</v>
      </c>
      <c r="AB225" s="70">
        <f>'RESUMEN TOTAL'!AO298</f>
        <v>0</v>
      </c>
      <c r="AC225" s="70">
        <f>'RESUMEN TOTAL'!AP298</f>
        <v>0</v>
      </c>
      <c r="AD225" s="70">
        <f>'RESUMEN TOTAL'!AQ298</f>
        <v>0</v>
      </c>
      <c r="AE225" s="70">
        <f>'RESUMEN TOTAL'!AR298</f>
        <v>0</v>
      </c>
      <c r="AF225" s="70">
        <f>'RESUMEN TOTAL'!AS298</f>
        <v>0</v>
      </c>
      <c r="AG225" s="70">
        <f>'RESUMEN TOTAL'!AT298</f>
        <v>0</v>
      </c>
      <c r="AH225" s="70">
        <f>'RESUMEN TOTAL'!AU298</f>
        <v>0</v>
      </c>
      <c r="AI225" s="70">
        <f>'RESUMEN TOTAL'!AV298</f>
        <v>0</v>
      </c>
      <c r="AJ225" s="70" t="e">
        <f>'RESUMEN TOTAL'!#REF!</f>
        <v>#REF!</v>
      </c>
    </row>
    <row r="226" spans="1:36" x14ac:dyDescent="0.25">
      <c r="A226" t="str">
        <f>'RESUMEN TOTAL'!F299</f>
        <v>10 DE JULIO</v>
      </c>
      <c r="B226" t="str">
        <f>'RESUMEN TOTAL'!G299</f>
        <v>NJU12</v>
      </c>
      <c r="C226" t="str">
        <f>'RESUMEN TOTAL'!I299</f>
        <v>Bocuzzi y Rodo</v>
      </c>
      <c r="D226" s="30" t="str">
        <f>'RESUMEN TOTAL'!J299</f>
        <v>Domo</v>
      </c>
      <c r="E226" s="30" t="str">
        <f>'RESUMEN TOTAL'!K299</f>
        <v>Fibra Optica</v>
      </c>
      <c r="F226" s="70">
        <f>'RESUMEN TOTAL'!S299</f>
        <v>0</v>
      </c>
      <c r="G226" s="70">
        <f>'RESUMEN TOTAL'!T299</f>
        <v>0</v>
      </c>
      <c r="H226" s="70">
        <f>'RESUMEN TOTAL'!U299</f>
        <v>0</v>
      </c>
      <c r="I226" s="70">
        <f>'RESUMEN TOTAL'!V299</f>
        <v>0</v>
      </c>
      <c r="J226" s="70">
        <f>'RESUMEN TOTAL'!W299</f>
        <v>0</v>
      </c>
      <c r="K226" s="70">
        <f>'RESUMEN TOTAL'!X299</f>
        <v>0</v>
      </c>
      <c r="L226" s="70">
        <f>'RESUMEN TOTAL'!Y299</f>
        <v>0</v>
      </c>
      <c r="M226" s="70">
        <f>'RESUMEN TOTAL'!Z299</f>
        <v>0</v>
      </c>
      <c r="N226" s="70">
        <f>'RESUMEN TOTAL'!AA299</f>
        <v>0</v>
      </c>
      <c r="O226" s="70">
        <f>'RESUMEN TOTAL'!AB299</f>
        <v>0</v>
      </c>
      <c r="P226" s="70">
        <f>'RESUMEN TOTAL'!AC299</f>
        <v>0</v>
      </c>
      <c r="Q226" s="70">
        <f>'RESUMEN TOTAL'!AD299</f>
        <v>0</v>
      </c>
      <c r="R226" s="70">
        <f>'RESUMEN TOTAL'!AE299</f>
        <v>0</v>
      </c>
      <c r="S226" s="70">
        <f>'RESUMEN TOTAL'!AF299</f>
        <v>0</v>
      </c>
      <c r="T226" s="70">
        <f>'RESUMEN TOTAL'!AG299</f>
        <v>0</v>
      </c>
      <c r="U226" s="70">
        <f>'RESUMEN TOTAL'!AH299</f>
        <v>0</v>
      </c>
      <c r="V226" s="70">
        <f>'RESUMEN TOTAL'!AI299</f>
        <v>0</v>
      </c>
      <c r="W226" s="70">
        <f>'RESUMEN TOTAL'!AJ299</f>
        <v>0</v>
      </c>
      <c r="X226" s="70">
        <f>'RESUMEN TOTAL'!AK299</f>
        <v>0</v>
      </c>
      <c r="Y226" s="70">
        <f>'RESUMEN TOTAL'!AL299</f>
        <v>0</v>
      </c>
      <c r="Z226" s="70">
        <f>'RESUMEN TOTAL'!AM299</f>
        <v>0</v>
      </c>
      <c r="AA226" s="70">
        <f>'RESUMEN TOTAL'!AN299</f>
        <v>0</v>
      </c>
      <c r="AB226" s="70">
        <f>'RESUMEN TOTAL'!AO299</f>
        <v>0</v>
      </c>
      <c r="AC226" s="70">
        <f>'RESUMEN TOTAL'!AP299</f>
        <v>0</v>
      </c>
      <c r="AD226" s="70">
        <f>'RESUMEN TOTAL'!AQ299</f>
        <v>0</v>
      </c>
      <c r="AE226" s="70">
        <f>'RESUMEN TOTAL'!AR299</f>
        <v>0</v>
      </c>
      <c r="AF226" s="70">
        <f>'RESUMEN TOTAL'!AS299</f>
        <v>0</v>
      </c>
      <c r="AG226" s="70">
        <f>'RESUMEN TOTAL'!AT299</f>
        <v>0</v>
      </c>
      <c r="AH226" s="70">
        <f>'RESUMEN TOTAL'!AU299</f>
        <v>0</v>
      </c>
      <c r="AI226" s="70">
        <f>'RESUMEN TOTAL'!AV299</f>
        <v>0</v>
      </c>
      <c r="AJ226" s="70" t="e">
        <f>'RESUMEN TOTAL'!#REF!</f>
        <v>#REF!</v>
      </c>
    </row>
    <row r="227" spans="1:36" x14ac:dyDescent="0.25">
      <c r="A227" t="str">
        <f>'RESUMEN TOTAL'!F303</f>
        <v>PICO DE ORO</v>
      </c>
      <c r="B227" t="str">
        <f>'RESUMEN TOTAL'!G303</f>
        <v>PCO 01</v>
      </c>
      <c r="C227" t="str">
        <f>'RESUMEN TOTAL'!I303</f>
        <v>CEMENTERIO</v>
      </c>
      <c r="D227" s="30" t="str">
        <f>'RESUMEN TOTAL'!J303</f>
        <v>DOMO</v>
      </c>
      <c r="E227" s="30" t="str">
        <f>'RESUMEN TOTAL'!K303</f>
        <v>Fibra Optica</v>
      </c>
      <c r="F227" s="70">
        <f>'RESUMEN TOTAL'!S303</f>
        <v>0</v>
      </c>
      <c r="G227" s="70">
        <f>'RESUMEN TOTAL'!T303</f>
        <v>0</v>
      </c>
      <c r="H227" s="70">
        <f>'RESUMEN TOTAL'!U303</f>
        <v>0</v>
      </c>
      <c r="I227" s="70">
        <f>'RESUMEN TOTAL'!V303</f>
        <v>0</v>
      </c>
      <c r="J227" s="70">
        <f>'RESUMEN TOTAL'!W303</f>
        <v>0</v>
      </c>
      <c r="K227" s="70">
        <f>'RESUMEN TOTAL'!X303</f>
        <v>0</v>
      </c>
      <c r="L227" s="70">
        <f>'RESUMEN TOTAL'!Y303</f>
        <v>0</v>
      </c>
      <c r="M227" s="70">
        <f>'RESUMEN TOTAL'!Z303</f>
        <v>0</v>
      </c>
      <c r="N227" s="70">
        <f>'RESUMEN TOTAL'!AA303</f>
        <v>0</v>
      </c>
      <c r="O227" s="70">
        <f>'RESUMEN TOTAL'!AB303</f>
        <v>0</v>
      </c>
      <c r="P227" s="70">
        <f>'RESUMEN TOTAL'!AC303</f>
        <v>0</v>
      </c>
      <c r="Q227" s="70">
        <f>'RESUMEN TOTAL'!AD303</f>
        <v>0</v>
      </c>
      <c r="R227" s="70">
        <f>'RESUMEN TOTAL'!AE303</f>
        <v>0</v>
      </c>
      <c r="S227" s="70">
        <f>'RESUMEN TOTAL'!AF303</f>
        <v>0</v>
      </c>
      <c r="T227" s="70">
        <f>'RESUMEN TOTAL'!AG303</f>
        <v>0</v>
      </c>
      <c r="U227" s="70">
        <f>'RESUMEN TOTAL'!AH303</f>
        <v>0</v>
      </c>
      <c r="V227" s="70">
        <f>'RESUMEN TOTAL'!AI303</f>
        <v>0</v>
      </c>
      <c r="W227" s="70">
        <f>'RESUMEN TOTAL'!AJ303</f>
        <v>0</v>
      </c>
      <c r="X227" s="70">
        <f>'RESUMEN TOTAL'!AK303</f>
        <v>0</v>
      </c>
      <c r="Y227" s="70">
        <f>'RESUMEN TOTAL'!AL303</f>
        <v>0</v>
      </c>
      <c r="Z227" s="70">
        <f>'RESUMEN TOTAL'!AM303</f>
        <v>0</v>
      </c>
      <c r="AA227" s="70">
        <f>'RESUMEN TOTAL'!AN303</f>
        <v>0</v>
      </c>
      <c r="AB227" s="70">
        <f>'RESUMEN TOTAL'!AO303</f>
        <v>0</v>
      </c>
      <c r="AC227" s="70">
        <f>'RESUMEN TOTAL'!AP303</f>
        <v>0</v>
      </c>
      <c r="AD227" s="70">
        <f>'RESUMEN TOTAL'!AQ303</f>
        <v>0</v>
      </c>
      <c r="AE227" s="70">
        <f>'RESUMEN TOTAL'!AR303</f>
        <v>0</v>
      </c>
      <c r="AF227" s="70">
        <f>'RESUMEN TOTAL'!AS303</f>
        <v>0</v>
      </c>
      <c r="AG227" s="70">
        <f>'RESUMEN TOTAL'!AT303</f>
        <v>0</v>
      </c>
      <c r="AH227" s="70">
        <f>'RESUMEN TOTAL'!AU303</f>
        <v>0</v>
      </c>
      <c r="AI227" s="70">
        <f>'RESUMEN TOTAL'!AV303</f>
        <v>0</v>
      </c>
      <c r="AJ227" s="70" t="e">
        <f>'RESUMEN TOTAL'!#REF!</f>
        <v>#REF!</v>
      </c>
    </row>
    <row r="228" spans="1:36" x14ac:dyDescent="0.25">
      <c r="A228" t="str">
        <f>'RESUMEN TOTAL'!F304</f>
        <v>PICO DE ORO</v>
      </c>
      <c r="B228" t="str">
        <f>'RESUMEN TOTAL'!G304</f>
        <v>PCO02 (fija 1)</v>
      </c>
      <c r="C228" t="str">
        <f>'RESUMEN TOTAL'!I304</f>
        <v>SICILIA E/ VIENA Y VARSOVIA</v>
      </c>
      <c r="D228" s="30" t="str">
        <f>'RESUMEN TOTAL'!J304</f>
        <v>Fija</v>
      </c>
      <c r="E228" s="30" t="str">
        <f>'RESUMEN TOTAL'!K304</f>
        <v>Fibra Optica</v>
      </c>
      <c r="F228" s="70">
        <f>'RESUMEN TOTAL'!S304</f>
        <v>0</v>
      </c>
      <c r="G228" s="70">
        <f>'RESUMEN TOTAL'!T304</f>
        <v>0</v>
      </c>
      <c r="H228" s="70">
        <f>'RESUMEN TOTAL'!U304</f>
        <v>0</v>
      </c>
      <c r="I228" s="70">
        <f>'RESUMEN TOTAL'!V304</f>
        <v>0</v>
      </c>
      <c r="J228" s="70">
        <f>'RESUMEN TOTAL'!W304</f>
        <v>0</v>
      </c>
      <c r="K228" s="70">
        <f>'RESUMEN TOTAL'!X304</f>
        <v>0</v>
      </c>
      <c r="L228" s="70">
        <f>'RESUMEN TOTAL'!Y304</f>
        <v>0</v>
      </c>
      <c r="M228" s="70">
        <f>'RESUMEN TOTAL'!Z304</f>
        <v>0</v>
      </c>
      <c r="N228" s="70">
        <f>'RESUMEN TOTAL'!AA304</f>
        <v>0</v>
      </c>
      <c r="O228" s="70">
        <f>'RESUMEN TOTAL'!AB304</f>
        <v>0</v>
      </c>
      <c r="P228" s="70">
        <f>'RESUMEN TOTAL'!AC304</f>
        <v>0</v>
      </c>
      <c r="Q228" s="70">
        <f>'RESUMEN TOTAL'!AD304</f>
        <v>0</v>
      </c>
      <c r="R228" s="70">
        <f>'RESUMEN TOTAL'!AE304</f>
        <v>0</v>
      </c>
      <c r="S228" s="70">
        <f>'RESUMEN TOTAL'!AF304</f>
        <v>0</v>
      </c>
      <c r="T228" s="70">
        <f>'RESUMEN TOTAL'!AG304</f>
        <v>0</v>
      </c>
      <c r="U228" s="70">
        <f>'RESUMEN TOTAL'!AH304</f>
        <v>0</v>
      </c>
      <c r="V228" s="70">
        <f>'RESUMEN TOTAL'!AI304</f>
        <v>0</v>
      </c>
      <c r="W228" s="70">
        <f>'RESUMEN TOTAL'!AJ304</f>
        <v>0</v>
      </c>
      <c r="X228" s="70">
        <f>'RESUMEN TOTAL'!AK304</f>
        <v>0</v>
      </c>
      <c r="Y228" s="70">
        <f>'RESUMEN TOTAL'!AL304</f>
        <v>0</v>
      </c>
      <c r="Z228" s="70">
        <f>'RESUMEN TOTAL'!AM304</f>
        <v>0</v>
      </c>
      <c r="AA228" s="70">
        <f>'RESUMEN TOTAL'!AN304</f>
        <v>0</v>
      </c>
      <c r="AB228" s="70">
        <f>'RESUMEN TOTAL'!AO304</f>
        <v>0</v>
      </c>
      <c r="AC228" s="70">
        <f>'RESUMEN TOTAL'!AP304</f>
        <v>0</v>
      </c>
      <c r="AD228" s="70">
        <f>'RESUMEN TOTAL'!AQ304</f>
        <v>0</v>
      </c>
      <c r="AE228" s="70">
        <f>'RESUMEN TOTAL'!AR304</f>
        <v>0</v>
      </c>
      <c r="AF228" s="70">
        <f>'RESUMEN TOTAL'!AS304</f>
        <v>0</v>
      </c>
      <c r="AG228" s="70">
        <f>'RESUMEN TOTAL'!AT304</f>
        <v>0</v>
      </c>
      <c r="AH228" s="70">
        <f>'RESUMEN TOTAL'!AU304</f>
        <v>0</v>
      </c>
      <c r="AI228" s="70">
        <f>'RESUMEN TOTAL'!AV304</f>
        <v>0</v>
      </c>
      <c r="AJ228" s="70" t="e">
        <f>'RESUMEN TOTAL'!#REF!</f>
        <v>#REF!</v>
      </c>
    </row>
    <row r="229" spans="1:36" x14ac:dyDescent="0.25">
      <c r="A229" t="str">
        <f>'RESUMEN TOTAL'!F305</f>
        <v>PICO DE ORO</v>
      </c>
      <c r="B229" t="str">
        <f>'RESUMEN TOTAL'!G305</f>
        <v>PCO03 (fija 2)</v>
      </c>
      <c r="C229" t="str">
        <f>'RESUMEN TOTAL'!I305</f>
        <v>SICILIA E/ VIENA Y VARSOVIA</v>
      </c>
      <c r="D229" s="30" t="str">
        <f>'RESUMEN TOTAL'!J305</f>
        <v>Fija</v>
      </c>
      <c r="E229" s="30" t="str">
        <f>'RESUMEN TOTAL'!K305</f>
        <v>Fibra Optica</v>
      </c>
      <c r="F229" s="70">
        <f>'RESUMEN TOTAL'!S305</f>
        <v>0</v>
      </c>
      <c r="G229" s="70">
        <f>'RESUMEN TOTAL'!T305</f>
        <v>0</v>
      </c>
      <c r="H229" s="70">
        <f>'RESUMEN TOTAL'!U305</f>
        <v>0</v>
      </c>
      <c r="I229" s="70">
        <f>'RESUMEN TOTAL'!V305</f>
        <v>0</v>
      </c>
      <c r="J229" s="70">
        <f>'RESUMEN TOTAL'!W305</f>
        <v>0</v>
      </c>
      <c r="K229" s="70">
        <f>'RESUMEN TOTAL'!X305</f>
        <v>0</v>
      </c>
      <c r="L229" s="70">
        <f>'RESUMEN TOTAL'!Y305</f>
        <v>0</v>
      </c>
      <c r="M229" s="70">
        <f>'RESUMEN TOTAL'!Z305</f>
        <v>0</v>
      </c>
      <c r="N229" s="70">
        <f>'RESUMEN TOTAL'!AA305</f>
        <v>0</v>
      </c>
      <c r="O229" s="70">
        <f>'RESUMEN TOTAL'!AB305</f>
        <v>0</v>
      </c>
      <c r="P229" s="70">
        <f>'RESUMEN TOTAL'!AC305</f>
        <v>0</v>
      </c>
      <c r="Q229" s="70">
        <f>'RESUMEN TOTAL'!AD305</f>
        <v>0</v>
      </c>
      <c r="R229" s="70">
        <f>'RESUMEN TOTAL'!AE305</f>
        <v>0</v>
      </c>
      <c r="S229" s="70">
        <f>'RESUMEN TOTAL'!AF305</f>
        <v>0</v>
      </c>
      <c r="T229" s="70">
        <f>'RESUMEN TOTAL'!AG305</f>
        <v>0</v>
      </c>
      <c r="U229" s="70">
        <f>'RESUMEN TOTAL'!AH305</f>
        <v>0</v>
      </c>
      <c r="V229" s="70">
        <f>'RESUMEN TOTAL'!AI305</f>
        <v>0</v>
      </c>
      <c r="W229" s="70">
        <f>'RESUMEN TOTAL'!AJ305</f>
        <v>0</v>
      </c>
      <c r="X229" s="70">
        <f>'RESUMEN TOTAL'!AK305</f>
        <v>0</v>
      </c>
      <c r="Y229" s="70">
        <f>'RESUMEN TOTAL'!AL305</f>
        <v>0</v>
      </c>
      <c r="Z229" s="70">
        <f>'RESUMEN TOTAL'!AM305</f>
        <v>0</v>
      </c>
      <c r="AA229" s="70">
        <f>'RESUMEN TOTAL'!AN305</f>
        <v>0</v>
      </c>
      <c r="AB229" s="70">
        <f>'RESUMEN TOTAL'!AO305</f>
        <v>0</v>
      </c>
      <c r="AC229" s="70">
        <f>'RESUMEN TOTAL'!AP305</f>
        <v>0</v>
      </c>
      <c r="AD229" s="70">
        <f>'RESUMEN TOTAL'!AQ305</f>
        <v>0</v>
      </c>
      <c r="AE229" s="70">
        <f>'RESUMEN TOTAL'!AR305</f>
        <v>0</v>
      </c>
      <c r="AF229" s="70">
        <f>'RESUMEN TOTAL'!AS305</f>
        <v>0</v>
      </c>
      <c r="AG229" s="70">
        <f>'RESUMEN TOTAL'!AT305</f>
        <v>0</v>
      </c>
      <c r="AH229" s="70">
        <f>'RESUMEN TOTAL'!AU305</f>
        <v>0</v>
      </c>
      <c r="AI229" s="70">
        <f>'RESUMEN TOTAL'!AV305</f>
        <v>0</v>
      </c>
      <c r="AJ229" s="70" t="e">
        <f>'RESUMEN TOTAL'!#REF!</f>
        <v>#REF!</v>
      </c>
    </row>
    <row r="230" spans="1:36" x14ac:dyDescent="0.25">
      <c r="A230" t="str">
        <f>'RESUMEN TOTAL'!F306</f>
        <v>PICO DE ORO</v>
      </c>
      <c r="B230" t="str">
        <f>'RESUMEN TOTAL'!G306</f>
        <v>PCO04 (fija 1)</v>
      </c>
      <c r="C230" t="str">
        <f>'RESUMEN TOTAL'!I306</f>
        <v>BERNA Y POLONIA</v>
      </c>
      <c r="D230" s="30" t="str">
        <f>'RESUMEN TOTAL'!J306</f>
        <v>Fija</v>
      </c>
      <c r="E230" s="30" t="str">
        <f>'RESUMEN TOTAL'!K306</f>
        <v>Fibra Optica</v>
      </c>
      <c r="F230" s="70">
        <f>'RESUMEN TOTAL'!S306</f>
        <v>0</v>
      </c>
      <c r="G230" s="70">
        <f>'RESUMEN TOTAL'!T306</f>
        <v>0</v>
      </c>
      <c r="H230" s="70">
        <f>'RESUMEN TOTAL'!U306</f>
        <v>0</v>
      </c>
      <c r="I230" s="70">
        <f>'RESUMEN TOTAL'!V306</f>
        <v>0</v>
      </c>
      <c r="J230" s="70">
        <f>'RESUMEN TOTAL'!W306</f>
        <v>0</v>
      </c>
      <c r="K230" s="70">
        <f>'RESUMEN TOTAL'!X306</f>
        <v>0</v>
      </c>
      <c r="L230" s="70">
        <f>'RESUMEN TOTAL'!Y306</f>
        <v>0</v>
      </c>
      <c r="M230" s="70">
        <f>'RESUMEN TOTAL'!Z306</f>
        <v>0</v>
      </c>
      <c r="N230" s="70">
        <f>'RESUMEN TOTAL'!AA306</f>
        <v>0</v>
      </c>
      <c r="O230" s="70">
        <f>'RESUMEN TOTAL'!AB306</f>
        <v>0</v>
      </c>
      <c r="P230" s="70">
        <f>'RESUMEN TOTAL'!AC306</f>
        <v>0</v>
      </c>
      <c r="Q230" s="70">
        <f>'RESUMEN TOTAL'!AD306</f>
        <v>0</v>
      </c>
      <c r="R230" s="70">
        <f>'RESUMEN TOTAL'!AE306</f>
        <v>0</v>
      </c>
      <c r="S230" s="70">
        <f>'RESUMEN TOTAL'!AF306</f>
        <v>0</v>
      </c>
      <c r="T230" s="70">
        <f>'RESUMEN TOTAL'!AG306</f>
        <v>0</v>
      </c>
      <c r="U230" s="70">
        <f>'RESUMEN TOTAL'!AH306</f>
        <v>0</v>
      </c>
      <c r="V230" s="70">
        <f>'RESUMEN TOTAL'!AI306</f>
        <v>0</v>
      </c>
      <c r="W230" s="70">
        <f>'RESUMEN TOTAL'!AJ306</f>
        <v>0</v>
      </c>
      <c r="X230" s="70">
        <f>'RESUMEN TOTAL'!AK306</f>
        <v>0</v>
      </c>
      <c r="Y230" s="70">
        <f>'RESUMEN TOTAL'!AL306</f>
        <v>0</v>
      </c>
      <c r="Z230" s="70">
        <f>'RESUMEN TOTAL'!AM306</f>
        <v>0</v>
      </c>
      <c r="AA230" s="70">
        <f>'RESUMEN TOTAL'!AN306</f>
        <v>0</v>
      </c>
      <c r="AB230" s="70">
        <f>'RESUMEN TOTAL'!AO306</f>
        <v>0</v>
      </c>
      <c r="AC230" s="70">
        <f>'RESUMEN TOTAL'!AP306</f>
        <v>0</v>
      </c>
      <c r="AD230" s="70">
        <f>'RESUMEN TOTAL'!AQ306</f>
        <v>0</v>
      </c>
      <c r="AE230" s="70">
        <f>'RESUMEN TOTAL'!AR306</f>
        <v>0</v>
      </c>
      <c r="AF230" s="70">
        <f>'RESUMEN TOTAL'!AS306</f>
        <v>0</v>
      </c>
      <c r="AG230" s="70">
        <f>'RESUMEN TOTAL'!AT306</f>
        <v>0</v>
      </c>
      <c r="AH230" s="70">
        <f>'RESUMEN TOTAL'!AU306</f>
        <v>0</v>
      </c>
      <c r="AI230" s="70">
        <f>'RESUMEN TOTAL'!AV306</f>
        <v>0</v>
      </c>
      <c r="AJ230" s="70" t="e">
        <f>'RESUMEN TOTAL'!#REF!</f>
        <v>#REF!</v>
      </c>
    </row>
    <row r="231" spans="1:36" x14ac:dyDescent="0.25">
      <c r="A231" t="str">
        <f>'RESUMEN TOTAL'!F307</f>
        <v>PICO DE ORO</v>
      </c>
      <c r="B231" t="str">
        <f>'RESUMEN TOTAL'!G307</f>
        <v>PCO05 (fija 2)</v>
      </c>
      <c r="C231" t="str">
        <f>'RESUMEN TOTAL'!I307</f>
        <v>BERNA Y POLONIA</v>
      </c>
      <c r="D231" s="30" t="str">
        <f>'RESUMEN TOTAL'!J307</f>
        <v>Fija</v>
      </c>
      <c r="E231" s="30" t="str">
        <f>'RESUMEN TOTAL'!K307</f>
        <v>Fibra Optica</v>
      </c>
      <c r="F231" s="70">
        <f>'RESUMEN TOTAL'!S307</f>
        <v>0</v>
      </c>
      <c r="G231" s="70">
        <f>'RESUMEN TOTAL'!T307</f>
        <v>0</v>
      </c>
      <c r="H231" s="70">
        <f>'RESUMEN TOTAL'!U307</f>
        <v>0</v>
      </c>
      <c r="I231" s="70">
        <f>'RESUMEN TOTAL'!V307</f>
        <v>0</v>
      </c>
      <c r="J231" s="70">
        <f>'RESUMEN TOTAL'!W307</f>
        <v>0</v>
      </c>
      <c r="K231" s="70">
        <f>'RESUMEN TOTAL'!X307</f>
        <v>0</v>
      </c>
      <c r="L231" s="70">
        <f>'RESUMEN TOTAL'!Y307</f>
        <v>0</v>
      </c>
      <c r="M231" s="70">
        <f>'RESUMEN TOTAL'!Z307</f>
        <v>0</v>
      </c>
      <c r="N231" s="70">
        <f>'RESUMEN TOTAL'!AA307</f>
        <v>0</v>
      </c>
      <c r="O231" s="70">
        <f>'RESUMEN TOTAL'!AB307</f>
        <v>0</v>
      </c>
      <c r="P231" s="70">
        <f>'RESUMEN TOTAL'!AC307</f>
        <v>0</v>
      </c>
      <c r="Q231" s="70">
        <f>'RESUMEN TOTAL'!AD307</f>
        <v>0</v>
      </c>
      <c r="R231" s="70">
        <f>'RESUMEN TOTAL'!AE307</f>
        <v>0</v>
      </c>
      <c r="S231" s="70">
        <f>'RESUMEN TOTAL'!AF307</f>
        <v>0</v>
      </c>
      <c r="T231" s="70">
        <f>'RESUMEN TOTAL'!AG307</f>
        <v>0</v>
      </c>
      <c r="U231" s="70">
        <f>'RESUMEN TOTAL'!AH307</f>
        <v>0</v>
      </c>
      <c r="V231" s="70">
        <f>'RESUMEN TOTAL'!AI307</f>
        <v>0</v>
      </c>
      <c r="W231" s="70">
        <f>'RESUMEN TOTAL'!AJ307</f>
        <v>0</v>
      </c>
      <c r="X231" s="70">
        <f>'RESUMEN TOTAL'!AK307</f>
        <v>0</v>
      </c>
      <c r="Y231" s="70">
        <f>'RESUMEN TOTAL'!AL307</f>
        <v>0</v>
      </c>
      <c r="Z231" s="70">
        <f>'RESUMEN TOTAL'!AM307</f>
        <v>0</v>
      </c>
      <c r="AA231" s="70">
        <f>'RESUMEN TOTAL'!AN307</f>
        <v>0</v>
      </c>
      <c r="AB231" s="70">
        <f>'RESUMEN TOTAL'!AO307</f>
        <v>0</v>
      </c>
      <c r="AC231" s="70">
        <f>'RESUMEN TOTAL'!AP307</f>
        <v>0</v>
      </c>
      <c r="AD231" s="70">
        <f>'RESUMEN TOTAL'!AQ307</f>
        <v>0</v>
      </c>
      <c r="AE231" s="70">
        <f>'RESUMEN TOTAL'!AR307</f>
        <v>0</v>
      </c>
      <c r="AF231" s="70">
        <f>'RESUMEN TOTAL'!AS307</f>
        <v>0</v>
      </c>
      <c r="AG231" s="70">
        <f>'RESUMEN TOTAL'!AT307</f>
        <v>0</v>
      </c>
      <c r="AH231" s="70">
        <f>'RESUMEN TOTAL'!AU307</f>
        <v>0</v>
      </c>
      <c r="AI231" s="70">
        <f>'RESUMEN TOTAL'!AV307</f>
        <v>0</v>
      </c>
      <c r="AJ231" s="70" t="e">
        <f>'RESUMEN TOTAL'!#REF!</f>
        <v>#REF!</v>
      </c>
    </row>
    <row r="232" spans="1:36" x14ac:dyDescent="0.25">
      <c r="A232" t="str">
        <f>'RESUMEN TOTAL'!F308</f>
        <v>AGUSTIN RAMIREZ</v>
      </c>
      <c r="B232" t="str">
        <f>'RESUMEN TOTAL'!G308</f>
        <v>PUNTO SEGURO - AGUSTIN RAMIREZ (domo)</v>
      </c>
      <c r="C232" t="str">
        <f>'RESUMEN TOTAL'!I308</f>
        <v>EL MALAMBO Y LA TRANQUERA</v>
      </c>
      <c r="D232" s="30" t="str">
        <f>'RESUMEN TOTAL'!J308</f>
        <v>DOMO</v>
      </c>
      <c r="E232" s="30" t="str">
        <f>'RESUMEN TOTAL'!K308</f>
        <v>Fibra Optica</v>
      </c>
      <c r="F232" s="70">
        <f>'RESUMEN TOTAL'!S308</f>
        <v>0</v>
      </c>
      <c r="G232" s="70">
        <f>'RESUMEN TOTAL'!T308</f>
        <v>0</v>
      </c>
      <c r="H232" s="70">
        <f>'RESUMEN TOTAL'!U308</f>
        <v>0</v>
      </c>
      <c r="I232" s="70">
        <f>'RESUMEN TOTAL'!V308</f>
        <v>0</v>
      </c>
      <c r="J232" s="70">
        <f>'RESUMEN TOTAL'!W308</f>
        <v>0</v>
      </c>
      <c r="K232" s="70">
        <f>'RESUMEN TOTAL'!X308</f>
        <v>0</v>
      </c>
      <c r="L232" s="70">
        <f>'RESUMEN TOTAL'!Y308</f>
        <v>0</v>
      </c>
      <c r="M232" s="70">
        <f>'RESUMEN TOTAL'!Z308</f>
        <v>0</v>
      </c>
      <c r="N232" s="70">
        <f>'RESUMEN TOTAL'!AA308</f>
        <v>0</v>
      </c>
      <c r="O232" s="70">
        <f>'RESUMEN TOTAL'!AB308</f>
        <v>0</v>
      </c>
      <c r="P232" s="70">
        <f>'RESUMEN TOTAL'!AC308</f>
        <v>0</v>
      </c>
      <c r="Q232" s="70">
        <f>'RESUMEN TOTAL'!AD308</f>
        <v>0</v>
      </c>
      <c r="R232" s="70">
        <f>'RESUMEN TOTAL'!AE308</f>
        <v>0</v>
      </c>
      <c r="S232" s="70">
        <f>'RESUMEN TOTAL'!AF308</f>
        <v>0</v>
      </c>
      <c r="T232" s="70">
        <f>'RESUMEN TOTAL'!AG308</f>
        <v>0</v>
      </c>
      <c r="U232" s="70">
        <f>'RESUMEN TOTAL'!AH308</f>
        <v>0</v>
      </c>
      <c r="V232" s="70">
        <f>'RESUMEN TOTAL'!AI308</f>
        <v>0</v>
      </c>
      <c r="W232" s="70">
        <f>'RESUMEN TOTAL'!AJ308</f>
        <v>0</v>
      </c>
      <c r="X232" s="70">
        <f>'RESUMEN TOTAL'!AK308</f>
        <v>0</v>
      </c>
      <c r="Y232" s="70">
        <f>'RESUMEN TOTAL'!AL308</f>
        <v>0</v>
      </c>
      <c r="Z232" s="70">
        <f>'RESUMEN TOTAL'!AM308</f>
        <v>0</v>
      </c>
      <c r="AA232" s="70">
        <f>'RESUMEN TOTAL'!AN308</f>
        <v>0</v>
      </c>
      <c r="AB232" s="70">
        <f>'RESUMEN TOTAL'!AO308</f>
        <v>0</v>
      </c>
      <c r="AC232" s="70">
        <f>'RESUMEN TOTAL'!AP308</f>
        <v>0</v>
      </c>
      <c r="AD232" s="70">
        <f>'RESUMEN TOTAL'!AQ308</f>
        <v>0</v>
      </c>
      <c r="AE232" s="70">
        <f>'RESUMEN TOTAL'!AR308</f>
        <v>0</v>
      </c>
      <c r="AF232" s="70">
        <f>'RESUMEN TOTAL'!AS308</f>
        <v>0</v>
      </c>
      <c r="AG232" s="70">
        <f>'RESUMEN TOTAL'!AT308</f>
        <v>0</v>
      </c>
      <c r="AH232" s="70">
        <f>'RESUMEN TOTAL'!AU308</f>
        <v>0</v>
      </c>
      <c r="AI232" s="70">
        <f>'RESUMEN TOTAL'!AV308</f>
        <v>0</v>
      </c>
      <c r="AJ232" s="70" t="e">
        <f>'RESUMEN TOTAL'!#REF!</f>
        <v>#REF!</v>
      </c>
    </row>
    <row r="233" spans="1:36" x14ac:dyDescent="0.25">
      <c r="A233" t="str">
        <f>'RESUMEN TOTAL'!F309</f>
        <v>AGUSTIN RAMIREZ</v>
      </c>
      <c r="B233" t="str">
        <f>'RESUMEN TOTAL'!G309</f>
        <v>PUNTO SEGURO - AGUSTIN RAMIREZ (fija)</v>
      </c>
      <c r="C233" t="str">
        <f>'RESUMEN TOTAL'!I309</f>
        <v>EL MALAMBO Y LA TRANQUERA</v>
      </c>
      <c r="D233" s="30" t="str">
        <f>'RESUMEN TOTAL'!J309</f>
        <v>Fija</v>
      </c>
      <c r="E233" s="30" t="str">
        <f>'RESUMEN TOTAL'!K309</f>
        <v>Fibra Optica</v>
      </c>
      <c r="F233" s="70">
        <f>'RESUMEN TOTAL'!S309</f>
        <v>0</v>
      </c>
      <c r="G233" s="70">
        <f>'RESUMEN TOTAL'!T309</f>
        <v>0</v>
      </c>
      <c r="H233" s="70">
        <f>'RESUMEN TOTAL'!U309</f>
        <v>0</v>
      </c>
      <c r="I233" s="70">
        <f>'RESUMEN TOTAL'!V309</f>
        <v>0</v>
      </c>
      <c r="J233" s="70">
        <f>'RESUMEN TOTAL'!W309</f>
        <v>0</v>
      </c>
      <c r="K233" s="70">
        <f>'RESUMEN TOTAL'!X309</f>
        <v>0</v>
      </c>
      <c r="L233" s="70">
        <f>'RESUMEN TOTAL'!Y309</f>
        <v>0</v>
      </c>
      <c r="M233" s="70">
        <f>'RESUMEN TOTAL'!Z309</f>
        <v>0</v>
      </c>
      <c r="N233" s="70">
        <f>'RESUMEN TOTAL'!AA309</f>
        <v>0</v>
      </c>
      <c r="O233" s="70">
        <f>'RESUMEN TOTAL'!AB309</f>
        <v>0</v>
      </c>
      <c r="P233" s="70">
        <f>'RESUMEN TOTAL'!AC309</f>
        <v>0</v>
      </c>
      <c r="Q233" s="70">
        <f>'RESUMEN TOTAL'!AD309</f>
        <v>0</v>
      </c>
      <c r="R233" s="70">
        <f>'RESUMEN TOTAL'!AE309</f>
        <v>0</v>
      </c>
      <c r="S233" s="70">
        <f>'RESUMEN TOTAL'!AF309</f>
        <v>0</v>
      </c>
      <c r="T233" s="70">
        <f>'RESUMEN TOTAL'!AG309</f>
        <v>0</v>
      </c>
      <c r="U233" s="70">
        <f>'RESUMEN TOTAL'!AH309</f>
        <v>0</v>
      </c>
      <c r="V233" s="70">
        <f>'RESUMEN TOTAL'!AI309</f>
        <v>0</v>
      </c>
      <c r="W233" s="70">
        <f>'RESUMEN TOTAL'!AJ309</f>
        <v>0</v>
      </c>
      <c r="X233" s="70">
        <f>'RESUMEN TOTAL'!AK309</f>
        <v>0</v>
      </c>
      <c r="Y233" s="70">
        <f>'RESUMEN TOTAL'!AL309</f>
        <v>0</v>
      </c>
      <c r="Z233" s="70">
        <f>'RESUMEN TOTAL'!AM309</f>
        <v>0</v>
      </c>
      <c r="AA233" s="70">
        <f>'RESUMEN TOTAL'!AN309</f>
        <v>0</v>
      </c>
      <c r="AB233" s="70">
        <f>'RESUMEN TOTAL'!AO309</f>
        <v>0</v>
      </c>
      <c r="AC233" s="70">
        <f>'RESUMEN TOTAL'!AP309</f>
        <v>0</v>
      </c>
      <c r="AD233" s="70">
        <f>'RESUMEN TOTAL'!AQ309</f>
        <v>0</v>
      </c>
      <c r="AE233" s="70">
        <f>'RESUMEN TOTAL'!AR309</f>
        <v>0</v>
      </c>
      <c r="AF233" s="70">
        <f>'RESUMEN TOTAL'!AS309</f>
        <v>0</v>
      </c>
      <c r="AG233" s="70">
        <f>'RESUMEN TOTAL'!AT309</f>
        <v>0</v>
      </c>
      <c r="AH233" s="70">
        <f>'RESUMEN TOTAL'!AU309</f>
        <v>0</v>
      </c>
      <c r="AI233" s="70">
        <f>'RESUMEN TOTAL'!AV309</f>
        <v>0</v>
      </c>
      <c r="AJ233" s="70" t="e">
        <f>'RESUMEN TOTAL'!#REF!</f>
        <v>#REF!</v>
      </c>
    </row>
    <row r="234" spans="1:36" x14ac:dyDescent="0.25">
      <c r="A234" t="str">
        <f>'RESUMEN TOTAL'!F310</f>
        <v>EL PARQUE</v>
      </c>
      <c r="B234" t="str">
        <f>'RESUMEN TOTAL'!G310</f>
        <v>PUNTO SEGURO - EL PARQUE (domo)</v>
      </c>
      <c r="C234" t="str">
        <f>'RESUMEN TOTAL'!I310</f>
        <v>CALLE 1282 Y 1201</v>
      </c>
      <c r="D234" s="30" t="str">
        <f>'RESUMEN TOTAL'!J310</f>
        <v>DOMO</v>
      </c>
      <c r="E234" s="30" t="str">
        <f>'RESUMEN TOTAL'!K310</f>
        <v>Fibra Optica</v>
      </c>
      <c r="F234" s="70">
        <f>'RESUMEN TOTAL'!S310</f>
        <v>0</v>
      </c>
      <c r="G234" s="70" t="str">
        <f>'RESUMEN TOTAL'!T310</f>
        <v>APAGADO</v>
      </c>
      <c r="H234" s="70" t="str">
        <f>'RESUMEN TOTAL'!U310</f>
        <v>APAGADO</v>
      </c>
      <c r="I234" s="70">
        <f>'RESUMEN TOTAL'!V310</f>
        <v>0</v>
      </c>
      <c r="J234" s="70">
        <f>'RESUMEN TOTAL'!W310</f>
        <v>0</v>
      </c>
      <c r="K234" s="70">
        <f>'RESUMEN TOTAL'!X310</f>
        <v>0</v>
      </c>
      <c r="L234" s="70">
        <f>'RESUMEN TOTAL'!Y310</f>
        <v>0</v>
      </c>
      <c r="M234" s="70">
        <f>'RESUMEN TOTAL'!Z310</f>
        <v>0</v>
      </c>
      <c r="N234" s="70">
        <f>'RESUMEN TOTAL'!AA310</f>
        <v>0</v>
      </c>
      <c r="O234" s="70">
        <f>'RESUMEN TOTAL'!AB310</f>
        <v>0</v>
      </c>
      <c r="P234" s="70">
        <f>'RESUMEN TOTAL'!AC310</f>
        <v>0</v>
      </c>
      <c r="Q234" s="70">
        <f>'RESUMEN TOTAL'!AD310</f>
        <v>0</v>
      </c>
      <c r="R234" s="70">
        <f>'RESUMEN TOTAL'!AE310</f>
        <v>0</v>
      </c>
      <c r="S234" s="70">
        <f>'RESUMEN TOTAL'!AF310</f>
        <v>0</v>
      </c>
      <c r="T234" s="70">
        <f>'RESUMEN TOTAL'!AG310</f>
        <v>0</v>
      </c>
      <c r="U234" s="70">
        <f>'RESUMEN TOTAL'!AH310</f>
        <v>0</v>
      </c>
      <c r="V234" s="70">
        <f>'RESUMEN TOTAL'!AI310</f>
        <v>0</v>
      </c>
      <c r="W234" s="70">
        <f>'RESUMEN TOTAL'!AJ310</f>
        <v>0</v>
      </c>
      <c r="X234" s="70">
        <f>'RESUMEN TOTAL'!AK310</f>
        <v>0</v>
      </c>
      <c r="Y234" s="70">
        <f>'RESUMEN TOTAL'!AL310</f>
        <v>0</v>
      </c>
      <c r="Z234" s="70">
        <f>'RESUMEN TOTAL'!AM310</f>
        <v>0</v>
      </c>
      <c r="AA234" s="70">
        <f>'RESUMEN TOTAL'!AN310</f>
        <v>0</v>
      </c>
      <c r="AB234" s="70">
        <f>'RESUMEN TOTAL'!AO310</f>
        <v>0</v>
      </c>
      <c r="AC234" s="70">
        <f>'RESUMEN TOTAL'!AP310</f>
        <v>0</v>
      </c>
      <c r="AD234" s="70">
        <f>'RESUMEN TOTAL'!AQ310</f>
        <v>0</v>
      </c>
      <c r="AE234" s="70">
        <f>'RESUMEN TOTAL'!AR310</f>
        <v>0</v>
      </c>
      <c r="AF234" s="70">
        <f>'RESUMEN TOTAL'!AS310</f>
        <v>0</v>
      </c>
      <c r="AG234" s="70">
        <f>'RESUMEN TOTAL'!AT310</f>
        <v>0</v>
      </c>
      <c r="AH234" s="70">
        <f>'RESUMEN TOTAL'!AU310</f>
        <v>0</v>
      </c>
      <c r="AI234" s="70">
        <f>'RESUMEN TOTAL'!AV310</f>
        <v>0</v>
      </c>
      <c r="AJ234" s="70" t="e">
        <f>'RESUMEN TOTAL'!#REF!</f>
        <v>#REF!</v>
      </c>
    </row>
    <row r="235" spans="1:36" x14ac:dyDescent="0.25">
      <c r="A235" t="str">
        <f>'RESUMEN TOTAL'!F311</f>
        <v>EL PARQUE</v>
      </c>
      <c r="B235" t="str">
        <f>'RESUMEN TOTAL'!G311</f>
        <v>PUNTO SEGURO - EL PARQUE (fija)</v>
      </c>
      <c r="C235" t="str">
        <f>'RESUMEN TOTAL'!I311</f>
        <v>CALLE 1282 Y 1201</v>
      </c>
      <c r="D235" s="30" t="str">
        <f>'RESUMEN TOTAL'!J311</f>
        <v>Fija</v>
      </c>
      <c r="E235" s="30" t="str">
        <f>'RESUMEN TOTAL'!K311</f>
        <v>Fibra Optica</v>
      </c>
      <c r="F235" s="70">
        <f>'RESUMEN TOTAL'!S311</f>
        <v>0</v>
      </c>
      <c r="G235" s="70" t="str">
        <f>'RESUMEN TOTAL'!T311</f>
        <v>APAGADO</v>
      </c>
      <c r="H235" s="70" t="str">
        <f>'RESUMEN TOTAL'!U311</f>
        <v>APAGADO</v>
      </c>
      <c r="I235" s="70">
        <f>'RESUMEN TOTAL'!V311</f>
        <v>0</v>
      </c>
      <c r="J235" s="70">
        <f>'RESUMEN TOTAL'!W311</f>
        <v>0</v>
      </c>
      <c r="K235" s="70">
        <f>'RESUMEN TOTAL'!X311</f>
        <v>0</v>
      </c>
      <c r="L235" s="70">
        <f>'RESUMEN TOTAL'!Y311</f>
        <v>0</v>
      </c>
      <c r="M235" s="70">
        <f>'RESUMEN TOTAL'!Z311</f>
        <v>0</v>
      </c>
      <c r="N235" s="70">
        <f>'RESUMEN TOTAL'!AA311</f>
        <v>0</v>
      </c>
      <c r="O235" s="70">
        <f>'RESUMEN TOTAL'!AB311</f>
        <v>0</v>
      </c>
      <c r="P235" s="70">
        <f>'RESUMEN TOTAL'!AC311</f>
        <v>0</v>
      </c>
      <c r="Q235" s="70">
        <f>'RESUMEN TOTAL'!AD311</f>
        <v>0</v>
      </c>
      <c r="R235" s="70">
        <f>'RESUMEN TOTAL'!AE311</f>
        <v>0</v>
      </c>
      <c r="S235" s="70">
        <f>'RESUMEN TOTAL'!AF311</f>
        <v>0</v>
      </c>
      <c r="T235" s="70">
        <f>'RESUMEN TOTAL'!AG311</f>
        <v>0</v>
      </c>
      <c r="U235" s="70">
        <f>'RESUMEN TOTAL'!AH311</f>
        <v>0</v>
      </c>
      <c r="V235" s="70">
        <f>'RESUMEN TOTAL'!AI311</f>
        <v>0</v>
      </c>
      <c r="W235" s="70">
        <f>'RESUMEN TOTAL'!AJ311</f>
        <v>0</v>
      </c>
      <c r="X235" s="70">
        <f>'RESUMEN TOTAL'!AK311</f>
        <v>0</v>
      </c>
      <c r="Y235" s="70">
        <f>'RESUMEN TOTAL'!AL311</f>
        <v>0</v>
      </c>
      <c r="Z235" s="70">
        <f>'RESUMEN TOTAL'!AM311</f>
        <v>0</v>
      </c>
      <c r="AA235" s="70">
        <f>'RESUMEN TOTAL'!AN311</f>
        <v>0</v>
      </c>
      <c r="AB235" s="70">
        <f>'RESUMEN TOTAL'!AO311</f>
        <v>0</v>
      </c>
      <c r="AC235" s="70">
        <f>'RESUMEN TOTAL'!AP311</f>
        <v>0</v>
      </c>
      <c r="AD235" s="70">
        <f>'RESUMEN TOTAL'!AQ311</f>
        <v>0</v>
      </c>
      <c r="AE235" s="70">
        <f>'RESUMEN TOTAL'!AR311</f>
        <v>0</v>
      </c>
      <c r="AF235" s="70">
        <f>'RESUMEN TOTAL'!AS311</f>
        <v>0</v>
      </c>
      <c r="AG235" s="70">
        <f>'RESUMEN TOTAL'!AT311</f>
        <v>0</v>
      </c>
      <c r="AH235" s="70">
        <f>'RESUMEN TOTAL'!AU311</f>
        <v>0</v>
      </c>
      <c r="AI235" s="70">
        <f>'RESUMEN TOTAL'!AV311</f>
        <v>0</v>
      </c>
      <c r="AJ235" s="70" t="e">
        <f>'RESUMEN TOTAL'!#REF!</f>
        <v>#REF!</v>
      </c>
    </row>
    <row r="236" spans="1:36" x14ac:dyDescent="0.25">
      <c r="A236" t="str">
        <f>'RESUMEN TOTAL'!F312</f>
        <v>EL PARQUE</v>
      </c>
      <c r="B236" t="str">
        <f>'RESUMEN TOTAL'!G312</f>
        <v>PUNTO SEGURO - EL PARQUE INTERCOMUNICADOR</v>
      </c>
      <c r="C236" t="str">
        <f>'RESUMEN TOTAL'!I312</f>
        <v>1282 Y 1201</v>
      </c>
      <c r="D236" s="30" t="str">
        <f>'RESUMEN TOTAL'!J312</f>
        <v>Fija</v>
      </c>
      <c r="E236" s="30" t="str">
        <f>'RESUMEN TOTAL'!K312</f>
        <v>Fibra Optica</v>
      </c>
      <c r="F236" s="70">
        <f>'RESUMEN TOTAL'!S312</f>
        <v>0</v>
      </c>
      <c r="G236" s="70" t="str">
        <f>'RESUMEN TOTAL'!T312</f>
        <v>APAGADO</v>
      </c>
      <c r="H236" s="70" t="str">
        <f>'RESUMEN TOTAL'!U312</f>
        <v>APAGADO</v>
      </c>
      <c r="I236" s="70">
        <f>'RESUMEN TOTAL'!V312</f>
        <v>0</v>
      </c>
      <c r="J236" s="70">
        <f>'RESUMEN TOTAL'!W312</f>
        <v>0</v>
      </c>
      <c r="K236" s="70">
        <f>'RESUMEN TOTAL'!X312</f>
        <v>0</v>
      </c>
      <c r="L236" s="70">
        <f>'RESUMEN TOTAL'!Y312</f>
        <v>0</v>
      </c>
      <c r="M236" s="70">
        <f>'RESUMEN TOTAL'!Z312</f>
        <v>0</v>
      </c>
      <c r="N236" s="70">
        <f>'RESUMEN TOTAL'!AA312</f>
        <v>0</v>
      </c>
      <c r="O236" s="70">
        <f>'RESUMEN TOTAL'!AB312</f>
        <v>0</v>
      </c>
      <c r="P236" s="70">
        <f>'RESUMEN TOTAL'!AC312</f>
        <v>0</v>
      </c>
      <c r="Q236" s="70">
        <f>'RESUMEN TOTAL'!AD312</f>
        <v>0</v>
      </c>
      <c r="R236" s="70">
        <f>'RESUMEN TOTAL'!AE312</f>
        <v>0</v>
      </c>
      <c r="S236" s="70">
        <f>'RESUMEN TOTAL'!AF312</f>
        <v>0</v>
      </c>
      <c r="T236" s="70">
        <f>'RESUMEN TOTAL'!AG312</f>
        <v>0</v>
      </c>
      <c r="U236" s="70">
        <f>'RESUMEN TOTAL'!AH312</f>
        <v>0</v>
      </c>
      <c r="V236" s="70">
        <f>'RESUMEN TOTAL'!AI312</f>
        <v>0</v>
      </c>
      <c r="W236" s="70">
        <f>'RESUMEN TOTAL'!AJ312</f>
        <v>0</v>
      </c>
      <c r="X236" s="70">
        <f>'RESUMEN TOTAL'!AK312</f>
        <v>0</v>
      </c>
      <c r="Y236" s="70">
        <f>'RESUMEN TOTAL'!AL312</f>
        <v>0</v>
      </c>
      <c r="Z236" s="70">
        <f>'RESUMEN TOTAL'!AM312</f>
        <v>0</v>
      </c>
      <c r="AA236" s="70">
        <f>'RESUMEN TOTAL'!AN312</f>
        <v>0</v>
      </c>
      <c r="AB236" s="70">
        <f>'RESUMEN TOTAL'!AO312</f>
        <v>0</v>
      </c>
      <c r="AC236" s="70">
        <f>'RESUMEN TOTAL'!AP312</f>
        <v>0</v>
      </c>
      <c r="AD236" s="70">
        <f>'RESUMEN TOTAL'!AQ312</f>
        <v>0</v>
      </c>
      <c r="AE236" s="70">
        <f>'RESUMEN TOTAL'!AR312</f>
        <v>0</v>
      </c>
      <c r="AF236" s="70">
        <f>'RESUMEN TOTAL'!AS312</f>
        <v>0</v>
      </c>
      <c r="AG236" s="70">
        <f>'RESUMEN TOTAL'!AT312</f>
        <v>0</v>
      </c>
      <c r="AH236" s="70">
        <f>'RESUMEN TOTAL'!AU312</f>
        <v>0</v>
      </c>
      <c r="AI236" s="70">
        <f>'RESUMEN TOTAL'!AV312</f>
        <v>0</v>
      </c>
      <c r="AJ236" s="70" t="e">
        <f>'RESUMEN TOTAL'!#REF!</f>
        <v>#REF!</v>
      </c>
    </row>
    <row r="237" spans="1:36" x14ac:dyDescent="0.25">
      <c r="A237" t="str">
        <f>'RESUMEN TOTAL'!F313</f>
        <v>INGENIERO ALLAN</v>
      </c>
      <c r="B237" t="str">
        <f>'RESUMEN TOTAL'!G313</f>
        <v>PUNTO SEGURO - ING ALLAN INTERCOMUNICADOR</v>
      </c>
      <c r="C237" t="str">
        <f>'RESUMEN TOTAL'!I313</f>
        <v>DIAG LOS YAGANES Y 1148</v>
      </c>
      <c r="D237" s="30" t="str">
        <f>'RESUMEN TOTAL'!J313</f>
        <v>Domo</v>
      </c>
      <c r="E237" s="30" t="str">
        <f>'RESUMEN TOTAL'!K313</f>
        <v>Fibra Optica</v>
      </c>
      <c r="F237" s="70">
        <f>'RESUMEN TOTAL'!S313</f>
        <v>0</v>
      </c>
      <c r="G237" s="70" t="str">
        <f>'RESUMEN TOTAL'!T313</f>
        <v>APAGADO</v>
      </c>
      <c r="H237" s="70" t="str">
        <f>'RESUMEN TOTAL'!U313</f>
        <v>APAGADO</v>
      </c>
      <c r="I237" s="70">
        <f>'RESUMEN TOTAL'!V313</f>
        <v>0</v>
      </c>
      <c r="J237" s="70">
        <f>'RESUMEN TOTAL'!W313</f>
        <v>0</v>
      </c>
      <c r="K237" s="70">
        <f>'RESUMEN TOTAL'!X313</f>
        <v>0</v>
      </c>
      <c r="L237" s="70">
        <f>'RESUMEN TOTAL'!Y313</f>
        <v>0</v>
      </c>
      <c r="M237" s="70">
        <f>'RESUMEN TOTAL'!Z313</f>
        <v>0</v>
      </c>
      <c r="N237" s="70">
        <f>'RESUMEN TOTAL'!AA313</f>
        <v>0</v>
      </c>
      <c r="O237" s="70">
        <f>'RESUMEN TOTAL'!AB313</f>
        <v>0</v>
      </c>
      <c r="P237" s="70">
        <f>'RESUMEN TOTAL'!AC313</f>
        <v>0</v>
      </c>
      <c r="Q237" s="70">
        <f>'RESUMEN TOTAL'!AD313</f>
        <v>0</v>
      </c>
      <c r="R237" s="70">
        <f>'RESUMEN TOTAL'!AE313</f>
        <v>0</v>
      </c>
      <c r="S237" s="70">
        <f>'RESUMEN TOTAL'!AF313</f>
        <v>0</v>
      </c>
      <c r="T237" s="70">
        <f>'RESUMEN TOTAL'!AG313</f>
        <v>0</v>
      </c>
      <c r="U237" s="70">
        <f>'RESUMEN TOTAL'!AH313</f>
        <v>0</v>
      </c>
      <c r="V237" s="70">
        <f>'RESUMEN TOTAL'!AI313</f>
        <v>0</v>
      </c>
      <c r="W237" s="70">
        <f>'RESUMEN TOTAL'!AJ313</f>
        <v>0</v>
      </c>
      <c r="X237" s="70">
        <f>'RESUMEN TOTAL'!AK313</f>
        <v>0</v>
      </c>
      <c r="Y237" s="70">
        <f>'RESUMEN TOTAL'!AL313</f>
        <v>0</v>
      </c>
      <c r="Z237" s="70">
        <f>'RESUMEN TOTAL'!AM313</f>
        <v>0</v>
      </c>
      <c r="AA237" s="70">
        <f>'RESUMEN TOTAL'!AN313</f>
        <v>0</v>
      </c>
      <c r="AB237" s="70">
        <f>'RESUMEN TOTAL'!AO313</f>
        <v>0</v>
      </c>
      <c r="AC237" s="70">
        <f>'RESUMEN TOTAL'!AP313</f>
        <v>0</v>
      </c>
      <c r="AD237" s="70">
        <f>'RESUMEN TOTAL'!AQ313</f>
        <v>0</v>
      </c>
      <c r="AE237" s="70">
        <f>'RESUMEN TOTAL'!AR313</f>
        <v>0</v>
      </c>
      <c r="AF237" s="70">
        <f>'RESUMEN TOTAL'!AS313</f>
        <v>0</v>
      </c>
      <c r="AG237" s="70">
        <f>'RESUMEN TOTAL'!AT313</f>
        <v>0</v>
      </c>
      <c r="AH237" s="70">
        <f>'RESUMEN TOTAL'!AU313</f>
        <v>0</v>
      </c>
      <c r="AI237" s="70">
        <f>'RESUMEN TOTAL'!AV313</f>
        <v>0</v>
      </c>
      <c r="AJ237" s="70" t="e">
        <f>'RESUMEN TOTAL'!#REF!</f>
        <v>#REF!</v>
      </c>
    </row>
    <row r="238" spans="1:36" x14ac:dyDescent="0.25">
      <c r="A238" t="str">
        <f>'RESUMEN TOTAL'!F314</f>
        <v>INGENIERO ALLAN</v>
      </c>
      <c r="B238" t="str">
        <f>'RESUMEN TOTAL'!G314</f>
        <v>PUNTO SEGURO - ING. ALLAN (domo)</v>
      </c>
      <c r="C238" t="str">
        <f>'RESUMEN TOTAL'!I314</f>
        <v>DIAG. LOS YAGANES Y 1148</v>
      </c>
      <c r="D238" s="30" t="str">
        <f>'RESUMEN TOTAL'!J314</f>
        <v>DOMO</v>
      </c>
      <c r="E238" s="30" t="str">
        <f>'RESUMEN TOTAL'!K314</f>
        <v>Fibra Optica</v>
      </c>
      <c r="F238" s="70">
        <f>'RESUMEN TOTAL'!S314</f>
        <v>0</v>
      </c>
      <c r="G238" s="70" t="str">
        <f>'RESUMEN TOTAL'!T314</f>
        <v>APAGADO</v>
      </c>
      <c r="H238" s="70" t="str">
        <f>'RESUMEN TOTAL'!U314</f>
        <v>APAGADO</v>
      </c>
      <c r="I238" s="70">
        <f>'RESUMEN TOTAL'!V314</f>
        <v>0</v>
      </c>
      <c r="J238" s="70">
        <f>'RESUMEN TOTAL'!W314</f>
        <v>0</v>
      </c>
      <c r="K238" s="70">
        <f>'RESUMEN TOTAL'!X314</f>
        <v>0</v>
      </c>
      <c r="L238" s="70">
        <f>'RESUMEN TOTAL'!Y314</f>
        <v>0</v>
      </c>
      <c r="M238" s="70">
        <f>'RESUMEN TOTAL'!Z314</f>
        <v>0</v>
      </c>
      <c r="N238" s="70">
        <f>'RESUMEN TOTAL'!AA314</f>
        <v>0</v>
      </c>
      <c r="O238" s="70">
        <f>'RESUMEN TOTAL'!AB314</f>
        <v>0</v>
      </c>
      <c r="P238" s="70">
        <f>'RESUMEN TOTAL'!AC314</f>
        <v>0</v>
      </c>
      <c r="Q238" s="70">
        <f>'RESUMEN TOTAL'!AD314</f>
        <v>0</v>
      </c>
      <c r="R238" s="70">
        <f>'RESUMEN TOTAL'!AE314</f>
        <v>0</v>
      </c>
      <c r="S238" s="70">
        <f>'RESUMEN TOTAL'!AF314</f>
        <v>0</v>
      </c>
      <c r="T238" s="70">
        <f>'RESUMEN TOTAL'!AG314</f>
        <v>0</v>
      </c>
      <c r="U238" s="70">
        <f>'RESUMEN TOTAL'!AH314</f>
        <v>0</v>
      </c>
      <c r="V238" s="70">
        <f>'RESUMEN TOTAL'!AI314</f>
        <v>0</v>
      </c>
      <c r="W238" s="70">
        <f>'RESUMEN TOTAL'!AJ314</f>
        <v>0</v>
      </c>
      <c r="X238" s="70">
        <f>'RESUMEN TOTAL'!AK314</f>
        <v>0</v>
      </c>
      <c r="Y238" s="70">
        <f>'RESUMEN TOTAL'!AL314</f>
        <v>0</v>
      </c>
      <c r="Z238" s="70">
        <f>'RESUMEN TOTAL'!AM314</f>
        <v>0</v>
      </c>
      <c r="AA238" s="70">
        <f>'RESUMEN TOTAL'!AN314</f>
        <v>0</v>
      </c>
      <c r="AB238" s="70">
        <f>'RESUMEN TOTAL'!AO314</f>
        <v>0</v>
      </c>
      <c r="AC238" s="70">
        <f>'RESUMEN TOTAL'!AP314</f>
        <v>0</v>
      </c>
      <c r="AD238" s="70">
        <f>'RESUMEN TOTAL'!AQ314</f>
        <v>0</v>
      </c>
      <c r="AE238" s="70">
        <f>'RESUMEN TOTAL'!AR314</f>
        <v>0</v>
      </c>
      <c r="AF238" s="70">
        <f>'RESUMEN TOTAL'!AS314</f>
        <v>0</v>
      </c>
      <c r="AG238" s="70">
        <f>'RESUMEN TOTAL'!AT314</f>
        <v>0</v>
      </c>
      <c r="AH238" s="70">
        <f>'RESUMEN TOTAL'!AU314</f>
        <v>0</v>
      </c>
      <c r="AI238" s="70">
        <f>'RESUMEN TOTAL'!AV314</f>
        <v>0</v>
      </c>
      <c r="AJ238" s="70" t="e">
        <f>'RESUMEN TOTAL'!#REF!</f>
        <v>#REF!</v>
      </c>
    </row>
    <row r="239" spans="1:36" x14ac:dyDescent="0.25">
      <c r="A239" t="str">
        <f>'RESUMEN TOTAL'!F315</f>
        <v>INGENIERO ALLAN</v>
      </c>
      <c r="B239" t="str">
        <f>'RESUMEN TOTAL'!G315</f>
        <v>PUNTO SEGURO - ING. ALLAN (fija)</v>
      </c>
      <c r="C239" t="str">
        <f>'RESUMEN TOTAL'!I315</f>
        <v>DIAG. LOS YAGANES Y 1148</v>
      </c>
      <c r="D239" s="30" t="str">
        <f>'RESUMEN TOTAL'!J315</f>
        <v>Fija</v>
      </c>
      <c r="E239" s="30" t="str">
        <f>'RESUMEN TOTAL'!K315</f>
        <v>Fibra Optica</v>
      </c>
      <c r="F239" s="70">
        <f>'RESUMEN TOTAL'!S315</f>
        <v>0</v>
      </c>
      <c r="G239" s="70" t="str">
        <f>'RESUMEN TOTAL'!T315</f>
        <v>APAGADO</v>
      </c>
      <c r="H239" s="70" t="str">
        <f>'RESUMEN TOTAL'!U315</f>
        <v>APAGADO</v>
      </c>
      <c r="I239" s="70">
        <f>'RESUMEN TOTAL'!V315</f>
        <v>0</v>
      </c>
      <c r="J239" s="70">
        <f>'RESUMEN TOTAL'!W315</f>
        <v>0</v>
      </c>
      <c r="K239" s="70">
        <f>'RESUMEN TOTAL'!X315</f>
        <v>0</v>
      </c>
      <c r="L239" s="70">
        <f>'RESUMEN TOTAL'!Y315</f>
        <v>0</v>
      </c>
      <c r="M239" s="70">
        <f>'RESUMEN TOTAL'!Z315</f>
        <v>0</v>
      </c>
      <c r="N239" s="70">
        <f>'RESUMEN TOTAL'!AA315</f>
        <v>0</v>
      </c>
      <c r="O239" s="70">
        <f>'RESUMEN TOTAL'!AB315</f>
        <v>0</v>
      </c>
      <c r="P239" s="70">
        <f>'RESUMEN TOTAL'!AC315</f>
        <v>0</v>
      </c>
      <c r="Q239" s="70">
        <f>'RESUMEN TOTAL'!AD315</f>
        <v>0</v>
      </c>
      <c r="R239" s="70">
        <f>'RESUMEN TOTAL'!AE315</f>
        <v>0</v>
      </c>
      <c r="S239" s="70">
        <f>'RESUMEN TOTAL'!AF315</f>
        <v>0</v>
      </c>
      <c r="T239" s="70">
        <f>'RESUMEN TOTAL'!AG315</f>
        <v>0</v>
      </c>
      <c r="U239" s="70">
        <f>'RESUMEN TOTAL'!AH315</f>
        <v>0</v>
      </c>
      <c r="V239" s="70">
        <f>'RESUMEN TOTAL'!AI315</f>
        <v>0</v>
      </c>
      <c r="W239" s="70">
        <f>'RESUMEN TOTAL'!AJ315</f>
        <v>0</v>
      </c>
      <c r="X239" s="70">
        <f>'RESUMEN TOTAL'!AK315</f>
        <v>0</v>
      </c>
      <c r="Y239" s="70">
        <f>'RESUMEN TOTAL'!AL315</f>
        <v>0</v>
      </c>
      <c r="Z239" s="70">
        <f>'RESUMEN TOTAL'!AM315</f>
        <v>0</v>
      </c>
      <c r="AA239" s="70">
        <f>'RESUMEN TOTAL'!AN315</f>
        <v>0</v>
      </c>
      <c r="AB239" s="70">
        <f>'RESUMEN TOTAL'!AO315</f>
        <v>0</v>
      </c>
      <c r="AC239" s="70">
        <f>'RESUMEN TOTAL'!AP315</f>
        <v>0</v>
      </c>
      <c r="AD239" s="70">
        <f>'RESUMEN TOTAL'!AQ315</f>
        <v>0</v>
      </c>
      <c r="AE239" s="70">
        <f>'RESUMEN TOTAL'!AR315</f>
        <v>0</v>
      </c>
      <c r="AF239" s="70">
        <f>'RESUMEN TOTAL'!AS315</f>
        <v>0</v>
      </c>
      <c r="AG239" s="70">
        <f>'RESUMEN TOTAL'!AT315</f>
        <v>0</v>
      </c>
      <c r="AH239" s="70">
        <f>'RESUMEN TOTAL'!AU315</f>
        <v>0</v>
      </c>
      <c r="AI239" s="70">
        <f>'RESUMEN TOTAL'!AV315</f>
        <v>0</v>
      </c>
      <c r="AJ239" s="70" t="e">
        <f>'RESUMEN TOTAL'!#REF!</f>
        <v>#REF!</v>
      </c>
    </row>
    <row r="240" spans="1:36" x14ac:dyDescent="0.25">
      <c r="A240" t="str">
        <f>'RESUMEN TOTAL'!F316</f>
        <v>LUJAN</v>
      </c>
      <c r="B240" t="str">
        <f>'RESUMEN TOTAL'!G316</f>
        <v>PUNTO SEGURO - LUJAN (fija)</v>
      </c>
      <c r="C240" t="str">
        <f>'RESUMEN TOTAL'!I316</f>
        <v>DIAG. LOS TILOS Y LOS ALGARROBOS</v>
      </c>
      <c r="D240" s="30" t="str">
        <f>'RESUMEN TOTAL'!J316</f>
        <v>Fija</v>
      </c>
      <c r="E240" s="30" t="str">
        <f>'RESUMEN TOTAL'!K316</f>
        <v>GPON</v>
      </c>
      <c r="F240" s="70" t="str">
        <f>'RESUMEN TOTAL'!S316</f>
        <v>APAGADO</v>
      </c>
      <c r="G240" s="70">
        <f>'RESUMEN TOTAL'!T316</f>
        <v>0</v>
      </c>
      <c r="H240" s="70">
        <f>'RESUMEN TOTAL'!U316</f>
        <v>0</v>
      </c>
      <c r="I240" s="70">
        <f>'RESUMEN TOTAL'!V316</f>
        <v>0</v>
      </c>
      <c r="J240" s="70">
        <f>'RESUMEN TOTAL'!W316</f>
        <v>0</v>
      </c>
      <c r="K240" s="70">
        <f>'RESUMEN TOTAL'!X316</f>
        <v>0</v>
      </c>
      <c r="L240" s="70">
        <f>'RESUMEN TOTAL'!Y316</f>
        <v>0</v>
      </c>
      <c r="M240" s="70">
        <f>'RESUMEN TOTAL'!Z316</f>
        <v>0</v>
      </c>
      <c r="N240" s="70">
        <f>'RESUMEN TOTAL'!AA316</f>
        <v>0</v>
      </c>
      <c r="O240" s="70">
        <f>'RESUMEN TOTAL'!AB316</f>
        <v>0</v>
      </c>
      <c r="P240" s="70">
        <f>'RESUMEN TOTAL'!AC316</f>
        <v>0</v>
      </c>
      <c r="Q240" s="70">
        <f>'RESUMEN TOTAL'!AD316</f>
        <v>0</v>
      </c>
      <c r="R240" s="70">
        <f>'RESUMEN TOTAL'!AE316</f>
        <v>0</v>
      </c>
      <c r="S240" s="70">
        <f>'RESUMEN TOTAL'!AF316</f>
        <v>0</v>
      </c>
      <c r="T240" s="70">
        <f>'RESUMEN TOTAL'!AG316</f>
        <v>0</v>
      </c>
      <c r="U240" s="70">
        <f>'RESUMEN TOTAL'!AH316</f>
        <v>0</v>
      </c>
      <c r="V240" s="70">
        <f>'RESUMEN TOTAL'!AI316</f>
        <v>0</v>
      </c>
      <c r="W240" s="70">
        <f>'RESUMEN TOTAL'!AJ316</f>
        <v>0</v>
      </c>
      <c r="X240" s="70">
        <f>'RESUMEN TOTAL'!AK316</f>
        <v>0</v>
      </c>
      <c r="Y240" s="70">
        <f>'RESUMEN TOTAL'!AL316</f>
        <v>0</v>
      </c>
      <c r="Z240" s="70">
        <f>'RESUMEN TOTAL'!AM316</f>
        <v>0</v>
      </c>
      <c r="AA240" s="70">
        <f>'RESUMEN TOTAL'!AN316</f>
        <v>0</v>
      </c>
      <c r="AB240" s="70">
        <f>'RESUMEN TOTAL'!AO316</f>
        <v>0</v>
      </c>
      <c r="AC240" s="70">
        <f>'RESUMEN TOTAL'!AP316</f>
        <v>0</v>
      </c>
      <c r="AD240" s="70">
        <f>'RESUMEN TOTAL'!AQ316</f>
        <v>0</v>
      </c>
      <c r="AE240" s="70">
        <f>'RESUMEN TOTAL'!AR316</f>
        <v>0</v>
      </c>
      <c r="AF240" s="70">
        <f>'RESUMEN TOTAL'!AS316</f>
        <v>0</v>
      </c>
      <c r="AG240" s="70">
        <f>'RESUMEN TOTAL'!AT316</f>
        <v>0</v>
      </c>
      <c r="AH240" s="70">
        <f>'RESUMEN TOTAL'!AU316</f>
        <v>0</v>
      </c>
      <c r="AI240" s="70">
        <f>'RESUMEN TOTAL'!AV316</f>
        <v>0</v>
      </c>
      <c r="AJ240" s="70" t="e">
        <f>'RESUMEN TOTAL'!#REF!</f>
        <v>#REF!</v>
      </c>
    </row>
    <row r="241" spans="1:36" x14ac:dyDescent="0.25">
      <c r="A241" t="str">
        <f>'RESUMEN TOTAL'!F317</f>
        <v>ZONA RURAL SANTA ROSA</v>
      </c>
      <c r="B241" t="str">
        <f>'RESUMEN TOTAL'!G317</f>
        <v>PUNTO SEGURO - PICO DE ORO (domo)</v>
      </c>
      <c r="C241" t="str">
        <f>'RESUMEN TOTAL'!I317</f>
        <v>PISANI Y BULGARIA</v>
      </c>
      <c r="D241" s="30" t="str">
        <f>'RESUMEN TOTAL'!J317</f>
        <v>DOMO</v>
      </c>
      <c r="E241" s="30" t="str">
        <f>'RESUMEN TOTAL'!K317</f>
        <v>Fibra Optica</v>
      </c>
      <c r="F241" s="70">
        <f>'RESUMEN TOTAL'!S317</f>
        <v>0</v>
      </c>
      <c r="G241" s="70">
        <f>'RESUMEN TOTAL'!T317</f>
        <v>0</v>
      </c>
      <c r="H241" s="70">
        <f>'RESUMEN TOTAL'!U317</f>
        <v>0</v>
      </c>
      <c r="I241" s="70">
        <f>'RESUMEN TOTAL'!V317</f>
        <v>0</v>
      </c>
      <c r="J241" s="70">
        <f>'RESUMEN TOTAL'!W317</f>
        <v>0</v>
      </c>
      <c r="K241" s="70">
        <f>'RESUMEN TOTAL'!X317</f>
        <v>0</v>
      </c>
      <c r="L241" s="70">
        <f>'RESUMEN TOTAL'!Y317</f>
        <v>0</v>
      </c>
      <c r="M241" s="70">
        <f>'RESUMEN TOTAL'!Z317</f>
        <v>0</v>
      </c>
      <c r="N241" s="70">
        <f>'RESUMEN TOTAL'!AA317</f>
        <v>0</v>
      </c>
      <c r="O241" s="70">
        <f>'RESUMEN TOTAL'!AB317</f>
        <v>0</v>
      </c>
      <c r="P241" s="70">
        <f>'RESUMEN TOTAL'!AC317</f>
        <v>0</v>
      </c>
      <c r="Q241" s="70">
        <f>'RESUMEN TOTAL'!AD317</f>
        <v>0</v>
      </c>
      <c r="R241" s="70">
        <f>'RESUMEN TOTAL'!AE317</f>
        <v>0</v>
      </c>
      <c r="S241" s="70">
        <f>'RESUMEN TOTAL'!AF317</f>
        <v>0</v>
      </c>
      <c r="T241" s="70">
        <f>'RESUMEN TOTAL'!AG317</f>
        <v>0</v>
      </c>
      <c r="U241" s="70">
        <f>'RESUMEN TOTAL'!AH317</f>
        <v>0</v>
      </c>
      <c r="V241" s="70">
        <f>'RESUMEN TOTAL'!AI317</f>
        <v>0</v>
      </c>
      <c r="W241" s="70">
        <f>'RESUMEN TOTAL'!AJ317</f>
        <v>0</v>
      </c>
      <c r="X241" s="70">
        <f>'RESUMEN TOTAL'!AK317</f>
        <v>0</v>
      </c>
      <c r="Y241" s="70">
        <f>'RESUMEN TOTAL'!AL317</f>
        <v>0</v>
      </c>
      <c r="Z241" s="70">
        <f>'RESUMEN TOTAL'!AM317</f>
        <v>0</v>
      </c>
      <c r="AA241" s="70">
        <f>'RESUMEN TOTAL'!AN317</f>
        <v>0</v>
      </c>
      <c r="AB241" s="70">
        <f>'RESUMEN TOTAL'!AO317</f>
        <v>0</v>
      </c>
      <c r="AC241" s="70">
        <f>'RESUMEN TOTAL'!AP317</f>
        <v>0</v>
      </c>
      <c r="AD241" s="70">
        <f>'RESUMEN TOTAL'!AQ317</f>
        <v>0</v>
      </c>
      <c r="AE241" s="70">
        <f>'RESUMEN TOTAL'!AR317</f>
        <v>0</v>
      </c>
      <c r="AF241" s="70">
        <f>'RESUMEN TOTAL'!AS317</f>
        <v>0</v>
      </c>
      <c r="AG241" s="70">
        <f>'RESUMEN TOTAL'!AT317</f>
        <v>0</v>
      </c>
      <c r="AH241" s="70">
        <f>'RESUMEN TOTAL'!AU317</f>
        <v>0</v>
      </c>
      <c r="AI241" s="70">
        <f>'RESUMEN TOTAL'!AV317</f>
        <v>0</v>
      </c>
      <c r="AJ241" s="70" t="e">
        <f>'RESUMEN TOTAL'!#REF!</f>
        <v>#REF!</v>
      </c>
    </row>
    <row r="242" spans="1:36" x14ac:dyDescent="0.25">
      <c r="A242" t="str">
        <f>'RESUMEN TOTAL'!F318</f>
        <v>ZONA RURAL SANTA ROSA</v>
      </c>
      <c r="B242" t="str">
        <f>'RESUMEN TOTAL'!G318</f>
        <v>PUNTO SEGURO - PICO DE ORO (fija)</v>
      </c>
      <c r="C242" t="str">
        <f>'RESUMEN TOTAL'!I318</f>
        <v>PISANI Y BULGARIA</v>
      </c>
      <c r="D242" s="30" t="str">
        <f>'RESUMEN TOTAL'!J318</f>
        <v>Fija</v>
      </c>
      <c r="E242" s="30" t="str">
        <f>'RESUMEN TOTAL'!K318</f>
        <v>Fibra Optica</v>
      </c>
      <c r="F242" s="70">
        <f>'RESUMEN TOTAL'!S318</f>
        <v>0</v>
      </c>
      <c r="G242" s="70">
        <f>'RESUMEN TOTAL'!T318</f>
        <v>0</v>
      </c>
      <c r="H242" s="70">
        <f>'RESUMEN TOTAL'!U318</f>
        <v>0</v>
      </c>
      <c r="I242" s="70">
        <f>'RESUMEN TOTAL'!V318</f>
        <v>0</v>
      </c>
      <c r="J242" s="70">
        <f>'RESUMEN TOTAL'!W318</f>
        <v>0</v>
      </c>
      <c r="K242" s="70">
        <f>'RESUMEN TOTAL'!X318</f>
        <v>0</v>
      </c>
      <c r="L242" s="70">
        <f>'RESUMEN TOTAL'!Y318</f>
        <v>0</v>
      </c>
      <c r="M242" s="70">
        <f>'RESUMEN TOTAL'!Z318</f>
        <v>0</v>
      </c>
      <c r="N242" s="70">
        <f>'RESUMEN TOTAL'!AA318</f>
        <v>0</v>
      </c>
      <c r="O242" s="70">
        <f>'RESUMEN TOTAL'!AB318</f>
        <v>0</v>
      </c>
      <c r="P242" s="70">
        <f>'RESUMEN TOTAL'!AC318</f>
        <v>0</v>
      </c>
      <c r="Q242" s="70">
        <f>'RESUMEN TOTAL'!AD318</f>
        <v>0</v>
      </c>
      <c r="R242" s="70">
        <f>'RESUMEN TOTAL'!AE318</f>
        <v>0</v>
      </c>
      <c r="S242" s="70">
        <f>'RESUMEN TOTAL'!AF318</f>
        <v>0</v>
      </c>
      <c r="T242" s="70">
        <f>'RESUMEN TOTAL'!AG318</f>
        <v>0</v>
      </c>
      <c r="U242" s="70">
        <f>'RESUMEN TOTAL'!AH318</f>
        <v>0</v>
      </c>
      <c r="V242" s="70">
        <f>'RESUMEN TOTAL'!AI318</f>
        <v>0</v>
      </c>
      <c r="W242" s="70">
        <f>'RESUMEN TOTAL'!AJ318</f>
        <v>0</v>
      </c>
      <c r="X242" s="70">
        <f>'RESUMEN TOTAL'!AK318</f>
        <v>0</v>
      </c>
      <c r="Y242" s="70">
        <f>'RESUMEN TOTAL'!AL318</f>
        <v>0</v>
      </c>
      <c r="Z242" s="70">
        <f>'RESUMEN TOTAL'!AM318</f>
        <v>0</v>
      </c>
      <c r="AA242" s="70">
        <f>'RESUMEN TOTAL'!AN318</f>
        <v>0</v>
      </c>
      <c r="AB242" s="70">
        <f>'RESUMEN TOTAL'!AO318</f>
        <v>0</v>
      </c>
      <c r="AC242" s="70">
        <f>'RESUMEN TOTAL'!AP318</f>
        <v>0</v>
      </c>
      <c r="AD242" s="70">
        <f>'RESUMEN TOTAL'!AQ318</f>
        <v>0</v>
      </c>
      <c r="AE242" s="70">
        <f>'RESUMEN TOTAL'!AR318</f>
        <v>0</v>
      </c>
      <c r="AF242" s="70">
        <f>'RESUMEN TOTAL'!AS318</f>
        <v>0</v>
      </c>
      <c r="AG242" s="70">
        <f>'RESUMEN TOTAL'!AT318</f>
        <v>0</v>
      </c>
      <c r="AH242" s="70">
        <f>'RESUMEN TOTAL'!AU318</f>
        <v>0</v>
      </c>
      <c r="AI242" s="70">
        <f>'RESUMEN TOTAL'!AV318</f>
        <v>0</v>
      </c>
      <c r="AJ242" s="70" t="e">
        <f>'RESUMEN TOTAL'!#REF!</f>
        <v>#REF!</v>
      </c>
    </row>
    <row r="243" spans="1:36" x14ac:dyDescent="0.25">
      <c r="A243" t="str">
        <f>'RESUMEN TOTAL'!F319</f>
        <v>SAN FRANCISCO ESTE (CHICO)</v>
      </c>
      <c r="B243" t="str">
        <f>'RESUMEN TOTAL'!G319</f>
        <v>PUNTO SEGURO - SAN FRANCISCO (domo)</v>
      </c>
      <c r="C243" t="str">
        <f>'RESUMEN TOTAL'!I319</f>
        <v>RP 53 Y 1332</v>
      </c>
      <c r="D243" s="30" t="str">
        <f>'RESUMEN TOTAL'!J319</f>
        <v>DOMO</v>
      </c>
      <c r="E243" s="30" t="str">
        <f>'RESUMEN TOTAL'!K319</f>
        <v>PTO GPON</v>
      </c>
      <c r="F243" s="70">
        <f>'RESUMEN TOTAL'!S319</f>
        <v>0</v>
      </c>
      <c r="G243" s="70">
        <f>'RESUMEN TOTAL'!T319</f>
        <v>0</v>
      </c>
      <c r="H243" s="70">
        <f>'RESUMEN TOTAL'!U319</f>
        <v>0</v>
      </c>
      <c r="I243" s="70">
        <f>'RESUMEN TOTAL'!V319</f>
        <v>0</v>
      </c>
      <c r="J243" s="70">
        <f>'RESUMEN TOTAL'!W319</f>
        <v>0</v>
      </c>
      <c r="K243" s="70">
        <f>'RESUMEN TOTAL'!X319</f>
        <v>0</v>
      </c>
      <c r="L243" s="70">
        <f>'RESUMEN TOTAL'!Y319</f>
        <v>0</v>
      </c>
      <c r="M243" s="70">
        <f>'RESUMEN TOTAL'!Z319</f>
        <v>0</v>
      </c>
      <c r="N243" s="70">
        <f>'RESUMEN TOTAL'!AA319</f>
        <v>0</v>
      </c>
      <c r="O243" s="70">
        <f>'RESUMEN TOTAL'!AB319</f>
        <v>0</v>
      </c>
      <c r="P243" s="70">
        <f>'RESUMEN TOTAL'!AC319</f>
        <v>0</v>
      </c>
      <c r="Q243" s="70">
        <f>'RESUMEN TOTAL'!AD319</f>
        <v>0</v>
      </c>
      <c r="R243" s="70">
        <f>'RESUMEN TOTAL'!AE319</f>
        <v>0</v>
      </c>
      <c r="S243" s="70">
        <f>'RESUMEN TOTAL'!AF319</f>
        <v>0</v>
      </c>
      <c r="T243" s="70">
        <f>'RESUMEN TOTAL'!AG319</f>
        <v>0</v>
      </c>
      <c r="U243" s="70">
        <f>'RESUMEN TOTAL'!AH319</f>
        <v>0</v>
      </c>
      <c r="V243" s="70">
        <f>'RESUMEN TOTAL'!AI319</f>
        <v>0</v>
      </c>
      <c r="W243" s="70">
        <f>'RESUMEN TOTAL'!AJ319</f>
        <v>0</v>
      </c>
      <c r="X243" s="70">
        <f>'RESUMEN TOTAL'!AK319</f>
        <v>0</v>
      </c>
      <c r="Y243" s="70">
        <f>'RESUMEN TOTAL'!AL319</f>
        <v>0</v>
      </c>
      <c r="Z243" s="70">
        <f>'RESUMEN TOTAL'!AM319</f>
        <v>0</v>
      </c>
      <c r="AA243" s="70">
        <f>'RESUMEN TOTAL'!AN319</f>
        <v>0</v>
      </c>
      <c r="AB243" s="70">
        <f>'RESUMEN TOTAL'!AO319</f>
        <v>0</v>
      </c>
      <c r="AC243" s="70">
        <f>'RESUMEN TOTAL'!AP319</f>
        <v>0</v>
      </c>
      <c r="AD243" s="70">
        <f>'RESUMEN TOTAL'!AQ319</f>
        <v>0</v>
      </c>
      <c r="AE243" s="70">
        <f>'RESUMEN TOTAL'!AR319</f>
        <v>0</v>
      </c>
      <c r="AF243" s="70">
        <f>'RESUMEN TOTAL'!AS319</f>
        <v>0</v>
      </c>
      <c r="AG243" s="70">
        <f>'RESUMEN TOTAL'!AT319</f>
        <v>0</v>
      </c>
      <c r="AH243" s="70">
        <f>'RESUMEN TOTAL'!AU319</f>
        <v>0</v>
      </c>
      <c r="AI243" s="70">
        <f>'RESUMEN TOTAL'!AV319</f>
        <v>0</v>
      </c>
      <c r="AJ243" s="70" t="e">
        <f>'RESUMEN TOTAL'!#REF!</f>
        <v>#REF!</v>
      </c>
    </row>
    <row r="244" spans="1:36" x14ac:dyDescent="0.25">
      <c r="A244" t="str">
        <f>'RESUMEN TOTAL'!F321</f>
        <v>SAN JORGE</v>
      </c>
      <c r="B244" t="str">
        <f>'RESUMEN TOTAL'!G321</f>
        <v>Punto Seguro - San Jorge (Domo)</v>
      </c>
      <c r="C244" t="str">
        <f>'RESUMEN TOTAL'!I321</f>
        <v>CALLE 523 E/ 554 Y 556</v>
      </c>
      <c r="D244" s="30" t="str">
        <f>'RESUMEN TOTAL'!J321</f>
        <v>DOMO</v>
      </c>
      <c r="E244" s="30" t="str">
        <f>'RESUMEN TOTAL'!K321</f>
        <v>GPON</v>
      </c>
      <c r="F244" s="70" t="str">
        <f>'RESUMEN TOTAL'!S321</f>
        <v>APAGADO</v>
      </c>
      <c r="G244" s="70" t="str">
        <f>'RESUMEN TOTAL'!T321</f>
        <v>APAGADO</v>
      </c>
      <c r="H244" s="70" t="str">
        <f>'RESUMEN TOTAL'!U321</f>
        <v>APAGADO</v>
      </c>
      <c r="I244" s="70">
        <f>'RESUMEN TOTAL'!V321</f>
        <v>0</v>
      </c>
      <c r="J244" s="70">
        <f>'RESUMEN TOTAL'!W321</f>
        <v>0</v>
      </c>
      <c r="K244" s="70" t="str">
        <f>'RESUMEN TOTAL'!X321</f>
        <v>APAGADO</v>
      </c>
      <c r="L244" s="70">
        <f>'RESUMEN TOTAL'!Y321</f>
        <v>0</v>
      </c>
      <c r="M244" s="70">
        <f>'RESUMEN TOTAL'!Z321</f>
        <v>0</v>
      </c>
      <c r="N244" s="70">
        <f>'RESUMEN TOTAL'!AA321</f>
        <v>0</v>
      </c>
      <c r="O244" s="70">
        <f>'RESUMEN TOTAL'!AB321</f>
        <v>0</v>
      </c>
      <c r="P244" s="70">
        <f>'RESUMEN TOTAL'!AC321</f>
        <v>0</v>
      </c>
      <c r="Q244" s="70">
        <f>'RESUMEN TOTAL'!AD321</f>
        <v>0</v>
      </c>
      <c r="R244" s="70">
        <f>'RESUMEN TOTAL'!AE321</f>
        <v>0</v>
      </c>
      <c r="S244" s="70">
        <f>'RESUMEN TOTAL'!AF321</f>
        <v>0</v>
      </c>
      <c r="T244" s="70">
        <f>'RESUMEN TOTAL'!AG321</f>
        <v>0</v>
      </c>
      <c r="U244" s="70">
        <f>'RESUMEN TOTAL'!AH321</f>
        <v>0</v>
      </c>
      <c r="V244" s="70">
        <f>'RESUMEN TOTAL'!AI321</f>
        <v>0</v>
      </c>
      <c r="W244" s="70">
        <f>'RESUMEN TOTAL'!AJ321</f>
        <v>0</v>
      </c>
      <c r="X244" s="70">
        <f>'RESUMEN TOTAL'!AK321</f>
        <v>0</v>
      </c>
      <c r="Y244" s="70">
        <f>'RESUMEN TOTAL'!AL321</f>
        <v>0</v>
      </c>
      <c r="Z244" s="70">
        <f>'RESUMEN TOTAL'!AM321</f>
        <v>0</v>
      </c>
      <c r="AA244" s="70">
        <f>'RESUMEN TOTAL'!AN321</f>
        <v>0</v>
      </c>
      <c r="AB244" s="70">
        <f>'RESUMEN TOTAL'!AO321</f>
        <v>0</v>
      </c>
      <c r="AC244" s="70">
        <f>'RESUMEN TOTAL'!AP321</f>
        <v>0</v>
      </c>
      <c r="AD244" s="70">
        <f>'RESUMEN TOTAL'!AQ321</f>
        <v>0</v>
      </c>
      <c r="AE244" s="70">
        <f>'RESUMEN TOTAL'!AR321</f>
        <v>0</v>
      </c>
      <c r="AF244" s="70">
        <f>'RESUMEN TOTAL'!AS321</f>
        <v>0</v>
      </c>
      <c r="AG244" s="70">
        <f>'RESUMEN TOTAL'!AT321</f>
        <v>0</v>
      </c>
      <c r="AH244" s="70">
        <f>'RESUMEN TOTAL'!AU321</f>
        <v>0</v>
      </c>
      <c r="AI244" s="70">
        <f>'RESUMEN TOTAL'!AV321</f>
        <v>0</v>
      </c>
      <c r="AJ244" s="70" t="e">
        <f>'RESUMEN TOTAL'!#REF!</f>
        <v>#REF!</v>
      </c>
    </row>
    <row r="245" spans="1:36" x14ac:dyDescent="0.25">
      <c r="A245" t="str">
        <f>'RESUMEN TOTAL'!F322</f>
        <v>SAN JORGE</v>
      </c>
      <c r="B245" t="str">
        <f>'RESUMEN TOTAL'!G322</f>
        <v>Punto Seguro - San Jorge (Fija)</v>
      </c>
      <c r="C245" t="str">
        <f>'RESUMEN TOTAL'!I322</f>
        <v>CALLE 523 E/ 554 Y 556</v>
      </c>
      <c r="D245" s="30" t="str">
        <f>'RESUMEN TOTAL'!J322</f>
        <v>Fija</v>
      </c>
      <c r="E245" s="30" t="str">
        <f>'RESUMEN TOTAL'!K322</f>
        <v>GPON</v>
      </c>
      <c r="F245" s="70">
        <f>'RESUMEN TOTAL'!S322</f>
        <v>0</v>
      </c>
      <c r="G245" s="70">
        <f>'RESUMEN TOTAL'!T322</f>
        <v>0</v>
      </c>
      <c r="H245" s="70">
        <f>'RESUMEN TOTAL'!U322</f>
        <v>0</v>
      </c>
      <c r="I245" s="70">
        <f>'RESUMEN TOTAL'!V322</f>
        <v>0</v>
      </c>
      <c r="J245" s="70">
        <f>'RESUMEN TOTAL'!W322</f>
        <v>0</v>
      </c>
      <c r="K245" s="70">
        <f>'RESUMEN TOTAL'!X322</f>
        <v>0</v>
      </c>
      <c r="L245" s="70">
        <f>'RESUMEN TOTAL'!Y322</f>
        <v>0</v>
      </c>
      <c r="M245" s="70">
        <f>'RESUMEN TOTAL'!Z322</f>
        <v>0</v>
      </c>
      <c r="N245" s="70">
        <f>'RESUMEN TOTAL'!AA322</f>
        <v>0</v>
      </c>
      <c r="O245" s="70">
        <f>'RESUMEN TOTAL'!AB322</f>
        <v>0</v>
      </c>
      <c r="P245" s="70">
        <f>'RESUMEN TOTAL'!AC322</f>
        <v>0</v>
      </c>
      <c r="Q245" s="70">
        <f>'RESUMEN TOTAL'!AD322</f>
        <v>0</v>
      </c>
      <c r="R245" s="70">
        <f>'RESUMEN TOTAL'!AE322</f>
        <v>0</v>
      </c>
      <c r="S245" s="70">
        <f>'RESUMEN TOTAL'!AF322</f>
        <v>0</v>
      </c>
      <c r="T245" s="70">
        <f>'RESUMEN TOTAL'!AG322</f>
        <v>0</v>
      </c>
      <c r="U245" s="70">
        <f>'RESUMEN TOTAL'!AH322</f>
        <v>0</v>
      </c>
      <c r="V245" s="70">
        <f>'RESUMEN TOTAL'!AI322</f>
        <v>0</v>
      </c>
      <c r="W245" s="70">
        <f>'RESUMEN TOTAL'!AJ322</f>
        <v>0</v>
      </c>
      <c r="X245" s="70">
        <f>'RESUMEN TOTAL'!AK322</f>
        <v>0</v>
      </c>
      <c r="Y245" s="70">
        <f>'RESUMEN TOTAL'!AL322</f>
        <v>0</v>
      </c>
      <c r="Z245" s="70">
        <f>'RESUMEN TOTAL'!AM322</f>
        <v>0</v>
      </c>
      <c r="AA245" s="70">
        <f>'RESUMEN TOTAL'!AN322</f>
        <v>0</v>
      </c>
      <c r="AB245" s="70">
        <f>'RESUMEN TOTAL'!AO322</f>
        <v>0</v>
      </c>
      <c r="AC245" s="70">
        <f>'RESUMEN TOTAL'!AP322</f>
        <v>0</v>
      </c>
      <c r="AD245" s="70">
        <f>'RESUMEN TOTAL'!AQ322</f>
        <v>0</v>
      </c>
      <c r="AE245" s="70">
        <f>'RESUMEN TOTAL'!AR322</f>
        <v>0</v>
      </c>
      <c r="AF245" s="70">
        <f>'RESUMEN TOTAL'!AS322</f>
        <v>0</v>
      </c>
      <c r="AG245" s="70">
        <f>'RESUMEN TOTAL'!AT322</f>
        <v>0</v>
      </c>
      <c r="AH245" s="70">
        <f>'RESUMEN TOTAL'!AU322</f>
        <v>0</v>
      </c>
      <c r="AI245" s="70">
        <f>'RESUMEN TOTAL'!AV322</f>
        <v>0</v>
      </c>
      <c r="AJ245" s="70" t="e">
        <f>'RESUMEN TOTAL'!#REF!</f>
        <v>#REF!</v>
      </c>
    </row>
    <row r="246" spans="1:36" x14ac:dyDescent="0.25">
      <c r="A246" t="str">
        <f>'RESUMEN TOTAL'!F323</f>
        <v>SAN RUDECINDO</v>
      </c>
      <c r="B246" t="str">
        <f>'RESUMEN TOTAL'!G323</f>
        <v>PUNTO SEGURO - SAN RUDECINDO (fija)</v>
      </c>
      <c r="C246" t="str">
        <f>'RESUMEN TOTAL'!I323</f>
        <v>SANTA SOFIA Y ALVAR NUÑEZ</v>
      </c>
      <c r="D246" s="30" t="str">
        <f>'RESUMEN TOTAL'!J323</f>
        <v>Fija</v>
      </c>
      <c r="E246" s="30" t="str">
        <f>'RESUMEN TOTAL'!K323</f>
        <v>GPON</v>
      </c>
      <c r="F246" s="70" t="str">
        <f>'RESUMEN TOTAL'!S323</f>
        <v>APAGADO</v>
      </c>
      <c r="G246" s="70" t="str">
        <f>'RESUMEN TOTAL'!T323</f>
        <v>APAGADO</v>
      </c>
      <c r="H246" s="70" t="str">
        <f>'RESUMEN TOTAL'!U323</f>
        <v>APAGADO</v>
      </c>
      <c r="I246" s="70">
        <f>'RESUMEN TOTAL'!V323</f>
        <v>0</v>
      </c>
      <c r="J246" s="70">
        <f>'RESUMEN TOTAL'!W323</f>
        <v>0</v>
      </c>
      <c r="K246" s="70" t="str">
        <f>'RESUMEN TOTAL'!X323</f>
        <v>APAGADO</v>
      </c>
      <c r="L246" s="70">
        <f>'RESUMEN TOTAL'!Y323</f>
        <v>0</v>
      </c>
      <c r="M246" s="70">
        <f>'RESUMEN TOTAL'!Z323</f>
        <v>0</v>
      </c>
      <c r="N246" s="70">
        <f>'RESUMEN TOTAL'!AA323</f>
        <v>0</v>
      </c>
      <c r="O246" s="70">
        <f>'RESUMEN TOTAL'!AB323</f>
        <v>0</v>
      </c>
      <c r="P246" s="70">
        <f>'RESUMEN TOTAL'!AC323</f>
        <v>0</v>
      </c>
      <c r="Q246" s="70">
        <f>'RESUMEN TOTAL'!AD323</f>
        <v>0</v>
      </c>
      <c r="R246" s="70">
        <f>'RESUMEN TOTAL'!AE323</f>
        <v>0</v>
      </c>
      <c r="S246" s="70">
        <f>'RESUMEN TOTAL'!AF323</f>
        <v>0</v>
      </c>
      <c r="T246" s="70">
        <f>'RESUMEN TOTAL'!AG323</f>
        <v>0</v>
      </c>
      <c r="U246" s="70">
        <f>'RESUMEN TOTAL'!AH323</f>
        <v>0</v>
      </c>
      <c r="V246" s="70">
        <f>'RESUMEN TOTAL'!AI323</f>
        <v>0</v>
      </c>
      <c r="W246" s="70">
        <f>'RESUMEN TOTAL'!AJ323</f>
        <v>0</v>
      </c>
      <c r="X246" s="70">
        <f>'RESUMEN TOTAL'!AK323</f>
        <v>0</v>
      </c>
      <c r="Y246" s="70">
        <f>'RESUMEN TOTAL'!AL323</f>
        <v>0</v>
      </c>
      <c r="Z246" s="70">
        <f>'RESUMEN TOTAL'!AM323</f>
        <v>0</v>
      </c>
      <c r="AA246" s="70">
        <f>'RESUMEN TOTAL'!AN323</f>
        <v>0</v>
      </c>
      <c r="AB246" s="70">
        <f>'RESUMEN TOTAL'!AO323</f>
        <v>0</v>
      </c>
      <c r="AC246" s="70">
        <f>'RESUMEN TOTAL'!AP323</f>
        <v>0</v>
      </c>
      <c r="AD246" s="70">
        <f>'RESUMEN TOTAL'!AQ323</f>
        <v>0</v>
      </c>
      <c r="AE246" s="70">
        <f>'RESUMEN TOTAL'!AR323</f>
        <v>0</v>
      </c>
      <c r="AF246" s="70">
        <f>'RESUMEN TOTAL'!AS323</f>
        <v>0</v>
      </c>
      <c r="AG246" s="70">
        <f>'RESUMEN TOTAL'!AT323</f>
        <v>0</v>
      </c>
      <c r="AH246" s="70">
        <f>'RESUMEN TOTAL'!AU323</f>
        <v>0</v>
      </c>
      <c r="AI246" s="70">
        <f>'RESUMEN TOTAL'!AV323</f>
        <v>0</v>
      </c>
      <c r="AJ246" s="70" t="e">
        <f>'RESUMEN TOTAL'!#REF!</f>
        <v>#REF!</v>
      </c>
    </row>
    <row r="247" spans="1:36" x14ac:dyDescent="0.25">
      <c r="A247" t="str">
        <f>'RESUMEN TOTAL'!F324</f>
        <v>ZONA RURAL SANTA ROSA</v>
      </c>
      <c r="B247" t="str">
        <f>'RESUMEN TOTAL'!G324</f>
        <v>PUNTO SEGURO - SANTA ROSA (domo)</v>
      </c>
      <c r="C247" t="str">
        <f>'RESUMEN TOTAL'!I324</f>
        <v>BRUSELAS Y SICILIA</v>
      </c>
      <c r="D247" s="30" t="str">
        <f>'RESUMEN TOTAL'!J324</f>
        <v>DOMO</v>
      </c>
      <c r="E247" s="30" t="str">
        <f>'RESUMEN TOTAL'!K324</f>
        <v>Fibra Optica</v>
      </c>
      <c r="F247" s="70" t="str">
        <f>'RESUMEN TOTAL'!S324</f>
        <v>APAGADO</v>
      </c>
      <c r="G247" s="70" t="str">
        <f>'RESUMEN TOTAL'!T324</f>
        <v>APAGADO</v>
      </c>
      <c r="H247" s="70" t="str">
        <f>'RESUMEN TOTAL'!U324</f>
        <v>APAGADO</v>
      </c>
      <c r="I247" s="70">
        <f>'RESUMEN TOTAL'!V324</f>
        <v>0</v>
      </c>
      <c r="J247" s="70">
        <f>'RESUMEN TOTAL'!W324</f>
        <v>0</v>
      </c>
      <c r="K247" s="70" t="str">
        <f>'RESUMEN TOTAL'!X324</f>
        <v>APAGADO</v>
      </c>
      <c r="L247" s="70">
        <f>'RESUMEN TOTAL'!Y324</f>
        <v>0</v>
      </c>
      <c r="M247" s="70">
        <f>'RESUMEN TOTAL'!Z324</f>
        <v>0</v>
      </c>
      <c r="N247" s="70">
        <f>'RESUMEN TOTAL'!AA324</f>
        <v>0</v>
      </c>
      <c r="O247" s="70">
        <f>'RESUMEN TOTAL'!AB324</f>
        <v>0</v>
      </c>
      <c r="P247" s="70">
        <f>'RESUMEN TOTAL'!AC324</f>
        <v>0</v>
      </c>
      <c r="Q247" s="70">
        <f>'RESUMEN TOTAL'!AD324</f>
        <v>0</v>
      </c>
      <c r="R247" s="70">
        <f>'RESUMEN TOTAL'!AE324</f>
        <v>0</v>
      </c>
      <c r="S247" s="70">
        <f>'RESUMEN TOTAL'!AF324</f>
        <v>0</v>
      </c>
      <c r="T247" s="70">
        <f>'RESUMEN TOTAL'!AG324</f>
        <v>0</v>
      </c>
      <c r="U247" s="70">
        <f>'RESUMEN TOTAL'!AH324</f>
        <v>0</v>
      </c>
      <c r="V247" s="70">
        <f>'RESUMEN TOTAL'!AI324</f>
        <v>0</v>
      </c>
      <c r="W247" s="70">
        <f>'RESUMEN TOTAL'!AJ324</f>
        <v>0</v>
      </c>
      <c r="X247" s="70">
        <f>'RESUMEN TOTAL'!AK324</f>
        <v>0</v>
      </c>
      <c r="Y247" s="70">
        <f>'RESUMEN TOTAL'!AL324</f>
        <v>0</v>
      </c>
      <c r="Z247" s="70">
        <f>'RESUMEN TOTAL'!AM324</f>
        <v>0</v>
      </c>
      <c r="AA247" s="70">
        <f>'RESUMEN TOTAL'!AN324</f>
        <v>0</v>
      </c>
      <c r="AB247" s="70">
        <f>'RESUMEN TOTAL'!AO324</f>
        <v>0</v>
      </c>
      <c r="AC247" s="70">
        <f>'RESUMEN TOTAL'!AP324</f>
        <v>0</v>
      </c>
      <c r="AD247" s="70">
        <f>'RESUMEN TOTAL'!AQ324</f>
        <v>0</v>
      </c>
      <c r="AE247" s="70">
        <f>'RESUMEN TOTAL'!AR324</f>
        <v>0</v>
      </c>
      <c r="AF247" s="70">
        <f>'RESUMEN TOTAL'!AS324</f>
        <v>0</v>
      </c>
      <c r="AG247" s="70">
        <f>'RESUMEN TOTAL'!AT324</f>
        <v>0</v>
      </c>
      <c r="AH247" s="70">
        <f>'RESUMEN TOTAL'!AU324</f>
        <v>0</v>
      </c>
      <c r="AI247" s="70">
        <f>'RESUMEN TOTAL'!AV324</f>
        <v>0</v>
      </c>
      <c r="AJ247" s="70" t="e">
        <f>'RESUMEN TOTAL'!#REF!</f>
        <v>#REF!</v>
      </c>
    </row>
    <row r="248" spans="1:36" x14ac:dyDescent="0.25">
      <c r="A248" t="str">
        <f>'RESUMEN TOTAL'!F325</f>
        <v>ZONA RURAL SANTA ROSA</v>
      </c>
      <c r="B248" t="str">
        <f>'RESUMEN TOTAL'!G325</f>
        <v>PUNTO SEGURO - SANTA ROSA (fija)</v>
      </c>
      <c r="C248" t="str">
        <f>'RESUMEN TOTAL'!I325</f>
        <v>BRUSELAS Y SICILIA</v>
      </c>
      <c r="D248" s="30" t="str">
        <f>'RESUMEN TOTAL'!J325</f>
        <v>Fija</v>
      </c>
      <c r="E248" s="30" t="str">
        <f>'RESUMEN TOTAL'!K325</f>
        <v>Fibra Optica</v>
      </c>
      <c r="F248" s="70">
        <f>'RESUMEN TOTAL'!S325</f>
        <v>0</v>
      </c>
      <c r="G248" s="70">
        <f>'RESUMEN TOTAL'!T325</f>
        <v>0</v>
      </c>
      <c r="H248" s="70">
        <f>'RESUMEN TOTAL'!U325</f>
        <v>0</v>
      </c>
      <c r="I248" s="70">
        <f>'RESUMEN TOTAL'!V325</f>
        <v>0</v>
      </c>
      <c r="J248" s="70">
        <f>'RESUMEN TOTAL'!W325</f>
        <v>0</v>
      </c>
      <c r="K248" s="70">
        <f>'RESUMEN TOTAL'!X325</f>
        <v>0</v>
      </c>
      <c r="L248" s="70">
        <f>'RESUMEN TOTAL'!Y325</f>
        <v>0</v>
      </c>
      <c r="M248" s="70">
        <f>'RESUMEN TOTAL'!Z325</f>
        <v>0</v>
      </c>
      <c r="N248" s="70">
        <f>'RESUMEN TOTAL'!AA325</f>
        <v>0</v>
      </c>
      <c r="O248" s="70">
        <f>'RESUMEN TOTAL'!AB325</f>
        <v>0</v>
      </c>
      <c r="P248" s="70">
        <f>'RESUMEN TOTAL'!AC325</f>
        <v>0</v>
      </c>
      <c r="Q248" s="70">
        <f>'RESUMEN TOTAL'!AD325</f>
        <v>0</v>
      </c>
      <c r="R248" s="70">
        <f>'RESUMEN TOTAL'!AE325</f>
        <v>0</v>
      </c>
      <c r="S248" s="70">
        <f>'RESUMEN TOTAL'!AF325</f>
        <v>0</v>
      </c>
      <c r="T248" s="70">
        <f>'RESUMEN TOTAL'!AG325</f>
        <v>0</v>
      </c>
      <c r="U248" s="70">
        <f>'RESUMEN TOTAL'!AH325</f>
        <v>0</v>
      </c>
      <c r="V248" s="70">
        <f>'RESUMEN TOTAL'!AI325</f>
        <v>0</v>
      </c>
      <c r="W248" s="70">
        <f>'RESUMEN TOTAL'!AJ325</f>
        <v>0</v>
      </c>
      <c r="X248" s="70">
        <f>'RESUMEN TOTAL'!AK325</f>
        <v>0</v>
      </c>
      <c r="Y248" s="70">
        <f>'RESUMEN TOTAL'!AL325</f>
        <v>0</v>
      </c>
      <c r="Z248" s="70">
        <f>'RESUMEN TOTAL'!AM325</f>
        <v>0</v>
      </c>
      <c r="AA248" s="70">
        <f>'RESUMEN TOTAL'!AN325</f>
        <v>0</v>
      </c>
      <c r="AB248" s="70">
        <f>'RESUMEN TOTAL'!AO325</f>
        <v>0</v>
      </c>
      <c r="AC248" s="70">
        <f>'RESUMEN TOTAL'!AP325</f>
        <v>0</v>
      </c>
      <c r="AD248" s="70">
        <f>'RESUMEN TOTAL'!AQ325</f>
        <v>0</v>
      </c>
      <c r="AE248" s="70">
        <f>'RESUMEN TOTAL'!AR325</f>
        <v>0</v>
      </c>
      <c r="AF248" s="70">
        <f>'RESUMEN TOTAL'!AS325</f>
        <v>0</v>
      </c>
      <c r="AG248" s="70">
        <f>'RESUMEN TOTAL'!AT325</f>
        <v>0</v>
      </c>
      <c r="AH248" s="70">
        <f>'RESUMEN TOTAL'!AU325</f>
        <v>0</v>
      </c>
      <c r="AI248" s="70">
        <f>'RESUMEN TOTAL'!AV325</f>
        <v>0</v>
      </c>
      <c r="AJ248" s="70" t="e">
        <f>'RESUMEN TOTAL'!#REF!</f>
        <v>#REF!</v>
      </c>
    </row>
    <row r="249" spans="1:36" x14ac:dyDescent="0.25">
      <c r="A249" t="str">
        <f>'RESUMEN TOTAL'!F326</f>
        <v>AGUSTIN RAMIREZ</v>
      </c>
      <c r="B249" t="str">
        <f>'RESUMEN TOTAL'!G326</f>
        <v>PUNTO SEGURO AGUSTIN RAMIREZ INTERCOMUNICADOR</v>
      </c>
      <c r="C249" t="str">
        <f>'RESUMEN TOTAL'!I326</f>
        <v>MALAMBO Y LA TRANQUERA</v>
      </c>
      <c r="D249" s="30" t="str">
        <f>'RESUMEN TOTAL'!J326</f>
        <v>Fija</v>
      </c>
      <c r="E249" s="30" t="str">
        <f>'RESUMEN TOTAL'!K326</f>
        <v>Fibra Optica</v>
      </c>
      <c r="F249" s="70">
        <f>'RESUMEN TOTAL'!S326</f>
        <v>0</v>
      </c>
      <c r="G249" s="70">
        <f>'RESUMEN TOTAL'!T326</f>
        <v>0</v>
      </c>
      <c r="H249" s="70">
        <f>'RESUMEN TOTAL'!U326</f>
        <v>0</v>
      </c>
      <c r="I249" s="70">
        <f>'RESUMEN TOTAL'!V326</f>
        <v>0</v>
      </c>
      <c r="J249" s="70">
        <f>'RESUMEN TOTAL'!W326</f>
        <v>0</v>
      </c>
      <c r="K249" s="70">
        <f>'RESUMEN TOTAL'!X326</f>
        <v>0</v>
      </c>
      <c r="L249" s="70">
        <f>'RESUMEN TOTAL'!Y326</f>
        <v>0</v>
      </c>
      <c r="M249" s="70">
        <f>'RESUMEN TOTAL'!Z326</f>
        <v>0</v>
      </c>
      <c r="N249" s="70">
        <f>'RESUMEN TOTAL'!AA326</f>
        <v>0</v>
      </c>
      <c r="O249" s="70">
        <f>'RESUMEN TOTAL'!AB326</f>
        <v>0</v>
      </c>
      <c r="P249" s="70">
        <f>'RESUMEN TOTAL'!AC326</f>
        <v>0</v>
      </c>
      <c r="Q249" s="70">
        <f>'RESUMEN TOTAL'!AD326</f>
        <v>0</v>
      </c>
      <c r="R249" s="70">
        <f>'RESUMEN TOTAL'!AE326</f>
        <v>0</v>
      </c>
      <c r="S249" s="70">
        <f>'RESUMEN TOTAL'!AF326</f>
        <v>0</v>
      </c>
      <c r="T249" s="70">
        <f>'RESUMEN TOTAL'!AG326</f>
        <v>0</v>
      </c>
      <c r="U249" s="70">
        <f>'RESUMEN TOTAL'!AH326</f>
        <v>0</v>
      </c>
      <c r="V249" s="70">
        <f>'RESUMEN TOTAL'!AI326</f>
        <v>0</v>
      </c>
      <c r="W249" s="70">
        <f>'RESUMEN TOTAL'!AJ326</f>
        <v>0</v>
      </c>
      <c r="X249" s="70">
        <f>'RESUMEN TOTAL'!AK326</f>
        <v>0</v>
      </c>
      <c r="Y249" s="70">
        <f>'RESUMEN TOTAL'!AL326</f>
        <v>0</v>
      </c>
      <c r="Z249" s="70">
        <f>'RESUMEN TOTAL'!AM326</f>
        <v>0</v>
      </c>
      <c r="AA249" s="70">
        <f>'RESUMEN TOTAL'!AN326</f>
        <v>0</v>
      </c>
      <c r="AB249" s="70">
        <f>'RESUMEN TOTAL'!AO326</f>
        <v>0</v>
      </c>
      <c r="AC249" s="70">
        <f>'RESUMEN TOTAL'!AP326</f>
        <v>0</v>
      </c>
      <c r="AD249" s="70">
        <f>'RESUMEN TOTAL'!AQ326</f>
        <v>0</v>
      </c>
      <c r="AE249" s="70">
        <f>'RESUMEN TOTAL'!AR326</f>
        <v>0</v>
      </c>
      <c r="AF249" s="70">
        <f>'RESUMEN TOTAL'!AS326</f>
        <v>0</v>
      </c>
      <c r="AG249" s="70">
        <f>'RESUMEN TOTAL'!AT326</f>
        <v>0</v>
      </c>
      <c r="AH249" s="70">
        <f>'RESUMEN TOTAL'!AU326</f>
        <v>0</v>
      </c>
      <c r="AI249" s="70">
        <f>'RESUMEN TOTAL'!AV326</f>
        <v>0</v>
      </c>
      <c r="AJ249" s="70" t="e">
        <f>'RESUMEN TOTAL'!#REF!</f>
        <v>#REF!</v>
      </c>
    </row>
    <row r="250" spans="1:36" x14ac:dyDescent="0.25">
      <c r="A250" t="str">
        <f>'RESUMEN TOTAL'!F327</f>
        <v>LUJAN</v>
      </c>
      <c r="B250" t="str">
        <f>'RESUMEN TOTAL'!G327</f>
        <v>PUNTO SEGURO LUJAN (domo)</v>
      </c>
      <c r="C250" t="str">
        <f>'RESUMEN TOTAL'!I327</f>
        <v>DIAG. LOS TILOS Y LOS ALGARROBOS</v>
      </c>
      <c r="D250" s="30" t="str">
        <f>'RESUMEN TOTAL'!J327</f>
        <v>DOMO</v>
      </c>
      <c r="E250" s="30" t="str">
        <f>'RESUMEN TOTAL'!K327</f>
        <v>GPON</v>
      </c>
      <c r="F250" s="70" t="str">
        <f>'RESUMEN TOTAL'!S327</f>
        <v>APAGADO</v>
      </c>
      <c r="G250" s="70">
        <f>'RESUMEN TOTAL'!T327</f>
        <v>0</v>
      </c>
      <c r="H250" s="70">
        <f>'RESUMEN TOTAL'!U327</f>
        <v>0</v>
      </c>
      <c r="I250" s="70">
        <f>'RESUMEN TOTAL'!V327</f>
        <v>0</v>
      </c>
      <c r="J250" s="70">
        <f>'RESUMEN TOTAL'!W327</f>
        <v>0</v>
      </c>
      <c r="K250" s="70">
        <f>'RESUMEN TOTAL'!X327</f>
        <v>0</v>
      </c>
      <c r="L250" s="70">
        <f>'RESUMEN TOTAL'!Y327</f>
        <v>0</v>
      </c>
      <c r="M250" s="70">
        <f>'RESUMEN TOTAL'!Z327</f>
        <v>0</v>
      </c>
      <c r="N250" s="70">
        <f>'RESUMEN TOTAL'!AA327</f>
        <v>0</v>
      </c>
      <c r="O250" s="70">
        <f>'RESUMEN TOTAL'!AB327</f>
        <v>0</v>
      </c>
      <c r="P250" s="70">
        <f>'RESUMEN TOTAL'!AC327</f>
        <v>0</v>
      </c>
      <c r="Q250" s="70">
        <f>'RESUMEN TOTAL'!AD327</f>
        <v>0</v>
      </c>
      <c r="R250" s="70">
        <f>'RESUMEN TOTAL'!AE327</f>
        <v>0</v>
      </c>
      <c r="S250" s="70">
        <f>'RESUMEN TOTAL'!AF327</f>
        <v>0</v>
      </c>
      <c r="T250" s="70">
        <f>'RESUMEN TOTAL'!AG327</f>
        <v>0</v>
      </c>
      <c r="U250" s="70">
        <f>'RESUMEN TOTAL'!AH327</f>
        <v>0</v>
      </c>
      <c r="V250" s="70">
        <f>'RESUMEN TOTAL'!AI327</f>
        <v>0</v>
      </c>
      <c r="W250" s="70">
        <f>'RESUMEN TOTAL'!AJ327</f>
        <v>0</v>
      </c>
      <c r="X250" s="70">
        <f>'RESUMEN TOTAL'!AK327</f>
        <v>0</v>
      </c>
      <c r="Y250" s="70">
        <f>'RESUMEN TOTAL'!AL327</f>
        <v>0</v>
      </c>
      <c r="Z250" s="70">
        <f>'RESUMEN TOTAL'!AM327</f>
        <v>0</v>
      </c>
      <c r="AA250" s="70">
        <f>'RESUMEN TOTAL'!AN327</f>
        <v>0</v>
      </c>
      <c r="AB250" s="70">
        <f>'RESUMEN TOTAL'!AO327</f>
        <v>0</v>
      </c>
      <c r="AC250" s="70">
        <f>'RESUMEN TOTAL'!AP327</f>
        <v>0</v>
      </c>
      <c r="AD250" s="70">
        <f>'RESUMEN TOTAL'!AQ327</f>
        <v>0</v>
      </c>
      <c r="AE250" s="70">
        <f>'RESUMEN TOTAL'!AR327</f>
        <v>0</v>
      </c>
      <c r="AF250" s="70">
        <f>'RESUMEN TOTAL'!AS327</f>
        <v>0</v>
      </c>
      <c r="AG250" s="70">
        <f>'RESUMEN TOTAL'!AT327</f>
        <v>0</v>
      </c>
      <c r="AH250" s="70">
        <f>'RESUMEN TOTAL'!AU327</f>
        <v>0</v>
      </c>
      <c r="AI250" s="70">
        <f>'RESUMEN TOTAL'!AV327</f>
        <v>0</v>
      </c>
      <c r="AJ250" s="70" t="e">
        <f>'RESUMEN TOTAL'!#REF!</f>
        <v>#REF!</v>
      </c>
    </row>
    <row r="251" spans="1:36" x14ac:dyDescent="0.25">
      <c r="A251" t="str">
        <f>'RESUMEN TOTAL'!F328</f>
        <v>LUJAN</v>
      </c>
      <c r="B251" t="str">
        <f>'RESUMEN TOTAL'!G328</f>
        <v>PUNTO SEGURO LUJAN INTERCOMUNICADOR</v>
      </c>
      <c r="C251" t="str">
        <f>'RESUMEN TOTAL'!I328</f>
        <v>DIAG LOS TILOS Y LOS ALGARROBOS</v>
      </c>
      <c r="D251" s="30" t="str">
        <f>'RESUMEN TOTAL'!J328</f>
        <v>Fija</v>
      </c>
      <c r="E251" s="30" t="str">
        <f>'RESUMEN TOTAL'!K328</f>
        <v>GPON</v>
      </c>
      <c r="F251" s="70" t="str">
        <f>'RESUMEN TOTAL'!S328</f>
        <v>APAGADO</v>
      </c>
      <c r="G251" s="70">
        <f>'RESUMEN TOTAL'!T328</f>
        <v>0</v>
      </c>
      <c r="H251" s="70">
        <f>'RESUMEN TOTAL'!U328</f>
        <v>0</v>
      </c>
      <c r="I251" s="70">
        <f>'RESUMEN TOTAL'!V328</f>
        <v>0</v>
      </c>
      <c r="J251" s="70">
        <f>'RESUMEN TOTAL'!W328</f>
        <v>0</v>
      </c>
      <c r="K251" s="70">
        <f>'RESUMEN TOTAL'!X328</f>
        <v>0</v>
      </c>
      <c r="L251" s="70">
        <f>'RESUMEN TOTAL'!Y328</f>
        <v>0</v>
      </c>
      <c r="M251" s="70">
        <f>'RESUMEN TOTAL'!Z328</f>
        <v>0</v>
      </c>
      <c r="N251" s="70">
        <f>'RESUMEN TOTAL'!AA328</f>
        <v>0</v>
      </c>
      <c r="O251" s="70">
        <f>'RESUMEN TOTAL'!AB328</f>
        <v>0</v>
      </c>
      <c r="P251" s="70">
        <f>'RESUMEN TOTAL'!AC328</f>
        <v>0</v>
      </c>
      <c r="Q251" s="70">
        <f>'RESUMEN TOTAL'!AD328</f>
        <v>0</v>
      </c>
      <c r="R251" s="70">
        <f>'RESUMEN TOTAL'!AE328</f>
        <v>0</v>
      </c>
      <c r="S251" s="70">
        <f>'RESUMEN TOTAL'!AF328</f>
        <v>0</v>
      </c>
      <c r="T251" s="70">
        <f>'RESUMEN TOTAL'!AG328</f>
        <v>0</v>
      </c>
      <c r="U251" s="70">
        <f>'RESUMEN TOTAL'!AH328</f>
        <v>0</v>
      </c>
      <c r="V251" s="70">
        <f>'RESUMEN TOTAL'!AI328</f>
        <v>0</v>
      </c>
      <c r="W251" s="70">
        <f>'RESUMEN TOTAL'!AJ328</f>
        <v>0</v>
      </c>
      <c r="X251" s="70">
        <f>'RESUMEN TOTAL'!AK328</f>
        <v>0</v>
      </c>
      <c r="Y251" s="70">
        <f>'RESUMEN TOTAL'!AL328</f>
        <v>0</v>
      </c>
      <c r="Z251" s="70">
        <f>'RESUMEN TOTAL'!AM328</f>
        <v>0</v>
      </c>
      <c r="AA251" s="70">
        <f>'RESUMEN TOTAL'!AN328</f>
        <v>0</v>
      </c>
      <c r="AB251" s="70">
        <f>'RESUMEN TOTAL'!AO328</f>
        <v>0</v>
      </c>
      <c r="AC251" s="70">
        <f>'RESUMEN TOTAL'!AP328</f>
        <v>0</v>
      </c>
      <c r="AD251" s="70">
        <f>'RESUMEN TOTAL'!AQ328</f>
        <v>0</v>
      </c>
      <c r="AE251" s="70">
        <f>'RESUMEN TOTAL'!AR328</f>
        <v>0</v>
      </c>
      <c r="AF251" s="70">
        <f>'RESUMEN TOTAL'!AS328</f>
        <v>0</v>
      </c>
      <c r="AG251" s="70">
        <f>'RESUMEN TOTAL'!AT328</f>
        <v>0</v>
      </c>
      <c r="AH251" s="70">
        <f>'RESUMEN TOTAL'!AU328</f>
        <v>0</v>
      </c>
      <c r="AI251" s="70">
        <f>'RESUMEN TOTAL'!AV328</f>
        <v>0</v>
      </c>
      <c r="AJ251" s="70" t="e">
        <f>'RESUMEN TOTAL'!#REF!</f>
        <v>#REF!</v>
      </c>
    </row>
    <row r="252" spans="1:36" x14ac:dyDescent="0.25">
      <c r="A252" t="str">
        <f>'RESUMEN TOTAL'!F329</f>
        <v>ZONA RURAL SANTA ROSA</v>
      </c>
      <c r="B252" t="str">
        <f>'RESUMEN TOTAL'!G329</f>
        <v>PUNTO SEGURO PICO DE ORO INTERCOMUNICADOR</v>
      </c>
      <c r="C252" t="str">
        <f>'RESUMEN TOTAL'!I329</f>
        <v>PISANI Y BULGARIA</v>
      </c>
      <c r="D252" s="30" t="str">
        <f>'RESUMEN TOTAL'!J329</f>
        <v>Domo</v>
      </c>
      <c r="E252" s="30" t="str">
        <f>'RESUMEN TOTAL'!K329</f>
        <v>Fibra Optica</v>
      </c>
      <c r="F252" s="70">
        <f>'RESUMEN TOTAL'!S329</f>
        <v>0</v>
      </c>
      <c r="G252" s="70">
        <f>'RESUMEN TOTAL'!T329</f>
        <v>0</v>
      </c>
      <c r="H252" s="70">
        <f>'RESUMEN TOTAL'!U329</f>
        <v>0</v>
      </c>
      <c r="I252" s="70">
        <f>'RESUMEN TOTAL'!V329</f>
        <v>0</v>
      </c>
      <c r="J252" s="70">
        <f>'RESUMEN TOTAL'!W329</f>
        <v>0</v>
      </c>
      <c r="K252" s="70">
        <f>'RESUMEN TOTAL'!X329</f>
        <v>0</v>
      </c>
      <c r="L252" s="70">
        <f>'RESUMEN TOTAL'!Y329</f>
        <v>0</v>
      </c>
      <c r="M252" s="70">
        <f>'RESUMEN TOTAL'!Z329</f>
        <v>0</v>
      </c>
      <c r="N252" s="70">
        <f>'RESUMEN TOTAL'!AA329</f>
        <v>0</v>
      </c>
      <c r="O252" s="70">
        <f>'RESUMEN TOTAL'!AB329</f>
        <v>0</v>
      </c>
      <c r="P252" s="70">
        <f>'RESUMEN TOTAL'!AC329</f>
        <v>0</v>
      </c>
      <c r="Q252" s="70">
        <f>'RESUMEN TOTAL'!AD329</f>
        <v>0</v>
      </c>
      <c r="R252" s="70">
        <f>'RESUMEN TOTAL'!AE329</f>
        <v>0</v>
      </c>
      <c r="S252" s="70">
        <f>'RESUMEN TOTAL'!AF329</f>
        <v>0</v>
      </c>
      <c r="T252" s="70">
        <f>'RESUMEN TOTAL'!AG329</f>
        <v>0</v>
      </c>
      <c r="U252" s="70">
        <f>'RESUMEN TOTAL'!AH329</f>
        <v>0</v>
      </c>
      <c r="V252" s="70">
        <f>'RESUMEN TOTAL'!AI329</f>
        <v>0</v>
      </c>
      <c r="W252" s="70">
        <f>'RESUMEN TOTAL'!AJ329</f>
        <v>0</v>
      </c>
      <c r="X252" s="70">
        <f>'RESUMEN TOTAL'!AK329</f>
        <v>0</v>
      </c>
      <c r="Y252" s="70">
        <f>'RESUMEN TOTAL'!AL329</f>
        <v>0</v>
      </c>
      <c r="Z252" s="70">
        <f>'RESUMEN TOTAL'!AM329</f>
        <v>0</v>
      </c>
      <c r="AA252" s="70">
        <f>'RESUMEN TOTAL'!AN329</f>
        <v>0</v>
      </c>
      <c r="AB252" s="70">
        <f>'RESUMEN TOTAL'!AO329</f>
        <v>0</v>
      </c>
      <c r="AC252" s="70">
        <f>'RESUMEN TOTAL'!AP329</f>
        <v>0</v>
      </c>
      <c r="AD252" s="70">
        <f>'RESUMEN TOTAL'!AQ329</f>
        <v>0</v>
      </c>
      <c r="AE252" s="70">
        <f>'RESUMEN TOTAL'!AR329</f>
        <v>0</v>
      </c>
      <c r="AF252" s="70">
        <f>'RESUMEN TOTAL'!AS329</f>
        <v>0</v>
      </c>
      <c r="AG252" s="70">
        <f>'RESUMEN TOTAL'!AT329</f>
        <v>0</v>
      </c>
      <c r="AH252" s="70">
        <f>'RESUMEN TOTAL'!AU329</f>
        <v>0</v>
      </c>
      <c r="AI252" s="70">
        <f>'RESUMEN TOTAL'!AV329</f>
        <v>0</v>
      </c>
      <c r="AJ252" s="70" t="e">
        <f>'RESUMEN TOTAL'!#REF!</f>
        <v>#REF!</v>
      </c>
    </row>
    <row r="253" spans="1:36" x14ac:dyDescent="0.25">
      <c r="A253" t="str">
        <f>'RESUMEN TOTAL'!F330</f>
        <v>SAN JORGE</v>
      </c>
      <c r="B253" t="str">
        <f>'RESUMEN TOTAL'!G330</f>
        <v>PUNTO SEGURO SAN JORGE INTERCOMUNICADOR</v>
      </c>
      <c r="C253" t="str">
        <f>'RESUMEN TOTAL'!I330</f>
        <v>CALLE 554 Y 523</v>
      </c>
      <c r="D253" s="30" t="str">
        <f>'RESUMEN TOTAL'!J330</f>
        <v>Fija</v>
      </c>
      <c r="E253" s="30" t="str">
        <f>'RESUMEN TOTAL'!K330</f>
        <v>GPON</v>
      </c>
      <c r="F253" s="70" t="str">
        <f>'RESUMEN TOTAL'!S330</f>
        <v>APAGADO</v>
      </c>
      <c r="G253" s="70" t="str">
        <f>'RESUMEN TOTAL'!T330</f>
        <v>APAGADO</v>
      </c>
      <c r="H253" s="70" t="str">
        <f>'RESUMEN TOTAL'!U330</f>
        <v>APAGADO</v>
      </c>
      <c r="I253" s="70">
        <f>'RESUMEN TOTAL'!V330</f>
        <v>0</v>
      </c>
      <c r="J253" s="70">
        <f>'RESUMEN TOTAL'!W330</f>
        <v>0</v>
      </c>
      <c r="K253" s="70" t="str">
        <f>'RESUMEN TOTAL'!X330</f>
        <v>APAGADO</v>
      </c>
      <c r="L253" s="70">
        <f>'RESUMEN TOTAL'!Y330</f>
        <v>0</v>
      </c>
      <c r="M253" s="70">
        <f>'RESUMEN TOTAL'!Z330</f>
        <v>0</v>
      </c>
      <c r="N253" s="70">
        <f>'RESUMEN TOTAL'!AA330</f>
        <v>0</v>
      </c>
      <c r="O253" s="70">
        <f>'RESUMEN TOTAL'!AB330</f>
        <v>0</v>
      </c>
      <c r="P253" s="70">
        <f>'RESUMEN TOTAL'!AC330</f>
        <v>0</v>
      </c>
      <c r="Q253" s="70">
        <f>'RESUMEN TOTAL'!AD330</f>
        <v>0</v>
      </c>
      <c r="R253" s="70">
        <f>'RESUMEN TOTAL'!AE330</f>
        <v>0</v>
      </c>
      <c r="S253" s="70">
        <f>'RESUMEN TOTAL'!AF330</f>
        <v>0</v>
      </c>
      <c r="T253" s="70">
        <f>'RESUMEN TOTAL'!AG330</f>
        <v>0</v>
      </c>
      <c r="U253" s="70">
        <f>'RESUMEN TOTAL'!AH330</f>
        <v>0</v>
      </c>
      <c r="V253" s="70">
        <f>'RESUMEN TOTAL'!AI330</f>
        <v>0</v>
      </c>
      <c r="W253" s="70">
        <f>'RESUMEN TOTAL'!AJ330</f>
        <v>0</v>
      </c>
      <c r="X253" s="70">
        <f>'RESUMEN TOTAL'!AK330</f>
        <v>0</v>
      </c>
      <c r="Y253" s="70">
        <f>'RESUMEN TOTAL'!AL330</f>
        <v>0</v>
      </c>
      <c r="Z253" s="70">
        <f>'RESUMEN TOTAL'!AM330</f>
        <v>0</v>
      </c>
      <c r="AA253" s="70">
        <f>'RESUMEN TOTAL'!AN330</f>
        <v>0</v>
      </c>
      <c r="AB253" s="70">
        <f>'RESUMEN TOTAL'!AO330</f>
        <v>0</v>
      </c>
      <c r="AC253" s="70">
        <f>'RESUMEN TOTAL'!AP330</f>
        <v>0</v>
      </c>
      <c r="AD253" s="70">
        <f>'RESUMEN TOTAL'!AQ330</f>
        <v>0</v>
      </c>
      <c r="AE253" s="70">
        <f>'RESUMEN TOTAL'!AR330</f>
        <v>0</v>
      </c>
      <c r="AF253" s="70">
        <f>'RESUMEN TOTAL'!AS330</f>
        <v>0</v>
      </c>
      <c r="AG253" s="70">
        <f>'RESUMEN TOTAL'!AT330</f>
        <v>0</v>
      </c>
      <c r="AH253" s="70">
        <f>'RESUMEN TOTAL'!AU330</f>
        <v>0</v>
      </c>
      <c r="AI253" s="70">
        <f>'RESUMEN TOTAL'!AV330</f>
        <v>0</v>
      </c>
      <c r="AJ253" s="70" t="e">
        <f>'RESUMEN TOTAL'!#REF!</f>
        <v>#REF!</v>
      </c>
    </row>
    <row r="254" spans="1:36" x14ac:dyDescent="0.25">
      <c r="A254" t="str">
        <f>'RESUMEN TOTAL'!F331</f>
        <v>SAN RUDECINDO</v>
      </c>
      <c r="B254" t="str">
        <f>'RESUMEN TOTAL'!G331</f>
        <v>PUNTO SEGURO- SAN RUDECINDO (domo)</v>
      </c>
      <c r="C254" t="str">
        <f>'RESUMEN TOTAL'!I331</f>
        <v>SANTA SOFIA Y ALVAR NUÑEZ</v>
      </c>
      <c r="D254" s="30" t="str">
        <f>'RESUMEN TOTAL'!J331</f>
        <v>DOMO</v>
      </c>
      <c r="E254" s="30" t="str">
        <f>'RESUMEN TOTAL'!K331</f>
        <v>GPON</v>
      </c>
      <c r="F254" s="70" t="str">
        <f>'RESUMEN TOTAL'!S331</f>
        <v>APAGADO</v>
      </c>
      <c r="G254" s="70" t="str">
        <f>'RESUMEN TOTAL'!T331</f>
        <v>APAGADO</v>
      </c>
      <c r="H254" s="70" t="str">
        <f>'RESUMEN TOTAL'!U331</f>
        <v>APAGADO</v>
      </c>
      <c r="I254" s="70">
        <f>'RESUMEN TOTAL'!V331</f>
        <v>0</v>
      </c>
      <c r="J254" s="70">
        <f>'RESUMEN TOTAL'!W331</f>
        <v>0</v>
      </c>
      <c r="K254" s="70" t="str">
        <f>'RESUMEN TOTAL'!X331</f>
        <v>APAGADO</v>
      </c>
      <c r="L254" s="70">
        <f>'RESUMEN TOTAL'!Y331</f>
        <v>0</v>
      </c>
      <c r="M254" s="70">
        <f>'RESUMEN TOTAL'!Z331</f>
        <v>0</v>
      </c>
      <c r="N254" s="70">
        <f>'RESUMEN TOTAL'!AA331</f>
        <v>0</v>
      </c>
      <c r="O254" s="70" t="e">
        <f>'RESUMEN TOTAL'!#REF!</f>
        <v>#REF!</v>
      </c>
      <c r="P254" s="70">
        <f>'RESUMEN TOTAL'!AC331</f>
        <v>0</v>
      </c>
      <c r="Q254" s="70">
        <f>'RESUMEN TOTAL'!AD331</f>
        <v>0</v>
      </c>
      <c r="R254" s="70">
        <f>'RESUMEN TOTAL'!AE331</f>
        <v>0</v>
      </c>
      <c r="S254" s="70">
        <f>'RESUMEN TOTAL'!AF331</f>
        <v>0</v>
      </c>
      <c r="T254" s="70">
        <f>'RESUMEN TOTAL'!AG331</f>
        <v>0</v>
      </c>
      <c r="U254" s="70">
        <f>'RESUMEN TOTAL'!AH331</f>
        <v>0</v>
      </c>
      <c r="V254" s="70">
        <f>'RESUMEN TOTAL'!AI331</f>
        <v>0</v>
      </c>
      <c r="W254" s="70">
        <f>'RESUMEN TOTAL'!AJ331</f>
        <v>0</v>
      </c>
      <c r="X254" s="70">
        <f>'RESUMEN TOTAL'!AK331</f>
        <v>0</v>
      </c>
      <c r="Y254" s="70">
        <f>'RESUMEN TOTAL'!AL331</f>
        <v>0</v>
      </c>
      <c r="Z254" s="70">
        <f>'RESUMEN TOTAL'!AM331</f>
        <v>0</v>
      </c>
      <c r="AA254" s="70">
        <f>'RESUMEN TOTAL'!AN331</f>
        <v>0</v>
      </c>
      <c r="AB254" s="70">
        <f>'RESUMEN TOTAL'!AO331</f>
        <v>0</v>
      </c>
      <c r="AC254" s="70">
        <f>'RESUMEN TOTAL'!AP331</f>
        <v>0</v>
      </c>
      <c r="AD254" s="70">
        <f>'RESUMEN TOTAL'!AQ331</f>
        <v>0</v>
      </c>
      <c r="AE254" s="70">
        <f>'RESUMEN TOTAL'!AR331</f>
        <v>0</v>
      </c>
      <c r="AF254" s="70">
        <f>'RESUMEN TOTAL'!AS331</f>
        <v>0</v>
      </c>
      <c r="AG254" s="70">
        <f>'RESUMEN TOTAL'!AT331</f>
        <v>0</v>
      </c>
      <c r="AH254" s="70">
        <f>'RESUMEN TOTAL'!AU331</f>
        <v>0</v>
      </c>
      <c r="AI254" s="70">
        <f>'RESUMEN TOTAL'!AV331</f>
        <v>0</v>
      </c>
      <c r="AJ254" s="70" t="e">
        <f>'RESUMEN TOTAL'!#REF!</f>
        <v>#REF!</v>
      </c>
    </row>
    <row r="255" spans="1:36" x14ac:dyDescent="0.25">
      <c r="A255" t="str">
        <f>'RESUMEN TOTAL'!F332</f>
        <v>SAN RUDECINDO</v>
      </c>
      <c r="B255" t="str">
        <f>'RESUMEN TOTAL'!G332</f>
        <v>PUNTO SEGURO SAN RUDECINDO INTERCOMUNICADOR</v>
      </c>
      <c r="C255" t="str">
        <f>'RESUMEN TOTAL'!I332</f>
        <v>SABTA SOFIA Y ALVAR NUÃ‘EZ</v>
      </c>
      <c r="D255" s="30" t="str">
        <f>'RESUMEN TOTAL'!J332</f>
        <v>Domo</v>
      </c>
      <c r="E255" s="30" t="str">
        <f>'RESUMEN TOTAL'!K332</f>
        <v>GPON</v>
      </c>
      <c r="F255" s="70" t="str">
        <f>'RESUMEN TOTAL'!S332</f>
        <v>APAGADO</v>
      </c>
      <c r="G255" s="70" t="str">
        <f>'RESUMEN TOTAL'!T332</f>
        <v>APAGADO</v>
      </c>
      <c r="H255" s="70" t="str">
        <f>'RESUMEN TOTAL'!U332</f>
        <v>APAGADO</v>
      </c>
      <c r="I255" s="70">
        <f>'RESUMEN TOTAL'!V332</f>
        <v>0</v>
      </c>
      <c r="J255" s="70">
        <f>'RESUMEN TOTAL'!W332</f>
        <v>0</v>
      </c>
      <c r="K255" s="70" t="str">
        <f>'RESUMEN TOTAL'!X332</f>
        <v>APAGADO</v>
      </c>
      <c r="L255" s="70">
        <f>'RESUMEN TOTAL'!Y332</f>
        <v>0</v>
      </c>
      <c r="M255" s="70">
        <f>'RESUMEN TOTAL'!Z332</f>
        <v>0</v>
      </c>
      <c r="N255" s="70">
        <f>'RESUMEN TOTAL'!AA332</f>
        <v>0</v>
      </c>
      <c r="O255" s="70">
        <f>'RESUMEN TOTAL'!AB331</f>
        <v>0</v>
      </c>
      <c r="P255" s="70">
        <f>'RESUMEN TOTAL'!AC332</f>
        <v>0</v>
      </c>
      <c r="Q255" s="70">
        <f>'RESUMEN TOTAL'!AD332</f>
        <v>0</v>
      </c>
      <c r="R255" s="70">
        <f>'RESUMEN TOTAL'!AE332</f>
        <v>0</v>
      </c>
      <c r="S255" s="70">
        <f>'RESUMEN TOTAL'!AF332</f>
        <v>0</v>
      </c>
      <c r="T255" s="70">
        <f>'RESUMEN TOTAL'!AG332</f>
        <v>0</v>
      </c>
      <c r="U255" s="70">
        <f>'RESUMEN TOTAL'!AH332</f>
        <v>0</v>
      </c>
      <c r="V255" s="70">
        <f>'RESUMEN TOTAL'!AI332</f>
        <v>0</v>
      </c>
      <c r="W255" s="70">
        <f>'RESUMEN TOTAL'!AJ332</f>
        <v>0</v>
      </c>
      <c r="X255" s="70">
        <f>'RESUMEN TOTAL'!AK332</f>
        <v>0</v>
      </c>
      <c r="Y255" s="70">
        <f>'RESUMEN TOTAL'!AL332</f>
        <v>0</v>
      </c>
      <c r="Z255" s="70">
        <f>'RESUMEN TOTAL'!AM332</f>
        <v>0</v>
      </c>
      <c r="AA255" s="70">
        <f>'RESUMEN TOTAL'!AN332</f>
        <v>0</v>
      </c>
      <c r="AB255" s="70">
        <f>'RESUMEN TOTAL'!AO332</f>
        <v>0</v>
      </c>
      <c r="AC255" s="70">
        <f>'RESUMEN TOTAL'!AP332</f>
        <v>0</v>
      </c>
      <c r="AD255" s="70">
        <f>'RESUMEN TOTAL'!AQ332</f>
        <v>0</v>
      </c>
      <c r="AE255" s="70">
        <f>'RESUMEN TOTAL'!AR332</f>
        <v>0</v>
      </c>
      <c r="AF255" s="70">
        <f>'RESUMEN TOTAL'!AS332</f>
        <v>0</v>
      </c>
      <c r="AG255" s="70">
        <f>'RESUMEN TOTAL'!AT332</f>
        <v>0</v>
      </c>
      <c r="AH255" s="70">
        <f>'RESUMEN TOTAL'!AU332</f>
        <v>0</v>
      </c>
      <c r="AI255" s="70">
        <f>'RESUMEN TOTAL'!AV332</f>
        <v>0</v>
      </c>
      <c r="AJ255" s="70" t="e">
        <f>'RESUMEN TOTAL'!#REF!</f>
        <v>#REF!</v>
      </c>
    </row>
    <row r="256" spans="1:36" x14ac:dyDescent="0.25">
      <c r="A256" t="str">
        <f>'RESUMEN TOTAL'!F333</f>
        <v>ZONA RURAL SANTA ROSA</v>
      </c>
      <c r="B256" t="str">
        <f>'RESUMEN TOTAL'!G333</f>
        <v>PUNTO SEGURO SANTA ROSA INTERCOMUNICADOR</v>
      </c>
      <c r="C256" t="str">
        <f>'RESUMEN TOTAL'!I333</f>
        <v>Bruselas y sicilia</v>
      </c>
      <c r="D256" s="30" t="str">
        <f>'RESUMEN TOTAL'!J333</f>
        <v>Fija</v>
      </c>
      <c r="E256" s="30" t="str">
        <f>'RESUMEN TOTAL'!K333</f>
        <v>Fibra Optica</v>
      </c>
      <c r="F256" s="70">
        <f>'RESUMEN TOTAL'!S333</f>
        <v>0</v>
      </c>
      <c r="G256" s="70">
        <f>'RESUMEN TOTAL'!T333</f>
        <v>0</v>
      </c>
      <c r="H256" s="70">
        <f>'RESUMEN TOTAL'!U333</f>
        <v>0</v>
      </c>
      <c r="I256" s="70">
        <f>'RESUMEN TOTAL'!V333</f>
        <v>0</v>
      </c>
      <c r="J256" s="70">
        <f>'RESUMEN TOTAL'!W333</f>
        <v>0</v>
      </c>
      <c r="K256" s="70">
        <f>'RESUMEN TOTAL'!X333</f>
        <v>0</v>
      </c>
      <c r="L256" s="70">
        <f>'RESUMEN TOTAL'!Y333</f>
        <v>0</v>
      </c>
      <c r="M256" s="70">
        <f>'RESUMEN TOTAL'!Z333</f>
        <v>0</v>
      </c>
      <c r="N256" s="70">
        <f>'RESUMEN TOTAL'!AA333</f>
        <v>0</v>
      </c>
      <c r="O256" s="70">
        <f>'RESUMEN TOTAL'!AB333</f>
        <v>0</v>
      </c>
      <c r="P256" s="70">
        <f>'RESUMEN TOTAL'!AC333</f>
        <v>0</v>
      </c>
      <c r="Q256" s="70">
        <f>'RESUMEN TOTAL'!AD333</f>
        <v>0</v>
      </c>
      <c r="R256" s="70">
        <f>'RESUMEN TOTAL'!AE333</f>
        <v>0</v>
      </c>
      <c r="S256" s="70">
        <f>'RESUMEN TOTAL'!AF333</f>
        <v>0</v>
      </c>
      <c r="T256" s="70">
        <f>'RESUMEN TOTAL'!AG333</f>
        <v>0</v>
      </c>
      <c r="U256" s="70">
        <f>'RESUMEN TOTAL'!AH333</f>
        <v>0</v>
      </c>
      <c r="V256" s="70">
        <f>'RESUMEN TOTAL'!AI333</f>
        <v>0</v>
      </c>
      <c r="W256" s="70">
        <f>'RESUMEN TOTAL'!AJ333</f>
        <v>0</v>
      </c>
      <c r="X256" s="70">
        <f>'RESUMEN TOTAL'!AK333</f>
        <v>0</v>
      </c>
      <c r="Y256" s="70">
        <f>'RESUMEN TOTAL'!AL333</f>
        <v>0</v>
      </c>
      <c r="Z256" s="70">
        <f>'RESUMEN TOTAL'!AM333</f>
        <v>0</v>
      </c>
      <c r="AA256" s="70">
        <f>'RESUMEN TOTAL'!AN333</f>
        <v>0</v>
      </c>
      <c r="AB256" s="70">
        <f>'RESUMEN TOTAL'!AO333</f>
        <v>0</v>
      </c>
      <c r="AC256" s="70">
        <f>'RESUMEN TOTAL'!AP333</f>
        <v>0</v>
      </c>
      <c r="AD256" s="70">
        <f>'RESUMEN TOTAL'!AQ333</f>
        <v>0</v>
      </c>
      <c r="AE256" s="70">
        <f>'RESUMEN TOTAL'!AR333</f>
        <v>0</v>
      </c>
      <c r="AF256" s="70">
        <f>'RESUMEN TOTAL'!AS333</f>
        <v>0</v>
      </c>
      <c r="AG256" s="70">
        <f>'RESUMEN TOTAL'!AT333</f>
        <v>0</v>
      </c>
      <c r="AH256" s="70">
        <f>'RESUMEN TOTAL'!AU333</f>
        <v>0</v>
      </c>
      <c r="AI256" s="70">
        <f>'RESUMEN TOTAL'!AV333</f>
        <v>0</v>
      </c>
      <c r="AJ256" s="70" t="e">
        <f>'RESUMEN TOTAL'!#REF!</f>
        <v>#REF!</v>
      </c>
    </row>
    <row r="257" spans="1:36" x14ac:dyDescent="0.25">
      <c r="A257" t="str">
        <f>'RESUMEN TOTAL'!F334</f>
        <v>VILLA ARGENTINA</v>
      </c>
      <c r="B257" t="str">
        <f>'RESUMEN TOTAL'!G334</f>
        <v>PUNTO SEGURO VILLA ARGENTINA domo</v>
      </c>
      <c r="C257" t="str">
        <f>'RESUMEN TOTAL'!I334</f>
        <v>CALLE 513 Y DIAG PORTELA</v>
      </c>
      <c r="D257" s="30" t="str">
        <f>'RESUMEN TOTAL'!J334</f>
        <v>Fija</v>
      </c>
      <c r="E257" s="30" t="str">
        <f>'RESUMEN TOTAL'!K334</f>
        <v>Fibra Optica</v>
      </c>
      <c r="F257" s="70">
        <f>'RESUMEN TOTAL'!S334</f>
        <v>0</v>
      </c>
      <c r="G257" s="70">
        <f>'RESUMEN TOTAL'!T334</f>
        <v>0</v>
      </c>
      <c r="H257" s="70">
        <f>'RESUMEN TOTAL'!U334</f>
        <v>0</v>
      </c>
      <c r="I257" s="70">
        <f>'RESUMEN TOTAL'!V334</f>
        <v>0</v>
      </c>
      <c r="J257" s="70">
        <f>'RESUMEN TOTAL'!W334</f>
        <v>0</v>
      </c>
      <c r="K257" s="70">
        <f>'RESUMEN TOTAL'!X334</f>
        <v>0</v>
      </c>
      <c r="L257" s="70">
        <f>'RESUMEN TOTAL'!Y334</f>
        <v>0</v>
      </c>
      <c r="M257" s="70">
        <f>'RESUMEN TOTAL'!Z334</f>
        <v>0</v>
      </c>
      <c r="N257" s="70">
        <f>'RESUMEN TOTAL'!AA334</f>
        <v>0</v>
      </c>
      <c r="O257" s="70">
        <f>'RESUMEN TOTAL'!AB334</f>
        <v>0</v>
      </c>
      <c r="P257" s="70">
        <f>'RESUMEN TOTAL'!AC334</f>
        <v>0</v>
      </c>
      <c r="Q257" s="70">
        <f>'RESUMEN TOTAL'!AD334</f>
        <v>0</v>
      </c>
      <c r="R257" s="70">
        <f>'RESUMEN TOTAL'!AE334</f>
        <v>0</v>
      </c>
      <c r="S257" s="70">
        <f>'RESUMEN TOTAL'!AF334</f>
        <v>0</v>
      </c>
      <c r="T257" s="70">
        <f>'RESUMEN TOTAL'!AG334</f>
        <v>0</v>
      </c>
      <c r="U257" s="70">
        <f>'RESUMEN TOTAL'!AH334</f>
        <v>0</v>
      </c>
      <c r="V257" s="70">
        <f>'RESUMEN TOTAL'!AI334</f>
        <v>0</v>
      </c>
      <c r="W257" s="70">
        <f>'RESUMEN TOTAL'!AJ334</f>
        <v>0</v>
      </c>
      <c r="X257" s="70">
        <f>'RESUMEN TOTAL'!AK334</f>
        <v>0</v>
      </c>
      <c r="Y257" s="70">
        <f>'RESUMEN TOTAL'!AL334</f>
        <v>0</v>
      </c>
      <c r="Z257" s="70">
        <f>'RESUMEN TOTAL'!AM334</f>
        <v>0</v>
      </c>
      <c r="AA257" s="70">
        <f>'RESUMEN TOTAL'!AN334</f>
        <v>0</v>
      </c>
      <c r="AB257" s="70">
        <f>'RESUMEN TOTAL'!AO334</f>
        <v>0</v>
      </c>
      <c r="AC257" s="70">
        <f>'RESUMEN TOTAL'!AP334</f>
        <v>0</v>
      </c>
      <c r="AD257" s="70">
        <f>'RESUMEN TOTAL'!AQ334</f>
        <v>0</v>
      </c>
      <c r="AE257" s="70">
        <f>'RESUMEN TOTAL'!AR334</f>
        <v>0</v>
      </c>
      <c r="AF257" s="70">
        <f>'RESUMEN TOTAL'!AS334</f>
        <v>0</v>
      </c>
      <c r="AG257" s="70">
        <f>'RESUMEN TOTAL'!AT334</f>
        <v>0</v>
      </c>
      <c r="AH257" s="70">
        <f>'RESUMEN TOTAL'!AU334</f>
        <v>0</v>
      </c>
      <c r="AI257" s="70">
        <f>'RESUMEN TOTAL'!AV334</f>
        <v>0</v>
      </c>
      <c r="AJ257" s="70" t="e">
        <f>'RESUMEN TOTAL'!#REF!</f>
        <v>#REF!</v>
      </c>
    </row>
    <row r="258" spans="1:36" x14ac:dyDescent="0.25">
      <c r="A258" t="str">
        <f>'RESUMEN TOTAL'!F335</f>
        <v>VILLA ARGENTINA</v>
      </c>
      <c r="B258" t="str">
        <f>'RESUMEN TOTAL'!G335</f>
        <v>PUNTO SEGURO VILLA ARGENTINA fija</v>
      </c>
      <c r="C258" t="str">
        <f>'RESUMEN TOTAL'!I335</f>
        <v>CALLE 513 Y DIAG PORTELA</v>
      </c>
      <c r="D258" s="30" t="str">
        <f>'RESUMEN TOTAL'!J335</f>
        <v>Fija</v>
      </c>
      <c r="E258" s="30" t="str">
        <f>'RESUMEN TOTAL'!K335</f>
        <v>Fibra Optica</v>
      </c>
      <c r="F258" s="70">
        <f>'RESUMEN TOTAL'!S335</f>
        <v>0</v>
      </c>
      <c r="G258" s="70" t="str">
        <f>'RESUMEN TOTAL'!T335</f>
        <v>APAGADO</v>
      </c>
      <c r="H258" s="70" t="str">
        <f>'RESUMEN TOTAL'!U335</f>
        <v>APAGADO</v>
      </c>
      <c r="I258" s="70">
        <f>'RESUMEN TOTAL'!V335</f>
        <v>0</v>
      </c>
      <c r="J258" s="70">
        <f>'RESUMEN TOTAL'!W335</f>
        <v>0</v>
      </c>
      <c r="K258" s="70" t="str">
        <f>'RESUMEN TOTAL'!X335</f>
        <v>APAGADO</v>
      </c>
      <c r="L258" s="70">
        <f>'RESUMEN TOTAL'!Y335</f>
        <v>0</v>
      </c>
      <c r="M258" s="70">
        <f>'RESUMEN TOTAL'!Z335</f>
        <v>0</v>
      </c>
      <c r="N258" s="70">
        <f>'RESUMEN TOTAL'!AA335</f>
        <v>0</v>
      </c>
      <c r="O258" s="70">
        <f>'RESUMEN TOTAL'!AB335</f>
        <v>0</v>
      </c>
      <c r="P258" s="70">
        <f>'RESUMEN TOTAL'!AC335</f>
        <v>0</v>
      </c>
      <c r="Q258" s="70">
        <f>'RESUMEN TOTAL'!AD335</f>
        <v>0</v>
      </c>
      <c r="R258" s="70">
        <f>'RESUMEN TOTAL'!AE335</f>
        <v>0</v>
      </c>
      <c r="S258" s="70">
        <f>'RESUMEN TOTAL'!AF335</f>
        <v>0</v>
      </c>
      <c r="T258" s="70">
        <f>'RESUMEN TOTAL'!AG335</f>
        <v>0</v>
      </c>
      <c r="U258" s="70">
        <f>'RESUMEN TOTAL'!AH335</f>
        <v>0</v>
      </c>
      <c r="V258" s="70">
        <f>'RESUMEN TOTAL'!AI335</f>
        <v>0</v>
      </c>
      <c r="W258" s="70">
        <f>'RESUMEN TOTAL'!AJ335</f>
        <v>0</v>
      </c>
      <c r="X258" s="70">
        <f>'RESUMEN TOTAL'!AK335</f>
        <v>0</v>
      </c>
      <c r="Y258" s="70">
        <f>'RESUMEN TOTAL'!AL335</f>
        <v>0</v>
      </c>
      <c r="Z258" s="70">
        <f>'RESUMEN TOTAL'!AM335</f>
        <v>0</v>
      </c>
      <c r="AA258" s="70">
        <f>'RESUMEN TOTAL'!AN335</f>
        <v>0</v>
      </c>
      <c r="AB258" s="70">
        <f>'RESUMEN TOTAL'!AO335</f>
        <v>0</v>
      </c>
      <c r="AC258" s="70">
        <f>'RESUMEN TOTAL'!AP335</f>
        <v>0</v>
      </c>
      <c r="AD258" s="70">
        <f>'RESUMEN TOTAL'!AQ335</f>
        <v>0</v>
      </c>
      <c r="AE258" s="70">
        <f>'RESUMEN TOTAL'!AR335</f>
        <v>0</v>
      </c>
      <c r="AF258" s="70">
        <f>'RESUMEN TOTAL'!AS335</f>
        <v>0</v>
      </c>
      <c r="AG258" s="70">
        <f>'RESUMEN TOTAL'!AT335</f>
        <v>0</v>
      </c>
      <c r="AH258" s="70">
        <f>'RESUMEN TOTAL'!AU335</f>
        <v>0</v>
      </c>
      <c r="AI258" s="70">
        <f>'RESUMEN TOTAL'!AV335</f>
        <v>0</v>
      </c>
      <c r="AJ258" s="70" t="e">
        <f>'RESUMEN TOTAL'!#REF!</f>
        <v>#REF!</v>
      </c>
    </row>
    <row r="259" spans="1:36" x14ac:dyDescent="0.25">
      <c r="A259" t="str">
        <f>'RESUMEN TOTAL'!F336</f>
        <v>VILLA ARGENTINA</v>
      </c>
      <c r="B259" t="str">
        <f>'RESUMEN TOTAL'!G336</f>
        <v>PUNTO SEGURO VILLA ARGENTINA INTERCOMUNICADOR</v>
      </c>
      <c r="C259" t="str">
        <f>'RESUMEN TOTAL'!I336</f>
        <v>CALLE 513 Y DIAG PORTELA</v>
      </c>
      <c r="D259" s="30" t="str">
        <f>'RESUMEN TOTAL'!J336</f>
        <v>Fija</v>
      </c>
      <c r="E259" s="30" t="str">
        <f>'RESUMEN TOTAL'!K336</f>
        <v>Fibra Optica</v>
      </c>
      <c r="F259" s="70">
        <f>'RESUMEN TOTAL'!S336</f>
        <v>0</v>
      </c>
      <c r="G259" s="70">
        <f>'RESUMEN TOTAL'!T336</f>
        <v>0</v>
      </c>
      <c r="H259" s="70">
        <f>'RESUMEN TOTAL'!U336</f>
        <v>0</v>
      </c>
      <c r="I259" s="70">
        <f>'RESUMEN TOTAL'!V336</f>
        <v>0</v>
      </c>
      <c r="J259" s="70">
        <f>'RESUMEN TOTAL'!W336</f>
        <v>0</v>
      </c>
      <c r="K259" s="70">
        <f>'RESUMEN TOTAL'!X336</f>
        <v>0</v>
      </c>
      <c r="L259" s="70">
        <f>'RESUMEN TOTAL'!Y336</f>
        <v>0</v>
      </c>
      <c r="M259" s="70">
        <f>'RESUMEN TOTAL'!Z336</f>
        <v>0</v>
      </c>
      <c r="N259" s="70">
        <f>'RESUMEN TOTAL'!AA336</f>
        <v>0</v>
      </c>
      <c r="O259" s="70">
        <f>'RESUMEN TOTAL'!AB336</f>
        <v>0</v>
      </c>
      <c r="P259" s="70">
        <f>'RESUMEN TOTAL'!AC336</f>
        <v>0</v>
      </c>
      <c r="Q259" s="70">
        <f>'RESUMEN TOTAL'!AD336</f>
        <v>0</v>
      </c>
      <c r="R259" s="70">
        <f>'RESUMEN TOTAL'!AE336</f>
        <v>0</v>
      </c>
      <c r="S259" s="70">
        <f>'RESUMEN TOTAL'!AF336</f>
        <v>0</v>
      </c>
      <c r="T259" s="70">
        <f>'RESUMEN TOTAL'!AG336</f>
        <v>0</v>
      </c>
      <c r="U259" s="70">
        <f>'RESUMEN TOTAL'!AH336</f>
        <v>0</v>
      </c>
      <c r="V259" s="70">
        <f>'RESUMEN TOTAL'!AI336</f>
        <v>0</v>
      </c>
      <c r="W259" s="70">
        <f>'RESUMEN TOTAL'!AJ336</f>
        <v>0</v>
      </c>
      <c r="X259" s="70">
        <f>'RESUMEN TOTAL'!AK336</f>
        <v>0</v>
      </c>
      <c r="Y259" s="70">
        <f>'RESUMEN TOTAL'!AL336</f>
        <v>0</v>
      </c>
      <c r="Z259" s="70">
        <f>'RESUMEN TOTAL'!AM336</f>
        <v>0</v>
      </c>
      <c r="AA259" s="70">
        <f>'RESUMEN TOTAL'!AN336</f>
        <v>0</v>
      </c>
      <c r="AB259" s="70">
        <f>'RESUMEN TOTAL'!AO336</f>
        <v>0</v>
      </c>
      <c r="AC259" s="70">
        <f>'RESUMEN TOTAL'!AP336</f>
        <v>0</v>
      </c>
      <c r="AD259" s="70">
        <f>'RESUMEN TOTAL'!AQ336</f>
        <v>0</v>
      </c>
      <c r="AE259" s="70">
        <f>'RESUMEN TOTAL'!AR336</f>
        <v>0</v>
      </c>
      <c r="AF259" s="70">
        <f>'RESUMEN TOTAL'!AS336</f>
        <v>0</v>
      </c>
      <c r="AG259" s="70">
        <f>'RESUMEN TOTAL'!AT336</f>
        <v>0</v>
      </c>
      <c r="AH259" s="70">
        <f>'RESUMEN TOTAL'!AU336</f>
        <v>0</v>
      </c>
      <c r="AI259" s="70">
        <f>'RESUMEN TOTAL'!AV336</f>
        <v>0</v>
      </c>
      <c r="AJ259" s="70" t="e">
        <f>'RESUMEN TOTAL'!#REF!</f>
        <v>#REF!</v>
      </c>
    </row>
    <row r="260" spans="1:36" x14ac:dyDescent="0.25">
      <c r="A260" t="str">
        <f>'RESUMEN TOTAL'!F337</f>
        <v>EL ROCIO</v>
      </c>
      <c r="B260" t="str">
        <f>'RESUMEN TOTAL'!G337</f>
        <v>RCO 01</v>
      </c>
      <c r="C260" t="str">
        <f>'RESUMEN TOTAL'!I337</f>
        <v>AV. LUJAN Y LOBOS</v>
      </c>
      <c r="D260" s="30" t="str">
        <f>'RESUMEN TOTAL'!J337</f>
        <v>DOMO</v>
      </c>
      <c r="E260" s="30" t="str">
        <f>'RESUMEN TOTAL'!K337</f>
        <v>Fibra Optica</v>
      </c>
      <c r="F260" s="70">
        <f>'RESUMEN TOTAL'!S337</f>
        <v>0</v>
      </c>
      <c r="G260" s="70">
        <f>'RESUMEN TOTAL'!T337</f>
        <v>0</v>
      </c>
      <c r="H260" s="70" t="str">
        <f>'RESUMEN TOTAL'!U337</f>
        <v>APAGADO</v>
      </c>
      <c r="I260" s="70">
        <f>'RESUMEN TOTAL'!V337</f>
        <v>0</v>
      </c>
      <c r="J260" s="70">
        <f>'RESUMEN TOTAL'!W337</f>
        <v>0</v>
      </c>
      <c r="K260" s="70">
        <f>'RESUMEN TOTAL'!X337</f>
        <v>0</v>
      </c>
      <c r="L260" s="70">
        <f>'RESUMEN TOTAL'!Y337</f>
        <v>0</v>
      </c>
      <c r="M260" s="70">
        <f>'RESUMEN TOTAL'!Z337</f>
        <v>0</v>
      </c>
      <c r="N260" s="70">
        <f>'RESUMEN TOTAL'!AA337</f>
        <v>0</v>
      </c>
      <c r="O260" s="70">
        <f>'RESUMEN TOTAL'!AB337</f>
        <v>0</v>
      </c>
      <c r="P260" s="70">
        <f>'RESUMEN TOTAL'!AC337</f>
        <v>0</v>
      </c>
      <c r="Q260" s="70">
        <f>'RESUMEN TOTAL'!AD337</f>
        <v>0</v>
      </c>
      <c r="R260" s="70">
        <f>'RESUMEN TOTAL'!AE337</f>
        <v>0</v>
      </c>
      <c r="S260" s="70">
        <f>'RESUMEN TOTAL'!AF337</f>
        <v>0</v>
      </c>
      <c r="T260" s="70">
        <f>'RESUMEN TOTAL'!AG337</f>
        <v>0</v>
      </c>
      <c r="U260" s="70">
        <f>'RESUMEN TOTAL'!AH337</f>
        <v>0</v>
      </c>
      <c r="V260" s="70">
        <f>'RESUMEN TOTAL'!AI337</f>
        <v>0</v>
      </c>
      <c r="W260" s="70">
        <f>'RESUMEN TOTAL'!AJ337</f>
        <v>0</v>
      </c>
      <c r="X260" s="70">
        <f>'RESUMEN TOTAL'!AK337</f>
        <v>0</v>
      </c>
      <c r="Y260" s="70">
        <f>'RESUMEN TOTAL'!AL337</f>
        <v>0</v>
      </c>
      <c r="Z260" s="70">
        <f>'RESUMEN TOTAL'!AM337</f>
        <v>0</v>
      </c>
      <c r="AA260" s="70">
        <f>'RESUMEN TOTAL'!AN337</f>
        <v>0</v>
      </c>
      <c r="AB260" s="70">
        <f>'RESUMEN TOTAL'!AO337</f>
        <v>0</v>
      </c>
      <c r="AC260" s="70">
        <f>'RESUMEN TOTAL'!AP337</f>
        <v>0</v>
      </c>
      <c r="AD260" s="70">
        <f>'RESUMEN TOTAL'!AQ337</f>
        <v>0</v>
      </c>
      <c r="AE260" s="70">
        <f>'RESUMEN TOTAL'!AR337</f>
        <v>0</v>
      </c>
      <c r="AF260" s="70">
        <f>'RESUMEN TOTAL'!AS337</f>
        <v>0</v>
      </c>
      <c r="AG260" s="70">
        <f>'RESUMEN TOTAL'!AT337</f>
        <v>0</v>
      </c>
      <c r="AH260" s="70">
        <f>'RESUMEN TOTAL'!AU337</f>
        <v>0</v>
      </c>
      <c r="AI260" s="70">
        <f>'RESUMEN TOTAL'!AV337</f>
        <v>0</v>
      </c>
      <c r="AJ260" s="70" t="e">
        <f>'RESUMEN TOTAL'!#REF!</f>
        <v>#REF!</v>
      </c>
    </row>
    <row r="261" spans="1:36" x14ac:dyDescent="0.25">
      <c r="A261" t="str">
        <f>'RESUMEN TOTAL'!F338</f>
        <v>EL ROCIO</v>
      </c>
      <c r="B261" t="str">
        <f>'RESUMEN TOTAL'!G338</f>
        <v>RCO02</v>
      </c>
      <c r="C261" t="str">
        <f>'RESUMEN TOTAL'!I338</f>
        <v>AV. LUJAN Y BRANDSEN</v>
      </c>
      <c r="D261" s="30" t="str">
        <f>'RESUMEN TOTAL'!J338</f>
        <v>DOMO</v>
      </c>
      <c r="E261" s="30" t="str">
        <f>'RESUMEN TOTAL'!K338</f>
        <v>Fibra Optica</v>
      </c>
      <c r="F261" s="70">
        <f>'RESUMEN TOTAL'!S338</f>
        <v>0</v>
      </c>
      <c r="G261" s="70">
        <f>'RESUMEN TOTAL'!T338</f>
        <v>0</v>
      </c>
      <c r="H261" s="70" t="str">
        <f>'RESUMEN TOTAL'!U338</f>
        <v>APAGADO</v>
      </c>
      <c r="I261" s="70">
        <f>'RESUMEN TOTAL'!V338</f>
        <v>0</v>
      </c>
      <c r="J261" s="70">
        <f>'RESUMEN TOTAL'!W338</f>
        <v>0</v>
      </c>
      <c r="K261" s="70">
        <f>'RESUMEN TOTAL'!X338</f>
        <v>0</v>
      </c>
      <c r="L261" s="70">
        <f>'RESUMEN TOTAL'!Y338</f>
        <v>0</v>
      </c>
      <c r="M261" s="70">
        <f>'RESUMEN TOTAL'!Z338</f>
        <v>0</v>
      </c>
      <c r="N261" s="70">
        <f>'RESUMEN TOTAL'!AA338</f>
        <v>0</v>
      </c>
      <c r="O261" s="70">
        <f>'RESUMEN TOTAL'!AB338</f>
        <v>0</v>
      </c>
      <c r="P261" s="70">
        <f>'RESUMEN TOTAL'!AC338</f>
        <v>0</v>
      </c>
      <c r="Q261" s="70">
        <f>'RESUMEN TOTAL'!AD338</f>
        <v>0</v>
      </c>
      <c r="R261" s="70">
        <f>'RESUMEN TOTAL'!AE338</f>
        <v>0</v>
      </c>
      <c r="S261" s="70">
        <f>'RESUMEN TOTAL'!AF338</f>
        <v>0</v>
      </c>
      <c r="T261" s="70">
        <f>'RESUMEN TOTAL'!AG338</f>
        <v>0</v>
      </c>
      <c r="U261" s="70">
        <f>'RESUMEN TOTAL'!AH338</f>
        <v>0</v>
      </c>
      <c r="V261" s="70">
        <f>'RESUMEN TOTAL'!AI338</f>
        <v>0</v>
      </c>
      <c r="W261" s="70">
        <f>'RESUMEN TOTAL'!AJ338</f>
        <v>0</v>
      </c>
      <c r="X261" s="70">
        <f>'RESUMEN TOTAL'!AK338</f>
        <v>0</v>
      </c>
      <c r="Y261" s="70">
        <f>'RESUMEN TOTAL'!AL338</f>
        <v>0</v>
      </c>
      <c r="Z261" s="70">
        <f>'RESUMEN TOTAL'!AM338</f>
        <v>0</v>
      </c>
      <c r="AA261" s="70">
        <f>'RESUMEN TOTAL'!AN338</f>
        <v>0</v>
      </c>
      <c r="AB261" s="70">
        <f>'RESUMEN TOTAL'!AO338</f>
        <v>0</v>
      </c>
      <c r="AC261" s="70">
        <f>'RESUMEN TOTAL'!AP338</f>
        <v>0</v>
      </c>
      <c r="AD261" s="70">
        <f>'RESUMEN TOTAL'!AQ338</f>
        <v>0</v>
      </c>
      <c r="AE261" s="70">
        <f>'RESUMEN TOTAL'!AR338</f>
        <v>0</v>
      </c>
      <c r="AF261" s="70">
        <f>'RESUMEN TOTAL'!AS338</f>
        <v>0</v>
      </c>
      <c r="AG261" s="70">
        <f>'RESUMEN TOTAL'!AT338</f>
        <v>0</v>
      </c>
      <c r="AH261" s="70">
        <f>'RESUMEN TOTAL'!AU338</f>
        <v>0</v>
      </c>
      <c r="AI261" s="70">
        <f>'RESUMEN TOTAL'!AV338</f>
        <v>0</v>
      </c>
      <c r="AJ261" s="70" t="e">
        <f>'RESUMEN TOTAL'!#REF!</f>
        <v>#REF!</v>
      </c>
    </row>
    <row r="262" spans="1:36" x14ac:dyDescent="0.25">
      <c r="A262" t="str">
        <f>'RESUMEN TOTAL'!F339</f>
        <v>EL ROCIO</v>
      </c>
      <c r="B262" t="str">
        <f>'RESUMEN TOTAL'!G339</f>
        <v>RCO03 (fija 1)</v>
      </c>
      <c r="C262" t="str">
        <f>'RESUMEN TOTAL'!I339</f>
        <v>OLAVARRIA Y CONCORDIA</v>
      </c>
      <c r="D262" s="30" t="str">
        <f>'RESUMEN TOTAL'!J339</f>
        <v>Fija</v>
      </c>
      <c r="E262" s="30" t="str">
        <f>'RESUMEN TOTAL'!K339</f>
        <v>Fibra Optica</v>
      </c>
      <c r="F262" s="70">
        <f>'RESUMEN TOTAL'!S339</f>
        <v>0</v>
      </c>
      <c r="G262" s="70">
        <f>'RESUMEN TOTAL'!T339</f>
        <v>0</v>
      </c>
      <c r="H262" s="70" t="str">
        <f>'RESUMEN TOTAL'!U339</f>
        <v>APAGADO</v>
      </c>
      <c r="I262" s="70">
        <f>'RESUMEN TOTAL'!V339</f>
        <v>0</v>
      </c>
      <c r="J262" s="70">
        <f>'RESUMEN TOTAL'!W339</f>
        <v>0</v>
      </c>
      <c r="K262" s="70">
        <f>'RESUMEN TOTAL'!X339</f>
        <v>0</v>
      </c>
      <c r="L262" s="70">
        <f>'RESUMEN TOTAL'!Y339</f>
        <v>0</v>
      </c>
      <c r="M262" s="70">
        <f>'RESUMEN TOTAL'!Z339</f>
        <v>0</v>
      </c>
      <c r="N262" s="70">
        <f>'RESUMEN TOTAL'!AA339</f>
        <v>0</v>
      </c>
      <c r="O262" s="70">
        <f>'RESUMEN TOTAL'!AB339</f>
        <v>0</v>
      </c>
      <c r="P262" s="70">
        <f>'RESUMEN TOTAL'!AC339</f>
        <v>0</v>
      </c>
      <c r="Q262" s="70">
        <f>'RESUMEN TOTAL'!AD339</f>
        <v>0</v>
      </c>
      <c r="R262" s="70">
        <f>'RESUMEN TOTAL'!AE339</f>
        <v>0</v>
      </c>
      <c r="S262" s="70">
        <f>'RESUMEN TOTAL'!AF339</f>
        <v>0</v>
      </c>
      <c r="T262" s="70">
        <f>'RESUMEN TOTAL'!AG339</f>
        <v>0</v>
      </c>
      <c r="U262" s="70">
        <f>'RESUMEN TOTAL'!AH339</f>
        <v>0</v>
      </c>
      <c r="V262" s="70">
        <f>'RESUMEN TOTAL'!AI339</f>
        <v>0</v>
      </c>
      <c r="W262" s="70">
        <f>'RESUMEN TOTAL'!AJ339</f>
        <v>0</v>
      </c>
      <c r="X262" s="70">
        <f>'RESUMEN TOTAL'!AK339</f>
        <v>0</v>
      </c>
      <c r="Y262" s="70">
        <f>'RESUMEN TOTAL'!AL339</f>
        <v>0</v>
      </c>
      <c r="Z262" s="70">
        <f>'RESUMEN TOTAL'!AM339</f>
        <v>0</v>
      </c>
      <c r="AA262" s="70">
        <f>'RESUMEN TOTAL'!AN339</f>
        <v>0</v>
      </c>
      <c r="AB262" s="70">
        <f>'RESUMEN TOTAL'!AO339</f>
        <v>0</v>
      </c>
      <c r="AC262" s="70">
        <f>'RESUMEN TOTAL'!AP339</f>
        <v>0</v>
      </c>
      <c r="AD262" s="70">
        <f>'RESUMEN TOTAL'!AQ339</f>
        <v>0</v>
      </c>
      <c r="AE262" s="70">
        <f>'RESUMEN TOTAL'!AR339</f>
        <v>0</v>
      </c>
      <c r="AF262" s="70">
        <f>'RESUMEN TOTAL'!AS339</f>
        <v>0</v>
      </c>
      <c r="AG262" s="70">
        <f>'RESUMEN TOTAL'!AT339</f>
        <v>0</v>
      </c>
      <c r="AH262" s="70">
        <f>'RESUMEN TOTAL'!AU339</f>
        <v>0</v>
      </c>
      <c r="AI262" s="70">
        <f>'RESUMEN TOTAL'!AV339</f>
        <v>0</v>
      </c>
      <c r="AJ262" s="70" t="e">
        <f>'RESUMEN TOTAL'!#REF!</f>
        <v>#REF!</v>
      </c>
    </row>
    <row r="263" spans="1:36" x14ac:dyDescent="0.25">
      <c r="A263" t="str">
        <f>'RESUMEN TOTAL'!F340</f>
        <v>EL ROCIO</v>
      </c>
      <c r="B263" t="str">
        <f>'RESUMEN TOTAL'!G340</f>
        <v>RCO04 (fija 2)</v>
      </c>
      <c r="C263" t="str">
        <f>'RESUMEN TOTAL'!I340</f>
        <v>OLAVARRIA Y CONCORDIA</v>
      </c>
      <c r="D263" s="30" t="str">
        <f>'RESUMEN TOTAL'!J340</f>
        <v>Fija</v>
      </c>
      <c r="E263" s="30" t="str">
        <f>'RESUMEN TOTAL'!K340</f>
        <v>Fibra Optica</v>
      </c>
      <c r="F263" s="70">
        <f>'RESUMEN TOTAL'!S340</f>
        <v>0</v>
      </c>
      <c r="G263" s="70">
        <f>'RESUMEN TOTAL'!T340</f>
        <v>0</v>
      </c>
      <c r="H263" s="70" t="str">
        <f>'RESUMEN TOTAL'!U340</f>
        <v>APAGADO</v>
      </c>
      <c r="I263" s="70">
        <f>'RESUMEN TOTAL'!V340</f>
        <v>0</v>
      </c>
      <c r="J263" s="70">
        <f>'RESUMEN TOTAL'!W340</f>
        <v>0</v>
      </c>
      <c r="K263" s="70">
        <f>'RESUMEN TOTAL'!X340</f>
        <v>0</v>
      </c>
      <c r="L263" s="70">
        <f>'RESUMEN TOTAL'!Y340</f>
        <v>0</v>
      </c>
      <c r="M263" s="70">
        <f>'RESUMEN TOTAL'!Z340</f>
        <v>0</v>
      </c>
      <c r="N263" s="70">
        <f>'RESUMEN TOTAL'!AA340</f>
        <v>0</v>
      </c>
      <c r="O263" s="70">
        <f>'RESUMEN TOTAL'!AB340</f>
        <v>0</v>
      </c>
      <c r="P263" s="70">
        <f>'RESUMEN TOTAL'!AC340</f>
        <v>0</v>
      </c>
      <c r="Q263" s="70">
        <f>'RESUMEN TOTAL'!AD340</f>
        <v>0</v>
      </c>
      <c r="R263" s="70">
        <f>'RESUMEN TOTAL'!AE340</f>
        <v>0</v>
      </c>
      <c r="S263" s="70">
        <f>'RESUMEN TOTAL'!AF340</f>
        <v>0</v>
      </c>
      <c r="T263" s="70">
        <f>'RESUMEN TOTAL'!AG340</f>
        <v>0</v>
      </c>
      <c r="U263" s="70">
        <f>'RESUMEN TOTAL'!AH340</f>
        <v>0</v>
      </c>
      <c r="V263" s="70">
        <f>'RESUMEN TOTAL'!AI340</f>
        <v>0</v>
      </c>
      <c r="W263" s="70">
        <f>'RESUMEN TOTAL'!AJ340</f>
        <v>0</v>
      </c>
      <c r="X263" s="70">
        <f>'RESUMEN TOTAL'!AK340</f>
        <v>0</v>
      </c>
      <c r="Y263" s="70">
        <f>'RESUMEN TOTAL'!AL340</f>
        <v>0</v>
      </c>
      <c r="Z263" s="70">
        <f>'RESUMEN TOTAL'!AM340</f>
        <v>0</v>
      </c>
      <c r="AA263" s="70">
        <f>'RESUMEN TOTAL'!AN340</f>
        <v>0</v>
      </c>
      <c r="AB263" s="70">
        <f>'RESUMEN TOTAL'!AO340</f>
        <v>0</v>
      </c>
      <c r="AC263" s="70">
        <f>'RESUMEN TOTAL'!AP340</f>
        <v>0</v>
      </c>
      <c r="AD263" s="70">
        <f>'RESUMEN TOTAL'!AQ340</f>
        <v>0</v>
      </c>
      <c r="AE263" s="70">
        <f>'RESUMEN TOTAL'!AR340</f>
        <v>0</v>
      </c>
      <c r="AF263" s="70">
        <f>'RESUMEN TOTAL'!AS340</f>
        <v>0</v>
      </c>
      <c r="AG263" s="70">
        <f>'RESUMEN TOTAL'!AT340</f>
        <v>0</v>
      </c>
      <c r="AH263" s="70">
        <f>'RESUMEN TOTAL'!AU340</f>
        <v>0</v>
      </c>
      <c r="AI263" s="70">
        <f>'RESUMEN TOTAL'!AV340</f>
        <v>0</v>
      </c>
      <c r="AJ263" s="70" t="e">
        <f>'RESUMEN TOTAL'!#REF!</f>
        <v>#REF!</v>
      </c>
    </row>
    <row r="264" spans="1:36" x14ac:dyDescent="0.25">
      <c r="A264" t="str">
        <f>'RESUMEN TOTAL'!F341</f>
        <v>EL ROCIO</v>
      </c>
      <c r="B264" t="str">
        <f>'RESUMEN TOTAL'!G341</f>
        <v>RCO05 (fija 1)</v>
      </c>
      <c r="C264" t="str">
        <f>'RESUMEN TOTAL'!I341</f>
        <v>LOBOS Y CHASCOMUS</v>
      </c>
      <c r="D264" s="30" t="str">
        <f>'RESUMEN TOTAL'!J341</f>
        <v>Fija</v>
      </c>
      <c r="E264" s="30" t="str">
        <f>'RESUMEN TOTAL'!K341</f>
        <v>Fibra Optica</v>
      </c>
      <c r="F264" s="70">
        <f>'RESUMEN TOTAL'!S341</f>
        <v>0</v>
      </c>
      <c r="G264" s="70">
        <f>'RESUMEN TOTAL'!T341</f>
        <v>0</v>
      </c>
      <c r="H264" s="70" t="str">
        <f>'RESUMEN TOTAL'!U341</f>
        <v>APAGADO</v>
      </c>
      <c r="I264" s="70">
        <f>'RESUMEN TOTAL'!V341</f>
        <v>0</v>
      </c>
      <c r="J264" s="70">
        <f>'RESUMEN TOTAL'!W341</f>
        <v>0</v>
      </c>
      <c r="K264" s="70">
        <f>'RESUMEN TOTAL'!X341</f>
        <v>0</v>
      </c>
      <c r="L264" s="70">
        <f>'RESUMEN TOTAL'!Y341</f>
        <v>0</v>
      </c>
      <c r="M264" s="70">
        <f>'RESUMEN TOTAL'!Z341</f>
        <v>0</v>
      </c>
      <c r="N264" s="70">
        <f>'RESUMEN TOTAL'!AA341</f>
        <v>0</v>
      </c>
      <c r="O264" s="70">
        <f>'RESUMEN TOTAL'!AB341</f>
        <v>0</v>
      </c>
      <c r="P264" s="70">
        <f>'RESUMEN TOTAL'!AC341</f>
        <v>0</v>
      </c>
      <c r="Q264" s="70">
        <f>'RESUMEN TOTAL'!AD341</f>
        <v>0</v>
      </c>
      <c r="R264" s="70">
        <f>'RESUMEN TOTAL'!AE341</f>
        <v>0</v>
      </c>
      <c r="S264" s="70">
        <f>'RESUMEN TOTAL'!AF341</f>
        <v>0</v>
      </c>
      <c r="T264" s="70">
        <f>'RESUMEN TOTAL'!AG341</f>
        <v>0</v>
      </c>
      <c r="U264" s="70">
        <f>'RESUMEN TOTAL'!AH341</f>
        <v>0</v>
      </c>
      <c r="V264" s="70">
        <f>'RESUMEN TOTAL'!AI341</f>
        <v>0</v>
      </c>
      <c r="W264" s="70">
        <f>'RESUMEN TOTAL'!AJ341</f>
        <v>0</v>
      </c>
      <c r="X264" s="70">
        <f>'RESUMEN TOTAL'!AK341</f>
        <v>0</v>
      </c>
      <c r="Y264" s="70">
        <f>'RESUMEN TOTAL'!AL341</f>
        <v>0</v>
      </c>
      <c r="Z264" s="70">
        <f>'RESUMEN TOTAL'!AM341</f>
        <v>0</v>
      </c>
      <c r="AA264" s="70">
        <f>'RESUMEN TOTAL'!AN341</f>
        <v>0</v>
      </c>
      <c r="AB264" s="70">
        <f>'RESUMEN TOTAL'!AO341</f>
        <v>0</v>
      </c>
      <c r="AC264" s="70">
        <f>'RESUMEN TOTAL'!AP341</f>
        <v>0</v>
      </c>
      <c r="AD264" s="70">
        <f>'RESUMEN TOTAL'!AQ341</f>
        <v>0</v>
      </c>
      <c r="AE264" s="70">
        <f>'RESUMEN TOTAL'!AR341</f>
        <v>0</v>
      </c>
      <c r="AF264" s="70">
        <f>'RESUMEN TOTAL'!AS341</f>
        <v>0</v>
      </c>
      <c r="AG264" s="70">
        <f>'RESUMEN TOTAL'!AT341</f>
        <v>0</v>
      </c>
      <c r="AH264" s="70">
        <f>'RESUMEN TOTAL'!AU341</f>
        <v>0</v>
      </c>
      <c r="AI264" s="70">
        <f>'RESUMEN TOTAL'!AV341</f>
        <v>0</v>
      </c>
      <c r="AJ264" s="70" t="e">
        <f>'RESUMEN TOTAL'!#REF!</f>
        <v>#REF!</v>
      </c>
    </row>
    <row r="265" spans="1:36" x14ac:dyDescent="0.25">
      <c r="A265" t="str">
        <f>'RESUMEN TOTAL'!F345</f>
        <v>EL ROCIO</v>
      </c>
      <c r="B265" t="str">
        <f>'RESUMEN TOTAL'!G342</f>
        <v>RCO06 (fija 2)</v>
      </c>
      <c r="C265" t="str">
        <f>'RESUMEN TOTAL'!I342</f>
        <v>LOBOS Y CHASCOMUS</v>
      </c>
      <c r="D265" s="30" t="str">
        <f>'RESUMEN TOTAL'!J342</f>
        <v>FIJA</v>
      </c>
      <c r="E265" s="30" t="str">
        <f>'RESUMEN TOTAL'!K342</f>
        <v>Fibra Optica</v>
      </c>
      <c r="F265" s="70">
        <f>'RESUMEN TOTAL'!S342</f>
        <v>0</v>
      </c>
      <c r="G265" s="70">
        <f>'RESUMEN TOTAL'!T342</f>
        <v>0</v>
      </c>
      <c r="H265" s="70" t="str">
        <f>'RESUMEN TOTAL'!U342</f>
        <v>APAGADO</v>
      </c>
      <c r="I265" s="70">
        <f>'RESUMEN TOTAL'!V342</f>
        <v>0</v>
      </c>
      <c r="J265" s="70">
        <f>'RESUMEN TOTAL'!W342</f>
        <v>0</v>
      </c>
      <c r="K265" s="70">
        <f>'RESUMEN TOTAL'!X342</f>
        <v>0</v>
      </c>
      <c r="L265" s="70">
        <f>'RESUMEN TOTAL'!Y342</f>
        <v>0</v>
      </c>
      <c r="M265" s="70">
        <f>'RESUMEN TOTAL'!Z342</f>
        <v>0</v>
      </c>
      <c r="N265" s="70">
        <f>'RESUMEN TOTAL'!AA342</f>
        <v>0</v>
      </c>
      <c r="O265" s="70">
        <f>'RESUMEN TOTAL'!AB342</f>
        <v>0</v>
      </c>
      <c r="P265" s="70">
        <f>'RESUMEN TOTAL'!AC342</f>
        <v>0</v>
      </c>
      <c r="Q265" s="70">
        <f>'RESUMEN TOTAL'!AD342</f>
        <v>0</v>
      </c>
      <c r="R265" s="70">
        <f>'RESUMEN TOTAL'!AE342</f>
        <v>0</v>
      </c>
      <c r="S265" s="70">
        <f>'RESUMEN TOTAL'!AF342</f>
        <v>0</v>
      </c>
      <c r="T265" s="70">
        <f>'RESUMEN TOTAL'!AG342</f>
        <v>0</v>
      </c>
      <c r="U265" s="70">
        <f>'RESUMEN TOTAL'!AH342</f>
        <v>0</v>
      </c>
      <c r="V265" s="70">
        <f>'RESUMEN TOTAL'!AI342</f>
        <v>0</v>
      </c>
      <c r="W265" s="70">
        <f>'RESUMEN TOTAL'!AJ342</f>
        <v>0</v>
      </c>
      <c r="X265" s="70">
        <f>'RESUMEN TOTAL'!AK342</f>
        <v>0</v>
      </c>
      <c r="Y265" s="70">
        <f>'RESUMEN TOTAL'!AL342</f>
        <v>0</v>
      </c>
      <c r="Z265" s="70">
        <f>'RESUMEN TOTAL'!AM342</f>
        <v>0</v>
      </c>
      <c r="AA265" s="70">
        <f>'RESUMEN TOTAL'!AN342</f>
        <v>0</v>
      </c>
      <c r="AB265" s="70">
        <f>'RESUMEN TOTAL'!AO342</f>
        <v>0</v>
      </c>
      <c r="AC265" s="70">
        <f>'RESUMEN TOTAL'!AP342</f>
        <v>0</v>
      </c>
      <c r="AD265" s="70">
        <f>'RESUMEN TOTAL'!AQ342</f>
        <v>0</v>
      </c>
      <c r="AE265" s="70">
        <f>'RESUMEN TOTAL'!AR342</f>
        <v>0</v>
      </c>
      <c r="AF265" s="70">
        <f>'RESUMEN TOTAL'!AS342</f>
        <v>0</v>
      </c>
      <c r="AG265" s="70">
        <f>'RESUMEN TOTAL'!AT342</f>
        <v>0</v>
      </c>
      <c r="AH265" s="70">
        <f>'RESUMEN TOTAL'!AU342</f>
        <v>0</v>
      </c>
      <c r="AI265" s="70">
        <f>'RESUMEN TOTAL'!AV342</f>
        <v>0</v>
      </c>
      <c r="AJ265" s="70" t="e">
        <f>'RESUMEN TOTAL'!#REF!</f>
        <v>#REF!</v>
      </c>
    </row>
    <row r="266" spans="1:36" x14ac:dyDescent="0.25">
      <c r="A266" t="str">
        <f>'RESUMEN TOTAL'!F350</f>
        <v>RICARDO ROJAS</v>
      </c>
      <c r="B266" t="str">
        <f>'RESUMEN TOTAL'!G350</f>
        <v>RRJ 05</v>
      </c>
      <c r="C266" t="str">
        <f>'RESUMEN TOTAL'!I350</f>
        <v>LUJAN Y RUTA 36</v>
      </c>
      <c r="D266" s="30" t="str">
        <f>'RESUMEN TOTAL'!J350</f>
        <v>DOMO</v>
      </c>
      <c r="E266" s="30" t="str">
        <f>'RESUMEN TOTAL'!K350</f>
        <v>Fibra Optica</v>
      </c>
      <c r="F266" s="70">
        <f>'RESUMEN TOTAL'!S350</f>
        <v>0</v>
      </c>
      <c r="G266" s="70">
        <f>'RESUMEN TOTAL'!T350</f>
        <v>0</v>
      </c>
      <c r="H266" s="70" t="str">
        <f>'RESUMEN TOTAL'!U350</f>
        <v>APAGADO</v>
      </c>
      <c r="I266" s="70">
        <f>'RESUMEN TOTAL'!V350</f>
        <v>0</v>
      </c>
      <c r="J266" s="70">
        <f>'RESUMEN TOTAL'!W350</f>
        <v>0</v>
      </c>
      <c r="K266" s="70">
        <f>'RESUMEN TOTAL'!X350</f>
        <v>0</v>
      </c>
      <c r="L266" s="70">
        <f>'RESUMEN TOTAL'!Y350</f>
        <v>0</v>
      </c>
      <c r="M266" s="70">
        <f>'RESUMEN TOTAL'!Z350</f>
        <v>0</v>
      </c>
      <c r="N266" s="70">
        <f>'RESUMEN TOTAL'!AA350</f>
        <v>0</v>
      </c>
      <c r="O266" s="70">
        <f>'RESUMEN TOTAL'!AB350</f>
        <v>0</v>
      </c>
      <c r="P266" s="70">
        <f>'RESUMEN TOTAL'!AC350</f>
        <v>0</v>
      </c>
      <c r="Q266" s="70">
        <f>'RESUMEN TOTAL'!AD350</f>
        <v>0</v>
      </c>
      <c r="R266" s="70">
        <f>'RESUMEN TOTAL'!AE350</f>
        <v>0</v>
      </c>
      <c r="S266" s="70">
        <f>'RESUMEN TOTAL'!AF350</f>
        <v>0</v>
      </c>
      <c r="T266" s="70">
        <f>'RESUMEN TOTAL'!AG350</f>
        <v>0</v>
      </c>
      <c r="U266" s="70">
        <f>'RESUMEN TOTAL'!AH350</f>
        <v>0</v>
      </c>
      <c r="V266" s="70">
        <f>'RESUMEN TOTAL'!AI350</f>
        <v>0</v>
      </c>
      <c r="W266" s="70">
        <f>'RESUMEN TOTAL'!AJ350</f>
        <v>0</v>
      </c>
      <c r="X266" s="70">
        <f>'RESUMEN TOTAL'!AK350</f>
        <v>0</v>
      </c>
      <c r="Y266" s="70">
        <f>'RESUMEN TOTAL'!AL350</f>
        <v>0</v>
      </c>
      <c r="Z266" s="70">
        <f>'RESUMEN TOTAL'!AM350</f>
        <v>0</v>
      </c>
      <c r="AA266" s="70">
        <f>'RESUMEN TOTAL'!AN350</f>
        <v>0</v>
      </c>
      <c r="AB266" s="70">
        <f>'RESUMEN TOTAL'!AO350</f>
        <v>0</v>
      </c>
      <c r="AC266" s="70">
        <f>'RESUMEN TOTAL'!AP350</f>
        <v>0</v>
      </c>
      <c r="AD266" s="70">
        <f>'RESUMEN TOTAL'!AQ350</f>
        <v>0</v>
      </c>
      <c r="AE266" s="70">
        <f>'RESUMEN TOTAL'!AR350</f>
        <v>0</v>
      </c>
      <c r="AF266" s="70">
        <f>'RESUMEN TOTAL'!AS350</f>
        <v>0</v>
      </c>
      <c r="AG266" s="70">
        <f>'RESUMEN TOTAL'!AT350</f>
        <v>0</v>
      </c>
      <c r="AH266" s="70">
        <f>'RESUMEN TOTAL'!AU350</f>
        <v>0</v>
      </c>
      <c r="AI266" s="70">
        <f>'RESUMEN TOTAL'!AV350</f>
        <v>0</v>
      </c>
      <c r="AJ266" s="70" t="e">
        <f>'RESUMEN TOTAL'!#REF!</f>
        <v>#REF!</v>
      </c>
    </row>
    <row r="267" spans="1:36" x14ac:dyDescent="0.25">
      <c r="A267" t="str">
        <f>'RESUMEN TOTAL'!F351</f>
        <v>RICARDO ROJAS</v>
      </c>
      <c r="B267" t="str">
        <f>'RESUMEN TOTAL'!G351</f>
        <v>RRJ 06</v>
      </c>
      <c r="C267" t="str">
        <f>'RESUMEN TOTAL'!I351</f>
        <v>Constancio Vigil y Pablo Groussac</v>
      </c>
      <c r="D267" s="30" t="str">
        <f>'RESUMEN TOTAL'!J351</f>
        <v>Domo</v>
      </c>
      <c r="E267" s="30" t="str">
        <f>'RESUMEN TOTAL'!K351</f>
        <v>Fibra Optica</v>
      </c>
      <c r="F267" s="70">
        <f>'RESUMEN TOTAL'!S351</f>
        <v>0</v>
      </c>
      <c r="G267" s="70">
        <f>'RESUMEN TOTAL'!T351</f>
        <v>0</v>
      </c>
      <c r="H267" s="70" t="str">
        <f>'RESUMEN TOTAL'!U351</f>
        <v>APAGADO</v>
      </c>
      <c r="I267" s="70">
        <f>'RESUMEN TOTAL'!V351</f>
        <v>0</v>
      </c>
      <c r="J267" s="70">
        <f>'RESUMEN TOTAL'!W351</f>
        <v>0</v>
      </c>
      <c r="K267" s="70" t="str">
        <f>'RESUMEN TOTAL'!X351</f>
        <v>APAGADO</v>
      </c>
      <c r="L267" s="70">
        <f>'RESUMEN TOTAL'!Y351</f>
        <v>0</v>
      </c>
      <c r="M267" s="70">
        <f>'RESUMEN TOTAL'!Z351</f>
        <v>0</v>
      </c>
      <c r="N267" s="70">
        <f>'RESUMEN TOTAL'!AA351</f>
        <v>0</v>
      </c>
      <c r="O267" s="70">
        <f>'RESUMEN TOTAL'!AB351</f>
        <v>0</v>
      </c>
      <c r="P267" s="70">
        <f>'RESUMEN TOTAL'!AC351</f>
        <v>0</v>
      </c>
      <c r="Q267" s="70">
        <f>'RESUMEN TOTAL'!AD351</f>
        <v>0</v>
      </c>
      <c r="R267" s="70">
        <f>'RESUMEN TOTAL'!AE351</f>
        <v>0</v>
      </c>
      <c r="S267" s="70">
        <f>'RESUMEN TOTAL'!AF351</f>
        <v>0</v>
      </c>
      <c r="T267" s="70">
        <f>'RESUMEN TOTAL'!AG351</f>
        <v>0</v>
      </c>
      <c r="U267" s="70">
        <f>'RESUMEN TOTAL'!AH351</f>
        <v>0</v>
      </c>
      <c r="V267" s="70">
        <f>'RESUMEN TOTAL'!AI351</f>
        <v>0</v>
      </c>
      <c r="W267" s="70">
        <f>'RESUMEN TOTAL'!AJ351</f>
        <v>0</v>
      </c>
      <c r="X267" s="70">
        <f>'RESUMEN TOTAL'!AK351</f>
        <v>0</v>
      </c>
      <c r="Y267" s="70">
        <f>'RESUMEN TOTAL'!AL351</f>
        <v>0</v>
      </c>
      <c r="Z267" s="70">
        <f>'RESUMEN TOTAL'!AM351</f>
        <v>0</v>
      </c>
      <c r="AA267" s="70">
        <f>'RESUMEN TOTAL'!AN351</f>
        <v>0</v>
      </c>
      <c r="AB267" s="70">
        <f>'RESUMEN TOTAL'!AO351</f>
        <v>0</v>
      </c>
      <c r="AC267" s="70">
        <f>'RESUMEN TOTAL'!AP351</f>
        <v>0</v>
      </c>
      <c r="AD267" s="70">
        <f>'RESUMEN TOTAL'!AQ351</f>
        <v>0</v>
      </c>
      <c r="AE267" s="70">
        <f>'RESUMEN TOTAL'!AR351</f>
        <v>0</v>
      </c>
      <c r="AF267" s="70">
        <f>'RESUMEN TOTAL'!AS351</f>
        <v>0</v>
      </c>
      <c r="AG267" s="70">
        <f>'RESUMEN TOTAL'!AT351</f>
        <v>0</v>
      </c>
      <c r="AH267" s="70">
        <f>'RESUMEN TOTAL'!AU351</f>
        <v>0</v>
      </c>
      <c r="AI267" s="70">
        <f>'RESUMEN TOTAL'!AV351</f>
        <v>0</v>
      </c>
      <c r="AJ267" s="70" t="e">
        <f>'RESUMEN TOTAL'!#REF!</f>
        <v>#REF!</v>
      </c>
    </row>
    <row r="268" spans="1:36" x14ac:dyDescent="0.25">
      <c r="A268" t="str">
        <f>'RESUMEN TOTAL'!F352</f>
        <v>RICARDO ROJAS</v>
      </c>
      <c r="B268" t="str">
        <f>'RESUMEN TOTAL'!G352</f>
        <v>RRJ 07</v>
      </c>
      <c r="C268" t="str">
        <f>'RESUMEN TOTAL'!I352</f>
        <v>Constancio Vigil y Estanislao del Campo</v>
      </c>
      <c r="D268" s="30" t="str">
        <f>'RESUMEN TOTAL'!J352</f>
        <v>Domo</v>
      </c>
      <c r="E268" s="30" t="str">
        <f>'RESUMEN TOTAL'!K352</f>
        <v>Fibra Optica</v>
      </c>
      <c r="F268" s="70">
        <f>'RESUMEN TOTAL'!S352</f>
        <v>0</v>
      </c>
      <c r="G268" s="70">
        <f>'RESUMEN TOTAL'!T352</f>
        <v>0</v>
      </c>
      <c r="H268" s="70" t="str">
        <f>'RESUMEN TOTAL'!U352</f>
        <v>APAGADO</v>
      </c>
      <c r="I268" s="70">
        <f>'RESUMEN TOTAL'!V352</f>
        <v>0</v>
      </c>
      <c r="J268" s="70">
        <f>'RESUMEN TOTAL'!W352</f>
        <v>0</v>
      </c>
      <c r="K268" s="70">
        <f>'RESUMEN TOTAL'!X352</f>
        <v>0</v>
      </c>
      <c r="L268" s="70">
        <f>'RESUMEN TOTAL'!Y352</f>
        <v>0</v>
      </c>
      <c r="M268" s="70">
        <f>'RESUMEN TOTAL'!Z352</f>
        <v>0</v>
      </c>
      <c r="N268" s="70">
        <f>'RESUMEN TOTAL'!AA352</f>
        <v>0</v>
      </c>
      <c r="O268" s="70">
        <f>'RESUMEN TOTAL'!AB352</f>
        <v>0</v>
      </c>
      <c r="P268" s="70">
        <f>'RESUMEN TOTAL'!AC352</f>
        <v>0</v>
      </c>
      <c r="Q268" s="70">
        <f>'RESUMEN TOTAL'!AD352</f>
        <v>0</v>
      </c>
      <c r="R268" s="70">
        <f>'RESUMEN TOTAL'!AE352</f>
        <v>0</v>
      </c>
      <c r="S268" s="70">
        <f>'RESUMEN TOTAL'!AF352</f>
        <v>0</v>
      </c>
      <c r="T268" s="70">
        <f>'RESUMEN TOTAL'!AG352</f>
        <v>0</v>
      </c>
      <c r="U268" s="70">
        <f>'RESUMEN TOTAL'!AH352</f>
        <v>0</v>
      </c>
      <c r="V268" s="70">
        <f>'RESUMEN TOTAL'!AI352</f>
        <v>0</v>
      </c>
      <c r="W268" s="70">
        <f>'RESUMEN TOTAL'!AJ352</f>
        <v>0</v>
      </c>
      <c r="X268" s="70">
        <f>'RESUMEN TOTAL'!AK352</f>
        <v>0</v>
      </c>
      <c r="Y268" s="70">
        <f>'RESUMEN TOTAL'!AL352</f>
        <v>0</v>
      </c>
      <c r="Z268" s="70">
        <f>'RESUMEN TOTAL'!AM352</f>
        <v>0</v>
      </c>
      <c r="AA268" s="70">
        <f>'RESUMEN TOTAL'!AN352</f>
        <v>0</v>
      </c>
      <c r="AB268" s="70">
        <f>'RESUMEN TOTAL'!AO352</f>
        <v>0</v>
      </c>
      <c r="AC268" s="70">
        <f>'RESUMEN TOTAL'!AP352</f>
        <v>0</v>
      </c>
      <c r="AD268" s="70">
        <f>'RESUMEN TOTAL'!AQ352</f>
        <v>0</v>
      </c>
      <c r="AE268" s="70">
        <f>'RESUMEN TOTAL'!AR352</f>
        <v>0</v>
      </c>
      <c r="AF268" s="70">
        <f>'RESUMEN TOTAL'!AS352</f>
        <v>0</v>
      </c>
      <c r="AG268" s="70">
        <f>'RESUMEN TOTAL'!AT352</f>
        <v>0</v>
      </c>
      <c r="AH268" s="70">
        <f>'RESUMEN TOTAL'!AU352</f>
        <v>0</v>
      </c>
      <c r="AI268" s="70">
        <f>'RESUMEN TOTAL'!AV352</f>
        <v>0</v>
      </c>
      <c r="AJ268" s="70" t="e">
        <f>'RESUMEN TOTAL'!#REF!</f>
        <v>#REF!</v>
      </c>
    </row>
    <row r="269" spans="1:36" x14ac:dyDescent="0.25">
      <c r="A269" t="str">
        <f>'RESUMEN TOTAL'!F353</f>
        <v>RICARDO ROJAS</v>
      </c>
      <c r="B269" t="str">
        <f>'RESUMEN TOTAL'!G353</f>
        <v>RRJ 08</v>
      </c>
      <c r="C269" t="str">
        <f>'RESUMEN TOTAL'!I353</f>
        <v>Constancio Vigil y Pablo Podesta</v>
      </c>
      <c r="D269" s="30" t="str">
        <f>'RESUMEN TOTAL'!J353</f>
        <v>Domo</v>
      </c>
      <c r="E269" s="30" t="str">
        <f>'RESUMEN TOTAL'!K353</f>
        <v>Fibra Optica</v>
      </c>
      <c r="F269" s="70">
        <f>'RESUMEN TOTAL'!S353</f>
        <v>0</v>
      </c>
      <c r="G269" s="70">
        <f>'RESUMEN TOTAL'!T353</f>
        <v>0</v>
      </c>
      <c r="H269" s="70" t="str">
        <f>'RESUMEN TOTAL'!U353</f>
        <v>APAGADO</v>
      </c>
      <c r="I269" s="70">
        <f>'RESUMEN TOTAL'!V353</f>
        <v>0</v>
      </c>
      <c r="J269" s="70">
        <f>'RESUMEN TOTAL'!W353</f>
        <v>0</v>
      </c>
      <c r="K269" s="70">
        <f>'RESUMEN TOTAL'!X353</f>
        <v>0</v>
      </c>
      <c r="L269" s="70">
        <f>'RESUMEN TOTAL'!Y353</f>
        <v>0</v>
      </c>
      <c r="M269" s="70">
        <f>'RESUMEN TOTAL'!Z353</f>
        <v>0</v>
      </c>
      <c r="N269" s="70">
        <f>'RESUMEN TOTAL'!AA353</f>
        <v>0</v>
      </c>
      <c r="O269" s="70">
        <f>'RESUMEN TOTAL'!AB353</f>
        <v>0</v>
      </c>
      <c r="P269" s="70">
        <f>'RESUMEN TOTAL'!AC353</f>
        <v>0</v>
      </c>
      <c r="Q269" s="70">
        <f>'RESUMEN TOTAL'!AD353</f>
        <v>0</v>
      </c>
      <c r="R269" s="70">
        <f>'RESUMEN TOTAL'!AE353</f>
        <v>0</v>
      </c>
      <c r="S269" s="70">
        <f>'RESUMEN TOTAL'!AF353</f>
        <v>0</v>
      </c>
      <c r="T269" s="70">
        <f>'RESUMEN TOTAL'!AG353</f>
        <v>0</v>
      </c>
      <c r="U269" s="70">
        <f>'RESUMEN TOTAL'!AH353</f>
        <v>0</v>
      </c>
      <c r="V269" s="70">
        <f>'RESUMEN TOTAL'!AI353</f>
        <v>0</v>
      </c>
      <c r="W269" s="70">
        <f>'RESUMEN TOTAL'!AJ353</f>
        <v>0</v>
      </c>
      <c r="X269" s="70">
        <f>'RESUMEN TOTAL'!AK353</f>
        <v>0</v>
      </c>
      <c r="Y269" s="70">
        <f>'RESUMEN TOTAL'!AL353</f>
        <v>0</v>
      </c>
      <c r="Z269" s="70">
        <f>'RESUMEN TOTAL'!AM353</f>
        <v>0</v>
      </c>
      <c r="AA269" s="70">
        <f>'RESUMEN TOTAL'!AN353</f>
        <v>0</v>
      </c>
      <c r="AB269" s="70">
        <f>'RESUMEN TOTAL'!AO353</f>
        <v>0</v>
      </c>
      <c r="AC269" s="70">
        <f>'RESUMEN TOTAL'!AP353</f>
        <v>0</v>
      </c>
      <c r="AD269" s="70">
        <f>'RESUMEN TOTAL'!AQ353</f>
        <v>0</v>
      </c>
      <c r="AE269" s="70">
        <f>'RESUMEN TOTAL'!AR353</f>
        <v>0</v>
      </c>
      <c r="AF269" s="70">
        <f>'RESUMEN TOTAL'!AS353</f>
        <v>0</v>
      </c>
      <c r="AG269" s="70">
        <f>'RESUMEN TOTAL'!AT353</f>
        <v>0</v>
      </c>
      <c r="AH269" s="70">
        <f>'RESUMEN TOTAL'!AU353</f>
        <v>0</v>
      </c>
      <c r="AI269" s="70">
        <f>'RESUMEN TOTAL'!AV353</f>
        <v>0</v>
      </c>
      <c r="AJ269" s="70" t="e">
        <f>'RESUMEN TOTAL'!#REF!</f>
        <v>#REF!</v>
      </c>
    </row>
    <row r="270" spans="1:36" x14ac:dyDescent="0.25">
      <c r="A270" t="str">
        <f>'RESUMEN TOTAL'!F354</f>
        <v>RICARDO ROJAS</v>
      </c>
      <c r="B270" t="str">
        <f>'RESUMEN TOTAL'!G354</f>
        <v>RRJ 09</v>
      </c>
      <c r="C270" t="str">
        <f>'RESUMEN TOTAL'!I354</f>
        <v>Constancio Vigil y Jose Ingeniero</v>
      </c>
      <c r="D270" s="30" t="str">
        <f>'RESUMEN TOTAL'!J354</f>
        <v>Domo</v>
      </c>
      <c r="E270" s="30" t="str">
        <f>'RESUMEN TOTAL'!K354</f>
        <v>Fibra Optica</v>
      </c>
      <c r="F270" s="70">
        <f>'RESUMEN TOTAL'!S354</f>
        <v>0</v>
      </c>
      <c r="G270" s="70">
        <f>'RESUMEN TOTAL'!T354</f>
        <v>0</v>
      </c>
      <c r="H270" s="70" t="str">
        <f>'RESUMEN TOTAL'!U354</f>
        <v>APAGADO</v>
      </c>
      <c r="I270" s="70">
        <f>'RESUMEN TOTAL'!V354</f>
        <v>0</v>
      </c>
      <c r="J270" s="70">
        <f>'RESUMEN TOTAL'!W354</f>
        <v>0</v>
      </c>
      <c r="K270" s="70" t="str">
        <f>'RESUMEN TOTAL'!X354</f>
        <v>APAGADO</v>
      </c>
      <c r="L270" s="70">
        <f>'RESUMEN TOTAL'!Y354</f>
        <v>0</v>
      </c>
      <c r="M270" s="70">
        <f>'RESUMEN TOTAL'!Z354</f>
        <v>0</v>
      </c>
      <c r="N270" s="70">
        <f>'RESUMEN TOTAL'!AA354</f>
        <v>0</v>
      </c>
      <c r="O270" s="70">
        <f>'RESUMEN TOTAL'!AB354</f>
        <v>0</v>
      </c>
      <c r="P270" s="70">
        <f>'RESUMEN TOTAL'!AC354</f>
        <v>0</v>
      </c>
      <c r="Q270" s="70">
        <f>'RESUMEN TOTAL'!AD354</f>
        <v>0</v>
      </c>
      <c r="R270" s="70">
        <f>'RESUMEN TOTAL'!AE354</f>
        <v>0</v>
      </c>
      <c r="S270" s="70">
        <f>'RESUMEN TOTAL'!AF354</f>
        <v>0</v>
      </c>
      <c r="T270" s="70">
        <f>'RESUMEN TOTAL'!AG354</f>
        <v>0</v>
      </c>
      <c r="U270" s="70">
        <f>'RESUMEN TOTAL'!AH354</f>
        <v>0</v>
      </c>
      <c r="V270" s="70">
        <f>'RESUMEN TOTAL'!AI354</f>
        <v>0</v>
      </c>
      <c r="W270" s="70">
        <f>'RESUMEN TOTAL'!AJ354</f>
        <v>0</v>
      </c>
      <c r="X270" s="70">
        <f>'RESUMEN TOTAL'!AK354</f>
        <v>0</v>
      </c>
      <c r="Y270" s="70">
        <f>'RESUMEN TOTAL'!AL354</f>
        <v>0</v>
      </c>
      <c r="Z270" s="70">
        <f>'RESUMEN TOTAL'!AM354</f>
        <v>0</v>
      </c>
      <c r="AA270" s="70">
        <f>'RESUMEN TOTAL'!AN354</f>
        <v>0</v>
      </c>
      <c r="AB270" s="70">
        <f>'RESUMEN TOTAL'!AO354</f>
        <v>0</v>
      </c>
      <c r="AC270" s="70">
        <f>'RESUMEN TOTAL'!AP354</f>
        <v>0</v>
      </c>
      <c r="AD270" s="70">
        <f>'RESUMEN TOTAL'!AQ354</f>
        <v>0</v>
      </c>
      <c r="AE270" s="70">
        <f>'RESUMEN TOTAL'!AR354</f>
        <v>0</v>
      </c>
      <c r="AF270" s="70">
        <f>'RESUMEN TOTAL'!AS354</f>
        <v>0</v>
      </c>
      <c r="AG270" s="70">
        <f>'RESUMEN TOTAL'!AT354</f>
        <v>0</v>
      </c>
      <c r="AH270" s="70">
        <f>'RESUMEN TOTAL'!AU354</f>
        <v>0</v>
      </c>
      <c r="AI270" s="70">
        <f>'RESUMEN TOTAL'!AV354</f>
        <v>0</v>
      </c>
      <c r="AJ270" s="70" t="e">
        <f>'RESUMEN TOTAL'!#REF!</f>
        <v>#REF!</v>
      </c>
    </row>
    <row r="271" spans="1:36" x14ac:dyDescent="0.25">
      <c r="A271" t="str">
        <f>'RESUMEN TOTAL'!F355</f>
        <v>RICARDO ROJAS</v>
      </c>
      <c r="B271" t="str">
        <f>'RESUMEN TOTAL'!G355</f>
        <v>RRJ 10</v>
      </c>
      <c r="C271" t="str">
        <f>'RESUMEN TOTAL'!I355</f>
        <v>LUGONES Y OBLIGADO</v>
      </c>
      <c r="D271" s="30" t="str">
        <f>'RESUMEN TOTAL'!J355</f>
        <v>Domo</v>
      </c>
      <c r="E271" s="30" t="str">
        <f>'RESUMEN TOTAL'!K355</f>
        <v>Fibra Optica</v>
      </c>
      <c r="F271" s="70">
        <f>'RESUMEN TOTAL'!S355</f>
        <v>0</v>
      </c>
      <c r="G271" s="70">
        <f>'RESUMEN TOTAL'!T355</f>
        <v>0</v>
      </c>
      <c r="H271" s="70" t="str">
        <f>'RESUMEN TOTAL'!U355</f>
        <v>APAGADO</v>
      </c>
      <c r="I271" s="70">
        <f>'RESUMEN TOTAL'!V355</f>
        <v>0</v>
      </c>
      <c r="J271" s="70">
        <f>'RESUMEN TOTAL'!W355</f>
        <v>0</v>
      </c>
      <c r="K271" s="70">
        <f>'RESUMEN TOTAL'!X355</f>
        <v>0</v>
      </c>
      <c r="L271" s="70">
        <f>'RESUMEN TOTAL'!Y355</f>
        <v>0</v>
      </c>
      <c r="M271" s="70">
        <f>'RESUMEN TOTAL'!Z355</f>
        <v>0</v>
      </c>
      <c r="N271" s="70">
        <f>'RESUMEN TOTAL'!AA355</f>
        <v>0</v>
      </c>
      <c r="O271" s="70">
        <f>'RESUMEN TOTAL'!AB355</f>
        <v>0</v>
      </c>
      <c r="P271" s="70">
        <f>'RESUMEN TOTAL'!AC355</f>
        <v>0</v>
      </c>
      <c r="Q271" s="70">
        <f>'RESUMEN TOTAL'!AD355</f>
        <v>0</v>
      </c>
      <c r="R271" s="70">
        <f>'RESUMEN TOTAL'!AE355</f>
        <v>0</v>
      </c>
      <c r="S271" s="70">
        <f>'RESUMEN TOTAL'!AF355</f>
        <v>0</v>
      </c>
      <c r="T271" s="70">
        <f>'RESUMEN TOTAL'!AG355</f>
        <v>0</v>
      </c>
      <c r="U271" s="70">
        <f>'RESUMEN TOTAL'!AH355</f>
        <v>0</v>
      </c>
      <c r="V271" s="70">
        <f>'RESUMEN TOTAL'!AI355</f>
        <v>0</v>
      </c>
      <c r="W271" s="70">
        <f>'RESUMEN TOTAL'!AJ355</f>
        <v>0</v>
      </c>
      <c r="X271" s="70">
        <f>'RESUMEN TOTAL'!AK355</f>
        <v>0</v>
      </c>
      <c r="Y271" s="70">
        <f>'RESUMEN TOTAL'!AL355</f>
        <v>0</v>
      </c>
      <c r="Z271" s="70">
        <f>'RESUMEN TOTAL'!AM355</f>
        <v>0</v>
      </c>
      <c r="AA271" s="70">
        <f>'RESUMEN TOTAL'!AN355</f>
        <v>0</v>
      </c>
      <c r="AB271" s="70">
        <f>'RESUMEN TOTAL'!AO355</f>
        <v>0</v>
      </c>
      <c r="AC271" s="70">
        <f>'RESUMEN TOTAL'!AP355</f>
        <v>0</v>
      </c>
      <c r="AD271" s="70">
        <f>'RESUMEN TOTAL'!AQ355</f>
        <v>0</v>
      </c>
      <c r="AE271" s="70">
        <f>'RESUMEN TOTAL'!AR355</f>
        <v>0</v>
      </c>
      <c r="AF271" s="70">
        <f>'RESUMEN TOTAL'!AS355</f>
        <v>0</v>
      </c>
      <c r="AG271" s="70">
        <f>'RESUMEN TOTAL'!AT355</f>
        <v>0</v>
      </c>
      <c r="AH271" s="70">
        <f>'RESUMEN TOTAL'!AU355</f>
        <v>0</v>
      </c>
      <c r="AI271" s="70">
        <f>'RESUMEN TOTAL'!AV355</f>
        <v>0</v>
      </c>
      <c r="AJ271" s="70" t="e">
        <f>'RESUMEN TOTAL'!#REF!</f>
        <v>#REF!</v>
      </c>
    </row>
    <row r="272" spans="1:36" x14ac:dyDescent="0.25">
      <c r="A272" t="str">
        <f>'RESUMEN TOTAL'!F356</f>
        <v>RICARDO ROJAS</v>
      </c>
      <c r="B272" t="str">
        <f>'RESUMEN TOTAL'!G356</f>
        <v>RRJ 11</v>
      </c>
      <c r="C272" t="str">
        <f>'RESUMEN TOTAL'!I356</f>
        <v>LUGONES Y OBLIGADO</v>
      </c>
      <c r="D272" s="30" t="str">
        <f>'RESUMEN TOTAL'!J356</f>
        <v>Domo</v>
      </c>
      <c r="E272" s="30" t="str">
        <f>'RESUMEN TOTAL'!K356</f>
        <v>Fibra Optica</v>
      </c>
      <c r="F272" s="70">
        <f>'RESUMEN TOTAL'!S356</f>
        <v>0</v>
      </c>
      <c r="G272" s="70">
        <f>'RESUMEN TOTAL'!T356</f>
        <v>0</v>
      </c>
      <c r="H272" s="70" t="str">
        <f>'RESUMEN TOTAL'!U356</f>
        <v>APAGADO</v>
      </c>
      <c r="I272" s="70">
        <f>'RESUMEN TOTAL'!V356</f>
        <v>0</v>
      </c>
      <c r="J272" s="70">
        <f>'RESUMEN TOTAL'!W356</f>
        <v>0</v>
      </c>
      <c r="K272" s="70">
        <f>'RESUMEN TOTAL'!X356</f>
        <v>0</v>
      </c>
      <c r="L272" s="70">
        <f>'RESUMEN TOTAL'!Y356</f>
        <v>0</v>
      </c>
      <c r="M272" s="70">
        <f>'RESUMEN TOTAL'!Z356</f>
        <v>0</v>
      </c>
      <c r="N272" s="70">
        <f>'RESUMEN TOTAL'!AA356</f>
        <v>0</v>
      </c>
      <c r="O272" s="70">
        <f>'RESUMEN TOTAL'!AB356</f>
        <v>0</v>
      </c>
      <c r="P272" s="70">
        <f>'RESUMEN TOTAL'!AC356</f>
        <v>0</v>
      </c>
      <c r="Q272" s="70">
        <f>'RESUMEN TOTAL'!AD356</f>
        <v>0</v>
      </c>
      <c r="R272" s="70">
        <f>'RESUMEN TOTAL'!AE356</f>
        <v>0</v>
      </c>
      <c r="S272" s="70">
        <f>'RESUMEN TOTAL'!AF356</f>
        <v>0</v>
      </c>
      <c r="T272" s="70">
        <f>'RESUMEN TOTAL'!AG356</f>
        <v>0</v>
      </c>
      <c r="U272" s="70">
        <f>'RESUMEN TOTAL'!AH356</f>
        <v>0</v>
      </c>
      <c r="V272" s="70">
        <f>'RESUMEN TOTAL'!AI356</f>
        <v>0</v>
      </c>
      <c r="W272" s="70">
        <f>'RESUMEN TOTAL'!AJ356</f>
        <v>0</v>
      </c>
      <c r="X272" s="70">
        <f>'RESUMEN TOTAL'!AK356</f>
        <v>0</v>
      </c>
      <c r="Y272" s="70">
        <f>'RESUMEN TOTAL'!AL356</f>
        <v>0</v>
      </c>
      <c r="Z272" s="70">
        <f>'RESUMEN TOTAL'!AM356</f>
        <v>0</v>
      </c>
      <c r="AA272" s="70">
        <f>'RESUMEN TOTAL'!AN356</f>
        <v>0</v>
      </c>
      <c r="AB272" s="70">
        <f>'RESUMEN TOTAL'!AO356</f>
        <v>0</v>
      </c>
      <c r="AC272" s="70">
        <f>'RESUMEN TOTAL'!AP356</f>
        <v>0</v>
      </c>
      <c r="AD272" s="70">
        <f>'RESUMEN TOTAL'!AQ356</f>
        <v>0</v>
      </c>
      <c r="AE272" s="70">
        <f>'RESUMEN TOTAL'!AR356</f>
        <v>0</v>
      </c>
      <c r="AF272" s="70">
        <f>'RESUMEN TOTAL'!AS356</f>
        <v>0</v>
      </c>
      <c r="AG272" s="70">
        <f>'RESUMEN TOTAL'!AT356</f>
        <v>0</v>
      </c>
      <c r="AH272" s="70">
        <f>'RESUMEN TOTAL'!AU356</f>
        <v>0</v>
      </c>
      <c r="AI272" s="70">
        <f>'RESUMEN TOTAL'!AV356</f>
        <v>0</v>
      </c>
      <c r="AJ272" s="70" t="e">
        <f>'RESUMEN TOTAL'!#REF!</f>
        <v>#REF!</v>
      </c>
    </row>
    <row r="273" spans="1:36" x14ac:dyDescent="0.25">
      <c r="A273" t="str">
        <f>'RESUMEN TOTAL'!F357</f>
        <v>RICARDO ROJAS</v>
      </c>
      <c r="B273" t="str">
        <f>'RESUMEN TOTAL'!G357</f>
        <v>RRJ 12</v>
      </c>
      <c r="C273" t="str">
        <f>'RESUMEN TOTAL'!I357</f>
        <v>FADER Y DIAGONAL LOS POETAS</v>
      </c>
      <c r="D273" s="30" t="str">
        <f>'RESUMEN TOTAL'!J357</f>
        <v>DOMO</v>
      </c>
      <c r="E273" s="30" t="str">
        <f>'RESUMEN TOTAL'!K357</f>
        <v>Fibra Optica</v>
      </c>
      <c r="F273" s="70">
        <f>'RESUMEN TOTAL'!S357</f>
        <v>0</v>
      </c>
      <c r="G273" s="70">
        <f>'RESUMEN TOTAL'!T357</f>
        <v>0</v>
      </c>
      <c r="H273" s="70" t="str">
        <f>'RESUMEN TOTAL'!U357</f>
        <v>APAGADO</v>
      </c>
      <c r="I273" s="70">
        <f>'RESUMEN TOTAL'!V357</f>
        <v>0</v>
      </c>
      <c r="J273" s="70">
        <f>'RESUMEN TOTAL'!W357</f>
        <v>0</v>
      </c>
      <c r="K273" s="70">
        <f>'RESUMEN TOTAL'!X357</f>
        <v>0</v>
      </c>
      <c r="L273" s="70">
        <f>'RESUMEN TOTAL'!Y357</f>
        <v>0</v>
      </c>
      <c r="M273" s="70">
        <f>'RESUMEN TOTAL'!Z357</f>
        <v>0</v>
      </c>
      <c r="N273" s="70">
        <f>'RESUMEN TOTAL'!AA357</f>
        <v>0</v>
      </c>
      <c r="O273" s="70">
        <f>'RESUMEN TOTAL'!AB357</f>
        <v>0</v>
      </c>
      <c r="P273" s="70">
        <f>'RESUMEN TOTAL'!AC357</f>
        <v>0</v>
      </c>
      <c r="Q273" s="70">
        <f>'RESUMEN TOTAL'!AD357</f>
        <v>0</v>
      </c>
      <c r="R273" s="70">
        <f>'RESUMEN TOTAL'!AE357</f>
        <v>0</v>
      </c>
      <c r="S273" s="70">
        <f>'RESUMEN TOTAL'!AF357</f>
        <v>0</v>
      </c>
      <c r="T273" s="70">
        <f>'RESUMEN TOTAL'!AG357</f>
        <v>0</v>
      </c>
      <c r="U273" s="70">
        <f>'RESUMEN TOTAL'!AH357</f>
        <v>0</v>
      </c>
      <c r="V273" s="70">
        <f>'RESUMEN TOTAL'!AI358</f>
        <v>0</v>
      </c>
      <c r="W273" s="70">
        <f>'RESUMEN TOTAL'!AJ357</f>
        <v>0</v>
      </c>
      <c r="X273" s="70">
        <f>'RESUMEN TOTAL'!AK357</f>
        <v>0</v>
      </c>
      <c r="Y273" s="70">
        <f>'RESUMEN TOTAL'!AL357</f>
        <v>0</v>
      </c>
      <c r="Z273" s="70">
        <f>'RESUMEN TOTAL'!AM357</f>
        <v>0</v>
      </c>
      <c r="AA273" s="70">
        <f>'RESUMEN TOTAL'!AN357</f>
        <v>0</v>
      </c>
      <c r="AB273" s="70">
        <f>'RESUMEN TOTAL'!AO357</f>
        <v>0</v>
      </c>
      <c r="AC273" s="70">
        <f>'RESUMEN TOTAL'!AP357</f>
        <v>0</v>
      </c>
      <c r="AD273" s="70">
        <f>'RESUMEN TOTAL'!AQ357</f>
        <v>0</v>
      </c>
      <c r="AE273" s="70">
        <f>'RESUMEN TOTAL'!AR357</f>
        <v>0</v>
      </c>
      <c r="AF273" s="70">
        <f>'RESUMEN TOTAL'!AS357</f>
        <v>0</v>
      </c>
      <c r="AG273" s="70">
        <f>'RESUMEN TOTAL'!AT357</f>
        <v>0</v>
      </c>
      <c r="AH273" s="70">
        <f>'RESUMEN TOTAL'!AU357</f>
        <v>0</v>
      </c>
      <c r="AI273" s="70">
        <f>'RESUMEN TOTAL'!AV357</f>
        <v>0</v>
      </c>
      <c r="AJ273" s="70" t="e">
        <f>'RESUMEN TOTAL'!#REF!</f>
        <v>#REF!</v>
      </c>
    </row>
    <row r="274" spans="1:36" x14ac:dyDescent="0.25">
      <c r="A274" t="str">
        <f>'RESUMEN TOTAL'!F358</f>
        <v>RICARDO ROJAS</v>
      </c>
      <c r="B274" t="str">
        <f>'RESUMEN TOTAL'!G358</f>
        <v>RRJ 13</v>
      </c>
      <c r="C274" t="str">
        <f>'RESUMEN TOTAL'!I358</f>
        <v>LUJAN Y DIAGONAL LOS POETAS</v>
      </c>
      <c r="D274" s="30" t="str">
        <f>'RESUMEN TOTAL'!J358</f>
        <v>Fija</v>
      </c>
      <c r="E274" s="30" t="str">
        <f>'RESUMEN TOTAL'!K358</f>
        <v>Fibra Optica</v>
      </c>
      <c r="F274" s="70">
        <f>'RESUMEN TOTAL'!S358</f>
        <v>0</v>
      </c>
      <c r="G274" s="70">
        <f>'RESUMEN TOTAL'!T358</f>
        <v>0</v>
      </c>
      <c r="H274" s="70" t="str">
        <f>'RESUMEN TOTAL'!U358</f>
        <v>APAGADO</v>
      </c>
      <c r="I274" s="70">
        <f>'RESUMEN TOTAL'!V358</f>
        <v>0</v>
      </c>
      <c r="J274" s="70">
        <f>'RESUMEN TOTAL'!W358</f>
        <v>0</v>
      </c>
      <c r="K274" s="70">
        <f>'RESUMEN TOTAL'!X358</f>
        <v>0</v>
      </c>
      <c r="L274" s="70">
        <f>'RESUMEN TOTAL'!Y358</f>
        <v>0</v>
      </c>
      <c r="M274" s="70">
        <f>'RESUMEN TOTAL'!Z358</f>
        <v>0</v>
      </c>
      <c r="N274" s="70">
        <f>'RESUMEN TOTAL'!AA358</f>
        <v>0</v>
      </c>
      <c r="O274" s="70">
        <f>'RESUMEN TOTAL'!AB358</f>
        <v>0</v>
      </c>
      <c r="P274" s="70">
        <f>'RESUMEN TOTAL'!AC358</f>
        <v>0</v>
      </c>
      <c r="Q274" s="70">
        <f>'RESUMEN TOTAL'!AD358</f>
        <v>0</v>
      </c>
      <c r="R274" s="70">
        <f>'RESUMEN TOTAL'!AE358</f>
        <v>0</v>
      </c>
      <c r="S274" s="70">
        <f>'RESUMEN TOTAL'!AF358</f>
        <v>0</v>
      </c>
      <c r="T274" s="70">
        <f>'RESUMEN TOTAL'!AG358</f>
        <v>0</v>
      </c>
      <c r="U274" s="70">
        <f>'RESUMEN TOTAL'!AH358</f>
        <v>0</v>
      </c>
      <c r="V274" s="70" t="e">
        <f>'RESUMEN TOTAL'!#REF!</f>
        <v>#REF!</v>
      </c>
      <c r="W274" s="70">
        <f>'RESUMEN TOTAL'!AJ358</f>
        <v>0</v>
      </c>
      <c r="X274" s="70">
        <f>'RESUMEN TOTAL'!AK358</f>
        <v>0</v>
      </c>
      <c r="Y274" s="70">
        <f>'RESUMEN TOTAL'!AL358</f>
        <v>0</v>
      </c>
      <c r="Z274" s="70">
        <f>'RESUMEN TOTAL'!AM358</f>
        <v>0</v>
      </c>
      <c r="AA274" s="70">
        <f>'RESUMEN TOTAL'!AN358</f>
        <v>0</v>
      </c>
      <c r="AB274" s="70">
        <f>'RESUMEN TOTAL'!AO358</f>
        <v>0</v>
      </c>
      <c r="AC274" s="70">
        <f>'RESUMEN TOTAL'!AP358</f>
        <v>0</v>
      </c>
      <c r="AD274" s="70">
        <f>'RESUMEN TOTAL'!AQ358</f>
        <v>0</v>
      </c>
      <c r="AE274" s="70">
        <f>'RESUMEN TOTAL'!AR358</f>
        <v>0</v>
      </c>
      <c r="AF274" s="70">
        <f>'RESUMEN TOTAL'!AS358</f>
        <v>0</v>
      </c>
      <c r="AG274" s="70">
        <f>'RESUMEN TOTAL'!AT358</f>
        <v>0</v>
      </c>
      <c r="AH274" s="70">
        <f>'RESUMEN TOTAL'!AU358</f>
        <v>0</v>
      </c>
      <c r="AI274" s="70">
        <f>'RESUMEN TOTAL'!AV358</f>
        <v>0</v>
      </c>
      <c r="AJ274" s="70" t="e">
        <f>'RESUMEN TOTAL'!#REF!</f>
        <v>#REF!</v>
      </c>
    </row>
    <row r="275" spans="1:36" x14ac:dyDescent="0.25">
      <c r="A275" t="str">
        <f>'RESUMEN TOTAL'!F359</f>
        <v>RICARDO ROJAS</v>
      </c>
      <c r="B275" t="str">
        <f>'RESUMEN TOTAL'!G359</f>
        <v>RRJ 14</v>
      </c>
      <c r="C275" t="str">
        <f>'RESUMEN TOTAL'!I359</f>
        <v> Constancio Vigil y Ruta 36 Domo</v>
      </c>
      <c r="D275" s="30" t="str">
        <f>'RESUMEN TOTAL'!J359</f>
        <v>DOMO</v>
      </c>
      <c r="E275" s="30" t="str">
        <f>'RESUMEN TOTAL'!K359</f>
        <v>PTO A FO</v>
      </c>
      <c r="F275" s="70">
        <f>'RESUMEN TOTAL'!S359</f>
        <v>0</v>
      </c>
      <c r="G275" s="70">
        <f>'RESUMEN TOTAL'!T359</f>
        <v>0</v>
      </c>
      <c r="H275" s="70" t="str">
        <f>'RESUMEN TOTAL'!U359</f>
        <v>APAGADO</v>
      </c>
      <c r="I275" s="70">
        <f>'RESUMEN TOTAL'!V359</f>
        <v>0</v>
      </c>
      <c r="J275" s="70">
        <f>'RESUMEN TOTAL'!W359</f>
        <v>0</v>
      </c>
      <c r="K275" s="70">
        <f>'RESUMEN TOTAL'!X359</f>
        <v>0</v>
      </c>
      <c r="L275" s="70">
        <f>'RESUMEN TOTAL'!Y359</f>
        <v>0</v>
      </c>
      <c r="M275" s="70">
        <f>'RESUMEN TOTAL'!Z359</f>
        <v>0</v>
      </c>
      <c r="N275" s="70">
        <f>'RESUMEN TOTAL'!AA359</f>
        <v>0</v>
      </c>
      <c r="O275" s="70">
        <f>'RESUMEN TOTAL'!AB359</f>
        <v>0</v>
      </c>
      <c r="P275" s="70">
        <f>'RESUMEN TOTAL'!AC359</f>
        <v>0</v>
      </c>
      <c r="Q275" s="70">
        <f>'RESUMEN TOTAL'!AD359</f>
        <v>0</v>
      </c>
      <c r="R275" s="70">
        <f>'RESUMEN TOTAL'!AE359</f>
        <v>0</v>
      </c>
      <c r="S275" s="70">
        <f>'RESUMEN TOTAL'!AF359</f>
        <v>0</v>
      </c>
      <c r="T275" s="70">
        <f>'RESUMEN TOTAL'!AG359</f>
        <v>0</v>
      </c>
      <c r="U275" s="70">
        <f>'RESUMEN TOTAL'!AH359</f>
        <v>0</v>
      </c>
      <c r="V275" s="70">
        <f>'RESUMEN TOTAL'!AI359</f>
        <v>0</v>
      </c>
      <c r="W275" s="70">
        <f>'RESUMEN TOTAL'!AJ359</f>
        <v>0</v>
      </c>
      <c r="X275" s="70">
        <f>'RESUMEN TOTAL'!AK359</f>
        <v>0</v>
      </c>
      <c r="Y275" s="70">
        <f>'RESUMEN TOTAL'!AL359</f>
        <v>0</v>
      </c>
      <c r="Z275" s="70">
        <f>'RESUMEN TOTAL'!AM359</f>
        <v>0</v>
      </c>
      <c r="AA275" s="70">
        <f>'RESUMEN TOTAL'!AN359</f>
        <v>0</v>
      </c>
      <c r="AB275" s="70">
        <f>'RESUMEN TOTAL'!AO359</f>
        <v>0</v>
      </c>
      <c r="AC275" s="70">
        <f>'RESUMEN TOTAL'!AP359</f>
        <v>0</v>
      </c>
      <c r="AD275" s="70">
        <f>'RESUMEN TOTAL'!AQ359</f>
        <v>0</v>
      </c>
      <c r="AE275" s="70">
        <f>'RESUMEN TOTAL'!AR359</f>
        <v>0</v>
      </c>
      <c r="AF275" s="70">
        <f>'RESUMEN TOTAL'!AS359</f>
        <v>0</v>
      </c>
      <c r="AG275" s="70">
        <f>'RESUMEN TOTAL'!AT359</f>
        <v>0</v>
      </c>
      <c r="AH275" s="70">
        <f>'RESUMEN TOTAL'!AU359</f>
        <v>0</v>
      </c>
      <c r="AI275" s="70">
        <f>'RESUMEN TOTAL'!AV359</f>
        <v>0</v>
      </c>
      <c r="AJ275" s="70" t="e">
        <f>'RESUMEN TOTAL'!#REF!</f>
        <v>#REF!</v>
      </c>
    </row>
    <row r="276" spans="1:36" x14ac:dyDescent="0.25">
      <c r="A276" t="str">
        <f>'RESUMEN TOTAL'!F360</f>
        <v>RICARDO ROJAS</v>
      </c>
      <c r="B276" t="str">
        <f>'RESUMEN TOTAL'!G360</f>
        <v>RRJ 15</v>
      </c>
      <c r="C276" t="str">
        <f>'RESUMEN TOTAL'!I360</f>
        <v>Constancio Vigil y Ruta 36 fija</v>
      </c>
      <c r="D276" s="30" t="str">
        <f>'RESUMEN TOTAL'!J360</f>
        <v>Fija</v>
      </c>
      <c r="E276" s="30" t="str">
        <f>'RESUMEN TOTAL'!K360</f>
        <v>PTO A FO</v>
      </c>
      <c r="F276" s="70">
        <f>'RESUMEN TOTAL'!S360</f>
        <v>0</v>
      </c>
      <c r="G276" s="70">
        <f>'RESUMEN TOTAL'!T360</f>
        <v>0</v>
      </c>
      <c r="H276" s="70" t="str">
        <f>'RESUMEN TOTAL'!U360</f>
        <v>APAGADO</v>
      </c>
      <c r="I276" s="70">
        <f>'RESUMEN TOTAL'!V360</f>
        <v>0</v>
      </c>
      <c r="J276" s="70">
        <f>'RESUMEN TOTAL'!W360</f>
        <v>0</v>
      </c>
      <c r="K276" s="70">
        <f>'RESUMEN TOTAL'!X360</f>
        <v>0</v>
      </c>
      <c r="L276" s="70">
        <f>'RESUMEN TOTAL'!Y360</f>
        <v>0</v>
      </c>
      <c r="M276" s="70">
        <f>'RESUMEN TOTAL'!Z360</f>
        <v>0</v>
      </c>
      <c r="N276" s="70">
        <f>'RESUMEN TOTAL'!AA360</f>
        <v>0</v>
      </c>
      <c r="O276" s="70">
        <f>'RESUMEN TOTAL'!AB360</f>
        <v>0</v>
      </c>
      <c r="P276" s="70">
        <f>'RESUMEN TOTAL'!AC360</f>
        <v>0</v>
      </c>
      <c r="Q276" s="70">
        <f>'RESUMEN TOTAL'!AD360</f>
        <v>0</v>
      </c>
      <c r="R276" s="70">
        <f>'RESUMEN TOTAL'!AE360</f>
        <v>0</v>
      </c>
      <c r="S276" s="70">
        <f>'RESUMEN TOTAL'!AF360</f>
        <v>0</v>
      </c>
      <c r="T276" s="70">
        <f>'RESUMEN TOTAL'!AG360</f>
        <v>0</v>
      </c>
      <c r="U276" s="70">
        <f>'RESUMEN TOTAL'!AH360</f>
        <v>0</v>
      </c>
      <c r="V276" s="70">
        <f>'RESUMEN TOTAL'!AI360</f>
        <v>0</v>
      </c>
      <c r="W276" s="70">
        <f>'RESUMEN TOTAL'!AJ360</f>
        <v>0</v>
      </c>
      <c r="X276" s="70">
        <f>'RESUMEN TOTAL'!AK360</f>
        <v>0</v>
      </c>
      <c r="Y276" s="70">
        <f>'RESUMEN TOTAL'!AL360</f>
        <v>0</v>
      </c>
      <c r="Z276" s="70">
        <f>'RESUMEN TOTAL'!AM360</f>
        <v>0</v>
      </c>
      <c r="AA276" s="70">
        <f>'RESUMEN TOTAL'!AN360</f>
        <v>0</v>
      </c>
      <c r="AB276" s="70">
        <f>'RESUMEN TOTAL'!AO360</f>
        <v>0</v>
      </c>
      <c r="AC276" s="70">
        <f>'RESUMEN TOTAL'!AP360</f>
        <v>0</v>
      </c>
      <c r="AD276" s="70">
        <f>'RESUMEN TOTAL'!AQ360</f>
        <v>0</v>
      </c>
      <c r="AE276" s="70">
        <f>'RESUMEN TOTAL'!AR360</f>
        <v>0</v>
      </c>
      <c r="AF276" s="70">
        <f>'RESUMEN TOTAL'!AS360</f>
        <v>0</v>
      </c>
      <c r="AG276" s="70">
        <f>'RESUMEN TOTAL'!AT360</f>
        <v>0</v>
      </c>
      <c r="AH276" s="70">
        <f>'RESUMEN TOTAL'!AU360</f>
        <v>0</v>
      </c>
      <c r="AI276" s="70">
        <f>'RESUMEN TOTAL'!AV360</f>
        <v>0</v>
      </c>
      <c r="AJ276" s="70" t="e">
        <f>'RESUMEN TOTAL'!#REF!</f>
        <v>#REF!</v>
      </c>
    </row>
    <row r="277" spans="1:36" x14ac:dyDescent="0.25">
      <c r="A277" t="str">
        <f>'RESUMEN TOTAL'!F361</f>
        <v>RICARDO ROJAS</v>
      </c>
      <c r="B277" t="str">
        <f>'RESUMEN TOTAL'!G361</f>
        <v>RRJ 16</v>
      </c>
      <c r="C277" t="str">
        <f>'RESUMEN TOTAL'!I361</f>
        <v>Constancio Vigil y Lujan</v>
      </c>
      <c r="D277" s="30" t="str">
        <f>'RESUMEN TOTAL'!J361</f>
        <v>DOMO</v>
      </c>
      <c r="E277" s="30" t="str">
        <f>'RESUMEN TOTAL'!K361</f>
        <v>Fibra Optica</v>
      </c>
      <c r="F277" s="70">
        <f>'RESUMEN TOTAL'!S361</f>
        <v>0</v>
      </c>
      <c r="G277" s="70">
        <f>'RESUMEN TOTAL'!T361</f>
        <v>0</v>
      </c>
      <c r="H277" s="70" t="str">
        <f>'RESUMEN TOTAL'!U361</f>
        <v>APAGADO</v>
      </c>
      <c r="I277" s="70">
        <f>'RESUMEN TOTAL'!V361</f>
        <v>0</v>
      </c>
      <c r="J277" s="70">
        <f>'RESUMEN TOTAL'!W361</f>
        <v>0</v>
      </c>
      <c r="K277" s="70">
        <f>'RESUMEN TOTAL'!X361</f>
        <v>0</v>
      </c>
      <c r="L277" s="70">
        <f>'RESUMEN TOTAL'!Y361</f>
        <v>0</v>
      </c>
      <c r="M277" s="70">
        <f>'RESUMEN TOTAL'!Z361</f>
        <v>0</v>
      </c>
      <c r="N277" s="70">
        <f>'RESUMEN TOTAL'!AA361</f>
        <v>0</v>
      </c>
      <c r="O277" s="70">
        <f>'RESUMEN TOTAL'!AB361</f>
        <v>0</v>
      </c>
      <c r="P277" s="70">
        <f>'RESUMEN TOTAL'!AC361</f>
        <v>0</v>
      </c>
      <c r="Q277" s="70">
        <f>'RESUMEN TOTAL'!AD361</f>
        <v>0</v>
      </c>
      <c r="R277" s="70">
        <f>'RESUMEN TOTAL'!AE361</f>
        <v>0</v>
      </c>
      <c r="S277" s="70">
        <f>'RESUMEN TOTAL'!AF361</f>
        <v>0</v>
      </c>
      <c r="T277" s="70">
        <f>'RESUMEN TOTAL'!AG361</f>
        <v>0</v>
      </c>
      <c r="U277" s="70">
        <f>'RESUMEN TOTAL'!AH361</f>
        <v>0</v>
      </c>
      <c r="V277" s="70">
        <f>'RESUMEN TOTAL'!AI361</f>
        <v>0</v>
      </c>
      <c r="W277" s="70">
        <f>'RESUMEN TOTAL'!AJ361</f>
        <v>0</v>
      </c>
      <c r="X277" s="70">
        <f>'RESUMEN TOTAL'!AK361</f>
        <v>0</v>
      </c>
      <c r="Y277" s="70">
        <f>'RESUMEN TOTAL'!AL361</f>
        <v>0</v>
      </c>
      <c r="Z277" s="70">
        <f>'RESUMEN TOTAL'!AM361</f>
        <v>0</v>
      </c>
      <c r="AA277" s="70">
        <f>'RESUMEN TOTAL'!AN361</f>
        <v>0</v>
      </c>
      <c r="AB277" s="70">
        <f>'RESUMEN TOTAL'!AO361</f>
        <v>0</v>
      </c>
      <c r="AC277" s="70">
        <f>'RESUMEN TOTAL'!AP361</f>
        <v>0</v>
      </c>
      <c r="AD277" s="70">
        <f>'RESUMEN TOTAL'!AQ361</f>
        <v>0</v>
      </c>
      <c r="AE277" s="70">
        <f>'RESUMEN TOTAL'!AR361</f>
        <v>0</v>
      </c>
      <c r="AF277" s="70">
        <f>'RESUMEN TOTAL'!AS361</f>
        <v>0</v>
      </c>
      <c r="AG277" s="70">
        <f>'RESUMEN TOTAL'!AT361</f>
        <v>0</v>
      </c>
      <c r="AH277" s="70">
        <f>'RESUMEN TOTAL'!AU361</f>
        <v>0</v>
      </c>
      <c r="AI277" s="70">
        <f>'RESUMEN TOTAL'!AV361</f>
        <v>0</v>
      </c>
      <c r="AJ277" s="70" t="e">
        <f>'RESUMEN TOTAL'!#REF!</f>
        <v>#REF!</v>
      </c>
    </row>
    <row r="278" spans="1:36" x14ac:dyDescent="0.25">
      <c r="A278" t="str">
        <f>'RESUMEN TOTAL'!F363</f>
        <v>RICARDO ROJAS</v>
      </c>
      <c r="B278" t="str">
        <f>'RESUMEN TOTAL'!G363</f>
        <v>RRJ01</v>
      </c>
      <c r="C278" t="str">
        <f>'RESUMEN TOTAL'!I363</f>
        <v>AV. LUJAN Y BRAGADO</v>
      </c>
      <c r="D278" s="30" t="str">
        <f>'RESUMEN TOTAL'!J363</f>
        <v>DOMO</v>
      </c>
      <c r="E278" s="30" t="str">
        <f>'RESUMEN TOTAL'!K363</f>
        <v>Fibra Optica</v>
      </c>
      <c r="F278" s="70">
        <f>'RESUMEN TOTAL'!S363</f>
        <v>0</v>
      </c>
      <c r="G278" s="70">
        <f>'RESUMEN TOTAL'!T363</f>
        <v>0</v>
      </c>
      <c r="H278" s="70" t="str">
        <f>'RESUMEN TOTAL'!U363</f>
        <v>APAGADO</v>
      </c>
      <c r="I278" s="70">
        <f>'RESUMEN TOTAL'!V363</f>
        <v>0</v>
      </c>
      <c r="J278" s="70">
        <f>'RESUMEN TOTAL'!W363</f>
        <v>0</v>
      </c>
      <c r="K278" s="70">
        <f>'RESUMEN TOTAL'!X363</f>
        <v>0</v>
      </c>
      <c r="L278" s="70">
        <f>'RESUMEN TOTAL'!Y363</f>
        <v>0</v>
      </c>
      <c r="M278" s="70">
        <f>'RESUMEN TOTAL'!Z363</f>
        <v>0</v>
      </c>
      <c r="N278" s="70">
        <f>'RESUMEN TOTAL'!AA363</f>
        <v>0</v>
      </c>
      <c r="O278" s="70">
        <f>'RESUMEN TOTAL'!AB363</f>
        <v>0</v>
      </c>
      <c r="P278" s="70">
        <f>'RESUMEN TOTAL'!AC363</f>
        <v>0</v>
      </c>
      <c r="Q278" s="70">
        <f>'RESUMEN TOTAL'!AD363</f>
        <v>0</v>
      </c>
      <c r="R278" s="70">
        <f>'RESUMEN TOTAL'!AE363</f>
        <v>0</v>
      </c>
      <c r="S278" s="70">
        <f>'RESUMEN TOTAL'!AF363</f>
        <v>0</v>
      </c>
      <c r="T278" s="70">
        <f>'RESUMEN TOTAL'!AG363</f>
        <v>0</v>
      </c>
      <c r="U278" s="70">
        <f>'RESUMEN TOTAL'!AH363</f>
        <v>0</v>
      </c>
      <c r="V278" s="70">
        <f>'RESUMEN TOTAL'!AI363</f>
        <v>0</v>
      </c>
      <c r="W278" s="70">
        <f>'RESUMEN TOTAL'!AJ363</f>
        <v>0</v>
      </c>
      <c r="X278" s="70">
        <f>'RESUMEN TOTAL'!AK363</f>
        <v>0</v>
      </c>
      <c r="Y278" s="70">
        <f>'RESUMEN TOTAL'!AL363</f>
        <v>0</v>
      </c>
      <c r="Z278" s="70">
        <f>'RESUMEN TOTAL'!AM363</f>
        <v>0</v>
      </c>
      <c r="AA278" s="70">
        <f>'RESUMEN TOTAL'!AN363</f>
        <v>0</v>
      </c>
      <c r="AB278" s="70">
        <f>'RESUMEN TOTAL'!AO363</f>
        <v>0</v>
      </c>
      <c r="AC278" s="70">
        <f>'RESUMEN TOTAL'!AP363</f>
        <v>0</v>
      </c>
      <c r="AD278" s="70">
        <f>'RESUMEN TOTAL'!AQ363</f>
        <v>0</v>
      </c>
      <c r="AE278" s="70">
        <f>'RESUMEN TOTAL'!AR363</f>
        <v>0</v>
      </c>
      <c r="AF278" s="70">
        <f>'RESUMEN TOTAL'!AS363</f>
        <v>0</v>
      </c>
      <c r="AG278" s="70">
        <f>'RESUMEN TOTAL'!AT363</f>
        <v>0</v>
      </c>
      <c r="AH278" s="70">
        <f>'RESUMEN TOTAL'!AU363</f>
        <v>0</v>
      </c>
      <c r="AI278" s="70">
        <f>'RESUMEN TOTAL'!AV363</f>
        <v>0</v>
      </c>
      <c r="AJ278" s="70" t="e">
        <f>'RESUMEN TOTAL'!#REF!</f>
        <v>#REF!</v>
      </c>
    </row>
    <row r="279" spans="1:36" x14ac:dyDescent="0.25">
      <c r="A279" t="str">
        <f>'RESUMEN TOTAL'!F367</f>
        <v>SANTA ANA</v>
      </c>
      <c r="B279" t="str">
        <f>'RESUMEN TOTAL'!G367</f>
        <v>SAN 02</v>
      </c>
      <c r="C279" t="str">
        <f>'RESUMEN TOTAL'!I367</f>
        <v>HUDSON Y SUIPACHA</v>
      </c>
      <c r="D279" s="30" t="str">
        <f>'RESUMEN TOTAL'!J367</f>
        <v>Fija 2</v>
      </c>
      <c r="E279" s="30" t="str">
        <f>'RESUMEN TOTAL'!K367</f>
        <v>GPON</v>
      </c>
      <c r="F279" s="70">
        <f>'RESUMEN TOTAL'!S367</f>
        <v>0</v>
      </c>
      <c r="G279" s="70">
        <f>'RESUMEN TOTAL'!T367</f>
        <v>0</v>
      </c>
      <c r="H279" s="70">
        <f>'RESUMEN TOTAL'!U367</f>
        <v>0</v>
      </c>
      <c r="I279" s="70">
        <f>'RESUMEN TOTAL'!V367</f>
        <v>0</v>
      </c>
      <c r="J279" s="70">
        <f>'RESUMEN TOTAL'!W367</f>
        <v>0</v>
      </c>
      <c r="K279" s="70">
        <f>'RESUMEN TOTAL'!X367</f>
        <v>0</v>
      </c>
      <c r="L279" s="70">
        <f>'RESUMEN TOTAL'!Y367</f>
        <v>0</v>
      </c>
      <c r="M279" s="70">
        <f>'RESUMEN TOTAL'!Z367</f>
        <v>0</v>
      </c>
      <c r="N279" s="70">
        <f>'RESUMEN TOTAL'!AA367</f>
        <v>0</v>
      </c>
      <c r="O279" s="70">
        <f>'RESUMEN TOTAL'!AB367</f>
        <v>0</v>
      </c>
      <c r="P279" s="70">
        <f>'RESUMEN TOTAL'!AC367</f>
        <v>0</v>
      </c>
      <c r="Q279" s="70">
        <f>'RESUMEN TOTAL'!AD367</f>
        <v>0</v>
      </c>
      <c r="R279" s="70">
        <f>'RESUMEN TOTAL'!AE367</f>
        <v>0</v>
      </c>
      <c r="S279" s="70">
        <f>'RESUMEN TOTAL'!AF367</f>
        <v>0</v>
      </c>
      <c r="T279" s="70">
        <f>'RESUMEN TOTAL'!AG367</f>
        <v>0</v>
      </c>
      <c r="U279" s="70">
        <f>'RESUMEN TOTAL'!AH367</f>
        <v>0</v>
      </c>
      <c r="V279" s="70">
        <f>'RESUMEN TOTAL'!AI367</f>
        <v>0</v>
      </c>
      <c r="W279" s="70">
        <f>'RESUMEN TOTAL'!AJ367</f>
        <v>0</v>
      </c>
      <c r="X279" s="70">
        <f>'RESUMEN TOTAL'!AK367</f>
        <v>0</v>
      </c>
      <c r="Y279" s="70">
        <f>'RESUMEN TOTAL'!AL367</f>
        <v>0</v>
      </c>
      <c r="Z279" s="70">
        <f>'RESUMEN TOTAL'!AM367</f>
        <v>0</v>
      </c>
      <c r="AA279" s="70">
        <f>'RESUMEN TOTAL'!AN367</f>
        <v>0</v>
      </c>
      <c r="AB279" s="70">
        <f>'RESUMEN TOTAL'!AO367</f>
        <v>0</v>
      </c>
      <c r="AC279" s="70">
        <f>'RESUMEN TOTAL'!AP367</f>
        <v>0</v>
      </c>
      <c r="AD279" s="70">
        <f>'RESUMEN TOTAL'!AQ367</f>
        <v>0</v>
      </c>
      <c r="AE279" s="70">
        <f>'RESUMEN TOTAL'!AR367</f>
        <v>0</v>
      </c>
      <c r="AF279" s="70">
        <f>'RESUMEN TOTAL'!AS367</f>
        <v>0</v>
      </c>
      <c r="AG279" s="70">
        <f>'RESUMEN TOTAL'!AT367</f>
        <v>0</v>
      </c>
      <c r="AH279" s="70">
        <f>'RESUMEN TOTAL'!AU367</f>
        <v>0</v>
      </c>
      <c r="AI279" s="70">
        <f>'RESUMEN TOTAL'!AV367</f>
        <v>0</v>
      </c>
      <c r="AJ279" s="70" t="e">
        <f>'RESUMEN TOTAL'!#REF!</f>
        <v>#REF!</v>
      </c>
    </row>
    <row r="280" spans="1:36" x14ac:dyDescent="0.25">
      <c r="A280" t="str">
        <f>'RESUMEN TOTAL'!F368</f>
        <v>SANTA ANA</v>
      </c>
      <c r="B280" t="str">
        <f>'RESUMEN TOTAL'!G368</f>
        <v>SAN01</v>
      </c>
      <c r="C280" t="str">
        <f>'RESUMEN TOTAL'!I368</f>
        <v>HUDSON Y SUIPACHA</v>
      </c>
      <c r="D280" s="30" t="str">
        <f>'RESUMEN TOTAL'!J368</f>
        <v>Fija 1</v>
      </c>
      <c r="E280" s="30" t="str">
        <f>'RESUMEN TOTAL'!K368</f>
        <v>GPON</v>
      </c>
      <c r="F280" s="70">
        <f>'RESUMEN TOTAL'!S368</f>
        <v>0</v>
      </c>
      <c r="G280" s="70">
        <f>'RESUMEN TOTAL'!T368</f>
        <v>0</v>
      </c>
      <c r="H280" s="70">
        <f>'RESUMEN TOTAL'!U368</f>
        <v>0</v>
      </c>
      <c r="I280" s="70">
        <f>'RESUMEN TOTAL'!V368</f>
        <v>0</v>
      </c>
      <c r="J280" s="70">
        <f>'RESUMEN TOTAL'!W368</f>
        <v>0</v>
      </c>
      <c r="K280" s="70">
        <f>'RESUMEN TOTAL'!X368</f>
        <v>0</v>
      </c>
      <c r="L280" s="70">
        <f>'RESUMEN TOTAL'!Y368</f>
        <v>0</v>
      </c>
      <c r="M280" s="70">
        <f>'RESUMEN TOTAL'!Z368</f>
        <v>0</v>
      </c>
      <c r="N280" s="70">
        <f>'RESUMEN TOTAL'!AA368</f>
        <v>0</v>
      </c>
      <c r="O280" s="70">
        <f>'RESUMEN TOTAL'!AB368</f>
        <v>0</v>
      </c>
      <c r="P280" s="70">
        <f>'RESUMEN TOTAL'!AC368</f>
        <v>0</v>
      </c>
      <c r="Q280" s="70">
        <f>'RESUMEN TOTAL'!AD368</f>
        <v>0</v>
      </c>
      <c r="R280" s="70">
        <f>'RESUMEN TOTAL'!AE368</f>
        <v>0</v>
      </c>
      <c r="S280" s="70">
        <f>'RESUMEN TOTAL'!AF368</f>
        <v>0</v>
      </c>
      <c r="T280" s="70">
        <f>'RESUMEN TOTAL'!AG368</f>
        <v>0</v>
      </c>
      <c r="U280" s="70">
        <f>'RESUMEN TOTAL'!AH368</f>
        <v>0</v>
      </c>
      <c r="V280" s="70">
        <f>'RESUMEN TOTAL'!AI368</f>
        <v>0</v>
      </c>
      <c r="W280" s="70">
        <f>'RESUMEN TOTAL'!AJ368</f>
        <v>0</v>
      </c>
      <c r="X280" s="70">
        <f>'RESUMEN TOTAL'!AK368</f>
        <v>0</v>
      </c>
      <c r="Y280" s="70">
        <f>'RESUMEN TOTAL'!AL368</f>
        <v>0</v>
      </c>
      <c r="Z280" s="70">
        <f>'RESUMEN TOTAL'!AM368</f>
        <v>0</v>
      </c>
      <c r="AA280" s="70">
        <f>'RESUMEN TOTAL'!AN368</f>
        <v>0</v>
      </c>
      <c r="AB280" s="70">
        <f>'RESUMEN TOTAL'!AO368</f>
        <v>0</v>
      </c>
      <c r="AC280" s="70">
        <f>'RESUMEN TOTAL'!AP368</f>
        <v>0</v>
      </c>
      <c r="AD280" s="70">
        <f>'RESUMEN TOTAL'!AQ368</f>
        <v>0</v>
      </c>
      <c r="AE280" s="70">
        <f>'RESUMEN TOTAL'!AR368</f>
        <v>0</v>
      </c>
      <c r="AF280" s="70">
        <f>'RESUMEN TOTAL'!AS368</f>
        <v>0</v>
      </c>
      <c r="AG280" s="70">
        <f>'RESUMEN TOTAL'!AT368</f>
        <v>0</v>
      </c>
      <c r="AH280" s="70">
        <f>'RESUMEN TOTAL'!AU368</f>
        <v>0</v>
      </c>
      <c r="AI280" s="70">
        <f>'RESUMEN TOTAL'!AV368</f>
        <v>0</v>
      </c>
      <c r="AJ280" s="70" t="e">
        <f>'RESUMEN TOTAL'!#REF!</f>
        <v>#REF!</v>
      </c>
    </row>
    <row r="281" spans="1:36" x14ac:dyDescent="0.25">
      <c r="A281" t="str">
        <f>'RESUMEN TOTAL'!F369</f>
        <v>PRESIDENTE SARMIENTO</v>
      </c>
      <c r="B281" t="str">
        <f>'RESUMEN TOTAL'!G369</f>
        <v>SAR 02 (fija 1)</v>
      </c>
      <c r="C281" t="str">
        <f>'RESUMEN TOTAL'!I369</f>
        <v>DARDO ROCHA Y GABRIELA MISTRAL</v>
      </c>
      <c r="D281" s="30" t="str">
        <f>'RESUMEN TOTAL'!J369</f>
        <v>Fija</v>
      </c>
      <c r="E281" s="30" t="str">
        <f>'RESUMEN TOTAL'!K369</f>
        <v>GPON</v>
      </c>
      <c r="F281" s="70">
        <f>'RESUMEN TOTAL'!S369</f>
        <v>0</v>
      </c>
      <c r="G281" s="70">
        <f>'RESUMEN TOTAL'!T369</f>
        <v>0</v>
      </c>
      <c r="H281" s="70">
        <f>'RESUMEN TOTAL'!U369</f>
        <v>0</v>
      </c>
      <c r="I281" s="70">
        <f>'RESUMEN TOTAL'!V369</f>
        <v>0</v>
      </c>
      <c r="J281" s="70">
        <f>'RESUMEN TOTAL'!W369</f>
        <v>0</v>
      </c>
      <c r="K281" s="70">
        <f>'RESUMEN TOTAL'!X369</f>
        <v>0</v>
      </c>
      <c r="L281" s="70">
        <f>'RESUMEN TOTAL'!Y369</f>
        <v>0</v>
      </c>
      <c r="M281" s="70">
        <f>'RESUMEN TOTAL'!Z369</f>
        <v>0</v>
      </c>
      <c r="N281" s="70">
        <f>'RESUMEN TOTAL'!AA369</f>
        <v>0</v>
      </c>
      <c r="O281" s="70">
        <f>'RESUMEN TOTAL'!AB369</f>
        <v>0</v>
      </c>
      <c r="P281" s="70">
        <f>'RESUMEN TOTAL'!AC369</f>
        <v>0</v>
      </c>
      <c r="Q281" s="70">
        <f>'RESUMEN TOTAL'!AD369</f>
        <v>0</v>
      </c>
      <c r="R281" s="70">
        <f>'RESUMEN TOTAL'!AE369</f>
        <v>0</v>
      </c>
      <c r="S281" s="70">
        <f>'RESUMEN TOTAL'!AF369</f>
        <v>0</v>
      </c>
      <c r="T281" s="70">
        <f>'RESUMEN TOTAL'!AG369</f>
        <v>0</v>
      </c>
      <c r="U281" s="70">
        <f>'RESUMEN TOTAL'!AH369</f>
        <v>0</v>
      </c>
      <c r="V281" s="70">
        <f>'RESUMEN TOTAL'!AI369</f>
        <v>0</v>
      </c>
      <c r="W281" s="70">
        <f>'RESUMEN TOTAL'!AJ369</f>
        <v>0</v>
      </c>
      <c r="X281" s="70">
        <f>'RESUMEN TOTAL'!AK369</f>
        <v>0</v>
      </c>
      <c r="Y281" s="70">
        <f>'RESUMEN TOTAL'!AL369</f>
        <v>0</v>
      </c>
      <c r="Z281" s="70">
        <f>'RESUMEN TOTAL'!AM369</f>
        <v>0</v>
      </c>
      <c r="AA281" s="70">
        <f>'RESUMEN TOTAL'!AN369</f>
        <v>0</v>
      </c>
      <c r="AB281" s="70">
        <f>'RESUMEN TOTAL'!AO369</f>
        <v>0</v>
      </c>
      <c r="AC281" s="70">
        <f>'RESUMEN TOTAL'!AP369</f>
        <v>0</v>
      </c>
      <c r="AD281" s="70">
        <f>'RESUMEN TOTAL'!AQ369</f>
        <v>0</v>
      </c>
      <c r="AE281" s="70">
        <f>'RESUMEN TOTAL'!AR369</f>
        <v>0</v>
      </c>
      <c r="AF281" s="70">
        <f>'RESUMEN TOTAL'!AS369</f>
        <v>0</v>
      </c>
      <c r="AG281" s="70">
        <f>'RESUMEN TOTAL'!AT369</f>
        <v>0</v>
      </c>
      <c r="AH281" s="70">
        <f>'RESUMEN TOTAL'!AU369</f>
        <v>0</v>
      </c>
      <c r="AI281" s="70">
        <f>'RESUMEN TOTAL'!AV369</f>
        <v>0</v>
      </c>
      <c r="AJ281" s="70" t="e">
        <f>'RESUMEN TOTAL'!#REF!</f>
        <v>#REF!</v>
      </c>
    </row>
    <row r="282" spans="1:36" x14ac:dyDescent="0.25">
      <c r="A282" t="str">
        <f>'RESUMEN TOTAL'!F370</f>
        <v>PRESIDENTE SARMIENTO</v>
      </c>
      <c r="B282" t="str">
        <f>'RESUMEN TOTAL'!G370</f>
        <v>SAR 03 (fija 2)</v>
      </c>
      <c r="C282" t="str">
        <f>'RESUMEN TOTAL'!I370</f>
        <v>DARDO ROCHA Y GABRIELA MISTRAL</v>
      </c>
      <c r="D282" s="30" t="str">
        <f>'RESUMEN TOTAL'!J370</f>
        <v>Fija</v>
      </c>
      <c r="E282" s="30" t="str">
        <f>'RESUMEN TOTAL'!K370</f>
        <v>GPON</v>
      </c>
      <c r="F282" s="70">
        <f>'RESUMEN TOTAL'!S370</f>
        <v>0</v>
      </c>
      <c r="G282" s="70">
        <f>'RESUMEN TOTAL'!T370</f>
        <v>0</v>
      </c>
      <c r="H282" s="70">
        <f>'RESUMEN TOTAL'!U370</f>
        <v>0</v>
      </c>
      <c r="I282" s="70">
        <f>'RESUMEN TOTAL'!V370</f>
        <v>0</v>
      </c>
      <c r="J282" s="70">
        <f>'RESUMEN TOTAL'!W370</f>
        <v>0</v>
      </c>
      <c r="K282" s="70">
        <f>'RESUMEN TOTAL'!X370</f>
        <v>0</v>
      </c>
      <c r="L282" s="70">
        <f>'RESUMEN TOTAL'!Y370</f>
        <v>0</v>
      </c>
      <c r="M282" s="70">
        <f>'RESUMEN TOTAL'!Z370</f>
        <v>0</v>
      </c>
      <c r="N282" s="70">
        <f>'RESUMEN TOTAL'!AA370</f>
        <v>0</v>
      </c>
      <c r="O282" s="70">
        <f>'RESUMEN TOTAL'!AB370</f>
        <v>0</v>
      </c>
      <c r="P282" s="70">
        <f>'RESUMEN TOTAL'!AC370</f>
        <v>0</v>
      </c>
      <c r="Q282" s="70">
        <f>'RESUMEN TOTAL'!AD370</f>
        <v>0</v>
      </c>
      <c r="R282" s="70">
        <f>'RESUMEN TOTAL'!AE370</f>
        <v>0</v>
      </c>
      <c r="S282" s="70">
        <f>'RESUMEN TOTAL'!AF370</f>
        <v>0</v>
      </c>
      <c r="T282" s="70">
        <f>'RESUMEN TOTAL'!AG370</f>
        <v>0</v>
      </c>
      <c r="U282" s="70">
        <f>'RESUMEN TOTAL'!AH370</f>
        <v>0</v>
      </c>
      <c r="V282" s="70">
        <f>'RESUMEN TOTAL'!AI370</f>
        <v>0</v>
      </c>
      <c r="W282" s="70">
        <f>'RESUMEN TOTAL'!AJ370</f>
        <v>0</v>
      </c>
      <c r="X282" s="70">
        <f>'RESUMEN TOTAL'!AK370</f>
        <v>0</v>
      </c>
      <c r="Y282" s="70">
        <f>'RESUMEN TOTAL'!AL370</f>
        <v>0</v>
      </c>
      <c r="Z282" s="70">
        <f>'RESUMEN TOTAL'!AM370</f>
        <v>0</v>
      </c>
      <c r="AA282" s="70">
        <f>'RESUMEN TOTAL'!AN370</f>
        <v>0</v>
      </c>
      <c r="AB282" s="70">
        <f>'RESUMEN TOTAL'!AO370</f>
        <v>0</v>
      </c>
      <c r="AC282" s="70">
        <f>'RESUMEN TOTAL'!AP370</f>
        <v>0</v>
      </c>
      <c r="AD282" s="70">
        <f>'RESUMEN TOTAL'!AQ370</f>
        <v>0</v>
      </c>
      <c r="AE282" s="70">
        <f>'RESUMEN TOTAL'!AR370</f>
        <v>0</v>
      </c>
      <c r="AF282" s="70">
        <f>'RESUMEN TOTAL'!AS370</f>
        <v>0</v>
      </c>
      <c r="AG282" s="70">
        <f>'RESUMEN TOTAL'!AT370</f>
        <v>0</v>
      </c>
      <c r="AH282" s="70">
        <f>'RESUMEN TOTAL'!AU370</f>
        <v>0</v>
      </c>
      <c r="AI282" s="70">
        <f>'RESUMEN TOTAL'!AV370</f>
        <v>0</v>
      </c>
      <c r="AJ282" s="70" t="e">
        <f>'RESUMEN TOTAL'!#REF!</f>
        <v>#REF!</v>
      </c>
    </row>
    <row r="283" spans="1:36" x14ac:dyDescent="0.25">
      <c r="A283" t="str">
        <f>'RESUMEN TOTAL'!F371</f>
        <v>PRESIDENTE SARMIENTO</v>
      </c>
      <c r="B283" t="str">
        <f>'RESUMEN TOTAL'!G371</f>
        <v>SAR 04</v>
      </c>
      <c r="C283" t="str">
        <f>'RESUMEN TOTAL'!I371</f>
        <v>MONTES DE OCA Y ALVARADO</v>
      </c>
      <c r="D283" s="30" t="str">
        <f>'RESUMEN TOTAL'!J371</f>
        <v>Domo</v>
      </c>
      <c r="E283" s="30" t="str">
        <f>'RESUMEN TOTAL'!K371</f>
        <v>Fibra Optica</v>
      </c>
      <c r="F283" s="70">
        <f>'RESUMEN TOTAL'!S371</f>
        <v>0</v>
      </c>
      <c r="G283" s="70">
        <f>'RESUMEN TOTAL'!T371</f>
        <v>0</v>
      </c>
      <c r="H283" s="70">
        <f>'RESUMEN TOTAL'!U371</f>
        <v>0</v>
      </c>
      <c r="I283" s="70">
        <f>'RESUMEN TOTAL'!V371</f>
        <v>0</v>
      </c>
      <c r="J283" s="70">
        <f>'RESUMEN TOTAL'!W371</f>
        <v>0</v>
      </c>
      <c r="K283" s="70">
        <f>'RESUMEN TOTAL'!X371</f>
        <v>0</v>
      </c>
      <c r="L283" s="70">
        <f>'RESUMEN TOTAL'!Y371</f>
        <v>0</v>
      </c>
      <c r="M283" s="70">
        <f>'RESUMEN TOTAL'!Z371</f>
        <v>0</v>
      </c>
      <c r="N283" s="70">
        <f>'RESUMEN TOTAL'!AA371</f>
        <v>0</v>
      </c>
      <c r="O283" s="70">
        <f>'RESUMEN TOTAL'!AB371</f>
        <v>0</v>
      </c>
      <c r="P283" s="70">
        <f>'RESUMEN TOTAL'!AC371</f>
        <v>0</v>
      </c>
      <c r="Q283" s="70">
        <f>'RESUMEN TOTAL'!AD371</f>
        <v>0</v>
      </c>
      <c r="R283" s="70">
        <f>'RESUMEN TOTAL'!AE371</f>
        <v>0</v>
      </c>
      <c r="S283" s="70">
        <f>'RESUMEN TOTAL'!AF371</f>
        <v>0</v>
      </c>
      <c r="T283" s="70">
        <f>'RESUMEN TOTAL'!AG371</f>
        <v>0</v>
      </c>
      <c r="U283" s="70">
        <f>'RESUMEN TOTAL'!AH371</f>
        <v>0</v>
      </c>
      <c r="V283" s="70">
        <f>'RESUMEN TOTAL'!AI371</f>
        <v>0</v>
      </c>
      <c r="W283" s="70">
        <f>'RESUMEN TOTAL'!AJ371</f>
        <v>0</v>
      </c>
      <c r="X283" s="70">
        <f>'RESUMEN TOTAL'!AK371</f>
        <v>0</v>
      </c>
      <c r="Y283" s="70">
        <f>'RESUMEN TOTAL'!AL371</f>
        <v>0</v>
      </c>
      <c r="Z283" s="70">
        <f>'RESUMEN TOTAL'!AM371</f>
        <v>0</v>
      </c>
      <c r="AA283" s="70">
        <f>'RESUMEN TOTAL'!AN371</f>
        <v>0</v>
      </c>
      <c r="AB283" s="70">
        <f>'RESUMEN TOTAL'!AO371</f>
        <v>0</v>
      </c>
      <c r="AC283" s="70">
        <f>'RESUMEN TOTAL'!AP371</f>
        <v>0</v>
      </c>
      <c r="AD283" s="70">
        <f>'RESUMEN TOTAL'!AQ371</f>
        <v>0</v>
      </c>
      <c r="AE283" s="70">
        <f>'RESUMEN TOTAL'!AR371</f>
        <v>0</v>
      </c>
      <c r="AF283" s="70">
        <f>'RESUMEN TOTAL'!AS371</f>
        <v>0</v>
      </c>
      <c r="AG283" s="70">
        <f>'RESUMEN TOTAL'!AT371</f>
        <v>0</v>
      </c>
      <c r="AH283" s="70">
        <f>'RESUMEN TOTAL'!AU371</f>
        <v>0</v>
      </c>
      <c r="AI283" s="70">
        <f>'RESUMEN TOTAL'!AV371</f>
        <v>0</v>
      </c>
      <c r="AJ283" s="70" t="e">
        <f>'RESUMEN TOTAL'!#REF!</f>
        <v>#REF!</v>
      </c>
    </row>
    <row r="284" spans="1:36" x14ac:dyDescent="0.25">
      <c r="A284" t="str">
        <f>'RESUMEN TOTAL'!F372</f>
        <v>PRESIDENTE SARMIENTO</v>
      </c>
      <c r="B284" t="str">
        <f>'RESUMEN TOTAL'!G372</f>
        <v>SAR 05</v>
      </c>
      <c r="C284" t="str">
        <f>'RESUMEN TOTAL'!I372</f>
        <v>ALVARADO Y ROCHA</v>
      </c>
      <c r="D284" s="30" t="str">
        <f>'RESUMEN TOTAL'!J372</f>
        <v>Domo</v>
      </c>
      <c r="E284" s="30" t="str">
        <f>'RESUMEN TOTAL'!K372</f>
        <v>Fibra Optica</v>
      </c>
      <c r="F284" s="70">
        <f>'RESUMEN TOTAL'!S372</f>
        <v>0</v>
      </c>
      <c r="G284" s="70">
        <f>'RESUMEN TOTAL'!T372</f>
        <v>0</v>
      </c>
      <c r="H284" s="70">
        <f>'RESUMEN TOTAL'!U372</f>
        <v>0</v>
      </c>
      <c r="I284" s="70">
        <f>'RESUMEN TOTAL'!V372</f>
        <v>0</v>
      </c>
      <c r="J284" s="70">
        <f>'RESUMEN TOTAL'!W372</f>
        <v>0</v>
      </c>
      <c r="K284" s="70">
        <f>'RESUMEN TOTAL'!X372</f>
        <v>0</v>
      </c>
      <c r="L284" s="70">
        <f>'RESUMEN TOTAL'!Y372</f>
        <v>0</v>
      </c>
      <c r="M284" s="70">
        <f>'RESUMEN TOTAL'!Z372</f>
        <v>0</v>
      </c>
      <c r="N284" s="70">
        <f>'RESUMEN TOTAL'!AA372</f>
        <v>0</v>
      </c>
      <c r="O284" s="70">
        <f>'RESUMEN TOTAL'!AB372</f>
        <v>0</v>
      </c>
      <c r="P284" s="70">
        <f>'RESUMEN TOTAL'!AC372</f>
        <v>0</v>
      </c>
      <c r="Q284" s="70">
        <f>'RESUMEN TOTAL'!AD372</f>
        <v>0</v>
      </c>
      <c r="R284" s="70">
        <f>'RESUMEN TOTAL'!AE372</f>
        <v>0</v>
      </c>
      <c r="S284" s="70">
        <f>'RESUMEN TOTAL'!AF372</f>
        <v>0</v>
      </c>
      <c r="T284" s="70">
        <f>'RESUMEN TOTAL'!AG372</f>
        <v>0</v>
      </c>
      <c r="U284" s="70">
        <f>'RESUMEN TOTAL'!AH372</f>
        <v>0</v>
      </c>
      <c r="V284" s="70">
        <f>'RESUMEN TOTAL'!AI372</f>
        <v>0</v>
      </c>
      <c r="W284" s="70">
        <f>'RESUMEN TOTAL'!AJ372</f>
        <v>0</v>
      </c>
      <c r="X284" s="70">
        <f>'RESUMEN TOTAL'!AK372</f>
        <v>0</v>
      </c>
      <c r="Y284" s="70">
        <f>'RESUMEN TOTAL'!AL372</f>
        <v>0</v>
      </c>
      <c r="Z284" s="70">
        <f>'RESUMEN TOTAL'!AM372</f>
        <v>0</v>
      </c>
      <c r="AA284" s="70">
        <f>'RESUMEN TOTAL'!AN372</f>
        <v>0</v>
      </c>
      <c r="AB284" s="70">
        <f>'RESUMEN TOTAL'!AO372</f>
        <v>0</v>
      </c>
      <c r="AC284" s="70">
        <f>'RESUMEN TOTAL'!AP372</f>
        <v>0</v>
      </c>
      <c r="AD284" s="70">
        <f>'RESUMEN TOTAL'!AQ372</f>
        <v>0</v>
      </c>
      <c r="AE284" s="70">
        <f>'RESUMEN TOTAL'!AR372</f>
        <v>0</v>
      </c>
      <c r="AF284" s="70">
        <f>'RESUMEN TOTAL'!AS372</f>
        <v>0</v>
      </c>
      <c r="AG284" s="70">
        <f>'RESUMEN TOTAL'!AT372</f>
        <v>0</v>
      </c>
      <c r="AH284" s="70">
        <f>'RESUMEN TOTAL'!AU372</f>
        <v>0</v>
      </c>
      <c r="AI284" s="70">
        <f>'RESUMEN TOTAL'!AV372</f>
        <v>0</v>
      </c>
      <c r="AJ284" s="70" t="e">
        <f>'RESUMEN TOTAL'!#REF!</f>
        <v>#REF!</v>
      </c>
    </row>
    <row r="285" spans="1:36" x14ac:dyDescent="0.25">
      <c r="A285" t="str">
        <f>'RESUMEN TOTAL'!F373</f>
        <v>PRESIDENTE SARMIENTO</v>
      </c>
      <c r="B285" t="str">
        <f>'RESUMEN TOTAL'!G373</f>
        <v>SAR 06</v>
      </c>
      <c r="C285" t="str">
        <f>'RESUMEN TOTAL'!I373</f>
        <v>Necochea y Lorenzini</v>
      </c>
      <c r="D285" s="30" t="str">
        <f>'RESUMEN TOTAL'!J373</f>
        <v>Fija</v>
      </c>
      <c r="E285" s="30" t="str">
        <f>'RESUMEN TOTAL'!K373</f>
        <v>Fibra Optica</v>
      </c>
      <c r="F285" s="70">
        <f>'RESUMEN TOTAL'!S373</f>
        <v>0</v>
      </c>
      <c r="G285" s="70">
        <f>'RESUMEN TOTAL'!T373</f>
        <v>0</v>
      </c>
      <c r="H285" s="70">
        <f>'RESUMEN TOTAL'!U373</f>
        <v>0</v>
      </c>
      <c r="I285" s="70">
        <f>'RESUMEN TOTAL'!V373</f>
        <v>0</v>
      </c>
      <c r="J285" s="70">
        <f>'RESUMEN TOTAL'!W373</f>
        <v>0</v>
      </c>
      <c r="K285" s="70">
        <f>'RESUMEN TOTAL'!X373</f>
        <v>0</v>
      </c>
      <c r="L285" s="70">
        <f>'RESUMEN TOTAL'!Y373</f>
        <v>0</v>
      </c>
      <c r="M285" s="70">
        <f>'RESUMEN TOTAL'!Z373</f>
        <v>0</v>
      </c>
      <c r="N285" s="70">
        <f>'RESUMEN TOTAL'!AA373</f>
        <v>0</v>
      </c>
      <c r="O285" s="70">
        <f>'RESUMEN TOTAL'!AB373</f>
        <v>0</v>
      </c>
      <c r="P285" s="70">
        <f>'RESUMEN TOTAL'!AC373</f>
        <v>0</v>
      </c>
      <c r="Q285" s="70">
        <f>'RESUMEN TOTAL'!AD373</f>
        <v>0</v>
      </c>
      <c r="R285" s="70">
        <f>'RESUMEN TOTAL'!AE373</f>
        <v>0</v>
      </c>
      <c r="S285" s="70">
        <f>'RESUMEN TOTAL'!AF373</f>
        <v>0</v>
      </c>
      <c r="T285" s="70">
        <f>'RESUMEN TOTAL'!AG373</f>
        <v>0</v>
      </c>
      <c r="U285" s="70">
        <f>'RESUMEN TOTAL'!AH373</f>
        <v>0</v>
      </c>
      <c r="V285" s="70">
        <f>'RESUMEN TOTAL'!AI373</f>
        <v>0</v>
      </c>
      <c r="W285" s="70">
        <f>'RESUMEN TOTAL'!AJ373</f>
        <v>0</v>
      </c>
      <c r="X285" s="70">
        <f>'RESUMEN TOTAL'!AK373</f>
        <v>0</v>
      </c>
      <c r="Y285" s="70">
        <f>'RESUMEN TOTAL'!AL373</f>
        <v>0</v>
      </c>
      <c r="Z285" s="70">
        <f>'RESUMEN TOTAL'!AM373</f>
        <v>0</v>
      </c>
      <c r="AA285" s="70">
        <f>'RESUMEN TOTAL'!AN373</f>
        <v>0</v>
      </c>
      <c r="AB285" s="70">
        <f>'RESUMEN TOTAL'!AO373</f>
        <v>0</v>
      </c>
      <c r="AC285" s="70">
        <f>'RESUMEN TOTAL'!AP373</f>
        <v>0</v>
      </c>
      <c r="AD285" s="70">
        <f>'RESUMEN TOTAL'!AQ373</f>
        <v>0</v>
      </c>
      <c r="AE285" s="70">
        <f>'RESUMEN TOTAL'!AR373</f>
        <v>0</v>
      </c>
      <c r="AF285" s="70">
        <f>'RESUMEN TOTAL'!AS373</f>
        <v>0</v>
      </c>
      <c r="AG285" s="70">
        <f>'RESUMEN TOTAL'!AT373</f>
        <v>0</v>
      </c>
      <c r="AH285" s="70">
        <f>'RESUMEN TOTAL'!AU373</f>
        <v>0</v>
      </c>
      <c r="AI285" s="70">
        <f>'RESUMEN TOTAL'!AV373</f>
        <v>0</v>
      </c>
      <c r="AJ285" s="70" t="e">
        <f>'RESUMEN TOTAL'!#REF!</f>
        <v>#REF!</v>
      </c>
    </row>
    <row r="286" spans="1:36" x14ac:dyDescent="0.25">
      <c r="A286" t="str">
        <f>'RESUMEN TOTAL'!F374</f>
        <v>PRESIDENTE SARMIENTO</v>
      </c>
      <c r="B286" t="str">
        <f>'RESUMEN TOTAL'!G374</f>
        <v>SAR 07</v>
      </c>
      <c r="C286" t="str">
        <f>'RESUMEN TOTAL'!I374</f>
        <v>Necochea y Lorenzini</v>
      </c>
      <c r="D286" s="30" t="str">
        <f>'RESUMEN TOTAL'!J374</f>
        <v>Fija</v>
      </c>
      <c r="E286" s="30" t="str">
        <f>'RESUMEN TOTAL'!K374</f>
        <v>Fibra Optica</v>
      </c>
      <c r="F286" s="70">
        <f>'RESUMEN TOTAL'!S374</f>
        <v>0</v>
      </c>
      <c r="G286" s="70">
        <f>'RESUMEN TOTAL'!T374</f>
        <v>0</v>
      </c>
      <c r="H286" s="70">
        <f>'RESUMEN TOTAL'!U374</f>
        <v>0</v>
      </c>
      <c r="I286" s="70">
        <f>'RESUMEN TOTAL'!V374</f>
        <v>0</v>
      </c>
      <c r="J286" s="70">
        <f>'RESUMEN TOTAL'!W374</f>
        <v>0</v>
      </c>
      <c r="K286" s="70">
        <f>'RESUMEN TOTAL'!X374</f>
        <v>0</v>
      </c>
      <c r="L286" s="70">
        <f>'RESUMEN TOTAL'!Y374</f>
        <v>0</v>
      </c>
      <c r="M286" s="70">
        <f>'RESUMEN TOTAL'!Z374</f>
        <v>0</v>
      </c>
      <c r="N286" s="70">
        <f>'RESUMEN TOTAL'!AA374</f>
        <v>0</v>
      </c>
      <c r="O286" s="70">
        <f>'RESUMEN TOTAL'!AB374</f>
        <v>0</v>
      </c>
      <c r="P286" s="70">
        <f>'RESUMEN TOTAL'!AC374</f>
        <v>0</v>
      </c>
      <c r="Q286" s="70">
        <f>'RESUMEN TOTAL'!AD374</f>
        <v>0</v>
      </c>
      <c r="R286" s="70">
        <f>'RESUMEN TOTAL'!AE374</f>
        <v>0</v>
      </c>
      <c r="S286" s="70">
        <f>'RESUMEN TOTAL'!AF374</f>
        <v>0</v>
      </c>
      <c r="T286" s="70">
        <f>'RESUMEN TOTAL'!AG374</f>
        <v>0</v>
      </c>
      <c r="U286" s="70">
        <f>'RESUMEN TOTAL'!AH374</f>
        <v>0</v>
      </c>
      <c r="V286" s="70">
        <f>'RESUMEN TOTAL'!AI374</f>
        <v>0</v>
      </c>
      <c r="W286" s="70">
        <f>'RESUMEN TOTAL'!AJ374</f>
        <v>0</v>
      </c>
      <c r="X286" s="70">
        <f>'RESUMEN TOTAL'!AK374</f>
        <v>0</v>
      </c>
      <c r="Y286" s="70">
        <f>'RESUMEN TOTAL'!AL374</f>
        <v>0</v>
      </c>
      <c r="Z286" s="70">
        <f>'RESUMEN TOTAL'!AM374</f>
        <v>0</v>
      </c>
      <c r="AA286" s="70">
        <f>'RESUMEN TOTAL'!AN374</f>
        <v>0</v>
      </c>
      <c r="AB286" s="70">
        <f>'RESUMEN TOTAL'!AO374</f>
        <v>0</v>
      </c>
      <c r="AC286" s="70">
        <f>'RESUMEN TOTAL'!AP374</f>
        <v>0</v>
      </c>
      <c r="AD286" s="70">
        <f>'RESUMEN TOTAL'!AQ374</f>
        <v>0</v>
      </c>
      <c r="AE286" s="70">
        <f>'RESUMEN TOTAL'!AR374</f>
        <v>0</v>
      </c>
      <c r="AF286" s="70">
        <f>'RESUMEN TOTAL'!AS374</f>
        <v>0</v>
      </c>
      <c r="AG286" s="70">
        <f>'RESUMEN TOTAL'!AT374</f>
        <v>0</v>
      </c>
      <c r="AH286" s="70">
        <f>'RESUMEN TOTAL'!AU374</f>
        <v>0</v>
      </c>
      <c r="AI286" s="70">
        <f>'RESUMEN TOTAL'!AV374</f>
        <v>0</v>
      </c>
      <c r="AJ286" s="70" t="e">
        <f>'RESUMEN TOTAL'!#REF!</f>
        <v>#REF!</v>
      </c>
    </row>
    <row r="287" spans="1:36" x14ac:dyDescent="0.25">
      <c r="A287" t="str">
        <f>'RESUMEN TOTAL'!F375</f>
        <v>PRESIDENTE SARMIENTO</v>
      </c>
      <c r="B287" t="str">
        <f>'RESUMEN TOTAL'!G375</f>
        <v>SAR 08</v>
      </c>
      <c r="C287" t="str">
        <f>'RESUMEN TOTAL'!I375</f>
        <v>Necochea y Montes de Oca</v>
      </c>
      <c r="D287" s="30" t="str">
        <f>'RESUMEN TOTAL'!J375</f>
        <v>Fija</v>
      </c>
      <c r="E287" s="30" t="str">
        <f>'RESUMEN TOTAL'!K375</f>
        <v>Fibra Optica</v>
      </c>
      <c r="F287" s="70">
        <f>'RESUMEN TOTAL'!S375</f>
        <v>0</v>
      </c>
      <c r="G287" s="70">
        <f>'RESUMEN TOTAL'!T375</f>
        <v>0</v>
      </c>
      <c r="H287" s="70">
        <f>'RESUMEN TOTAL'!U375</f>
        <v>0</v>
      </c>
      <c r="I287" s="70">
        <f>'RESUMEN TOTAL'!V375</f>
        <v>0</v>
      </c>
      <c r="J287" s="70">
        <f>'RESUMEN TOTAL'!W375</f>
        <v>0</v>
      </c>
      <c r="K287" s="70">
        <f>'RESUMEN TOTAL'!X375</f>
        <v>0</v>
      </c>
      <c r="L287" s="70">
        <f>'RESUMEN TOTAL'!Y375</f>
        <v>0</v>
      </c>
      <c r="M287" s="70">
        <f>'RESUMEN TOTAL'!Z375</f>
        <v>0</v>
      </c>
      <c r="N287" s="70">
        <f>'RESUMEN TOTAL'!AA375</f>
        <v>0</v>
      </c>
      <c r="O287" s="70">
        <f>'RESUMEN TOTAL'!AB375</f>
        <v>0</v>
      </c>
      <c r="P287" s="70">
        <f>'RESUMEN TOTAL'!AC375</f>
        <v>0</v>
      </c>
      <c r="Q287" s="70">
        <f>'RESUMEN TOTAL'!AD375</f>
        <v>0</v>
      </c>
      <c r="R287" s="70">
        <f>'RESUMEN TOTAL'!AE375</f>
        <v>0</v>
      </c>
      <c r="S287" s="70">
        <f>'RESUMEN TOTAL'!AF375</f>
        <v>0</v>
      </c>
      <c r="T287" s="70">
        <f>'RESUMEN TOTAL'!AG375</f>
        <v>0</v>
      </c>
      <c r="U287" s="70">
        <f>'RESUMEN TOTAL'!AH375</f>
        <v>0</v>
      </c>
      <c r="V287" s="70">
        <f>'RESUMEN TOTAL'!AI375</f>
        <v>0</v>
      </c>
      <c r="W287" s="70">
        <f>'RESUMEN TOTAL'!AJ375</f>
        <v>0</v>
      </c>
      <c r="X287" s="70">
        <f>'RESUMEN TOTAL'!AK375</f>
        <v>0</v>
      </c>
      <c r="Y287" s="70">
        <f>'RESUMEN TOTAL'!AL375</f>
        <v>0</v>
      </c>
      <c r="Z287" s="70">
        <f>'RESUMEN TOTAL'!AM375</f>
        <v>0</v>
      </c>
      <c r="AA287" s="70">
        <f>'RESUMEN TOTAL'!AN375</f>
        <v>0</v>
      </c>
      <c r="AB287" s="70">
        <f>'RESUMEN TOTAL'!AO375</f>
        <v>0</v>
      </c>
      <c r="AC287" s="70">
        <f>'RESUMEN TOTAL'!AP375</f>
        <v>0</v>
      </c>
      <c r="AD287" s="70">
        <f>'RESUMEN TOTAL'!AQ375</f>
        <v>0</v>
      </c>
      <c r="AE287" s="70">
        <f>'RESUMEN TOTAL'!AR375</f>
        <v>0</v>
      </c>
      <c r="AF287" s="70">
        <f>'RESUMEN TOTAL'!AS375</f>
        <v>0</v>
      </c>
      <c r="AG287" s="70">
        <f>'RESUMEN TOTAL'!AT375</f>
        <v>0</v>
      </c>
      <c r="AH287" s="70">
        <f>'RESUMEN TOTAL'!AU375</f>
        <v>0</v>
      </c>
      <c r="AI287" s="70">
        <f>'RESUMEN TOTAL'!AV375</f>
        <v>0</v>
      </c>
      <c r="AJ287" s="70" t="e">
        <f>'RESUMEN TOTAL'!#REF!</f>
        <v>#REF!</v>
      </c>
    </row>
    <row r="288" spans="1:36" x14ac:dyDescent="0.25">
      <c r="A288" t="str">
        <f>'RESUMEN TOTAL'!F376</f>
        <v>PRESIDENTE SARMIENTO</v>
      </c>
      <c r="B288" t="str">
        <f>'RESUMEN TOTAL'!G376</f>
        <v>SAR 09</v>
      </c>
      <c r="C288" t="str">
        <f>'RESUMEN TOTAL'!I376</f>
        <v>Necochea y Montes de Oca</v>
      </c>
      <c r="D288" s="30" t="str">
        <f>'RESUMEN TOTAL'!J376</f>
        <v>Fija</v>
      </c>
      <c r="E288" s="30" t="str">
        <f>'RESUMEN TOTAL'!K376</f>
        <v>Fibra Optica</v>
      </c>
      <c r="F288" s="70">
        <f>'RESUMEN TOTAL'!S376</f>
        <v>0</v>
      </c>
      <c r="G288" s="70">
        <f>'RESUMEN TOTAL'!T376</f>
        <v>0</v>
      </c>
      <c r="H288" s="70">
        <f>'RESUMEN TOTAL'!U376</f>
        <v>0</v>
      </c>
      <c r="I288" s="70">
        <f>'RESUMEN TOTAL'!V376</f>
        <v>0</v>
      </c>
      <c r="J288" s="70">
        <f>'RESUMEN TOTAL'!W376</f>
        <v>0</v>
      </c>
      <c r="K288" s="70">
        <f>'RESUMEN TOTAL'!X376</f>
        <v>0</v>
      </c>
      <c r="L288" s="70">
        <f>'RESUMEN TOTAL'!Y376</f>
        <v>0</v>
      </c>
      <c r="M288" s="70">
        <f>'RESUMEN TOTAL'!Z376</f>
        <v>0</v>
      </c>
      <c r="N288" s="70">
        <f>'RESUMEN TOTAL'!AA376</f>
        <v>0</v>
      </c>
      <c r="O288" s="70">
        <f>'RESUMEN TOTAL'!AB376</f>
        <v>0</v>
      </c>
      <c r="P288" s="70">
        <f>'RESUMEN TOTAL'!AC376</f>
        <v>0</v>
      </c>
      <c r="Q288" s="70">
        <f>'RESUMEN TOTAL'!AD376</f>
        <v>0</v>
      </c>
      <c r="R288" s="70">
        <f>'RESUMEN TOTAL'!AE376</f>
        <v>0</v>
      </c>
      <c r="S288" s="70">
        <f>'RESUMEN TOTAL'!AF376</f>
        <v>0</v>
      </c>
      <c r="T288" s="70">
        <f>'RESUMEN TOTAL'!AG376</f>
        <v>0</v>
      </c>
      <c r="U288" s="70">
        <f>'RESUMEN TOTAL'!AH376</f>
        <v>0</v>
      </c>
      <c r="V288" s="70">
        <f>'RESUMEN TOTAL'!AI376</f>
        <v>0</v>
      </c>
      <c r="W288" s="70">
        <f>'RESUMEN TOTAL'!AJ376</f>
        <v>0</v>
      </c>
      <c r="X288" s="70">
        <f>'RESUMEN TOTAL'!AK376</f>
        <v>0</v>
      </c>
      <c r="Y288" s="70">
        <f>'RESUMEN TOTAL'!AL376</f>
        <v>0</v>
      </c>
      <c r="Z288" s="70">
        <f>'RESUMEN TOTAL'!AM376</f>
        <v>0</v>
      </c>
      <c r="AA288" s="70">
        <f>'RESUMEN TOTAL'!AN376</f>
        <v>0</v>
      </c>
      <c r="AB288" s="70">
        <f>'RESUMEN TOTAL'!AO376</f>
        <v>0</v>
      </c>
      <c r="AC288" s="70">
        <f>'RESUMEN TOTAL'!AP376</f>
        <v>0</v>
      </c>
      <c r="AD288" s="70">
        <f>'RESUMEN TOTAL'!AQ376</f>
        <v>0</v>
      </c>
      <c r="AE288" s="70">
        <f>'RESUMEN TOTAL'!AR376</f>
        <v>0</v>
      </c>
      <c r="AF288" s="70">
        <f>'RESUMEN TOTAL'!AS376</f>
        <v>0</v>
      </c>
      <c r="AG288" s="70">
        <f>'RESUMEN TOTAL'!AT376</f>
        <v>0</v>
      </c>
      <c r="AH288" s="70">
        <f>'RESUMEN TOTAL'!AU376</f>
        <v>0</v>
      </c>
      <c r="AI288" s="70">
        <f>'RESUMEN TOTAL'!AV376</f>
        <v>0</v>
      </c>
      <c r="AJ288" s="70" t="e">
        <f>'RESUMEN TOTAL'!#REF!</f>
        <v>#REF!</v>
      </c>
    </row>
    <row r="289" spans="1:36" x14ac:dyDescent="0.25">
      <c r="A289" t="str">
        <f>'RESUMEN TOTAL'!F377</f>
        <v>MONTE CUDINE</v>
      </c>
      <c r="B289" t="str">
        <f>'RESUMEN TOTAL'!G377</f>
        <v>SAR 10</v>
      </c>
      <c r="C289" t="str">
        <f>'RESUMEN TOTAL'!I377</f>
        <v>SENZABELLO Y TINOGASTA</v>
      </c>
      <c r="D289" s="30" t="str">
        <f>'RESUMEN TOTAL'!J377</f>
        <v>Domo</v>
      </c>
      <c r="E289" s="30" t="str">
        <f>'RESUMEN TOTAL'!K377</f>
        <v>Fibra Optica</v>
      </c>
      <c r="F289" s="70">
        <f>'RESUMEN TOTAL'!S377</f>
        <v>0</v>
      </c>
      <c r="G289" s="70">
        <f>'RESUMEN TOTAL'!T377</f>
        <v>0</v>
      </c>
      <c r="H289" s="70">
        <f>'RESUMEN TOTAL'!U377</f>
        <v>0</v>
      </c>
      <c r="I289" s="70">
        <f>'RESUMEN TOTAL'!V377</f>
        <v>0</v>
      </c>
      <c r="J289" s="70">
        <f>'RESUMEN TOTAL'!W377</f>
        <v>0</v>
      </c>
      <c r="K289" s="70">
        <f>'RESUMEN TOTAL'!X377</f>
        <v>0</v>
      </c>
      <c r="L289" s="70">
        <f>'RESUMEN TOTAL'!Y377</f>
        <v>0</v>
      </c>
      <c r="M289" s="70">
        <f>'RESUMEN TOTAL'!Z377</f>
        <v>0</v>
      </c>
      <c r="N289" s="70">
        <f>'RESUMEN TOTAL'!AA377</f>
        <v>0</v>
      </c>
      <c r="O289" s="70">
        <f>'RESUMEN TOTAL'!AB377</f>
        <v>0</v>
      </c>
      <c r="P289" s="70">
        <f>'RESUMEN TOTAL'!AC377</f>
        <v>0</v>
      </c>
      <c r="Q289" s="70">
        <f>'RESUMEN TOTAL'!AD377</f>
        <v>0</v>
      </c>
      <c r="R289" s="70">
        <f>'RESUMEN TOTAL'!AE377</f>
        <v>0</v>
      </c>
      <c r="S289" s="70">
        <f>'RESUMEN TOTAL'!AF377</f>
        <v>0</v>
      </c>
      <c r="T289" s="70">
        <f>'RESUMEN TOTAL'!AG377</f>
        <v>0</v>
      </c>
      <c r="U289" s="70">
        <f>'RESUMEN TOTAL'!AH377</f>
        <v>0</v>
      </c>
      <c r="V289" s="70">
        <f>'RESUMEN TOTAL'!AI377</f>
        <v>0</v>
      </c>
      <c r="W289" s="70">
        <f>'RESUMEN TOTAL'!AJ377</f>
        <v>0</v>
      </c>
      <c r="X289" s="70">
        <f>'RESUMEN TOTAL'!AK377</f>
        <v>0</v>
      </c>
      <c r="Y289" s="70">
        <f>'RESUMEN TOTAL'!AL377</f>
        <v>0</v>
      </c>
      <c r="Z289" s="70">
        <f>'RESUMEN TOTAL'!AM377</f>
        <v>0</v>
      </c>
      <c r="AA289" s="70">
        <f>'RESUMEN TOTAL'!AN377</f>
        <v>0</v>
      </c>
      <c r="AB289" s="70">
        <f>'RESUMEN TOTAL'!AO377</f>
        <v>0</v>
      </c>
      <c r="AC289" s="70">
        <f>'RESUMEN TOTAL'!AP377</f>
        <v>0</v>
      </c>
      <c r="AD289" s="70">
        <f>'RESUMEN TOTAL'!AQ377</f>
        <v>0</v>
      </c>
      <c r="AE289" s="70">
        <f>'RESUMEN TOTAL'!AR377</f>
        <v>0</v>
      </c>
      <c r="AF289" s="70">
        <f>'RESUMEN TOTAL'!AS377</f>
        <v>0</v>
      </c>
      <c r="AG289" s="70">
        <f>'RESUMEN TOTAL'!AT377</f>
        <v>0</v>
      </c>
      <c r="AH289" s="70">
        <f>'RESUMEN TOTAL'!AU377</f>
        <v>0</v>
      </c>
      <c r="AI289" s="70">
        <f>'RESUMEN TOTAL'!AV377</f>
        <v>0</v>
      </c>
      <c r="AJ289" s="70" t="e">
        <f>'RESUMEN TOTAL'!#REF!</f>
        <v>#REF!</v>
      </c>
    </row>
    <row r="290" spans="1:36" x14ac:dyDescent="0.25">
      <c r="A290" t="str">
        <f>'RESUMEN TOTAL'!F378</f>
        <v>MONTE CUDINE</v>
      </c>
      <c r="B290" t="str">
        <f>'RESUMEN TOTAL'!G378</f>
        <v>SAR 11</v>
      </c>
      <c r="C290" t="str">
        <f>'RESUMEN TOTAL'!I378</f>
        <v>SENSABELLO Y BRAILLE</v>
      </c>
      <c r="D290" s="30" t="str">
        <f>'RESUMEN TOTAL'!J378</f>
        <v>Domo</v>
      </c>
      <c r="E290" s="30" t="str">
        <f>'RESUMEN TOTAL'!K378</f>
        <v>Fibra Optica</v>
      </c>
      <c r="F290" s="70">
        <f>'RESUMEN TOTAL'!S378</f>
        <v>0</v>
      </c>
      <c r="G290" s="70">
        <f>'RESUMEN TOTAL'!T378</f>
        <v>0</v>
      </c>
      <c r="H290" s="70">
        <f>'RESUMEN TOTAL'!U378</f>
        <v>0</v>
      </c>
      <c r="I290" s="70">
        <f>'RESUMEN TOTAL'!V378</f>
        <v>0</v>
      </c>
      <c r="J290" s="70">
        <f>'RESUMEN TOTAL'!W378</f>
        <v>0</v>
      </c>
      <c r="K290" s="70">
        <f>'RESUMEN TOTAL'!X378</f>
        <v>0</v>
      </c>
      <c r="L290" s="70">
        <f>'RESUMEN TOTAL'!Y378</f>
        <v>0</v>
      </c>
      <c r="M290" s="70">
        <f>'RESUMEN TOTAL'!Z378</f>
        <v>0</v>
      </c>
      <c r="N290" s="70">
        <f>'RESUMEN TOTAL'!AA378</f>
        <v>0</v>
      </c>
      <c r="O290" s="70">
        <f>'RESUMEN TOTAL'!AB378</f>
        <v>0</v>
      </c>
      <c r="P290" s="70">
        <f>'RESUMEN TOTAL'!AC378</f>
        <v>0</v>
      </c>
      <c r="Q290" s="70">
        <f>'RESUMEN TOTAL'!AD378</f>
        <v>0</v>
      </c>
      <c r="R290" s="70">
        <f>'RESUMEN TOTAL'!AE378</f>
        <v>0</v>
      </c>
      <c r="S290" s="70">
        <f>'RESUMEN TOTAL'!AF378</f>
        <v>0</v>
      </c>
      <c r="T290" s="70">
        <f>'RESUMEN TOTAL'!AG378</f>
        <v>0</v>
      </c>
      <c r="U290" s="70">
        <f>'RESUMEN TOTAL'!AH378</f>
        <v>0</v>
      </c>
      <c r="V290" s="70">
        <f>'RESUMEN TOTAL'!AI378</f>
        <v>0</v>
      </c>
      <c r="W290" s="70">
        <f>'RESUMEN TOTAL'!AJ378</f>
        <v>0</v>
      </c>
      <c r="X290" s="70">
        <f>'RESUMEN TOTAL'!AK378</f>
        <v>0</v>
      </c>
      <c r="Y290" s="70">
        <f>'RESUMEN TOTAL'!AL378</f>
        <v>0</v>
      </c>
      <c r="Z290" s="70">
        <f>'RESUMEN TOTAL'!AM378</f>
        <v>0</v>
      </c>
      <c r="AA290" s="70">
        <f>'RESUMEN TOTAL'!AN378</f>
        <v>0</v>
      </c>
      <c r="AB290" s="70">
        <f>'RESUMEN TOTAL'!AO378</f>
        <v>0</v>
      </c>
      <c r="AC290" s="70">
        <f>'RESUMEN TOTAL'!AP378</f>
        <v>0</v>
      </c>
      <c r="AD290" s="70">
        <f>'RESUMEN TOTAL'!AQ378</f>
        <v>0</v>
      </c>
      <c r="AE290" s="70">
        <f>'RESUMEN TOTAL'!AR378</f>
        <v>0</v>
      </c>
      <c r="AF290" s="70">
        <f>'RESUMEN TOTAL'!AS378</f>
        <v>0</v>
      </c>
      <c r="AG290" s="70">
        <f>'RESUMEN TOTAL'!AT378</f>
        <v>0</v>
      </c>
      <c r="AH290" s="70">
        <f>'RESUMEN TOTAL'!AU378</f>
        <v>0</v>
      </c>
      <c r="AI290" s="70">
        <f>'RESUMEN TOTAL'!AV378</f>
        <v>0</v>
      </c>
      <c r="AJ290" s="70" t="e">
        <f>'RESUMEN TOTAL'!#REF!</f>
        <v>#REF!</v>
      </c>
    </row>
    <row r="291" spans="1:36" x14ac:dyDescent="0.25">
      <c r="A291" t="str">
        <f>'RESUMEN TOTAL'!F379</f>
        <v>MONTE CUDINE</v>
      </c>
      <c r="B291" t="str">
        <f>'RESUMEN TOTAL'!G379</f>
        <v>SAR 12</v>
      </c>
      <c r="C291" t="str">
        <f>'RESUMEN TOTAL'!I379</f>
        <v>Arenales y Estrada</v>
      </c>
      <c r="D291" s="30" t="str">
        <f>'RESUMEN TOTAL'!J379</f>
        <v>Fija</v>
      </c>
      <c r="E291" s="30" t="str">
        <f>'RESUMEN TOTAL'!K379</f>
        <v>GPON</v>
      </c>
      <c r="F291" s="70">
        <f>'RESUMEN TOTAL'!S379</f>
        <v>0</v>
      </c>
      <c r="G291" s="70">
        <f>'RESUMEN TOTAL'!T379</f>
        <v>0</v>
      </c>
      <c r="H291" s="70">
        <f>'RESUMEN TOTAL'!U379</f>
        <v>0</v>
      </c>
      <c r="I291" s="70">
        <f>'RESUMEN TOTAL'!V379</f>
        <v>0</v>
      </c>
      <c r="J291" s="70">
        <f>'RESUMEN TOTAL'!W379</f>
        <v>0</v>
      </c>
      <c r="K291" s="70">
        <f>'RESUMEN TOTAL'!X379</f>
        <v>0</v>
      </c>
      <c r="L291" s="70">
        <f>'RESUMEN TOTAL'!Y379</f>
        <v>0</v>
      </c>
      <c r="M291" s="70">
        <f>'RESUMEN TOTAL'!Z379</f>
        <v>0</v>
      </c>
      <c r="N291" s="70">
        <f>'RESUMEN TOTAL'!AA379</f>
        <v>0</v>
      </c>
      <c r="O291" s="70">
        <f>'RESUMEN TOTAL'!AB379</f>
        <v>0</v>
      </c>
      <c r="P291" s="70">
        <f>'RESUMEN TOTAL'!AC379</f>
        <v>0</v>
      </c>
      <c r="Q291" s="70">
        <f>'RESUMEN TOTAL'!AD379</f>
        <v>0</v>
      </c>
      <c r="R291" s="70">
        <f>'RESUMEN TOTAL'!AE379</f>
        <v>0</v>
      </c>
      <c r="S291" s="70">
        <f>'RESUMEN TOTAL'!AF379</f>
        <v>0</v>
      </c>
      <c r="T291" s="70">
        <f>'RESUMEN TOTAL'!AG379</f>
        <v>0</v>
      </c>
      <c r="U291" s="70">
        <f>'RESUMEN TOTAL'!AH379</f>
        <v>0</v>
      </c>
      <c r="V291" s="70">
        <f>'RESUMEN TOTAL'!AI379</f>
        <v>0</v>
      </c>
      <c r="W291" s="70">
        <f>'RESUMEN TOTAL'!AJ379</f>
        <v>0</v>
      </c>
      <c r="X291" s="70">
        <f>'RESUMEN TOTAL'!AK379</f>
        <v>0</v>
      </c>
      <c r="Y291" s="70">
        <f>'RESUMEN TOTAL'!AL379</f>
        <v>0</v>
      </c>
      <c r="Z291" s="70">
        <f>'RESUMEN TOTAL'!AM379</f>
        <v>0</v>
      </c>
      <c r="AA291" s="70">
        <f>'RESUMEN TOTAL'!AN379</f>
        <v>0</v>
      </c>
      <c r="AB291" s="70">
        <f>'RESUMEN TOTAL'!AO379</f>
        <v>0</v>
      </c>
      <c r="AC291" s="70">
        <f>'RESUMEN TOTAL'!AP379</f>
        <v>0</v>
      </c>
      <c r="AD291" s="70">
        <f>'RESUMEN TOTAL'!AQ379</f>
        <v>0</v>
      </c>
      <c r="AE291" s="70">
        <f>'RESUMEN TOTAL'!AR379</f>
        <v>0</v>
      </c>
      <c r="AF291" s="70">
        <f>'RESUMEN TOTAL'!AS379</f>
        <v>0</v>
      </c>
      <c r="AG291" s="70">
        <f>'RESUMEN TOTAL'!AT379</f>
        <v>0</v>
      </c>
      <c r="AH291" s="70">
        <f>'RESUMEN TOTAL'!AU379</f>
        <v>0</v>
      </c>
      <c r="AI291" s="70">
        <f>'RESUMEN TOTAL'!AV379</f>
        <v>0</v>
      </c>
      <c r="AJ291" s="70" t="e">
        <f>'RESUMEN TOTAL'!#REF!</f>
        <v>#REF!</v>
      </c>
    </row>
    <row r="292" spans="1:36" x14ac:dyDescent="0.25">
      <c r="A292" t="str">
        <f>'RESUMEN TOTAL'!F384</f>
        <v>SAN EDUARDO</v>
      </c>
      <c r="B292" t="str">
        <f>'RESUMEN TOTAL'!G384</f>
        <v>SEDU01</v>
      </c>
      <c r="C292" t="str">
        <f>'RESUMEN TOTAL'!I384</f>
        <v>San Martin y Sperandio</v>
      </c>
      <c r="D292" s="30" t="str">
        <f>'RESUMEN TOTAL'!J384</f>
        <v>Domo</v>
      </c>
      <c r="E292" s="30" t="str">
        <f>'RESUMEN TOTAL'!K384</f>
        <v>Fibra Optica</v>
      </c>
      <c r="F292" s="70">
        <f>'RESUMEN TOTAL'!S384</f>
        <v>0</v>
      </c>
      <c r="G292" s="70">
        <f>'RESUMEN TOTAL'!T384</f>
        <v>0</v>
      </c>
      <c r="H292" s="70">
        <f>'RESUMEN TOTAL'!U384</f>
        <v>0</v>
      </c>
      <c r="I292" s="70">
        <f>'RESUMEN TOTAL'!V384</f>
        <v>0</v>
      </c>
      <c r="J292" s="70">
        <f>'RESUMEN TOTAL'!W384</f>
        <v>0</v>
      </c>
      <c r="K292" s="70">
        <f>'RESUMEN TOTAL'!X384</f>
        <v>0</v>
      </c>
      <c r="L292" s="70">
        <f>'RESUMEN TOTAL'!Y384</f>
        <v>0</v>
      </c>
      <c r="M292" s="70">
        <f>'RESUMEN TOTAL'!Z384</f>
        <v>0</v>
      </c>
      <c r="N292" s="70">
        <f>'RESUMEN TOTAL'!AA384</f>
        <v>0</v>
      </c>
      <c r="O292" s="70">
        <f>'RESUMEN TOTAL'!AB384</f>
        <v>0</v>
      </c>
      <c r="P292" s="70">
        <f>'RESUMEN TOTAL'!AC384</f>
        <v>0</v>
      </c>
      <c r="Q292" s="70">
        <f>'RESUMEN TOTAL'!AD384</f>
        <v>0</v>
      </c>
      <c r="R292" s="70">
        <f>'RESUMEN TOTAL'!AE384</f>
        <v>0</v>
      </c>
      <c r="S292" s="70">
        <f>'RESUMEN TOTAL'!AF384</f>
        <v>0</v>
      </c>
      <c r="T292" s="70">
        <f>'RESUMEN TOTAL'!AG384</f>
        <v>0</v>
      </c>
      <c r="U292" s="70">
        <f>'RESUMEN TOTAL'!AH384</f>
        <v>0</v>
      </c>
      <c r="V292" s="70">
        <f>'RESUMEN TOTAL'!AI384</f>
        <v>0</v>
      </c>
      <c r="W292" s="70">
        <f>'RESUMEN TOTAL'!AJ384</f>
        <v>0</v>
      </c>
      <c r="X292" s="70">
        <f>'RESUMEN TOTAL'!AK384</f>
        <v>0</v>
      </c>
      <c r="Y292" s="70">
        <f>'RESUMEN TOTAL'!AL384</f>
        <v>0</v>
      </c>
      <c r="Z292" s="70">
        <f>'RESUMEN TOTAL'!AM384</f>
        <v>0</v>
      </c>
      <c r="AA292" s="70">
        <f>'RESUMEN TOTAL'!AN384</f>
        <v>0</v>
      </c>
      <c r="AB292" s="70">
        <f>'RESUMEN TOTAL'!AO384</f>
        <v>0</v>
      </c>
      <c r="AC292" s="70">
        <f>'RESUMEN TOTAL'!AP384</f>
        <v>0</v>
      </c>
      <c r="AD292" s="70">
        <f>'RESUMEN TOTAL'!AQ384</f>
        <v>0</v>
      </c>
      <c r="AE292" s="70">
        <f>'RESUMEN TOTAL'!AR384</f>
        <v>0</v>
      </c>
      <c r="AF292" s="70">
        <f>'RESUMEN TOTAL'!AS384</f>
        <v>0</v>
      </c>
      <c r="AG292" s="70">
        <f>'RESUMEN TOTAL'!AT384</f>
        <v>0</v>
      </c>
      <c r="AH292" s="70">
        <f>'RESUMEN TOTAL'!AU384</f>
        <v>0</v>
      </c>
      <c r="AI292" s="70">
        <f>'RESUMEN TOTAL'!AV384</f>
        <v>0</v>
      </c>
      <c r="AJ292" s="70" t="e">
        <f>'RESUMEN TOTAL'!#REF!</f>
        <v>#REF!</v>
      </c>
    </row>
    <row r="293" spans="1:36" x14ac:dyDescent="0.25">
      <c r="A293" t="str">
        <f>'RESUMEN TOTAL'!F385</f>
        <v>SAN EDUARDO</v>
      </c>
      <c r="B293" t="str">
        <f>'RESUMEN TOTAL'!G385</f>
        <v>SEDU02</v>
      </c>
      <c r="C293" t="str">
        <f>'RESUMEN TOTAL'!I385</f>
        <v>Curva de Berraymundo</v>
      </c>
      <c r="D293" s="30" t="str">
        <f>'RESUMEN TOTAL'!J385</f>
        <v>Domo</v>
      </c>
      <c r="E293" s="30" t="str">
        <f>'RESUMEN TOTAL'!K385</f>
        <v>GPON</v>
      </c>
      <c r="F293" s="70">
        <f>'RESUMEN TOTAL'!S385</f>
        <v>0</v>
      </c>
      <c r="G293" s="70">
        <f>'RESUMEN TOTAL'!T385</f>
        <v>0</v>
      </c>
      <c r="H293" s="70">
        <f>'RESUMEN TOTAL'!U385</f>
        <v>0</v>
      </c>
      <c r="I293" s="70">
        <f>'RESUMEN TOTAL'!V385</f>
        <v>0</v>
      </c>
      <c r="J293" s="70">
        <f>'RESUMEN TOTAL'!W385</f>
        <v>0</v>
      </c>
      <c r="K293" s="70">
        <f>'RESUMEN TOTAL'!X385</f>
        <v>0</v>
      </c>
      <c r="L293" s="70">
        <f>'RESUMEN TOTAL'!Y385</f>
        <v>0</v>
      </c>
      <c r="M293" s="70">
        <f>'RESUMEN TOTAL'!Z385</f>
        <v>0</v>
      </c>
      <c r="N293" s="70">
        <f>'RESUMEN TOTAL'!AA385</f>
        <v>0</v>
      </c>
      <c r="O293" s="70">
        <f>'RESUMEN TOTAL'!AB385</f>
        <v>0</v>
      </c>
      <c r="P293" s="70">
        <f>'RESUMEN TOTAL'!AC385</f>
        <v>0</v>
      </c>
      <c r="Q293" s="70">
        <f>'RESUMEN TOTAL'!AD385</f>
        <v>0</v>
      </c>
      <c r="R293" s="70">
        <f>'RESUMEN TOTAL'!AE385</f>
        <v>0</v>
      </c>
      <c r="S293" s="70">
        <f>'RESUMEN TOTAL'!AF385</f>
        <v>0</v>
      </c>
      <c r="T293" s="70">
        <f>'RESUMEN TOTAL'!AG385</f>
        <v>0</v>
      </c>
      <c r="U293" s="70">
        <f>'RESUMEN TOTAL'!AH385</f>
        <v>0</v>
      </c>
      <c r="V293" s="70">
        <f>'RESUMEN TOTAL'!AI385</f>
        <v>0</v>
      </c>
      <c r="W293" s="70">
        <f>'RESUMEN TOTAL'!AJ385</f>
        <v>0</v>
      </c>
      <c r="X293" s="70">
        <f>'RESUMEN TOTAL'!AK385</f>
        <v>0</v>
      </c>
      <c r="Y293" s="70">
        <f>'RESUMEN TOTAL'!AL385</f>
        <v>0</v>
      </c>
      <c r="Z293" s="70">
        <f>'RESUMEN TOTAL'!AM385</f>
        <v>0</v>
      </c>
      <c r="AA293" s="70">
        <f>'RESUMEN TOTAL'!AN385</f>
        <v>0</v>
      </c>
      <c r="AB293" s="70">
        <f>'RESUMEN TOTAL'!AO385</f>
        <v>0</v>
      </c>
      <c r="AC293" s="70">
        <f>'RESUMEN TOTAL'!AP385</f>
        <v>0</v>
      </c>
      <c r="AD293" s="70">
        <f>'RESUMEN TOTAL'!AQ385</f>
        <v>0</v>
      </c>
      <c r="AE293" s="70">
        <f>'RESUMEN TOTAL'!AR385</f>
        <v>0</v>
      </c>
      <c r="AF293" s="70">
        <f>'RESUMEN TOTAL'!AS385</f>
        <v>0</v>
      </c>
      <c r="AG293" s="70">
        <f>'RESUMEN TOTAL'!AT385</f>
        <v>0</v>
      </c>
      <c r="AH293" s="70">
        <f>'RESUMEN TOTAL'!AU385</f>
        <v>0</v>
      </c>
      <c r="AI293" s="70">
        <f>'RESUMEN TOTAL'!AV385</f>
        <v>0</v>
      </c>
      <c r="AJ293" s="70" t="e">
        <f>'RESUMEN TOTAL'!#REF!</f>
        <v>#REF!</v>
      </c>
    </row>
    <row r="294" spans="1:36" x14ac:dyDescent="0.25">
      <c r="A294" t="str">
        <f>'RESUMEN TOTAL'!F386</f>
        <v>VILLA CIRIO</v>
      </c>
      <c r="B294" t="str">
        <f>'RESUMEN TOTAL'!G386</f>
        <v>SEDU03</v>
      </c>
      <c r="C294" t="str">
        <f>'RESUMEN TOTAL'!I386</f>
        <v>Av. San Martin y Las Americas</v>
      </c>
      <c r="D294" s="30" t="str">
        <f>'RESUMEN TOTAL'!J386</f>
        <v>Domo</v>
      </c>
      <c r="E294" s="30" t="str">
        <f>'RESUMEN TOTAL'!K386</f>
        <v>GPON</v>
      </c>
      <c r="F294" s="70">
        <f>'RESUMEN TOTAL'!S386</f>
        <v>0</v>
      </c>
      <c r="G294" s="70">
        <f>'RESUMEN TOTAL'!T386</f>
        <v>0</v>
      </c>
      <c r="H294" s="70">
        <f>'RESUMEN TOTAL'!U386</f>
        <v>0</v>
      </c>
      <c r="I294" s="70">
        <f>'RESUMEN TOTAL'!V386</f>
        <v>0</v>
      </c>
      <c r="J294" s="70">
        <f>'RESUMEN TOTAL'!W386</f>
        <v>0</v>
      </c>
      <c r="K294" s="70">
        <f>'RESUMEN TOTAL'!X386</f>
        <v>0</v>
      </c>
      <c r="L294" s="70">
        <f>'RESUMEN TOTAL'!Y386</f>
        <v>0</v>
      </c>
      <c r="M294" s="70">
        <f>'RESUMEN TOTAL'!Z386</f>
        <v>0</v>
      </c>
      <c r="N294" s="70">
        <f>'RESUMEN TOTAL'!AA386</f>
        <v>0</v>
      </c>
      <c r="O294" s="70">
        <f>'RESUMEN TOTAL'!AB386</f>
        <v>0</v>
      </c>
      <c r="P294" s="70">
        <f>'RESUMEN TOTAL'!AC386</f>
        <v>0</v>
      </c>
      <c r="Q294" s="70">
        <f>'RESUMEN TOTAL'!AD386</f>
        <v>0</v>
      </c>
      <c r="R294" s="70">
        <f>'RESUMEN TOTAL'!AE386</f>
        <v>0</v>
      </c>
      <c r="S294" s="70">
        <f>'RESUMEN TOTAL'!AF386</f>
        <v>0</v>
      </c>
      <c r="T294" s="70">
        <f>'RESUMEN TOTAL'!AG386</f>
        <v>0</v>
      </c>
      <c r="U294" s="70">
        <f>'RESUMEN TOTAL'!AH386</f>
        <v>0</v>
      </c>
      <c r="V294" s="70">
        <f>'RESUMEN TOTAL'!AI386</f>
        <v>0</v>
      </c>
      <c r="W294" s="70">
        <f>'RESUMEN TOTAL'!AJ386</f>
        <v>0</v>
      </c>
      <c r="X294" s="70">
        <f>'RESUMEN TOTAL'!AK386</f>
        <v>0</v>
      </c>
      <c r="Y294" s="70">
        <f>'RESUMEN TOTAL'!AL386</f>
        <v>0</v>
      </c>
      <c r="Z294" s="70">
        <f>'RESUMEN TOTAL'!AM386</f>
        <v>0</v>
      </c>
      <c r="AA294" s="70">
        <f>'RESUMEN TOTAL'!AN386</f>
        <v>0</v>
      </c>
      <c r="AB294" s="70">
        <f>'RESUMEN TOTAL'!AO386</f>
        <v>0</v>
      </c>
      <c r="AC294" s="70">
        <f>'RESUMEN TOTAL'!AP386</f>
        <v>0</v>
      </c>
      <c r="AD294" s="70">
        <f>'RESUMEN TOTAL'!AQ386</f>
        <v>0</v>
      </c>
      <c r="AE294" s="70">
        <f>'RESUMEN TOTAL'!AR386</f>
        <v>0</v>
      </c>
      <c r="AF294" s="70">
        <f>'RESUMEN TOTAL'!AS386</f>
        <v>0</v>
      </c>
      <c r="AG294" s="70">
        <f>'RESUMEN TOTAL'!AT386</f>
        <v>0</v>
      </c>
      <c r="AH294" s="70">
        <f>'RESUMEN TOTAL'!AU386</f>
        <v>0</v>
      </c>
      <c r="AI294" s="70">
        <f>'RESUMEN TOTAL'!AV386</f>
        <v>0</v>
      </c>
      <c r="AJ294" s="70" t="e">
        <f>'RESUMEN TOTAL'!#REF!</f>
        <v>#REF!</v>
      </c>
    </row>
    <row r="295" spans="1:36" x14ac:dyDescent="0.25">
      <c r="A295" t="str">
        <f>'RESUMEN TOTAL'!F388</f>
        <v>SAN EMILIO</v>
      </c>
      <c r="B295" t="str">
        <f>'RESUMEN TOTAL'!G388</f>
        <v>SEMI 02</v>
      </c>
      <c r="C295" t="str">
        <f>'RESUMEN TOTAL'!I388</f>
        <v>Cno. Gral. Belgrano y Francia</v>
      </c>
      <c r="D295" s="30" t="str">
        <f>'RESUMEN TOTAL'!J388</f>
        <v>Domo</v>
      </c>
      <c r="E295" s="30" t="str">
        <f>'RESUMEN TOTAL'!K388</f>
        <v>GPON</v>
      </c>
      <c r="F295" s="70">
        <f>'RESUMEN TOTAL'!S388</f>
        <v>0</v>
      </c>
      <c r="G295" s="70">
        <f>'RESUMEN TOTAL'!T388</f>
        <v>0</v>
      </c>
      <c r="H295" s="70">
        <f>'RESUMEN TOTAL'!U388</f>
        <v>0</v>
      </c>
      <c r="I295" s="70">
        <f>'RESUMEN TOTAL'!V388</f>
        <v>0</v>
      </c>
      <c r="J295" s="70">
        <f>'RESUMEN TOTAL'!W388</f>
        <v>0</v>
      </c>
      <c r="K295" s="70">
        <f>'RESUMEN TOTAL'!X388</f>
        <v>0</v>
      </c>
      <c r="L295" s="70">
        <f>'RESUMEN TOTAL'!Y388</f>
        <v>0</v>
      </c>
      <c r="M295" s="70">
        <f>'RESUMEN TOTAL'!Z388</f>
        <v>0</v>
      </c>
      <c r="N295" s="70">
        <f>'RESUMEN TOTAL'!AA388</f>
        <v>0</v>
      </c>
      <c r="O295" s="70">
        <f>'RESUMEN TOTAL'!AB388</f>
        <v>0</v>
      </c>
      <c r="P295" s="70">
        <f>'RESUMEN TOTAL'!AC388</f>
        <v>0</v>
      </c>
      <c r="Q295" s="70">
        <f>'RESUMEN TOTAL'!AD388</f>
        <v>0</v>
      </c>
      <c r="R295" s="70">
        <f>'RESUMEN TOTAL'!AE388</f>
        <v>0</v>
      </c>
      <c r="S295" s="70">
        <f>'RESUMEN TOTAL'!AF388</f>
        <v>0</v>
      </c>
      <c r="T295" s="70">
        <f>'RESUMEN TOTAL'!AG388</f>
        <v>0</v>
      </c>
      <c r="U295" s="70">
        <f>'RESUMEN TOTAL'!AH388</f>
        <v>0</v>
      </c>
      <c r="V295" s="70">
        <f>'RESUMEN TOTAL'!AI388</f>
        <v>0</v>
      </c>
      <c r="W295" s="70">
        <f>'RESUMEN TOTAL'!AJ388</f>
        <v>0</v>
      </c>
      <c r="X295" s="70">
        <f>'RESUMEN TOTAL'!AK388</f>
        <v>0</v>
      </c>
      <c r="Y295" s="70">
        <f>'RESUMEN TOTAL'!AL388</f>
        <v>0</v>
      </c>
      <c r="Z295" s="70">
        <f>'RESUMEN TOTAL'!AM388</f>
        <v>0</v>
      </c>
      <c r="AA295" s="70">
        <f>'RESUMEN TOTAL'!AN388</f>
        <v>0</v>
      </c>
      <c r="AB295" s="70">
        <f>'RESUMEN TOTAL'!AO388</f>
        <v>0</v>
      </c>
      <c r="AC295" s="70">
        <f>'RESUMEN TOTAL'!AP388</f>
        <v>0</v>
      </c>
      <c r="AD295" s="70">
        <f>'RESUMEN TOTAL'!AQ388</f>
        <v>0</v>
      </c>
      <c r="AE295" s="70">
        <f>'RESUMEN TOTAL'!AR388</f>
        <v>0</v>
      </c>
      <c r="AF295" s="70">
        <f>'RESUMEN TOTAL'!AS388</f>
        <v>0</v>
      </c>
      <c r="AG295" s="70">
        <f>'RESUMEN TOTAL'!AT388</f>
        <v>0</v>
      </c>
      <c r="AH295" s="70">
        <f>'RESUMEN TOTAL'!AU388</f>
        <v>0</v>
      </c>
      <c r="AI295" s="70">
        <f>'RESUMEN TOTAL'!AV388</f>
        <v>0</v>
      </c>
      <c r="AJ295" s="70" t="e">
        <f>'RESUMEN TOTAL'!#REF!</f>
        <v>#REF!</v>
      </c>
    </row>
    <row r="296" spans="1:36" x14ac:dyDescent="0.25">
      <c r="A296" t="str">
        <f>'RESUMEN TOTAL'!F389</f>
        <v>SAN EMILIO</v>
      </c>
      <c r="B296" t="str">
        <f>'RESUMEN TOTAL'!G389</f>
        <v>SEMI01</v>
      </c>
      <c r="C296" t="str">
        <f>'RESUMEN TOTAL'!I389</f>
        <v>San Martin y Av. del Trabajo</v>
      </c>
      <c r="D296" s="30" t="str">
        <f>'RESUMEN TOTAL'!J389</f>
        <v>Domo</v>
      </c>
      <c r="E296" s="30" t="str">
        <f>'RESUMEN TOTAL'!K389</f>
        <v>Fibra Optica</v>
      </c>
      <c r="F296" s="70">
        <f>'RESUMEN TOTAL'!S389</f>
        <v>0</v>
      </c>
      <c r="G296" s="70">
        <f>'RESUMEN TOTAL'!T389</f>
        <v>0</v>
      </c>
      <c r="H296" s="70">
        <f>'RESUMEN TOTAL'!U389</f>
        <v>0</v>
      </c>
      <c r="I296" s="70">
        <f>'RESUMEN TOTAL'!V389</f>
        <v>0</v>
      </c>
      <c r="J296" s="70">
        <f>'RESUMEN TOTAL'!W389</f>
        <v>0</v>
      </c>
      <c r="K296" s="70">
        <f>'RESUMEN TOTAL'!X389</f>
        <v>0</v>
      </c>
      <c r="L296" s="70">
        <f>'RESUMEN TOTAL'!Y389</f>
        <v>0</v>
      </c>
      <c r="M296" s="70">
        <f>'RESUMEN TOTAL'!Z389</f>
        <v>0</v>
      </c>
      <c r="N296" s="70">
        <f>'RESUMEN TOTAL'!AA389</f>
        <v>0</v>
      </c>
      <c r="O296" s="70">
        <f>'RESUMEN TOTAL'!AB389</f>
        <v>0</v>
      </c>
      <c r="P296" s="70">
        <f>'RESUMEN TOTAL'!AC389</f>
        <v>0</v>
      </c>
      <c r="Q296" s="70">
        <f>'RESUMEN TOTAL'!AD389</f>
        <v>0</v>
      </c>
      <c r="R296" s="70">
        <f>'RESUMEN TOTAL'!AE389</f>
        <v>0</v>
      </c>
      <c r="S296" s="70">
        <f>'RESUMEN TOTAL'!AF389</f>
        <v>0</v>
      </c>
      <c r="T296" s="70">
        <f>'RESUMEN TOTAL'!AG389</f>
        <v>0</v>
      </c>
      <c r="U296" s="70">
        <f>'RESUMEN TOTAL'!AH389</f>
        <v>0</v>
      </c>
      <c r="V296" s="70">
        <f>'RESUMEN TOTAL'!AI389</f>
        <v>0</v>
      </c>
      <c r="W296" s="70">
        <f>'RESUMEN TOTAL'!AJ389</f>
        <v>0</v>
      </c>
      <c r="X296" s="70">
        <f>'RESUMEN TOTAL'!AK389</f>
        <v>0</v>
      </c>
      <c r="Y296" s="70">
        <f>'RESUMEN TOTAL'!AL389</f>
        <v>0</v>
      </c>
      <c r="Z296" s="70">
        <f>'RESUMEN TOTAL'!AM389</f>
        <v>0</v>
      </c>
      <c r="AA296" s="70">
        <f>'RESUMEN TOTAL'!AN389</f>
        <v>0</v>
      </c>
      <c r="AB296" s="70">
        <f>'RESUMEN TOTAL'!AO389</f>
        <v>0</v>
      </c>
      <c r="AC296" s="70">
        <f>'RESUMEN TOTAL'!AP389</f>
        <v>0</v>
      </c>
      <c r="AD296" s="70">
        <f>'RESUMEN TOTAL'!AQ389</f>
        <v>0</v>
      </c>
      <c r="AE296" s="70">
        <f>'RESUMEN TOTAL'!AR389</f>
        <v>0</v>
      </c>
      <c r="AF296" s="70">
        <f>'RESUMEN TOTAL'!AS389</f>
        <v>0</v>
      </c>
      <c r="AG296" s="70">
        <f>'RESUMEN TOTAL'!AT389</f>
        <v>0</v>
      </c>
      <c r="AH296" s="70">
        <f>'RESUMEN TOTAL'!AU389</f>
        <v>0</v>
      </c>
      <c r="AI296" s="70">
        <f>'RESUMEN TOTAL'!AV389</f>
        <v>0</v>
      </c>
      <c r="AJ296" s="70" t="e">
        <f>'RESUMEN TOTAL'!#REF!</f>
        <v>#REF!</v>
      </c>
    </row>
    <row r="297" spans="1:36" x14ac:dyDescent="0.25">
      <c r="A297" t="str">
        <f>'RESUMEN TOTAL'!F390</f>
        <v>SAN EMILIO</v>
      </c>
      <c r="B297" t="str">
        <f>'RESUMEN TOTAL'!G390</f>
        <v>SEMI03 (fija 1)</v>
      </c>
      <c r="C297" t="str">
        <f>'RESUMEN TOTAL'!I390</f>
        <v>GORRITI E/ GALARZA Y LOPE DE VEGA</v>
      </c>
      <c r="D297" s="30" t="str">
        <f>'RESUMEN TOTAL'!J390</f>
        <v>Fija</v>
      </c>
      <c r="E297" s="30" t="str">
        <f>'RESUMEN TOTAL'!K390</f>
        <v>Fibra Optica</v>
      </c>
      <c r="F297" s="70">
        <f>'RESUMEN TOTAL'!S390</f>
        <v>0</v>
      </c>
      <c r="G297" s="70">
        <f>'RESUMEN TOTAL'!T390</f>
        <v>0</v>
      </c>
      <c r="H297" s="70">
        <f>'RESUMEN TOTAL'!U390</f>
        <v>0</v>
      </c>
      <c r="I297" s="70">
        <f>'RESUMEN TOTAL'!V390</f>
        <v>0</v>
      </c>
      <c r="J297" s="70">
        <f>'RESUMEN TOTAL'!W390</f>
        <v>0</v>
      </c>
      <c r="K297" s="70">
        <f>'RESUMEN TOTAL'!X390</f>
        <v>0</v>
      </c>
      <c r="L297" s="70">
        <f>'RESUMEN TOTAL'!Y390</f>
        <v>0</v>
      </c>
      <c r="M297" s="70">
        <f>'RESUMEN TOTAL'!Z390</f>
        <v>0</v>
      </c>
      <c r="N297" s="70">
        <f>'RESUMEN TOTAL'!AA390</f>
        <v>0</v>
      </c>
      <c r="O297" s="70">
        <f>'RESUMEN TOTAL'!AB390</f>
        <v>0</v>
      </c>
      <c r="P297" s="70">
        <f>'RESUMEN TOTAL'!AC390</f>
        <v>0</v>
      </c>
      <c r="Q297" s="70">
        <f>'RESUMEN TOTAL'!AD390</f>
        <v>0</v>
      </c>
      <c r="R297" s="70">
        <f>'RESUMEN TOTAL'!AE390</f>
        <v>0</v>
      </c>
      <c r="S297" s="70">
        <f>'RESUMEN TOTAL'!AF390</f>
        <v>0</v>
      </c>
      <c r="T297" s="70">
        <f>'RESUMEN TOTAL'!AG390</f>
        <v>0</v>
      </c>
      <c r="U297" s="70">
        <f>'RESUMEN TOTAL'!AH390</f>
        <v>0</v>
      </c>
      <c r="V297" s="70">
        <f>'RESUMEN TOTAL'!AI390</f>
        <v>0</v>
      </c>
      <c r="W297" s="70">
        <f>'RESUMEN TOTAL'!AJ390</f>
        <v>0</v>
      </c>
      <c r="X297" s="70">
        <f>'RESUMEN TOTAL'!AK390</f>
        <v>0</v>
      </c>
      <c r="Y297" s="70">
        <f>'RESUMEN TOTAL'!AL390</f>
        <v>0</v>
      </c>
      <c r="Z297" s="70">
        <f>'RESUMEN TOTAL'!AM390</f>
        <v>0</v>
      </c>
      <c r="AA297" s="70">
        <f>'RESUMEN TOTAL'!AN390</f>
        <v>0</v>
      </c>
      <c r="AB297" s="70">
        <f>'RESUMEN TOTAL'!AO390</f>
        <v>0</v>
      </c>
      <c r="AC297" s="70">
        <f>'RESUMEN TOTAL'!AP390</f>
        <v>0</v>
      </c>
      <c r="AD297" s="70">
        <f>'RESUMEN TOTAL'!AQ390</f>
        <v>0</v>
      </c>
      <c r="AE297" s="70">
        <f>'RESUMEN TOTAL'!AR390</f>
        <v>0</v>
      </c>
      <c r="AF297" s="70">
        <f>'RESUMEN TOTAL'!AS390</f>
        <v>0</v>
      </c>
      <c r="AG297" s="70">
        <f>'RESUMEN TOTAL'!AT390</f>
        <v>0</v>
      </c>
      <c r="AH297" s="70">
        <f>'RESUMEN TOTAL'!AU390</f>
        <v>0</v>
      </c>
      <c r="AI297" s="70">
        <f>'RESUMEN TOTAL'!AV390</f>
        <v>0</v>
      </c>
      <c r="AJ297" s="70" t="e">
        <f>'RESUMEN TOTAL'!#REF!</f>
        <v>#REF!</v>
      </c>
    </row>
    <row r="298" spans="1:36" x14ac:dyDescent="0.25">
      <c r="A298" t="str">
        <f>'RESUMEN TOTAL'!F391</f>
        <v>SAN EMILIO</v>
      </c>
      <c r="B298" t="str">
        <f>'RESUMEN TOTAL'!G391</f>
        <v>SEMI04 (fija 2)</v>
      </c>
      <c r="C298" t="str">
        <f>'RESUMEN TOTAL'!I391</f>
        <v>GORRITI E/ GALARZA Y LOPE DE VEGA</v>
      </c>
      <c r="D298" s="30" t="str">
        <f>'RESUMEN TOTAL'!J391</f>
        <v>Fija</v>
      </c>
      <c r="E298" s="30" t="str">
        <f>'RESUMEN TOTAL'!K391</f>
        <v>Fibra Optica</v>
      </c>
      <c r="F298" s="70">
        <f>'RESUMEN TOTAL'!S391</f>
        <v>0</v>
      </c>
      <c r="G298" s="70">
        <f>'RESUMEN TOTAL'!T391</f>
        <v>0</v>
      </c>
      <c r="H298" s="70">
        <f>'RESUMEN TOTAL'!U391</f>
        <v>0</v>
      </c>
      <c r="I298" s="70">
        <f>'RESUMEN TOTAL'!V391</f>
        <v>0</v>
      </c>
      <c r="J298" s="70">
        <f>'RESUMEN TOTAL'!W391</f>
        <v>0</v>
      </c>
      <c r="K298" s="70">
        <f>'RESUMEN TOTAL'!X391</f>
        <v>0</v>
      </c>
      <c r="L298" s="70">
        <f>'RESUMEN TOTAL'!Y391</f>
        <v>0</v>
      </c>
      <c r="M298" s="70">
        <f>'RESUMEN TOTAL'!Z391</f>
        <v>0</v>
      </c>
      <c r="N298" s="70">
        <f>'RESUMEN TOTAL'!AA391</f>
        <v>0</v>
      </c>
      <c r="O298" s="70">
        <f>'RESUMEN TOTAL'!AB391</f>
        <v>0</v>
      </c>
      <c r="P298" s="70">
        <f>'RESUMEN TOTAL'!AC391</f>
        <v>0</v>
      </c>
      <c r="Q298" s="70">
        <f>'RESUMEN TOTAL'!AD391</f>
        <v>0</v>
      </c>
      <c r="R298" s="70">
        <f>'RESUMEN TOTAL'!AE391</f>
        <v>0</v>
      </c>
      <c r="S298" s="70">
        <f>'RESUMEN TOTAL'!AF391</f>
        <v>0</v>
      </c>
      <c r="T298" s="70">
        <f>'RESUMEN TOTAL'!AG391</f>
        <v>0</v>
      </c>
      <c r="U298" s="70">
        <f>'RESUMEN TOTAL'!AH391</f>
        <v>0</v>
      </c>
      <c r="V298" s="70">
        <f>'RESUMEN TOTAL'!AI391</f>
        <v>0</v>
      </c>
      <c r="W298" s="70">
        <f>'RESUMEN TOTAL'!AJ391</f>
        <v>0</v>
      </c>
      <c r="X298" s="70">
        <f>'RESUMEN TOTAL'!AK391</f>
        <v>0</v>
      </c>
      <c r="Y298" s="70">
        <f>'RESUMEN TOTAL'!AL391</f>
        <v>0</v>
      </c>
      <c r="Z298" s="70">
        <f>'RESUMEN TOTAL'!AM391</f>
        <v>0</v>
      </c>
      <c r="AA298" s="70">
        <f>'RESUMEN TOTAL'!AN391</f>
        <v>0</v>
      </c>
      <c r="AB298" s="70">
        <f>'RESUMEN TOTAL'!AO391</f>
        <v>0</v>
      </c>
      <c r="AC298" s="70">
        <f>'RESUMEN TOTAL'!AP391</f>
        <v>0</v>
      </c>
      <c r="AD298" s="70">
        <f>'RESUMEN TOTAL'!AQ391</f>
        <v>0</v>
      </c>
      <c r="AE298" s="70">
        <f>'RESUMEN TOTAL'!AR391</f>
        <v>0</v>
      </c>
      <c r="AF298" s="70">
        <f>'RESUMEN TOTAL'!AS391</f>
        <v>0</v>
      </c>
      <c r="AG298" s="70">
        <f>'RESUMEN TOTAL'!AT391</f>
        <v>0</v>
      </c>
      <c r="AH298" s="70">
        <f>'RESUMEN TOTAL'!AU391</f>
        <v>0</v>
      </c>
      <c r="AI298" s="70">
        <f>'RESUMEN TOTAL'!AV391</f>
        <v>0</v>
      </c>
      <c r="AJ298" s="70" t="e">
        <f>'RESUMEN TOTAL'!#REF!</f>
        <v>#REF!</v>
      </c>
    </row>
    <row r="299" spans="1:36" x14ac:dyDescent="0.25">
      <c r="A299" t="str">
        <f>'RESUMEN TOTAL'!F392</f>
        <v>SAN EMILIO</v>
      </c>
      <c r="B299" t="str">
        <f>'RESUMEN TOTAL'!G392</f>
        <v xml:space="preserve">SEMI05 </v>
      </c>
      <c r="C299" t="str">
        <f>'RESUMEN TOTAL'!I392</f>
        <v xml:space="preserve">Av Del Trabajo y Carlos Gardel </v>
      </c>
      <c r="D299" s="30" t="str">
        <f>'RESUMEN TOTAL'!J392</f>
        <v>DOMO</v>
      </c>
      <c r="E299" s="30" t="str">
        <f>'RESUMEN TOTAL'!K392</f>
        <v>PTO A FO</v>
      </c>
      <c r="F299" s="70">
        <f>'RESUMEN TOTAL'!S392</f>
        <v>0</v>
      </c>
      <c r="G299" s="70">
        <f>'RESUMEN TOTAL'!T392</f>
        <v>0</v>
      </c>
      <c r="H299" s="70">
        <f>'RESUMEN TOTAL'!U392</f>
        <v>0</v>
      </c>
      <c r="I299" s="70">
        <f>'RESUMEN TOTAL'!V392</f>
        <v>0</v>
      </c>
      <c r="J299" s="70">
        <f>'RESUMEN TOTAL'!W392</f>
        <v>0</v>
      </c>
      <c r="K299" s="70">
        <f>'RESUMEN TOTAL'!X392</f>
        <v>0</v>
      </c>
      <c r="L299" s="70">
        <f>'RESUMEN TOTAL'!Y392</f>
        <v>0</v>
      </c>
      <c r="M299" s="70">
        <f>'RESUMEN TOTAL'!Z392</f>
        <v>0</v>
      </c>
      <c r="N299" s="70">
        <f>'RESUMEN TOTAL'!AA392</f>
        <v>0</v>
      </c>
      <c r="O299" s="70">
        <f>'RESUMEN TOTAL'!AB392</f>
        <v>0</v>
      </c>
      <c r="P299" s="70">
        <f>'RESUMEN TOTAL'!AC392</f>
        <v>0</v>
      </c>
      <c r="Q299" s="70">
        <f>'RESUMEN TOTAL'!AD392</f>
        <v>0</v>
      </c>
      <c r="R299" s="70">
        <f>'RESUMEN TOTAL'!AE392</f>
        <v>0</v>
      </c>
      <c r="S299" s="70">
        <f>'RESUMEN TOTAL'!AF392</f>
        <v>0</v>
      </c>
      <c r="T299" s="70">
        <f>'RESUMEN TOTAL'!AG392</f>
        <v>0</v>
      </c>
      <c r="U299" s="70">
        <f>'RESUMEN TOTAL'!AH392</f>
        <v>0</v>
      </c>
      <c r="V299" s="70">
        <f>'RESUMEN TOTAL'!AI392</f>
        <v>0</v>
      </c>
      <c r="W299" s="70">
        <f>'RESUMEN TOTAL'!AJ392</f>
        <v>0</v>
      </c>
      <c r="X299" s="70">
        <f>'RESUMEN TOTAL'!AK392</f>
        <v>0</v>
      </c>
      <c r="Y299" s="70">
        <f>'RESUMEN TOTAL'!AL392</f>
        <v>0</v>
      </c>
      <c r="Z299" s="70">
        <f>'RESUMEN TOTAL'!AM392</f>
        <v>0</v>
      </c>
      <c r="AA299" s="70">
        <f>'RESUMEN TOTAL'!AN392</f>
        <v>0</v>
      </c>
      <c r="AB299" s="70">
        <f>'RESUMEN TOTAL'!AO392</f>
        <v>0</v>
      </c>
      <c r="AC299" s="70">
        <f>'RESUMEN TOTAL'!AP392</f>
        <v>0</v>
      </c>
      <c r="AD299" s="70">
        <f>'RESUMEN TOTAL'!AQ392</f>
        <v>0</v>
      </c>
      <c r="AE299" s="70">
        <f>'RESUMEN TOTAL'!AR392</f>
        <v>0</v>
      </c>
      <c r="AF299" s="70">
        <f>'RESUMEN TOTAL'!AS392</f>
        <v>0</v>
      </c>
      <c r="AG299" s="70">
        <f>'RESUMEN TOTAL'!AT392</f>
        <v>0</v>
      </c>
      <c r="AH299" s="70">
        <f>'RESUMEN TOTAL'!AU392</f>
        <v>0</v>
      </c>
      <c r="AI299" s="70">
        <f>'RESUMEN TOTAL'!AV392</f>
        <v>0</v>
      </c>
      <c r="AJ299" s="70" t="e">
        <f>'RESUMEN TOTAL'!#REF!</f>
        <v>#REF!</v>
      </c>
    </row>
    <row r="300" spans="1:36" x14ac:dyDescent="0.25">
      <c r="A300" t="str">
        <f>'RESUMEN TOTAL'!F393</f>
        <v>SAN EDUARDO</v>
      </c>
      <c r="B300" t="str">
        <f>'RESUMEN TOTAL'!G393</f>
        <v>SIR 02</v>
      </c>
      <c r="C300" t="str">
        <f>'RESUMEN TOTAL'!I393</f>
        <v>Victorino de la Plaza y Argentina</v>
      </c>
      <c r="D300" s="30" t="str">
        <f>'RESUMEN TOTAL'!J393</f>
        <v>Domo</v>
      </c>
      <c r="E300" s="30" t="str">
        <f>'RESUMEN TOTAL'!K393</f>
        <v>GPON</v>
      </c>
      <c r="F300" s="70">
        <f>'RESUMEN TOTAL'!S393</f>
        <v>0</v>
      </c>
      <c r="G300" s="70">
        <f>'RESUMEN TOTAL'!T393</f>
        <v>0</v>
      </c>
      <c r="H300" s="70">
        <f>'RESUMEN TOTAL'!U393</f>
        <v>0</v>
      </c>
      <c r="I300" s="70">
        <f>'RESUMEN TOTAL'!V393</f>
        <v>0</v>
      </c>
      <c r="J300" s="70">
        <f>'RESUMEN TOTAL'!W393</f>
        <v>0</v>
      </c>
      <c r="K300" s="70">
        <f>'RESUMEN TOTAL'!X393</f>
        <v>0</v>
      </c>
      <c r="L300" s="70">
        <f>'RESUMEN TOTAL'!Y393</f>
        <v>0</v>
      </c>
      <c r="M300" s="70">
        <f>'RESUMEN TOTAL'!Z393</f>
        <v>0</v>
      </c>
      <c r="N300" s="70">
        <f>'RESUMEN TOTAL'!AA393</f>
        <v>0</v>
      </c>
      <c r="O300" s="70">
        <f>'RESUMEN TOTAL'!AB393</f>
        <v>0</v>
      </c>
      <c r="P300" s="70">
        <f>'RESUMEN TOTAL'!AC393</f>
        <v>0</v>
      </c>
      <c r="Q300" s="70">
        <f>'RESUMEN TOTAL'!AD393</f>
        <v>0</v>
      </c>
      <c r="R300" s="70">
        <f>'RESUMEN TOTAL'!AE393</f>
        <v>0</v>
      </c>
      <c r="S300" s="70">
        <f>'RESUMEN TOTAL'!AF393</f>
        <v>0</v>
      </c>
      <c r="T300" s="70">
        <f>'RESUMEN TOTAL'!AG393</f>
        <v>0</v>
      </c>
      <c r="U300" s="70">
        <f>'RESUMEN TOTAL'!AH393</f>
        <v>0</v>
      </c>
      <c r="V300" s="70">
        <f>'RESUMEN TOTAL'!AI393</f>
        <v>0</v>
      </c>
      <c r="W300" s="70">
        <f>'RESUMEN TOTAL'!AJ393</f>
        <v>0</v>
      </c>
      <c r="X300" s="70">
        <f>'RESUMEN TOTAL'!AK393</f>
        <v>0</v>
      </c>
      <c r="Y300" s="70">
        <f>'RESUMEN TOTAL'!AL393</f>
        <v>0</v>
      </c>
      <c r="Z300" s="70">
        <f>'RESUMEN TOTAL'!AM393</f>
        <v>0</v>
      </c>
      <c r="AA300" s="70">
        <f>'RESUMEN TOTAL'!AN393</f>
        <v>0</v>
      </c>
      <c r="AB300" s="70">
        <f>'RESUMEN TOTAL'!AO393</f>
        <v>0</v>
      </c>
      <c r="AC300" s="70">
        <f>'RESUMEN TOTAL'!AP393</f>
        <v>0</v>
      </c>
      <c r="AD300" s="70">
        <f>'RESUMEN TOTAL'!AQ393</f>
        <v>0</v>
      </c>
      <c r="AE300" s="70">
        <f>'RESUMEN TOTAL'!AR393</f>
        <v>0</v>
      </c>
      <c r="AF300" s="70">
        <f>'RESUMEN TOTAL'!AS393</f>
        <v>0</v>
      </c>
      <c r="AG300" s="70">
        <f>'RESUMEN TOTAL'!AT393</f>
        <v>0</v>
      </c>
      <c r="AH300" s="70">
        <f>'RESUMEN TOTAL'!AU393</f>
        <v>0</v>
      </c>
      <c r="AI300" s="70">
        <f>'RESUMEN TOTAL'!AV393</f>
        <v>0</v>
      </c>
      <c r="AJ300" s="70" t="e">
        <f>'RESUMEN TOTAL'!#REF!</f>
        <v>#REF!</v>
      </c>
    </row>
    <row r="301" spans="1:36" x14ac:dyDescent="0.25">
      <c r="A301" t="str">
        <f>'RESUMEN TOTAL'!F394</f>
        <v>SAN EDUARDO</v>
      </c>
      <c r="B301" t="str">
        <f>'RESUMEN TOTAL'!G394</f>
        <v>SIR 03</v>
      </c>
      <c r="C301" t="str">
        <f>'RESUMEN TOTAL'!I394</f>
        <v>MONTES Y LONARDI</v>
      </c>
      <c r="D301" s="30" t="str">
        <f>'RESUMEN TOTAL'!J394</f>
        <v>DOMO</v>
      </c>
      <c r="E301" s="30" t="str">
        <f>'RESUMEN TOTAL'!K394</f>
        <v>Fibra Optica</v>
      </c>
      <c r="F301" s="70">
        <f>'RESUMEN TOTAL'!S394</f>
        <v>0</v>
      </c>
      <c r="G301" s="70">
        <f>'RESUMEN TOTAL'!T394</f>
        <v>0</v>
      </c>
      <c r="H301" s="70">
        <f>'RESUMEN TOTAL'!U394</f>
        <v>0</v>
      </c>
      <c r="I301" s="70">
        <f>'RESUMEN TOTAL'!V394</f>
        <v>0</v>
      </c>
      <c r="J301" s="70">
        <f>'RESUMEN TOTAL'!W394</f>
        <v>0</v>
      </c>
      <c r="K301" s="70">
        <f>'RESUMEN TOTAL'!X394</f>
        <v>0</v>
      </c>
      <c r="L301" s="70">
        <f>'RESUMEN TOTAL'!Y394</f>
        <v>0</v>
      </c>
      <c r="M301" s="70">
        <f>'RESUMEN TOTAL'!Z394</f>
        <v>0</v>
      </c>
      <c r="N301" s="70">
        <f>'RESUMEN TOTAL'!AA394</f>
        <v>0</v>
      </c>
      <c r="O301" s="70">
        <f>'RESUMEN TOTAL'!AB394</f>
        <v>0</v>
      </c>
      <c r="P301" s="70">
        <f>'RESUMEN TOTAL'!AC394</f>
        <v>0</v>
      </c>
      <c r="Q301" s="70">
        <f>'RESUMEN TOTAL'!AD394</f>
        <v>0</v>
      </c>
      <c r="R301" s="70">
        <f>'RESUMEN TOTAL'!AE394</f>
        <v>0</v>
      </c>
      <c r="S301" s="70">
        <f>'RESUMEN TOTAL'!AF394</f>
        <v>0</v>
      </c>
      <c r="T301" s="70">
        <f>'RESUMEN TOTAL'!AG394</f>
        <v>0</v>
      </c>
      <c r="U301" s="70">
        <f>'RESUMEN TOTAL'!AH394</f>
        <v>0</v>
      </c>
      <c r="V301" s="70">
        <f>'RESUMEN TOTAL'!AI394</f>
        <v>0</v>
      </c>
      <c r="W301" s="70">
        <f>'RESUMEN TOTAL'!AJ394</f>
        <v>0</v>
      </c>
      <c r="X301" s="70">
        <f>'RESUMEN TOTAL'!AK394</f>
        <v>0</v>
      </c>
      <c r="Y301" s="70">
        <f>'RESUMEN TOTAL'!AL394</f>
        <v>0</v>
      </c>
      <c r="Z301" s="70">
        <f>'RESUMEN TOTAL'!AM394</f>
        <v>0</v>
      </c>
      <c r="AA301" s="70">
        <f>'RESUMEN TOTAL'!AN394</f>
        <v>0</v>
      </c>
      <c r="AB301" s="70">
        <f>'RESUMEN TOTAL'!AO394</f>
        <v>0</v>
      </c>
      <c r="AC301" s="70">
        <f>'RESUMEN TOTAL'!AP394</f>
        <v>0</v>
      </c>
      <c r="AD301" s="70">
        <f>'RESUMEN TOTAL'!AQ394</f>
        <v>0</v>
      </c>
      <c r="AE301" s="70">
        <f>'RESUMEN TOTAL'!AR394</f>
        <v>0</v>
      </c>
      <c r="AF301" s="70">
        <f>'RESUMEN TOTAL'!AS394</f>
        <v>0</v>
      </c>
      <c r="AG301" s="70">
        <f>'RESUMEN TOTAL'!AT394</f>
        <v>0</v>
      </c>
      <c r="AH301" s="70">
        <f>'RESUMEN TOTAL'!AU394</f>
        <v>0</v>
      </c>
      <c r="AI301" s="70">
        <f>'RESUMEN TOTAL'!AV394</f>
        <v>0</v>
      </c>
      <c r="AJ301" s="70" t="e">
        <f>'RESUMEN TOTAL'!#REF!</f>
        <v>#REF!</v>
      </c>
    </row>
    <row r="302" spans="1:36" x14ac:dyDescent="0.25">
      <c r="A302" t="str">
        <f>'RESUMEN TOTAL'!F395</f>
        <v>LA SIRENA</v>
      </c>
      <c r="B302" t="str">
        <f>'RESUMEN TOTAL'!G395</f>
        <v>SIR 04</v>
      </c>
      <c r="C302" t="str">
        <f>'RESUMEN TOTAL'!I395</f>
        <v>AV. MONTEVERDE Y MORAN</v>
      </c>
      <c r="D302" s="30" t="str">
        <f>'RESUMEN TOTAL'!J395</f>
        <v>Domo</v>
      </c>
      <c r="E302" s="30" t="str">
        <f>'RESUMEN TOTAL'!K395</f>
        <v>Fibra Optica</v>
      </c>
      <c r="F302" s="70">
        <f>'RESUMEN TOTAL'!S395</f>
        <v>0</v>
      </c>
      <c r="G302" s="70">
        <f>'RESUMEN TOTAL'!T395</f>
        <v>0</v>
      </c>
      <c r="H302" s="70">
        <f>'RESUMEN TOTAL'!U395</f>
        <v>0</v>
      </c>
      <c r="I302" s="70">
        <f>'RESUMEN TOTAL'!V395</f>
        <v>0</v>
      </c>
      <c r="J302" s="70">
        <f>'RESUMEN TOTAL'!W395</f>
        <v>0</v>
      </c>
      <c r="K302" s="70">
        <f>'RESUMEN TOTAL'!X395</f>
        <v>0</v>
      </c>
      <c r="L302" s="70">
        <f>'RESUMEN TOTAL'!Y395</f>
        <v>0</v>
      </c>
      <c r="M302" s="70">
        <f>'RESUMEN TOTAL'!Z395</f>
        <v>0</v>
      </c>
      <c r="N302" s="70">
        <f>'RESUMEN TOTAL'!AA395</f>
        <v>0</v>
      </c>
      <c r="O302" s="70">
        <f>'RESUMEN TOTAL'!AB395</f>
        <v>0</v>
      </c>
      <c r="P302" s="70">
        <f>'RESUMEN TOTAL'!AC395</f>
        <v>0</v>
      </c>
      <c r="Q302" s="70">
        <f>'RESUMEN TOTAL'!AD395</f>
        <v>0</v>
      </c>
      <c r="R302" s="70">
        <f>'RESUMEN TOTAL'!AE395</f>
        <v>0</v>
      </c>
      <c r="S302" s="70">
        <f>'RESUMEN TOTAL'!AF395</f>
        <v>0</v>
      </c>
      <c r="T302" s="70">
        <f>'RESUMEN TOTAL'!AG395</f>
        <v>0</v>
      </c>
      <c r="U302" s="70">
        <f>'RESUMEN TOTAL'!AH395</f>
        <v>0</v>
      </c>
      <c r="V302" s="70">
        <f>'RESUMEN TOTAL'!AI395</f>
        <v>0</v>
      </c>
      <c r="W302" s="70">
        <f>'RESUMEN TOTAL'!AJ395</f>
        <v>0</v>
      </c>
      <c r="X302" s="70">
        <f>'RESUMEN TOTAL'!AK395</f>
        <v>0</v>
      </c>
      <c r="Y302" s="70">
        <f>'RESUMEN TOTAL'!AL395</f>
        <v>0</v>
      </c>
      <c r="Z302" s="70">
        <f>'RESUMEN TOTAL'!AM395</f>
        <v>0</v>
      </c>
      <c r="AA302" s="70">
        <f>'RESUMEN TOTAL'!AN395</f>
        <v>0</v>
      </c>
      <c r="AB302" s="70">
        <f>'RESUMEN TOTAL'!AO395</f>
        <v>0</v>
      </c>
      <c r="AC302" s="70">
        <f>'RESUMEN TOTAL'!AP395</f>
        <v>0</v>
      </c>
      <c r="AD302" s="70">
        <f>'RESUMEN TOTAL'!AQ395</f>
        <v>0</v>
      </c>
      <c r="AE302" s="70">
        <f>'RESUMEN TOTAL'!AR395</f>
        <v>0</v>
      </c>
      <c r="AF302" s="70">
        <f>'RESUMEN TOTAL'!AS395</f>
        <v>0</v>
      </c>
      <c r="AG302" s="70">
        <f>'RESUMEN TOTAL'!AT395</f>
        <v>0</v>
      </c>
      <c r="AH302" s="70">
        <f>'RESUMEN TOTAL'!AU395</f>
        <v>0</v>
      </c>
      <c r="AI302" s="70">
        <f>'RESUMEN TOTAL'!AV395</f>
        <v>0</v>
      </c>
      <c r="AJ302" s="70" t="e">
        <f>'RESUMEN TOTAL'!#REF!</f>
        <v>#REF!</v>
      </c>
    </row>
    <row r="303" spans="1:36" x14ac:dyDescent="0.25">
      <c r="A303" t="str">
        <f>'RESUMEN TOTAL'!F396</f>
        <v>LA SIRENA</v>
      </c>
      <c r="B303" t="str">
        <f>'RESUMEN TOTAL'!G396</f>
        <v>SIR 05 (FIJA 01)</v>
      </c>
      <c r="C303" t="str">
        <f>'RESUMEN TOTAL'!I396</f>
        <v>AV. MONTEVERDE Y MORAN</v>
      </c>
      <c r="D303" s="30" t="str">
        <f>'RESUMEN TOTAL'!J396</f>
        <v>Fija</v>
      </c>
      <c r="E303" s="30" t="str">
        <f>'RESUMEN TOTAL'!K396</f>
        <v>Fibra Optica</v>
      </c>
      <c r="F303" s="70">
        <f>'RESUMEN TOTAL'!S396</f>
        <v>0</v>
      </c>
      <c r="G303" s="70">
        <f>'RESUMEN TOTAL'!T396</f>
        <v>0</v>
      </c>
      <c r="H303" s="70">
        <f>'RESUMEN TOTAL'!U396</f>
        <v>0</v>
      </c>
      <c r="I303" s="70">
        <f>'RESUMEN TOTAL'!V396</f>
        <v>0</v>
      </c>
      <c r="J303" s="70">
        <f>'RESUMEN TOTAL'!W396</f>
        <v>0</v>
      </c>
      <c r="K303" s="70">
        <f>'RESUMEN TOTAL'!X396</f>
        <v>0</v>
      </c>
      <c r="L303" s="70">
        <f>'RESUMEN TOTAL'!Y396</f>
        <v>0</v>
      </c>
      <c r="M303" s="70">
        <f>'RESUMEN TOTAL'!Z396</f>
        <v>0</v>
      </c>
      <c r="N303" s="70">
        <f>'RESUMEN TOTAL'!AA396</f>
        <v>0</v>
      </c>
      <c r="O303" s="70">
        <f>'RESUMEN TOTAL'!AB396</f>
        <v>0</v>
      </c>
      <c r="P303" s="70">
        <f>'RESUMEN TOTAL'!AC396</f>
        <v>0</v>
      </c>
      <c r="Q303" s="70">
        <f>'RESUMEN TOTAL'!AD396</f>
        <v>0</v>
      </c>
      <c r="R303" s="70">
        <f>'RESUMEN TOTAL'!AE396</f>
        <v>0</v>
      </c>
      <c r="S303" s="70">
        <f>'RESUMEN TOTAL'!AF396</f>
        <v>0</v>
      </c>
      <c r="T303" s="70">
        <f>'RESUMEN TOTAL'!AG396</f>
        <v>0</v>
      </c>
      <c r="U303" s="70">
        <f>'RESUMEN TOTAL'!AH396</f>
        <v>0</v>
      </c>
      <c r="V303" s="70">
        <f>'RESUMEN TOTAL'!AI396</f>
        <v>0</v>
      </c>
      <c r="W303" s="70">
        <f>'RESUMEN TOTAL'!AJ396</f>
        <v>0</v>
      </c>
      <c r="X303" s="70">
        <f>'RESUMEN TOTAL'!AK396</f>
        <v>0</v>
      </c>
      <c r="Y303" s="70">
        <f>'RESUMEN TOTAL'!AL396</f>
        <v>0</v>
      </c>
      <c r="Z303" s="70">
        <f>'RESUMEN TOTAL'!AM396</f>
        <v>0</v>
      </c>
      <c r="AA303" s="70">
        <f>'RESUMEN TOTAL'!AN396</f>
        <v>0</v>
      </c>
      <c r="AB303" s="70">
        <f>'RESUMEN TOTAL'!AO396</f>
        <v>0</v>
      </c>
      <c r="AC303" s="70">
        <f>'RESUMEN TOTAL'!AP396</f>
        <v>0</v>
      </c>
      <c r="AD303" s="70">
        <f>'RESUMEN TOTAL'!AQ396</f>
        <v>0</v>
      </c>
      <c r="AE303" s="70">
        <f>'RESUMEN TOTAL'!AR396</f>
        <v>0</v>
      </c>
      <c r="AF303" s="70">
        <f>'RESUMEN TOTAL'!AS396</f>
        <v>0</v>
      </c>
      <c r="AG303" s="70">
        <f>'RESUMEN TOTAL'!AT396</f>
        <v>0</v>
      </c>
      <c r="AH303" s="70">
        <f>'RESUMEN TOTAL'!AU396</f>
        <v>0</v>
      </c>
      <c r="AI303" s="70">
        <f>'RESUMEN TOTAL'!AV396</f>
        <v>0</v>
      </c>
      <c r="AJ303" s="70" t="e">
        <f>'RESUMEN TOTAL'!#REF!</f>
        <v>#REF!</v>
      </c>
    </row>
    <row r="304" spans="1:36" x14ac:dyDescent="0.25">
      <c r="A304" t="str">
        <f>'RESUMEN TOTAL'!F397</f>
        <v>LA SIRENA</v>
      </c>
      <c r="B304" t="str">
        <f>'RESUMEN TOTAL'!G397</f>
        <v>SIR 06 (FIJA 02)</v>
      </c>
      <c r="C304" t="str">
        <f>'RESUMEN TOTAL'!I397</f>
        <v>AV. MONTEVERDE Y MORAN</v>
      </c>
      <c r="D304" s="30" t="str">
        <f>'RESUMEN TOTAL'!J397</f>
        <v>Fija</v>
      </c>
      <c r="E304" s="30" t="str">
        <f>'RESUMEN TOTAL'!K397</f>
        <v>Fibra Optica</v>
      </c>
      <c r="F304" s="70">
        <f>'RESUMEN TOTAL'!S397</f>
        <v>0</v>
      </c>
      <c r="G304" s="70">
        <f>'RESUMEN TOTAL'!T397</f>
        <v>0</v>
      </c>
      <c r="H304" s="70">
        <f>'RESUMEN TOTAL'!U397</f>
        <v>0</v>
      </c>
      <c r="I304" s="70">
        <f>'RESUMEN TOTAL'!V397</f>
        <v>0</v>
      </c>
      <c r="J304" s="70">
        <f>'RESUMEN TOTAL'!W397</f>
        <v>0</v>
      </c>
      <c r="K304" s="70">
        <f>'RESUMEN TOTAL'!X397</f>
        <v>0</v>
      </c>
      <c r="L304" s="70">
        <f>'RESUMEN TOTAL'!Y397</f>
        <v>0</v>
      </c>
      <c r="M304" s="70">
        <f>'RESUMEN TOTAL'!Z397</f>
        <v>0</v>
      </c>
      <c r="N304" s="70">
        <f>'RESUMEN TOTAL'!AA397</f>
        <v>0</v>
      </c>
      <c r="O304" s="70">
        <f>'RESUMEN TOTAL'!AB397</f>
        <v>0</v>
      </c>
      <c r="P304" s="70">
        <f>'RESUMEN TOTAL'!AC397</f>
        <v>0</v>
      </c>
      <c r="Q304" s="70">
        <f>'RESUMEN TOTAL'!AD397</f>
        <v>0</v>
      </c>
      <c r="R304" s="70">
        <f>'RESUMEN TOTAL'!AE397</f>
        <v>0</v>
      </c>
      <c r="S304" s="70">
        <f>'RESUMEN TOTAL'!AF397</f>
        <v>0</v>
      </c>
      <c r="T304" s="70">
        <f>'RESUMEN TOTAL'!AG397</f>
        <v>0</v>
      </c>
      <c r="U304" s="70">
        <f>'RESUMEN TOTAL'!AH397</f>
        <v>0</v>
      </c>
      <c r="V304" s="70">
        <f>'RESUMEN TOTAL'!AI397</f>
        <v>0</v>
      </c>
      <c r="W304" s="70">
        <f>'RESUMEN TOTAL'!AJ397</f>
        <v>0</v>
      </c>
      <c r="X304" s="70">
        <f>'RESUMEN TOTAL'!AK397</f>
        <v>0</v>
      </c>
      <c r="Y304" s="70">
        <f>'RESUMEN TOTAL'!AL397</f>
        <v>0</v>
      </c>
      <c r="Z304" s="70">
        <f>'RESUMEN TOTAL'!AM397</f>
        <v>0</v>
      </c>
      <c r="AA304" s="70">
        <f>'RESUMEN TOTAL'!AN397</f>
        <v>0</v>
      </c>
      <c r="AB304" s="70">
        <f>'RESUMEN TOTAL'!AO397</f>
        <v>0</v>
      </c>
      <c r="AC304" s="70">
        <f>'RESUMEN TOTAL'!AP397</f>
        <v>0</v>
      </c>
      <c r="AD304" s="70">
        <f>'RESUMEN TOTAL'!AQ397</f>
        <v>0</v>
      </c>
      <c r="AE304" s="70">
        <f>'RESUMEN TOTAL'!AR397</f>
        <v>0</v>
      </c>
      <c r="AF304" s="70">
        <f>'RESUMEN TOTAL'!AS397</f>
        <v>0</v>
      </c>
      <c r="AG304" s="70">
        <f>'RESUMEN TOTAL'!AT397</f>
        <v>0</v>
      </c>
      <c r="AH304" s="70">
        <f>'RESUMEN TOTAL'!AU397</f>
        <v>0</v>
      </c>
      <c r="AI304" s="70">
        <f>'RESUMEN TOTAL'!AV397</f>
        <v>0</v>
      </c>
      <c r="AJ304" s="70" t="e">
        <f>'RESUMEN TOTAL'!#REF!</f>
        <v>#REF!</v>
      </c>
    </row>
    <row r="305" spans="1:36" x14ac:dyDescent="0.25">
      <c r="A305" t="str">
        <f>'RESUMEN TOTAL'!F398</f>
        <v>LA SIRENA</v>
      </c>
      <c r="B305" t="str">
        <f>'RESUMEN TOTAL'!G398</f>
        <v>SIR 13</v>
      </c>
      <c r="C305" t="str">
        <f>'RESUMEN TOTAL'!I398</f>
        <v>AV MONTEVERDE Y URIBURU</v>
      </c>
      <c r="D305" s="30" t="str">
        <f>'RESUMEN TOTAL'!J398</f>
        <v>Domo</v>
      </c>
      <c r="E305" s="30" t="str">
        <f>'RESUMEN TOTAL'!K398</f>
        <v>Fibra Optica</v>
      </c>
      <c r="F305" s="70">
        <f>'RESUMEN TOTAL'!S398</f>
        <v>0</v>
      </c>
      <c r="G305" s="70">
        <f>'RESUMEN TOTAL'!T398</f>
        <v>0</v>
      </c>
      <c r="H305" s="70">
        <f>'RESUMEN TOTAL'!U398</f>
        <v>0</v>
      </c>
      <c r="I305" s="70">
        <f>'RESUMEN TOTAL'!V398</f>
        <v>0</v>
      </c>
      <c r="J305" s="70">
        <f>'RESUMEN TOTAL'!W398</f>
        <v>0</v>
      </c>
      <c r="K305" s="70">
        <f>'RESUMEN TOTAL'!X398</f>
        <v>0</v>
      </c>
      <c r="L305" s="70">
        <f>'RESUMEN TOTAL'!Y398</f>
        <v>0</v>
      </c>
      <c r="M305" s="70">
        <f>'RESUMEN TOTAL'!Z398</f>
        <v>0</v>
      </c>
      <c r="N305" s="70">
        <f>'RESUMEN TOTAL'!AA398</f>
        <v>0</v>
      </c>
      <c r="O305" s="70">
        <f>'RESUMEN TOTAL'!AB398</f>
        <v>0</v>
      </c>
      <c r="P305" s="70">
        <f>'RESUMEN TOTAL'!AC398</f>
        <v>0</v>
      </c>
      <c r="Q305" s="70">
        <f>'RESUMEN TOTAL'!AD398</f>
        <v>0</v>
      </c>
      <c r="R305" s="70">
        <f>'RESUMEN TOTAL'!AE398</f>
        <v>0</v>
      </c>
      <c r="S305" s="70">
        <f>'RESUMEN TOTAL'!AF398</f>
        <v>0</v>
      </c>
      <c r="T305" s="70">
        <f>'RESUMEN TOTAL'!AG398</f>
        <v>0</v>
      </c>
      <c r="U305" s="70">
        <f>'RESUMEN TOTAL'!AH398</f>
        <v>0</v>
      </c>
      <c r="V305" s="70">
        <f>'RESUMEN TOTAL'!AI398</f>
        <v>0</v>
      </c>
      <c r="W305" s="70">
        <f>'RESUMEN TOTAL'!AJ398</f>
        <v>0</v>
      </c>
      <c r="X305" s="70">
        <f>'RESUMEN TOTAL'!AK398</f>
        <v>0</v>
      </c>
      <c r="Y305" s="70">
        <f>'RESUMEN TOTAL'!AL398</f>
        <v>0</v>
      </c>
      <c r="Z305" s="70">
        <f>'RESUMEN TOTAL'!AM398</f>
        <v>0</v>
      </c>
      <c r="AA305" s="70">
        <f>'RESUMEN TOTAL'!AN398</f>
        <v>0</v>
      </c>
      <c r="AB305" s="70">
        <f>'RESUMEN TOTAL'!AO398</f>
        <v>0</v>
      </c>
      <c r="AC305" s="70">
        <f>'RESUMEN TOTAL'!AP398</f>
        <v>0</v>
      </c>
      <c r="AD305" s="70">
        <f>'RESUMEN TOTAL'!AQ398</f>
        <v>0</v>
      </c>
      <c r="AE305" s="70">
        <f>'RESUMEN TOTAL'!AR398</f>
        <v>0</v>
      </c>
      <c r="AF305" s="70">
        <f>'RESUMEN TOTAL'!AS398</f>
        <v>0</v>
      </c>
      <c r="AG305" s="70">
        <f>'RESUMEN TOTAL'!AT398</f>
        <v>0</v>
      </c>
      <c r="AH305" s="70">
        <f>'RESUMEN TOTAL'!AU398</f>
        <v>0</v>
      </c>
      <c r="AI305" s="70">
        <f>'RESUMEN TOTAL'!AV398</f>
        <v>0</v>
      </c>
      <c r="AJ305" s="70" t="e">
        <f>'RESUMEN TOTAL'!#REF!</f>
        <v>#REF!</v>
      </c>
    </row>
    <row r="306" spans="1:36" x14ac:dyDescent="0.25">
      <c r="A306" t="str">
        <f>'RESUMEN TOTAL'!F399</f>
        <v>LA SIRENA</v>
      </c>
      <c r="B306" t="str">
        <f>'RESUMEN TOTAL'!G399</f>
        <v>SIR 14</v>
      </c>
      <c r="C306" t="str">
        <f>'RESUMEN TOTAL'!I399</f>
        <v>MANUEL IGLESIAS Y PEDRAZA</v>
      </c>
      <c r="D306" s="30" t="str">
        <f>'RESUMEN TOTAL'!J399</f>
        <v>Domo</v>
      </c>
      <c r="E306" s="30" t="str">
        <f>'RESUMEN TOTAL'!K399</f>
        <v>Fibra Optica</v>
      </c>
      <c r="F306" s="70">
        <f>'RESUMEN TOTAL'!S399</f>
        <v>0</v>
      </c>
      <c r="G306" s="70">
        <f>'RESUMEN TOTAL'!T399</f>
        <v>0</v>
      </c>
      <c r="H306" s="70">
        <f>'RESUMEN TOTAL'!U399</f>
        <v>0</v>
      </c>
      <c r="I306" s="70">
        <f>'RESUMEN TOTAL'!V399</f>
        <v>0</v>
      </c>
      <c r="J306" s="70">
        <f>'RESUMEN TOTAL'!W399</f>
        <v>0</v>
      </c>
      <c r="K306" s="70">
        <f>'RESUMEN TOTAL'!X399</f>
        <v>0</v>
      </c>
      <c r="L306" s="70">
        <f>'RESUMEN TOTAL'!Y399</f>
        <v>0</v>
      </c>
      <c r="M306" s="70">
        <f>'RESUMEN TOTAL'!Z399</f>
        <v>0</v>
      </c>
      <c r="N306" s="70">
        <f>'RESUMEN TOTAL'!AA399</f>
        <v>0</v>
      </c>
      <c r="O306" s="70">
        <f>'RESUMEN TOTAL'!AB399</f>
        <v>0</v>
      </c>
      <c r="P306" s="70">
        <f>'RESUMEN TOTAL'!AC399</f>
        <v>0</v>
      </c>
      <c r="Q306" s="70">
        <f>'RESUMEN TOTAL'!AD399</f>
        <v>0</v>
      </c>
      <c r="R306" s="70">
        <f>'RESUMEN TOTAL'!AE399</f>
        <v>0</v>
      </c>
      <c r="S306" s="70">
        <f>'RESUMEN TOTAL'!AF399</f>
        <v>0</v>
      </c>
      <c r="T306" s="70">
        <f>'RESUMEN TOTAL'!AG399</f>
        <v>0</v>
      </c>
      <c r="U306" s="70">
        <f>'RESUMEN TOTAL'!AH399</f>
        <v>0</v>
      </c>
      <c r="V306" s="70">
        <f>'RESUMEN TOTAL'!AI399</f>
        <v>0</v>
      </c>
      <c r="W306" s="70">
        <f>'RESUMEN TOTAL'!AJ399</f>
        <v>0</v>
      </c>
      <c r="X306" s="70">
        <f>'RESUMEN TOTAL'!AK399</f>
        <v>0</v>
      </c>
      <c r="Y306" s="70">
        <f>'RESUMEN TOTAL'!AL399</f>
        <v>0</v>
      </c>
      <c r="Z306" s="70">
        <f>'RESUMEN TOTAL'!AM399</f>
        <v>0</v>
      </c>
      <c r="AA306" s="70">
        <f>'RESUMEN TOTAL'!AN399</f>
        <v>0</v>
      </c>
      <c r="AB306" s="70">
        <f>'RESUMEN TOTAL'!AO399</f>
        <v>0</v>
      </c>
      <c r="AC306" s="70">
        <f>'RESUMEN TOTAL'!AP399</f>
        <v>0</v>
      </c>
      <c r="AD306" s="70">
        <f>'RESUMEN TOTAL'!AQ399</f>
        <v>0</v>
      </c>
      <c r="AE306" s="70">
        <f>'RESUMEN TOTAL'!AR399</f>
        <v>0</v>
      </c>
      <c r="AF306" s="70">
        <f>'RESUMEN TOTAL'!AS399</f>
        <v>0</v>
      </c>
      <c r="AG306" s="70">
        <f>'RESUMEN TOTAL'!AT399</f>
        <v>0</v>
      </c>
      <c r="AH306" s="70">
        <f>'RESUMEN TOTAL'!AU399</f>
        <v>0</v>
      </c>
      <c r="AI306" s="70">
        <f>'RESUMEN TOTAL'!AV399</f>
        <v>0</v>
      </c>
      <c r="AJ306" s="70" t="e">
        <f>'RESUMEN TOTAL'!#REF!</f>
        <v>#REF!</v>
      </c>
    </row>
    <row r="307" spans="1:36" x14ac:dyDescent="0.25">
      <c r="A307" t="str">
        <f>'RESUMEN TOTAL'!F400</f>
        <v>LA SIRENA</v>
      </c>
      <c r="B307" t="str">
        <f>'RESUMEN TOTAL'!G400</f>
        <v>SIR 15</v>
      </c>
      <c r="C307" t="str">
        <f>'RESUMEN TOTAL'!I400</f>
        <v>Monteverde y Azara</v>
      </c>
      <c r="D307" s="30" t="str">
        <f>'RESUMEN TOTAL'!J400</f>
        <v>Domo</v>
      </c>
      <c r="E307" s="30" t="str">
        <f>'RESUMEN TOTAL'!K400</f>
        <v>GPON</v>
      </c>
      <c r="F307" s="70">
        <f>'RESUMEN TOTAL'!S400</f>
        <v>0</v>
      </c>
      <c r="G307" s="70">
        <f>'RESUMEN TOTAL'!T400</f>
        <v>0</v>
      </c>
      <c r="H307" s="70">
        <f>'RESUMEN TOTAL'!U400</f>
        <v>0</v>
      </c>
      <c r="I307" s="70">
        <f>'RESUMEN TOTAL'!V400</f>
        <v>0</v>
      </c>
      <c r="J307" s="70">
        <f>'RESUMEN TOTAL'!W400</f>
        <v>0</v>
      </c>
      <c r="K307" s="70">
        <f>'RESUMEN TOTAL'!X400</f>
        <v>0</v>
      </c>
      <c r="L307" s="70">
        <f>'RESUMEN TOTAL'!Y400</f>
        <v>0</v>
      </c>
      <c r="M307" s="70">
        <f>'RESUMEN TOTAL'!Z400</f>
        <v>0</v>
      </c>
      <c r="N307" s="70">
        <f>'RESUMEN TOTAL'!AA400</f>
        <v>0</v>
      </c>
      <c r="O307" s="70">
        <f>'RESUMEN TOTAL'!AB400</f>
        <v>0</v>
      </c>
      <c r="P307" s="70">
        <f>'RESUMEN TOTAL'!AC400</f>
        <v>0</v>
      </c>
      <c r="Q307" s="70">
        <f>'RESUMEN TOTAL'!AD400</f>
        <v>0</v>
      </c>
      <c r="R307" s="70">
        <f>'RESUMEN TOTAL'!AE400</f>
        <v>0</v>
      </c>
      <c r="S307" s="70">
        <f>'RESUMEN TOTAL'!AF400</f>
        <v>0</v>
      </c>
      <c r="T307" s="70">
        <f>'RESUMEN TOTAL'!AG400</f>
        <v>0</v>
      </c>
      <c r="U307" s="70">
        <f>'RESUMEN TOTAL'!AH400</f>
        <v>0</v>
      </c>
      <c r="V307" s="70">
        <f>'RESUMEN TOTAL'!AI400</f>
        <v>0</v>
      </c>
      <c r="W307" s="70">
        <f>'RESUMEN TOTAL'!AJ400</f>
        <v>0</v>
      </c>
      <c r="X307" s="70">
        <f>'RESUMEN TOTAL'!AK400</f>
        <v>0</v>
      </c>
      <c r="Y307" s="70">
        <f>'RESUMEN TOTAL'!AL400</f>
        <v>0</v>
      </c>
      <c r="Z307" s="70">
        <f>'RESUMEN TOTAL'!AM400</f>
        <v>0</v>
      </c>
      <c r="AA307" s="70">
        <f>'RESUMEN TOTAL'!AN400</f>
        <v>0</v>
      </c>
      <c r="AB307" s="70">
        <f>'RESUMEN TOTAL'!AO400</f>
        <v>0</v>
      </c>
      <c r="AC307" s="70">
        <f>'RESUMEN TOTAL'!AP400</f>
        <v>0</v>
      </c>
      <c r="AD307" s="70">
        <f>'RESUMEN TOTAL'!AQ400</f>
        <v>0</v>
      </c>
      <c r="AE307" s="70">
        <f>'RESUMEN TOTAL'!AR400</f>
        <v>0</v>
      </c>
      <c r="AF307" s="70">
        <f>'RESUMEN TOTAL'!AS400</f>
        <v>0</v>
      </c>
      <c r="AG307" s="70">
        <f>'RESUMEN TOTAL'!AT400</f>
        <v>0</v>
      </c>
      <c r="AH307" s="70">
        <f>'RESUMEN TOTAL'!AU400</f>
        <v>0</v>
      </c>
      <c r="AI307" s="70">
        <f>'RESUMEN TOTAL'!AV400</f>
        <v>0</v>
      </c>
      <c r="AJ307" s="70" t="e">
        <f>'RESUMEN TOTAL'!#REF!</f>
        <v>#REF!</v>
      </c>
    </row>
    <row r="308" spans="1:36" x14ac:dyDescent="0.25">
      <c r="A308" t="str">
        <f>'RESUMEN TOTAL'!F401</f>
        <v>LA SIRENA</v>
      </c>
      <c r="B308" t="str">
        <f>'RESUMEN TOTAL'!G401</f>
        <v>SIR 16</v>
      </c>
      <c r="C308" t="str">
        <f>'RESUMEN TOTAL'!I401</f>
        <v>Las Heras y Finochietto</v>
      </c>
      <c r="D308" s="30" t="str">
        <f>'RESUMEN TOTAL'!J401</f>
        <v>Domo</v>
      </c>
      <c r="E308" s="30" t="str">
        <f>'RESUMEN TOTAL'!K401</f>
        <v>GPON</v>
      </c>
      <c r="F308" s="70">
        <f>'RESUMEN TOTAL'!S401</f>
        <v>0</v>
      </c>
      <c r="G308" s="70">
        <f>'RESUMEN TOTAL'!T401</f>
        <v>0</v>
      </c>
      <c r="H308" s="70">
        <f>'RESUMEN TOTAL'!U401</f>
        <v>0</v>
      </c>
      <c r="I308" s="70">
        <f>'RESUMEN TOTAL'!V401</f>
        <v>0</v>
      </c>
      <c r="J308" s="70">
        <f>'RESUMEN TOTAL'!W401</f>
        <v>0</v>
      </c>
      <c r="K308" s="70">
        <f>'RESUMEN TOTAL'!X401</f>
        <v>0</v>
      </c>
      <c r="L308" s="70">
        <f>'RESUMEN TOTAL'!Y401</f>
        <v>0</v>
      </c>
      <c r="M308" s="70">
        <f>'RESUMEN TOTAL'!Z401</f>
        <v>0</v>
      </c>
      <c r="N308" s="70">
        <f>'RESUMEN TOTAL'!AA401</f>
        <v>0</v>
      </c>
      <c r="O308" s="70">
        <f>'RESUMEN TOTAL'!AB401</f>
        <v>0</v>
      </c>
      <c r="P308" s="70">
        <f>'RESUMEN TOTAL'!AC401</f>
        <v>0</v>
      </c>
      <c r="Q308" s="70">
        <f>'RESUMEN TOTAL'!AD401</f>
        <v>0</v>
      </c>
      <c r="R308" s="70">
        <f>'RESUMEN TOTAL'!AE401</f>
        <v>0</v>
      </c>
      <c r="S308" s="70">
        <f>'RESUMEN TOTAL'!AF401</f>
        <v>0</v>
      </c>
      <c r="T308" s="70">
        <f>'RESUMEN TOTAL'!AG401</f>
        <v>0</v>
      </c>
      <c r="U308" s="70">
        <f>'RESUMEN TOTAL'!AH401</f>
        <v>0</v>
      </c>
      <c r="V308" s="70">
        <f>'RESUMEN TOTAL'!AI401</f>
        <v>0</v>
      </c>
      <c r="W308" s="70">
        <f>'RESUMEN TOTAL'!AJ401</f>
        <v>0</v>
      </c>
      <c r="X308" s="70">
        <f>'RESUMEN TOTAL'!AK401</f>
        <v>0</v>
      </c>
      <c r="Y308" s="70">
        <f>'RESUMEN TOTAL'!AL401</f>
        <v>0</v>
      </c>
      <c r="Z308" s="70">
        <f>'RESUMEN TOTAL'!AM401</f>
        <v>0</v>
      </c>
      <c r="AA308" s="70">
        <f>'RESUMEN TOTAL'!AN401</f>
        <v>0</v>
      </c>
      <c r="AB308" s="70">
        <f>'RESUMEN TOTAL'!AO401</f>
        <v>0</v>
      </c>
      <c r="AC308" s="70">
        <f>'RESUMEN TOTAL'!AP401</f>
        <v>0</v>
      </c>
      <c r="AD308" s="70">
        <f>'RESUMEN TOTAL'!AQ401</f>
        <v>0</v>
      </c>
      <c r="AE308" s="70">
        <f>'RESUMEN TOTAL'!AR401</f>
        <v>0</v>
      </c>
      <c r="AF308" s="70">
        <f>'RESUMEN TOTAL'!AS401</f>
        <v>0</v>
      </c>
      <c r="AG308" s="70">
        <f>'RESUMEN TOTAL'!AT401</f>
        <v>0</v>
      </c>
      <c r="AH308" s="70">
        <f>'RESUMEN TOTAL'!AU401</f>
        <v>0</v>
      </c>
      <c r="AI308" s="70">
        <f>'RESUMEN TOTAL'!AV401</f>
        <v>0</v>
      </c>
      <c r="AJ308" s="70" t="e">
        <f>'RESUMEN TOTAL'!#REF!</f>
        <v>#REF!</v>
      </c>
    </row>
    <row r="309" spans="1:36" x14ac:dyDescent="0.25">
      <c r="A309" t="str">
        <f>'RESUMEN TOTAL'!F402</f>
        <v>LA SIRENA</v>
      </c>
      <c r="B309" t="str">
        <f>'RESUMEN TOTAL'!G402</f>
        <v>SIR 17</v>
      </c>
      <c r="C309" t="str">
        <f>'RESUMEN TOTAL'!I402</f>
        <v>Las Heras y Finochietto</v>
      </c>
      <c r="D309" s="30" t="str">
        <f>'RESUMEN TOTAL'!J402</f>
        <v>Fija</v>
      </c>
      <c r="E309" s="30" t="str">
        <f>'RESUMEN TOTAL'!K402</f>
        <v>GPON</v>
      </c>
      <c r="F309" s="70">
        <f>'RESUMEN TOTAL'!S402</f>
        <v>0</v>
      </c>
      <c r="G309" s="70">
        <f>'RESUMEN TOTAL'!T402</f>
        <v>0</v>
      </c>
      <c r="H309" s="70">
        <f>'RESUMEN TOTAL'!U402</f>
        <v>0</v>
      </c>
      <c r="I309" s="70">
        <f>'RESUMEN TOTAL'!V402</f>
        <v>0</v>
      </c>
      <c r="J309" s="70">
        <f>'RESUMEN TOTAL'!W402</f>
        <v>0</v>
      </c>
      <c r="K309" s="70">
        <f>'RESUMEN TOTAL'!X402</f>
        <v>0</v>
      </c>
      <c r="L309" s="70">
        <f>'RESUMEN TOTAL'!Y402</f>
        <v>0</v>
      </c>
      <c r="M309" s="70">
        <f>'RESUMEN TOTAL'!Z402</f>
        <v>0</v>
      </c>
      <c r="N309" s="70">
        <f>'RESUMEN TOTAL'!AA402</f>
        <v>0</v>
      </c>
      <c r="O309" s="70">
        <f>'RESUMEN TOTAL'!AB402</f>
        <v>0</v>
      </c>
      <c r="P309" s="70">
        <f>'RESUMEN TOTAL'!AC402</f>
        <v>0</v>
      </c>
      <c r="Q309" s="70">
        <f>'RESUMEN TOTAL'!AD402</f>
        <v>0</v>
      </c>
      <c r="R309" s="70">
        <f>'RESUMEN TOTAL'!AE402</f>
        <v>0</v>
      </c>
      <c r="S309" s="70">
        <f>'RESUMEN TOTAL'!AF402</f>
        <v>0</v>
      </c>
      <c r="T309" s="70">
        <f>'RESUMEN TOTAL'!AG402</f>
        <v>0</v>
      </c>
      <c r="U309" s="70">
        <f>'RESUMEN TOTAL'!AH402</f>
        <v>0</v>
      </c>
      <c r="V309" s="70">
        <f>'RESUMEN TOTAL'!AI402</f>
        <v>0</v>
      </c>
      <c r="W309" s="70">
        <f>'RESUMEN TOTAL'!AJ402</f>
        <v>0</v>
      </c>
      <c r="X309" s="70">
        <f>'RESUMEN TOTAL'!AK402</f>
        <v>0</v>
      </c>
      <c r="Y309" s="70">
        <f>'RESUMEN TOTAL'!AL402</f>
        <v>0</v>
      </c>
      <c r="Z309" s="70">
        <f>'RESUMEN TOTAL'!AM402</f>
        <v>0</v>
      </c>
      <c r="AA309" s="70">
        <f>'RESUMEN TOTAL'!AN402</f>
        <v>0</v>
      </c>
      <c r="AB309" s="70">
        <f>'RESUMEN TOTAL'!AO402</f>
        <v>0</v>
      </c>
      <c r="AC309" s="70">
        <f>'RESUMEN TOTAL'!AP402</f>
        <v>0</v>
      </c>
      <c r="AD309" s="70">
        <f>'RESUMEN TOTAL'!AQ402</f>
        <v>0</v>
      </c>
      <c r="AE309" s="70">
        <f>'RESUMEN TOTAL'!AR402</f>
        <v>0</v>
      </c>
      <c r="AF309" s="70">
        <f>'RESUMEN TOTAL'!AS402</f>
        <v>0</v>
      </c>
      <c r="AG309" s="70">
        <f>'RESUMEN TOTAL'!AT402</f>
        <v>0</v>
      </c>
      <c r="AH309" s="70">
        <f>'RESUMEN TOTAL'!AU402</f>
        <v>0</v>
      </c>
      <c r="AI309" s="70">
        <f>'RESUMEN TOTAL'!AV402</f>
        <v>0</v>
      </c>
      <c r="AJ309" s="70" t="e">
        <f>'RESUMEN TOTAL'!#REF!</f>
        <v>#REF!</v>
      </c>
    </row>
    <row r="310" spans="1:36" x14ac:dyDescent="0.25">
      <c r="A310" t="str">
        <f>'RESUMEN TOTAL'!F403</f>
        <v>LA SIRENA</v>
      </c>
      <c r="B310" t="str">
        <f>'RESUMEN TOTAL'!G403</f>
        <v>SIR 18</v>
      </c>
      <c r="C310" t="str">
        <f>'RESUMEN TOTAL'!I403</f>
        <v>Las Heras y Finochietto</v>
      </c>
      <c r="D310" s="30" t="str">
        <f>'RESUMEN TOTAL'!J403</f>
        <v>Fija</v>
      </c>
      <c r="E310" s="30" t="str">
        <f>'RESUMEN TOTAL'!K403</f>
        <v>GPON</v>
      </c>
      <c r="F310" s="70">
        <f>'RESUMEN TOTAL'!S403</f>
        <v>0</v>
      </c>
      <c r="G310" s="70">
        <f>'RESUMEN TOTAL'!T403</f>
        <v>0</v>
      </c>
      <c r="H310" s="70">
        <f>'RESUMEN TOTAL'!U403</f>
        <v>0</v>
      </c>
      <c r="I310" s="70">
        <f>'RESUMEN TOTAL'!V403</f>
        <v>0</v>
      </c>
      <c r="J310" s="70">
        <f>'RESUMEN TOTAL'!W403</f>
        <v>0</v>
      </c>
      <c r="K310" s="70">
        <f>'RESUMEN TOTAL'!X403</f>
        <v>0</v>
      </c>
      <c r="L310" s="70">
        <f>'RESUMEN TOTAL'!Y403</f>
        <v>0</v>
      </c>
      <c r="M310" s="70">
        <f>'RESUMEN TOTAL'!Z403</f>
        <v>0</v>
      </c>
      <c r="N310" s="70">
        <f>'RESUMEN TOTAL'!AA403</f>
        <v>0</v>
      </c>
      <c r="O310" s="70">
        <f>'RESUMEN TOTAL'!AB403</f>
        <v>0</v>
      </c>
      <c r="P310" s="70">
        <f>'RESUMEN TOTAL'!AC403</f>
        <v>0</v>
      </c>
      <c r="Q310" s="70">
        <f>'RESUMEN TOTAL'!AD403</f>
        <v>0</v>
      </c>
      <c r="R310" s="70">
        <f>'RESUMEN TOTAL'!AE403</f>
        <v>0</v>
      </c>
      <c r="S310" s="70">
        <f>'RESUMEN TOTAL'!AF403</f>
        <v>0</v>
      </c>
      <c r="T310" s="70">
        <f>'RESUMEN TOTAL'!AG403</f>
        <v>0</v>
      </c>
      <c r="U310" s="70">
        <f>'RESUMEN TOTAL'!AH403</f>
        <v>0</v>
      </c>
      <c r="V310" s="70">
        <f>'RESUMEN TOTAL'!AI403</f>
        <v>0</v>
      </c>
      <c r="W310" s="70">
        <f>'RESUMEN TOTAL'!AJ403</f>
        <v>0</v>
      </c>
      <c r="X310" s="70">
        <f>'RESUMEN TOTAL'!AK403</f>
        <v>0</v>
      </c>
      <c r="Y310" s="70">
        <f>'RESUMEN TOTAL'!AL403</f>
        <v>0</v>
      </c>
      <c r="Z310" s="70">
        <f>'RESUMEN TOTAL'!AM403</f>
        <v>0</v>
      </c>
      <c r="AA310" s="70">
        <f>'RESUMEN TOTAL'!AN403</f>
        <v>0</v>
      </c>
      <c r="AB310" s="70">
        <f>'RESUMEN TOTAL'!AO403</f>
        <v>0</v>
      </c>
      <c r="AC310" s="70">
        <f>'RESUMEN TOTAL'!AP403</f>
        <v>0</v>
      </c>
      <c r="AD310" s="70">
        <f>'RESUMEN TOTAL'!AQ403</f>
        <v>0</v>
      </c>
      <c r="AE310" s="70">
        <f>'RESUMEN TOTAL'!AR403</f>
        <v>0</v>
      </c>
      <c r="AF310" s="70">
        <f>'RESUMEN TOTAL'!AS403</f>
        <v>0</v>
      </c>
      <c r="AG310" s="70">
        <f>'RESUMEN TOTAL'!AT403</f>
        <v>0</v>
      </c>
      <c r="AH310" s="70">
        <f>'RESUMEN TOTAL'!AU403</f>
        <v>0</v>
      </c>
      <c r="AI310" s="70">
        <f>'RESUMEN TOTAL'!AV403</f>
        <v>0</v>
      </c>
      <c r="AJ310" s="70" t="e">
        <f>'RESUMEN TOTAL'!#REF!</f>
        <v>#REF!</v>
      </c>
    </row>
    <row r="311" spans="1:36" x14ac:dyDescent="0.25">
      <c r="A311" t="str">
        <f>'RESUMEN TOTAL'!F404</f>
        <v>LA SIRENA</v>
      </c>
      <c r="B311" t="str">
        <f>'RESUMEN TOTAL'!G404</f>
        <v>SIR 19</v>
      </c>
      <c r="C311" t="str">
        <f>'RESUMEN TOTAL'!I404</f>
        <v xml:space="preserve">AZARA Y NUESTRAS MALVINAS </v>
      </c>
      <c r="D311" s="30" t="str">
        <f>'RESUMEN TOTAL'!J404</f>
        <v>Domo</v>
      </c>
      <c r="E311" s="30" t="str">
        <f>'RESUMEN TOTAL'!K404</f>
        <v>Fibra Optica</v>
      </c>
      <c r="F311" s="70">
        <f>'RESUMEN TOTAL'!S404</f>
        <v>0</v>
      </c>
      <c r="G311" s="70">
        <f>'RESUMEN TOTAL'!T404</f>
        <v>0</v>
      </c>
      <c r="H311" s="70">
        <f>'RESUMEN TOTAL'!U404</f>
        <v>0</v>
      </c>
      <c r="I311" s="70">
        <f>'RESUMEN TOTAL'!V404</f>
        <v>0</v>
      </c>
      <c r="J311" s="70">
        <f>'RESUMEN TOTAL'!W404</f>
        <v>0</v>
      </c>
      <c r="K311" s="70">
        <f>'RESUMEN TOTAL'!X404</f>
        <v>0</v>
      </c>
      <c r="L311" s="70">
        <f>'RESUMEN TOTAL'!Y404</f>
        <v>0</v>
      </c>
      <c r="M311" s="70">
        <f>'RESUMEN TOTAL'!Z404</f>
        <v>0</v>
      </c>
      <c r="N311" s="70">
        <f>'RESUMEN TOTAL'!AA404</f>
        <v>0</v>
      </c>
      <c r="O311" s="70">
        <f>'RESUMEN TOTAL'!AB404</f>
        <v>0</v>
      </c>
      <c r="P311" s="70">
        <f>'RESUMEN TOTAL'!AC404</f>
        <v>0</v>
      </c>
      <c r="Q311" s="70">
        <f>'RESUMEN TOTAL'!AD404</f>
        <v>0</v>
      </c>
      <c r="R311" s="70">
        <f>'RESUMEN TOTAL'!AE404</f>
        <v>0</v>
      </c>
      <c r="S311" s="70">
        <f>'RESUMEN TOTAL'!AF404</f>
        <v>0</v>
      </c>
      <c r="T311" s="70">
        <f>'RESUMEN TOTAL'!AG404</f>
        <v>0</v>
      </c>
      <c r="U311" s="70">
        <f>'RESUMEN TOTAL'!AH404</f>
        <v>0</v>
      </c>
      <c r="V311" s="70">
        <f>'RESUMEN TOTAL'!AI404</f>
        <v>0</v>
      </c>
      <c r="W311" s="70">
        <f>'RESUMEN TOTAL'!AJ404</f>
        <v>0</v>
      </c>
      <c r="X311" s="70">
        <f>'RESUMEN TOTAL'!AK404</f>
        <v>0</v>
      </c>
      <c r="Y311" s="70">
        <f>'RESUMEN TOTAL'!AL404</f>
        <v>0</v>
      </c>
      <c r="Z311" s="70">
        <f>'RESUMEN TOTAL'!AM404</f>
        <v>0</v>
      </c>
      <c r="AA311" s="70">
        <f>'RESUMEN TOTAL'!AN404</f>
        <v>0</v>
      </c>
      <c r="AB311" s="70">
        <f>'RESUMEN TOTAL'!AO404</f>
        <v>0</v>
      </c>
      <c r="AC311" s="70">
        <f>'RESUMEN TOTAL'!AP404</f>
        <v>0</v>
      </c>
      <c r="AD311" s="70">
        <f>'RESUMEN TOTAL'!AQ404</f>
        <v>0</v>
      </c>
      <c r="AE311" s="70">
        <f>'RESUMEN TOTAL'!AR404</f>
        <v>0</v>
      </c>
      <c r="AF311" s="70">
        <f>'RESUMEN TOTAL'!AS404</f>
        <v>0</v>
      </c>
      <c r="AG311" s="70">
        <f>'RESUMEN TOTAL'!AT404</f>
        <v>0</v>
      </c>
      <c r="AH311" s="70">
        <f>'RESUMEN TOTAL'!AU404</f>
        <v>0</v>
      </c>
      <c r="AI311" s="70">
        <f>'RESUMEN TOTAL'!AV404</f>
        <v>0</v>
      </c>
      <c r="AJ311" s="70" t="e">
        <f>'RESUMEN TOTAL'!#REF!</f>
        <v>#REF!</v>
      </c>
    </row>
    <row r="312" spans="1:36" x14ac:dyDescent="0.25">
      <c r="A312" t="str">
        <f>'RESUMEN TOTAL'!F405</f>
        <v>LA SIRENA</v>
      </c>
      <c r="B312" t="str">
        <f>'RESUMEN TOTAL'!G405</f>
        <v>SIR 20</v>
      </c>
      <c r="C312" t="str">
        <f>'RESUMEN TOTAL'!I405</f>
        <v>Darragueira y Monteverde</v>
      </c>
      <c r="D312" s="30" t="str">
        <f>'RESUMEN TOTAL'!J405</f>
        <v>Domo</v>
      </c>
      <c r="E312" s="30" t="str">
        <f>'RESUMEN TOTAL'!K405</f>
        <v>GPON</v>
      </c>
      <c r="F312" s="70">
        <f>'RESUMEN TOTAL'!S405</f>
        <v>0</v>
      </c>
      <c r="G312" s="70">
        <f>'RESUMEN TOTAL'!T405</f>
        <v>0</v>
      </c>
      <c r="H312" s="70">
        <f>'RESUMEN TOTAL'!U405</f>
        <v>0</v>
      </c>
      <c r="I312" s="70">
        <f>'RESUMEN TOTAL'!V405</f>
        <v>0</v>
      </c>
      <c r="J312" s="70">
        <f>'RESUMEN TOTAL'!W405</f>
        <v>0</v>
      </c>
      <c r="K312" s="70">
        <f>'RESUMEN TOTAL'!X405</f>
        <v>0</v>
      </c>
      <c r="L312" s="70">
        <f>'RESUMEN TOTAL'!Y405</f>
        <v>0</v>
      </c>
      <c r="M312" s="70">
        <f>'RESUMEN TOTAL'!Z405</f>
        <v>0</v>
      </c>
      <c r="N312" s="70">
        <f>'RESUMEN TOTAL'!AA405</f>
        <v>0</v>
      </c>
      <c r="O312" s="70">
        <f>'RESUMEN TOTAL'!AB405</f>
        <v>0</v>
      </c>
      <c r="P312" s="70">
        <f>'RESUMEN TOTAL'!AC405</f>
        <v>0</v>
      </c>
      <c r="Q312" s="70">
        <f>'RESUMEN TOTAL'!AD405</f>
        <v>0</v>
      </c>
      <c r="R312" s="70">
        <f>'RESUMEN TOTAL'!AE405</f>
        <v>0</v>
      </c>
      <c r="S312" s="70">
        <f>'RESUMEN TOTAL'!AF405</f>
        <v>0</v>
      </c>
      <c r="T312" s="70">
        <f>'RESUMEN TOTAL'!AG405</f>
        <v>0</v>
      </c>
      <c r="U312" s="70">
        <f>'RESUMEN TOTAL'!AH405</f>
        <v>0</v>
      </c>
      <c r="V312" s="70">
        <f>'RESUMEN TOTAL'!AI405</f>
        <v>0</v>
      </c>
      <c r="W312" s="70">
        <f>'RESUMEN TOTAL'!AJ405</f>
        <v>0</v>
      </c>
      <c r="X312" s="70">
        <f>'RESUMEN TOTAL'!AK405</f>
        <v>0</v>
      </c>
      <c r="Y312" s="70">
        <f>'RESUMEN TOTAL'!AL405</f>
        <v>0</v>
      </c>
      <c r="Z312" s="70">
        <f>'RESUMEN TOTAL'!AM405</f>
        <v>0</v>
      </c>
      <c r="AA312" s="70">
        <f>'RESUMEN TOTAL'!AN405</f>
        <v>0</v>
      </c>
      <c r="AB312" s="70">
        <f>'RESUMEN TOTAL'!AO405</f>
        <v>0</v>
      </c>
      <c r="AC312" s="70">
        <f>'RESUMEN TOTAL'!AP405</f>
        <v>0</v>
      </c>
      <c r="AD312" s="70">
        <f>'RESUMEN TOTAL'!AQ405</f>
        <v>0</v>
      </c>
      <c r="AE312" s="70">
        <f>'RESUMEN TOTAL'!AR405</f>
        <v>0</v>
      </c>
      <c r="AF312" s="70">
        <f>'RESUMEN TOTAL'!AS405</f>
        <v>0</v>
      </c>
      <c r="AG312" s="70">
        <f>'RESUMEN TOTAL'!AT405</f>
        <v>0</v>
      </c>
      <c r="AH312" s="70">
        <f>'RESUMEN TOTAL'!AU405</f>
        <v>0</v>
      </c>
      <c r="AI312" s="70">
        <f>'RESUMEN TOTAL'!AV405</f>
        <v>0</v>
      </c>
      <c r="AJ312" s="70" t="e">
        <f>'RESUMEN TOTAL'!#REF!</f>
        <v>#REF!</v>
      </c>
    </row>
    <row r="313" spans="1:36" x14ac:dyDescent="0.25">
      <c r="A313" t="str">
        <f>'RESUMEN TOTAL'!F406</f>
        <v>LA SIRENA</v>
      </c>
      <c r="B313" t="str">
        <f>'RESUMEN TOTAL'!G406</f>
        <v>SIR01</v>
      </c>
      <c r="C313" t="str">
        <f>'RESUMEN TOTAL'!I406</f>
        <v>Moran y Calle 14</v>
      </c>
      <c r="D313" s="30" t="str">
        <f>'RESUMEN TOTAL'!J406</f>
        <v>DOMO</v>
      </c>
      <c r="E313" s="30" t="str">
        <f>'RESUMEN TOTAL'!K406</f>
        <v>GPON</v>
      </c>
      <c r="F313" s="70">
        <f>'RESUMEN TOTAL'!S406</f>
        <v>0</v>
      </c>
      <c r="G313" s="70">
        <f>'RESUMEN TOTAL'!T406</f>
        <v>0</v>
      </c>
      <c r="H313" s="70">
        <f>'RESUMEN TOTAL'!U406</f>
        <v>0</v>
      </c>
      <c r="I313" s="70">
        <f>'RESUMEN TOTAL'!V406</f>
        <v>0</v>
      </c>
      <c r="J313" s="70">
        <f>'RESUMEN TOTAL'!W406</f>
        <v>0</v>
      </c>
      <c r="K313" s="70">
        <f>'RESUMEN TOTAL'!X406</f>
        <v>0</v>
      </c>
      <c r="L313" s="70">
        <f>'RESUMEN TOTAL'!Y406</f>
        <v>0</v>
      </c>
      <c r="M313" s="70">
        <f>'RESUMEN TOTAL'!Z406</f>
        <v>0</v>
      </c>
      <c r="N313" s="70">
        <f>'RESUMEN TOTAL'!AA406</f>
        <v>0</v>
      </c>
      <c r="O313" s="70">
        <f>'RESUMEN TOTAL'!AB406</f>
        <v>0</v>
      </c>
      <c r="P313" s="70">
        <f>'RESUMEN TOTAL'!AC406</f>
        <v>0</v>
      </c>
      <c r="Q313" s="70">
        <f>'RESUMEN TOTAL'!AD406</f>
        <v>0</v>
      </c>
      <c r="R313" s="70">
        <f>'RESUMEN TOTAL'!AE406</f>
        <v>0</v>
      </c>
      <c r="S313" s="70">
        <f>'RESUMEN TOTAL'!AF406</f>
        <v>0</v>
      </c>
      <c r="T313" s="70">
        <f>'RESUMEN TOTAL'!AG406</f>
        <v>0</v>
      </c>
      <c r="U313" s="70">
        <f>'RESUMEN TOTAL'!AH406</f>
        <v>0</v>
      </c>
      <c r="V313" s="70">
        <f>'RESUMEN TOTAL'!AI406</f>
        <v>0</v>
      </c>
      <c r="W313" s="70">
        <f>'RESUMEN TOTAL'!AJ406</f>
        <v>0</v>
      </c>
      <c r="X313" s="70">
        <f>'RESUMEN TOTAL'!AK406</f>
        <v>0</v>
      </c>
      <c r="Y313" s="70">
        <f>'RESUMEN TOTAL'!AL406</f>
        <v>0</v>
      </c>
      <c r="Z313" s="70">
        <f>'RESUMEN TOTAL'!AM406</f>
        <v>0</v>
      </c>
      <c r="AA313" s="70">
        <f>'RESUMEN TOTAL'!AN406</f>
        <v>0</v>
      </c>
      <c r="AB313" s="70">
        <f>'RESUMEN TOTAL'!AO406</f>
        <v>0</v>
      </c>
      <c r="AC313" s="70">
        <f>'RESUMEN TOTAL'!AP406</f>
        <v>0</v>
      </c>
      <c r="AD313" s="70">
        <f>'RESUMEN TOTAL'!AQ406</f>
        <v>0</v>
      </c>
      <c r="AE313" s="70">
        <f>'RESUMEN TOTAL'!AR406</f>
        <v>0</v>
      </c>
      <c r="AF313" s="70">
        <f>'RESUMEN TOTAL'!AS406</f>
        <v>0</v>
      </c>
      <c r="AG313" s="70">
        <f>'RESUMEN TOTAL'!AT406</f>
        <v>0</v>
      </c>
      <c r="AH313" s="70">
        <f>'RESUMEN TOTAL'!AU406</f>
        <v>0</v>
      </c>
      <c r="AI313" s="70">
        <f>'RESUMEN TOTAL'!AV406</f>
        <v>0</v>
      </c>
      <c r="AJ313" s="70" t="e">
        <f>'RESUMEN TOTAL'!#REF!</f>
        <v>#REF!</v>
      </c>
    </row>
    <row r="314" spans="1:36" x14ac:dyDescent="0.25">
      <c r="A314" t="str">
        <f>'RESUMEN TOTAL'!F407</f>
        <v>VILLA AURORA</v>
      </c>
      <c r="B314" t="str">
        <f>'RESUMEN TOTAL'!G407</f>
        <v>SIR07 (fija 1)</v>
      </c>
      <c r="C314" t="str">
        <f>'RESUMEN TOTAL'!I407</f>
        <v>MONTEVERDE Y URIBURU</v>
      </c>
      <c r="D314" s="30" t="str">
        <f>'RESUMEN TOTAL'!J407</f>
        <v>Fija</v>
      </c>
      <c r="E314" s="30" t="str">
        <f>'RESUMEN TOTAL'!K407</f>
        <v>Fibra Optica</v>
      </c>
      <c r="F314" s="70">
        <f>'RESUMEN TOTAL'!S407</f>
        <v>0</v>
      </c>
      <c r="G314" s="70">
        <f>'RESUMEN TOTAL'!T407</f>
        <v>0</v>
      </c>
      <c r="H314" s="70">
        <f>'RESUMEN TOTAL'!U407</f>
        <v>0</v>
      </c>
      <c r="I314" s="70">
        <f>'RESUMEN TOTAL'!V407</f>
        <v>0</v>
      </c>
      <c r="J314" s="70">
        <f>'RESUMEN TOTAL'!W407</f>
        <v>0</v>
      </c>
      <c r="K314" s="70">
        <f>'RESUMEN TOTAL'!X407</f>
        <v>0</v>
      </c>
      <c r="L314" s="70">
        <f>'RESUMEN TOTAL'!Y407</f>
        <v>0</v>
      </c>
      <c r="M314" s="70">
        <f>'RESUMEN TOTAL'!Z407</f>
        <v>0</v>
      </c>
      <c r="N314" s="70">
        <f>'RESUMEN TOTAL'!AA407</f>
        <v>0</v>
      </c>
      <c r="O314" s="70">
        <f>'RESUMEN TOTAL'!AB407</f>
        <v>0</v>
      </c>
      <c r="P314" s="70">
        <f>'RESUMEN TOTAL'!AC407</f>
        <v>0</v>
      </c>
      <c r="Q314" s="70">
        <f>'RESUMEN TOTAL'!AD407</f>
        <v>0</v>
      </c>
      <c r="R314" s="70">
        <f>'RESUMEN TOTAL'!AE407</f>
        <v>0</v>
      </c>
      <c r="S314" s="70">
        <f>'RESUMEN TOTAL'!AF407</f>
        <v>0</v>
      </c>
      <c r="T314" s="70">
        <f>'RESUMEN TOTAL'!AG407</f>
        <v>0</v>
      </c>
      <c r="U314" s="70">
        <f>'RESUMEN TOTAL'!AH407</f>
        <v>0</v>
      </c>
      <c r="V314" s="70">
        <f>'RESUMEN TOTAL'!AI407</f>
        <v>0</v>
      </c>
      <c r="W314" s="70">
        <f>'RESUMEN TOTAL'!AJ407</f>
        <v>0</v>
      </c>
      <c r="X314" s="70">
        <f>'RESUMEN TOTAL'!AK407</f>
        <v>0</v>
      </c>
      <c r="Y314" s="70">
        <f>'RESUMEN TOTAL'!AL407</f>
        <v>0</v>
      </c>
      <c r="Z314" s="70">
        <f>'RESUMEN TOTAL'!AM407</f>
        <v>0</v>
      </c>
      <c r="AA314" s="70">
        <f>'RESUMEN TOTAL'!AN407</f>
        <v>0</v>
      </c>
      <c r="AB314" s="70">
        <f>'RESUMEN TOTAL'!AO407</f>
        <v>0</v>
      </c>
      <c r="AC314" s="70">
        <f>'RESUMEN TOTAL'!AP407</f>
        <v>0</v>
      </c>
      <c r="AD314" s="70">
        <f>'RESUMEN TOTAL'!AQ407</f>
        <v>0</v>
      </c>
      <c r="AE314" s="70">
        <f>'RESUMEN TOTAL'!AR407</f>
        <v>0</v>
      </c>
      <c r="AF314" s="70">
        <f>'RESUMEN TOTAL'!AS407</f>
        <v>0</v>
      </c>
      <c r="AG314" s="70">
        <f>'RESUMEN TOTAL'!AT407</f>
        <v>0</v>
      </c>
      <c r="AH314" s="70">
        <f>'RESUMEN TOTAL'!AU407</f>
        <v>0</v>
      </c>
      <c r="AI314" s="70">
        <f>'RESUMEN TOTAL'!AV407</f>
        <v>0</v>
      </c>
      <c r="AJ314" s="70" t="e">
        <f>'RESUMEN TOTAL'!#REF!</f>
        <v>#REF!</v>
      </c>
    </row>
    <row r="315" spans="1:36" x14ac:dyDescent="0.25">
      <c r="A315" t="str">
        <f>'RESUMEN TOTAL'!F408</f>
        <v>VILLA AURORA</v>
      </c>
      <c r="B315" t="str">
        <f>'RESUMEN TOTAL'!G408</f>
        <v>SIR08 (fija 2)</v>
      </c>
      <c r="C315" t="str">
        <f>'RESUMEN TOTAL'!I408</f>
        <v>MONTEVERDE Y URIBURU</v>
      </c>
      <c r="D315" s="30" t="str">
        <f>'RESUMEN TOTAL'!J408</f>
        <v>Fija</v>
      </c>
      <c r="E315" s="30" t="str">
        <f>'RESUMEN TOTAL'!K408</f>
        <v>Fibra Optica</v>
      </c>
      <c r="F315" s="70">
        <f>'RESUMEN TOTAL'!S408</f>
        <v>0</v>
      </c>
      <c r="G315" s="70">
        <f>'RESUMEN TOTAL'!T408</f>
        <v>0</v>
      </c>
      <c r="H315" s="70">
        <f>'RESUMEN TOTAL'!U408</f>
        <v>0</v>
      </c>
      <c r="I315" s="70">
        <f>'RESUMEN TOTAL'!V408</f>
        <v>0</v>
      </c>
      <c r="J315" s="70">
        <f>'RESUMEN TOTAL'!W408</f>
        <v>0</v>
      </c>
      <c r="K315" s="70">
        <f>'RESUMEN TOTAL'!X408</f>
        <v>0</v>
      </c>
      <c r="L315" s="70">
        <f>'RESUMEN TOTAL'!Y408</f>
        <v>0</v>
      </c>
      <c r="M315" s="70">
        <f>'RESUMEN TOTAL'!Z408</f>
        <v>0</v>
      </c>
      <c r="N315" s="70">
        <f>'RESUMEN TOTAL'!AA408</f>
        <v>0</v>
      </c>
      <c r="O315" s="70">
        <f>'RESUMEN TOTAL'!AB408</f>
        <v>0</v>
      </c>
      <c r="P315" s="70">
        <f>'RESUMEN TOTAL'!AC408</f>
        <v>0</v>
      </c>
      <c r="Q315" s="70">
        <f>'RESUMEN TOTAL'!AD408</f>
        <v>0</v>
      </c>
      <c r="R315" s="70">
        <f>'RESUMEN TOTAL'!AE408</f>
        <v>0</v>
      </c>
      <c r="S315" s="70">
        <f>'RESUMEN TOTAL'!AF408</f>
        <v>0</v>
      </c>
      <c r="T315" s="70">
        <f>'RESUMEN TOTAL'!AG408</f>
        <v>0</v>
      </c>
      <c r="U315" s="70">
        <f>'RESUMEN TOTAL'!AH408</f>
        <v>0</v>
      </c>
      <c r="V315" s="70">
        <f>'RESUMEN TOTAL'!AI408</f>
        <v>0</v>
      </c>
      <c r="W315" s="70">
        <f>'RESUMEN TOTAL'!AJ408</f>
        <v>0</v>
      </c>
      <c r="X315" s="70">
        <f>'RESUMEN TOTAL'!AK408</f>
        <v>0</v>
      </c>
      <c r="Y315" s="70">
        <f>'RESUMEN TOTAL'!AL408</f>
        <v>0</v>
      </c>
      <c r="Z315" s="70">
        <f>'RESUMEN TOTAL'!AM408</f>
        <v>0</v>
      </c>
      <c r="AA315" s="70">
        <f>'RESUMEN TOTAL'!AN408</f>
        <v>0</v>
      </c>
      <c r="AB315" s="70">
        <f>'RESUMEN TOTAL'!AO408</f>
        <v>0</v>
      </c>
      <c r="AC315" s="70">
        <f>'RESUMEN TOTAL'!AP408</f>
        <v>0</v>
      </c>
      <c r="AD315" s="70">
        <f>'RESUMEN TOTAL'!AQ408</f>
        <v>0</v>
      </c>
      <c r="AE315" s="70">
        <f>'RESUMEN TOTAL'!AR408</f>
        <v>0</v>
      </c>
      <c r="AF315" s="70">
        <f>'RESUMEN TOTAL'!AS408</f>
        <v>0</v>
      </c>
      <c r="AG315" s="70">
        <f>'RESUMEN TOTAL'!AT408</f>
        <v>0</v>
      </c>
      <c r="AH315" s="70">
        <f>'RESUMEN TOTAL'!AU408</f>
        <v>0</v>
      </c>
      <c r="AI315" s="70">
        <f>'RESUMEN TOTAL'!AV408</f>
        <v>0</v>
      </c>
      <c r="AJ315" s="70" t="e">
        <f>'RESUMEN TOTAL'!#REF!</f>
        <v>#REF!</v>
      </c>
    </row>
    <row r="316" spans="1:36" x14ac:dyDescent="0.25">
      <c r="A316" t="str">
        <f>'RESUMEN TOTAL'!F414</f>
        <v>SAN JORGE</v>
      </c>
      <c r="B316" t="str">
        <f>'RESUMEN TOTAL'!G414</f>
        <v>SJO 04</v>
      </c>
      <c r="C316" t="str">
        <f>'RESUMEN TOTAL'!I414</f>
        <v>552 Y 519</v>
      </c>
      <c r="D316" s="30" t="str">
        <f>'RESUMEN TOTAL'!J414</f>
        <v>DOMO</v>
      </c>
      <c r="E316" s="30" t="str">
        <f>'RESUMEN TOTAL'!K414</f>
        <v>GPON</v>
      </c>
      <c r="F316" s="70">
        <f>'RESUMEN TOTAL'!S414</f>
        <v>0</v>
      </c>
      <c r="G316" s="70">
        <f>'RESUMEN TOTAL'!T414</f>
        <v>0</v>
      </c>
      <c r="H316" s="70">
        <f>'RESUMEN TOTAL'!U414</f>
        <v>0</v>
      </c>
      <c r="I316" s="70">
        <f>'RESUMEN TOTAL'!V414</f>
        <v>0</v>
      </c>
      <c r="J316" s="70">
        <f>'RESUMEN TOTAL'!W414</f>
        <v>0</v>
      </c>
      <c r="K316" s="70" t="str">
        <f>'RESUMEN TOTAL'!X414</f>
        <v>APAGADO</v>
      </c>
      <c r="L316" s="70">
        <f>'RESUMEN TOTAL'!Y414</f>
        <v>0</v>
      </c>
      <c r="M316" s="70">
        <f>'RESUMEN TOTAL'!Z414</f>
        <v>0</v>
      </c>
      <c r="N316" s="70">
        <f>'RESUMEN TOTAL'!AA414</f>
        <v>0</v>
      </c>
      <c r="O316" s="70">
        <f>'RESUMEN TOTAL'!AB414</f>
        <v>0</v>
      </c>
      <c r="P316" s="70">
        <f>'RESUMEN TOTAL'!AC414</f>
        <v>0</v>
      </c>
      <c r="Q316" s="70">
        <f>'RESUMEN TOTAL'!AD414</f>
        <v>0</v>
      </c>
      <c r="R316" s="70">
        <f>'RESUMEN TOTAL'!AE414</f>
        <v>0</v>
      </c>
      <c r="S316" s="70">
        <f>'RESUMEN TOTAL'!AF414</f>
        <v>0</v>
      </c>
      <c r="T316" s="70">
        <f>'RESUMEN TOTAL'!AG414</f>
        <v>0</v>
      </c>
      <c r="U316" s="70">
        <f>'RESUMEN TOTAL'!AH414</f>
        <v>0</v>
      </c>
      <c r="V316" s="70">
        <f>'RESUMEN TOTAL'!AI414</f>
        <v>0</v>
      </c>
      <c r="W316" s="70">
        <f>'RESUMEN TOTAL'!AJ414</f>
        <v>0</v>
      </c>
      <c r="X316" s="70">
        <f>'RESUMEN TOTAL'!AK414</f>
        <v>0</v>
      </c>
      <c r="Y316" s="70">
        <f>'RESUMEN TOTAL'!AL414</f>
        <v>0</v>
      </c>
      <c r="Z316" s="70">
        <f>'RESUMEN TOTAL'!AM414</f>
        <v>0</v>
      </c>
      <c r="AA316" s="70">
        <f>'RESUMEN TOTAL'!AN414</f>
        <v>0</v>
      </c>
      <c r="AB316" s="70">
        <f>'RESUMEN TOTAL'!AO414</f>
        <v>0</v>
      </c>
      <c r="AC316" s="70">
        <f>'RESUMEN TOTAL'!AP414</f>
        <v>0</v>
      </c>
      <c r="AD316" s="70">
        <f>'RESUMEN TOTAL'!AQ414</f>
        <v>0</v>
      </c>
      <c r="AE316" s="70">
        <f>'RESUMEN TOTAL'!AR414</f>
        <v>0</v>
      </c>
      <c r="AF316" s="70">
        <f>'RESUMEN TOTAL'!AS414</f>
        <v>0</v>
      </c>
      <c r="AG316" s="70">
        <f>'RESUMEN TOTAL'!AT414</f>
        <v>0</v>
      </c>
      <c r="AH316" s="70">
        <f>'RESUMEN TOTAL'!AU414</f>
        <v>0</v>
      </c>
      <c r="AI316" s="70">
        <f>'RESUMEN TOTAL'!AV414</f>
        <v>0</v>
      </c>
      <c r="AJ316" s="70" t="e">
        <f>'RESUMEN TOTAL'!#REF!</f>
        <v>#REF!</v>
      </c>
    </row>
    <row r="317" spans="1:36" x14ac:dyDescent="0.25">
      <c r="A317" t="str">
        <f>'RESUMEN TOTAL'!F415</f>
        <v>SAN JORGE</v>
      </c>
      <c r="B317" t="str">
        <f>'RESUMEN TOTAL'!G415</f>
        <v>SJO 09 (FIJA 1)</v>
      </c>
      <c r="C317" t="str">
        <f>'RESUMEN TOTAL'!I415</f>
        <v>515 Y 566</v>
      </c>
      <c r="D317" s="30" t="str">
        <f>'RESUMEN TOTAL'!J415</f>
        <v>Fija</v>
      </c>
      <c r="E317" s="30" t="str">
        <f>'RESUMEN TOTAL'!K415</f>
        <v>Radio</v>
      </c>
      <c r="F317" s="70">
        <f>'RESUMEN TOTAL'!S415</f>
        <v>0</v>
      </c>
      <c r="G317" s="70">
        <f>'RESUMEN TOTAL'!T415</f>
        <v>0</v>
      </c>
      <c r="H317" s="70">
        <f>'RESUMEN TOTAL'!V415</f>
        <v>0</v>
      </c>
      <c r="I317" s="70">
        <v>0</v>
      </c>
      <c r="J317" s="70">
        <f>'RESUMEN TOTAL'!W415</f>
        <v>0</v>
      </c>
      <c r="K317" s="70">
        <f>'RESUMEN TOTAL'!X415</f>
        <v>0</v>
      </c>
      <c r="L317" s="70">
        <f>'RESUMEN TOTAL'!Y415</f>
        <v>0</v>
      </c>
      <c r="M317" s="70">
        <f>'RESUMEN TOTAL'!Z415</f>
        <v>0</v>
      </c>
      <c r="N317" s="70">
        <f>'RESUMEN TOTAL'!AA415</f>
        <v>0</v>
      </c>
      <c r="O317" s="70">
        <f>'RESUMEN TOTAL'!AB415</f>
        <v>0</v>
      </c>
      <c r="P317" s="70">
        <f>'RESUMEN TOTAL'!AC415</f>
        <v>0</v>
      </c>
      <c r="Q317" s="70">
        <f>'RESUMEN TOTAL'!AD415</f>
        <v>0</v>
      </c>
      <c r="R317" s="70">
        <f>'RESUMEN TOTAL'!AE415</f>
        <v>0</v>
      </c>
      <c r="S317" s="70">
        <f>'RESUMEN TOTAL'!AF415</f>
        <v>0</v>
      </c>
      <c r="T317" s="70">
        <f>'RESUMEN TOTAL'!AG415</f>
        <v>0</v>
      </c>
      <c r="U317" s="70">
        <f>'RESUMEN TOTAL'!AH415</f>
        <v>0</v>
      </c>
      <c r="V317" s="70">
        <f>'RESUMEN TOTAL'!AI415</f>
        <v>0</v>
      </c>
      <c r="W317" s="70">
        <f>'RESUMEN TOTAL'!AJ415</f>
        <v>0</v>
      </c>
      <c r="X317" s="70">
        <f>'RESUMEN TOTAL'!AK415</f>
        <v>0</v>
      </c>
      <c r="Y317" s="70">
        <f>'RESUMEN TOTAL'!AL415</f>
        <v>0</v>
      </c>
      <c r="Z317" s="70">
        <f>'RESUMEN TOTAL'!AM415</f>
        <v>0</v>
      </c>
      <c r="AA317" s="70">
        <f>'RESUMEN TOTAL'!AN415</f>
        <v>0</v>
      </c>
      <c r="AB317" s="70">
        <f>'RESUMEN TOTAL'!AO415</f>
        <v>0</v>
      </c>
      <c r="AC317" s="70">
        <f>'RESUMEN TOTAL'!AP415</f>
        <v>0</v>
      </c>
      <c r="AD317" s="70">
        <f>'RESUMEN TOTAL'!AQ415</f>
        <v>0</v>
      </c>
      <c r="AE317" s="70">
        <f>'RESUMEN TOTAL'!AR415</f>
        <v>0</v>
      </c>
      <c r="AF317" s="70">
        <f>'RESUMEN TOTAL'!AS415</f>
        <v>0</v>
      </c>
      <c r="AG317" s="70">
        <f>'RESUMEN TOTAL'!AT415</f>
        <v>0</v>
      </c>
      <c r="AH317" s="70">
        <f>'RESUMEN TOTAL'!AU415</f>
        <v>0</v>
      </c>
      <c r="AI317" s="70">
        <f>'RESUMEN TOTAL'!AV415</f>
        <v>0</v>
      </c>
      <c r="AJ317" s="70" t="e">
        <f>'RESUMEN TOTAL'!#REF!</f>
        <v>#REF!</v>
      </c>
    </row>
    <row r="318" spans="1:36" x14ac:dyDescent="0.25">
      <c r="A318" t="str">
        <f>'RESUMEN TOTAL'!F416</f>
        <v>SAN JORGE</v>
      </c>
      <c r="B318" t="str">
        <f>'RESUMEN TOTAL'!G416</f>
        <v>SJO 10 (FIJA 2)</v>
      </c>
      <c r="C318" t="str">
        <f>'RESUMEN TOTAL'!I416</f>
        <v>515 Y 566</v>
      </c>
      <c r="D318" s="30" t="str">
        <f>'RESUMEN TOTAL'!J416</f>
        <v>Fija</v>
      </c>
      <c r="E318" s="30" t="str">
        <f>'RESUMEN TOTAL'!K416</f>
        <v>Radio</v>
      </c>
      <c r="F318" s="70">
        <f>'RESUMEN TOTAL'!S416</f>
        <v>0</v>
      </c>
      <c r="G318" s="70">
        <f>'RESUMEN TOTAL'!T416</f>
        <v>0</v>
      </c>
      <c r="H318" s="70">
        <f>'RESUMEN TOTAL'!U416</f>
        <v>0</v>
      </c>
      <c r="I318" s="70">
        <f>'RESUMEN TOTAL'!V416</f>
        <v>0</v>
      </c>
      <c r="J318" s="70">
        <f>'RESUMEN TOTAL'!W416</f>
        <v>0</v>
      </c>
      <c r="K318" s="70">
        <f>'RESUMEN TOTAL'!X416</f>
        <v>0</v>
      </c>
      <c r="L318" s="70">
        <f>'RESUMEN TOTAL'!Y416</f>
        <v>0</v>
      </c>
      <c r="M318" s="70">
        <f>'RESUMEN TOTAL'!Z416</f>
        <v>0</v>
      </c>
      <c r="N318" s="70">
        <f>'RESUMEN TOTAL'!AA416</f>
        <v>0</v>
      </c>
      <c r="O318" s="70">
        <f>'RESUMEN TOTAL'!AB416</f>
        <v>0</v>
      </c>
      <c r="P318" s="70">
        <f>'RESUMEN TOTAL'!AC416</f>
        <v>0</v>
      </c>
      <c r="Q318" s="70">
        <f>'RESUMEN TOTAL'!AD416</f>
        <v>0</v>
      </c>
      <c r="R318" s="70">
        <f>'RESUMEN TOTAL'!AE416</f>
        <v>0</v>
      </c>
      <c r="S318" s="70">
        <f>'RESUMEN TOTAL'!AF416</f>
        <v>0</v>
      </c>
      <c r="T318" s="70">
        <f>'RESUMEN TOTAL'!AG416</f>
        <v>0</v>
      </c>
      <c r="U318" s="70">
        <f>'RESUMEN TOTAL'!AH416</f>
        <v>0</v>
      </c>
      <c r="V318" s="70">
        <f>'RESUMEN TOTAL'!AI416</f>
        <v>0</v>
      </c>
      <c r="W318" s="70">
        <f>'RESUMEN TOTAL'!AJ416</f>
        <v>0</v>
      </c>
      <c r="X318" s="70">
        <f>'RESUMEN TOTAL'!AK416</f>
        <v>0</v>
      </c>
      <c r="Y318" s="70">
        <f>'RESUMEN TOTAL'!AL416</f>
        <v>0</v>
      </c>
      <c r="Z318" s="70">
        <f>'RESUMEN TOTAL'!AM416</f>
        <v>0</v>
      </c>
      <c r="AA318" s="70">
        <f>'RESUMEN TOTAL'!AN416</f>
        <v>0</v>
      </c>
      <c r="AB318" s="70">
        <f>'RESUMEN TOTAL'!AO416</f>
        <v>0</v>
      </c>
      <c r="AC318" s="70">
        <f>'RESUMEN TOTAL'!AP416</f>
        <v>0</v>
      </c>
      <c r="AD318" s="70">
        <f>'RESUMEN TOTAL'!AQ416</f>
        <v>0</v>
      </c>
      <c r="AE318" s="70">
        <f>'RESUMEN TOTAL'!AR416</f>
        <v>0</v>
      </c>
      <c r="AF318" s="70">
        <f>'RESUMEN TOTAL'!AS416</f>
        <v>0</v>
      </c>
      <c r="AG318" s="70">
        <f>'RESUMEN TOTAL'!AT416</f>
        <v>0</v>
      </c>
      <c r="AH318" s="70">
        <f>'RESUMEN TOTAL'!AU416</f>
        <v>0</v>
      </c>
      <c r="AI318" s="70">
        <f>'RESUMEN TOTAL'!AV416</f>
        <v>0</v>
      </c>
      <c r="AJ318" s="70" t="e">
        <f>'RESUMEN TOTAL'!#REF!</f>
        <v>#REF!</v>
      </c>
    </row>
    <row r="319" spans="1:36" x14ac:dyDescent="0.25">
      <c r="A319" t="str">
        <f>'RESUMEN TOTAL'!F417</f>
        <v>SAN JORGE</v>
      </c>
      <c r="B319" t="str">
        <f>'RESUMEN TOTAL'!G417</f>
        <v>SJO01</v>
      </c>
      <c r="C319" t="str">
        <f>'RESUMEN TOTAL'!I417</f>
        <v>Calle 554 y 527</v>
      </c>
      <c r="D319" s="30" t="str">
        <f>'RESUMEN TOTAL'!J417</f>
        <v>Domo</v>
      </c>
      <c r="E319" s="30" t="str">
        <f>'RESUMEN TOTAL'!K417</f>
        <v>PTO A FO</v>
      </c>
      <c r="F319" s="70" t="str">
        <f>'RESUMEN TOTAL'!S417</f>
        <v>APAGADO</v>
      </c>
      <c r="G319" s="70" t="str">
        <f>'RESUMEN TOTAL'!T417</f>
        <v>APAGADO</v>
      </c>
      <c r="H319" s="70" t="str">
        <f>'RESUMEN TOTAL'!U417</f>
        <v>APAGADO</v>
      </c>
      <c r="I319" s="70">
        <f>'RESUMEN TOTAL'!V417</f>
        <v>0</v>
      </c>
      <c r="J319" s="70">
        <f>'RESUMEN TOTAL'!W417</f>
        <v>0</v>
      </c>
      <c r="K319" s="70" t="str">
        <f>'RESUMEN TOTAL'!X417</f>
        <v>APAGADO</v>
      </c>
      <c r="L319" s="70">
        <f>'RESUMEN TOTAL'!Y417</f>
        <v>0</v>
      </c>
      <c r="M319" s="70">
        <f>'RESUMEN TOTAL'!Z417</f>
        <v>0</v>
      </c>
      <c r="N319" s="70">
        <f>'RESUMEN TOTAL'!AA417</f>
        <v>0</v>
      </c>
      <c r="O319" s="70">
        <f>'RESUMEN TOTAL'!AB417</f>
        <v>0</v>
      </c>
      <c r="P319" s="70">
        <f>'RESUMEN TOTAL'!AC417</f>
        <v>0</v>
      </c>
      <c r="Q319" s="70">
        <f>'RESUMEN TOTAL'!AD417</f>
        <v>0</v>
      </c>
      <c r="R319" s="70">
        <f>'RESUMEN TOTAL'!AE417</f>
        <v>0</v>
      </c>
      <c r="S319" s="70">
        <f>'RESUMEN TOTAL'!AF417</f>
        <v>0</v>
      </c>
      <c r="T319" s="70">
        <f>'RESUMEN TOTAL'!AG417</f>
        <v>0</v>
      </c>
      <c r="U319" s="70">
        <f>'RESUMEN TOTAL'!AH417</f>
        <v>0</v>
      </c>
      <c r="V319" s="70">
        <f>'RESUMEN TOTAL'!AI417</f>
        <v>0</v>
      </c>
      <c r="W319" s="70">
        <f>'RESUMEN TOTAL'!AJ417</f>
        <v>0</v>
      </c>
      <c r="X319" s="70">
        <f>'RESUMEN TOTAL'!AK417</f>
        <v>0</v>
      </c>
      <c r="Y319" s="70">
        <f>'RESUMEN TOTAL'!AL417</f>
        <v>0</v>
      </c>
      <c r="Z319" s="70">
        <f>'RESUMEN TOTAL'!AM417</f>
        <v>0</v>
      </c>
      <c r="AA319" s="70">
        <f>'RESUMEN TOTAL'!AN417</f>
        <v>0</v>
      </c>
      <c r="AB319" s="70">
        <f>'RESUMEN TOTAL'!AO417</f>
        <v>0</v>
      </c>
      <c r="AC319" s="70">
        <f>'RESUMEN TOTAL'!AP417</f>
        <v>0</v>
      </c>
      <c r="AD319" s="70">
        <f>'RESUMEN TOTAL'!AQ417</f>
        <v>0</v>
      </c>
      <c r="AE319" s="70">
        <f>'RESUMEN TOTAL'!AR417</f>
        <v>0</v>
      </c>
      <c r="AF319" s="70">
        <f>'RESUMEN TOTAL'!AS417</f>
        <v>0</v>
      </c>
      <c r="AG319" s="70">
        <f>'RESUMEN TOTAL'!AT417</f>
        <v>0</v>
      </c>
      <c r="AH319" s="70">
        <f>'RESUMEN TOTAL'!AU417</f>
        <v>0</v>
      </c>
      <c r="AI319" s="70">
        <f>'RESUMEN TOTAL'!AV417</f>
        <v>0</v>
      </c>
      <c r="AJ319" s="70" t="e">
        <f>'RESUMEN TOTAL'!#REF!</f>
        <v>#REF!</v>
      </c>
    </row>
    <row r="320" spans="1:36" x14ac:dyDescent="0.25">
      <c r="A320" t="str">
        <f>'RESUMEN TOTAL'!F418</f>
        <v>SAN JORGE</v>
      </c>
      <c r="B320" t="str">
        <f>'RESUMEN TOTAL'!G418</f>
        <v>SJO02</v>
      </c>
      <c r="C320" t="str">
        <f>'RESUMEN TOTAL'!I418</f>
        <v>Calle 554 y 511</v>
      </c>
      <c r="D320" s="30" t="str">
        <f>'RESUMEN TOTAL'!J418</f>
        <v>Domo</v>
      </c>
      <c r="E320" s="30" t="str">
        <f>'RESUMEN TOTAL'!K418</f>
        <v>Radio</v>
      </c>
      <c r="F320" s="70">
        <f>'RESUMEN TOTAL'!S418</f>
        <v>0</v>
      </c>
      <c r="G320" s="70">
        <f>'RESUMEN TOTAL'!T418</f>
        <v>0</v>
      </c>
      <c r="H320" s="70">
        <f>'RESUMEN TOTAL'!U418</f>
        <v>0</v>
      </c>
      <c r="I320" s="70">
        <f>'RESUMEN TOTAL'!V418</f>
        <v>0</v>
      </c>
      <c r="J320" s="70">
        <f>'RESUMEN TOTAL'!W418</f>
        <v>0</v>
      </c>
      <c r="K320" s="70">
        <f>'RESUMEN TOTAL'!X418</f>
        <v>0</v>
      </c>
      <c r="L320" s="70">
        <f>'RESUMEN TOTAL'!Y418</f>
        <v>0</v>
      </c>
      <c r="M320" s="70">
        <f>'RESUMEN TOTAL'!Z418</f>
        <v>0</v>
      </c>
      <c r="N320" s="70">
        <f>'RESUMEN TOTAL'!AA418</f>
        <v>0</v>
      </c>
      <c r="O320" s="70">
        <f>'RESUMEN TOTAL'!AB418</f>
        <v>0</v>
      </c>
      <c r="P320" s="70">
        <f>'RESUMEN TOTAL'!AC418</f>
        <v>0</v>
      </c>
      <c r="Q320" s="70">
        <f>'RESUMEN TOTAL'!AD418</f>
        <v>0</v>
      </c>
      <c r="R320" s="70">
        <f>'RESUMEN TOTAL'!AE418</f>
        <v>0</v>
      </c>
      <c r="S320" s="70">
        <f>'RESUMEN TOTAL'!AF418</f>
        <v>0</v>
      </c>
      <c r="T320" s="70">
        <f>'RESUMEN TOTAL'!AG418</f>
        <v>0</v>
      </c>
      <c r="U320" s="70">
        <f>'RESUMEN TOTAL'!AH418</f>
        <v>0</v>
      </c>
      <c r="V320" s="70">
        <f>'RESUMEN TOTAL'!AI418</f>
        <v>0</v>
      </c>
      <c r="W320" s="70">
        <f>'RESUMEN TOTAL'!AJ418</f>
        <v>0</v>
      </c>
      <c r="X320" s="70">
        <f>'RESUMEN TOTAL'!AK418</f>
        <v>0</v>
      </c>
      <c r="Y320" s="70">
        <f>'RESUMEN TOTAL'!AL418</f>
        <v>0</v>
      </c>
      <c r="Z320" s="70">
        <f>'RESUMEN TOTAL'!AM418</f>
        <v>0</v>
      </c>
      <c r="AA320" s="70">
        <f>'RESUMEN TOTAL'!AN418</f>
        <v>0</v>
      </c>
      <c r="AB320" s="70">
        <f>'RESUMEN TOTAL'!AO418</f>
        <v>0</v>
      </c>
      <c r="AC320" s="70">
        <f>'RESUMEN TOTAL'!AP418</f>
        <v>0</v>
      </c>
      <c r="AD320" s="70">
        <f>'RESUMEN TOTAL'!AQ418</f>
        <v>0</v>
      </c>
      <c r="AE320" s="70">
        <f>'RESUMEN TOTAL'!AR418</f>
        <v>0</v>
      </c>
      <c r="AF320" s="70">
        <f>'RESUMEN TOTAL'!AS418</f>
        <v>0</v>
      </c>
      <c r="AG320" s="70">
        <f>'RESUMEN TOTAL'!AT418</f>
        <v>0</v>
      </c>
      <c r="AH320" s="70">
        <f>'RESUMEN TOTAL'!AU418</f>
        <v>0</v>
      </c>
      <c r="AI320" s="70">
        <f>'RESUMEN TOTAL'!AV418</f>
        <v>0</v>
      </c>
      <c r="AJ320" s="70" t="e">
        <f>'RESUMEN TOTAL'!#REF!</f>
        <v>#REF!</v>
      </c>
    </row>
    <row r="321" spans="1:36" x14ac:dyDescent="0.25">
      <c r="A321" t="str">
        <f>'RESUMEN TOTAL'!F419</f>
        <v>SAN JORGE</v>
      </c>
      <c r="B321" t="str">
        <f>'RESUMEN TOTAL'!G419</f>
        <v>SJO05 (fija 1)</v>
      </c>
      <c r="C321" t="str">
        <f>'RESUMEN TOTAL'!I419</f>
        <v>511 Y 560</v>
      </c>
      <c r="D321" s="30" t="str">
        <f>'RESUMEN TOTAL'!J419</f>
        <v>Fija</v>
      </c>
      <c r="E321" s="30" t="str">
        <f>'RESUMEN TOTAL'!K419</f>
        <v>FO A GPON</v>
      </c>
      <c r="F321" s="70" t="str">
        <f>'RESUMEN TOTAL'!S419</f>
        <v>APAGADO</v>
      </c>
      <c r="G321" s="70" t="str">
        <f>'RESUMEN TOTAL'!T419</f>
        <v>APAGADO</v>
      </c>
      <c r="H321" s="70">
        <f>'RESUMEN TOTAL'!V419</f>
        <v>0</v>
      </c>
      <c r="I321" s="70">
        <v>0</v>
      </c>
      <c r="J321" s="70">
        <f>'RESUMEN TOTAL'!W419</f>
        <v>0</v>
      </c>
      <c r="K321" s="70" t="str">
        <f>'RESUMEN TOTAL'!X419</f>
        <v>APAGADO</v>
      </c>
      <c r="L321" s="70">
        <f>'RESUMEN TOTAL'!Y419</f>
        <v>0</v>
      </c>
      <c r="M321" s="70">
        <f>'RESUMEN TOTAL'!Z419</f>
        <v>0</v>
      </c>
      <c r="N321" s="70">
        <f>'RESUMEN TOTAL'!AA419</f>
        <v>0</v>
      </c>
      <c r="O321" s="70">
        <f>'RESUMEN TOTAL'!AB419</f>
        <v>0</v>
      </c>
      <c r="P321" s="70">
        <f>'RESUMEN TOTAL'!AC419</f>
        <v>0</v>
      </c>
      <c r="Q321" s="70">
        <f>'RESUMEN TOTAL'!AD419</f>
        <v>0</v>
      </c>
      <c r="R321" s="70">
        <f>'RESUMEN TOTAL'!AE419</f>
        <v>0</v>
      </c>
      <c r="S321" s="70">
        <f>'RESUMEN TOTAL'!AF419</f>
        <v>0</v>
      </c>
      <c r="T321" s="70">
        <f>'RESUMEN TOTAL'!AG419</f>
        <v>0</v>
      </c>
      <c r="U321" s="70">
        <f>'RESUMEN TOTAL'!AH419</f>
        <v>0</v>
      </c>
      <c r="V321" s="70">
        <f>'RESUMEN TOTAL'!AI419</f>
        <v>0</v>
      </c>
      <c r="W321" s="70">
        <f>'RESUMEN TOTAL'!AJ419</f>
        <v>0</v>
      </c>
      <c r="X321" s="70">
        <f>'RESUMEN TOTAL'!AK419</f>
        <v>0</v>
      </c>
      <c r="Y321" s="70">
        <f>'RESUMEN TOTAL'!AL419</f>
        <v>0</v>
      </c>
      <c r="Z321" s="70">
        <f>'RESUMEN TOTAL'!AM419</f>
        <v>0</v>
      </c>
      <c r="AA321" s="70">
        <f>'RESUMEN TOTAL'!AN419</f>
        <v>0</v>
      </c>
      <c r="AB321" s="70">
        <f>'RESUMEN TOTAL'!AO419</f>
        <v>0</v>
      </c>
      <c r="AC321" s="70">
        <f>'RESUMEN TOTAL'!AP419</f>
        <v>0</v>
      </c>
      <c r="AD321" s="70">
        <f>'RESUMEN TOTAL'!AQ419</f>
        <v>0</v>
      </c>
      <c r="AE321" s="70">
        <f>'RESUMEN TOTAL'!AR419</f>
        <v>0</v>
      </c>
      <c r="AF321" s="70">
        <f>'RESUMEN TOTAL'!AS419</f>
        <v>0</v>
      </c>
      <c r="AG321" s="70">
        <f>'RESUMEN TOTAL'!AT419</f>
        <v>0</v>
      </c>
      <c r="AH321" s="70">
        <f>'RESUMEN TOTAL'!AU419</f>
        <v>0</v>
      </c>
      <c r="AI321" s="70">
        <f>'RESUMEN TOTAL'!AV419</f>
        <v>0</v>
      </c>
      <c r="AJ321" s="70" t="e">
        <f>'RESUMEN TOTAL'!#REF!</f>
        <v>#REF!</v>
      </c>
    </row>
    <row r="322" spans="1:36" x14ac:dyDescent="0.25">
      <c r="A322" t="str">
        <f>'RESUMEN TOTAL'!F420</f>
        <v>SAN JORGE</v>
      </c>
      <c r="B322" t="str">
        <f>'RESUMEN TOTAL'!G420</f>
        <v>SJO06 (fija 2)</v>
      </c>
      <c r="C322" t="str">
        <f>'RESUMEN TOTAL'!I420</f>
        <v>511 Y 560</v>
      </c>
      <c r="D322" s="30" t="str">
        <f>'RESUMEN TOTAL'!J420</f>
        <v>Fija</v>
      </c>
      <c r="E322" s="30" t="str">
        <f>'RESUMEN TOTAL'!K420</f>
        <v>FO A GPON</v>
      </c>
      <c r="F322" s="70" t="str">
        <f>'RESUMEN TOTAL'!S420</f>
        <v>APAGADO</v>
      </c>
      <c r="G322" s="70" t="str">
        <f>'RESUMEN TOTAL'!T420</f>
        <v>APAGADO</v>
      </c>
      <c r="H322" s="70">
        <f>'RESUMEN TOTAL'!V420</f>
        <v>0</v>
      </c>
      <c r="I322" s="70">
        <v>0</v>
      </c>
      <c r="J322" s="70">
        <f>'RESUMEN TOTAL'!W420</f>
        <v>0</v>
      </c>
      <c r="K322" s="70" t="str">
        <f>'RESUMEN TOTAL'!X420</f>
        <v>APAGADO</v>
      </c>
      <c r="L322" s="70">
        <f>'RESUMEN TOTAL'!Y420</f>
        <v>0</v>
      </c>
      <c r="M322" s="70">
        <f>'RESUMEN TOTAL'!Z420</f>
        <v>0</v>
      </c>
      <c r="N322" s="70">
        <f>'RESUMEN TOTAL'!AA420</f>
        <v>0</v>
      </c>
      <c r="O322" s="70">
        <f>'RESUMEN TOTAL'!AB420</f>
        <v>0</v>
      </c>
      <c r="P322" s="70">
        <f>'RESUMEN TOTAL'!AC420</f>
        <v>0</v>
      </c>
      <c r="Q322" s="70">
        <f>'RESUMEN TOTAL'!AD420</f>
        <v>0</v>
      </c>
      <c r="R322" s="70">
        <f>'RESUMEN TOTAL'!AE420</f>
        <v>0</v>
      </c>
      <c r="S322" s="70">
        <f>'RESUMEN TOTAL'!AF420</f>
        <v>0</v>
      </c>
      <c r="T322" s="70">
        <f>'RESUMEN TOTAL'!AG420</f>
        <v>0</v>
      </c>
      <c r="U322" s="70">
        <f>'RESUMEN TOTAL'!AH420</f>
        <v>0</v>
      </c>
      <c r="V322" s="70">
        <f>'RESUMEN TOTAL'!AI420</f>
        <v>0</v>
      </c>
      <c r="W322" s="70">
        <f>'RESUMEN TOTAL'!AJ420</f>
        <v>0</v>
      </c>
      <c r="X322" s="70">
        <f>'RESUMEN TOTAL'!AK420</f>
        <v>0</v>
      </c>
      <c r="Y322" s="70">
        <f>'RESUMEN TOTAL'!AL420</f>
        <v>0</v>
      </c>
      <c r="Z322" s="70">
        <f>'RESUMEN TOTAL'!AM420</f>
        <v>0</v>
      </c>
      <c r="AA322" s="70">
        <f>'RESUMEN TOTAL'!AN420</f>
        <v>0</v>
      </c>
      <c r="AB322" s="70">
        <f>'RESUMEN TOTAL'!AO420</f>
        <v>0</v>
      </c>
      <c r="AC322" s="70">
        <f>'RESUMEN TOTAL'!AP420</f>
        <v>0</v>
      </c>
      <c r="AD322" s="70">
        <f>'RESUMEN TOTAL'!AQ420</f>
        <v>0</v>
      </c>
      <c r="AE322" s="70">
        <f>'RESUMEN TOTAL'!AR420</f>
        <v>0</v>
      </c>
      <c r="AF322" s="70">
        <f>'RESUMEN TOTAL'!AS420</f>
        <v>0</v>
      </c>
      <c r="AG322" s="70">
        <f>'RESUMEN TOTAL'!AT420</f>
        <v>0</v>
      </c>
      <c r="AH322" s="70">
        <f>'RESUMEN TOTAL'!AU420</f>
        <v>0</v>
      </c>
      <c r="AI322" s="70">
        <f>'RESUMEN TOTAL'!AV420</f>
        <v>0</v>
      </c>
      <c r="AJ322" s="70" t="e">
        <f>'RESUMEN TOTAL'!#REF!</f>
        <v>#REF!</v>
      </c>
    </row>
    <row r="323" spans="1:36" x14ac:dyDescent="0.25">
      <c r="A323" t="str">
        <f>'RESUMEN TOTAL'!F421</f>
        <v>SAN JORGE</v>
      </c>
      <c r="B323" t="str">
        <f>'RESUMEN TOTAL'!G421</f>
        <v>SJO07 (fija 1)</v>
      </c>
      <c r="C323" t="str">
        <f>'RESUMEN TOTAL'!I421</f>
        <v>503 Y 556</v>
      </c>
      <c r="D323" s="30" t="str">
        <f>'RESUMEN TOTAL'!J421</f>
        <v>Fija</v>
      </c>
      <c r="E323" s="30" t="str">
        <f>'RESUMEN TOTAL'!K421</f>
        <v>GPON</v>
      </c>
      <c r="F323" s="70">
        <f>'RESUMEN TOTAL'!S421</f>
        <v>0</v>
      </c>
      <c r="G323" s="70">
        <f>'RESUMEN TOTAL'!T421</f>
        <v>0</v>
      </c>
      <c r="H323" s="70">
        <f>'RESUMEN TOTAL'!V421</f>
        <v>0</v>
      </c>
      <c r="I323" s="70">
        <v>0</v>
      </c>
      <c r="J323" s="70">
        <f>'RESUMEN TOTAL'!W421</f>
        <v>0</v>
      </c>
      <c r="K323" s="70" t="str">
        <f>'RESUMEN TOTAL'!X421</f>
        <v>APAGADO</v>
      </c>
      <c r="L323" s="70">
        <f>'RESUMEN TOTAL'!Y421</f>
        <v>0</v>
      </c>
      <c r="M323" s="70">
        <f>'RESUMEN TOTAL'!Z421</f>
        <v>0</v>
      </c>
      <c r="N323" s="70">
        <f>'RESUMEN TOTAL'!AA421</f>
        <v>0</v>
      </c>
      <c r="O323" s="70">
        <f>'RESUMEN TOTAL'!AB421</f>
        <v>0</v>
      </c>
      <c r="P323" s="70">
        <f>'RESUMEN TOTAL'!AC421</f>
        <v>0</v>
      </c>
      <c r="Q323" s="70">
        <f>'RESUMEN TOTAL'!AD421</f>
        <v>0</v>
      </c>
      <c r="R323" s="70">
        <f>'RESUMEN TOTAL'!AE421</f>
        <v>0</v>
      </c>
      <c r="S323" s="70">
        <f>'RESUMEN TOTAL'!AF421</f>
        <v>0</v>
      </c>
      <c r="T323" s="70">
        <f>'RESUMEN TOTAL'!AG421</f>
        <v>0</v>
      </c>
      <c r="U323" s="70">
        <f>'RESUMEN TOTAL'!AH421</f>
        <v>0</v>
      </c>
      <c r="V323" s="70">
        <f>'RESUMEN TOTAL'!AI421</f>
        <v>0</v>
      </c>
      <c r="W323" s="70">
        <f>'RESUMEN TOTAL'!AJ421</f>
        <v>0</v>
      </c>
      <c r="X323" s="70">
        <f>'RESUMEN TOTAL'!AK421</f>
        <v>0</v>
      </c>
      <c r="Y323" s="70">
        <f>'RESUMEN TOTAL'!AL421</f>
        <v>0</v>
      </c>
      <c r="Z323" s="70">
        <f>'RESUMEN TOTAL'!AM421</f>
        <v>0</v>
      </c>
      <c r="AA323" s="70">
        <f>'RESUMEN TOTAL'!AN421</f>
        <v>0</v>
      </c>
      <c r="AB323" s="70">
        <f>'RESUMEN TOTAL'!AO421</f>
        <v>0</v>
      </c>
      <c r="AC323" s="70">
        <f>'RESUMEN TOTAL'!AP421</f>
        <v>0</v>
      </c>
      <c r="AD323" s="70">
        <f>'RESUMEN TOTAL'!AQ421</f>
        <v>0</v>
      </c>
      <c r="AE323" s="70">
        <f>'RESUMEN TOTAL'!AR421</f>
        <v>0</v>
      </c>
      <c r="AF323" s="70">
        <f>'RESUMEN TOTAL'!AS421</f>
        <v>0</v>
      </c>
      <c r="AG323" s="70">
        <f>'RESUMEN TOTAL'!AT421</f>
        <v>0</v>
      </c>
      <c r="AH323" s="70">
        <f>'RESUMEN TOTAL'!AU421</f>
        <v>0</v>
      </c>
      <c r="AI323" s="70">
        <f>'RESUMEN TOTAL'!AV421</f>
        <v>0</v>
      </c>
      <c r="AJ323" s="70" t="e">
        <f>'RESUMEN TOTAL'!#REF!</f>
        <v>#REF!</v>
      </c>
    </row>
    <row r="324" spans="1:36" x14ac:dyDescent="0.25">
      <c r="A324" t="str">
        <f>'RESUMEN TOTAL'!F422</f>
        <v>SAN JORGE</v>
      </c>
      <c r="B324" t="str">
        <f>'RESUMEN TOTAL'!G422</f>
        <v>SJO08 (fija 2)</v>
      </c>
      <c r="C324" t="str">
        <f>'RESUMEN TOTAL'!I422</f>
        <v>503 Y 556</v>
      </c>
      <c r="D324" s="30" t="str">
        <f>'RESUMEN TOTAL'!J422</f>
        <v>Fija</v>
      </c>
      <c r="E324" s="30" t="str">
        <f>'RESUMEN TOTAL'!K422</f>
        <v>GPON</v>
      </c>
      <c r="F324" s="70">
        <f>'RESUMEN TOTAL'!S422</f>
        <v>0</v>
      </c>
      <c r="G324" s="70">
        <f>'RESUMEN TOTAL'!T422</f>
        <v>0</v>
      </c>
      <c r="H324" s="70">
        <f>'RESUMEN TOTAL'!V422</f>
        <v>0</v>
      </c>
      <c r="I324" s="70">
        <v>0</v>
      </c>
      <c r="J324" s="70">
        <f>'RESUMEN TOTAL'!W422</f>
        <v>0</v>
      </c>
      <c r="K324" s="70" t="str">
        <f>'RESUMEN TOTAL'!X422</f>
        <v>APAGADO</v>
      </c>
      <c r="L324" s="70">
        <f>'RESUMEN TOTAL'!Y422</f>
        <v>0</v>
      </c>
      <c r="M324" s="70">
        <f>'RESUMEN TOTAL'!Z422</f>
        <v>0</v>
      </c>
      <c r="N324" s="70">
        <f>'RESUMEN TOTAL'!AA422</f>
        <v>0</v>
      </c>
      <c r="O324" s="70">
        <f>'RESUMEN TOTAL'!AB422</f>
        <v>0</v>
      </c>
      <c r="P324" s="70">
        <f>'RESUMEN TOTAL'!AC422</f>
        <v>0</v>
      </c>
      <c r="Q324" s="70">
        <f>'RESUMEN TOTAL'!AD422</f>
        <v>0</v>
      </c>
      <c r="R324" s="70">
        <f>'RESUMEN TOTAL'!AE422</f>
        <v>0</v>
      </c>
      <c r="S324" s="70">
        <f>'RESUMEN TOTAL'!AF422</f>
        <v>0</v>
      </c>
      <c r="T324" s="70">
        <f>'RESUMEN TOTAL'!AG422</f>
        <v>0</v>
      </c>
      <c r="U324" s="70">
        <f>'RESUMEN TOTAL'!AH422</f>
        <v>0</v>
      </c>
      <c r="V324" s="70">
        <f>'RESUMEN TOTAL'!AI422</f>
        <v>0</v>
      </c>
      <c r="W324" s="70">
        <f>'RESUMEN TOTAL'!AJ422</f>
        <v>0</v>
      </c>
      <c r="X324" s="70">
        <f>'RESUMEN TOTAL'!AK422</f>
        <v>0</v>
      </c>
      <c r="Y324" s="70">
        <f>'RESUMEN TOTAL'!AL422</f>
        <v>0</v>
      </c>
      <c r="Z324" s="70">
        <f>'RESUMEN TOTAL'!AM422</f>
        <v>0</v>
      </c>
      <c r="AA324" s="70">
        <f>'RESUMEN TOTAL'!AN422</f>
        <v>0</v>
      </c>
      <c r="AB324" s="70">
        <f>'RESUMEN TOTAL'!AO422</f>
        <v>0</v>
      </c>
      <c r="AC324" s="70">
        <f>'RESUMEN TOTAL'!AP422</f>
        <v>0</v>
      </c>
      <c r="AD324" s="70">
        <f>'RESUMEN TOTAL'!AQ422</f>
        <v>0</v>
      </c>
      <c r="AE324" s="70">
        <f>'RESUMEN TOTAL'!AR422</f>
        <v>0</v>
      </c>
      <c r="AF324" s="70">
        <f>'RESUMEN TOTAL'!AS422</f>
        <v>0</v>
      </c>
      <c r="AG324" s="70">
        <f>'RESUMEN TOTAL'!AT422</f>
        <v>0</v>
      </c>
      <c r="AH324" s="70">
        <f>'RESUMEN TOTAL'!AU422</f>
        <v>0</v>
      </c>
      <c r="AI324" s="70">
        <f>'RESUMEN TOTAL'!AV422</f>
        <v>0</v>
      </c>
      <c r="AJ324" s="70" t="e">
        <f>'RESUMEN TOTAL'!#REF!</f>
        <v>#REF!</v>
      </c>
    </row>
    <row r="325" spans="1:36" x14ac:dyDescent="0.25">
      <c r="A325" t="str">
        <f>'RESUMEN TOTAL'!F423</f>
        <v>SAN JORGE</v>
      </c>
      <c r="B325" t="str">
        <f>'RESUMEN TOTAL'!G423</f>
        <v>SJO11 (fija 1)</v>
      </c>
      <c r="C325" t="str">
        <f>'RESUMEN TOTAL'!I423</f>
        <v>554 Y 531</v>
      </c>
      <c r="D325" s="30" t="str">
        <f>'RESUMEN TOTAL'!J423</f>
        <v>Fija</v>
      </c>
      <c r="E325" s="30" t="str">
        <f>'RESUMEN TOTAL'!K423</f>
        <v>GPON</v>
      </c>
      <c r="F325" s="70">
        <f>'RESUMEN TOTAL'!S423</f>
        <v>0</v>
      </c>
      <c r="G325" s="70">
        <f>'RESUMEN TOTAL'!T423</f>
        <v>0</v>
      </c>
      <c r="H325" s="70">
        <f>'RESUMEN TOTAL'!V423</f>
        <v>0</v>
      </c>
      <c r="I325" s="70">
        <v>0</v>
      </c>
      <c r="J325" s="70">
        <f>'RESUMEN TOTAL'!W423</f>
        <v>0</v>
      </c>
      <c r="K325" s="70">
        <f>'RESUMEN TOTAL'!X423</f>
        <v>0</v>
      </c>
      <c r="L325" s="70">
        <f>'RESUMEN TOTAL'!Y423</f>
        <v>0</v>
      </c>
      <c r="M325" s="70">
        <f>'RESUMEN TOTAL'!Z423</f>
        <v>0</v>
      </c>
      <c r="N325" s="70">
        <f>'RESUMEN TOTAL'!AA423</f>
        <v>0</v>
      </c>
      <c r="O325" s="70">
        <f>'RESUMEN TOTAL'!AB423</f>
        <v>0</v>
      </c>
      <c r="P325" s="70">
        <f>'RESUMEN TOTAL'!AC423</f>
        <v>0</v>
      </c>
      <c r="Q325" s="70">
        <f>'RESUMEN TOTAL'!AD423</f>
        <v>0</v>
      </c>
      <c r="R325" s="70">
        <f>'RESUMEN TOTAL'!AE423</f>
        <v>0</v>
      </c>
      <c r="S325" s="70">
        <f>'RESUMEN TOTAL'!AF423</f>
        <v>0</v>
      </c>
      <c r="T325" s="70">
        <f>'RESUMEN TOTAL'!AG423</f>
        <v>0</v>
      </c>
      <c r="U325" s="70">
        <f>'RESUMEN TOTAL'!AH423</f>
        <v>0</v>
      </c>
      <c r="V325" s="70">
        <f>'RESUMEN TOTAL'!AI423</f>
        <v>0</v>
      </c>
      <c r="W325" s="70">
        <f>'RESUMEN TOTAL'!AJ423</f>
        <v>0</v>
      </c>
      <c r="X325" s="70">
        <f>'RESUMEN TOTAL'!AK423</f>
        <v>0</v>
      </c>
      <c r="Y325" s="70">
        <f>'RESUMEN TOTAL'!AL423</f>
        <v>0</v>
      </c>
      <c r="Z325" s="70">
        <f>'RESUMEN TOTAL'!AM423</f>
        <v>0</v>
      </c>
      <c r="AA325" s="70">
        <f>'RESUMEN TOTAL'!AN423</f>
        <v>0</v>
      </c>
      <c r="AB325" s="70">
        <f>'RESUMEN TOTAL'!AO423</f>
        <v>0</v>
      </c>
      <c r="AC325" s="70">
        <f>'RESUMEN TOTAL'!AP423</f>
        <v>0</v>
      </c>
      <c r="AD325" s="70">
        <f>'RESUMEN TOTAL'!AQ423</f>
        <v>0</v>
      </c>
      <c r="AE325" s="70">
        <f>'RESUMEN TOTAL'!AR423</f>
        <v>0</v>
      </c>
      <c r="AF325" s="70">
        <f>'RESUMEN TOTAL'!AS423</f>
        <v>0</v>
      </c>
      <c r="AG325" s="70">
        <f>'RESUMEN TOTAL'!AT423</f>
        <v>0</v>
      </c>
      <c r="AH325" s="70">
        <f>'RESUMEN TOTAL'!AU423</f>
        <v>0</v>
      </c>
      <c r="AI325" s="70">
        <f>'RESUMEN TOTAL'!AV423</f>
        <v>0</v>
      </c>
      <c r="AJ325" s="70" t="e">
        <f>'RESUMEN TOTAL'!#REF!</f>
        <v>#REF!</v>
      </c>
    </row>
    <row r="326" spans="1:36" x14ac:dyDescent="0.25">
      <c r="A326" t="str">
        <f>'RESUMEN TOTAL'!F428</f>
        <v>SAN JUAN</v>
      </c>
      <c r="B326" t="str">
        <f>'RESUMEN TOTAL'!G428</f>
        <v>SJU02</v>
      </c>
      <c r="C326" t="str">
        <f>'RESUMEN TOTAL'!I428</f>
        <v>Av Bosques y Touring Club</v>
      </c>
      <c r="D326" s="30" t="str">
        <f>'RESUMEN TOTAL'!J428</f>
        <v>Domo</v>
      </c>
      <c r="E326" s="30" t="str">
        <f>'RESUMEN TOTAL'!K428</f>
        <v>GPON</v>
      </c>
      <c r="F326" s="70">
        <f>'RESUMEN TOTAL'!S428</f>
        <v>0</v>
      </c>
      <c r="G326" s="70">
        <f>'RESUMEN TOTAL'!T428</f>
        <v>0</v>
      </c>
      <c r="H326" s="70">
        <f>'RESUMEN TOTAL'!U428</f>
        <v>0</v>
      </c>
      <c r="I326" s="70">
        <f>'RESUMEN TOTAL'!V428</f>
        <v>0</v>
      </c>
      <c r="J326" s="70">
        <f>'RESUMEN TOTAL'!W428</f>
        <v>0</v>
      </c>
      <c r="K326" s="70">
        <f>'RESUMEN TOTAL'!X428</f>
        <v>0</v>
      </c>
      <c r="L326" s="70">
        <f>'RESUMEN TOTAL'!Y428</f>
        <v>0</v>
      </c>
      <c r="M326" s="70">
        <f>'RESUMEN TOTAL'!Z428</f>
        <v>0</v>
      </c>
      <c r="N326" s="70">
        <f>'RESUMEN TOTAL'!AA428</f>
        <v>0</v>
      </c>
      <c r="O326" s="70">
        <f>'RESUMEN TOTAL'!AB428</f>
        <v>0</v>
      </c>
      <c r="P326" s="70">
        <f>'RESUMEN TOTAL'!AC428</f>
        <v>0</v>
      </c>
      <c r="Q326" s="70">
        <f>'RESUMEN TOTAL'!AD428</f>
        <v>0</v>
      </c>
      <c r="R326" s="70">
        <f>'RESUMEN TOTAL'!AE428</f>
        <v>0</v>
      </c>
      <c r="S326" s="70">
        <f>'RESUMEN TOTAL'!AF428</f>
        <v>0</v>
      </c>
      <c r="T326" s="70">
        <f>'RESUMEN TOTAL'!AG428</f>
        <v>0</v>
      </c>
      <c r="U326" s="70">
        <f>'RESUMEN TOTAL'!AH428</f>
        <v>0</v>
      </c>
      <c r="V326" s="70">
        <f>'RESUMEN TOTAL'!AI428</f>
        <v>0</v>
      </c>
      <c r="W326" s="70">
        <f>'RESUMEN TOTAL'!AJ428</f>
        <v>0</v>
      </c>
      <c r="X326" s="70">
        <f>'RESUMEN TOTAL'!AK428</f>
        <v>0</v>
      </c>
      <c r="Y326" s="70">
        <f>'RESUMEN TOTAL'!AL428</f>
        <v>0</v>
      </c>
      <c r="Z326" s="70">
        <f>'RESUMEN TOTAL'!AM428</f>
        <v>0</v>
      </c>
      <c r="AA326" s="70">
        <f>'RESUMEN TOTAL'!AN428</f>
        <v>0</v>
      </c>
      <c r="AB326" s="70">
        <f>'RESUMEN TOTAL'!AO428</f>
        <v>0</v>
      </c>
      <c r="AC326" s="70">
        <f>'RESUMEN TOTAL'!AP428</f>
        <v>0</v>
      </c>
      <c r="AD326" s="70">
        <f>'RESUMEN TOTAL'!AQ428</f>
        <v>0</v>
      </c>
      <c r="AE326" s="70">
        <f>'RESUMEN TOTAL'!AR428</f>
        <v>0</v>
      </c>
      <c r="AF326" s="70">
        <f>'RESUMEN TOTAL'!AS428</f>
        <v>0</v>
      </c>
      <c r="AG326" s="70">
        <f>'RESUMEN TOTAL'!AT428</f>
        <v>0</v>
      </c>
      <c r="AH326" s="70">
        <f>'RESUMEN TOTAL'!AU428</f>
        <v>0</v>
      </c>
      <c r="AI326" s="70">
        <f>'RESUMEN TOTAL'!AV428</f>
        <v>0</v>
      </c>
      <c r="AJ326" s="70" t="e">
        <f>'RESUMEN TOTAL'!#REF!</f>
        <v>#REF!</v>
      </c>
    </row>
    <row r="327" spans="1:36" x14ac:dyDescent="0.25">
      <c r="A327" t="str">
        <f>'RESUMEN TOTAL'!F432</f>
        <v>VILLA GENERAL SAN MARTIN</v>
      </c>
      <c r="B327" t="str">
        <f>'RESUMEN TOTAL'!G432</f>
        <v>SMA 04</v>
      </c>
      <c r="C327" t="str">
        <f>'RESUMEN TOTAL'!I432</f>
        <v>HUDSON Y MONTEVIDEO</v>
      </c>
      <c r="D327" s="30" t="str">
        <f>'RESUMEN TOTAL'!J432</f>
        <v>FIJA</v>
      </c>
      <c r="E327" s="30" t="str">
        <f>'RESUMEN TOTAL'!K432</f>
        <v>GPON</v>
      </c>
      <c r="F327" s="70">
        <f>'RESUMEN TOTAL'!S432</f>
        <v>0</v>
      </c>
      <c r="G327" s="70">
        <f>'RESUMEN TOTAL'!T432</f>
        <v>0</v>
      </c>
      <c r="H327" s="70">
        <f>'RESUMEN TOTAL'!U432</f>
        <v>0</v>
      </c>
      <c r="I327" s="70">
        <f>'RESUMEN TOTAL'!V432</f>
        <v>0</v>
      </c>
      <c r="J327" s="70">
        <f>'RESUMEN TOTAL'!W432</f>
        <v>0</v>
      </c>
      <c r="K327" s="70">
        <f>'RESUMEN TOTAL'!X432</f>
        <v>0</v>
      </c>
      <c r="L327" s="70">
        <f>'RESUMEN TOTAL'!Y432</f>
        <v>0</v>
      </c>
      <c r="M327" s="70">
        <f>'RESUMEN TOTAL'!Z432</f>
        <v>0</v>
      </c>
      <c r="N327" s="70">
        <f>'RESUMEN TOTAL'!AA432</f>
        <v>0</v>
      </c>
      <c r="O327" s="70">
        <f>'RESUMEN TOTAL'!AB432</f>
        <v>0</v>
      </c>
      <c r="P327" s="70">
        <f>'RESUMEN TOTAL'!AC432</f>
        <v>0</v>
      </c>
      <c r="Q327" s="70">
        <f>'RESUMEN TOTAL'!AD432</f>
        <v>0</v>
      </c>
      <c r="R327" s="70">
        <f>'RESUMEN TOTAL'!AE432</f>
        <v>0</v>
      </c>
      <c r="S327" s="70">
        <f>'RESUMEN TOTAL'!AF432</f>
        <v>0</v>
      </c>
      <c r="T327" s="70">
        <f>'RESUMEN TOTAL'!AG432</f>
        <v>0</v>
      </c>
      <c r="U327" s="70">
        <f>'RESUMEN TOTAL'!AH432</f>
        <v>0</v>
      </c>
      <c r="V327" s="70">
        <f>'RESUMEN TOTAL'!AI432</f>
        <v>0</v>
      </c>
      <c r="W327" s="70">
        <f>'RESUMEN TOTAL'!AJ432</f>
        <v>0</v>
      </c>
      <c r="X327" s="70">
        <f>'RESUMEN TOTAL'!AK432</f>
        <v>0</v>
      </c>
      <c r="Y327" s="70">
        <f>'RESUMEN TOTAL'!AL432</f>
        <v>0</v>
      </c>
      <c r="Z327" s="70">
        <f>'RESUMEN TOTAL'!AM432</f>
        <v>0</v>
      </c>
      <c r="AA327" s="70">
        <f>'RESUMEN TOTAL'!AN432</f>
        <v>0</v>
      </c>
      <c r="AB327" s="70">
        <f>'RESUMEN TOTAL'!AO432</f>
        <v>0</v>
      </c>
      <c r="AC327" s="70">
        <f>'RESUMEN TOTAL'!AP432</f>
        <v>0</v>
      </c>
      <c r="AD327" s="70">
        <f>'RESUMEN TOTAL'!AQ432</f>
        <v>0</v>
      </c>
      <c r="AE327" s="70">
        <f>'RESUMEN TOTAL'!AR432</f>
        <v>0</v>
      </c>
      <c r="AF327" s="70">
        <f>'RESUMEN TOTAL'!AS432</f>
        <v>0</v>
      </c>
      <c r="AG327" s="70">
        <f>'RESUMEN TOTAL'!AT432</f>
        <v>0</v>
      </c>
      <c r="AH327" s="70">
        <f>'RESUMEN TOTAL'!AU432</f>
        <v>0</v>
      </c>
      <c r="AI327" s="70">
        <f>'RESUMEN TOTAL'!AV432</f>
        <v>0</v>
      </c>
      <c r="AJ327" s="70" t="e">
        <f>'RESUMEN TOTAL'!#REF!</f>
        <v>#REF!</v>
      </c>
    </row>
    <row r="328" spans="1:36" x14ac:dyDescent="0.25">
      <c r="A328" t="str">
        <f>'RESUMEN TOTAL'!F433</f>
        <v>VILLA GENERAL SAN MARTIN</v>
      </c>
      <c r="B328" t="str">
        <f>'RESUMEN TOTAL'!G433</f>
        <v>SMA 06</v>
      </c>
      <c r="C328" t="str">
        <f>'RESUMEN TOTAL'!I433</f>
        <v>AV. HUDSON Y RIO IGUAZU</v>
      </c>
      <c r="D328" s="30" t="str">
        <f>'RESUMEN TOTAL'!J433</f>
        <v>DOMO</v>
      </c>
      <c r="E328" s="30" t="str">
        <f>'RESUMEN TOTAL'!K433</f>
        <v>Fibra Optica</v>
      </c>
      <c r="F328" s="70">
        <f>'RESUMEN TOTAL'!S433</f>
        <v>0</v>
      </c>
      <c r="G328" s="70">
        <f>'RESUMEN TOTAL'!T433</f>
        <v>0</v>
      </c>
      <c r="H328" s="70">
        <f>'RESUMEN TOTAL'!U433</f>
        <v>0</v>
      </c>
      <c r="I328" s="70">
        <f>'RESUMEN TOTAL'!V433</f>
        <v>0</v>
      </c>
      <c r="J328" s="70">
        <f>'RESUMEN TOTAL'!W433</f>
        <v>0</v>
      </c>
      <c r="K328" s="70">
        <f>'RESUMEN TOTAL'!X433</f>
        <v>0</v>
      </c>
      <c r="L328" s="70">
        <f>'RESUMEN TOTAL'!Y433</f>
        <v>0</v>
      </c>
      <c r="M328" s="70">
        <f>'RESUMEN TOTAL'!Z433</f>
        <v>0</v>
      </c>
      <c r="N328" s="70">
        <f>'RESUMEN TOTAL'!AA433</f>
        <v>0</v>
      </c>
      <c r="O328" s="70">
        <f>'RESUMEN TOTAL'!AB433</f>
        <v>0</v>
      </c>
      <c r="P328" s="70">
        <f>'RESUMEN TOTAL'!AC433</f>
        <v>0</v>
      </c>
      <c r="Q328" s="70">
        <f>'RESUMEN TOTAL'!AD433</f>
        <v>0</v>
      </c>
      <c r="R328" s="70">
        <f>'RESUMEN TOTAL'!AE433</f>
        <v>0</v>
      </c>
      <c r="S328" s="70">
        <f>'RESUMEN TOTAL'!AF433</f>
        <v>0</v>
      </c>
      <c r="T328" s="70">
        <f>'RESUMEN TOTAL'!AG433</f>
        <v>0</v>
      </c>
      <c r="U328" s="70">
        <f>'RESUMEN TOTAL'!AH433</f>
        <v>0</v>
      </c>
      <c r="V328" s="70">
        <f>'RESUMEN TOTAL'!AI433</f>
        <v>0</v>
      </c>
      <c r="W328" s="70">
        <f>'RESUMEN TOTAL'!AJ433</f>
        <v>0</v>
      </c>
      <c r="X328" s="70">
        <f>'RESUMEN TOTAL'!AK433</f>
        <v>0</v>
      </c>
      <c r="Y328" s="70">
        <f>'RESUMEN TOTAL'!AL433</f>
        <v>0</v>
      </c>
      <c r="Z328" s="70">
        <f>'RESUMEN TOTAL'!AM433</f>
        <v>0</v>
      </c>
      <c r="AA328" s="70">
        <f>'RESUMEN TOTAL'!AN433</f>
        <v>0</v>
      </c>
      <c r="AB328" s="70">
        <f>'RESUMEN TOTAL'!AO433</f>
        <v>0</v>
      </c>
      <c r="AC328" s="70">
        <f>'RESUMEN TOTAL'!AP433</f>
        <v>0</v>
      </c>
      <c r="AD328" s="70">
        <f>'RESUMEN TOTAL'!AQ433</f>
        <v>0</v>
      </c>
      <c r="AE328" s="70">
        <f>'RESUMEN TOTAL'!AR433</f>
        <v>0</v>
      </c>
      <c r="AF328" s="70">
        <f>'RESUMEN TOTAL'!AS433</f>
        <v>0</v>
      </c>
      <c r="AG328" s="70">
        <f>'RESUMEN TOTAL'!AT433</f>
        <v>0</v>
      </c>
      <c r="AH328" s="70">
        <f>'RESUMEN TOTAL'!AU433</f>
        <v>0</v>
      </c>
      <c r="AI328" s="70">
        <f>'RESUMEN TOTAL'!AV433</f>
        <v>0</v>
      </c>
      <c r="AJ328" s="70" t="e">
        <f>'RESUMEN TOTAL'!#REF!</f>
        <v>#REF!</v>
      </c>
    </row>
    <row r="329" spans="1:36" x14ac:dyDescent="0.25">
      <c r="A329" t="str">
        <f>'RESUMEN TOTAL'!F434</f>
        <v>VILLA GENERAL SAN MARTIN</v>
      </c>
      <c r="B329" t="str">
        <f>'RESUMEN TOTAL'!G434</f>
        <v>SMA 07</v>
      </c>
      <c r="C329" t="str">
        <f>'RESUMEN TOTAL'!I434</f>
        <v>AV. HUDSON Y RIO TURBIO</v>
      </c>
      <c r="D329" s="30" t="str">
        <f>'RESUMEN TOTAL'!J434</f>
        <v>DOMO</v>
      </c>
      <c r="E329" s="30" t="str">
        <f>'RESUMEN TOTAL'!K434</f>
        <v>GPON</v>
      </c>
      <c r="F329" s="70" t="str">
        <f>'RESUMEN TOTAL'!S434</f>
        <v>APAGADO</v>
      </c>
      <c r="G329" s="70" t="str">
        <f>'RESUMEN TOTAL'!T434</f>
        <v>APAGADO</v>
      </c>
      <c r="H329" s="70" t="str">
        <f>'RESUMEN TOTAL'!U434</f>
        <v>APAGADO</v>
      </c>
      <c r="I329" s="70">
        <f>'RESUMEN TOTAL'!V434</f>
        <v>0</v>
      </c>
      <c r="J329" s="70">
        <f>'RESUMEN TOTAL'!W434</f>
        <v>0</v>
      </c>
      <c r="K329" s="70" t="str">
        <f>'RESUMEN TOTAL'!X434</f>
        <v>APAGADO</v>
      </c>
      <c r="L329" s="70">
        <f>'RESUMEN TOTAL'!Y434</f>
        <v>0</v>
      </c>
      <c r="M329" s="70">
        <f>'RESUMEN TOTAL'!Z434</f>
        <v>0</v>
      </c>
      <c r="N329" s="70">
        <f>'RESUMEN TOTAL'!AA434</f>
        <v>0</v>
      </c>
      <c r="O329" s="70">
        <f>'RESUMEN TOTAL'!AB434</f>
        <v>0</v>
      </c>
      <c r="P329" s="70">
        <f>'RESUMEN TOTAL'!AC434</f>
        <v>0</v>
      </c>
      <c r="Q329" s="70">
        <f>'RESUMEN TOTAL'!AD434</f>
        <v>0</v>
      </c>
      <c r="R329" s="70">
        <f>'RESUMEN TOTAL'!AE434</f>
        <v>0</v>
      </c>
      <c r="S329" s="70">
        <f>'RESUMEN TOTAL'!AF434</f>
        <v>0</v>
      </c>
      <c r="T329" s="70">
        <f>'RESUMEN TOTAL'!AG434</f>
        <v>0</v>
      </c>
      <c r="U329" s="70">
        <f>'RESUMEN TOTAL'!AH434</f>
        <v>0</v>
      </c>
      <c r="V329" s="70">
        <f>'RESUMEN TOTAL'!AI434</f>
        <v>0</v>
      </c>
      <c r="W329" s="70">
        <f>'RESUMEN TOTAL'!AJ434</f>
        <v>0</v>
      </c>
      <c r="X329" s="70">
        <f>'RESUMEN TOTAL'!AK434</f>
        <v>0</v>
      </c>
      <c r="Y329" s="70">
        <f>'RESUMEN TOTAL'!AL434</f>
        <v>0</v>
      </c>
      <c r="Z329" s="70">
        <f>'RESUMEN TOTAL'!AM434</f>
        <v>0</v>
      </c>
      <c r="AA329" s="70">
        <f>'RESUMEN TOTAL'!AN434</f>
        <v>0</v>
      </c>
      <c r="AB329" s="70">
        <f>'RESUMEN TOTAL'!AO434</f>
        <v>0</v>
      </c>
      <c r="AC329" s="70">
        <f>'RESUMEN TOTAL'!AP434</f>
        <v>0</v>
      </c>
      <c r="AD329" s="70">
        <f>'RESUMEN TOTAL'!AQ434</f>
        <v>0</v>
      </c>
      <c r="AE329" s="70">
        <f>'RESUMEN TOTAL'!AR434</f>
        <v>0</v>
      </c>
      <c r="AF329" s="70">
        <f>'RESUMEN TOTAL'!AS434</f>
        <v>0</v>
      </c>
      <c r="AG329" s="70">
        <f>'RESUMEN TOTAL'!AT434</f>
        <v>0</v>
      </c>
      <c r="AH329" s="70">
        <f>'RESUMEN TOTAL'!AU434</f>
        <v>0</v>
      </c>
      <c r="AI329" s="70">
        <f>'RESUMEN TOTAL'!AV434</f>
        <v>0</v>
      </c>
      <c r="AJ329" s="70" t="e">
        <f>'RESUMEN TOTAL'!#REF!</f>
        <v>#REF!</v>
      </c>
    </row>
    <row r="330" spans="1:36" x14ac:dyDescent="0.25">
      <c r="A330" t="str">
        <f>'RESUMEN TOTAL'!F435</f>
        <v>SAN MARTIN</v>
      </c>
      <c r="B330" t="str">
        <f>'RESUMEN TOTAL'!G435</f>
        <v>SMA 08</v>
      </c>
      <c r="C330" t="str">
        <f>'RESUMEN TOTAL'!I435</f>
        <v>12 De Octubre y H. Lagos</v>
      </c>
      <c r="D330" s="30" t="str">
        <f>'RESUMEN TOTAL'!J435</f>
        <v>fija</v>
      </c>
      <c r="E330" s="30" t="str">
        <f>'RESUMEN TOTAL'!K435</f>
        <v>FO A GPON</v>
      </c>
      <c r="F330" s="70">
        <f>'RESUMEN TOTAL'!S435</f>
        <v>0</v>
      </c>
      <c r="G330" s="70">
        <f>'RESUMEN TOTAL'!T435</f>
        <v>0</v>
      </c>
      <c r="H330" s="70">
        <f>'RESUMEN TOTAL'!U435</f>
        <v>0</v>
      </c>
      <c r="I330" s="70">
        <f>'RESUMEN TOTAL'!V435</f>
        <v>0</v>
      </c>
      <c r="J330" s="70">
        <f>'RESUMEN TOTAL'!W435</f>
        <v>0</v>
      </c>
      <c r="K330" s="70">
        <f>'RESUMEN TOTAL'!X435</f>
        <v>0</v>
      </c>
      <c r="L330" s="70">
        <f>'RESUMEN TOTAL'!Y435</f>
        <v>0</v>
      </c>
      <c r="M330" s="70">
        <f>'RESUMEN TOTAL'!Z435</f>
        <v>0</v>
      </c>
      <c r="N330" s="70">
        <f>'RESUMEN TOTAL'!AA435</f>
        <v>0</v>
      </c>
      <c r="O330" s="70">
        <f>'RESUMEN TOTAL'!AB435</f>
        <v>0</v>
      </c>
      <c r="P330" s="70">
        <f>'RESUMEN TOTAL'!AC435</f>
        <v>0</v>
      </c>
      <c r="Q330" s="70">
        <f>'RESUMEN TOTAL'!AD435</f>
        <v>0</v>
      </c>
      <c r="R330" s="70">
        <f>'RESUMEN TOTAL'!AE435</f>
        <v>0</v>
      </c>
      <c r="S330" s="70">
        <f>'RESUMEN TOTAL'!AF435</f>
        <v>0</v>
      </c>
      <c r="T330" s="70">
        <f>'RESUMEN TOTAL'!AG435</f>
        <v>0</v>
      </c>
      <c r="U330" s="70">
        <f>'RESUMEN TOTAL'!AH435</f>
        <v>0</v>
      </c>
      <c r="V330" s="70">
        <f>'RESUMEN TOTAL'!AI435</f>
        <v>0</v>
      </c>
      <c r="W330" s="70">
        <f>'RESUMEN TOTAL'!AJ435</f>
        <v>0</v>
      </c>
      <c r="X330" s="70">
        <f>'RESUMEN TOTAL'!AK435</f>
        <v>0</v>
      </c>
      <c r="Y330" s="70">
        <f>'RESUMEN TOTAL'!AL435</f>
        <v>0</v>
      </c>
      <c r="Z330" s="70">
        <f>'RESUMEN TOTAL'!AM435</f>
        <v>0</v>
      </c>
      <c r="AA330" s="70">
        <f>'RESUMEN TOTAL'!AN435</f>
        <v>0</v>
      </c>
      <c r="AB330" s="70">
        <f>'RESUMEN TOTAL'!AO435</f>
        <v>0</v>
      </c>
      <c r="AC330" s="70">
        <f>'RESUMEN TOTAL'!AP435</f>
        <v>0</v>
      </c>
      <c r="AD330" s="70">
        <f>'RESUMEN TOTAL'!AQ435</f>
        <v>0</v>
      </c>
      <c r="AE330" s="70">
        <f>'RESUMEN TOTAL'!AR435</f>
        <v>0</v>
      </c>
      <c r="AF330" s="70">
        <f>'RESUMEN TOTAL'!AS435</f>
        <v>0</v>
      </c>
      <c r="AG330" s="70">
        <f>'RESUMEN TOTAL'!AT435</f>
        <v>0</v>
      </c>
      <c r="AH330" s="70">
        <f>'RESUMEN TOTAL'!AU435</f>
        <v>0</v>
      </c>
      <c r="AI330" s="70">
        <f>'RESUMEN TOTAL'!AV435</f>
        <v>0</v>
      </c>
      <c r="AJ330" s="70" t="e">
        <f>'RESUMEN TOTAL'!#REF!</f>
        <v>#REF!</v>
      </c>
    </row>
    <row r="331" spans="1:36" x14ac:dyDescent="0.25">
      <c r="A331" t="str">
        <f>'RESUMEN TOTAL'!F436</f>
        <v>SAN MARTIN</v>
      </c>
      <c r="B331" t="str">
        <f>'RESUMEN TOTAL'!G436</f>
        <v>SMA 09</v>
      </c>
      <c r="C331" t="str">
        <f>'RESUMEN TOTAL'!I436</f>
        <v>12 De Octubre y H. Lagos</v>
      </c>
      <c r="D331" s="30" t="str">
        <f>'RESUMEN TOTAL'!J436</f>
        <v>fija</v>
      </c>
      <c r="E331" s="30" t="str">
        <f>'RESUMEN TOTAL'!K436</f>
        <v>FO A GPON</v>
      </c>
      <c r="F331" s="70">
        <f>'RESUMEN TOTAL'!S436</f>
        <v>0</v>
      </c>
      <c r="G331" s="70">
        <f>'RESUMEN TOTAL'!T436</f>
        <v>0</v>
      </c>
      <c r="H331" s="70">
        <f>'RESUMEN TOTAL'!U436</f>
        <v>0</v>
      </c>
      <c r="I331" s="70">
        <f>'RESUMEN TOTAL'!V436</f>
        <v>0</v>
      </c>
      <c r="J331" s="70">
        <f>'RESUMEN TOTAL'!W436</f>
        <v>0</v>
      </c>
      <c r="K331" s="70">
        <f>'RESUMEN TOTAL'!X436</f>
        <v>0</v>
      </c>
      <c r="L331" s="70">
        <f>'RESUMEN TOTAL'!Y436</f>
        <v>0</v>
      </c>
      <c r="M331" s="70">
        <f>'RESUMEN TOTAL'!Z436</f>
        <v>0</v>
      </c>
      <c r="N331" s="70">
        <f>'RESUMEN TOTAL'!AA436</f>
        <v>0</v>
      </c>
      <c r="O331" s="70">
        <f>'RESUMEN TOTAL'!AB436</f>
        <v>0</v>
      </c>
      <c r="P331" s="70">
        <f>'RESUMEN TOTAL'!AC436</f>
        <v>0</v>
      </c>
      <c r="Q331" s="70">
        <f>'RESUMEN TOTAL'!AD436</f>
        <v>0</v>
      </c>
      <c r="R331" s="70">
        <f>'RESUMEN TOTAL'!AE436</f>
        <v>0</v>
      </c>
      <c r="S331" s="70">
        <f>'RESUMEN TOTAL'!AF436</f>
        <v>0</v>
      </c>
      <c r="T331" s="70">
        <f>'RESUMEN TOTAL'!AG436</f>
        <v>0</v>
      </c>
      <c r="U331" s="70">
        <f>'RESUMEN TOTAL'!AH436</f>
        <v>0</v>
      </c>
      <c r="V331" s="70">
        <f>'RESUMEN TOTAL'!AI436</f>
        <v>0</v>
      </c>
      <c r="W331" s="70">
        <f>'RESUMEN TOTAL'!AJ436</f>
        <v>0</v>
      </c>
      <c r="X331" s="70">
        <f>'RESUMEN TOTAL'!AK436</f>
        <v>0</v>
      </c>
      <c r="Y331" s="70">
        <f>'RESUMEN TOTAL'!AL436</f>
        <v>0</v>
      </c>
      <c r="Z331" s="70">
        <f>'RESUMEN TOTAL'!AM436</f>
        <v>0</v>
      </c>
      <c r="AA331" s="70">
        <f>'RESUMEN TOTAL'!AN436</f>
        <v>0</v>
      </c>
      <c r="AB331" s="70">
        <f>'RESUMEN TOTAL'!AO436</f>
        <v>0</v>
      </c>
      <c r="AC331" s="70">
        <f>'RESUMEN TOTAL'!AP436</f>
        <v>0</v>
      </c>
      <c r="AD331" s="70">
        <f>'RESUMEN TOTAL'!AQ436</f>
        <v>0</v>
      </c>
      <c r="AE331" s="70">
        <f>'RESUMEN TOTAL'!AR436</f>
        <v>0</v>
      </c>
      <c r="AF331" s="70">
        <f>'RESUMEN TOTAL'!AS436</f>
        <v>0</v>
      </c>
      <c r="AG331" s="70">
        <f>'RESUMEN TOTAL'!AT436</f>
        <v>0</v>
      </c>
      <c r="AH331" s="70">
        <f>'RESUMEN TOTAL'!AU436</f>
        <v>0</v>
      </c>
      <c r="AI331" s="70">
        <f>'RESUMEN TOTAL'!AV436</f>
        <v>0</v>
      </c>
      <c r="AJ331" s="70" t="e">
        <f>'RESUMEN TOTAL'!#REF!</f>
        <v>#REF!</v>
      </c>
    </row>
    <row r="332" spans="1:36" x14ac:dyDescent="0.25">
      <c r="A332" t="str">
        <f>'RESUMEN TOTAL'!F437</f>
        <v>VILLA GENERAL SAN MARTIN</v>
      </c>
      <c r="B332" t="str">
        <f>'RESUMEN TOTAL'!G437</f>
        <v>SMA01</v>
      </c>
      <c r="C332" t="str">
        <f>'RESUMEN TOTAL'!I437</f>
        <v>Hudson y Montevideo</v>
      </c>
      <c r="D332" s="30" t="str">
        <f>'RESUMEN TOTAL'!J437</f>
        <v>DOMO</v>
      </c>
      <c r="E332" s="30" t="str">
        <f>'RESUMEN TOTAL'!K437</f>
        <v>GPON</v>
      </c>
      <c r="F332" s="70">
        <f>'RESUMEN TOTAL'!S437</f>
        <v>0</v>
      </c>
      <c r="G332" s="70">
        <f>'RESUMEN TOTAL'!T437</f>
        <v>0</v>
      </c>
      <c r="H332" s="70">
        <f>'RESUMEN TOTAL'!U437</f>
        <v>0</v>
      </c>
      <c r="I332" s="70">
        <f>'RESUMEN TOTAL'!V437</f>
        <v>0</v>
      </c>
      <c r="J332" s="70">
        <f>'RESUMEN TOTAL'!W437</f>
        <v>0</v>
      </c>
      <c r="K332" s="70">
        <f>'RESUMEN TOTAL'!X437</f>
        <v>0</v>
      </c>
      <c r="L332" s="70">
        <f>'RESUMEN TOTAL'!Y437</f>
        <v>0</v>
      </c>
      <c r="M332" s="70">
        <f>'RESUMEN TOTAL'!Z437</f>
        <v>0</v>
      </c>
      <c r="N332" s="70">
        <f>'RESUMEN TOTAL'!AA437</f>
        <v>0</v>
      </c>
      <c r="O332" s="70">
        <f>'RESUMEN TOTAL'!AB437</f>
        <v>0</v>
      </c>
      <c r="P332" s="70">
        <f>'RESUMEN TOTAL'!AC437</f>
        <v>0</v>
      </c>
      <c r="Q332" s="70">
        <f>'RESUMEN TOTAL'!AD437</f>
        <v>0</v>
      </c>
      <c r="R332" s="70">
        <f>'RESUMEN TOTAL'!AE437</f>
        <v>0</v>
      </c>
      <c r="S332" s="70">
        <f>'RESUMEN TOTAL'!AF437</f>
        <v>0</v>
      </c>
      <c r="T332" s="70">
        <f>'RESUMEN TOTAL'!AG437</f>
        <v>0</v>
      </c>
      <c r="U332" s="70">
        <f>'RESUMEN TOTAL'!AH437</f>
        <v>0</v>
      </c>
      <c r="V332" s="70">
        <f>'RESUMEN TOTAL'!AI437</f>
        <v>0</v>
      </c>
      <c r="W332" s="70">
        <f>'RESUMEN TOTAL'!AJ437</f>
        <v>0</v>
      </c>
      <c r="X332" s="70">
        <f>'RESUMEN TOTAL'!AK437</f>
        <v>0</v>
      </c>
      <c r="Y332" s="70">
        <f>'RESUMEN TOTAL'!AL437</f>
        <v>0</v>
      </c>
      <c r="Z332" s="70">
        <f>'RESUMEN TOTAL'!AM437</f>
        <v>0</v>
      </c>
      <c r="AA332" s="70">
        <f>'RESUMEN TOTAL'!AN437</f>
        <v>0</v>
      </c>
      <c r="AB332" s="70">
        <f>'RESUMEN TOTAL'!AO437</f>
        <v>0</v>
      </c>
      <c r="AC332" s="70">
        <f>'RESUMEN TOTAL'!AP437</f>
        <v>0</v>
      </c>
      <c r="AD332" s="70">
        <f>'RESUMEN TOTAL'!AQ437</f>
        <v>0</v>
      </c>
      <c r="AE332" s="70">
        <f>'RESUMEN TOTAL'!AR437</f>
        <v>0</v>
      </c>
      <c r="AF332" s="70">
        <f>'RESUMEN TOTAL'!AS437</f>
        <v>0</v>
      </c>
      <c r="AG332" s="70">
        <f>'RESUMEN TOTAL'!AT437</f>
        <v>0</v>
      </c>
      <c r="AH332" s="70">
        <f>'RESUMEN TOTAL'!AU437</f>
        <v>0</v>
      </c>
      <c r="AI332" s="70">
        <f>'RESUMEN TOTAL'!AV437</f>
        <v>0</v>
      </c>
      <c r="AJ332" s="70" t="e">
        <f>'RESUMEN TOTAL'!#REF!</f>
        <v>#REF!</v>
      </c>
    </row>
    <row r="333" spans="1:36" x14ac:dyDescent="0.25">
      <c r="A333" t="str">
        <f>'RESUMEN TOTAL'!F438</f>
        <v>VILLA GENERAL SAN MARTIN</v>
      </c>
      <c r="B333" t="str">
        <f>'RESUMEN TOTAL'!G438</f>
        <v>SMA02</v>
      </c>
      <c r="C333" t="str">
        <f>'RESUMEN TOTAL'!I438</f>
        <v>Hudson y San Nicolas</v>
      </c>
      <c r="D333" s="30" t="str">
        <f>'RESUMEN TOTAL'!J438</f>
        <v>Domo</v>
      </c>
      <c r="E333" s="30" t="str">
        <f>'RESUMEN TOTAL'!K438</f>
        <v>GPON</v>
      </c>
      <c r="F333" s="70" t="str">
        <f>'RESUMEN TOTAL'!S438</f>
        <v>APAGADO</v>
      </c>
      <c r="G333" s="70" t="str">
        <f>'RESUMEN TOTAL'!T438</f>
        <v>APAGADO</v>
      </c>
      <c r="H333" s="70" t="str">
        <f>'RESUMEN TOTAL'!U438</f>
        <v>APAGADO</v>
      </c>
      <c r="I333" s="70">
        <f>'RESUMEN TOTAL'!V438</f>
        <v>0</v>
      </c>
      <c r="J333" s="70">
        <f>'RESUMEN TOTAL'!W438</f>
        <v>0</v>
      </c>
      <c r="K333" s="70" t="str">
        <f>'RESUMEN TOTAL'!X438</f>
        <v>APAGADO</v>
      </c>
      <c r="L333" s="70">
        <f>'RESUMEN TOTAL'!Y438</f>
        <v>0</v>
      </c>
      <c r="M333" s="70">
        <f>'RESUMEN TOTAL'!Z438</f>
        <v>0</v>
      </c>
      <c r="N333" s="70">
        <f>'RESUMEN TOTAL'!AA438</f>
        <v>0</v>
      </c>
      <c r="O333" s="70">
        <f>'RESUMEN TOTAL'!AB438</f>
        <v>0</v>
      </c>
      <c r="P333" s="70">
        <f>'RESUMEN TOTAL'!AC438</f>
        <v>0</v>
      </c>
      <c r="Q333" s="70">
        <f>'RESUMEN TOTAL'!AD438</f>
        <v>0</v>
      </c>
      <c r="R333" s="70">
        <f>'RESUMEN TOTAL'!AE438</f>
        <v>0</v>
      </c>
      <c r="S333" s="70">
        <f>'RESUMEN TOTAL'!AF438</f>
        <v>0</v>
      </c>
      <c r="T333" s="70">
        <f>'RESUMEN TOTAL'!AG438</f>
        <v>0</v>
      </c>
      <c r="U333" s="70">
        <f>'RESUMEN TOTAL'!AH438</f>
        <v>0</v>
      </c>
      <c r="V333" s="70">
        <f>'RESUMEN TOTAL'!AI438</f>
        <v>0</v>
      </c>
      <c r="W333" s="70">
        <f>'RESUMEN TOTAL'!AJ438</f>
        <v>0</v>
      </c>
      <c r="X333" s="70">
        <f>'RESUMEN TOTAL'!AK438</f>
        <v>0</v>
      </c>
      <c r="Y333" s="70">
        <f>'RESUMEN TOTAL'!AL438</f>
        <v>0</v>
      </c>
      <c r="Z333" s="70">
        <f>'RESUMEN TOTAL'!AM438</f>
        <v>0</v>
      </c>
      <c r="AA333" s="70">
        <f>'RESUMEN TOTAL'!AN438</f>
        <v>0</v>
      </c>
      <c r="AB333" s="70">
        <f>'RESUMEN TOTAL'!AO438</f>
        <v>0</v>
      </c>
      <c r="AC333" s="70">
        <f>'RESUMEN TOTAL'!AP438</f>
        <v>0</v>
      </c>
      <c r="AD333" s="70">
        <f>'RESUMEN TOTAL'!AQ438</f>
        <v>0</v>
      </c>
      <c r="AE333" s="70">
        <f>'RESUMEN TOTAL'!AR438</f>
        <v>0</v>
      </c>
      <c r="AF333" s="70">
        <f>'RESUMEN TOTAL'!AS438</f>
        <v>0</v>
      </c>
      <c r="AG333" s="70">
        <f>'RESUMEN TOTAL'!AT438</f>
        <v>0</v>
      </c>
      <c r="AH333" s="70">
        <f>'RESUMEN TOTAL'!AU438</f>
        <v>0</v>
      </c>
      <c r="AI333" s="70">
        <f>'RESUMEN TOTAL'!AV438</f>
        <v>0</v>
      </c>
      <c r="AJ333" s="70" t="e">
        <f>'RESUMEN TOTAL'!#REF!</f>
        <v>#REF!</v>
      </c>
    </row>
    <row r="334" spans="1:36" x14ac:dyDescent="0.25">
      <c r="A334" t="str">
        <f>'RESUMEN TOTAL'!F439</f>
        <v>VILLA GENERAL SAN MARTIN</v>
      </c>
      <c r="B334" t="str">
        <f>'RESUMEN TOTAL'!G439</f>
        <v>SMA05</v>
      </c>
      <c r="C334" t="str">
        <f>'RESUMEN TOTAL'!I439</f>
        <v>MONTEVIDEO Y VILLEGAS</v>
      </c>
      <c r="D334" s="30" t="str">
        <f>'RESUMEN TOTAL'!J439</f>
        <v>DOMO</v>
      </c>
      <c r="E334" s="30" t="str">
        <f>'RESUMEN TOTAL'!K439</f>
        <v>PTO A FO</v>
      </c>
      <c r="F334" s="70">
        <f>'RESUMEN TOTAL'!S439</f>
        <v>0</v>
      </c>
      <c r="G334" s="70">
        <f>'RESUMEN TOTAL'!T439</f>
        <v>0</v>
      </c>
      <c r="H334" s="70">
        <f>'RESUMEN TOTAL'!V439</f>
        <v>0</v>
      </c>
      <c r="I334" s="70">
        <v>0</v>
      </c>
      <c r="J334" s="70">
        <f>'RESUMEN TOTAL'!W439</f>
        <v>0</v>
      </c>
      <c r="K334" s="70">
        <f>'RESUMEN TOTAL'!X439</f>
        <v>0</v>
      </c>
      <c r="L334" s="70">
        <f>'RESUMEN TOTAL'!Y439</f>
        <v>0</v>
      </c>
      <c r="M334" s="70">
        <f>'RESUMEN TOTAL'!Z439</f>
        <v>0</v>
      </c>
      <c r="N334" s="70">
        <f>'RESUMEN TOTAL'!AA439</f>
        <v>0</v>
      </c>
      <c r="O334" s="70">
        <f>'RESUMEN TOTAL'!AB439</f>
        <v>0</v>
      </c>
      <c r="P334" s="70">
        <f>'RESUMEN TOTAL'!AC439</f>
        <v>0</v>
      </c>
      <c r="Q334" s="70">
        <f>'RESUMEN TOTAL'!AD439</f>
        <v>0</v>
      </c>
      <c r="R334" s="70">
        <f>'RESUMEN TOTAL'!AE439</f>
        <v>0</v>
      </c>
      <c r="S334" s="70">
        <f>'RESUMEN TOTAL'!AF439</f>
        <v>0</v>
      </c>
      <c r="T334" s="70">
        <f>'RESUMEN TOTAL'!AG439</f>
        <v>0</v>
      </c>
      <c r="U334" s="70">
        <f>'RESUMEN TOTAL'!AH439</f>
        <v>0</v>
      </c>
      <c r="V334" s="70">
        <f>'RESUMEN TOTAL'!AI439</f>
        <v>0</v>
      </c>
      <c r="W334" s="70">
        <f>'RESUMEN TOTAL'!AJ439</f>
        <v>0</v>
      </c>
      <c r="X334" s="70">
        <f>'RESUMEN TOTAL'!AK439</f>
        <v>0</v>
      </c>
      <c r="Y334" s="70">
        <f>'RESUMEN TOTAL'!AL439</f>
        <v>0</v>
      </c>
      <c r="Z334" s="70">
        <f>'RESUMEN TOTAL'!AM439</f>
        <v>0</v>
      </c>
      <c r="AA334" s="70">
        <f>'RESUMEN TOTAL'!AN439</f>
        <v>0</v>
      </c>
      <c r="AB334" s="70">
        <f>'RESUMEN TOTAL'!AO439</f>
        <v>0</v>
      </c>
      <c r="AC334" s="70">
        <f>'RESUMEN TOTAL'!AP439</f>
        <v>0</v>
      </c>
      <c r="AD334" s="70">
        <f>'RESUMEN TOTAL'!AQ439</f>
        <v>0</v>
      </c>
      <c r="AE334" s="70">
        <f>'RESUMEN TOTAL'!AR439</f>
        <v>0</v>
      </c>
      <c r="AF334" s="70">
        <f>'RESUMEN TOTAL'!AS439</f>
        <v>0</v>
      </c>
      <c r="AG334" s="70">
        <f>'RESUMEN TOTAL'!AT439</f>
        <v>0</v>
      </c>
      <c r="AH334" s="70">
        <f>'RESUMEN TOTAL'!AU439</f>
        <v>0</v>
      </c>
      <c r="AI334" s="70">
        <f>'RESUMEN TOTAL'!AV439</f>
        <v>0</v>
      </c>
      <c r="AJ334" s="70" t="e">
        <f>'RESUMEN TOTAL'!#REF!</f>
        <v>#REF!</v>
      </c>
    </row>
    <row r="335" spans="1:36" x14ac:dyDescent="0.25">
      <c r="A335" t="str">
        <f>'RESUMEN TOTAL'!F440</f>
        <v>SAN EMILIO</v>
      </c>
      <c r="B335" t="str">
        <f>'RESUMEN TOTAL'!G440</f>
        <v>SMAT01</v>
      </c>
      <c r="C335" t="str">
        <f>'RESUMEN TOTAL'!I440</f>
        <v xml:space="preserve">AV BOSQUES Y CANTU </v>
      </c>
      <c r="D335" s="30" t="str">
        <f>'RESUMEN TOTAL'!J440</f>
        <v>DOMO</v>
      </c>
      <c r="E335" s="30" t="str">
        <f>'RESUMEN TOTAL'!K440</f>
        <v>GPON</v>
      </c>
      <c r="F335" s="70">
        <f>'RESUMEN TOTAL'!S440</f>
        <v>0</v>
      </c>
      <c r="G335" s="70">
        <f>'RESUMEN TOTAL'!T440</f>
        <v>0</v>
      </c>
      <c r="H335" s="70">
        <f>'RESUMEN TOTAL'!V440</f>
        <v>0</v>
      </c>
      <c r="I335" s="70">
        <v>0</v>
      </c>
      <c r="J335" s="70">
        <f>'RESUMEN TOTAL'!W440</f>
        <v>0</v>
      </c>
      <c r="K335" s="70" t="str">
        <f>'RESUMEN TOTAL'!X440</f>
        <v>APAGADO</v>
      </c>
      <c r="L335" s="70">
        <f>'RESUMEN TOTAL'!Y440</f>
        <v>0</v>
      </c>
      <c r="M335" s="70">
        <f>'RESUMEN TOTAL'!Z440</f>
        <v>0</v>
      </c>
      <c r="N335" s="70">
        <f>'RESUMEN TOTAL'!AA440</f>
        <v>0</v>
      </c>
      <c r="O335" s="70">
        <f>'RESUMEN TOTAL'!AB440</f>
        <v>0</v>
      </c>
      <c r="P335" s="70">
        <f>'RESUMEN TOTAL'!AC440</f>
        <v>0</v>
      </c>
      <c r="Q335" s="70">
        <f>'RESUMEN TOTAL'!AD440</f>
        <v>0</v>
      </c>
      <c r="R335" s="70">
        <f>'RESUMEN TOTAL'!AE440</f>
        <v>0</v>
      </c>
      <c r="S335" s="70">
        <f>'RESUMEN TOTAL'!AF440</f>
        <v>0</v>
      </c>
      <c r="T335" s="70">
        <f>'RESUMEN TOTAL'!AG440</f>
        <v>0</v>
      </c>
      <c r="U335" s="70">
        <f>'RESUMEN TOTAL'!AH440</f>
        <v>0</v>
      </c>
      <c r="V335" s="70">
        <f>'RESUMEN TOTAL'!AI440</f>
        <v>0</v>
      </c>
      <c r="W335" s="70">
        <f>'RESUMEN TOTAL'!AJ440</f>
        <v>0</v>
      </c>
      <c r="X335" s="70">
        <f>'RESUMEN TOTAL'!AK440</f>
        <v>0</v>
      </c>
      <c r="Y335" s="70">
        <f>'RESUMEN TOTAL'!AL440</f>
        <v>0</v>
      </c>
      <c r="Z335" s="70">
        <f>'RESUMEN TOTAL'!AM440</f>
        <v>0</v>
      </c>
      <c r="AA335" s="70">
        <f>'RESUMEN TOTAL'!AN440</f>
        <v>0</v>
      </c>
      <c r="AB335" s="70">
        <f>'RESUMEN TOTAL'!AO440</f>
        <v>0</v>
      </c>
      <c r="AC335" s="70">
        <f>'RESUMEN TOTAL'!AP440</f>
        <v>0</v>
      </c>
      <c r="AD335" s="70">
        <f>'RESUMEN TOTAL'!AQ440</f>
        <v>0</v>
      </c>
      <c r="AE335" s="70">
        <f>'RESUMEN TOTAL'!AR440</f>
        <v>0</v>
      </c>
      <c r="AF335" s="70">
        <f>'RESUMEN TOTAL'!AS440</f>
        <v>0</v>
      </c>
      <c r="AG335" s="70">
        <f>'RESUMEN TOTAL'!AT440</f>
        <v>0</v>
      </c>
      <c r="AH335" s="70">
        <f>'RESUMEN TOTAL'!AU440</f>
        <v>0</v>
      </c>
      <c r="AI335" s="70">
        <f>'RESUMEN TOTAL'!AV440</f>
        <v>0</v>
      </c>
      <c r="AJ335" s="70" t="e">
        <f>'RESUMEN TOTAL'!#REF!</f>
        <v>#REF!</v>
      </c>
    </row>
    <row r="336" spans="1:36" x14ac:dyDescent="0.25">
      <c r="A336" t="str">
        <f>'RESUMEN TOTAL'!F444</f>
        <v>SAN NICOLAS</v>
      </c>
      <c r="B336" t="str">
        <f>'RESUMEN TOTAL'!G444</f>
        <v>SNI 03 (fija 1)</v>
      </c>
      <c r="C336" t="str">
        <f>'RESUMEN TOTAL'!I444</f>
        <v>SARRATEA Y LOS TREBOLES</v>
      </c>
      <c r="D336" s="30" t="str">
        <f>'RESUMEN TOTAL'!J444</f>
        <v>Fija</v>
      </c>
      <c r="E336" s="30" t="str">
        <f>'RESUMEN TOTAL'!K444</f>
        <v>Fibra Optica</v>
      </c>
      <c r="F336" s="70">
        <f>'RESUMEN TOTAL'!S444</f>
        <v>0</v>
      </c>
      <c r="G336" s="70">
        <f>'RESUMEN TOTAL'!T444</f>
        <v>0</v>
      </c>
      <c r="H336" s="70">
        <f>'RESUMEN TOTAL'!U444</f>
        <v>0</v>
      </c>
      <c r="I336" s="70">
        <f>'RESUMEN TOTAL'!V444</f>
        <v>0</v>
      </c>
      <c r="J336" s="70">
        <f>'RESUMEN TOTAL'!W444</f>
        <v>0</v>
      </c>
      <c r="K336" s="70">
        <f>'RESUMEN TOTAL'!X444</f>
        <v>0</v>
      </c>
      <c r="L336" s="70">
        <f>'RESUMEN TOTAL'!Y444</f>
        <v>0</v>
      </c>
      <c r="M336" s="70">
        <f>'RESUMEN TOTAL'!Z444</f>
        <v>0</v>
      </c>
      <c r="N336" s="70">
        <f>'RESUMEN TOTAL'!AA444</f>
        <v>0</v>
      </c>
      <c r="O336" s="70">
        <f>'RESUMEN TOTAL'!AB444</f>
        <v>0</v>
      </c>
      <c r="P336" s="70">
        <f>'RESUMEN TOTAL'!AC444</f>
        <v>0</v>
      </c>
      <c r="Q336" s="70">
        <f>'RESUMEN TOTAL'!AD444</f>
        <v>0</v>
      </c>
      <c r="R336" s="70">
        <f>'RESUMEN TOTAL'!AE444</f>
        <v>0</v>
      </c>
      <c r="S336" s="70">
        <f>'RESUMEN TOTAL'!AF444</f>
        <v>0</v>
      </c>
      <c r="T336" s="70">
        <f>'RESUMEN TOTAL'!AG444</f>
        <v>0</v>
      </c>
      <c r="U336" s="70">
        <f>'RESUMEN TOTAL'!AH444</f>
        <v>0</v>
      </c>
      <c r="V336" s="70">
        <f>'RESUMEN TOTAL'!AI444</f>
        <v>0</v>
      </c>
      <c r="W336" s="70">
        <f>'RESUMEN TOTAL'!AJ444</f>
        <v>0</v>
      </c>
      <c r="X336" s="70">
        <f>'RESUMEN TOTAL'!AK444</f>
        <v>0</v>
      </c>
      <c r="Y336" s="70">
        <f>'RESUMEN TOTAL'!AL444</f>
        <v>0</v>
      </c>
      <c r="Z336" s="70">
        <f>'RESUMEN TOTAL'!AM444</f>
        <v>0</v>
      </c>
      <c r="AA336" s="70">
        <f>'RESUMEN TOTAL'!AN444</f>
        <v>0</v>
      </c>
      <c r="AB336" s="70">
        <f>'RESUMEN TOTAL'!AO444</f>
        <v>0</v>
      </c>
      <c r="AC336" s="70">
        <f>'RESUMEN TOTAL'!AP444</f>
        <v>0</v>
      </c>
      <c r="AD336" s="70">
        <f>'RESUMEN TOTAL'!AQ444</f>
        <v>0</v>
      </c>
      <c r="AE336" s="70">
        <f>'RESUMEN TOTAL'!AR444</f>
        <v>0</v>
      </c>
      <c r="AF336" s="70">
        <f>'RESUMEN TOTAL'!AS444</f>
        <v>0</v>
      </c>
      <c r="AG336" s="70">
        <f>'RESUMEN TOTAL'!AT444</f>
        <v>0</v>
      </c>
      <c r="AH336" s="70">
        <f>'RESUMEN TOTAL'!AU444</f>
        <v>0</v>
      </c>
      <c r="AI336" s="70">
        <f>'RESUMEN TOTAL'!AV444</f>
        <v>0</v>
      </c>
      <c r="AJ336" s="70" t="e">
        <f>'RESUMEN TOTAL'!#REF!</f>
        <v>#REF!</v>
      </c>
    </row>
    <row r="337" spans="1:36" x14ac:dyDescent="0.25">
      <c r="A337" t="str">
        <f>'RESUMEN TOTAL'!F445</f>
        <v>SAN NICOLAS</v>
      </c>
      <c r="B337" t="str">
        <f>'RESUMEN TOTAL'!G445</f>
        <v>SNI 04 (fija 2)</v>
      </c>
      <c r="C337" t="str">
        <f>'RESUMEN TOTAL'!I445</f>
        <v>SARRATEA Y LOS TREBOLES</v>
      </c>
      <c r="D337" s="30" t="str">
        <f>'RESUMEN TOTAL'!J445</f>
        <v>Fija</v>
      </c>
      <c r="E337" s="30" t="str">
        <f>'RESUMEN TOTAL'!K445</f>
        <v>Fibra Optica</v>
      </c>
      <c r="F337" s="70">
        <f>'RESUMEN TOTAL'!S445</f>
        <v>0</v>
      </c>
      <c r="G337" s="70">
        <f>'RESUMEN TOTAL'!T445</f>
        <v>0</v>
      </c>
      <c r="H337" s="70">
        <f>'RESUMEN TOTAL'!U445</f>
        <v>0</v>
      </c>
      <c r="I337" s="70">
        <f>'RESUMEN TOTAL'!V445</f>
        <v>0</v>
      </c>
      <c r="J337" s="70">
        <f>'RESUMEN TOTAL'!W445</f>
        <v>0</v>
      </c>
      <c r="K337" s="70">
        <f>'RESUMEN TOTAL'!X445</f>
        <v>0</v>
      </c>
      <c r="L337" s="70">
        <f>'RESUMEN TOTAL'!Y445</f>
        <v>0</v>
      </c>
      <c r="M337" s="70">
        <f>'RESUMEN TOTAL'!Z445</f>
        <v>0</v>
      </c>
      <c r="N337" s="70">
        <f>'RESUMEN TOTAL'!AA445</f>
        <v>0</v>
      </c>
      <c r="O337" s="70">
        <f>'RESUMEN TOTAL'!AB445</f>
        <v>0</v>
      </c>
      <c r="P337" s="70">
        <f>'RESUMEN TOTAL'!AC445</f>
        <v>0</v>
      </c>
      <c r="Q337" s="70">
        <f>'RESUMEN TOTAL'!AD445</f>
        <v>0</v>
      </c>
      <c r="R337" s="70">
        <f>'RESUMEN TOTAL'!AE445</f>
        <v>0</v>
      </c>
      <c r="S337" s="70">
        <f>'RESUMEN TOTAL'!AF445</f>
        <v>0</v>
      </c>
      <c r="T337" s="70">
        <f>'RESUMEN TOTAL'!AG445</f>
        <v>0</v>
      </c>
      <c r="U337" s="70">
        <f>'RESUMEN TOTAL'!AH445</f>
        <v>0</v>
      </c>
      <c r="V337" s="70">
        <f>'RESUMEN TOTAL'!AI445</f>
        <v>0</v>
      </c>
      <c r="W337" s="70">
        <f>'RESUMEN TOTAL'!AJ445</f>
        <v>0</v>
      </c>
      <c r="X337" s="70">
        <f>'RESUMEN TOTAL'!AK445</f>
        <v>0</v>
      </c>
      <c r="Y337" s="70">
        <f>'RESUMEN TOTAL'!AL445</f>
        <v>0</v>
      </c>
      <c r="Z337" s="70">
        <f>'RESUMEN TOTAL'!AM445</f>
        <v>0</v>
      </c>
      <c r="AA337" s="70">
        <f>'RESUMEN TOTAL'!AN445</f>
        <v>0</v>
      </c>
      <c r="AB337" s="70">
        <f>'RESUMEN TOTAL'!AO445</f>
        <v>0</v>
      </c>
      <c r="AC337" s="70">
        <f>'RESUMEN TOTAL'!AP445</f>
        <v>0</v>
      </c>
      <c r="AD337" s="70">
        <f>'RESUMEN TOTAL'!AQ445</f>
        <v>0</v>
      </c>
      <c r="AE337" s="70">
        <f>'RESUMEN TOTAL'!AR445</f>
        <v>0</v>
      </c>
      <c r="AF337" s="70">
        <f>'RESUMEN TOTAL'!AS445</f>
        <v>0</v>
      </c>
      <c r="AG337" s="70">
        <f>'RESUMEN TOTAL'!AT445</f>
        <v>0</v>
      </c>
      <c r="AH337" s="70">
        <f>'RESUMEN TOTAL'!AU445</f>
        <v>0</v>
      </c>
      <c r="AI337" s="70">
        <f>'RESUMEN TOTAL'!AV445</f>
        <v>0</v>
      </c>
      <c r="AJ337" s="70" t="e">
        <f>'RESUMEN TOTAL'!#REF!</f>
        <v>#REF!</v>
      </c>
    </row>
    <row r="338" spans="1:36" x14ac:dyDescent="0.25">
      <c r="A338" t="str">
        <f>'RESUMEN TOTAL'!F446</f>
        <v>SAN NICOLAS</v>
      </c>
      <c r="B338" t="str">
        <f>'RESUMEN TOTAL'!G446</f>
        <v>SNI01 (fija 1)</v>
      </c>
      <c r="C338" t="str">
        <f>'RESUMEN TOTAL'!I446</f>
        <v>SARRATEA E/ EEUU DE A. Y AGRELO</v>
      </c>
      <c r="D338" s="30" t="str">
        <f>'RESUMEN TOTAL'!J446</f>
        <v>Fija</v>
      </c>
      <c r="E338" s="30" t="str">
        <f>'RESUMEN TOTAL'!K446</f>
        <v>Fibra Optica</v>
      </c>
      <c r="F338" s="70">
        <f>'RESUMEN TOTAL'!S446</f>
        <v>0</v>
      </c>
      <c r="G338" s="70">
        <f>'RESUMEN TOTAL'!T446</f>
        <v>0</v>
      </c>
      <c r="H338" s="70">
        <f>'RESUMEN TOTAL'!U446</f>
        <v>0</v>
      </c>
      <c r="I338" s="70">
        <f>'RESUMEN TOTAL'!V446</f>
        <v>0</v>
      </c>
      <c r="J338" s="70">
        <f>'RESUMEN TOTAL'!W446</f>
        <v>0</v>
      </c>
      <c r="K338" s="70">
        <f>'RESUMEN TOTAL'!X446</f>
        <v>0</v>
      </c>
      <c r="L338" s="70">
        <f>'RESUMEN TOTAL'!Y446</f>
        <v>0</v>
      </c>
      <c r="M338" s="70">
        <f>'RESUMEN TOTAL'!Z446</f>
        <v>0</v>
      </c>
      <c r="N338" s="70">
        <f>'RESUMEN TOTAL'!AA446</f>
        <v>0</v>
      </c>
      <c r="O338" s="70">
        <f>'RESUMEN TOTAL'!AB446</f>
        <v>0</v>
      </c>
      <c r="P338" s="70">
        <f>'RESUMEN TOTAL'!AC446</f>
        <v>0</v>
      </c>
      <c r="Q338" s="70">
        <f>'RESUMEN TOTAL'!AD446</f>
        <v>0</v>
      </c>
      <c r="R338" s="70">
        <f>'RESUMEN TOTAL'!AE446</f>
        <v>0</v>
      </c>
      <c r="S338" s="70">
        <f>'RESUMEN TOTAL'!AF446</f>
        <v>0</v>
      </c>
      <c r="T338" s="70">
        <f>'RESUMEN TOTAL'!AG446</f>
        <v>0</v>
      </c>
      <c r="U338" s="70">
        <f>'RESUMEN TOTAL'!AH446</f>
        <v>0</v>
      </c>
      <c r="V338" s="70">
        <f>'RESUMEN TOTAL'!AI446</f>
        <v>0</v>
      </c>
      <c r="W338" s="70">
        <f>'RESUMEN TOTAL'!AJ446</f>
        <v>0</v>
      </c>
      <c r="X338" s="70">
        <f>'RESUMEN TOTAL'!AK446</f>
        <v>0</v>
      </c>
      <c r="Y338" s="70">
        <f>'RESUMEN TOTAL'!AL446</f>
        <v>0</v>
      </c>
      <c r="Z338" s="70">
        <f>'RESUMEN TOTAL'!AM446</f>
        <v>0</v>
      </c>
      <c r="AA338" s="70">
        <f>'RESUMEN TOTAL'!AN446</f>
        <v>0</v>
      </c>
      <c r="AB338" s="70">
        <f>'RESUMEN TOTAL'!AO446</f>
        <v>0</v>
      </c>
      <c r="AC338" s="70">
        <f>'RESUMEN TOTAL'!AP446</f>
        <v>0</v>
      </c>
      <c r="AD338" s="70">
        <f>'RESUMEN TOTAL'!AQ446</f>
        <v>0</v>
      </c>
      <c r="AE338" s="70">
        <f>'RESUMEN TOTAL'!AR446</f>
        <v>0</v>
      </c>
      <c r="AF338" s="70">
        <f>'RESUMEN TOTAL'!AS446</f>
        <v>0</v>
      </c>
      <c r="AG338" s="70">
        <f>'RESUMEN TOTAL'!AT446</f>
        <v>0</v>
      </c>
      <c r="AH338" s="70">
        <f>'RESUMEN TOTAL'!AU446</f>
        <v>0</v>
      </c>
      <c r="AI338" s="70">
        <f>'RESUMEN TOTAL'!AV446</f>
        <v>0</v>
      </c>
      <c r="AJ338" s="70" t="e">
        <f>'RESUMEN TOTAL'!#REF!</f>
        <v>#REF!</v>
      </c>
    </row>
    <row r="339" spans="1:36" x14ac:dyDescent="0.25">
      <c r="A339" t="str">
        <f>'RESUMEN TOTAL'!F447</f>
        <v>SAN NICOLAS</v>
      </c>
      <c r="B339" t="str">
        <f>'RESUMEN TOTAL'!G447</f>
        <v>SNI02 (fija 2)</v>
      </c>
      <c r="C339" t="str">
        <f>'RESUMEN TOTAL'!I447</f>
        <v>SARRATEA E/ EEUU DE A. Y AGRELO</v>
      </c>
      <c r="D339" s="30" t="str">
        <f>'RESUMEN TOTAL'!J447</f>
        <v>Fija</v>
      </c>
      <c r="E339" s="30" t="str">
        <f>'RESUMEN TOTAL'!K447</f>
        <v>Fibra Optica</v>
      </c>
      <c r="F339" s="70">
        <f>'RESUMEN TOTAL'!S447</f>
        <v>0</v>
      </c>
      <c r="G339" s="70">
        <f>'RESUMEN TOTAL'!T447</f>
        <v>0</v>
      </c>
      <c r="H339" s="70">
        <f>'RESUMEN TOTAL'!U447</f>
        <v>0</v>
      </c>
      <c r="I339" s="70">
        <f>'RESUMEN TOTAL'!V447</f>
        <v>0</v>
      </c>
      <c r="J339" s="70">
        <f>'RESUMEN TOTAL'!W447</f>
        <v>0</v>
      </c>
      <c r="K339" s="70">
        <f>'RESUMEN TOTAL'!X447</f>
        <v>0</v>
      </c>
      <c r="L339" s="70">
        <f>'RESUMEN TOTAL'!Y447</f>
        <v>0</v>
      </c>
      <c r="M339" s="70">
        <f>'RESUMEN TOTAL'!Z447</f>
        <v>0</v>
      </c>
      <c r="N339" s="70">
        <f>'RESUMEN TOTAL'!AA447</f>
        <v>0</v>
      </c>
      <c r="O339" s="70">
        <f>'RESUMEN TOTAL'!AB447</f>
        <v>0</v>
      </c>
      <c r="P339" s="70">
        <f>'RESUMEN TOTAL'!AC447</f>
        <v>0</v>
      </c>
      <c r="Q339" s="70">
        <f>'RESUMEN TOTAL'!AD447</f>
        <v>0</v>
      </c>
      <c r="R339" s="70">
        <f>'RESUMEN TOTAL'!AE447</f>
        <v>0</v>
      </c>
      <c r="S339" s="70">
        <f>'RESUMEN TOTAL'!AF447</f>
        <v>0</v>
      </c>
      <c r="T339" s="70">
        <f>'RESUMEN TOTAL'!AG447</f>
        <v>0</v>
      </c>
      <c r="U339" s="70">
        <f>'RESUMEN TOTAL'!AH447</f>
        <v>0</v>
      </c>
      <c r="V339" s="70">
        <f>'RESUMEN TOTAL'!AI447</f>
        <v>0</v>
      </c>
      <c r="W339" s="70">
        <f>'RESUMEN TOTAL'!AJ447</f>
        <v>0</v>
      </c>
      <c r="X339" s="70">
        <f>'RESUMEN TOTAL'!AK447</f>
        <v>0</v>
      </c>
      <c r="Y339" s="70">
        <f>'RESUMEN TOTAL'!AL447</f>
        <v>0</v>
      </c>
      <c r="Z339" s="70">
        <f>'RESUMEN TOTAL'!AM447</f>
        <v>0</v>
      </c>
      <c r="AA339" s="70">
        <f>'RESUMEN TOTAL'!AN447</f>
        <v>0</v>
      </c>
      <c r="AB339" s="70">
        <f>'RESUMEN TOTAL'!AO447</f>
        <v>0</v>
      </c>
      <c r="AC339" s="70">
        <f>'RESUMEN TOTAL'!AP447</f>
        <v>0</v>
      </c>
      <c r="AD339" s="70">
        <f>'RESUMEN TOTAL'!AQ447</f>
        <v>0</v>
      </c>
      <c r="AE339" s="70">
        <f>'RESUMEN TOTAL'!AR447</f>
        <v>0</v>
      </c>
      <c r="AF339" s="70">
        <f>'RESUMEN TOTAL'!AS447</f>
        <v>0</v>
      </c>
      <c r="AG339" s="70">
        <f>'RESUMEN TOTAL'!AT447</f>
        <v>0</v>
      </c>
      <c r="AH339" s="70">
        <f>'RESUMEN TOTAL'!AU447</f>
        <v>0</v>
      </c>
      <c r="AI339" s="70">
        <f>'RESUMEN TOTAL'!AV447</f>
        <v>0</v>
      </c>
      <c r="AJ339" s="70" t="e">
        <f>'RESUMEN TOTAL'!#REF!</f>
        <v>#REF!</v>
      </c>
    </row>
    <row r="340" spans="1:36" x14ac:dyDescent="0.25">
      <c r="A340" t="str">
        <f>'RESUMEN TOTAL'!F448</f>
        <v>SANTA ROSA</v>
      </c>
      <c r="B340" t="str">
        <f>'RESUMEN TOTAL'!G448</f>
        <v>SRO 04</v>
      </c>
      <c r="C340" t="str">
        <f>'RESUMEN TOTAL'!I448</f>
        <v>Belgica y Andorra</v>
      </c>
      <c r="D340" s="30" t="str">
        <f>'RESUMEN TOTAL'!J448</f>
        <v>Domo</v>
      </c>
      <c r="E340" s="30" t="str">
        <f>'RESUMEN TOTAL'!K448</f>
        <v>GPON</v>
      </c>
      <c r="F340" s="70">
        <f>'RESUMEN TOTAL'!S448</f>
        <v>0</v>
      </c>
      <c r="G340" s="70">
        <f>'RESUMEN TOTAL'!T448</f>
        <v>0</v>
      </c>
      <c r="H340" s="70">
        <f>'RESUMEN TOTAL'!U448</f>
        <v>0</v>
      </c>
      <c r="I340" s="70">
        <f>'RESUMEN TOTAL'!V448</f>
        <v>0</v>
      </c>
      <c r="J340" s="70">
        <f>'RESUMEN TOTAL'!W448</f>
        <v>0</v>
      </c>
      <c r="K340" s="70">
        <f>'RESUMEN TOTAL'!X448</f>
        <v>0</v>
      </c>
      <c r="L340" s="70">
        <f>'RESUMEN TOTAL'!Y448</f>
        <v>0</v>
      </c>
      <c r="M340" s="70">
        <f>'RESUMEN TOTAL'!Z448</f>
        <v>0</v>
      </c>
      <c r="N340" s="70">
        <f>'RESUMEN TOTAL'!AA448</f>
        <v>0</v>
      </c>
      <c r="O340" s="70">
        <f>'RESUMEN TOTAL'!AB448</f>
        <v>0</v>
      </c>
      <c r="P340" s="70">
        <f>'RESUMEN TOTAL'!AC448</f>
        <v>0</v>
      </c>
      <c r="Q340" s="70">
        <f>'RESUMEN TOTAL'!AD448</f>
        <v>0</v>
      </c>
      <c r="R340" s="70">
        <f>'RESUMEN TOTAL'!AE448</f>
        <v>0</v>
      </c>
      <c r="S340" s="70">
        <f>'RESUMEN TOTAL'!AF448</f>
        <v>0</v>
      </c>
      <c r="T340" s="70">
        <f>'RESUMEN TOTAL'!AG448</f>
        <v>0</v>
      </c>
      <c r="U340" s="70">
        <f>'RESUMEN TOTAL'!AH448</f>
        <v>0</v>
      </c>
      <c r="V340" s="70">
        <f>'RESUMEN TOTAL'!AI448</f>
        <v>0</v>
      </c>
      <c r="W340" s="70">
        <f>'RESUMEN TOTAL'!AJ448</f>
        <v>0</v>
      </c>
      <c r="X340" s="70">
        <f>'RESUMEN TOTAL'!AK448</f>
        <v>0</v>
      </c>
      <c r="Y340" s="70">
        <f>'RESUMEN TOTAL'!AL448</f>
        <v>0</v>
      </c>
      <c r="Z340" s="70">
        <f>'RESUMEN TOTAL'!AM448</f>
        <v>0</v>
      </c>
      <c r="AA340" s="70">
        <f>'RESUMEN TOTAL'!AN448</f>
        <v>0</v>
      </c>
      <c r="AB340" s="70">
        <f>'RESUMEN TOTAL'!AO448</f>
        <v>0</v>
      </c>
      <c r="AC340" s="70">
        <f>'RESUMEN TOTAL'!AP448</f>
        <v>0</v>
      </c>
      <c r="AD340" s="70">
        <f>'RESUMEN TOTAL'!AQ448</f>
        <v>0</v>
      </c>
      <c r="AE340" s="70">
        <f>'RESUMEN TOTAL'!AR448</f>
        <v>0</v>
      </c>
      <c r="AF340" s="70">
        <f>'RESUMEN TOTAL'!AS448</f>
        <v>0</v>
      </c>
      <c r="AG340" s="70">
        <f>'RESUMEN TOTAL'!AT448</f>
        <v>0</v>
      </c>
      <c r="AH340" s="70">
        <f>'RESUMEN TOTAL'!AU448</f>
        <v>0</v>
      </c>
      <c r="AI340" s="70">
        <f>'RESUMEN TOTAL'!AV448</f>
        <v>0</v>
      </c>
      <c r="AJ340" s="70" t="e">
        <f>'RESUMEN TOTAL'!#REF!</f>
        <v>#REF!</v>
      </c>
    </row>
    <row r="341" spans="1:36" x14ac:dyDescent="0.25">
      <c r="A341" t="str">
        <f>'RESUMEN TOTAL'!F449</f>
        <v>SANTA ROSA</v>
      </c>
      <c r="B341" t="str">
        <f>'RESUMEN TOTAL'!G449</f>
        <v>SRO 08</v>
      </c>
      <c r="C341" t="str">
        <f>'RESUMEN TOTAL'!I449</f>
        <v>NOVAK E/ DESSY Y BELGICA (POLIDEPORTIVO LA PATRIADA)</v>
      </c>
      <c r="D341" s="30" t="str">
        <f>'RESUMEN TOTAL'!J449</f>
        <v>Domo</v>
      </c>
      <c r="E341" s="30" t="str">
        <f>'RESUMEN TOTAL'!K449</f>
        <v>GPON</v>
      </c>
      <c r="F341" s="70">
        <f>'RESUMEN TOTAL'!S449</f>
        <v>0</v>
      </c>
      <c r="G341" s="70">
        <f>'RESUMEN TOTAL'!T449</f>
        <v>0</v>
      </c>
      <c r="H341" s="70">
        <f>'RESUMEN TOTAL'!U449</f>
        <v>0</v>
      </c>
      <c r="I341" s="70">
        <f>'RESUMEN TOTAL'!V449</f>
        <v>0</v>
      </c>
      <c r="J341" s="70">
        <f>'RESUMEN TOTAL'!W449</f>
        <v>0</v>
      </c>
      <c r="K341" s="70">
        <f>'RESUMEN TOTAL'!X449</f>
        <v>0</v>
      </c>
      <c r="L341" s="70">
        <f>'RESUMEN TOTAL'!Y449</f>
        <v>0</v>
      </c>
      <c r="M341" s="70">
        <f>'RESUMEN TOTAL'!Z449</f>
        <v>0</v>
      </c>
      <c r="N341" s="70">
        <f>'RESUMEN TOTAL'!AA449</f>
        <v>0</v>
      </c>
      <c r="O341" s="70">
        <f>'RESUMEN TOTAL'!AB449</f>
        <v>0</v>
      </c>
      <c r="P341" s="70">
        <f>'RESUMEN TOTAL'!AC449</f>
        <v>0</v>
      </c>
      <c r="Q341" s="70">
        <f>'RESUMEN TOTAL'!AD449</f>
        <v>0</v>
      </c>
      <c r="R341" s="70">
        <f>'RESUMEN TOTAL'!AE449</f>
        <v>0</v>
      </c>
      <c r="S341" s="70">
        <f>'RESUMEN TOTAL'!AF449</f>
        <v>0</v>
      </c>
      <c r="T341" s="70">
        <f>'RESUMEN TOTAL'!AG449</f>
        <v>0</v>
      </c>
      <c r="U341" s="70">
        <f>'RESUMEN TOTAL'!AH449</f>
        <v>0</v>
      </c>
      <c r="V341" s="70">
        <f>'RESUMEN TOTAL'!AI449</f>
        <v>0</v>
      </c>
      <c r="W341" s="70">
        <f>'RESUMEN TOTAL'!AJ449</f>
        <v>0</v>
      </c>
      <c r="X341" s="70">
        <f>'RESUMEN TOTAL'!AK449</f>
        <v>0</v>
      </c>
      <c r="Y341" s="70">
        <f>'RESUMEN TOTAL'!AL449</f>
        <v>0</v>
      </c>
      <c r="Z341" s="70">
        <f>'RESUMEN TOTAL'!AM449</f>
        <v>0</v>
      </c>
      <c r="AA341" s="70">
        <f>'RESUMEN TOTAL'!AN449</f>
        <v>0</v>
      </c>
      <c r="AB341" s="70">
        <f>'RESUMEN TOTAL'!AO449</f>
        <v>0</v>
      </c>
      <c r="AC341" s="70">
        <f>'RESUMEN TOTAL'!AP449</f>
        <v>0</v>
      </c>
      <c r="AD341" s="70">
        <f>'RESUMEN TOTAL'!AQ449</f>
        <v>0</v>
      </c>
      <c r="AE341" s="70">
        <f>'RESUMEN TOTAL'!AR449</f>
        <v>0</v>
      </c>
      <c r="AF341" s="70">
        <f>'RESUMEN TOTAL'!AS449</f>
        <v>0</v>
      </c>
      <c r="AG341" s="70">
        <f>'RESUMEN TOTAL'!AT449</f>
        <v>0</v>
      </c>
      <c r="AH341" s="70">
        <f>'RESUMEN TOTAL'!AU449</f>
        <v>0</v>
      </c>
      <c r="AI341" s="70">
        <f>'RESUMEN TOTAL'!AV449</f>
        <v>0</v>
      </c>
      <c r="AJ341" s="70" t="e">
        <f>'RESUMEN TOTAL'!#REF!</f>
        <v>#REF!</v>
      </c>
    </row>
    <row r="342" spans="1:36" x14ac:dyDescent="0.25">
      <c r="A342" t="str">
        <f>'RESUMEN TOTAL'!F450</f>
        <v>SANTA ROSA</v>
      </c>
      <c r="B342" t="str">
        <f>'RESUMEN TOTAL'!G450</f>
        <v>SRO 11</v>
      </c>
      <c r="C342" t="str">
        <f>'RESUMEN TOTAL'!I450</f>
        <v>MILAN Y MALLORCA</v>
      </c>
      <c r="D342" s="30" t="str">
        <f>'RESUMEN TOTAL'!J450</f>
        <v>DOMO</v>
      </c>
      <c r="E342" s="30" t="str">
        <f>'RESUMEN TOTAL'!K450</f>
        <v>GPON</v>
      </c>
      <c r="F342" s="70">
        <f>'RESUMEN TOTAL'!S450</f>
        <v>0</v>
      </c>
      <c r="G342" s="70">
        <f>'RESUMEN TOTAL'!T450</f>
        <v>0</v>
      </c>
      <c r="H342" s="70">
        <f>'RESUMEN TOTAL'!U450</f>
        <v>0</v>
      </c>
      <c r="I342" s="70">
        <f>'RESUMEN TOTAL'!V450</f>
        <v>0</v>
      </c>
      <c r="J342" s="70">
        <f>'RESUMEN TOTAL'!W450</f>
        <v>0</v>
      </c>
      <c r="K342" s="70" t="str">
        <f>'RESUMEN TOTAL'!X450</f>
        <v>APAGADO</v>
      </c>
      <c r="L342" s="70">
        <f>'RESUMEN TOTAL'!Y450</f>
        <v>0</v>
      </c>
      <c r="M342" s="70">
        <f>'RESUMEN TOTAL'!Z450</f>
        <v>0</v>
      </c>
      <c r="N342" s="70">
        <f>'RESUMEN TOTAL'!AA450</f>
        <v>0</v>
      </c>
      <c r="O342" s="70">
        <f>'RESUMEN TOTAL'!AB450</f>
        <v>0</v>
      </c>
      <c r="P342" s="70">
        <f>'RESUMEN TOTAL'!AC450</f>
        <v>0</v>
      </c>
      <c r="Q342" s="70">
        <f>'RESUMEN TOTAL'!AD450</f>
        <v>0</v>
      </c>
      <c r="R342" s="70">
        <f>'RESUMEN TOTAL'!AE450</f>
        <v>0</v>
      </c>
      <c r="S342" s="70">
        <f>'RESUMEN TOTAL'!AF450</f>
        <v>0</v>
      </c>
      <c r="T342" s="70">
        <f>'RESUMEN TOTAL'!AG450</f>
        <v>0</v>
      </c>
      <c r="U342" s="70">
        <f>'RESUMEN TOTAL'!AH450</f>
        <v>0</v>
      </c>
      <c r="V342" s="70">
        <f>'RESUMEN TOTAL'!AI450</f>
        <v>0</v>
      </c>
      <c r="W342" s="70">
        <f>'RESUMEN TOTAL'!AJ450</f>
        <v>0</v>
      </c>
      <c r="X342" s="70">
        <f>'RESUMEN TOTAL'!AK450</f>
        <v>0</v>
      </c>
      <c r="Y342" s="70">
        <f>'RESUMEN TOTAL'!AL450</f>
        <v>0</v>
      </c>
      <c r="Z342" s="70">
        <f>'RESUMEN TOTAL'!AM450</f>
        <v>0</v>
      </c>
      <c r="AA342" s="70">
        <f>'RESUMEN TOTAL'!AN450</f>
        <v>0</v>
      </c>
      <c r="AB342" s="70">
        <f>'RESUMEN TOTAL'!AO450</f>
        <v>0</v>
      </c>
      <c r="AC342" s="70">
        <f>'RESUMEN TOTAL'!AP450</f>
        <v>0</v>
      </c>
      <c r="AD342" s="70">
        <f>'RESUMEN TOTAL'!AQ450</f>
        <v>0</v>
      </c>
      <c r="AE342" s="70">
        <f>'RESUMEN TOTAL'!AR450</f>
        <v>0</v>
      </c>
      <c r="AF342" s="70">
        <f>'RESUMEN TOTAL'!AS450</f>
        <v>0</v>
      </c>
      <c r="AG342" s="70">
        <f>'RESUMEN TOTAL'!AT450</f>
        <v>0</v>
      </c>
      <c r="AH342" s="70">
        <f>'RESUMEN TOTAL'!AU450</f>
        <v>0</v>
      </c>
      <c r="AI342" s="70">
        <f>'RESUMEN TOTAL'!AV450</f>
        <v>0</v>
      </c>
      <c r="AJ342" s="70" t="e">
        <f>'RESUMEN TOTAL'!#REF!</f>
        <v>#REF!</v>
      </c>
    </row>
    <row r="343" spans="1:36" x14ac:dyDescent="0.25">
      <c r="A343" t="str">
        <f>'RESUMEN TOTAL'!F451</f>
        <v>ZONA RURAL SANTA ROSA</v>
      </c>
      <c r="B343" t="str">
        <f>'RESUMEN TOTAL'!G451</f>
        <v>SRO 13 (fija 1)</v>
      </c>
      <c r="C343" t="str">
        <f>'RESUMEN TOTAL'!I451</f>
        <v>BRUSELAS E/ GRECIA Y CHECOSLOVAQUIA</v>
      </c>
      <c r="D343" s="30" t="str">
        <f>'RESUMEN TOTAL'!J451</f>
        <v>Fija</v>
      </c>
      <c r="E343" s="30" t="str">
        <f>'RESUMEN TOTAL'!K451</f>
        <v>FO A GPON</v>
      </c>
      <c r="F343" s="70">
        <f>'RESUMEN TOTAL'!S451</f>
        <v>0</v>
      </c>
      <c r="G343" s="70">
        <f>'RESUMEN TOTAL'!T451</f>
        <v>0</v>
      </c>
      <c r="H343" s="70">
        <f>'RESUMEN TOTAL'!U451</f>
        <v>0</v>
      </c>
      <c r="I343" s="70">
        <f>'RESUMEN TOTAL'!V451</f>
        <v>0</v>
      </c>
      <c r="J343" s="70">
        <f>'RESUMEN TOTAL'!W451</f>
        <v>0</v>
      </c>
      <c r="K343" s="70">
        <f>'RESUMEN TOTAL'!X451</f>
        <v>0</v>
      </c>
      <c r="L343" s="70">
        <f>'RESUMEN TOTAL'!Y451</f>
        <v>0</v>
      </c>
      <c r="M343" s="70">
        <f>'RESUMEN TOTAL'!Z451</f>
        <v>0</v>
      </c>
      <c r="N343" s="70">
        <f>'RESUMEN TOTAL'!AA451</f>
        <v>0</v>
      </c>
      <c r="O343" s="70">
        <f>'RESUMEN TOTAL'!AB451</f>
        <v>0</v>
      </c>
      <c r="P343" s="70">
        <f>'RESUMEN TOTAL'!AC451</f>
        <v>0</v>
      </c>
      <c r="Q343" s="70">
        <f>'RESUMEN TOTAL'!AD451</f>
        <v>0</v>
      </c>
      <c r="R343" s="70">
        <f>'RESUMEN TOTAL'!AE451</f>
        <v>0</v>
      </c>
      <c r="S343" s="70">
        <f>'RESUMEN TOTAL'!AF451</f>
        <v>0</v>
      </c>
      <c r="T343" s="70">
        <f>'RESUMEN TOTAL'!AG451</f>
        <v>0</v>
      </c>
      <c r="U343" s="70">
        <f>'RESUMEN TOTAL'!AH451</f>
        <v>0</v>
      </c>
      <c r="V343" s="70">
        <f>'RESUMEN TOTAL'!AI451</f>
        <v>0</v>
      </c>
      <c r="W343" s="70">
        <f>'RESUMEN TOTAL'!AJ451</f>
        <v>0</v>
      </c>
      <c r="X343" s="70">
        <f>'RESUMEN TOTAL'!AK451</f>
        <v>0</v>
      </c>
      <c r="Y343" s="70">
        <f>'RESUMEN TOTAL'!AL451</f>
        <v>0</v>
      </c>
      <c r="Z343" s="70">
        <f>'RESUMEN TOTAL'!AM451</f>
        <v>0</v>
      </c>
      <c r="AA343" s="70">
        <f>'RESUMEN TOTAL'!AN451</f>
        <v>0</v>
      </c>
      <c r="AB343" s="70">
        <f>'RESUMEN TOTAL'!AO451</f>
        <v>0</v>
      </c>
      <c r="AC343" s="70">
        <f>'RESUMEN TOTAL'!AP451</f>
        <v>0</v>
      </c>
      <c r="AD343" s="70">
        <f>'RESUMEN TOTAL'!AQ451</f>
        <v>0</v>
      </c>
      <c r="AE343" s="70">
        <f>'RESUMEN TOTAL'!AR451</f>
        <v>0</v>
      </c>
      <c r="AF343" s="70">
        <f>'RESUMEN TOTAL'!AS451</f>
        <v>0</v>
      </c>
      <c r="AG343" s="70">
        <f>'RESUMEN TOTAL'!AT451</f>
        <v>0</v>
      </c>
      <c r="AH343" s="70">
        <f>'RESUMEN TOTAL'!AU451</f>
        <v>0</v>
      </c>
      <c r="AI343" s="70">
        <f>'RESUMEN TOTAL'!AV451</f>
        <v>0</v>
      </c>
      <c r="AJ343" s="70" t="e">
        <f>'RESUMEN TOTAL'!#REF!</f>
        <v>#REF!</v>
      </c>
    </row>
    <row r="344" spans="1:36" x14ac:dyDescent="0.25">
      <c r="A344" t="str">
        <f>'RESUMEN TOTAL'!F452</f>
        <v>ZONA RURAL SANTA ROSA</v>
      </c>
      <c r="B344" t="str">
        <f>'RESUMEN TOTAL'!G452</f>
        <v>SRO 14 (fija 2)</v>
      </c>
      <c r="C344" t="str">
        <f>'RESUMEN TOTAL'!I452</f>
        <v>BRUSELAS E/ GRECIA Y CHECOSLOVAQUIA</v>
      </c>
      <c r="D344" s="30" t="str">
        <f>'RESUMEN TOTAL'!J452</f>
        <v>Fija</v>
      </c>
      <c r="E344" s="30" t="str">
        <f>'RESUMEN TOTAL'!K452</f>
        <v>FO A GPON</v>
      </c>
      <c r="F344" s="70">
        <f>'RESUMEN TOTAL'!S452</f>
        <v>0</v>
      </c>
      <c r="G344" s="70">
        <f>'RESUMEN TOTAL'!T452</f>
        <v>0</v>
      </c>
      <c r="H344" s="70">
        <f>'RESUMEN TOTAL'!U452</f>
        <v>0</v>
      </c>
      <c r="I344" s="70">
        <f>'RESUMEN TOTAL'!V452</f>
        <v>0</v>
      </c>
      <c r="J344" s="70">
        <f>'RESUMEN TOTAL'!W452</f>
        <v>0</v>
      </c>
      <c r="K344" s="70">
        <f>'RESUMEN TOTAL'!X452</f>
        <v>0</v>
      </c>
      <c r="L344" s="70">
        <f>'RESUMEN TOTAL'!Y452</f>
        <v>0</v>
      </c>
      <c r="M344" s="70">
        <f>'RESUMEN TOTAL'!Z452</f>
        <v>0</v>
      </c>
      <c r="N344" s="70">
        <f>'RESUMEN TOTAL'!AA452</f>
        <v>0</v>
      </c>
      <c r="O344" s="70">
        <f>'RESUMEN TOTAL'!AB452</f>
        <v>0</v>
      </c>
      <c r="P344" s="70">
        <f>'RESUMEN TOTAL'!AC452</f>
        <v>0</v>
      </c>
      <c r="Q344" s="70">
        <f>'RESUMEN TOTAL'!AD452</f>
        <v>0</v>
      </c>
      <c r="R344" s="70">
        <f>'RESUMEN TOTAL'!AE452</f>
        <v>0</v>
      </c>
      <c r="S344" s="70">
        <f>'RESUMEN TOTAL'!AF452</f>
        <v>0</v>
      </c>
      <c r="T344" s="70">
        <f>'RESUMEN TOTAL'!AG452</f>
        <v>0</v>
      </c>
      <c r="U344" s="70">
        <f>'RESUMEN TOTAL'!AH452</f>
        <v>0</v>
      </c>
      <c r="V344" s="70">
        <f>'RESUMEN TOTAL'!AI452</f>
        <v>0</v>
      </c>
      <c r="W344" s="70">
        <f>'RESUMEN TOTAL'!AJ452</f>
        <v>0</v>
      </c>
      <c r="X344" s="70">
        <f>'RESUMEN TOTAL'!AK452</f>
        <v>0</v>
      </c>
      <c r="Y344" s="70">
        <f>'RESUMEN TOTAL'!AL452</f>
        <v>0</v>
      </c>
      <c r="Z344" s="70">
        <f>'RESUMEN TOTAL'!AM452</f>
        <v>0</v>
      </c>
      <c r="AA344" s="70">
        <f>'RESUMEN TOTAL'!AN452</f>
        <v>0</v>
      </c>
      <c r="AB344" s="70">
        <f>'RESUMEN TOTAL'!AO452</f>
        <v>0</v>
      </c>
      <c r="AC344" s="70">
        <f>'RESUMEN TOTAL'!AP452</f>
        <v>0</v>
      </c>
      <c r="AD344" s="70">
        <f>'RESUMEN TOTAL'!AQ452</f>
        <v>0</v>
      </c>
      <c r="AE344" s="70">
        <f>'RESUMEN TOTAL'!AR452</f>
        <v>0</v>
      </c>
      <c r="AF344" s="70">
        <f>'RESUMEN TOTAL'!AS452</f>
        <v>0</v>
      </c>
      <c r="AG344" s="70">
        <f>'RESUMEN TOTAL'!AT452</f>
        <v>0</v>
      </c>
      <c r="AH344" s="70">
        <f>'RESUMEN TOTAL'!AU452</f>
        <v>0</v>
      </c>
      <c r="AI344" s="70">
        <f>'RESUMEN TOTAL'!AV452</f>
        <v>0</v>
      </c>
      <c r="AJ344" s="70" t="e">
        <f>'RESUMEN TOTAL'!#REF!</f>
        <v>#REF!</v>
      </c>
    </row>
    <row r="345" spans="1:36" x14ac:dyDescent="0.25">
      <c r="A345" t="str">
        <f>'RESUMEN TOTAL'!F453</f>
        <v>SANTA ROSA</v>
      </c>
      <c r="B345" t="str">
        <f>'RESUMEN TOTAL'!G453</f>
        <v>SRO 18 (fija 1)</v>
      </c>
      <c r="C345" t="str">
        <f>'RESUMEN TOTAL'!I453</f>
        <v>GRAN CANARIA Y BUDAPEST</v>
      </c>
      <c r="D345" s="30" t="str">
        <f>'RESUMEN TOTAL'!J453</f>
        <v>Fija</v>
      </c>
      <c r="E345" s="30" t="str">
        <f>'RESUMEN TOTAL'!K453</f>
        <v>FO A GPON</v>
      </c>
      <c r="F345" s="70" t="str">
        <f>'RESUMEN TOTAL'!S453</f>
        <v>APAGADO</v>
      </c>
      <c r="G345" s="70" t="str">
        <f>'RESUMEN TOTAL'!T453</f>
        <v>APAGADO</v>
      </c>
      <c r="H345" s="70">
        <f>'RESUMEN TOTAL'!U453</f>
        <v>0</v>
      </c>
      <c r="I345" s="70">
        <f>'RESUMEN TOTAL'!V453</f>
        <v>0</v>
      </c>
      <c r="J345" s="70">
        <f>'RESUMEN TOTAL'!W453</f>
        <v>0</v>
      </c>
      <c r="K345" s="70">
        <f>'RESUMEN TOTAL'!X453</f>
        <v>0</v>
      </c>
      <c r="L345" s="70">
        <f>'RESUMEN TOTAL'!Y453</f>
        <v>0</v>
      </c>
      <c r="M345" s="70">
        <f>'RESUMEN TOTAL'!Z453</f>
        <v>0</v>
      </c>
      <c r="N345" s="70">
        <f>'RESUMEN TOTAL'!AA453</f>
        <v>0</v>
      </c>
      <c r="O345" s="70">
        <f>'RESUMEN TOTAL'!AB453</f>
        <v>0</v>
      </c>
      <c r="P345" s="70">
        <f>'RESUMEN TOTAL'!AC453</f>
        <v>0</v>
      </c>
      <c r="Q345" s="70">
        <f>'RESUMEN TOTAL'!AD453</f>
        <v>0</v>
      </c>
      <c r="R345" s="70">
        <f>'RESUMEN TOTAL'!AE453</f>
        <v>0</v>
      </c>
      <c r="S345" s="70">
        <f>'RESUMEN TOTAL'!AF453</f>
        <v>0</v>
      </c>
      <c r="T345" s="70">
        <f>'RESUMEN TOTAL'!AG453</f>
        <v>0</v>
      </c>
      <c r="U345" s="70">
        <f>'RESUMEN TOTAL'!AH453</f>
        <v>0</v>
      </c>
      <c r="V345" s="70">
        <f>'RESUMEN TOTAL'!AI453</f>
        <v>0</v>
      </c>
      <c r="W345" s="70">
        <f>'RESUMEN TOTAL'!AJ453</f>
        <v>0</v>
      </c>
      <c r="X345" s="70">
        <f>'RESUMEN TOTAL'!AK453</f>
        <v>0</v>
      </c>
      <c r="Y345" s="70">
        <f>'RESUMEN TOTAL'!AL453</f>
        <v>0</v>
      </c>
      <c r="Z345" s="70">
        <f>'RESUMEN TOTAL'!AM453</f>
        <v>0</v>
      </c>
      <c r="AA345" s="70">
        <f>'RESUMEN TOTAL'!AN453</f>
        <v>0</v>
      </c>
      <c r="AB345" s="70">
        <f>'RESUMEN TOTAL'!AO453</f>
        <v>0</v>
      </c>
      <c r="AC345" s="70">
        <f>'RESUMEN TOTAL'!AP453</f>
        <v>0</v>
      </c>
      <c r="AD345" s="70">
        <f>'RESUMEN TOTAL'!AQ453</f>
        <v>0</v>
      </c>
      <c r="AE345" s="70">
        <f>'RESUMEN TOTAL'!AR453</f>
        <v>0</v>
      </c>
      <c r="AF345" s="70">
        <f>'RESUMEN TOTAL'!AS453</f>
        <v>0</v>
      </c>
      <c r="AG345" s="70">
        <f>'RESUMEN TOTAL'!AT453</f>
        <v>0</v>
      </c>
      <c r="AH345" s="70">
        <f>'RESUMEN TOTAL'!AU453</f>
        <v>0</v>
      </c>
      <c r="AI345" s="70">
        <f>'RESUMEN TOTAL'!AV453</f>
        <v>0</v>
      </c>
      <c r="AJ345" s="70" t="e">
        <f>'RESUMEN TOTAL'!#REF!</f>
        <v>#REF!</v>
      </c>
    </row>
    <row r="346" spans="1:36" x14ac:dyDescent="0.25">
      <c r="A346" t="str">
        <f>'RESUMEN TOTAL'!F454</f>
        <v>SANTA ROSA</v>
      </c>
      <c r="B346" t="str">
        <f>'RESUMEN TOTAL'!G454</f>
        <v>SRO 19 (fija 2)</v>
      </c>
      <c r="C346" t="str">
        <f>'RESUMEN TOTAL'!I454</f>
        <v>GRAN CANARIA Y BUDAPEST</v>
      </c>
      <c r="D346" s="30" t="str">
        <f>'RESUMEN TOTAL'!J454</f>
        <v>Fija</v>
      </c>
      <c r="E346" s="30" t="str">
        <f>'RESUMEN TOTAL'!K454</f>
        <v>FO A GPON</v>
      </c>
      <c r="F346" s="70" t="str">
        <f>'RESUMEN TOTAL'!S454</f>
        <v>APAGADO</v>
      </c>
      <c r="G346" s="70" t="str">
        <f>'RESUMEN TOTAL'!T454</f>
        <v>APAGADO</v>
      </c>
      <c r="H346" s="70">
        <f>'RESUMEN TOTAL'!U454</f>
        <v>0</v>
      </c>
      <c r="I346" s="70">
        <f>'RESUMEN TOTAL'!V454</f>
        <v>0</v>
      </c>
      <c r="J346" s="70">
        <f>'RESUMEN TOTAL'!W454</f>
        <v>0</v>
      </c>
      <c r="K346" s="70">
        <f>'RESUMEN TOTAL'!X454</f>
        <v>0</v>
      </c>
      <c r="L346" s="70">
        <f>'RESUMEN TOTAL'!Y454</f>
        <v>0</v>
      </c>
      <c r="M346" s="70">
        <f>'RESUMEN TOTAL'!Z454</f>
        <v>0</v>
      </c>
      <c r="N346" s="70">
        <f>'RESUMEN TOTAL'!AA454</f>
        <v>0</v>
      </c>
      <c r="O346" s="70">
        <f>'RESUMEN TOTAL'!AB454</f>
        <v>0</v>
      </c>
      <c r="P346" s="70">
        <f>'RESUMEN TOTAL'!AC454</f>
        <v>0</v>
      </c>
      <c r="Q346" s="70">
        <f>'RESUMEN TOTAL'!AD454</f>
        <v>0</v>
      </c>
      <c r="R346" s="70">
        <f>'RESUMEN TOTAL'!AE454</f>
        <v>0</v>
      </c>
      <c r="S346" s="70">
        <f>'RESUMEN TOTAL'!AF454</f>
        <v>0</v>
      </c>
      <c r="T346" s="70">
        <f>'RESUMEN TOTAL'!AG454</f>
        <v>0</v>
      </c>
      <c r="U346" s="70">
        <f>'RESUMEN TOTAL'!AH454</f>
        <v>0</v>
      </c>
      <c r="V346" s="70">
        <f>'RESUMEN TOTAL'!AI454</f>
        <v>0</v>
      </c>
      <c r="W346" s="70">
        <f>'RESUMEN TOTAL'!AJ454</f>
        <v>0</v>
      </c>
      <c r="X346" s="70">
        <f>'RESUMEN TOTAL'!AK454</f>
        <v>0</v>
      </c>
      <c r="Y346" s="70">
        <f>'RESUMEN TOTAL'!AL454</f>
        <v>0</v>
      </c>
      <c r="Z346" s="70">
        <f>'RESUMEN TOTAL'!AM454</f>
        <v>0</v>
      </c>
      <c r="AA346" s="70">
        <f>'RESUMEN TOTAL'!AN454</f>
        <v>0</v>
      </c>
      <c r="AB346" s="70">
        <f>'RESUMEN TOTAL'!AO454</f>
        <v>0</v>
      </c>
      <c r="AC346" s="70">
        <f>'RESUMEN TOTAL'!AP454</f>
        <v>0</v>
      </c>
      <c r="AD346" s="70">
        <f>'RESUMEN TOTAL'!AQ454</f>
        <v>0</v>
      </c>
      <c r="AE346" s="70">
        <f>'RESUMEN TOTAL'!AR454</f>
        <v>0</v>
      </c>
      <c r="AF346" s="70">
        <f>'RESUMEN TOTAL'!AS454</f>
        <v>0</v>
      </c>
      <c r="AG346" s="70">
        <f>'RESUMEN TOTAL'!AT454</f>
        <v>0</v>
      </c>
      <c r="AH346" s="70">
        <f>'RESUMEN TOTAL'!AU454</f>
        <v>0</v>
      </c>
      <c r="AI346" s="70">
        <f>'RESUMEN TOTAL'!AV454</f>
        <v>0</v>
      </c>
      <c r="AJ346" s="70" t="e">
        <f>'RESUMEN TOTAL'!#REF!</f>
        <v>#REF!</v>
      </c>
    </row>
    <row r="347" spans="1:36" x14ac:dyDescent="0.25">
      <c r="A347" t="str">
        <f>'RESUMEN TOTAL'!F455</f>
        <v>SANTA ROSA</v>
      </c>
      <c r="B347" t="str">
        <f>'RESUMEN TOTAL'!G455</f>
        <v>SRO01</v>
      </c>
      <c r="C347" t="str">
        <f>'RESUMEN TOTAL'!I455</f>
        <v>Yugoslavia y Milan</v>
      </c>
      <c r="D347" s="30" t="str">
        <f>'RESUMEN TOTAL'!J455</f>
        <v>Domo</v>
      </c>
      <c r="E347" s="30" t="str">
        <f>'RESUMEN TOTAL'!K455</f>
        <v>PTO A FO</v>
      </c>
      <c r="F347" s="70">
        <f>'RESUMEN TOTAL'!S455</f>
        <v>0</v>
      </c>
      <c r="G347" s="70">
        <f>'RESUMEN TOTAL'!T455</f>
        <v>0</v>
      </c>
      <c r="H347" s="70">
        <f>'RESUMEN TOTAL'!U455</f>
        <v>0</v>
      </c>
      <c r="I347" s="70">
        <f>'RESUMEN TOTAL'!V455</f>
        <v>0</v>
      </c>
      <c r="J347" s="70">
        <f>'RESUMEN TOTAL'!W455</f>
        <v>0</v>
      </c>
      <c r="K347" s="70">
        <f>'RESUMEN TOTAL'!X455</f>
        <v>0</v>
      </c>
      <c r="L347" s="70">
        <f>'RESUMEN TOTAL'!Y455</f>
        <v>0</v>
      </c>
      <c r="M347" s="70">
        <f>'RESUMEN TOTAL'!Z455</f>
        <v>0</v>
      </c>
      <c r="N347" s="70">
        <f>'RESUMEN TOTAL'!AA455</f>
        <v>0</v>
      </c>
      <c r="O347" s="70">
        <f>'RESUMEN TOTAL'!AB455</f>
        <v>0</v>
      </c>
      <c r="P347" s="70">
        <f>'RESUMEN TOTAL'!AC455</f>
        <v>0</v>
      </c>
      <c r="Q347" s="70">
        <f>'RESUMEN TOTAL'!AD455</f>
        <v>0</v>
      </c>
      <c r="R347" s="70">
        <f>'RESUMEN TOTAL'!AE455</f>
        <v>0</v>
      </c>
      <c r="S347" s="70">
        <f>'RESUMEN TOTAL'!AF455</f>
        <v>0</v>
      </c>
      <c r="T347" s="70">
        <f>'RESUMEN TOTAL'!AG455</f>
        <v>0</v>
      </c>
      <c r="U347" s="70">
        <f>'RESUMEN TOTAL'!AH455</f>
        <v>0</v>
      </c>
      <c r="V347" s="70">
        <f>'RESUMEN TOTAL'!AI455</f>
        <v>0</v>
      </c>
      <c r="W347" s="70">
        <f>'RESUMEN TOTAL'!AJ455</f>
        <v>0</v>
      </c>
      <c r="X347" s="70">
        <f>'RESUMEN TOTAL'!AK455</f>
        <v>0</v>
      </c>
      <c r="Y347" s="70">
        <f>'RESUMEN TOTAL'!AL455</f>
        <v>0</v>
      </c>
      <c r="Z347" s="70">
        <f>'RESUMEN TOTAL'!AM455</f>
        <v>0</v>
      </c>
      <c r="AA347" s="70">
        <f>'RESUMEN TOTAL'!AN455</f>
        <v>0</v>
      </c>
      <c r="AB347" s="70">
        <f>'RESUMEN TOTAL'!AO455</f>
        <v>0</v>
      </c>
      <c r="AC347" s="70">
        <f>'RESUMEN TOTAL'!AP455</f>
        <v>0</v>
      </c>
      <c r="AD347" s="70">
        <f>'RESUMEN TOTAL'!AQ455</f>
        <v>0</v>
      </c>
      <c r="AE347" s="70">
        <f>'RESUMEN TOTAL'!AR455</f>
        <v>0</v>
      </c>
      <c r="AF347" s="70">
        <f>'RESUMEN TOTAL'!AS455</f>
        <v>0</v>
      </c>
      <c r="AG347" s="70">
        <f>'RESUMEN TOTAL'!AT455</f>
        <v>0</v>
      </c>
      <c r="AH347" s="70">
        <f>'RESUMEN TOTAL'!AU455</f>
        <v>0</v>
      </c>
      <c r="AI347" s="70">
        <f>'RESUMEN TOTAL'!AV455</f>
        <v>0</v>
      </c>
      <c r="AJ347" s="70" t="e">
        <f>'RESUMEN TOTAL'!#REF!</f>
        <v>#REF!</v>
      </c>
    </row>
    <row r="348" spans="1:36" x14ac:dyDescent="0.25">
      <c r="A348" t="str">
        <f>'RESUMEN TOTAL'!F456</f>
        <v>ZONA RURAL SANTA ROSA</v>
      </c>
      <c r="B348" t="str">
        <f>'RESUMEN TOTAL'!G456</f>
        <v>SRO02</v>
      </c>
      <c r="C348" t="str">
        <f>'RESUMEN TOTAL'!I456</f>
        <v>Bruselas y Calle 647</v>
      </c>
      <c r="D348" s="30" t="str">
        <f>'RESUMEN TOTAL'!J456</f>
        <v>Domo</v>
      </c>
      <c r="E348" s="30" t="str">
        <f>'RESUMEN TOTAL'!K456</f>
        <v>PTO A GPON</v>
      </c>
      <c r="F348" s="70">
        <f>'RESUMEN TOTAL'!S456</f>
        <v>0</v>
      </c>
      <c r="G348" s="70">
        <f>'RESUMEN TOTAL'!T456</f>
        <v>0</v>
      </c>
      <c r="H348" s="70">
        <f>'RESUMEN TOTAL'!U456</f>
        <v>0</v>
      </c>
      <c r="I348" s="70">
        <f>'RESUMEN TOTAL'!V456</f>
        <v>0</v>
      </c>
      <c r="J348" s="70">
        <f>'RESUMEN TOTAL'!W456</f>
        <v>0</v>
      </c>
      <c r="K348" s="70">
        <f>'RESUMEN TOTAL'!X456</f>
        <v>0</v>
      </c>
      <c r="L348" s="70">
        <f>'RESUMEN TOTAL'!Y456</f>
        <v>0</v>
      </c>
      <c r="M348" s="70">
        <f>'RESUMEN TOTAL'!Z456</f>
        <v>0</v>
      </c>
      <c r="N348" s="70">
        <f>'RESUMEN TOTAL'!AA456</f>
        <v>0</v>
      </c>
      <c r="O348" s="70">
        <f>'RESUMEN TOTAL'!AB456</f>
        <v>0</v>
      </c>
      <c r="P348" s="70">
        <f>'RESUMEN TOTAL'!AC456</f>
        <v>0</v>
      </c>
      <c r="Q348" s="70">
        <f>'RESUMEN TOTAL'!AD456</f>
        <v>0</v>
      </c>
      <c r="R348" s="70">
        <f>'RESUMEN TOTAL'!AE456</f>
        <v>0</v>
      </c>
      <c r="S348" s="70">
        <f>'RESUMEN TOTAL'!AF456</f>
        <v>0</v>
      </c>
      <c r="T348" s="70">
        <f>'RESUMEN TOTAL'!AG456</f>
        <v>0</v>
      </c>
      <c r="U348" s="70">
        <f>'RESUMEN TOTAL'!AH456</f>
        <v>0</v>
      </c>
      <c r="V348" s="70">
        <f>'RESUMEN TOTAL'!AI456</f>
        <v>0</v>
      </c>
      <c r="W348" s="70">
        <f>'RESUMEN TOTAL'!AJ456</f>
        <v>0</v>
      </c>
      <c r="X348" s="70">
        <f>'RESUMEN TOTAL'!AK456</f>
        <v>0</v>
      </c>
      <c r="Y348" s="70">
        <f>'RESUMEN TOTAL'!AL456</f>
        <v>0</v>
      </c>
      <c r="Z348" s="70">
        <f>'RESUMEN TOTAL'!AM456</f>
        <v>0</v>
      </c>
      <c r="AA348" s="70">
        <f>'RESUMEN TOTAL'!AN456</f>
        <v>0</v>
      </c>
      <c r="AB348" s="70">
        <f>'RESUMEN TOTAL'!AO456</f>
        <v>0</v>
      </c>
      <c r="AC348" s="70">
        <f>'RESUMEN TOTAL'!AP456</f>
        <v>0</v>
      </c>
      <c r="AD348" s="70">
        <f>'RESUMEN TOTAL'!AQ456</f>
        <v>0</v>
      </c>
      <c r="AE348" s="70">
        <f>'RESUMEN TOTAL'!AR456</f>
        <v>0</v>
      </c>
      <c r="AF348" s="70">
        <f>'RESUMEN TOTAL'!AS456</f>
        <v>0</v>
      </c>
      <c r="AG348" s="70">
        <f>'RESUMEN TOTAL'!AT456</f>
        <v>0</v>
      </c>
      <c r="AH348" s="70">
        <f>'RESUMEN TOTAL'!AU456</f>
        <v>0</v>
      </c>
      <c r="AI348" s="70">
        <f>'RESUMEN TOTAL'!AV456</f>
        <v>0</v>
      </c>
      <c r="AJ348" s="70" t="e">
        <f>'RESUMEN TOTAL'!#REF!</f>
        <v>#REF!</v>
      </c>
    </row>
    <row r="349" spans="1:36" x14ac:dyDescent="0.25">
      <c r="A349" t="str">
        <f>'RESUMEN TOTAL'!F457</f>
        <v>SANTA ROSA</v>
      </c>
      <c r="B349" t="str">
        <f>'RESUMEN TOTAL'!G457</f>
        <v>SRO03</v>
      </c>
      <c r="C349" t="str">
        <f>'RESUMEN TOTAL'!I457</f>
        <v>Eva Peron y Paysandu</v>
      </c>
      <c r="D349" s="30" t="str">
        <f>'RESUMEN TOTAL'!J457</f>
        <v>Domo</v>
      </c>
      <c r="E349" s="30" t="str">
        <f>'RESUMEN TOTAL'!K457</f>
        <v>GPON</v>
      </c>
      <c r="F349" s="70">
        <f>'RESUMEN TOTAL'!S457</f>
        <v>0</v>
      </c>
      <c r="G349" s="70">
        <f>'RESUMEN TOTAL'!T457</f>
        <v>0</v>
      </c>
      <c r="H349" s="70">
        <f>'RESUMEN TOTAL'!U457</f>
        <v>0</v>
      </c>
      <c r="I349" s="70">
        <f>'RESUMEN TOTAL'!V457</f>
        <v>0</v>
      </c>
      <c r="J349" s="70">
        <f>'RESUMEN TOTAL'!W457</f>
        <v>0</v>
      </c>
      <c r="K349" s="70">
        <f>'RESUMEN TOTAL'!X457</f>
        <v>0</v>
      </c>
      <c r="L349" s="70">
        <f>'RESUMEN TOTAL'!Y457</f>
        <v>0</v>
      </c>
      <c r="M349" s="70">
        <f>'RESUMEN TOTAL'!Z457</f>
        <v>0</v>
      </c>
      <c r="N349" s="70">
        <f>'RESUMEN TOTAL'!AA457</f>
        <v>0</v>
      </c>
      <c r="O349" s="70">
        <f>'RESUMEN TOTAL'!AB457</f>
        <v>0</v>
      </c>
      <c r="P349" s="70">
        <f>'RESUMEN TOTAL'!AC457</f>
        <v>0</v>
      </c>
      <c r="Q349" s="70">
        <f>'RESUMEN TOTAL'!AD457</f>
        <v>0</v>
      </c>
      <c r="R349" s="70">
        <f>'RESUMEN TOTAL'!AE457</f>
        <v>0</v>
      </c>
      <c r="S349" s="70">
        <f>'RESUMEN TOTAL'!AF457</f>
        <v>0</v>
      </c>
      <c r="T349" s="70">
        <f>'RESUMEN TOTAL'!AG457</f>
        <v>0</v>
      </c>
      <c r="U349" s="70">
        <f>'RESUMEN TOTAL'!AH457</f>
        <v>0</v>
      </c>
      <c r="V349" s="70">
        <f>'RESUMEN TOTAL'!AI457</f>
        <v>0</v>
      </c>
      <c r="W349" s="70">
        <f>'RESUMEN TOTAL'!AJ457</f>
        <v>0</v>
      </c>
      <c r="X349" s="70">
        <f>'RESUMEN TOTAL'!AK457</f>
        <v>0</v>
      </c>
      <c r="Y349" s="70">
        <f>'RESUMEN TOTAL'!AL457</f>
        <v>0</v>
      </c>
      <c r="Z349" s="70">
        <f>'RESUMEN TOTAL'!AM457</f>
        <v>0</v>
      </c>
      <c r="AA349" s="70">
        <f>'RESUMEN TOTAL'!AN457</f>
        <v>0</v>
      </c>
      <c r="AB349" s="70">
        <f>'RESUMEN TOTAL'!AO457</f>
        <v>0</v>
      </c>
      <c r="AC349" s="70">
        <f>'RESUMEN TOTAL'!AP457</f>
        <v>0</v>
      </c>
      <c r="AD349" s="70">
        <f>'RESUMEN TOTAL'!AQ457</f>
        <v>0</v>
      </c>
      <c r="AE349" s="70">
        <f>'RESUMEN TOTAL'!AR457</f>
        <v>0</v>
      </c>
      <c r="AF349" s="70">
        <f>'RESUMEN TOTAL'!AS457</f>
        <v>0</v>
      </c>
      <c r="AG349" s="70">
        <f>'RESUMEN TOTAL'!AT457</f>
        <v>0</v>
      </c>
      <c r="AH349" s="70">
        <f>'RESUMEN TOTAL'!AU457</f>
        <v>0</v>
      </c>
      <c r="AI349" s="70">
        <f>'RESUMEN TOTAL'!AV457</f>
        <v>0</v>
      </c>
      <c r="AJ349" s="70" t="e">
        <f>'RESUMEN TOTAL'!#REF!</f>
        <v>#REF!</v>
      </c>
    </row>
    <row r="350" spans="1:36" x14ac:dyDescent="0.25">
      <c r="A350" t="str">
        <f>'RESUMEN TOTAL'!F458</f>
        <v>SANTA ROSA</v>
      </c>
      <c r="B350" t="str">
        <f>'RESUMEN TOTAL'!G458</f>
        <v>SRO05</v>
      </c>
      <c r="C350" t="str">
        <f>'RESUMEN TOTAL'!I458</f>
        <v>CAFFERATA Y BONN</v>
      </c>
      <c r="D350" s="30" t="str">
        <f>'RESUMEN TOTAL'!J458</f>
        <v>DOMO</v>
      </c>
      <c r="E350" s="30" t="str">
        <f>'RESUMEN TOTAL'!K458</f>
        <v>Radio</v>
      </c>
      <c r="F350" s="70">
        <f>'RESUMEN TOTAL'!S458</f>
        <v>0</v>
      </c>
      <c r="G350" s="70">
        <f>'RESUMEN TOTAL'!T458</f>
        <v>0</v>
      </c>
      <c r="H350" s="70">
        <f>'RESUMEN TOTAL'!U458</f>
        <v>0</v>
      </c>
      <c r="I350" s="70">
        <f>'RESUMEN TOTAL'!V458</f>
        <v>0</v>
      </c>
      <c r="J350" s="70">
        <f>'RESUMEN TOTAL'!W458</f>
        <v>0</v>
      </c>
      <c r="K350" s="70">
        <f>'RESUMEN TOTAL'!X458</f>
        <v>0</v>
      </c>
      <c r="L350" s="70">
        <f>'RESUMEN TOTAL'!Y458</f>
        <v>0</v>
      </c>
      <c r="M350" s="70">
        <f>'RESUMEN TOTAL'!Z458</f>
        <v>0</v>
      </c>
      <c r="N350" s="70">
        <f>'RESUMEN TOTAL'!AA458</f>
        <v>0</v>
      </c>
      <c r="O350" s="70">
        <f>'RESUMEN TOTAL'!AB458</f>
        <v>0</v>
      </c>
      <c r="P350" s="70">
        <f>'RESUMEN TOTAL'!AC458</f>
        <v>0</v>
      </c>
      <c r="Q350" s="70">
        <f>'RESUMEN TOTAL'!AD458</f>
        <v>0</v>
      </c>
      <c r="R350" s="70">
        <f>'RESUMEN TOTAL'!AE458</f>
        <v>0</v>
      </c>
      <c r="S350" s="70">
        <f>'RESUMEN TOTAL'!AF458</f>
        <v>0</v>
      </c>
      <c r="T350" s="70">
        <f>'RESUMEN TOTAL'!AG458</f>
        <v>0</v>
      </c>
      <c r="U350" s="70">
        <f>'RESUMEN TOTAL'!AH458</f>
        <v>0</v>
      </c>
      <c r="V350" s="70">
        <f>'RESUMEN TOTAL'!AI458</f>
        <v>0</v>
      </c>
      <c r="W350" s="70">
        <f>'RESUMEN TOTAL'!AJ458</f>
        <v>0</v>
      </c>
      <c r="X350" s="70">
        <f>'RESUMEN TOTAL'!AK458</f>
        <v>0</v>
      </c>
      <c r="Y350" s="70">
        <f>'RESUMEN TOTAL'!AL458</f>
        <v>0</v>
      </c>
      <c r="Z350" s="70">
        <f>'RESUMEN TOTAL'!AM458</f>
        <v>0</v>
      </c>
      <c r="AA350" s="70">
        <f>'RESUMEN TOTAL'!AN458</f>
        <v>0</v>
      </c>
      <c r="AB350" s="70">
        <f>'RESUMEN TOTAL'!AO458</f>
        <v>0</v>
      </c>
      <c r="AC350" s="70">
        <f>'RESUMEN TOTAL'!AP458</f>
        <v>0</v>
      </c>
      <c r="AD350" s="70">
        <f>'RESUMEN TOTAL'!AQ458</f>
        <v>0</v>
      </c>
      <c r="AE350" s="70">
        <f>'RESUMEN TOTAL'!AR458</f>
        <v>0</v>
      </c>
      <c r="AF350" s="70">
        <f>'RESUMEN TOTAL'!AS458</f>
        <v>0</v>
      </c>
      <c r="AG350" s="70">
        <f>'RESUMEN TOTAL'!AT458</f>
        <v>0</v>
      </c>
      <c r="AH350" s="70">
        <f>'RESUMEN TOTAL'!AU458</f>
        <v>0</v>
      </c>
      <c r="AI350" s="70">
        <f>'RESUMEN TOTAL'!AV458</f>
        <v>0</v>
      </c>
      <c r="AJ350" s="70" t="e">
        <f>'RESUMEN TOTAL'!#REF!</f>
        <v>#REF!</v>
      </c>
    </row>
    <row r="351" spans="1:36" x14ac:dyDescent="0.25">
      <c r="A351" t="str">
        <f>'RESUMEN TOTAL'!F459</f>
        <v>SANTA ROSA</v>
      </c>
      <c r="B351" t="str">
        <f>'RESUMEN TOTAL'!G459</f>
        <v>SRO06</v>
      </c>
      <c r="C351" t="str">
        <f>'RESUMEN TOTAL'!I459</f>
        <v>Novak y Bonn</v>
      </c>
      <c r="D351" s="30" t="str">
        <f>'RESUMEN TOTAL'!J459</f>
        <v>Domo</v>
      </c>
      <c r="E351" s="30" t="str">
        <f>'RESUMEN TOTAL'!K459</f>
        <v>GPON</v>
      </c>
      <c r="F351" s="70">
        <f>'RESUMEN TOTAL'!S459</f>
        <v>0</v>
      </c>
      <c r="G351" s="70">
        <f>'RESUMEN TOTAL'!T459</f>
        <v>0</v>
      </c>
      <c r="H351" s="70">
        <f>'RESUMEN TOTAL'!U459</f>
        <v>0</v>
      </c>
      <c r="I351" s="70">
        <f>'RESUMEN TOTAL'!V459</f>
        <v>0</v>
      </c>
      <c r="J351" s="70">
        <f>'RESUMEN TOTAL'!W459</f>
        <v>0</v>
      </c>
      <c r="K351" s="70">
        <f>'RESUMEN TOTAL'!X459</f>
        <v>0</v>
      </c>
      <c r="L351" s="70">
        <f>'RESUMEN TOTAL'!Y459</f>
        <v>0</v>
      </c>
      <c r="M351" s="70">
        <f>'RESUMEN TOTAL'!Z459</f>
        <v>0</v>
      </c>
      <c r="N351" s="70">
        <f>'RESUMEN TOTAL'!AA459</f>
        <v>0</v>
      </c>
      <c r="O351" s="70">
        <f>'RESUMEN TOTAL'!AB459</f>
        <v>0</v>
      </c>
      <c r="P351" s="70">
        <f>'RESUMEN TOTAL'!AC459</f>
        <v>0</v>
      </c>
      <c r="Q351" s="70">
        <f>'RESUMEN TOTAL'!AD459</f>
        <v>0</v>
      </c>
      <c r="R351" s="70">
        <f>'RESUMEN TOTAL'!AE459</f>
        <v>0</v>
      </c>
      <c r="S351" s="70">
        <f>'RESUMEN TOTAL'!AF459</f>
        <v>0</v>
      </c>
      <c r="T351" s="70">
        <f>'RESUMEN TOTAL'!AG459</f>
        <v>0</v>
      </c>
      <c r="U351" s="70">
        <f>'RESUMEN TOTAL'!AH459</f>
        <v>0</v>
      </c>
      <c r="V351" s="70">
        <f>'RESUMEN TOTAL'!AI459</f>
        <v>0</v>
      </c>
      <c r="W351" s="70">
        <f>'RESUMEN TOTAL'!AJ459</f>
        <v>0</v>
      </c>
      <c r="X351" s="70">
        <f>'RESUMEN TOTAL'!AK459</f>
        <v>0</v>
      </c>
      <c r="Y351" s="70">
        <f>'RESUMEN TOTAL'!AL459</f>
        <v>0</v>
      </c>
      <c r="Z351" s="70">
        <f>'RESUMEN TOTAL'!AM459</f>
        <v>0</v>
      </c>
      <c r="AA351" s="70">
        <f>'RESUMEN TOTAL'!AN459</f>
        <v>0</v>
      </c>
      <c r="AB351" s="70">
        <f>'RESUMEN TOTAL'!AO459</f>
        <v>0</v>
      </c>
      <c r="AC351" s="70">
        <f>'RESUMEN TOTAL'!AP459</f>
        <v>0</v>
      </c>
      <c r="AD351" s="70">
        <f>'RESUMEN TOTAL'!AQ459</f>
        <v>0</v>
      </c>
      <c r="AE351" s="70">
        <f>'RESUMEN TOTAL'!AR459</f>
        <v>0</v>
      </c>
      <c r="AF351" s="70">
        <f>'RESUMEN TOTAL'!AS459</f>
        <v>0</v>
      </c>
      <c r="AG351" s="70">
        <f>'RESUMEN TOTAL'!AT459</f>
        <v>0</v>
      </c>
      <c r="AH351" s="70">
        <f>'RESUMEN TOTAL'!AU459</f>
        <v>0</v>
      </c>
      <c r="AI351" s="70">
        <f>'RESUMEN TOTAL'!AV459</f>
        <v>0</v>
      </c>
      <c r="AJ351" s="70" t="e">
        <f>'RESUMEN TOTAL'!#REF!</f>
        <v>#REF!</v>
      </c>
    </row>
    <row r="352" spans="1:36" x14ac:dyDescent="0.25">
      <c r="A352" t="str">
        <f>'RESUMEN TOTAL'!F460</f>
        <v>SANTA ROSA</v>
      </c>
      <c r="B352" t="str">
        <f>'RESUMEN TOTAL'!G460</f>
        <v>SRO07</v>
      </c>
      <c r="C352" t="str">
        <f>'RESUMEN TOTAL'!I460</f>
        <v>NOVAK Y BELGICA</v>
      </c>
      <c r="D352" s="30" t="str">
        <f>'RESUMEN TOTAL'!J460</f>
        <v>Domo</v>
      </c>
      <c r="E352" s="30" t="str">
        <f>'RESUMEN TOTAL'!K460</f>
        <v>GPON</v>
      </c>
      <c r="F352" s="70">
        <f>'RESUMEN TOTAL'!S460</f>
        <v>0</v>
      </c>
      <c r="G352" s="70">
        <f>'RESUMEN TOTAL'!T460</f>
        <v>0</v>
      </c>
      <c r="H352" s="70">
        <f>'RESUMEN TOTAL'!U460</f>
        <v>0</v>
      </c>
      <c r="I352" s="70">
        <f>'RESUMEN TOTAL'!V460</f>
        <v>0</v>
      </c>
      <c r="J352" s="70">
        <f>'RESUMEN TOTAL'!W460</f>
        <v>0</v>
      </c>
      <c r="K352" s="70">
        <f>'RESUMEN TOTAL'!X460</f>
        <v>0</v>
      </c>
      <c r="L352" s="70">
        <f>'RESUMEN TOTAL'!Y460</f>
        <v>0</v>
      </c>
      <c r="M352" s="70">
        <f>'RESUMEN TOTAL'!Z460</f>
        <v>0</v>
      </c>
      <c r="N352" s="70">
        <f>'RESUMEN TOTAL'!AA460</f>
        <v>0</v>
      </c>
      <c r="O352" s="70">
        <f>'RESUMEN TOTAL'!AB460</f>
        <v>0</v>
      </c>
      <c r="P352" s="70">
        <f>'RESUMEN TOTAL'!AC460</f>
        <v>0</v>
      </c>
      <c r="Q352" s="70">
        <f>'RESUMEN TOTAL'!AD460</f>
        <v>0</v>
      </c>
      <c r="R352" s="70">
        <f>'RESUMEN TOTAL'!AE460</f>
        <v>0</v>
      </c>
      <c r="S352" s="70">
        <f>'RESUMEN TOTAL'!AF460</f>
        <v>0</v>
      </c>
      <c r="T352" s="70">
        <f>'RESUMEN TOTAL'!AG460</f>
        <v>0</v>
      </c>
      <c r="U352" s="70">
        <f>'RESUMEN TOTAL'!AH460</f>
        <v>0</v>
      </c>
      <c r="V352" s="70">
        <f>'RESUMEN TOTAL'!AI460</f>
        <v>0</v>
      </c>
      <c r="W352" s="70">
        <f>'RESUMEN TOTAL'!AJ460</f>
        <v>0</v>
      </c>
      <c r="X352" s="70">
        <f>'RESUMEN TOTAL'!AK460</f>
        <v>0</v>
      </c>
      <c r="Y352" s="70">
        <f>'RESUMEN TOTAL'!AL460</f>
        <v>0</v>
      </c>
      <c r="Z352" s="70">
        <f>'RESUMEN TOTAL'!AM460</f>
        <v>0</v>
      </c>
      <c r="AA352" s="70">
        <f>'RESUMEN TOTAL'!AN460</f>
        <v>0</v>
      </c>
      <c r="AB352" s="70">
        <f>'RESUMEN TOTAL'!AO460</f>
        <v>0</v>
      </c>
      <c r="AC352" s="70">
        <f>'RESUMEN TOTAL'!AP460</f>
        <v>0</v>
      </c>
      <c r="AD352" s="70">
        <f>'RESUMEN TOTAL'!AQ460</f>
        <v>0</v>
      </c>
      <c r="AE352" s="70">
        <f>'RESUMEN TOTAL'!AR460</f>
        <v>0</v>
      </c>
      <c r="AF352" s="70">
        <f>'RESUMEN TOTAL'!AS460</f>
        <v>0</v>
      </c>
      <c r="AG352" s="70">
        <f>'RESUMEN TOTAL'!AT460</f>
        <v>0</v>
      </c>
      <c r="AH352" s="70">
        <f>'RESUMEN TOTAL'!AU460</f>
        <v>0</v>
      </c>
      <c r="AI352" s="70">
        <f>'RESUMEN TOTAL'!AV460</f>
        <v>0</v>
      </c>
      <c r="AJ352" s="70" t="e">
        <f>'RESUMEN TOTAL'!#REF!</f>
        <v>#REF!</v>
      </c>
    </row>
    <row r="353" spans="1:36" x14ac:dyDescent="0.25">
      <c r="A353" t="str">
        <f>'RESUMEN TOTAL'!F461</f>
        <v>SANTA ROSA</v>
      </c>
      <c r="B353" t="str">
        <f>'RESUMEN TOTAL'!G461</f>
        <v>SRO09</v>
      </c>
      <c r="C353" t="str">
        <f>'RESUMEN TOTAL'!I461</f>
        <v>BUCAREST E/ ALEMANIA Y CAFFERATA</v>
      </c>
      <c r="D353" s="30" t="str">
        <f>'RESUMEN TOTAL'!J461</f>
        <v>DOMO</v>
      </c>
      <c r="E353" s="30" t="str">
        <f>'RESUMEN TOTAL'!K461</f>
        <v>Radio</v>
      </c>
      <c r="F353" s="70">
        <f>'RESUMEN TOTAL'!S461</f>
        <v>0</v>
      </c>
      <c r="G353" s="70">
        <f>'RESUMEN TOTAL'!T461</f>
        <v>0</v>
      </c>
      <c r="H353" s="70">
        <f>'RESUMEN TOTAL'!U461</f>
        <v>0</v>
      </c>
      <c r="I353" s="70">
        <f>'RESUMEN TOTAL'!V461</f>
        <v>0</v>
      </c>
      <c r="J353" s="70">
        <f>'RESUMEN TOTAL'!W461</f>
        <v>0</v>
      </c>
      <c r="K353" s="70">
        <f>'RESUMEN TOTAL'!X461</f>
        <v>0</v>
      </c>
      <c r="L353" s="70">
        <f>'RESUMEN TOTAL'!Y461</f>
        <v>0</v>
      </c>
      <c r="M353" s="70">
        <f>'RESUMEN TOTAL'!Z461</f>
        <v>0</v>
      </c>
      <c r="N353" s="70">
        <f>'RESUMEN TOTAL'!AA461</f>
        <v>0</v>
      </c>
      <c r="O353" s="70">
        <f>'RESUMEN TOTAL'!AB461</f>
        <v>0</v>
      </c>
      <c r="P353" s="70">
        <f>'RESUMEN TOTAL'!AC461</f>
        <v>0</v>
      </c>
      <c r="Q353" s="70">
        <f>'RESUMEN TOTAL'!AD461</f>
        <v>0</v>
      </c>
      <c r="R353" s="70">
        <f>'RESUMEN TOTAL'!AE461</f>
        <v>0</v>
      </c>
      <c r="S353" s="70">
        <f>'RESUMEN TOTAL'!AF461</f>
        <v>0</v>
      </c>
      <c r="T353" s="70">
        <f>'RESUMEN TOTAL'!AG461</f>
        <v>0</v>
      </c>
      <c r="U353" s="70">
        <f>'RESUMEN TOTAL'!AH461</f>
        <v>0</v>
      </c>
      <c r="V353" s="70">
        <f>'RESUMEN TOTAL'!AI461</f>
        <v>0</v>
      </c>
      <c r="W353" s="70">
        <f>'RESUMEN TOTAL'!AJ461</f>
        <v>0</v>
      </c>
      <c r="X353" s="70">
        <f>'RESUMEN TOTAL'!AK461</f>
        <v>0</v>
      </c>
      <c r="Y353" s="70">
        <f>'RESUMEN TOTAL'!AL461</f>
        <v>0</v>
      </c>
      <c r="Z353" s="70">
        <f>'RESUMEN TOTAL'!AM461</f>
        <v>0</v>
      </c>
      <c r="AA353" s="70">
        <f>'RESUMEN TOTAL'!AN461</f>
        <v>0</v>
      </c>
      <c r="AB353" s="70">
        <f>'RESUMEN TOTAL'!AO461</f>
        <v>0</v>
      </c>
      <c r="AC353" s="70">
        <f>'RESUMEN TOTAL'!AP461</f>
        <v>0</v>
      </c>
      <c r="AD353" s="70">
        <f>'RESUMEN TOTAL'!AQ461</f>
        <v>0</v>
      </c>
      <c r="AE353" s="70">
        <f>'RESUMEN TOTAL'!AR461</f>
        <v>0</v>
      </c>
      <c r="AF353" s="70">
        <f>'RESUMEN TOTAL'!AS461</f>
        <v>0</v>
      </c>
      <c r="AG353" s="70">
        <f>'RESUMEN TOTAL'!AT461</f>
        <v>0</v>
      </c>
      <c r="AH353" s="70">
        <f>'RESUMEN TOTAL'!AU461</f>
        <v>0</v>
      </c>
      <c r="AI353" s="70">
        <f>'RESUMEN TOTAL'!AV461</f>
        <v>0</v>
      </c>
      <c r="AJ353" s="70" t="e">
        <f>'RESUMEN TOTAL'!#REF!</f>
        <v>#REF!</v>
      </c>
    </row>
    <row r="354" spans="1:36" x14ac:dyDescent="0.25">
      <c r="A354" t="str">
        <f>'RESUMEN TOTAL'!F462</f>
        <v>SANTA ROSA</v>
      </c>
      <c r="B354" t="str">
        <f>'RESUMEN TOTAL'!G462</f>
        <v>SRO10</v>
      </c>
      <c r="C354" t="str">
        <f>'RESUMEN TOTAL'!I462</f>
        <v>DINAMARCA Y MILAN</v>
      </c>
      <c r="D354" s="30" t="str">
        <f>'RESUMEN TOTAL'!J462</f>
        <v>DOMO</v>
      </c>
      <c r="E354" s="30" t="str">
        <f>'RESUMEN TOTAL'!K462</f>
        <v>GPON</v>
      </c>
      <c r="F354" s="70" t="str">
        <f>'RESUMEN TOTAL'!S462</f>
        <v>APAGADO</v>
      </c>
      <c r="G354" s="70" t="str">
        <f>'RESUMEN TOTAL'!T462</f>
        <v>APAGADO</v>
      </c>
      <c r="H354" s="70" t="str">
        <f>'RESUMEN TOTAL'!U462</f>
        <v>APAGADO</v>
      </c>
      <c r="I354" s="70">
        <f>'RESUMEN TOTAL'!V462</f>
        <v>0</v>
      </c>
      <c r="J354" s="70">
        <f>'RESUMEN TOTAL'!W462</f>
        <v>0</v>
      </c>
      <c r="K354" s="70" t="str">
        <f>'RESUMEN TOTAL'!X462</f>
        <v>APAGADO</v>
      </c>
      <c r="L354" s="70">
        <f>'RESUMEN TOTAL'!Y462</f>
        <v>0</v>
      </c>
      <c r="M354" s="70">
        <f>'RESUMEN TOTAL'!Z462</f>
        <v>0</v>
      </c>
      <c r="N354" s="70">
        <f>'RESUMEN TOTAL'!AA462</f>
        <v>0</v>
      </c>
      <c r="O354" s="70">
        <f>'RESUMEN TOTAL'!AB462</f>
        <v>0</v>
      </c>
      <c r="P354" s="70">
        <f>'RESUMEN TOTAL'!AC462</f>
        <v>0</v>
      </c>
      <c r="Q354" s="70">
        <f>'RESUMEN TOTAL'!AD462</f>
        <v>0</v>
      </c>
      <c r="R354" s="70">
        <f>'RESUMEN TOTAL'!AE462</f>
        <v>0</v>
      </c>
      <c r="S354" s="70">
        <f>'RESUMEN TOTAL'!AF462</f>
        <v>0</v>
      </c>
      <c r="T354" s="70">
        <f>'RESUMEN TOTAL'!AG462</f>
        <v>0</v>
      </c>
      <c r="U354" s="70">
        <f>'RESUMEN TOTAL'!AH462</f>
        <v>0</v>
      </c>
      <c r="V354" s="70">
        <f>'RESUMEN TOTAL'!AI462</f>
        <v>0</v>
      </c>
      <c r="W354" s="70">
        <f>'RESUMEN TOTAL'!AJ462</f>
        <v>0</v>
      </c>
      <c r="X354" s="70">
        <f>'RESUMEN TOTAL'!AK462</f>
        <v>0</v>
      </c>
      <c r="Y354" s="70">
        <f>'RESUMEN TOTAL'!AL462</f>
        <v>0</v>
      </c>
      <c r="Z354" s="70">
        <f>'RESUMEN TOTAL'!AM462</f>
        <v>0</v>
      </c>
      <c r="AA354" s="70">
        <f>'RESUMEN TOTAL'!AN462</f>
        <v>0</v>
      </c>
      <c r="AB354" s="70">
        <f>'RESUMEN TOTAL'!AO462</f>
        <v>0</v>
      </c>
      <c r="AC354" s="70">
        <f>'RESUMEN TOTAL'!AP462</f>
        <v>0</v>
      </c>
      <c r="AD354" s="70">
        <f>'RESUMEN TOTAL'!AQ462</f>
        <v>0</v>
      </c>
      <c r="AE354" s="70">
        <f>'RESUMEN TOTAL'!AR462</f>
        <v>0</v>
      </c>
      <c r="AF354" s="70">
        <f>'RESUMEN TOTAL'!AS462</f>
        <v>0</v>
      </c>
      <c r="AG354" s="70">
        <f>'RESUMEN TOTAL'!AT462</f>
        <v>0</v>
      </c>
      <c r="AH354" s="70">
        <f>'RESUMEN TOTAL'!AU462</f>
        <v>0</v>
      </c>
      <c r="AI354" s="70">
        <f>'RESUMEN TOTAL'!AV462</f>
        <v>0</v>
      </c>
      <c r="AJ354" s="70" t="e">
        <f>'RESUMEN TOTAL'!#REF!</f>
        <v>#REF!</v>
      </c>
    </row>
    <row r="355" spans="1:36" x14ac:dyDescent="0.25">
      <c r="A355" t="str">
        <f>'RESUMEN TOTAL'!F463</f>
        <v>SANTA ROSA</v>
      </c>
      <c r="B355" t="str">
        <f>'RESUMEN TOTAL'!G463</f>
        <v>SRO12</v>
      </c>
      <c r="C355" t="str">
        <f>'RESUMEN TOTAL'!I463</f>
        <v>YUGOSLAVIA Y PAYSANDU</v>
      </c>
      <c r="D355" s="30" t="str">
        <f>'RESUMEN TOTAL'!J463</f>
        <v>DOMO</v>
      </c>
      <c r="E355" s="30" t="str">
        <f>'RESUMEN TOTAL'!K463</f>
        <v>Radio</v>
      </c>
      <c r="F355" s="70">
        <f>'RESUMEN TOTAL'!S463</f>
        <v>0</v>
      </c>
      <c r="G355" s="70">
        <f>'RESUMEN TOTAL'!T463</f>
        <v>0</v>
      </c>
      <c r="H355" s="70">
        <f>'RESUMEN TOTAL'!U463</f>
        <v>0</v>
      </c>
      <c r="I355" s="70">
        <f>'RESUMEN TOTAL'!V463</f>
        <v>0</v>
      </c>
      <c r="J355" s="70">
        <f>'RESUMEN TOTAL'!W463</f>
        <v>0</v>
      </c>
      <c r="K355" s="70">
        <f>'RESUMEN TOTAL'!X463</f>
        <v>0</v>
      </c>
      <c r="L355" s="70">
        <f>'RESUMEN TOTAL'!Y463</f>
        <v>0</v>
      </c>
      <c r="M355" s="70">
        <f>'RESUMEN TOTAL'!Z463</f>
        <v>0</v>
      </c>
      <c r="N355" s="70">
        <f>'RESUMEN TOTAL'!AA463</f>
        <v>0</v>
      </c>
      <c r="O355" s="70">
        <f>'RESUMEN TOTAL'!AB463</f>
        <v>0</v>
      </c>
      <c r="P355" s="70">
        <f>'RESUMEN TOTAL'!AC463</f>
        <v>0</v>
      </c>
      <c r="Q355" s="70">
        <f>'RESUMEN TOTAL'!AD463</f>
        <v>0</v>
      </c>
      <c r="R355" s="70">
        <f>'RESUMEN TOTAL'!AE463</f>
        <v>0</v>
      </c>
      <c r="S355" s="70">
        <f>'RESUMEN TOTAL'!AF463</f>
        <v>0</v>
      </c>
      <c r="T355" s="70">
        <f>'RESUMEN TOTAL'!AG463</f>
        <v>0</v>
      </c>
      <c r="U355" s="70">
        <f>'RESUMEN TOTAL'!AH463</f>
        <v>0</v>
      </c>
      <c r="V355" s="70">
        <f>'RESUMEN TOTAL'!AI463</f>
        <v>0</v>
      </c>
      <c r="W355" s="70">
        <f>'RESUMEN TOTAL'!AJ463</f>
        <v>0</v>
      </c>
      <c r="X355" s="70">
        <f>'RESUMEN TOTAL'!AK463</f>
        <v>0</v>
      </c>
      <c r="Y355" s="70">
        <f>'RESUMEN TOTAL'!AL463</f>
        <v>0</v>
      </c>
      <c r="Z355" s="70">
        <f>'RESUMEN TOTAL'!AM463</f>
        <v>0</v>
      </c>
      <c r="AA355" s="70">
        <f>'RESUMEN TOTAL'!AN463</f>
        <v>0</v>
      </c>
      <c r="AB355" s="70">
        <f>'RESUMEN TOTAL'!AO463</f>
        <v>0</v>
      </c>
      <c r="AC355" s="70">
        <f>'RESUMEN TOTAL'!AP463</f>
        <v>0</v>
      </c>
      <c r="AD355" s="70">
        <f>'RESUMEN TOTAL'!AQ463</f>
        <v>0</v>
      </c>
      <c r="AE355" s="70">
        <f>'RESUMEN TOTAL'!AR463</f>
        <v>0</v>
      </c>
      <c r="AF355" s="70">
        <f>'RESUMEN TOTAL'!AS463</f>
        <v>0</v>
      </c>
      <c r="AG355" s="70">
        <f>'RESUMEN TOTAL'!AT463</f>
        <v>0</v>
      </c>
      <c r="AH355" s="70">
        <f>'RESUMEN TOTAL'!AU463</f>
        <v>0</v>
      </c>
      <c r="AI355" s="70">
        <f>'RESUMEN TOTAL'!AV463</f>
        <v>0</v>
      </c>
      <c r="AJ355" s="70" t="e">
        <f>'RESUMEN TOTAL'!#REF!</f>
        <v>#REF!</v>
      </c>
    </row>
    <row r="356" spans="1:36" x14ac:dyDescent="0.25">
      <c r="A356" t="str">
        <f>'RESUMEN TOTAL'!F464</f>
        <v>SANTA ROSA</v>
      </c>
      <c r="B356" t="str">
        <f>'RESUMEN TOTAL'!G464</f>
        <v>SRO15</v>
      </c>
      <c r="C356" t="str">
        <f>'RESUMEN TOTAL'!I464</f>
        <v>NOVAK Y TIRANA (614)</v>
      </c>
      <c r="D356" s="30" t="str">
        <f>'RESUMEN TOTAL'!J464</f>
        <v>DOMO</v>
      </c>
      <c r="E356" s="30" t="str">
        <f>'RESUMEN TOTAL'!K464</f>
        <v>GPON</v>
      </c>
      <c r="F356" s="70">
        <f>'RESUMEN TOTAL'!S464</f>
        <v>0</v>
      </c>
      <c r="G356" s="70" t="str">
        <f>'RESUMEN TOTAL'!T464</f>
        <v>APAGADO</v>
      </c>
      <c r="H356" s="70">
        <f>'RESUMEN TOTAL'!U464</f>
        <v>0</v>
      </c>
      <c r="I356" s="70">
        <f>'RESUMEN TOTAL'!V464</f>
        <v>0</v>
      </c>
      <c r="J356" s="70">
        <f>'RESUMEN TOTAL'!W464</f>
        <v>0</v>
      </c>
      <c r="K356" s="70">
        <f>'RESUMEN TOTAL'!X464</f>
        <v>0</v>
      </c>
      <c r="L356" s="70">
        <f>'RESUMEN TOTAL'!Y464</f>
        <v>0</v>
      </c>
      <c r="M356" s="70">
        <f>'RESUMEN TOTAL'!Z464</f>
        <v>0</v>
      </c>
      <c r="N356" s="70">
        <f>'RESUMEN TOTAL'!AA464</f>
        <v>0</v>
      </c>
      <c r="O356" s="70">
        <f>'RESUMEN TOTAL'!AB464</f>
        <v>0</v>
      </c>
      <c r="P356" s="70">
        <f>'RESUMEN TOTAL'!AC464</f>
        <v>0</v>
      </c>
      <c r="Q356" s="70">
        <f>'RESUMEN TOTAL'!AD464</f>
        <v>0</v>
      </c>
      <c r="R356" s="70">
        <f>'RESUMEN TOTAL'!AE464</f>
        <v>0</v>
      </c>
      <c r="S356" s="70">
        <f>'RESUMEN TOTAL'!AF464</f>
        <v>0</v>
      </c>
      <c r="T356" s="70">
        <f>'RESUMEN TOTAL'!AG464</f>
        <v>0</v>
      </c>
      <c r="U356" s="70">
        <f>'RESUMEN TOTAL'!AH464</f>
        <v>0</v>
      </c>
      <c r="V356" s="70">
        <f>'RESUMEN TOTAL'!AI464</f>
        <v>0</v>
      </c>
      <c r="W356" s="70">
        <f>'RESUMEN TOTAL'!AJ464</f>
        <v>0</v>
      </c>
      <c r="X356" s="70">
        <f>'RESUMEN TOTAL'!AK464</f>
        <v>0</v>
      </c>
      <c r="Y356" s="70">
        <f>'RESUMEN TOTAL'!AL464</f>
        <v>0</v>
      </c>
      <c r="Z356" s="70">
        <f>'RESUMEN TOTAL'!AM464</f>
        <v>0</v>
      </c>
      <c r="AA356" s="70">
        <f>'RESUMEN TOTAL'!AN464</f>
        <v>0</v>
      </c>
      <c r="AB356" s="70">
        <f>'RESUMEN TOTAL'!AO464</f>
        <v>0</v>
      </c>
      <c r="AC356" s="70">
        <f>'RESUMEN TOTAL'!AP464</f>
        <v>0</v>
      </c>
      <c r="AD356" s="70">
        <f>'RESUMEN TOTAL'!AQ464</f>
        <v>0</v>
      </c>
      <c r="AE356" s="70">
        <f>'RESUMEN TOTAL'!AR464</f>
        <v>0</v>
      </c>
      <c r="AF356" s="70">
        <f>'RESUMEN TOTAL'!AS464</f>
        <v>0</v>
      </c>
      <c r="AG356" s="70">
        <f>'RESUMEN TOTAL'!AT464</f>
        <v>0</v>
      </c>
      <c r="AH356" s="70">
        <f>'RESUMEN TOTAL'!AU464</f>
        <v>0</v>
      </c>
      <c r="AI356" s="70">
        <f>'RESUMEN TOTAL'!AV464</f>
        <v>0</v>
      </c>
      <c r="AJ356" s="70" t="e">
        <f>'RESUMEN TOTAL'!#REF!</f>
        <v>#REF!</v>
      </c>
    </row>
    <row r="357" spans="1:36" x14ac:dyDescent="0.25">
      <c r="A357" t="str">
        <f>'RESUMEN TOTAL'!F465</f>
        <v>SANTA ROSA</v>
      </c>
      <c r="B357" t="str">
        <f>'RESUMEN TOTAL'!G465</f>
        <v>SRO16 (fija 1)</v>
      </c>
      <c r="C357" t="str">
        <f>'RESUMEN TOTAL'!I465</f>
        <v>ANDORRA E/ BELGICA Y SAN MARINO</v>
      </c>
      <c r="D357" s="30" t="str">
        <f>'RESUMEN TOTAL'!J465</f>
        <v>Fija</v>
      </c>
      <c r="E357" s="30" t="str">
        <f>'RESUMEN TOTAL'!K465</f>
        <v>GPON</v>
      </c>
      <c r="F357" s="70" t="str">
        <f>'RESUMEN TOTAL'!S465</f>
        <v>APAGADO</v>
      </c>
      <c r="G357" s="70" t="str">
        <f>'RESUMEN TOTAL'!T465</f>
        <v>APAGADO</v>
      </c>
      <c r="H357" s="70" t="str">
        <f>'RESUMEN TOTAL'!U465</f>
        <v>APAGADO</v>
      </c>
      <c r="I357" s="70">
        <f>'RESUMEN TOTAL'!V465</f>
        <v>0</v>
      </c>
      <c r="J357" s="70">
        <f>'RESUMEN TOTAL'!W465</f>
        <v>0</v>
      </c>
      <c r="K357" s="70" t="str">
        <f>'RESUMEN TOTAL'!X465</f>
        <v>APAGADO</v>
      </c>
      <c r="L357" s="70">
        <f>'RESUMEN TOTAL'!Y465</f>
        <v>0</v>
      </c>
      <c r="M357" s="70">
        <f>'RESUMEN TOTAL'!Z465</f>
        <v>0</v>
      </c>
      <c r="N357" s="70">
        <f>'RESUMEN TOTAL'!AA465</f>
        <v>0</v>
      </c>
      <c r="O357" s="70">
        <f>'RESUMEN TOTAL'!AB465</f>
        <v>0</v>
      </c>
      <c r="P357" s="70">
        <f>'RESUMEN TOTAL'!AC465</f>
        <v>0</v>
      </c>
      <c r="Q357" s="70">
        <f>'RESUMEN TOTAL'!AD465</f>
        <v>0</v>
      </c>
      <c r="R357" s="70">
        <f>'RESUMEN TOTAL'!AE465</f>
        <v>0</v>
      </c>
      <c r="S357" s="70">
        <f>'RESUMEN TOTAL'!AF465</f>
        <v>0</v>
      </c>
      <c r="T357" s="70">
        <f>'RESUMEN TOTAL'!AG465</f>
        <v>0</v>
      </c>
      <c r="U357" s="70">
        <f>'RESUMEN TOTAL'!AH465</f>
        <v>0</v>
      </c>
      <c r="V357" s="70">
        <f>'RESUMEN TOTAL'!AI465</f>
        <v>0</v>
      </c>
      <c r="W357" s="70">
        <f>'RESUMEN TOTAL'!AJ465</f>
        <v>0</v>
      </c>
      <c r="X357" s="70">
        <f>'RESUMEN TOTAL'!AK465</f>
        <v>0</v>
      </c>
      <c r="Y357" s="70">
        <f>'RESUMEN TOTAL'!AL465</f>
        <v>0</v>
      </c>
      <c r="Z357" s="70">
        <f>'RESUMEN TOTAL'!AM465</f>
        <v>0</v>
      </c>
      <c r="AA357" s="70">
        <f>'RESUMEN TOTAL'!AN465</f>
        <v>0</v>
      </c>
      <c r="AB357" s="70">
        <f>'RESUMEN TOTAL'!AO465</f>
        <v>0</v>
      </c>
      <c r="AC357" s="70">
        <f>'RESUMEN TOTAL'!AP465</f>
        <v>0</v>
      </c>
      <c r="AD357" s="70">
        <f>'RESUMEN TOTAL'!AQ465</f>
        <v>0</v>
      </c>
      <c r="AE357" s="70">
        <f>'RESUMEN TOTAL'!AR465</f>
        <v>0</v>
      </c>
      <c r="AF357" s="70">
        <f>'RESUMEN TOTAL'!AS465</f>
        <v>0</v>
      </c>
      <c r="AG357" s="70">
        <f>'RESUMEN TOTAL'!AT465</f>
        <v>0</v>
      </c>
      <c r="AH357" s="70">
        <f>'RESUMEN TOTAL'!AU465</f>
        <v>0</v>
      </c>
      <c r="AI357" s="70">
        <f>'RESUMEN TOTAL'!AV465</f>
        <v>0</v>
      </c>
      <c r="AJ357" s="70" t="e">
        <f>'RESUMEN TOTAL'!#REF!</f>
        <v>#REF!</v>
      </c>
    </row>
    <row r="358" spans="1:36" x14ac:dyDescent="0.25">
      <c r="A358" t="str">
        <f>'RESUMEN TOTAL'!F466</f>
        <v>SANTA ROSA</v>
      </c>
      <c r="B358" t="str">
        <f>'RESUMEN TOTAL'!G466</f>
        <v>SRO17 (fija 2)</v>
      </c>
      <c r="C358" t="str">
        <f>'RESUMEN TOTAL'!I466</f>
        <v>ANDORRA E/ BELGICA Y SAN MARINO</v>
      </c>
      <c r="D358" s="30" t="str">
        <f>'RESUMEN TOTAL'!J466</f>
        <v>Fija</v>
      </c>
      <c r="E358" s="30" t="str">
        <f>'RESUMEN TOTAL'!K466</f>
        <v>GPON</v>
      </c>
      <c r="F358" s="70" t="str">
        <f>'RESUMEN TOTAL'!S466</f>
        <v>APAGADO</v>
      </c>
      <c r="G358" s="70" t="str">
        <f>'RESUMEN TOTAL'!T466</f>
        <v>APAGADO</v>
      </c>
      <c r="H358" s="70" t="str">
        <f>'RESUMEN TOTAL'!U466</f>
        <v>APAGADO</v>
      </c>
      <c r="I358" s="70">
        <f>'RESUMEN TOTAL'!V466</f>
        <v>0</v>
      </c>
      <c r="J358" s="70">
        <f>'RESUMEN TOTAL'!W466</f>
        <v>0</v>
      </c>
      <c r="K358" s="70" t="str">
        <f>'RESUMEN TOTAL'!X466</f>
        <v>APAGADO</v>
      </c>
      <c r="L358" s="70">
        <f>'RESUMEN TOTAL'!Y466</f>
        <v>0</v>
      </c>
      <c r="M358" s="70">
        <f>'RESUMEN TOTAL'!Z466</f>
        <v>0</v>
      </c>
      <c r="N358" s="70">
        <f>'RESUMEN TOTAL'!AA466</f>
        <v>0</v>
      </c>
      <c r="O358" s="70">
        <f>'RESUMEN TOTAL'!AB466</f>
        <v>0</v>
      </c>
      <c r="P358" s="70">
        <f>'RESUMEN TOTAL'!AC466</f>
        <v>0</v>
      </c>
      <c r="Q358" s="70">
        <f>'RESUMEN TOTAL'!AD466</f>
        <v>0</v>
      </c>
      <c r="R358" s="70">
        <f>'RESUMEN TOTAL'!AE466</f>
        <v>0</v>
      </c>
      <c r="S358" s="70">
        <f>'RESUMEN TOTAL'!AF466</f>
        <v>0</v>
      </c>
      <c r="T358" s="70">
        <f>'RESUMEN TOTAL'!AG466</f>
        <v>0</v>
      </c>
      <c r="U358" s="70">
        <f>'RESUMEN TOTAL'!AH466</f>
        <v>0</v>
      </c>
      <c r="V358" s="70">
        <f>'RESUMEN TOTAL'!AI466</f>
        <v>0</v>
      </c>
      <c r="W358" s="70">
        <f>'RESUMEN TOTAL'!AJ466</f>
        <v>0</v>
      </c>
      <c r="X358" s="70">
        <f>'RESUMEN TOTAL'!AK466</f>
        <v>0</v>
      </c>
      <c r="Y358" s="70">
        <f>'RESUMEN TOTAL'!AL466</f>
        <v>0</v>
      </c>
      <c r="Z358" s="70">
        <f>'RESUMEN TOTAL'!AM466</f>
        <v>0</v>
      </c>
      <c r="AA358" s="70">
        <f>'RESUMEN TOTAL'!AN466</f>
        <v>0</v>
      </c>
      <c r="AB358" s="70">
        <f>'RESUMEN TOTAL'!AO466</f>
        <v>0</v>
      </c>
      <c r="AC358" s="70">
        <f>'RESUMEN TOTAL'!AP466</f>
        <v>0</v>
      </c>
      <c r="AD358" s="70">
        <f>'RESUMEN TOTAL'!AQ466</f>
        <v>0</v>
      </c>
      <c r="AE358" s="70">
        <f>'RESUMEN TOTAL'!AR466</f>
        <v>0</v>
      </c>
      <c r="AF358" s="70">
        <f>'RESUMEN TOTAL'!AS466</f>
        <v>0</v>
      </c>
      <c r="AG358" s="70">
        <f>'RESUMEN TOTAL'!AT466</f>
        <v>0</v>
      </c>
      <c r="AH358" s="70">
        <f>'RESUMEN TOTAL'!AU466</f>
        <v>0</v>
      </c>
      <c r="AI358" s="70">
        <f>'RESUMEN TOTAL'!AV466</f>
        <v>0</v>
      </c>
      <c r="AJ358" s="70" t="e">
        <f>'RESUMEN TOTAL'!#REF!</f>
        <v>#REF!</v>
      </c>
    </row>
    <row r="359" spans="1:36" x14ac:dyDescent="0.25">
      <c r="A359" t="str">
        <f>'RESUMEN TOTAL'!F467</f>
        <v>SANTA ROSA</v>
      </c>
      <c r="B359" t="str">
        <f>'RESUMEN TOTAL'!G467</f>
        <v>SRO20</v>
      </c>
      <c r="C359" t="str">
        <f>'RESUMEN TOTAL'!I467</f>
        <v>NOVAK Y BONN</v>
      </c>
      <c r="D359" s="30" t="str">
        <f>'RESUMEN TOTAL'!J467</f>
        <v>Fija</v>
      </c>
      <c r="E359" s="30" t="str">
        <f>'RESUMEN TOTAL'!K467</f>
        <v>GPON</v>
      </c>
      <c r="F359" s="70">
        <f>'RESUMEN TOTAL'!S467</f>
        <v>0</v>
      </c>
      <c r="G359" s="70">
        <f>'RESUMEN TOTAL'!T467</f>
        <v>0</v>
      </c>
      <c r="H359" s="70">
        <f>'RESUMEN TOTAL'!U467</f>
        <v>0</v>
      </c>
      <c r="I359" s="70">
        <f>'RESUMEN TOTAL'!V467</f>
        <v>0</v>
      </c>
      <c r="J359" s="70">
        <f>'RESUMEN TOTAL'!W467</f>
        <v>0</v>
      </c>
      <c r="K359" s="70">
        <f>'RESUMEN TOTAL'!X467</f>
        <v>0</v>
      </c>
      <c r="L359" s="70">
        <f>'RESUMEN TOTAL'!Y467</f>
        <v>0</v>
      </c>
      <c r="M359" s="70">
        <f>'RESUMEN TOTAL'!Z467</f>
        <v>0</v>
      </c>
      <c r="N359" s="70">
        <f>'RESUMEN TOTAL'!AA467</f>
        <v>0</v>
      </c>
      <c r="O359" s="70">
        <f>'RESUMEN TOTAL'!AB467</f>
        <v>0</v>
      </c>
      <c r="P359" s="70">
        <f>'RESUMEN TOTAL'!AC467</f>
        <v>0</v>
      </c>
      <c r="Q359" s="70">
        <f>'RESUMEN TOTAL'!AD467</f>
        <v>0</v>
      </c>
      <c r="R359" s="70">
        <f>'RESUMEN TOTAL'!AE467</f>
        <v>0</v>
      </c>
      <c r="S359" s="70">
        <f>'RESUMEN TOTAL'!AF467</f>
        <v>0</v>
      </c>
      <c r="T359" s="70">
        <f>'RESUMEN TOTAL'!AG467</f>
        <v>0</v>
      </c>
      <c r="U359" s="70">
        <f>'RESUMEN TOTAL'!AH467</f>
        <v>0</v>
      </c>
      <c r="V359" s="70">
        <f>'RESUMEN TOTAL'!AI467</f>
        <v>0</v>
      </c>
      <c r="W359" s="70">
        <f>'RESUMEN TOTAL'!AJ467</f>
        <v>0</v>
      </c>
      <c r="X359" s="70">
        <f>'RESUMEN TOTAL'!AK467</f>
        <v>0</v>
      </c>
      <c r="Y359" s="70">
        <f>'RESUMEN TOTAL'!AL467</f>
        <v>0</v>
      </c>
      <c r="Z359" s="70">
        <f>'RESUMEN TOTAL'!AM467</f>
        <v>0</v>
      </c>
      <c r="AA359" s="70">
        <f>'RESUMEN TOTAL'!AN467</f>
        <v>0</v>
      </c>
      <c r="AB359" s="70">
        <f>'RESUMEN TOTAL'!AO467</f>
        <v>0</v>
      </c>
      <c r="AC359" s="70">
        <f>'RESUMEN TOTAL'!AP467</f>
        <v>0</v>
      </c>
      <c r="AD359" s="70">
        <f>'RESUMEN TOTAL'!AQ467</f>
        <v>0</v>
      </c>
      <c r="AE359" s="70">
        <f>'RESUMEN TOTAL'!AR467</f>
        <v>0</v>
      </c>
      <c r="AF359" s="70">
        <f>'RESUMEN TOTAL'!AS467</f>
        <v>0</v>
      </c>
      <c r="AG359" s="70">
        <f>'RESUMEN TOTAL'!AT467</f>
        <v>0</v>
      </c>
      <c r="AH359" s="70">
        <f>'RESUMEN TOTAL'!AU467</f>
        <v>0</v>
      </c>
      <c r="AI359" s="70">
        <f>'RESUMEN TOTAL'!AV467</f>
        <v>0</v>
      </c>
      <c r="AJ359" s="70" t="e">
        <f>'RESUMEN TOTAL'!#REF!</f>
        <v>#REF!</v>
      </c>
    </row>
    <row r="360" spans="1:36" x14ac:dyDescent="0.25">
      <c r="A360" t="str">
        <f>'RESUMEN TOTAL'!F468</f>
        <v>SANTA ROSA</v>
      </c>
      <c r="B360" t="str">
        <f>'RESUMEN TOTAL'!G468</f>
        <v>SRO21</v>
      </c>
      <c r="C360" t="str">
        <f>'RESUMEN TOTAL'!I468</f>
        <v>NOVAK Y BONN</v>
      </c>
      <c r="D360" s="30" t="str">
        <f>'RESUMEN TOTAL'!J468</f>
        <v>Fija</v>
      </c>
      <c r="E360" s="30" t="str">
        <f>'RESUMEN TOTAL'!K468</f>
        <v>GPON</v>
      </c>
      <c r="F360" s="70">
        <f>'RESUMEN TOTAL'!S468</f>
        <v>0</v>
      </c>
      <c r="G360" s="70">
        <f>'RESUMEN TOTAL'!T468</f>
        <v>0</v>
      </c>
      <c r="H360" s="70">
        <f>'RESUMEN TOTAL'!U468</f>
        <v>0</v>
      </c>
      <c r="I360" s="70">
        <f>'RESUMEN TOTAL'!V468</f>
        <v>0</v>
      </c>
      <c r="J360" s="70">
        <f>'RESUMEN TOTAL'!W468</f>
        <v>0</v>
      </c>
      <c r="K360" s="70">
        <f>'RESUMEN TOTAL'!X468</f>
        <v>0</v>
      </c>
      <c r="L360" s="70">
        <f>'RESUMEN TOTAL'!Y468</f>
        <v>0</v>
      </c>
      <c r="M360" s="70">
        <f>'RESUMEN TOTAL'!Z468</f>
        <v>0</v>
      </c>
      <c r="N360" s="70">
        <f>'RESUMEN TOTAL'!AA468</f>
        <v>0</v>
      </c>
      <c r="O360" s="70">
        <f>'RESUMEN TOTAL'!AB468</f>
        <v>0</v>
      </c>
      <c r="P360" s="70">
        <f>'RESUMEN TOTAL'!AC468</f>
        <v>0</v>
      </c>
      <c r="Q360" s="70">
        <f>'RESUMEN TOTAL'!AD468</f>
        <v>0</v>
      </c>
      <c r="R360" s="70">
        <f>'RESUMEN TOTAL'!AE468</f>
        <v>0</v>
      </c>
      <c r="S360" s="70">
        <f>'RESUMEN TOTAL'!AF468</f>
        <v>0</v>
      </c>
      <c r="T360" s="70">
        <f>'RESUMEN TOTAL'!AG468</f>
        <v>0</v>
      </c>
      <c r="U360" s="70">
        <f>'RESUMEN TOTAL'!AH468</f>
        <v>0</v>
      </c>
      <c r="V360" s="70">
        <f>'RESUMEN TOTAL'!AI468</f>
        <v>0</v>
      </c>
      <c r="W360" s="70">
        <f>'RESUMEN TOTAL'!AJ468</f>
        <v>0</v>
      </c>
      <c r="X360" s="70">
        <f>'RESUMEN TOTAL'!AK468</f>
        <v>0</v>
      </c>
      <c r="Y360" s="70">
        <f>'RESUMEN TOTAL'!AL468</f>
        <v>0</v>
      </c>
      <c r="Z360" s="70">
        <f>'RESUMEN TOTAL'!AM468</f>
        <v>0</v>
      </c>
      <c r="AA360" s="70">
        <f>'RESUMEN TOTAL'!AN468</f>
        <v>0</v>
      </c>
      <c r="AB360" s="70">
        <f>'RESUMEN TOTAL'!AO468</f>
        <v>0</v>
      </c>
      <c r="AC360" s="70">
        <f>'RESUMEN TOTAL'!AP468</f>
        <v>0</v>
      </c>
      <c r="AD360" s="70">
        <f>'RESUMEN TOTAL'!AQ468</f>
        <v>0</v>
      </c>
      <c r="AE360" s="70">
        <f>'RESUMEN TOTAL'!AR468</f>
        <v>0</v>
      </c>
      <c r="AF360" s="70">
        <f>'RESUMEN TOTAL'!AS468</f>
        <v>0</v>
      </c>
      <c r="AG360" s="70">
        <f>'RESUMEN TOTAL'!AT468</f>
        <v>0</v>
      </c>
      <c r="AH360" s="70">
        <f>'RESUMEN TOTAL'!AU468</f>
        <v>0</v>
      </c>
      <c r="AI360" s="70">
        <f>'RESUMEN TOTAL'!AV468</f>
        <v>0</v>
      </c>
      <c r="AJ360" s="70" t="e">
        <f>'RESUMEN TOTAL'!#REF!</f>
        <v>#REF!</v>
      </c>
    </row>
    <row r="361" spans="1:36" x14ac:dyDescent="0.25">
      <c r="A361" t="str">
        <f>'RESUMEN TOTAL'!F476</f>
        <v>SAN RUDECINDO</v>
      </c>
      <c r="B361" t="str">
        <f>'RESUMEN TOTAL'!G476</f>
        <v>SRU01 (fija 1)</v>
      </c>
      <c r="C361" t="str">
        <f>'RESUMEN TOTAL'!I476</f>
        <v>HERNANDARIAS Y AMBATO</v>
      </c>
      <c r="D361" s="30" t="str">
        <f>'RESUMEN TOTAL'!J476</f>
        <v>Fija</v>
      </c>
      <c r="E361" s="30" t="str">
        <f>'RESUMEN TOTAL'!K476</f>
        <v>GPON</v>
      </c>
      <c r="F361" s="70" t="str">
        <f>'RESUMEN TOTAL'!S476</f>
        <v>APAGADO</v>
      </c>
      <c r="G361" s="70" t="str">
        <f>'RESUMEN TOTAL'!T476</f>
        <v>APAGADO</v>
      </c>
      <c r="H361" s="70" t="str">
        <f>'RESUMEN TOTAL'!U476</f>
        <v>APAGADO</v>
      </c>
      <c r="I361" s="70">
        <f>'RESUMEN TOTAL'!V476</f>
        <v>0</v>
      </c>
      <c r="J361" s="70">
        <f>'RESUMEN TOTAL'!W476</f>
        <v>0</v>
      </c>
      <c r="K361" s="70" t="str">
        <f>'RESUMEN TOTAL'!X476</f>
        <v>APAGADO</v>
      </c>
      <c r="L361" s="70">
        <f>'RESUMEN TOTAL'!Y476</f>
        <v>0</v>
      </c>
      <c r="M361" s="70">
        <f>'RESUMEN TOTAL'!Z476</f>
        <v>0</v>
      </c>
      <c r="N361" s="70">
        <f>'RESUMEN TOTAL'!AA476</f>
        <v>0</v>
      </c>
      <c r="O361" s="70">
        <f>'RESUMEN TOTAL'!AB476</f>
        <v>0</v>
      </c>
      <c r="P361" s="70">
        <f>'RESUMEN TOTAL'!AC476</f>
        <v>0</v>
      </c>
      <c r="Q361" s="70">
        <f>'RESUMEN TOTAL'!AD476</f>
        <v>0</v>
      </c>
      <c r="R361" s="70">
        <f>'RESUMEN TOTAL'!AE476</f>
        <v>0</v>
      </c>
      <c r="S361" s="70">
        <f>'RESUMEN TOTAL'!AF476</f>
        <v>0</v>
      </c>
      <c r="T361" s="70">
        <f>'RESUMEN TOTAL'!AG476</f>
        <v>0</v>
      </c>
      <c r="U361" s="70">
        <f>'RESUMEN TOTAL'!AH476</f>
        <v>0</v>
      </c>
      <c r="V361" s="70">
        <f>'RESUMEN TOTAL'!AI476</f>
        <v>0</v>
      </c>
      <c r="W361" s="70">
        <f>'RESUMEN TOTAL'!AJ476</f>
        <v>0</v>
      </c>
      <c r="X361" s="70">
        <f>'RESUMEN TOTAL'!AK476</f>
        <v>0</v>
      </c>
      <c r="Y361" s="70">
        <f>'RESUMEN TOTAL'!AL476</f>
        <v>0</v>
      </c>
      <c r="Z361" s="70">
        <f>'RESUMEN TOTAL'!AM476</f>
        <v>0</v>
      </c>
      <c r="AA361" s="70">
        <f>'RESUMEN TOTAL'!AN476</f>
        <v>0</v>
      </c>
      <c r="AB361" s="70">
        <f>'RESUMEN TOTAL'!AO476</f>
        <v>0</v>
      </c>
      <c r="AC361" s="70">
        <f>'RESUMEN TOTAL'!AP476</f>
        <v>0</v>
      </c>
      <c r="AD361" s="70">
        <f>'RESUMEN TOTAL'!AQ476</f>
        <v>0</v>
      </c>
      <c r="AE361" s="70">
        <f>'RESUMEN TOTAL'!AR476</f>
        <v>0</v>
      </c>
      <c r="AF361" s="70">
        <f>'RESUMEN TOTAL'!AS476</f>
        <v>0</v>
      </c>
      <c r="AG361" s="70">
        <f>'RESUMEN TOTAL'!AT476</f>
        <v>0</v>
      </c>
      <c r="AH361" s="70">
        <f>'RESUMEN TOTAL'!AU476</f>
        <v>0</v>
      </c>
      <c r="AI361" s="70">
        <f>'RESUMEN TOTAL'!AV476</f>
        <v>0</v>
      </c>
      <c r="AJ361" s="70" t="e">
        <f>'RESUMEN TOTAL'!#REF!</f>
        <v>#REF!</v>
      </c>
    </row>
    <row r="362" spans="1:36" x14ac:dyDescent="0.25">
      <c r="A362" t="str">
        <f>'RESUMEN TOTAL'!F477</f>
        <v>SAN RUDECINDO</v>
      </c>
      <c r="B362" t="str">
        <f>'RESUMEN TOTAL'!G477</f>
        <v>SRU02 (fija 2)</v>
      </c>
      <c r="C362" t="str">
        <f>'RESUMEN TOTAL'!I477</f>
        <v>HERNANDARIAS Y AMBATO</v>
      </c>
      <c r="D362" s="30" t="str">
        <f>'RESUMEN TOTAL'!J477</f>
        <v>Fija</v>
      </c>
      <c r="E362" s="30" t="str">
        <f>'RESUMEN TOTAL'!K477</f>
        <v>GPON</v>
      </c>
      <c r="F362" s="70" t="str">
        <f>'RESUMEN TOTAL'!S477</f>
        <v>APAGADO</v>
      </c>
      <c r="G362" s="70" t="str">
        <f>'RESUMEN TOTAL'!T477</f>
        <v>APAGADO</v>
      </c>
      <c r="H362" s="70" t="str">
        <f>'RESUMEN TOTAL'!U477</f>
        <v>APAGADO</v>
      </c>
      <c r="I362" s="70">
        <f>'RESUMEN TOTAL'!V477</f>
        <v>0</v>
      </c>
      <c r="J362" s="70">
        <f>'RESUMEN TOTAL'!W477</f>
        <v>0</v>
      </c>
      <c r="K362" s="70" t="str">
        <f>'RESUMEN TOTAL'!X477</f>
        <v>APAGADO</v>
      </c>
      <c r="L362" s="70">
        <f>'RESUMEN TOTAL'!Y477</f>
        <v>0</v>
      </c>
      <c r="M362" s="70">
        <f>'RESUMEN TOTAL'!Z477</f>
        <v>0</v>
      </c>
      <c r="N362" s="70">
        <f>'RESUMEN TOTAL'!AA477</f>
        <v>0</v>
      </c>
      <c r="O362" s="70">
        <f>'RESUMEN TOTAL'!AB477</f>
        <v>0</v>
      </c>
      <c r="P362" s="70">
        <f>'RESUMEN TOTAL'!AC477</f>
        <v>0</v>
      </c>
      <c r="Q362" s="70">
        <f>'RESUMEN TOTAL'!AD477</f>
        <v>0</v>
      </c>
      <c r="R362" s="70">
        <f>'RESUMEN TOTAL'!AE477</f>
        <v>0</v>
      </c>
      <c r="S362" s="70">
        <f>'RESUMEN TOTAL'!AF477</f>
        <v>0</v>
      </c>
      <c r="T362" s="70">
        <f>'RESUMEN TOTAL'!AG477</f>
        <v>0</v>
      </c>
      <c r="U362" s="70">
        <f>'RESUMEN TOTAL'!AH477</f>
        <v>0</v>
      </c>
      <c r="V362" s="70">
        <f>'RESUMEN TOTAL'!AI477</f>
        <v>0</v>
      </c>
      <c r="W362" s="70">
        <f>'RESUMEN TOTAL'!AJ477</f>
        <v>0</v>
      </c>
      <c r="X362" s="70">
        <f>'RESUMEN TOTAL'!AK477</f>
        <v>0</v>
      </c>
      <c r="Y362" s="70">
        <f>'RESUMEN TOTAL'!AL477</f>
        <v>0</v>
      </c>
      <c r="Z362" s="70">
        <f>'RESUMEN TOTAL'!AM477</f>
        <v>0</v>
      </c>
      <c r="AA362" s="70">
        <f>'RESUMEN TOTAL'!AN477</f>
        <v>0</v>
      </c>
      <c r="AB362" s="70">
        <f>'RESUMEN TOTAL'!AO477</f>
        <v>0</v>
      </c>
      <c r="AC362" s="70">
        <f>'RESUMEN TOTAL'!AP477</f>
        <v>0</v>
      </c>
      <c r="AD362" s="70">
        <f>'RESUMEN TOTAL'!AQ477</f>
        <v>0</v>
      </c>
      <c r="AE362" s="70">
        <f>'RESUMEN TOTAL'!AR477</f>
        <v>0</v>
      </c>
      <c r="AF362" s="70">
        <f>'RESUMEN TOTAL'!AS477</f>
        <v>0</v>
      </c>
      <c r="AG362" s="70">
        <f>'RESUMEN TOTAL'!AT477</f>
        <v>0</v>
      </c>
      <c r="AH362" s="70">
        <f>'RESUMEN TOTAL'!AU477</f>
        <v>0</v>
      </c>
      <c r="AI362" s="70">
        <f>'RESUMEN TOTAL'!AV477</f>
        <v>0</v>
      </c>
      <c r="AJ362" s="70" t="e">
        <f>'RESUMEN TOTAL'!#REF!</f>
        <v>#REF!</v>
      </c>
    </row>
    <row r="363" spans="1:36" x14ac:dyDescent="0.25">
      <c r="A363" t="str">
        <f>'RESUMEN TOTAL'!F478</f>
        <v>SAN RUDECINDO</v>
      </c>
      <c r="B363" t="str">
        <f>'RESUMEN TOTAL'!G478</f>
        <v>SRU03</v>
      </c>
      <c r="C363" t="str">
        <f>'RESUMEN TOTAL'!I478</f>
        <v>SANTA SOFIA Y LUIS AGOTE</v>
      </c>
      <c r="D363" s="30" t="str">
        <f>'RESUMEN TOTAL'!J478</f>
        <v>DOMO</v>
      </c>
      <c r="E363" s="30" t="str">
        <f>'RESUMEN TOTAL'!K478</f>
        <v>GPON</v>
      </c>
      <c r="F363" s="70" t="str">
        <f>'RESUMEN TOTAL'!S478</f>
        <v>APAGADO</v>
      </c>
      <c r="G363" s="70" t="str">
        <f>'RESUMEN TOTAL'!T478</f>
        <v>APAGADO</v>
      </c>
      <c r="H363" s="70" t="str">
        <f>'RESUMEN TOTAL'!U478</f>
        <v>APAGADO</v>
      </c>
      <c r="I363" s="70">
        <f>'RESUMEN TOTAL'!V478</f>
        <v>0</v>
      </c>
      <c r="J363" s="70">
        <f>'RESUMEN TOTAL'!W478</f>
        <v>0</v>
      </c>
      <c r="K363" s="70" t="str">
        <f>'RESUMEN TOTAL'!X478</f>
        <v>APAGADO</v>
      </c>
      <c r="L363" s="70">
        <f>'RESUMEN TOTAL'!Y478</f>
        <v>0</v>
      </c>
      <c r="M363" s="70">
        <f>'RESUMEN TOTAL'!Z478</f>
        <v>0</v>
      </c>
      <c r="N363" s="70">
        <f>'RESUMEN TOTAL'!AA478</f>
        <v>0</v>
      </c>
      <c r="O363" s="70">
        <f>'RESUMEN TOTAL'!AB478</f>
        <v>0</v>
      </c>
      <c r="P363" s="70">
        <f>'RESUMEN TOTAL'!AC478</f>
        <v>0</v>
      </c>
      <c r="Q363" s="70">
        <f>'RESUMEN TOTAL'!AD478</f>
        <v>0</v>
      </c>
      <c r="R363" s="70">
        <f>'RESUMEN TOTAL'!AE478</f>
        <v>0</v>
      </c>
      <c r="S363" s="70">
        <f>'RESUMEN TOTAL'!AF478</f>
        <v>0</v>
      </c>
      <c r="T363" s="70">
        <f>'RESUMEN TOTAL'!AG478</f>
        <v>0</v>
      </c>
      <c r="U363" s="70">
        <f>'RESUMEN TOTAL'!AH478</f>
        <v>0</v>
      </c>
      <c r="V363" s="70">
        <f>'RESUMEN TOTAL'!AI478</f>
        <v>0</v>
      </c>
      <c r="W363" s="70">
        <f>'RESUMEN TOTAL'!AJ478</f>
        <v>0</v>
      </c>
      <c r="X363" s="70">
        <f>'RESUMEN TOTAL'!AK478</f>
        <v>0</v>
      </c>
      <c r="Y363" s="70">
        <f>'RESUMEN TOTAL'!AL478</f>
        <v>0</v>
      </c>
      <c r="Z363" s="70">
        <f>'RESUMEN TOTAL'!AM478</f>
        <v>0</v>
      </c>
      <c r="AA363" s="70">
        <f>'RESUMEN TOTAL'!AN478</f>
        <v>0</v>
      </c>
      <c r="AB363" s="70">
        <f>'RESUMEN TOTAL'!AO478</f>
        <v>0</v>
      </c>
      <c r="AC363" s="70">
        <f>'RESUMEN TOTAL'!AP478</f>
        <v>0</v>
      </c>
      <c r="AD363" s="70">
        <f>'RESUMEN TOTAL'!AQ478</f>
        <v>0</v>
      </c>
      <c r="AE363" s="70">
        <f>'RESUMEN TOTAL'!AR478</f>
        <v>0</v>
      </c>
      <c r="AF363" s="70">
        <f>'RESUMEN TOTAL'!AS478</f>
        <v>0</v>
      </c>
      <c r="AG363" s="70">
        <f>'RESUMEN TOTAL'!AT478</f>
        <v>0</v>
      </c>
      <c r="AH363" s="70">
        <f>'RESUMEN TOTAL'!AU478</f>
        <v>0</v>
      </c>
      <c r="AI363" s="70">
        <f>'RESUMEN TOTAL'!AV478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>
        <f>'RESUMEN TOTAL'!Y481</f>
        <v>0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>
        <f>'RESUMEN TOTAL'!Y482</f>
        <v>0</v>
      </c>
      <c r="M365" s="70">
        <f>'RESUMEN TOTAL'!Z482</f>
        <v>0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>
        <f>'RESUMEN TOTAL'!AE482</f>
        <v>0</v>
      </c>
      <c r="S365" s="70">
        <f>'RESUMEN TOTAL'!AF482</f>
        <v>0</v>
      </c>
      <c r="T365" s="70">
        <f>'RESUMEN TOTAL'!AG482</f>
        <v>0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>
        <f>'RESUMEN TOTAL'!AE484</f>
        <v>0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>
        <f>'RESUMEN TOTAL'!AE485</f>
        <v>0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>
        <f>'RESUMEN TOTAL'!AE501</f>
        <v>0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>
        <f>'RESUMEN TOTAL'!Z505</f>
        <v>0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>
        <f>'RESUMEN TOTAL'!Z506</f>
        <v>0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>
        <f>'RESUMEN TOTAL'!Z507</f>
        <v>0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>
        <f>'RESUMEN TOTAL'!Z508</f>
        <v>0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>
        <f>'RESUMEN TOTAL'!AF509</f>
        <v>0</v>
      </c>
      <c r="T385" s="70">
        <f>'RESUMEN TOTAL'!AG509</f>
        <v>0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>
        <f>'RESUMEN TOTAL'!AE523</f>
        <v>0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>
        <f>'RESUMEN TOTAL'!AE524</f>
        <v>0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>
        <f>'RESUMEN TOTAL'!Y535</f>
        <v>0</v>
      </c>
      <c r="M411" s="70">
        <f>'RESUMEN TOTAL'!Z535</f>
        <v>0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>
        <f>'RESUMEN TOTAL'!AE535</f>
        <v>0</v>
      </c>
      <c r="S411" s="70">
        <f>'RESUMEN TOTAL'!AF535</f>
        <v>0</v>
      </c>
      <c r="T411" s="70">
        <f>'RESUMEN TOTAL'!AG535</f>
        <v>0</v>
      </c>
      <c r="U411" s="70">
        <f>'RESUMEN TOTAL'!AH535</f>
        <v>0</v>
      </c>
      <c r="V411" s="70">
        <f>'RESUMEN TOTAL'!AI535</f>
        <v>0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>
        <f>'RESUMEN TOTAL'!Y538</f>
        <v>0</v>
      </c>
      <c r="M414" s="70">
        <f>'RESUMEN TOTAL'!Z538</f>
        <v>0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>
        <f>'RESUMEN TOTAL'!AE538</f>
        <v>0</v>
      </c>
      <c r="S414" s="70">
        <f>'RESUMEN TOTAL'!AF538</f>
        <v>0</v>
      </c>
      <c r="T414" s="70">
        <f>'RESUMEN TOTAL'!AG538</f>
        <v>0</v>
      </c>
      <c r="U414" s="70">
        <f>'RESUMEN TOTAL'!AH538</f>
        <v>0</v>
      </c>
      <c r="V414" s="70">
        <f>'RESUMEN TOTAL'!AI538</f>
        <v>0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>
        <f>'RESUMEN TOTAL'!Y539</f>
        <v>0</v>
      </c>
      <c r="M415" s="70">
        <f>'RESUMEN TOTAL'!Z539</f>
        <v>0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>
        <f>'RESUMEN TOTAL'!AE539</f>
        <v>0</v>
      </c>
      <c r="S415" s="70">
        <f>'RESUMEN TOTAL'!AF539</f>
        <v>0</v>
      </c>
      <c r="T415" s="70">
        <f>'RESUMEN TOTAL'!AG539</f>
        <v>0</v>
      </c>
      <c r="U415" s="70">
        <f>'RESUMEN TOTAL'!AH539</f>
        <v>0</v>
      </c>
      <c r="V415" s="70">
        <f>'RESUMEN TOTAL'!AI539</f>
        <v>0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>
        <f>'RESUMEN TOTAL'!AE549</f>
        <v>0</v>
      </c>
      <c r="S420" s="70">
        <f>'RESUMEN TOTAL'!AF549</f>
        <v>0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>
        <f>'RESUMEN TOTAL'!AE557</f>
        <v>0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>
        <f>'RESUMEN TOTAL'!Y558</f>
        <v>0</v>
      </c>
      <c r="M428" s="70">
        <f>'RESUMEN TOTAL'!Z558</f>
        <v>0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>
        <f>'RESUMEN TOTAL'!AE558</f>
        <v>0</v>
      </c>
      <c r="S428" s="70">
        <f>'RESUMEN TOTAL'!AF558</f>
        <v>0</v>
      </c>
      <c r="T428" s="70">
        <f>'RESUMEN TOTAL'!AG558</f>
        <v>0</v>
      </c>
      <c r="U428" s="70">
        <f>'RESUMEN TOTAL'!AH558</f>
        <v>0</v>
      </c>
      <c r="V428" s="70">
        <f>'RESUMEN TOTAL'!AI558</f>
        <v>0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>
        <f>'RESUMEN TOTAL'!Y566</f>
        <v>0</v>
      </c>
      <c r="M435" s="70">
        <f>'RESUMEN TOTAL'!Z566</f>
        <v>0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>
        <f>'RESUMEN TOTAL'!AE566</f>
        <v>0</v>
      </c>
      <c r="S435" s="70">
        <f>'RESUMEN TOTAL'!AF566</f>
        <v>0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>
        <f>'RESUMEN TOTAL'!Y570</f>
        <v>0</v>
      </c>
      <c r="M436" s="70">
        <f>'RESUMEN TOTAL'!Z570</f>
        <v>0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>
        <f>'RESUMEN TOTAL'!AE570</f>
        <v>0</v>
      </c>
      <c r="S436" s="70">
        <f>'RESUMEN TOTAL'!AF570</f>
        <v>0</v>
      </c>
      <c r="T436" s="70">
        <f>'RESUMEN TOTAL'!AG570</f>
        <v>0</v>
      </c>
      <c r="U436" s="70">
        <f>'RESUMEN TOTAL'!AH570</f>
        <v>0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>
        <f>'RESUMEN TOTAL'!Y579</f>
        <v>0</v>
      </c>
      <c r="M443" s="70">
        <f>'RESUMEN TOTAL'!Z579</f>
        <v>0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>
        <f>'RESUMEN TOTAL'!AG579</f>
        <v>0</v>
      </c>
      <c r="U443" s="70">
        <f>'RESUMEN TOTAL'!AH579</f>
        <v>0</v>
      </c>
      <c r="V443" s="70">
        <f>'RESUMEN TOTAL'!AI579</f>
        <v>0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>
        <f>'RESUMEN TOTAL'!Y580</f>
        <v>0</v>
      </c>
      <c r="M444" s="70">
        <f>'RESUMEN TOTAL'!Z580</f>
        <v>0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>
        <f>'RESUMEN TOTAL'!AG580</f>
        <v>0</v>
      </c>
      <c r="U444" s="70">
        <f>'RESUMEN TOTAL'!AH580</f>
        <v>0</v>
      </c>
      <c r="V444" s="70">
        <f>'RESUMEN TOTAL'!AI580</f>
        <v>0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>
        <f>'RESUMEN TOTAL'!Y581</f>
        <v>0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>
        <f>'RESUMEN TOTAL'!Y582</f>
        <v>0</v>
      </c>
      <c r="M446" s="70">
        <f>'RESUMEN TOTAL'!Z582</f>
        <v>0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>
        <f>'RESUMEN TOTAL'!AE582</f>
        <v>0</v>
      </c>
      <c r="S446" s="70">
        <f>'RESUMEN TOTAL'!AF582</f>
        <v>0</v>
      </c>
      <c r="T446" s="70">
        <f>'RESUMEN TOTAL'!AG582</f>
        <v>0</v>
      </c>
      <c r="U446" s="70">
        <f>'RESUMEN TOTAL'!AH582</f>
        <v>0</v>
      </c>
      <c r="V446" s="70">
        <f>'RESUMEN TOTAL'!AI582</f>
        <v>0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>
        <f>'RESUMEN TOTAL'!AE591</f>
        <v>0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46" zoomScaleNormal="100" workbookViewId="0">
      <selection activeCell="D65" sqref="D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598</v>
      </c>
      <c r="D2" s="98"/>
      <c r="E2" s="103"/>
      <c r="F2" s="158">
        <v>46204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63</v>
      </c>
      <c r="D3" s="54"/>
      <c r="E3" s="55">
        <f>C3/C2</f>
        <v>0.10535117056856187</v>
      </c>
      <c r="F3" s="159"/>
    </row>
    <row r="4" spans="1:6" x14ac:dyDescent="0.25">
      <c r="A4" s="76"/>
      <c r="B4" s="53" t="s">
        <v>1217</v>
      </c>
      <c r="C4" s="67">
        <v>7</v>
      </c>
      <c r="D4" s="100">
        <f>C3-C4</f>
        <v>56</v>
      </c>
      <c r="E4" s="55">
        <f>D4/C2</f>
        <v>9.3645484949832769E-2</v>
      </c>
      <c r="F4" s="159"/>
    </row>
    <row r="5" spans="1:6" x14ac:dyDescent="0.25">
      <c r="A5" s="76"/>
      <c r="B5" s="53" t="s">
        <v>1218</v>
      </c>
      <c r="C5" s="67">
        <v>8</v>
      </c>
      <c r="D5" s="100">
        <f>D4-C5</f>
        <v>48</v>
      </c>
      <c r="E5" s="55">
        <f>D5/C2</f>
        <v>8.0267558528428096E-2</v>
      </c>
      <c r="F5" s="159"/>
    </row>
    <row r="6" spans="1:6" x14ac:dyDescent="0.25">
      <c r="A6" s="94" t="s">
        <v>1443</v>
      </c>
      <c r="B6" s="53" t="s">
        <v>15</v>
      </c>
      <c r="C6" s="91">
        <v>2</v>
      </c>
      <c r="D6" s="100">
        <f>D5-C6</f>
        <v>46</v>
      </c>
      <c r="E6" s="55">
        <f>D6/C2</f>
        <v>7.6923076923076927E-2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598</v>
      </c>
      <c r="D13" s="98"/>
      <c r="E13" s="103"/>
      <c r="F13" s="158">
        <v>46205</v>
      </c>
    </row>
    <row r="14" spans="1:6" x14ac:dyDescent="0.25">
      <c r="A14" t="s">
        <v>1444</v>
      </c>
      <c r="B14" s="53" t="s">
        <v>6</v>
      </c>
      <c r="C14" s="66">
        <v>89</v>
      </c>
      <c r="D14" s="54"/>
      <c r="E14" s="55">
        <f>C14/C13</f>
        <v>0.1488294314381271</v>
      </c>
      <c r="F14" s="159"/>
    </row>
    <row r="15" spans="1:6" x14ac:dyDescent="0.25">
      <c r="B15" s="53" t="s">
        <v>1217</v>
      </c>
      <c r="C15" s="67">
        <v>29</v>
      </c>
      <c r="D15" s="100">
        <v>84</v>
      </c>
      <c r="E15" s="55">
        <f>D15/C13</f>
        <v>0.14046822742474915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0.12876254180602006</v>
      </c>
      <c r="F16" s="159"/>
    </row>
    <row r="17" spans="1:6" x14ac:dyDescent="0.25">
      <c r="A17" t="s">
        <v>1444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598</v>
      </c>
      <c r="D24" s="98"/>
      <c r="E24" s="103"/>
      <c r="F24" s="158">
        <v>46206</v>
      </c>
    </row>
    <row r="25" spans="1:6" x14ac:dyDescent="0.25">
      <c r="A25" t="s">
        <v>1437</v>
      </c>
      <c r="B25" s="53" t="s">
        <v>6</v>
      </c>
      <c r="C25" s="66">
        <f>'RESUMEN TOTAL'!U3</f>
        <v>103</v>
      </c>
      <c r="D25" s="54"/>
      <c r="E25" s="55">
        <f>C25/C24</f>
        <v>0.17224080267558528</v>
      </c>
      <c r="F25" s="159"/>
    </row>
    <row r="26" spans="1:6" x14ac:dyDescent="0.25">
      <c r="B26" s="53" t="s">
        <v>1217</v>
      </c>
      <c r="C26" s="67">
        <v>8</v>
      </c>
      <c r="D26" s="100">
        <f>C25-C26</f>
        <v>95</v>
      </c>
      <c r="E26" s="55">
        <f>D26/C24</f>
        <v>0.15886287625418061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87</v>
      </c>
      <c r="E27" s="55">
        <f>D27/C24</f>
        <v>0.14548494983277591</v>
      </c>
      <c r="F27" s="159"/>
    </row>
    <row r="28" spans="1:6" x14ac:dyDescent="0.25">
      <c r="A28" t="s">
        <v>1437</v>
      </c>
      <c r="B28" s="53" t="s">
        <v>15</v>
      </c>
      <c r="C28" s="91">
        <v>4</v>
      </c>
      <c r="D28" s="100">
        <f>D27-C28</f>
        <v>83</v>
      </c>
      <c r="E28" s="55">
        <f>D28/C24</f>
        <v>0.13879598662207357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598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-7</v>
      </c>
      <c r="E37" s="55">
        <f>D37/C35</f>
        <v>-1.1705685618729096E-2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-21</v>
      </c>
      <c r="E38" s="55">
        <f>D38/C35</f>
        <v>-3.5117056856187288E-2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598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-7</v>
      </c>
      <c r="E48" s="55">
        <f>D48/C46</f>
        <v>-1.1705685618729096E-2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-17</v>
      </c>
      <c r="E49" s="55">
        <f>D49/C46</f>
        <v>-2.8428093645484948E-2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598</v>
      </c>
      <c r="D57" s="98"/>
      <c r="E57" s="103"/>
      <c r="F57" s="158">
        <v>46209</v>
      </c>
    </row>
    <row r="58" spans="1:6" x14ac:dyDescent="0.25">
      <c r="A58" t="s">
        <v>1439</v>
      </c>
      <c r="B58" s="53" t="s">
        <v>6</v>
      </c>
      <c r="C58" s="66">
        <f>'RESUMEN TOTAL'!X3</f>
        <v>67</v>
      </c>
      <c r="D58" s="54"/>
      <c r="E58" s="55">
        <f>C58/C57</f>
        <v>0.11204013377926421</v>
      </c>
      <c r="F58" s="159"/>
    </row>
    <row r="59" spans="1:6" x14ac:dyDescent="0.25">
      <c r="B59" s="53" t="s">
        <v>1217</v>
      </c>
      <c r="C59" s="67">
        <v>9</v>
      </c>
      <c r="D59" s="100">
        <f>C58-C59</f>
        <v>58</v>
      </c>
      <c r="E59" s="55">
        <f>D59/C57</f>
        <v>9.6989966555183951E-2</v>
      </c>
      <c r="F59" s="159"/>
    </row>
    <row r="60" spans="1:6" x14ac:dyDescent="0.25">
      <c r="B60" s="53" t="s">
        <v>1218</v>
      </c>
      <c r="C60" s="67">
        <v>8</v>
      </c>
      <c r="D60" s="100">
        <f>D59-C60</f>
        <v>50</v>
      </c>
      <c r="E60" s="55">
        <f>D60/C57</f>
        <v>8.3612040133779264E-2</v>
      </c>
      <c r="F60" s="159"/>
    </row>
    <row r="61" spans="1:6" x14ac:dyDescent="0.25">
      <c r="A61" t="s">
        <v>1439</v>
      </c>
      <c r="B61" s="53" t="s">
        <v>15</v>
      </c>
      <c r="C61" s="91">
        <v>2</v>
      </c>
      <c r="D61" s="100">
        <f>D60-C61</f>
        <v>48</v>
      </c>
      <c r="E61" s="55">
        <f>D61/C57</f>
        <v>8.0267558528428096E-2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598</v>
      </c>
      <c r="D68" s="98"/>
      <c r="E68" s="103"/>
      <c r="F68" s="158">
        <v>46149</v>
      </c>
    </row>
    <row r="69" spans="1:6" x14ac:dyDescent="0.25">
      <c r="A69" t="s">
        <v>1440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1217</v>
      </c>
      <c r="C70" s="67">
        <v>11</v>
      </c>
      <c r="D70" s="100">
        <f>C69-C70</f>
        <v>-11</v>
      </c>
      <c r="E70" s="55">
        <f>D70/C68</f>
        <v>-1.839464882943144E-2</v>
      </c>
      <c r="F70" s="159"/>
    </row>
    <row r="71" spans="1:6" x14ac:dyDescent="0.25">
      <c r="B71" s="53" t="s">
        <v>1218</v>
      </c>
      <c r="C71" s="67">
        <v>12</v>
      </c>
      <c r="D71" s="100">
        <f>D70-C71</f>
        <v>-23</v>
      </c>
      <c r="E71" s="55">
        <f>D71/C68</f>
        <v>-3.8461538461538464E-2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-3.8461538461538464E-2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78</v>
      </c>
      <c r="E76" s="111">
        <f>D76/C76</f>
        <v>0.27083333333333331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598</v>
      </c>
      <c r="D79" s="98"/>
      <c r="E79" s="103"/>
      <c r="F79" s="158">
        <v>46181</v>
      </c>
    </row>
    <row r="80" spans="1:6" x14ac:dyDescent="0.25">
      <c r="A80" t="s">
        <v>1435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59"/>
    </row>
    <row r="81" spans="1:6" x14ac:dyDescent="0.25">
      <c r="B81" s="53" t="s">
        <v>1217</v>
      </c>
      <c r="C81" s="67">
        <v>4</v>
      </c>
      <c r="D81" s="100">
        <f>C80-C81</f>
        <v>-4</v>
      </c>
      <c r="E81" s="55">
        <f>D81/C79</f>
        <v>-6.688963210702341E-3</v>
      </c>
      <c r="F81" s="159"/>
    </row>
    <row r="82" spans="1:6" x14ac:dyDescent="0.25">
      <c r="B82" s="53" t="s">
        <v>1218</v>
      </c>
      <c r="C82" s="67">
        <v>10</v>
      </c>
      <c r="D82" s="100">
        <f>D81-C82</f>
        <v>-14</v>
      </c>
      <c r="E82" s="55">
        <f>D82/C79</f>
        <v>-2.3411371237458192E-2</v>
      </c>
      <c r="F82" s="159"/>
    </row>
    <row r="83" spans="1:6" x14ac:dyDescent="0.25">
      <c r="A83" t="s">
        <v>1435</v>
      </c>
      <c r="B83" s="53" t="s">
        <v>15</v>
      </c>
      <c r="C83" s="91">
        <v>5</v>
      </c>
      <c r="D83" s="100">
        <f>D82-C83</f>
        <v>-19</v>
      </c>
      <c r="E83" s="55">
        <f>D83/C79</f>
        <v>-3.177257525083612E-2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50</v>
      </c>
      <c r="E87" s="111">
        <f>D87/C87</f>
        <v>0.1736111111111111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598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-8</v>
      </c>
      <c r="E92" s="55">
        <f>D92/C90</f>
        <v>-1.3377926421404682E-2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-18</v>
      </c>
      <c r="E93" s="55">
        <f>D93/C90</f>
        <v>-3.0100334448160536E-2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598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0.14715719063545152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0.14214046822742474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0.1254180602006689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598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-8</v>
      </c>
      <c r="E114" s="55">
        <f>D114/C112</f>
        <v>-1.3377926421404682E-2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-17</v>
      </c>
      <c r="E115" s="55">
        <f>D115/C112</f>
        <v>-2.8428093645484948E-2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598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-8</v>
      </c>
      <c r="E125" s="55">
        <f>D125/C123</f>
        <v>-1.3377926421404682E-2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-17</v>
      </c>
      <c r="E126" s="55">
        <f>D126/C123</f>
        <v>-2.8428093645484948E-2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598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0.1939799331103679</v>
      </c>
      <c r="F135" s="159"/>
    </row>
    <row r="136" spans="2:6" x14ac:dyDescent="0.25">
      <c r="B136" s="53" t="s">
        <v>1217</v>
      </c>
      <c r="C136" s="67">
        <v>9</v>
      </c>
      <c r="D136" s="100">
        <f>C135-C136</f>
        <v>107</v>
      </c>
      <c r="E136" s="55">
        <f>D136/C134</f>
        <v>0.17892976588628762</v>
      </c>
      <c r="F136" s="159"/>
    </row>
    <row r="137" spans="2:6" x14ac:dyDescent="0.25">
      <c r="B137" s="53" t="s">
        <v>1218</v>
      </c>
      <c r="C137" s="67">
        <v>12</v>
      </c>
      <c r="D137" s="100">
        <f>D136-C137</f>
        <v>95</v>
      </c>
      <c r="E137" s="55">
        <f>D137/C134</f>
        <v>0.15886287625418061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0.1488294314381271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72</v>
      </c>
      <c r="E142" s="111">
        <f>D142/C142</f>
        <v>0.25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598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1217</v>
      </c>
      <c r="C147" s="67">
        <v>7</v>
      </c>
      <c r="D147" s="100">
        <f>C146-C147</f>
        <v>-7</v>
      </c>
      <c r="E147" s="55">
        <f>D147/C145</f>
        <v>-1.1705685618729096E-2</v>
      </c>
      <c r="F147" s="159"/>
    </row>
    <row r="148" spans="2:6" x14ac:dyDescent="0.25">
      <c r="B148" s="53" t="s">
        <v>1218</v>
      </c>
      <c r="C148" s="67">
        <v>12</v>
      </c>
      <c r="D148" s="100">
        <f>D147-C148</f>
        <v>-19</v>
      </c>
      <c r="E148" s="55">
        <f>D148/C145</f>
        <v>-3.177257525083612E-2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-4.0133779264214048E-2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72</v>
      </c>
      <c r="E153" s="111">
        <f>D153/C153</f>
        <v>0.25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598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-2.508361204013378E-2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-4.51505016722408E-2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-5.1839464882943144E-2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77</v>
      </c>
      <c r="E164" s="111">
        <f>D164/C164</f>
        <v>0.2673611111111111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598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-9</v>
      </c>
      <c r="E169" s="55">
        <f>D169/C167</f>
        <v>-1.5050167224080268E-2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-18</v>
      </c>
      <c r="E170" s="55">
        <f>D170/C167</f>
        <v>-3.0100334448160536E-2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-23</v>
      </c>
      <c r="E171" s="55">
        <f>D171/C167</f>
        <v>-3.8461538461538464E-2</v>
      </c>
      <c r="F171" s="159"/>
    </row>
    <row r="172" spans="2:6" ht="15.75" thickBot="1" x14ac:dyDescent="0.3">
      <c r="B172" s="56"/>
      <c r="C172" s="128"/>
      <c r="D172" s="101">
        <f>D171-C172</f>
        <v>-23</v>
      </c>
      <c r="E172" s="74">
        <f>D172/C167</f>
        <v>-3.8461538461538464E-2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57</v>
      </c>
      <c r="E175" s="111">
        <f>D175/C175</f>
        <v>0.19791666666666666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598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-9</v>
      </c>
      <c r="E180" s="55">
        <f>D180/C178</f>
        <v>-1.5050167224080268E-2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-18</v>
      </c>
      <c r="E181" s="55">
        <f>D181/C178</f>
        <v>-3.0100334448160536E-2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-4.0133779264214048E-2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598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-8</v>
      </c>
      <c r="E191" s="55">
        <f>D191/C189</f>
        <v>-1.3377926421404682E-2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-17</v>
      </c>
      <c r="E192" s="55">
        <f>D192/C189</f>
        <v>-2.8428093645484948E-2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598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-6</v>
      </c>
      <c r="E202" s="55">
        <f>D202/C200</f>
        <v>-1.0033444816053512E-2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-15</v>
      </c>
      <c r="E203" s="55">
        <f>D203/C200</f>
        <v>-2.508361204013378E-2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598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-2.6755852842809364E-2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-4.6822742474916385E-2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-5.6856187290969896E-2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598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0.12876254180602006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0.10869565217391304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598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0.12040133779264214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0.10535117056856187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598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0.11538461538461539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0.10033444816053512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598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0.18227424749163879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0.16220735785953178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598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-1.0033444816053512E-2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-2.6755852842809364E-2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598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-11</v>
      </c>
      <c r="E283" s="55">
        <f>D283/C281</f>
        <v>-1.839464882943144E-2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-20</v>
      </c>
      <c r="E284" s="55">
        <f>D284/C281</f>
        <v>-3.3444816053511704E-2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598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-1.3377926421404682E-2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-3.3444816053511704E-2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598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9.3645484949832769E-2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7.8595317725752512E-2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598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0.14214046822742474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0.13712374581939799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598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1217</v>
      </c>
      <c r="C327" s="67">
        <v>9</v>
      </c>
      <c r="D327" s="100">
        <f>C326-C327</f>
        <v>-9</v>
      </c>
      <c r="E327" s="55">
        <f>D327/C325</f>
        <v>-1.5050167224080268E-2</v>
      </c>
      <c r="F327" s="159"/>
    </row>
    <row r="328" spans="2:6" x14ac:dyDescent="0.25">
      <c r="B328" s="53" t="s">
        <v>1218</v>
      </c>
      <c r="C328" s="67">
        <v>7</v>
      </c>
      <c r="D328" s="100">
        <f>D327-C328</f>
        <v>-16</v>
      </c>
      <c r="E328" s="55">
        <f>D328/C325</f>
        <v>-2.6755852842809364E-2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598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2026-07-06T16:40:34Z</dcterms:modified>
</cp:coreProperties>
</file>