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9525C3F1-1006-478C-BA67-A66306DB923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<sst xmlns="http://schemas.openxmlformats.org/spreadsheetml/2006/main" count="6055" uniqueCount="2479">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</sst>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9"/>
  <sheetViews>
    <sheetView tabSelected="1" zoomScaleNormal="100" zoomScaleSheetLayoutView="100" workbookViewId="0">
      <pane xSplit="18" ySplit="7" topLeftCell="S96" activePane="bottomRight" state="frozen"/>
      <selection activeCell="G1" sqref="G1"/>
      <selection pane="topRight" activeCell="S1" sqref="S1"/>
      <selection pane="bottomLeft" activeCell="G8" sqref="G8"/>
      <selection pane="bottomRight" activeCell="N1" activeCellId="1" sqref="L1:L1048576 N1:R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5.5703125" style="30" customWidth="1"/>
    <col min="8" max="8" width="10.42578125" style="30" customWidth="1"/>
    <col min="9" max="9" width="29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7" width="21.85546875" hidden="1" customWidth="1"/>
    <col min="18" max="18" width="21.85546875" style="4" hidden="1" customWidth="1"/>
    <col min="19" max="20" width="9.28515625" style="14" customWidth="1"/>
    <col min="21" max="21" width="9.85546875" style="14" customWidth="1"/>
    <col min="22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0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0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0</v>
      </c>
      <c r="AA4" s="10">
        <f>COUNTIFS(AA8:AA707, "=APAGADO",K8:K707,"=Fibra Optica")</f>
        <v>0</v>
      </c>
      <c r="AB4" s="10">
        <f>COUNTIFS(AB8:AB707, "=APAGADO",K8:K707,"=Fibra Optica")</f>
        <v>0</v>
      </c>
      <c r="AC4" s="10">
        <f>COUNTIFS(AC8:AC707, "=APAGADO",K8:K707,"=Fibra Optica")</f>
        <v>0</v>
      </c>
      <c r="AD4" s="10">
        <f>COUNTIFS(AD8:AD707, "=APAGADO",K8:K707,"=Fibra Optica")</f>
        <v>0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5</v>
      </c>
      <c r="V5" s="127">
        <f>COUNTIFS(V8:V707, "=APAGADO",K8:K707,"=RADIO")</f>
        <v>5</v>
      </c>
      <c r="W5" s="127">
        <f>COUNTIFS(W8:W707, "=APAGADO",K8:K707,"=RADIO")</f>
        <v>0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0</v>
      </c>
      <c r="AA5" s="127">
        <f>COUNTIFS(AA8:AA707, "=APAGADO",K8:K707,"=RADIO")</f>
        <v>0</v>
      </c>
      <c r="AB5" s="127">
        <f>COUNTIFS(AB8:AB707, "=APAGADO",K8:K707,"=RADIO")</f>
        <v>0</v>
      </c>
      <c r="AC5" s="127">
        <f>COUNTIFS(AC8:AC707, "=APAGADO",K8:K707,"=RADIO")</f>
        <v>0</v>
      </c>
      <c r="AD5" s="127">
        <f>COUNTIFS(AD8:AD707, "=APAGADO",K8:K707,"=RADIO")</f>
        <v>0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0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0</v>
      </c>
      <c r="AA6" s="10">
        <f>COUNTIFS(AA8:AA707, "=APAGADO",K8:K707,"=PTO A FO")</f>
        <v>0</v>
      </c>
      <c r="AB6" s="10">
        <f>COUNTIFS(AB8:AB707, "=APAGADO",K8:K707,"=PTO A FO")</f>
        <v>0</v>
      </c>
      <c r="AC6" s="10">
        <f>COUNTIFS(AC8:AC707, "=APAGADO",K8:K707,"=PTO A FO")</f>
        <v>0</v>
      </c>
      <c r="AD6" s="10">
        <f>COUNTIFS(AD8:AD707, "=APAGADO",K8:K707,"=PTO A FO")</f>
        <v>0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25</v>
      </c>
      <c r="P13" s="136" t="s">
        <v>1639</v>
      </c>
      <c r="Q13" s="131">
        <f t="shared" si="5"/>
        <v>3</v>
      </c>
      <c r="R13" s="132">
        <f t="shared" si="6"/>
        <v>0.8928571428571429</v>
      </c>
      <c r="S13" s="70"/>
      <c r="T13" s="70" t="s">
        <v>2221</v>
      </c>
      <c r="U13" s="70" t="s">
        <v>2221</v>
      </c>
      <c r="V13" s="70" t="s">
        <v>2221</v>
      </c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2141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24</v>
      </c>
      <c r="P51" s="136" t="s">
        <v>1704</v>
      </c>
      <c r="Q51" s="131">
        <f t="shared" si="8"/>
        <v>4</v>
      </c>
      <c r="R51" s="132">
        <f t="shared" si="9"/>
        <v>0.8571428571428571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24</v>
      </c>
      <c r="P77" s="136" t="s">
        <v>2427</v>
      </c>
      <c r="Q77" s="31">
        <f t="shared" si="11"/>
        <v>4</v>
      </c>
      <c r="R77" s="32">
        <f t="shared" si="12"/>
        <v>0.8571428571428571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24</v>
      </c>
      <c r="P110" s="136" t="s">
        <v>1691</v>
      </c>
      <c r="Q110" s="31">
        <f t="shared" si="14"/>
        <v>4</v>
      </c>
      <c r="R110" s="32">
        <f t="shared" si="15"/>
        <v>0.8571428571428571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24</v>
      </c>
      <c r="P112" s="136" t="s">
        <v>1693</v>
      </c>
      <c r="Q112" s="31">
        <f t="shared" si="14"/>
        <v>4</v>
      </c>
      <c r="R112" s="32">
        <f t="shared" si="15"/>
        <v>0.8571428571428571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26</v>
      </c>
      <c r="P113" s="136" t="s">
        <v>1694</v>
      </c>
      <c r="Q113" s="31">
        <f t="shared" si="14"/>
        <v>2</v>
      </c>
      <c r="R113" s="32">
        <f t="shared" si="15"/>
        <v>0.9285714285714286</v>
      </c>
      <c r="S113" s="70"/>
      <c r="T113" s="70"/>
      <c r="U113" s="70" t="s">
        <v>2221</v>
      </c>
      <c r="V113" s="70" t="s">
        <v>2221</v>
      </c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24</v>
      </c>
      <c r="P118" s="136" t="s">
        <v>1699</v>
      </c>
      <c r="Q118" s="31">
        <f t="shared" si="14"/>
        <v>4</v>
      </c>
      <c r="R118" s="32">
        <f t="shared" si="15"/>
        <v>0.8571428571428571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24</v>
      </c>
      <c r="P129" s="136" t="s">
        <v>1723</v>
      </c>
      <c r="Q129" s="31">
        <f t="shared" si="17"/>
        <v>4</v>
      </c>
      <c r="R129" s="32">
        <f t="shared" si="18"/>
        <v>0.8571428571428571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/>
      <c r="X129" s="70"/>
      <c r="Y129" s="70"/>
      <c r="Z129" s="70"/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28</v>
      </c>
      <c r="P144" s="136" t="s">
        <v>1745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24</v>
      </c>
      <c r="P149" s="136" t="s">
        <v>1749</v>
      </c>
      <c r="Q149" s="31">
        <f t="shared" si="17"/>
        <v>4</v>
      </c>
      <c r="R149" s="32">
        <f t="shared" si="18"/>
        <v>0.8571428571428571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2310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28</v>
      </c>
      <c r="P156" s="136" t="s">
        <v>2311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2308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28</v>
      </c>
      <c r="P162" s="136" t="s">
        <v>2307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24</v>
      </c>
      <c r="P166" s="136" t="s">
        <v>1757</v>
      </c>
      <c r="Q166" s="31">
        <f t="shared" si="20"/>
        <v>4</v>
      </c>
      <c r="R166" s="32">
        <f t="shared" si="21"/>
        <v>0.8571428571428571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24</v>
      </c>
      <c r="P171" s="140" t="s">
        <v>1762</v>
      </c>
      <c r="Q171" s="139">
        <f t="shared" si="20"/>
        <v>4</v>
      </c>
      <c r="R171" s="141">
        <f t="shared" si="21"/>
        <v>0.8571428571428571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/>
      <c r="X171" s="70"/>
      <c r="Y171" s="70"/>
      <c r="Z171" s="70"/>
      <c r="AA171" s="142"/>
      <c r="AB171" s="142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24</v>
      </c>
      <c r="P176" s="136" t="s">
        <v>1775</v>
      </c>
      <c r="Q176" s="31">
        <f t="shared" si="20"/>
        <v>4</v>
      </c>
      <c r="R176" s="32">
        <f t="shared" si="21"/>
        <v>0.8571428571428571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24</v>
      </c>
      <c r="P177" s="136" t="s">
        <v>1776</v>
      </c>
      <c r="Q177" s="31">
        <f t="shared" si="20"/>
        <v>4</v>
      </c>
      <c r="R177" s="32">
        <f t="shared" si="21"/>
        <v>0.8571428571428571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28</v>
      </c>
      <c r="P181" s="136" t="s">
        <v>1763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1766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28</v>
      </c>
      <c r="P189" s="136" t="s">
        <v>1771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28</v>
      </c>
      <c r="P193" s="136" t="s">
        <v>2123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24</v>
      </c>
      <c r="P197" s="140"/>
      <c r="Q197" s="139">
        <f t="shared" si="23"/>
        <v>4</v>
      </c>
      <c r="R197" s="141">
        <f t="shared" si="24"/>
        <v>0.8571428571428571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/>
      <c r="X197" s="70"/>
      <c r="Y197" s="70"/>
      <c r="Z197" s="70"/>
      <c r="AA197" s="142"/>
      <c r="AB197" s="142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26</v>
      </c>
      <c r="P198" s="136" t="s">
        <v>1786</v>
      </c>
      <c r="Q198" s="131">
        <f t="shared" si="23"/>
        <v>2</v>
      </c>
      <c r="R198" s="132">
        <f t="shared" si="24"/>
        <v>0.9285714285714286</v>
      </c>
      <c r="S198" s="70" t="s">
        <v>2221</v>
      </c>
      <c r="T198" s="70" t="s">
        <v>2221</v>
      </c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28</v>
      </c>
      <c r="P199" s="136" t="s">
        <v>1789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24</v>
      </c>
      <c r="P206" s="136" t="s">
        <v>1796</v>
      </c>
      <c r="Q206" s="131">
        <f t="shared" si="23"/>
        <v>4</v>
      </c>
      <c r="R206" s="132">
        <f t="shared" si="24"/>
        <v>0.8571428571428571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28</v>
      </c>
      <c r="P208" s="136" t="s">
        <v>1781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28</v>
      </c>
      <c r="P209" s="136" t="s">
        <v>1782</v>
      </c>
      <c r="Q209" s="131">
        <f t="shared" si="26"/>
        <v>0</v>
      </c>
      <c r="R209" s="1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28</v>
      </c>
      <c r="P210" s="136" t="s">
        <v>1783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28</v>
      </c>
      <c r="P212" s="136" t="s">
        <v>1785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28</v>
      </c>
      <c r="P214" s="136" t="s">
        <v>1787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28</v>
      </c>
      <c r="P215" s="136" t="s">
        <v>1788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28</v>
      </c>
      <c r="P216" s="136" t="s">
        <v>1790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28</v>
      </c>
      <c r="P217" s="136" t="s">
        <v>1797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28</v>
      </c>
      <c r="P226" s="136" t="s">
        <v>1802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28</v>
      </c>
      <c r="P227" s="136" t="s">
        <v>1803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1804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1805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28</v>
      </c>
      <c r="P230" s="136" t="s">
        <v>1806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28</v>
      </c>
      <c r="P231" s="136" t="s">
        <v>1807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25</v>
      </c>
      <c r="P232" s="136" t="s">
        <v>2428</v>
      </c>
      <c r="Q232" s="131">
        <f t="shared" si="26"/>
        <v>3</v>
      </c>
      <c r="R232" s="132">
        <f t="shared" si="27"/>
        <v>0.8928571428571429</v>
      </c>
      <c r="S232" s="70"/>
      <c r="T232" s="70" t="s">
        <v>2221</v>
      </c>
      <c r="U232" s="70" t="s">
        <v>2221</v>
      </c>
      <c r="V232" s="70" t="s">
        <v>2221</v>
      </c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28</v>
      </c>
      <c r="P233" s="136" t="s">
        <v>2225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24</v>
      </c>
      <c r="P251" s="136" t="s">
        <v>1824</v>
      </c>
      <c r="Q251" s="31">
        <f t="shared" si="29"/>
        <v>4</v>
      </c>
      <c r="R251" s="32">
        <f t="shared" si="30"/>
        <v>0.8571428571428571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26</v>
      </c>
      <c r="P252" s="136" t="s">
        <v>1825</v>
      </c>
      <c r="Q252" s="31">
        <f t="shared" si="29"/>
        <v>2</v>
      </c>
      <c r="R252" s="32">
        <f t="shared" si="30"/>
        <v>0.9285714285714286</v>
      </c>
      <c r="S252" s="70" t="s">
        <v>2221</v>
      </c>
      <c r="T252" s="70" t="s">
        <v>2221</v>
      </c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24</v>
      </c>
      <c r="P255" s="140" t="s">
        <v>1826</v>
      </c>
      <c r="Q255" s="139">
        <f t="shared" si="29"/>
        <v>4</v>
      </c>
      <c r="R255" s="141">
        <f t="shared" si="30"/>
        <v>0.8571428571428571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/>
      <c r="X255" s="70"/>
      <c r="Y255" s="70"/>
      <c r="Z255" s="70"/>
      <c r="AA255" s="142"/>
      <c r="AB255" s="142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24</v>
      </c>
      <c r="P256" s="140" t="s">
        <v>2235</v>
      </c>
      <c r="Q256" s="139">
        <f t="shared" si="29"/>
        <v>4</v>
      </c>
      <c r="R256" s="141">
        <f t="shared" si="30"/>
        <v>0.8571428571428571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/>
      <c r="X256" s="70"/>
      <c r="Y256" s="70"/>
      <c r="Z256" s="70"/>
      <c r="AA256" s="142"/>
      <c r="AB256" s="142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25</v>
      </c>
      <c r="P261" s="136" t="s">
        <v>2395</v>
      </c>
      <c r="Q261" s="31">
        <f t="shared" si="29"/>
        <v>3</v>
      </c>
      <c r="R261" s="32">
        <f t="shared" si="30"/>
        <v>0.8928571428571429</v>
      </c>
      <c r="S261" s="70"/>
      <c r="T261" s="70" t="s">
        <v>2221</v>
      </c>
      <c r="U261" s="70" t="s">
        <v>2221</v>
      </c>
      <c r="V261" s="70" t="s">
        <v>2221</v>
      </c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24</v>
      </c>
      <c r="P276" s="136" t="s">
        <v>1840</v>
      </c>
      <c r="Q276" s="31">
        <f t="shared" si="32"/>
        <v>4</v>
      </c>
      <c r="R276" s="32">
        <f t="shared" si="33"/>
        <v>0.8571428571428571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28</v>
      </c>
      <c r="P286" s="136" t="s">
        <v>1847</v>
      </c>
      <c r="Q286" s="31">
        <f t="shared" si="32"/>
        <v>0</v>
      </c>
      <c r="R286" s="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28</v>
      </c>
      <c r="P289" s="136" t="s">
        <v>1849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28</v>
      </c>
      <c r="P292" s="136" t="s">
        <v>1656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28</v>
      </c>
      <c r="P298" s="143" t="s">
        <v>1651</v>
      </c>
      <c r="Q298" s="139">
        <f t="shared" si="32"/>
        <v>0</v>
      </c>
      <c r="R298" s="141">
        <f t="shared" si="33"/>
        <v>1</v>
      </c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24</v>
      </c>
      <c r="P299" s="136" t="s">
        <v>2113</v>
      </c>
      <c r="Q299" s="131">
        <f t="shared" si="32"/>
        <v>4</v>
      </c>
      <c r="R299" s="132">
        <f t="shared" si="33"/>
        <v>0.8571428571428571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24</v>
      </c>
      <c r="P300" s="136" t="s">
        <v>2107</v>
      </c>
      <c r="Q300" s="131">
        <f t="shared" si="32"/>
        <v>4</v>
      </c>
      <c r="R300" s="132">
        <f t="shared" si="33"/>
        <v>0.8571428571428571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28</v>
      </c>
      <c r="P306" s="136" t="s">
        <v>1862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28</v>
      </c>
      <c r="P307" s="136" t="s">
        <v>1863</v>
      </c>
      <c r="Q307" s="31">
        <f t="shared" si="32"/>
        <v>0</v>
      </c>
      <c r="R307" s="32">
        <f t="shared" si="33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24</v>
      </c>
      <c r="P318" s="136" t="s">
        <v>1877</v>
      </c>
      <c r="Q318" s="131">
        <f t="shared" si="32"/>
        <v>4</v>
      </c>
      <c r="R318" s="132">
        <f t="shared" si="33"/>
        <v>0.8571428571428571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24</v>
      </c>
      <c r="P320" s="136" t="s">
        <v>2146</v>
      </c>
      <c r="Q320" s="131">
        <f t="shared" si="32"/>
        <v>4</v>
      </c>
      <c r="R320" s="132">
        <f t="shared" si="33"/>
        <v>0.8571428571428571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1881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28</v>
      </c>
      <c r="P323" s="136" t="s">
        <v>1864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24</v>
      </c>
      <c r="P327" s="136" t="s">
        <v>1878</v>
      </c>
      <c r="Q327" s="31">
        <f t="shared" si="32"/>
        <v>4</v>
      </c>
      <c r="R327" s="32">
        <f t="shared" si="33"/>
        <v>0.8571428571428571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142"/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24</v>
      </c>
      <c r="P328" s="136" t="s">
        <v>1879</v>
      </c>
      <c r="Q328" s="131">
        <f t="shared" si="32"/>
        <v>4</v>
      </c>
      <c r="R328" s="132">
        <f t="shared" si="33"/>
        <v>0.8571428571428571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24</v>
      </c>
      <c r="P329" s="136" t="s">
        <v>1880</v>
      </c>
      <c r="Q329" s="131">
        <f t="shared" si="32"/>
        <v>4</v>
      </c>
      <c r="R329" s="132">
        <f t="shared" si="33"/>
        <v>0.8571428571428571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142"/>
      <c r="X329" s="142"/>
      <c r="Y329" s="142"/>
      <c r="Z329" s="142"/>
      <c r="AA329" s="142"/>
      <c r="AB329" s="148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24</v>
      </c>
      <c r="P340" s="136" t="s">
        <v>1893</v>
      </c>
      <c r="Q340" s="31">
        <f t="shared" si="35"/>
        <v>4</v>
      </c>
      <c r="R340" s="32">
        <f t="shared" si="36"/>
        <v>0.8571428571428571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24</v>
      </c>
      <c r="P360" s="136" t="s">
        <v>1899</v>
      </c>
      <c r="Q360" s="31">
        <f t="shared" si="35"/>
        <v>4</v>
      </c>
      <c r="R360" s="32">
        <f t="shared" si="36"/>
        <v>0.8571428571428571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24</v>
      </c>
      <c r="P361" s="136" t="s">
        <v>1900</v>
      </c>
      <c r="Q361" s="31">
        <f t="shared" si="35"/>
        <v>4</v>
      </c>
      <c r="R361" s="32">
        <f t="shared" si="36"/>
        <v>0.8571428571428571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28</v>
      </c>
      <c r="P383" s="136" t="s">
        <v>2401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396</v>
      </c>
      <c r="G393" s="69" t="s">
        <v>883</v>
      </c>
      <c r="H393" s="69" t="s">
        <v>1041</v>
      </c>
      <c r="I393" s="69" t="s">
        <v>884</v>
      </c>
      <c r="J393" s="137" t="s">
        <v>18</v>
      </c>
      <c r="K393" s="137" t="s">
        <v>27</v>
      </c>
      <c r="L393" s="137"/>
      <c r="M393" s="137" t="s">
        <v>891</v>
      </c>
      <c r="N393" s="137" t="s">
        <v>2265</v>
      </c>
      <c r="O393" s="139">
        <f t="shared" si="34"/>
        <v>24</v>
      </c>
      <c r="P393" s="140" t="s">
        <v>1942</v>
      </c>
      <c r="Q393" s="139">
        <f t="shared" si="35"/>
        <v>4</v>
      </c>
      <c r="R393" s="141">
        <f t="shared" si="36"/>
        <v>0.8571428571428571</v>
      </c>
      <c r="S393" s="70" t="s">
        <v>2221</v>
      </c>
      <c r="T393" s="70" t="s">
        <v>2221</v>
      </c>
      <c r="U393" s="70" t="s">
        <v>2221</v>
      </c>
      <c r="V393" s="70" t="s">
        <v>2221</v>
      </c>
      <c r="W393" s="70"/>
      <c r="X393" s="70"/>
      <c r="Y393" s="70"/>
      <c r="Z393" s="70"/>
      <c r="AA393" s="142"/>
      <c r="AB393" s="142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42"/>
      <c r="AR393" s="70"/>
      <c r="AS393" s="70"/>
      <c r="AT393" s="70"/>
      <c r="AU393" s="70"/>
      <c r="AV393" s="70"/>
    </row>
    <row r="394" spans="1:49" ht="15.75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24</v>
      </c>
      <c r="P401" s="136"/>
      <c r="Q401" s="31">
        <f t="shared" si="38"/>
        <v>4</v>
      </c>
      <c r="R401" s="32">
        <f t="shared" si="39"/>
        <v>0.8571428571428571</v>
      </c>
      <c r="S401" s="70" t="s">
        <v>2221</v>
      </c>
      <c r="T401" s="70" t="s">
        <v>2221</v>
      </c>
      <c r="U401" s="70" t="s">
        <v>2221</v>
      </c>
      <c r="V401" s="70" t="s">
        <v>2221</v>
      </c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24</v>
      </c>
      <c r="P408" s="140"/>
      <c r="Q408" s="139">
        <f t="shared" si="38"/>
        <v>4</v>
      </c>
      <c r="R408" s="141">
        <f t="shared" si="39"/>
        <v>0.8571428571428571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1"/>
      <c r="X408" s="70"/>
      <c r="Y408" s="70"/>
      <c r="Z408" s="70"/>
      <c r="AA408" s="148"/>
      <c r="AB408" s="148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24</v>
      </c>
      <c r="P412" s="136" t="s">
        <v>1949</v>
      </c>
      <c r="Q412" s="85">
        <f t="shared" si="38"/>
        <v>4</v>
      </c>
      <c r="R412" s="86">
        <f t="shared" si="39"/>
        <v>0.8571428571428571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24</v>
      </c>
      <c r="P414" s="136" t="s">
        <v>1950</v>
      </c>
      <c r="Q414" s="31">
        <f t="shared" si="38"/>
        <v>4</v>
      </c>
      <c r="R414" s="32">
        <f t="shared" si="39"/>
        <v>0.8571428571428571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24</v>
      </c>
      <c r="P415" s="136" t="s">
        <v>1951</v>
      </c>
      <c r="Q415" s="31">
        <f t="shared" si="38"/>
        <v>4</v>
      </c>
      <c r="R415" s="32">
        <f t="shared" si="39"/>
        <v>0.8571428571428571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24</v>
      </c>
      <c r="P426" s="136"/>
      <c r="Q426" s="31">
        <f t="shared" si="38"/>
        <v>4</v>
      </c>
      <c r="R426" s="32">
        <f t="shared" si="39"/>
        <v>0.8571428571428571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1"/>
      <c r="X426" s="70"/>
      <c r="Y426" s="70"/>
      <c r="Z426" s="70"/>
      <c r="AA426" s="71"/>
      <c r="AB426" s="71"/>
      <c r="AC426" s="70"/>
      <c r="AD426" s="70"/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28</v>
      </c>
      <c r="P429" s="136" t="s">
        <v>1960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24</v>
      </c>
      <c r="P433" s="136" t="s">
        <v>1957</v>
      </c>
      <c r="Q433" s="131">
        <f t="shared" si="38"/>
        <v>4</v>
      </c>
      <c r="R433" s="132">
        <f t="shared" si="39"/>
        <v>0.8571428571428571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24</v>
      </c>
      <c r="P443" s="136" t="s">
        <v>1972</v>
      </c>
      <c r="Q443" s="131">
        <f t="shared" si="38"/>
        <v>4</v>
      </c>
      <c r="R443" s="132">
        <f t="shared" si="39"/>
        <v>0.8571428571428571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24</v>
      </c>
      <c r="P445" s="140"/>
      <c r="Q445" s="139">
        <f t="shared" si="38"/>
        <v>4</v>
      </c>
      <c r="R445" s="141">
        <f t="shared" si="39"/>
        <v>0.8571428571428571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/>
      <c r="X445" s="70"/>
      <c r="Y445" s="70"/>
      <c r="Z445" s="70"/>
      <c r="AA445" s="142"/>
      <c r="AB445" s="142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24</v>
      </c>
      <c r="P457" s="140"/>
      <c r="Q457" s="139">
        <f t="shared" si="38"/>
        <v>4</v>
      </c>
      <c r="R457" s="141">
        <f t="shared" si="39"/>
        <v>0.8571428571428571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/>
      <c r="X457" s="70"/>
      <c r="Y457" s="70"/>
      <c r="Z457" s="70"/>
      <c r="AA457" s="142"/>
      <c r="AB457" s="142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24</v>
      </c>
      <c r="P470" s="136" t="s">
        <v>1985</v>
      </c>
      <c r="Q470" s="131">
        <f t="shared" si="41"/>
        <v>4</v>
      </c>
      <c r="R470" s="132">
        <f t="shared" si="42"/>
        <v>0.8571428571428571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24</v>
      </c>
      <c r="P471" s="136" t="s">
        <v>1986</v>
      </c>
      <c r="Q471" s="131">
        <f t="shared" si="41"/>
        <v>4</v>
      </c>
      <c r="R471" s="132">
        <f t="shared" si="42"/>
        <v>0.8571428571428571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24</v>
      </c>
      <c r="P472" s="136"/>
      <c r="Q472" s="131">
        <f t="shared" si="41"/>
        <v>4</v>
      </c>
      <c r="R472" s="132">
        <f t="shared" si="42"/>
        <v>0.8571428571428571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24</v>
      </c>
      <c r="P474" s="136"/>
      <c r="Q474" s="131">
        <f t="shared" si="41"/>
        <v>4</v>
      </c>
      <c r="R474" s="132">
        <f t="shared" si="42"/>
        <v>0.8571428571428571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28</v>
      </c>
      <c r="P475" s="136" t="s">
        <v>1987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28</v>
      </c>
      <c r="P509" s="136" t="s">
        <v>2020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28</v>
      </c>
      <c r="P511" s="136" t="s">
        <v>2025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28</v>
      </c>
      <c r="P515" s="136" t="s">
        <v>2030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28</v>
      </c>
      <c r="P524" s="136" t="s">
        <v>2013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28</v>
      </c>
      <c r="P525" s="136" t="s">
        <v>2014</v>
      </c>
      <c r="Q525" s="31">
        <f t="shared" si="44"/>
        <v>0</v>
      </c>
      <c r="R525" s="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24</v>
      </c>
      <c r="P529" s="136" t="s">
        <v>2018</v>
      </c>
      <c r="Q529" s="131">
        <f t="shared" si="44"/>
        <v>4</v>
      </c>
      <c r="R529" s="132">
        <f t="shared" si="45"/>
        <v>0.8571428571428571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24</v>
      </c>
      <c r="P532" s="136" t="s">
        <v>2022</v>
      </c>
      <c r="Q532" s="31">
        <f t="shared" si="44"/>
        <v>4</v>
      </c>
      <c r="R532" s="32">
        <f t="shared" si="45"/>
        <v>0.8571428571428571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/>
      <c r="X532" s="70"/>
      <c r="Y532" s="70"/>
      <c r="Z532" s="70"/>
      <c r="AA532" s="70"/>
      <c r="AB532" s="72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24</v>
      </c>
      <c r="P533" s="136" t="s">
        <v>2023</v>
      </c>
      <c r="Q533" s="31">
        <f t="shared" si="44"/>
        <v>4</v>
      </c>
      <c r="R533" s="32">
        <f t="shared" si="45"/>
        <v>0.8571428571428571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28</v>
      </c>
      <c r="P534" s="136" t="s">
        <v>2028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24</v>
      </c>
      <c r="P539" s="136" t="s">
        <v>2172</v>
      </c>
      <c r="Q539" s="131">
        <f t="shared" si="44"/>
        <v>4</v>
      </c>
      <c r="R539" s="132">
        <f t="shared" si="45"/>
        <v>0.8571428571428571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24</v>
      </c>
      <c r="P540" s="136" t="s">
        <v>2175</v>
      </c>
      <c r="Q540" s="131">
        <f t="shared" si="44"/>
        <v>4</v>
      </c>
      <c r="R540" s="132">
        <f t="shared" si="45"/>
        <v>0.8571428571428571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28</v>
      </c>
      <c r="P550" s="136" t="s">
        <v>2047</v>
      </c>
      <c r="Q550" s="131">
        <f t="shared" si="44"/>
        <v>0</v>
      </c>
      <c r="R550" s="1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24</v>
      </c>
      <c r="P552" s="136" t="s">
        <v>2049</v>
      </c>
      <c r="Q552" s="131">
        <f t="shared" si="44"/>
        <v>4</v>
      </c>
      <c r="R552" s="132">
        <f t="shared" si="45"/>
        <v>0.8571428571428571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28</v>
      </c>
      <c r="P554" s="136" t="s">
        <v>2051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24</v>
      </c>
      <c r="P564" s="136"/>
      <c r="Q564" s="131">
        <f t="shared" si="44"/>
        <v>4</v>
      </c>
      <c r="R564" s="132">
        <f t="shared" si="45"/>
        <v>0.8571428571428571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24</v>
      </c>
      <c r="P567" s="136" t="s">
        <v>2134</v>
      </c>
      <c r="Q567" s="31">
        <f t="shared" si="44"/>
        <v>4</v>
      </c>
      <c r="R567" s="32">
        <f t="shared" si="45"/>
        <v>0.8571428571428571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24</v>
      </c>
      <c r="P569" s="136" t="s">
        <v>2135</v>
      </c>
      <c r="Q569" s="31">
        <f t="shared" si="44"/>
        <v>4</v>
      </c>
      <c r="R569" s="32">
        <f t="shared" si="45"/>
        <v>0.8571428571428571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24</v>
      </c>
      <c r="P576" s="136" t="s">
        <v>2063</v>
      </c>
      <c r="Q576" s="31">
        <f t="shared" si="44"/>
        <v>4</v>
      </c>
      <c r="R576" s="32">
        <f t="shared" si="45"/>
        <v>0.8571428571428571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28</v>
      </c>
      <c r="P577" s="136" t="s">
        <v>2065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28</v>
      </c>
      <c r="P579" s="136" t="s">
        <v>2064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28</v>
      </c>
      <c r="P587" s="136" t="s">
        <v>2069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28</v>
      </c>
      <c r="P588" s="136" t="s">
        <v>2068</v>
      </c>
      <c r="Q588" s="31">
        <f t="shared" ref="Q588:Q599" si="47">COUNTIF(S588:AT588,"APAGADO")</f>
        <v>0</v>
      </c>
      <c r="R588" s="32">
        <f t="shared" ref="R588:R599" si="48">(O588)/(Q588+O588)</f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26</v>
      </c>
      <c r="P589" s="136" t="s">
        <v>2070</v>
      </c>
      <c r="Q589" s="31">
        <f t="shared" si="47"/>
        <v>2</v>
      </c>
      <c r="R589" s="32">
        <f t="shared" si="48"/>
        <v>0.9285714285714286</v>
      </c>
      <c r="S589" s="70" t="s">
        <v>2221</v>
      </c>
      <c r="T589" s="70" t="s">
        <v>2221</v>
      </c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255" priority="897" operator="equal">
      <formula>$H$301</formula>
    </cfRule>
  </conditionalFormatting>
  <conditionalFormatting sqref="H1:H600">
    <cfRule type="cellIs" dxfId="254" priority="894" operator="equal">
      <formula>"IPCOMS"</formula>
    </cfRule>
  </conditionalFormatting>
  <conditionalFormatting sqref="H281:H600">
    <cfRule type="cellIs" dxfId="253" priority="898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252" priority="3561" operator="equal">
      <formula>$H$282</formula>
    </cfRule>
  </conditionalFormatting>
  <conditionalFormatting sqref="I20:I21">
    <cfRule type="cellIs" dxfId="251" priority="3560" operator="equal">
      <formula>$H$301</formula>
    </cfRule>
  </conditionalFormatting>
  <conditionalFormatting sqref="I164:I165 I225:I226 I261 I285:I288 I298:I300 I404:I408 I420:I422 I425:I426 H682:H1048576 I20:I21">
    <cfRule type="cellIs" dxfId="250" priority="3106" operator="equal">
      <formula>"IPCOMS"</formula>
    </cfRule>
  </conditionalFormatting>
  <conditionalFormatting sqref="J1:J570 J586:J600 J682:J1048576">
    <cfRule type="containsText" dxfId="249" priority="3567" operator="containsText" text="domo">
      <formula>NOT(ISERROR(SEARCH("domo",J1)))</formula>
    </cfRule>
    <cfRule type="containsText" dxfId="248" priority="3566" operator="containsText" text="fija">
      <formula>NOT(ISERROR(SEARCH("fija",J1)))</formula>
    </cfRule>
  </conditionalFormatting>
  <conditionalFormatting sqref="J34:J35 J162:N233 J237:N402">
    <cfRule type="containsText" dxfId="247" priority="3034" operator="containsText" text="Radio">
      <formula>NOT(ISERROR(SEARCH("Radio",J34)))</formula>
    </cfRule>
  </conditionalFormatting>
  <conditionalFormatting sqref="J135:J148 L148:N148">
    <cfRule type="containsText" dxfId="246" priority="3048" operator="containsText" text="Radio">
      <formula>NOT(ISERROR(SEARCH("Radio",J135)))</formula>
    </cfRule>
  </conditionalFormatting>
  <conditionalFormatting sqref="J404:J408">
    <cfRule type="containsText" dxfId="245" priority="3067" operator="containsText" text="Radio">
      <formula>NOT(ISERROR(SEARCH("Radio",J404)))</formula>
    </cfRule>
  </conditionalFormatting>
  <conditionalFormatting sqref="J572">
    <cfRule type="containsText" dxfId="244" priority="3507" operator="containsText" text="fija">
      <formula>NOT(ISERROR(SEARCH("fija",J572)))</formula>
    </cfRule>
    <cfRule type="containsText" dxfId="243" priority="3509" operator="containsText" text="Radio">
      <formula>NOT(ISERROR(SEARCH("Radio",J572)))</formula>
    </cfRule>
    <cfRule type="containsText" dxfId="242" priority="3508" operator="containsText" text="domo">
      <formula>NOT(ISERROR(SEARCH("domo",J572)))</formula>
    </cfRule>
  </conditionalFormatting>
  <conditionalFormatting sqref="J572:J573">
    <cfRule type="containsText" dxfId="241" priority="3502" operator="containsText" text="fija">
      <formula>NOT(ISERROR(SEARCH("fija",J572)))</formula>
    </cfRule>
    <cfRule type="containsText" dxfId="240" priority="3503" operator="containsText" text="domo">
      <formula>NOT(ISERROR(SEARCH("domo",J572)))</formula>
    </cfRule>
  </conditionalFormatting>
  <conditionalFormatting sqref="J573">
    <cfRule type="containsText" dxfId="239" priority="3501" operator="containsText" text="domo">
      <formula>NOT(ISERROR(SEARCH("domo",J573)))</formula>
    </cfRule>
    <cfRule type="containsText" dxfId="238" priority="3500" operator="containsText" text="fija">
      <formula>NOT(ISERROR(SEARCH("fija",J573)))</formula>
    </cfRule>
    <cfRule type="containsText" dxfId="237" priority="3504" operator="containsText" text="Radio">
      <formula>NOT(ISERROR(SEARCH("Radio",J573)))</formula>
    </cfRule>
  </conditionalFormatting>
  <conditionalFormatting sqref="J576">
    <cfRule type="containsText" dxfId="236" priority="3499" operator="containsText" text="Radio">
      <formula>NOT(ISERROR(SEARCH("Radio",J576)))</formula>
    </cfRule>
    <cfRule type="containsText" dxfId="235" priority="3498" operator="containsText" text="domo">
      <formula>NOT(ISERROR(SEARCH("domo",J576)))</formula>
    </cfRule>
    <cfRule type="containsText" dxfId="234" priority="3497" operator="containsText" text="fija">
      <formula>NOT(ISERROR(SEARCH("fija",J576)))</formula>
    </cfRule>
  </conditionalFormatting>
  <conditionalFormatting sqref="J576:J577">
    <cfRule type="containsText" dxfId="233" priority="3492" operator="containsText" text="fija">
      <formula>NOT(ISERROR(SEARCH("fija",J576)))</formula>
    </cfRule>
    <cfRule type="containsText" dxfId="232" priority="3493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231" priority="3494" operator="containsText" text="Radio">
      <formula>NOT(ISERROR(SEARCH("Radio",J48)))</formula>
    </cfRule>
  </conditionalFormatting>
  <conditionalFormatting sqref="J577:J578">
    <cfRule type="containsText" dxfId="230" priority="3487" operator="containsText" text="fija">
      <formula>NOT(ISERROR(SEARCH("fija",J577)))</formula>
    </cfRule>
    <cfRule type="containsText" dxfId="229" priority="3488" operator="containsText" text="domo">
      <formula>NOT(ISERROR(SEARCH("domo",J577)))</formula>
    </cfRule>
  </conditionalFormatting>
  <conditionalFormatting sqref="J578">
    <cfRule type="containsText" dxfId="228" priority="3489" operator="containsText" text="Radio">
      <formula>NOT(ISERROR(SEARCH("Radio",J578)))</formula>
    </cfRule>
  </conditionalFormatting>
  <conditionalFormatting sqref="J578:J579">
    <cfRule type="containsText" dxfId="227" priority="3483" operator="containsText" text="domo">
      <formula>NOT(ISERROR(SEARCH("domo",J578)))</formula>
    </cfRule>
    <cfRule type="containsText" dxfId="226" priority="3482" operator="containsText" text="fija">
      <formula>NOT(ISERROR(SEARCH("fija",J578)))</formula>
    </cfRule>
  </conditionalFormatting>
  <conditionalFormatting sqref="J579">
    <cfRule type="containsText" dxfId="225" priority="3484" operator="containsText" text="Radio">
      <formula>NOT(ISERROR(SEARCH("Radio",J579)))</formula>
    </cfRule>
    <cfRule type="containsText" dxfId="224" priority="3481" operator="containsText" text="domo">
      <formula>NOT(ISERROR(SEARCH("domo",J579)))</formula>
    </cfRule>
    <cfRule type="containsText" dxfId="223" priority="3480" operator="containsText" text="fija">
      <formula>NOT(ISERROR(SEARCH("fija",J579)))</formula>
    </cfRule>
  </conditionalFormatting>
  <conditionalFormatting sqref="J581">
    <cfRule type="cellIs" dxfId="222" priority="899" operator="equal">
      <formula>$J$10</formula>
    </cfRule>
  </conditionalFormatting>
  <conditionalFormatting sqref="J582:J600 J1:J580 J682:J1048576">
    <cfRule type="cellIs" dxfId="221" priority="3562" operator="equal">
      <formula>$J$10</formula>
    </cfRule>
  </conditionalFormatting>
  <conditionalFormatting sqref="J584">
    <cfRule type="containsText" dxfId="220" priority="3779" operator="containsText" text="domo">
      <formula>NOT(ISERROR(SEARCH("domo",J584)))</formula>
    </cfRule>
    <cfRule type="containsText" dxfId="219" priority="3778" operator="containsText" text="fija">
      <formula>NOT(ISERROR(SEARCH("fija",J584)))</formula>
    </cfRule>
  </conditionalFormatting>
  <conditionalFormatting sqref="J587:J590">
    <cfRule type="containsText" dxfId="218" priority="3510" operator="containsText" text="fija">
      <formula>NOT(ISERROR(SEARCH("fija",J587)))</formula>
    </cfRule>
    <cfRule type="containsText" dxfId="217" priority="3511" operator="containsText" text="domo">
      <formula>NOT(ISERROR(SEARCH("domo",J587)))</formula>
    </cfRule>
  </conditionalFormatting>
  <conditionalFormatting sqref="J234:K234">
    <cfRule type="containsText" dxfId="216" priority="3069" operator="containsText" text="Radio">
      <formula>NOT(ISERROR(SEARCH("Radio",J234)))</formula>
    </cfRule>
  </conditionalFormatting>
  <conditionalFormatting sqref="J37:L47">
    <cfRule type="containsText" dxfId="215" priority="3039" operator="containsText" text="Radio">
      <formula>NOT(ISERROR(SEARCH("Radio",J37)))</formula>
    </cfRule>
  </conditionalFormatting>
  <conditionalFormatting sqref="J1:N36">
    <cfRule type="containsText" dxfId="214" priority="3104" operator="containsText" text="Radio">
      <formula>NOT(ISERROR(SEARCH("Radio",J1)))</formula>
    </cfRule>
  </conditionalFormatting>
  <conditionalFormatting sqref="J149:N161">
    <cfRule type="containsText" dxfId="213" priority="3042" operator="containsText" text="Radio">
      <formula>NOT(ISERROR(SEARCH("Radio",J149)))</formula>
    </cfRule>
  </conditionalFormatting>
  <conditionalFormatting sqref="J584:N584 K585">
    <cfRule type="containsText" dxfId="212" priority="4035" operator="containsText" text="Radio">
      <formula>NOT(ISERROR(SEARCH("Radio",J584)))</formula>
    </cfRule>
  </conditionalFormatting>
  <conditionalFormatting sqref="K1:K136 K162:K580 K682:K1048576">
    <cfRule type="cellIs" dxfId="211" priority="3108" operator="equal">
      <formula>"GPON"</formula>
    </cfRule>
    <cfRule type="cellIs" dxfId="210" priority="3107" operator="equal">
      <formula>"GPON"</formula>
    </cfRule>
  </conditionalFormatting>
  <conditionalFormatting sqref="K139">
    <cfRule type="cellIs" dxfId="209" priority="3098" operator="equal">
      <formula>$K$13</formula>
    </cfRule>
    <cfRule type="cellIs" dxfId="208" priority="3096" operator="equal">
      <formula>"GPON"</formula>
    </cfRule>
    <cfRule type="cellIs" dxfId="207" priority="3095" operator="equal">
      <formula>"GPON"</formula>
    </cfRule>
    <cfRule type="cellIs" dxfId="206" priority="3100" operator="equal">
      <formula>"PTP A FO"</formula>
    </cfRule>
    <cfRule type="containsText" dxfId="205" priority="3097" operator="containsText" text="Radio">
      <formula>NOT(ISERROR(SEARCH("Radio",K139)))</formula>
    </cfRule>
    <cfRule type="cellIs" dxfId="204" priority="3099" operator="equal">
      <formula>"PTP A FO"</formula>
    </cfRule>
  </conditionalFormatting>
  <conditionalFormatting sqref="K142:K149">
    <cfRule type="cellIs" dxfId="203" priority="3075" operator="equal">
      <formula>"PTP A FO"</formula>
    </cfRule>
    <cfRule type="cellIs" dxfId="202" priority="3074" operator="equal">
      <formula>"PTP A FO"</formula>
    </cfRule>
    <cfRule type="cellIs" dxfId="201" priority="3073" operator="equal">
      <formula>$K$13</formula>
    </cfRule>
    <cfRule type="containsText" dxfId="200" priority="3072" operator="containsText" text="Radio">
      <formula>NOT(ISERROR(SEARCH("Radio",K142)))</formula>
    </cfRule>
  </conditionalFormatting>
  <conditionalFormatting sqref="K142:K161">
    <cfRule type="cellIs" dxfId="199" priority="3041" operator="equal">
      <formula>"GPON"</formula>
    </cfRule>
    <cfRule type="cellIs" dxfId="198" priority="3040" operator="equal">
      <formula>"GPON"</formula>
    </cfRule>
  </conditionalFormatting>
  <conditionalFormatting sqref="K146:K147">
    <cfRule type="cellIs" dxfId="197" priority="3036" operator="equal">
      <formula>$K$13</formula>
    </cfRule>
    <cfRule type="cellIs" dxfId="196" priority="3037" operator="equal">
      <formula>"PTP A FO"</formula>
    </cfRule>
    <cfRule type="cellIs" dxfId="195" priority="3038" operator="equal">
      <formula>"PTP A FO"</formula>
    </cfRule>
    <cfRule type="containsText" dxfId="194" priority="3035" operator="containsText" text="Radio">
      <formula>NOT(ISERROR(SEARCH("Radio",K146)))</formula>
    </cfRule>
  </conditionalFormatting>
  <conditionalFormatting sqref="K234:K236">
    <cfRule type="cellIs" dxfId="193" priority="3088" operator="equal">
      <formula>"PTP A FO"</formula>
    </cfRule>
    <cfRule type="cellIs" dxfId="192" priority="3087" operator="equal">
      <formula>"PTP A FO"</formula>
    </cfRule>
    <cfRule type="cellIs" dxfId="191" priority="3086" operator="equal">
      <formula>$K$13</formula>
    </cfRule>
  </conditionalFormatting>
  <conditionalFormatting sqref="K235:K236">
    <cfRule type="cellIs" dxfId="190" priority="3084" operator="equal">
      <formula>"PTP A FO"</formula>
    </cfRule>
    <cfRule type="cellIs" dxfId="189" priority="3083" operator="equal">
      <formula>"PTP A FO"</formula>
    </cfRule>
    <cfRule type="cellIs" dxfId="188" priority="3082" operator="equal">
      <formula>$K$13</formula>
    </cfRule>
  </conditionalFormatting>
  <conditionalFormatting sqref="K425:K426">
    <cfRule type="cellIs" dxfId="187" priority="3094" operator="equal">
      <formula>"PTP A FO"</formula>
    </cfRule>
    <cfRule type="cellIs" dxfId="186" priority="3093" operator="equal">
      <formula>"PTP A FO"</formula>
    </cfRule>
    <cfRule type="cellIs" dxfId="185" priority="3092" operator="equal">
      <formula>$K$13</formula>
    </cfRule>
    <cfRule type="containsText" dxfId="184" priority="3091" operator="containsText" text="Radio">
      <formula>NOT(ISERROR(SEARCH("Radio",K425)))</formula>
    </cfRule>
  </conditionalFormatting>
  <conditionalFormatting sqref="K571">
    <cfRule type="cellIs" dxfId="183" priority="3158" operator="equal">
      <formula>"PTP A FO"</formula>
    </cfRule>
    <cfRule type="containsText" dxfId="182" priority="3157" operator="containsText" text="Radio">
      <formula>NOT(ISERROR(SEARCH("Radio",K571)))</formula>
    </cfRule>
  </conditionalFormatting>
  <conditionalFormatting sqref="K581:K600">
    <cfRule type="cellIs" dxfId="181" priority="895" operator="equal">
      <formula>"GPON"</formula>
    </cfRule>
    <cfRule type="cellIs" dxfId="180" priority="896" operator="equal">
      <formula>"GPON"</formula>
    </cfRule>
  </conditionalFormatting>
  <conditionalFormatting sqref="K1:L134 K135:K136 K162:L233 K237:L424 K425:K426 K427:L570 K584:L584 K585 K586:L600 K682:L1048576">
    <cfRule type="cellIs" dxfId="179" priority="3759" operator="equal">
      <formula>"PTP A FO"</formula>
    </cfRule>
  </conditionalFormatting>
  <conditionalFormatting sqref="K1:L134 K135:K136 K162:L233 K237:L424 K425:K426 K427:L580 K582:L600 K682:L1048576">
    <cfRule type="cellIs" dxfId="178" priority="3564" operator="equal">
      <formula>"PTP A FO"</formula>
    </cfRule>
  </conditionalFormatting>
  <conditionalFormatting sqref="K1:L134 K135:K136 K237:L424 K425:K426 K427:L580 K582:L600 K682:L1048576 K162:L233">
    <cfRule type="cellIs" dxfId="177" priority="3563" operator="equal">
      <formula>$K$13</formula>
    </cfRule>
  </conditionalFormatting>
  <conditionalFormatting sqref="K149:L161">
    <cfRule type="cellIs" dxfId="176" priority="3044" operator="equal">
      <formula>"PTP A FO"</formula>
    </cfRule>
    <cfRule type="cellIs" dxfId="175" priority="3045" operator="equal">
      <formula>"PTP A FO"</formula>
    </cfRule>
    <cfRule type="cellIs" dxfId="174" priority="3043" operator="equal">
      <formula>$K$13</formula>
    </cfRule>
  </conditionalFormatting>
  <conditionalFormatting sqref="K581:L581">
    <cfRule type="cellIs" dxfId="173" priority="900" operator="equal">
      <formula>$K$13</formula>
    </cfRule>
    <cfRule type="cellIs" dxfId="172" priority="901" operator="equal">
      <formula>"PTP A FO"</formula>
    </cfRule>
  </conditionalFormatting>
  <conditionalFormatting sqref="L148">
    <cfRule type="cellIs" dxfId="171" priority="3051" operator="equal">
      <formula>"PTP A FO"</formula>
    </cfRule>
    <cfRule type="cellIs" dxfId="170" priority="3050" operator="equal">
      <formula>"PTP A FO"</formula>
    </cfRule>
    <cfRule type="cellIs" dxfId="169" priority="3049" operator="equal">
      <formula>$K$13</formula>
    </cfRule>
  </conditionalFormatting>
  <conditionalFormatting sqref="R7:R398 R400:R600">
    <cfRule type="cellIs" dxfId="168" priority="3995" operator="greaterThan">
      <formula>0.8</formula>
    </cfRule>
    <cfRule type="cellIs" dxfId="167" priority="3994" operator="lessThan">
      <formula>0.8</formula>
    </cfRule>
  </conditionalFormatting>
  <conditionalFormatting sqref="S418:T426">
    <cfRule type="cellIs" dxfId="166" priority="137" operator="equal">
      <formula>"APAGADO"</formula>
    </cfRule>
  </conditionalFormatting>
  <conditionalFormatting sqref="S404:U408">
    <cfRule type="cellIs" dxfId="165" priority="90" operator="equal">
      <formula>"APAGADO"</formula>
    </cfRule>
  </conditionalFormatting>
  <conditionalFormatting sqref="S37:W38">
    <cfRule type="cellIs" dxfId="164" priority="1853" operator="equal">
      <formula>"APAGADO"</formula>
    </cfRule>
  </conditionalFormatting>
  <conditionalFormatting sqref="S427:W427 Y427:AV427">
    <cfRule type="cellIs" dxfId="163" priority="1792" operator="equal">
      <formula>"APAGADO"</formula>
    </cfRule>
  </conditionalFormatting>
  <conditionalFormatting sqref="S327:U329 W327:Z329">
    <cfRule type="cellIs" dxfId="162" priority="63" operator="equal">
      <formula>"APAGADO"</formula>
    </cfRule>
  </conditionalFormatting>
  <conditionalFormatting sqref="S121:AA121">
    <cfRule type="cellIs" dxfId="161" priority="1885" operator="equal">
      <formula>"APAGADO"</formula>
    </cfRule>
  </conditionalFormatting>
  <conditionalFormatting sqref="S409:AG409">
    <cfRule type="cellIs" dxfId="160" priority="1833" operator="equal">
      <formula>"APAGADO"</formula>
    </cfRule>
  </conditionalFormatting>
  <conditionalFormatting sqref="S39:AT50 S78:AT94 S77:U77 W77:AT77 S52:AT76 S51:U51 W51:AT51">
    <cfRule type="cellIs" dxfId="159" priority="115" operator="equal">
      <formula>"APAGADO"</formula>
    </cfRule>
  </conditionalFormatting>
  <conditionalFormatting sqref="S96:AT109 S111:AT111 S110:U110 W110:AT110 S114:AT115 S112:U113 W112:AT113 S117:AT117 S116:U116 W116:AT116 S119:AT120 S118:U118 W118:AT118">
    <cfRule type="cellIs" dxfId="158" priority="117" operator="equal">
      <formula>"APAGADO"</formula>
    </cfRule>
  </conditionalFormatting>
  <conditionalFormatting sqref="S330:AT339 S341:AT352 S340:U340 W340:AT340">
    <cfRule type="cellIs" dxfId="157" priority="98" operator="equal">
      <formula>"APAGADO"</formula>
    </cfRule>
  </conditionalFormatting>
  <conditionalFormatting sqref="S354:AT354 S362:AT392 S360:U361 W360:AT361 S358:AT359 S355:U357 W355:AT357 S394:AT398 S393:U393 W393:AT393">
    <cfRule type="cellIs" dxfId="156" priority="92" operator="equal">
      <formula>"APAGADO"</formula>
    </cfRule>
  </conditionalFormatting>
  <conditionalFormatting sqref="S400:AT400 S402:AT403 S401:U401 W401:AT401">
    <cfRule type="cellIs" dxfId="155" priority="91" operator="equal">
      <formula>"APAGADO"</formula>
    </cfRule>
  </conditionalFormatting>
  <conditionalFormatting sqref="S8:AV36">
    <cfRule type="cellIs" dxfId="154" priority="2139" operator="equal">
      <formula>"APAGADO"</formula>
    </cfRule>
  </conditionalFormatting>
  <conditionalFormatting sqref="S122:AV128 S130:AV148 S129:U129 W129:AV129 S150:AV165 S149:U149 W149:AV149 S167:AV170 S166:U166 W166:AV166 S172:AV175 S171:U171 W171:AV171 S178:AV196 S176:U177 W176:AV177 S198:AV205 S197:U197 W197:AV197 S208:AV231 S206:U207 W206:AV207 S233:AV233 S232:U232 W232:AV232">
    <cfRule type="cellIs" dxfId="153" priority="106" operator="equal">
      <formula>"APAGADO"</formula>
    </cfRule>
  </conditionalFormatting>
  <conditionalFormatting sqref="S237:AV250 S252:AV254 S251:U251 W251:AV251 S257:AV260 S255:U256 W255:AV256 S262:AV275 S261:U261 W261:AV261 S277:AV298 S276:U276 W276:AV276 S301:AV317 S299:U300 W299:AV300 S319:AV319 S318:U318 W318:AV318 S321:AV326 S320:U320 W320:AV320">
    <cfRule type="cellIs" dxfId="152" priority="62" operator="equal">
      <formula>"APAGADO"</formula>
    </cfRule>
  </conditionalFormatting>
  <conditionalFormatting sqref="S410:AV411 S413:AV413 S412:U412 W412:AV412 S416:AV417 S414:U415 W414:AV415">
    <cfRule type="cellIs" dxfId="151" priority="87" operator="equal">
      <formula>"APAGADO"</formula>
    </cfRule>
  </conditionalFormatting>
  <conditionalFormatting sqref="S428:AV432 S434:AV442 S433:U433 W433:AV433 S444:AV444 S443:U443 W443:AV443 S446:AV456 S445:U445 W445:AV445 S458:AV468 S457:U457 W457:AV457 S473:AV473 S469:U472 W469:AV472 S475:AV528 S474:U474 W474:AV474 S530:AV531 S529:U529 W529:AV529 S534:AV538 S532:U533 W532:AV533 S541:AV551 S539:U540 W539:AV540 S553:AV563 S552:U552 W552:AV552 S565:AV566 S564:U564 W564:AV564 S568:AV568 S567:U567 W567:AV567 S570:AV575 S569:U569 W569:AV569 S577:AV600 S576:U576 W576:AV576">
    <cfRule type="cellIs" dxfId="150" priority="67" operator="equal">
      <formula>"APAGADO"</formula>
    </cfRule>
  </conditionalFormatting>
  <conditionalFormatting sqref="S682:AV758 AC682:AN1048576">
    <cfRule type="cellIs" dxfId="149" priority="3141" operator="equal">
      <formula>"apagado"</formula>
    </cfRule>
  </conditionalFormatting>
  <conditionalFormatting sqref="S682:AV1048576">
    <cfRule type="notContainsText" dxfId="148" priority="4024" operator="notContains" text="Caida">
      <formula>ISERROR(SEARCH("Caida",S682))</formula>
    </cfRule>
    <cfRule type="containsText" dxfId="147" priority="3691" operator="containsText" text="Caida">
      <formula>NOT(ISERROR(SEARCH("Caida",S682)))</formula>
    </cfRule>
  </conditionalFormatting>
  <conditionalFormatting sqref="U426">
    <cfRule type="cellIs" dxfId="146" priority="86" operator="equal">
      <formula>"APAGADO"</formula>
    </cfRule>
  </conditionalFormatting>
  <conditionalFormatting sqref="U682:U1201">
    <cfRule type="containsText" dxfId="145" priority="3321" operator="containsText" text="Caida">
      <formula>NOT(ISERROR(SEARCH("Caida",U682)))</formula>
    </cfRule>
    <cfRule type="cellIs" dxfId="144" priority="3322" operator="lessThan">
      <formula>0.8</formula>
    </cfRule>
    <cfRule type="cellIs" dxfId="143" priority="3346" operator="greaterThan">
      <formula>0.8</formula>
    </cfRule>
    <cfRule type="cellIs" dxfId="142" priority="3450" operator="equal">
      <formula>"APAGADO"</formula>
    </cfRule>
    <cfRule type="cellIs" dxfId="141" priority="3323" operator="greaterThan">
      <formula>0.8</formula>
    </cfRule>
    <cfRule type="notContainsText" dxfId="140" priority="3320" operator="notContains" text="Caida">
      <formula>ISERROR(SEARCH("Caida",U682))</formula>
    </cfRule>
  </conditionalFormatting>
  <conditionalFormatting sqref="U682:U1048576">
    <cfRule type="cellIs" dxfId="139" priority="3340" operator="equal">
      <formula>$U$16</formula>
    </cfRule>
  </conditionalFormatting>
  <conditionalFormatting sqref="U418:AV424">
    <cfRule type="cellIs" dxfId="138" priority="441" operator="equal">
      <formula>"APAGADO"</formula>
    </cfRule>
  </conditionalFormatting>
  <conditionalFormatting sqref="V235:W235">
    <cfRule type="cellIs" dxfId="137" priority="1865" operator="equal">
      <formula>"APAGADO"</formula>
    </cfRule>
  </conditionalFormatting>
  <conditionalFormatting sqref="X426:X427">
    <cfRule type="cellIs" dxfId="136" priority="1721" operator="equal">
      <formula>"APAGADO"</formula>
    </cfRule>
  </conditionalFormatting>
  <conditionalFormatting sqref="X407:Z408">
    <cfRule type="cellIs" dxfId="135" priority="1440" operator="equal">
      <formula>"APAGADO"</formula>
    </cfRule>
  </conditionalFormatting>
  <conditionalFormatting sqref="X37:AJ37 S95:AM95 AO95:AT95 AF234:AF236 AA329 S353:AH353 AJ353:AT353 AO682:AV1048576">
    <cfRule type="cellIs" dxfId="134" priority="3140" operator="equal">
      <formula>"APAGADO"</formula>
    </cfRule>
  </conditionalFormatting>
  <conditionalFormatting sqref="X38:AK38">
    <cfRule type="cellIs" dxfId="133" priority="2917" operator="equal">
      <formula>"APAGADO"</formula>
    </cfRule>
  </conditionalFormatting>
  <conditionalFormatting sqref="Y426:Z426">
    <cfRule type="cellIs" dxfId="132" priority="1434" operator="equal">
      <formula>"APAGADO"</formula>
    </cfRule>
  </conditionalFormatting>
  <conditionalFormatting sqref="Y399:AT399">
    <cfRule type="cellIs" dxfId="131" priority="1441" operator="equal">
      <formula>"APAGADO"</formula>
    </cfRule>
  </conditionalFormatting>
  <conditionalFormatting sqref="AA327:AB328">
    <cfRule type="cellIs" dxfId="130" priority="1784" operator="equal">
      <formula>"APAGADO"</formula>
    </cfRule>
  </conditionalFormatting>
  <conditionalFormatting sqref="AC408:AG408">
    <cfRule type="cellIs" dxfId="129" priority="954" operator="equal">
      <formula>"APAGADO"</formula>
    </cfRule>
  </conditionalFormatting>
  <conditionalFormatting sqref="AC426:AG426">
    <cfRule type="cellIs" dxfId="128" priority="953" operator="equal">
      <formula>"APAGADO"</formula>
    </cfRule>
  </conditionalFormatting>
  <conditionalFormatting sqref="AC121:AV121">
    <cfRule type="cellIs" dxfId="127" priority="2053" operator="equal">
      <formula>"APAGADO"</formula>
    </cfRule>
  </conditionalFormatting>
  <conditionalFormatting sqref="AC327:AV329">
    <cfRule type="cellIs" dxfId="126" priority="248" operator="equal">
      <formula>"APAGADO"</formula>
    </cfRule>
  </conditionalFormatting>
  <conditionalFormatting sqref="AD407:AG407">
    <cfRule type="cellIs" dxfId="125" priority="1253" operator="equal">
      <formula>"APAGADO"</formula>
    </cfRule>
  </conditionalFormatting>
  <conditionalFormatting sqref="AH235:AI235">
    <cfRule type="cellIs" dxfId="124" priority="2922" operator="equal">
      <formula>"APAGADO"</formula>
    </cfRule>
  </conditionalFormatting>
  <conditionalFormatting sqref="AH407:AI409">
    <cfRule type="cellIs" dxfId="123" priority="2886" operator="equal">
      <formula>"APAGADO"</formula>
    </cfRule>
  </conditionalFormatting>
  <conditionalFormatting sqref="AJ426:AN426">
    <cfRule type="cellIs" dxfId="122" priority="516" operator="equal">
      <formula>"APAGADO"</formula>
    </cfRule>
  </conditionalFormatting>
  <conditionalFormatting sqref="AJ408:AP408">
    <cfRule type="cellIs" dxfId="121" priority="521" operator="equal">
      <formula>"APAGADO"</formula>
    </cfRule>
  </conditionalFormatting>
  <conditionalFormatting sqref="AJ409:AU409">
    <cfRule type="cellIs" dxfId="120" priority="681" operator="equal">
      <formula>"APAGADO"</formula>
    </cfRule>
  </conditionalFormatting>
  <conditionalFormatting sqref="AL235:AP235">
    <cfRule type="cellIs" dxfId="119" priority="2463" operator="equal">
      <formula>"APAGADO"</formula>
    </cfRule>
  </conditionalFormatting>
  <conditionalFormatting sqref="AL407:AP407">
    <cfRule type="cellIs" dxfId="118" priority="2444" operator="equal">
      <formula>"APAGADO"</formula>
    </cfRule>
  </conditionalFormatting>
  <conditionalFormatting sqref="AL37:AV38">
    <cfRule type="cellIs" dxfId="117" priority="2060" operator="equal">
      <formula>"APAGADO"</formula>
    </cfRule>
  </conditionalFormatting>
  <conditionalFormatting sqref="AR408:AU408">
    <cfRule type="cellIs" dxfId="116" priority="264" operator="equal">
      <formula>"APAGADO"</formula>
    </cfRule>
  </conditionalFormatting>
  <conditionalFormatting sqref="AR426:AU426">
    <cfRule type="cellIs" dxfId="115" priority="255" operator="equal">
      <formula>"APAGADO"</formula>
    </cfRule>
  </conditionalFormatting>
  <conditionalFormatting sqref="AR235:AV235">
    <cfRule type="cellIs" dxfId="114" priority="2034" operator="equal">
      <formula>"APAGADO"</formula>
    </cfRule>
  </conditionalFormatting>
  <conditionalFormatting sqref="AU39:AV120">
    <cfRule type="cellIs" dxfId="113" priority="289" operator="equal">
      <formula>"APAGADO"</formula>
    </cfRule>
  </conditionalFormatting>
  <conditionalFormatting sqref="AU330:AV403">
    <cfRule type="cellIs" dxfId="112" priority="247" operator="equal">
      <formula>"APAGADO"</formula>
    </cfRule>
  </conditionalFormatting>
  <conditionalFormatting sqref="AV407:AV409">
    <cfRule type="cellIs" dxfId="111" priority="2002" operator="equal">
      <formula>"APAGADO"</formula>
    </cfRule>
  </conditionalFormatting>
  <conditionalFormatting sqref="V77">
    <cfRule type="cellIs" dxfId="60" priority="61" operator="equal">
      <formula>"APAGADO"</formula>
    </cfRule>
  </conditionalFormatting>
  <conditionalFormatting sqref="V110">
    <cfRule type="cellIs" dxfId="59" priority="60" operator="equal">
      <formula>"APAGADO"</formula>
    </cfRule>
  </conditionalFormatting>
  <conditionalFormatting sqref="V112">
    <cfRule type="cellIs" dxfId="58" priority="59" operator="equal">
      <formula>"APAGADO"</formula>
    </cfRule>
  </conditionalFormatting>
  <conditionalFormatting sqref="V113">
    <cfRule type="cellIs" dxfId="57" priority="58" operator="equal">
      <formula>"APAGADO"</formula>
    </cfRule>
  </conditionalFormatting>
  <conditionalFormatting sqref="V116">
    <cfRule type="cellIs" dxfId="56" priority="57" operator="equal">
      <formula>"APAGADO"</formula>
    </cfRule>
  </conditionalFormatting>
  <conditionalFormatting sqref="V118">
    <cfRule type="cellIs" dxfId="55" priority="56" operator="equal">
      <formula>"APAGADO"</formula>
    </cfRule>
  </conditionalFormatting>
  <conditionalFormatting sqref="V51">
    <cfRule type="cellIs" dxfId="54" priority="55" operator="equal">
      <formula>"APAGADO"</formula>
    </cfRule>
  </conditionalFormatting>
  <conditionalFormatting sqref="V129">
    <cfRule type="cellIs" dxfId="53" priority="54" operator="equal">
      <formula>"APAGADO"</formula>
    </cfRule>
  </conditionalFormatting>
  <conditionalFormatting sqref="V149">
    <cfRule type="cellIs" dxfId="52" priority="53" operator="equal">
      <formula>"APAGADO"</formula>
    </cfRule>
  </conditionalFormatting>
  <conditionalFormatting sqref="V166">
    <cfRule type="cellIs" dxfId="51" priority="52" operator="equal">
      <formula>"APAGADO"</formula>
    </cfRule>
  </conditionalFormatting>
  <conditionalFormatting sqref="V171">
    <cfRule type="cellIs" dxfId="50" priority="51" operator="equal">
      <formula>"APAGADO"</formula>
    </cfRule>
  </conditionalFormatting>
  <conditionalFormatting sqref="V176">
    <cfRule type="cellIs" dxfId="49" priority="50" operator="equal">
      <formula>"APAGADO"</formula>
    </cfRule>
  </conditionalFormatting>
  <conditionalFormatting sqref="V177">
    <cfRule type="cellIs" dxfId="48" priority="49" operator="equal">
      <formula>"APAGADO"</formula>
    </cfRule>
  </conditionalFormatting>
  <conditionalFormatting sqref="V197">
    <cfRule type="cellIs" dxfId="47" priority="48" operator="equal">
      <formula>"APAGADO"</formula>
    </cfRule>
  </conditionalFormatting>
  <conditionalFormatting sqref="V206">
    <cfRule type="cellIs" dxfId="46" priority="47" operator="equal">
      <formula>"APAGADO"</formula>
    </cfRule>
  </conditionalFormatting>
  <conditionalFormatting sqref="V207">
    <cfRule type="cellIs" dxfId="45" priority="46" operator="equal">
      <formula>"APAGADO"</formula>
    </cfRule>
  </conditionalFormatting>
  <conditionalFormatting sqref="V232">
    <cfRule type="cellIs" dxfId="44" priority="45" operator="equal">
      <formula>"APAGADO"</formula>
    </cfRule>
  </conditionalFormatting>
  <conditionalFormatting sqref="V251">
    <cfRule type="cellIs" dxfId="43" priority="44" operator="equal">
      <formula>"APAGADO"</formula>
    </cfRule>
  </conditionalFormatting>
  <conditionalFormatting sqref="V255">
    <cfRule type="cellIs" dxfId="42" priority="43" operator="equal">
      <formula>"APAGADO"</formula>
    </cfRule>
  </conditionalFormatting>
  <conditionalFormatting sqref="V256">
    <cfRule type="cellIs" dxfId="41" priority="42" operator="equal">
      <formula>"APAGADO"</formula>
    </cfRule>
  </conditionalFormatting>
  <conditionalFormatting sqref="V261">
    <cfRule type="cellIs" dxfId="40" priority="41" operator="equal">
      <formula>"APAGADO"</formula>
    </cfRule>
  </conditionalFormatting>
  <conditionalFormatting sqref="V276">
    <cfRule type="cellIs" dxfId="39" priority="40" operator="equal">
      <formula>"APAGADO"</formula>
    </cfRule>
  </conditionalFormatting>
  <conditionalFormatting sqref="V299">
    <cfRule type="cellIs" dxfId="38" priority="39" operator="equal">
      <formula>"APAGADO"</formula>
    </cfRule>
  </conditionalFormatting>
  <conditionalFormatting sqref="V300">
    <cfRule type="cellIs" dxfId="37" priority="38" operator="equal">
      <formula>"APAGADO"</formula>
    </cfRule>
  </conditionalFormatting>
  <conditionalFormatting sqref="V340">
    <cfRule type="cellIs" dxfId="36" priority="37" operator="equal">
      <formula>"APAGADO"</formula>
    </cfRule>
  </conditionalFormatting>
  <conditionalFormatting sqref="V360">
    <cfRule type="cellIs" dxfId="35" priority="36" operator="equal">
      <formula>"APAGADO"</formula>
    </cfRule>
  </conditionalFormatting>
  <conditionalFormatting sqref="V361">
    <cfRule type="cellIs" dxfId="34" priority="35" operator="equal">
      <formula>"APAGADO"</formula>
    </cfRule>
  </conditionalFormatting>
  <conditionalFormatting sqref="V355">
    <cfRule type="cellIs" dxfId="33" priority="34" operator="equal">
      <formula>"APAGADO"</formula>
    </cfRule>
  </conditionalFormatting>
  <conditionalFormatting sqref="V356">
    <cfRule type="cellIs" dxfId="32" priority="33" operator="equal">
      <formula>"APAGADO"</formula>
    </cfRule>
  </conditionalFormatting>
  <conditionalFormatting sqref="V357">
    <cfRule type="cellIs" dxfId="31" priority="32" operator="equal">
      <formula>"APAGADO"</formula>
    </cfRule>
  </conditionalFormatting>
  <conditionalFormatting sqref="V401">
    <cfRule type="cellIs" dxfId="30" priority="31" operator="equal">
      <formula>"APAGADO"</formula>
    </cfRule>
  </conditionalFormatting>
  <conditionalFormatting sqref="V393">
    <cfRule type="cellIs" dxfId="29" priority="30" operator="equal">
      <formula>"APAGADO"</formula>
    </cfRule>
  </conditionalFormatting>
  <conditionalFormatting sqref="V412">
    <cfRule type="cellIs" dxfId="28" priority="29" operator="equal">
      <formula>"APAGADO"</formula>
    </cfRule>
  </conditionalFormatting>
  <conditionalFormatting sqref="V408">
    <cfRule type="cellIs" dxfId="27" priority="28" operator="equal">
      <formula>"APAGADO"</formula>
    </cfRule>
  </conditionalFormatting>
  <conditionalFormatting sqref="V414">
    <cfRule type="cellIs" dxfId="26" priority="27" operator="equal">
      <formula>"APAGADO"</formula>
    </cfRule>
  </conditionalFormatting>
  <conditionalFormatting sqref="V415">
    <cfRule type="cellIs" dxfId="25" priority="26" operator="equal">
      <formula>"APAGADO"</formula>
    </cfRule>
  </conditionalFormatting>
  <conditionalFormatting sqref="V426">
    <cfRule type="cellIs" dxfId="24" priority="25" operator="equal">
      <formula>"APAGADO"</formula>
    </cfRule>
  </conditionalFormatting>
  <conditionalFormatting sqref="V433">
    <cfRule type="cellIs" dxfId="23" priority="24" operator="equal">
      <formula>"APAGADO"</formula>
    </cfRule>
  </conditionalFormatting>
  <conditionalFormatting sqref="V443">
    <cfRule type="cellIs" dxfId="22" priority="23" operator="equal">
      <formula>"APAGADO"</formula>
    </cfRule>
  </conditionalFormatting>
  <conditionalFormatting sqref="V445">
    <cfRule type="cellIs" dxfId="21" priority="22" operator="equal">
      <formula>"APAGADO"</formula>
    </cfRule>
  </conditionalFormatting>
  <conditionalFormatting sqref="V457">
    <cfRule type="cellIs" dxfId="20" priority="21" operator="equal">
      <formula>"APAGADO"</formula>
    </cfRule>
  </conditionalFormatting>
  <conditionalFormatting sqref="V469">
    <cfRule type="cellIs" dxfId="19" priority="20" operator="equal">
      <formula>"APAGADO"</formula>
    </cfRule>
  </conditionalFormatting>
  <conditionalFormatting sqref="V470">
    <cfRule type="cellIs" dxfId="18" priority="19" operator="equal">
      <formula>"APAGADO"</formula>
    </cfRule>
  </conditionalFormatting>
  <conditionalFormatting sqref="V471">
    <cfRule type="cellIs" dxfId="17" priority="18" operator="equal">
      <formula>"APAGADO"</formula>
    </cfRule>
  </conditionalFormatting>
  <conditionalFormatting sqref="V472">
    <cfRule type="cellIs" dxfId="16" priority="17" operator="equal">
      <formula>"APAGADO"</formula>
    </cfRule>
  </conditionalFormatting>
  <conditionalFormatting sqref="V474">
    <cfRule type="cellIs" dxfId="15" priority="16" operator="equal">
      <formula>"APAGADO"</formula>
    </cfRule>
  </conditionalFormatting>
  <conditionalFormatting sqref="V529">
    <cfRule type="cellIs" dxfId="14" priority="15" operator="equal">
      <formula>"APAGADO"</formula>
    </cfRule>
  </conditionalFormatting>
  <conditionalFormatting sqref="V532">
    <cfRule type="cellIs" dxfId="13" priority="14" operator="equal">
      <formula>"APAGADO"</formula>
    </cfRule>
  </conditionalFormatting>
  <conditionalFormatting sqref="V533">
    <cfRule type="cellIs" dxfId="12" priority="13" operator="equal">
      <formula>"APAGADO"</formula>
    </cfRule>
  </conditionalFormatting>
  <conditionalFormatting sqref="V539">
    <cfRule type="cellIs" dxfId="11" priority="12" operator="equal">
      <formula>"APAGADO"</formula>
    </cfRule>
  </conditionalFormatting>
  <conditionalFormatting sqref="V540">
    <cfRule type="cellIs" dxfId="10" priority="11" operator="equal">
      <formula>"APAGADO"</formula>
    </cfRule>
  </conditionalFormatting>
  <conditionalFormatting sqref="V552">
    <cfRule type="cellIs" dxfId="9" priority="10" operator="equal">
      <formula>"APAGADO"</formula>
    </cfRule>
  </conditionalFormatting>
  <conditionalFormatting sqref="V564">
    <cfRule type="cellIs" dxfId="8" priority="9" operator="equal">
      <formula>"APAGADO"</formula>
    </cfRule>
  </conditionalFormatting>
  <conditionalFormatting sqref="V567">
    <cfRule type="cellIs" dxfId="7" priority="8" operator="equal">
      <formula>"APAGADO"</formula>
    </cfRule>
  </conditionalFormatting>
  <conditionalFormatting sqref="V569">
    <cfRule type="cellIs" dxfId="6" priority="7" operator="equal">
      <formula>"APAGADO"</formula>
    </cfRule>
  </conditionalFormatting>
  <conditionalFormatting sqref="V576">
    <cfRule type="cellIs" dxfId="5" priority="6" operator="equal">
      <formula>"APAGADO"</formula>
    </cfRule>
  </conditionalFormatting>
  <conditionalFormatting sqref="V327">
    <cfRule type="cellIs" dxfId="4" priority="5" operator="equal">
      <formula>"APAGADO"</formula>
    </cfRule>
  </conditionalFormatting>
  <conditionalFormatting sqref="V318">
    <cfRule type="cellIs" dxfId="3" priority="4" operator="equal">
      <formula>"APAGADO"</formula>
    </cfRule>
  </conditionalFormatting>
  <conditionalFormatting sqref="V320">
    <cfRule type="cellIs" dxfId="2" priority="3" operator="equal">
      <formula>"APAGADO"</formula>
    </cfRule>
  </conditionalFormatting>
  <conditionalFormatting sqref="V328">
    <cfRule type="cellIs" dxfId="1" priority="2" operator="equal">
      <formula>"APAGADO"</formula>
    </cfRule>
  </conditionalFormatting>
  <conditionalFormatting sqref="V329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>
        <f>'RESUMEN TOTAL'!W252</f>
        <v>0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>
        <f>'RESUMEN TOTAL'!W255</f>
        <v>0</v>
      </c>
      <c r="K193" s="70">
        <f>'RESUMEN TOTAL'!X255</f>
        <v>0</v>
      </c>
      <c r="L193" s="70">
        <f>'RESUMEN TOTAL'!Y255</f>
        <v>0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>
        <f>'RESUMEN TOTAL'!W256</f>
        <v>0</v>
      </c>
      <c r="K194" s="70">
        <f>'RESUMEN TOTAL'!X256</f>
        <v>0</v>
      </c>
      <c r="L194" s="70">
        <f>'RESUMEN TOTAL'!Y256</f>
        <v>0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>
        <f>'RESUMEN TOTAL'!AA289</f>
        <v>0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>
        <f>'RESUMEN TOTAL'!AA292</f>
        <v>0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>
        <f>'RESUMEN TOTAL'!AB306</f>
        <v>0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>
        <f>'RESUMEN TOTAL'!AB307</f>
        <v>0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>
        <f>'RESUMEN TOTAL'!W318</f>
        <v>0</v>
      </c>
      <c r="K244" s="70">
        <f>'RESUMEN TOTAL'!X318</f>
        <v>0</v>
      </c>
      <c r="L244" s="70">
        <f>'RESUMEN TOTAL'!Y318</f>
        <v>0</v>
      </c>
      <c r="M244" s="70">
        <f>'RESUMEN TOTAL'!Z318</f>
        <v>0</v>
      </c>
      <c r="N244" s="70">
        <f>'RESUMEN TOTAL'!AA318</f>
        <v>0</v>
      </c>
      <c r="O244" s="70">
        <f>'RESUMEN TOTAL'!AB318</f>
        <v>0</v>
      </c>
      <c r="P244" s="70">
        <f>'RESUMEN TOTAL'!AC318</f>
        <v>0</v>
      </c>
      <c r="Q244" s="70">
        <f>'RESUMEN TOTAL'!AD318</f>
        <v>0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>
        <f>'RESUMEN TOTAL'!W320</f>
        <v>0</v>
      </c>
      <c r="K246" s="70">
        <f>'RESUMEN TOTAL'!X320</f>
        <v>0</v>
      </c>
      <c r="L246" s="70">
        <f>'RESUMEN TOTAL'!Y320</f>
        <v>0</v>
      </c>
      <c r="M246" s="70">
        <f>'RESUMEN TOTAL'!Z320</f>
        <v>0</v>
      </c>
      <c r="N246" s="70">
        <f>'RESUMEN TOTAL'!AA320</f>
        <v>0</v>
      </c>
      <c r="O246" s="70">
        <f>'RESUMEN TOTAL'!AB320</f>
        <v>0</v>
      </c>
      <c r="P246" s="70">
        <f>'RESUMEN TOTAL'!AC320</f>
        <v>0</v>
      </c>
      <c r="Q246" s="70">
        <f>'RESUMEN TOTAL'!AD320</f>
        <v>0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>
        <f>'RESUMEN TOTAL'!AD321</f>
        <v>0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>
        <f>'RESUMEN TOTAL'!AB323</f>
        <v>0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>
        <f>'RESUMEN TOTAL'!W327</f>
        <v>0</v>
      </c>
      <c r="K253" s="70">
        <f>'RESUMEN TOTAL'!X327</f>
        <v>0</v>
      </c>
      <c r="L253" s="70">
        <f>'RESUMEN TOTAL'!Y327</f>
        <v>0</v>
      </c>
      <c r="M253" s="70">
        <f>'RESUMEN TOTAL'!Z327</f>
        <v>0</v>
      </c>
      <c r="N253" s="70">
        <f>'RESUMEN TOTAL'!AA327</f>
        <v>0</v>
      </c>
      <c r="O253" s="70">
        <f>'RESUMEN TOTAL'!AB327</f>
        <v>0</v>
      </c>
      <c r="P253" s="70">
        <f>'RESUMEN TOTAL'!AC327</f>
        <v>0</v>
      </c>
      <c r="Q253" s="70">
        <f>'RESUMEN TOTAL'!AD327</f>
        <v>0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>
        <f>'RESUMEN TOTAL'!W328</f>
        <v>0</v>
      </c>
      <c r="K254" s="70">
        <f>'RESUMEN TOTAL'!X328</f>
        <v>0</v>
      </c>
      <c r="L254" s="70">
        <f>'RESUMEN TOTAL'!Y328</f>
        <v>0</v>
      </c>
      <c r="M254" s="70">
        <f>'RESUMEN TOTAL'!Z328</f>
        <v>0</v>
      </c>
      <c r="N254" s="70">
        <f>'RESUMEN TOTAL'!AA328</f>
        <v>0</v>
      </c>
      <c r="O254" s="70" t="e">
        <f>'RESUMEN TOTAL'!#REF!</f>
        <v>#REF!</v>
      </c>
      <c r="P254" s="70">
        <f>'RESUMEN TOTAL'!AC328</f>
        <v>0</v>
      </c>
      <c r="Q254" s="70">
        <f>'RESUMEN TOTAL'!AD328</f>
        <v>0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>
        <f>'RESUMEN TOTAL'!W329</f>
        <v>0</v>
      </c>
      <c r="K255" s="70">
        <f>'RESUMEN TOTAL'!X329</f>
        <v>0</v>
      </c>
      <c r="L255" s="70">
        <f>'RESUMEN TOTAL'!Y329</f>
        <v>0</v>
      </c>
      <c r="M255" s="70">
        <f>'RESUMEN TOTAL'!Z329</f>
        <v>0</v>
      </c>
      <c r="N255" s="70">
        <f>'RESUMEN TOTAL'!AA329</f>
        <v>0</v>
      </c>
      <c r="O255" s="70">
        <f>'RESUMEN TOTAL'!AB328</f>
        <v>0</v>
      </c>
      <c r="P255" s="70">
        <f>'RESUMEN TOTAL'!AC329</f>
        <v>0</v>
      </c>
      <c r="Q255" s="70">
        <f>'RESUMEN TOTAL'!AD329</f>
        <v>0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>
        <f>'RESUMEN TOTAL'!AA383</f>
        <v>0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VILLA AURORA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>
        <f>'RESUMEN TOTAL'!W393</f>
        <v>0</v>
      </c>
      <c r="K305" s="70">
        <f>'RESUMEN TOTAL'!X393</f>
        <v>0</v>
      </c>
      <c r="L305" s="70">
        <f>'RESUMEN TOTAL'!Y393</f>
        <v>0</v>
      </c>
      <c r="M305" s="70">
        <f>'RESUMEN TOTAL'!Z393</f>
        <v>0</v>
      </c>
      <c r="N305" s="70">
        <f>'RESUMEN TOTAL'!AA393</f>
        <v>0</v>
      </c>
      <c r="O305" s="70">
        <f>'RESUMEN TOTAL'!AB393</f>
        <v>0</v>
      </c>
      <c r="P305" s="70">
        <f>'RESUMEN TOTAL'!AC393</f>
        <v>0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>
        <f>'RESUMEN TOTAL'!W401</f>
        <v>0</v>
      </c>
      <c r="K313" s="70">
        <f>'RESUMEN TOTAL'!X401</f>
        <v>0</v>
      </c>
      <c r="L313" s="70">
        <f>'RESUMEN TOTAL'!Y401</f>
        <v>0</v>
      </c>
      <c r="M313" s="70">
        <f>'RESUMEN TOTAL'!Z401</f>
        <v>0</v>
      </c>
      <c r="N313" s="70">
        <f>'RESUMEN TOTAL'!AA401</f>
        <v>0</v>
      </c>
      <c r="O313" s="70">
        <f>'RESUMEN TOTAL'!AB401</f>
        <v>0</v>
      </c>
      <c r="P313" s="70">
        <f>'RESUMEN TOTAL'!AC401</f>
        <v>0</v>
      </c>
      <c r="Q313" s="70">
        <f>'RESUMEN TOTAL'!AD401</f>
        <v>0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>
        <f>'RESUMEN TOTAL'!W412</f>
        <v>0</v>
      </c>
      <c r="K319" s="70">
        <f>'RESUMEN TOTAL'!X412</f>
        <v>0</v>
      </c>
      <c r="L319" s="70">
        <f>'RESUMEN TOTAL'!Y412</f>
        <v>0</v>
      </c>
      <c r="M319" s="70">
        <f>'RESUMEN TOTAL'!Z412</f>
        <v>0</v>
      </c>
      <c r="N319" s="70">
        <f>'RESUMEN TOTAL'!AA412</f>
        <v>0</v>
      </c>
      <c r="O319" s="70">
        <f>'RESUMEN TOTAL'!AB412</f>
        <v>0</v>
      </c>
      <c r="P319" s="70">
        <f>'RESUMEN TOTAL'!AC412</f>
        <v>0</v>
      </c>
      <c r="Q319" s="70">
        <f>'RESUMEN TOTAL'!AD412</f>
        <v>0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>
        <f>'RESUMEN TOTAL'!W414</f>
        <v>0</v>
      </c>
      <c r="K321" s="70">
        <f>'RESUMEN TOTAL'!X414</f>
        <v>0</v>
      </c>
      <c r="L321" s="70">
        <f>'RESUMEN TOTAL'!Y414</f>
        <v>0</v>
      </c>
      <c r="M321" s="70">
        <f>'RESUMEN TOTAL'!Z414</f>
        <v>0</v>
      </c>
      <c r="N321" s="70">
        <f>'RESUMEN TOTAL'!AA414</f>
        <v>0</v>
      </c>
      <c r="O321" s="70">
        <f>'RESUMEN TOTAL'!AB414</f>
        <v>0</v>
      </c>
      <c r="P321" s="70">
        <f>'RESUMEN TOTAL'!AC414</f>
        <v>0</v>
      </c>
      <c r="Q321" s="70">
        <f>'RESUMEN TOTAL'!AD414</f>
        <v>0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>
        <f>'RESUMEN TOTAL'!W415</f>
        <v>0</v>
      </c>
      <c r="K322" s="70">
        <f>'RESUMEN TOTAL'!X415</f>
        <v>0</v>
      </c>
      <c r="L322" s="70">
        <f>'RESUMEN TOTAL'!Y415</f>
        <v>0</v>
      </c>
      <c r="M322" s="70">
        <f>'RESUMEN TOTAL'!Z415</f>
        <v>0</v>
      </c>
      <c r="N322" s="70">
        <f>'RESUMEN TOTAL'!AA415</f>
        <v>0</v>
      </c>
      <c r="O322" s="70">
        <f>'RESUMEN TOTAL'!AB415</f>
        <v>0</v>
      </c>
      <c r="P322" s="70">
        <f>'RESUMEN TOTAL'!AC415</f>
        <v>0</v>
      </c>
      <c r="Q322" s="70">
        <f>'RESUMEN TOTAL'!AD415</f>
        <v>0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>
        <f>'RESUMEN TOTAL'!AA429</f>
        <v>0</v>
      </c>
      <c r="O329" s="70">
        <f>'RESUMEN TOTAL'!AB429</f>
        <v>0</v>
      </c>
      <c r="P329" s="70">
        <f>'RESUMEN TOTAL'!AC429</f>
        <v>0</v>
      </c>
      <c r="Q329" s="70">
        <f>'RESUMEN TOTAL'!AD429</f>
        <v>0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>
        <f>'RESUMEN TOTAL'!W433</f>
        <v>0</v>
      </c>
      <c r="K333" s="70">
        <f>'RESUMEN TOTAL'!X433</f>
        <v>0</v>
      </c>
      <c r="L333" s="70">
        <f>'RESUMEN TOTAL'!Y433</f>
        <v>0</v>
      </c>
      <c r="M333" s="70">
        <f>'RESUMEN TOTAL'!Z433</f>
        <v>0</v>
      </c>
      <c r="N333" s="70">
        <f>'RESUMEN TOTAL'!AA433</f>
        <v>0</v>
      </c>
      <c r="O333" s="70">
        <f>'RESUMEN TOTAL'!AB433</f>
        <v>0</v>
      </c>
      <c r="P333" s="70">
        <f>'RESUMEN TOTAL'!AC433</f>
        <v>0</v>
      </c>
      <c r="Q333" s="70">
        <f>'RESUMEN TOTAL'!AD433</f>
        <v>0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>
        <f>'RESUMEN TOTAL'!W443</f>
        <v>0</v>
      </c>
      <c r="K340" s="70">
        <f>'RESUMEN TOTAL'!X443</f>
        <v>0</v>
      </c>
      <c r="L340" s="70">
        <f>'RESUMEN TOTAL'!Y443</f>
        <v>0</v>
      </c>
      <c r="M340" s="70">
        <f>'RESUMEN TOTAL'!Z443</f>
        <v>0</v>
      </c>
      <c r="N340" s="70">
        <f>'RESUMEN TOTAL'!AA443</f>
        <v>0</v>
      </c>
      <c r="O340" s="70">
        <f>'RESUMEN TOTAL'!AB443</f>
        <v>0</v>
      </c>
      <c r="P340" s="70">
        <f>'RESUMEN TOTAL'!AC443</f>
        <v>0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>
        <f>'RESUMEN TOTAL'!W445</f>
        <v>0</v>
      </c>
      <c r="K342" s="70">
        <f>'RESUMEN TOTAL'!X445</f>
        <v>0</v>
      </c>
      <c r="L342" s="70">
        <f>'RESUMEN TOTAL'!Y445</f>
        <v>0</v>
      </c>
      <c r="M342" s="70">
        <f>'RESUMEN TOTAL'!Z445</f>
        <v>0</v>
      </c>
      <c r="N342" s="70">
        <f>'RESUMEN TOTAL'!AA445</f>
        <v>0</v>
      </c>
      <c r="O342" s="70">
        <f>'RESUMEN TOTAL'!AB445</f>
        <v>0</v>
      </c>
      <c r="P342" s="70">
        <f>'RESUMEN TOTAL'!AC445</f>
        <v>0</v>
      </c>
      <c r="Q342" s="70">
        <f>'RESUMEN TOTAL'!AD445</f>
        <v>0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>
        <f>'RESUMEN TOTAL'!W457</f>
        <v>0</v>
      </c>
      <c r="K354" s="70">
        <f>'RESUMEN TOTAL'!X457</f>
        <v>0</v>
      </c>
      <c r="L354" s="70">
        <f>'RESUMEN TOTAL'!Y457</f>
        <v>0</v>
      </c>
      <c r="M354" s="70">
        <f>'RESUMEN TOTAL'!Z457</f>
        <v>0</v>
      </c>
      <c r="N354" s="70">
        <f>'RESUMEN TOTAL'!AA457</f>
        <v>0</v>
      </c>
      <c r="O354" s="70">
        <f>'RESUMEN TOTAL'!AB457</f>
        <v>0</v>
      </c>
      <c r="P354" s="70">
        <f>'RESUMEN TOTAL'!AC457</f>
        <v>0</v>
      </c>
      <c r="Q354" s="70">
        <f>'RESUMEN TOTAL'!AD457</f>
        <v>0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>
        <f>'RESUMEN TOTAL'!W470</f>
        <v>0</v>
      </c>
      <c r="K361" s="70">
        <f>'RESUMEN TOTAL'!X470</f>
        <v>0</v>
      </c>
      <c r="L361" s="70">
        <f>'RESUMEN TOTAL'!Y470</f>
        <v>0</v>
      </c>
      <c r="M361" s="70">
        <f>'RESUMEN TOTAL'!Z470</f>
        <v>0</v>
      </c>
      <c r="N361" s="70">
        <f>'RESUMEN TOTAL'!AA470</f>
        <v>0</v>
      </c>
      <c r="O361" s="70">
        <f>'RESUMEN TOTAL'!AB470</f>
        <v>0</v>
      </c>
      <c r="P361" s="70">
        <f>'RESUMEN TOTAL'!AC470</f>
        <v>0</v>
      </c>
      <c r="Q361" s="70">
        <f>'RESUMEN TOTAL'!AD470</f>
        <v>0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>
        <f>'RESUMEN TOTAL'!W471</f>
        <v>0</v>
      </c>
      <c r="K362" s="70">
        <f>'RESUMEN TOTAL'!X471</f>
        <v>0</v>
      </c>
      <c r="L362" s="70">
        <f>'RESUMEN TOTAL'!Y471</f>
        <v>0</v>
      </c>
      <c r="M362" s="70">
        <f>'RESUMEN TOTAL'!Z471</f>
        <v>0</v>
      </c>
      <c r="N362" s="70">
        <f>'RESUMEN TOTAL'!AA471</f>
        <v>0</v>
      </c>
      <c r="O362" s="70">
        <f>'RESUMEN TOTAL'!AB471</f>
        <v>0</v>
      </c>
      <c r="P362" s="70">
        <f>'RESUMEN TOTAL'!AC471</f>
        <v>0</v>
      </c>
      <c r="Q362" s="70">
        <f>'RESUMEN TOTAL'!AD471</f>
        <v>0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>
        <f>'RESUMEN TOTAL'!W472</f>
        <v>0</v>
      </c>
      <c r="K363" s="70">
        <f>'RESUMEN TOTAL'!X472</f>
        <v>0</v>
      </c>
      <c r="L363" s="70">
        <f>'RESUMEN TOTAL'!Y472</f>
        <v>0</v>
      </c>
      <c r="M363" s="70">
        <f>'RESUMEN TOTAL'!Z472</f>
        <v>0</v>
      </c>
      <c r="N363" s="70">
        <f>'RESUMEN TOTAL'!AA472</f>
        <v>0</v>
      </c>
      <c r="O363" s="70">
        <f>'RESUMEN TOTAL'!AB472</f>
        <v>0</v>
      </c>
      <c r="P363" s="70">
        <f>'RESUMEN TOTAL'!AC472</f>
        <v>0</v>
      </c>
      <c r="Q363" s="70">
        <f>'RESUMEN TOTAL'!AD472</f>
        <v>0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>
        <f>'RESUMEN TOTAL'!AC475</f>
        <v>0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>
        <f>'RESUMEN TOTAL'!Z509</f>
        <v>0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>
        <f>'RESUMEN TOTAL'!Z511</f>
        <v>0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>
        <f>'RESUMEN TOTAL'!Z515</f>
        <v>0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>
        <f>'RESUMEN TOTAL'!Z524</f>
        <v>0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>
        <f>'RESUMEN TOTAL'!Z525</f>
        <v>0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>
        <f>'RESUMEN TOTAL'!W529</f>
        <v>0</v>
      </c>
      <c r="K411" s="70">
        <f>'RESUMEN TOTAL'!X529</f>
        <v>0</v>
      </c>
      <c r="L411" s="70">
        <f>'RESUMEN TOTAL'!Y529</f>
        <v>0</v>
      </c>
      <c r="M411" s="70">
        <f>'RESUMEN TOTAL'!Z529</f>
        <v>0</v>
      </c>
      <c r="N411" s="70">
        <f>'RESUMEN TOTAL'!AA529</f>
        <v>0</v>
      </c>
      <c r="O411" s="70">
        <f>'RESUMEN TOTAL'!AB529</f>
        <v>0</v>
      </c>
      <c r="P411" s="70">
        <f>'RESUMEN TOTAL'!AC529</f>
        <v>0</v>
      </c>
      <c r="Q411" s="70">
        <f>'RESUMEN TOTAL'!AD529</f>
        <v>0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>
        <f>'RESUMEN TOTAL'!W532</f>
        <v>0</v>
      </c>
      <c r="K414" s="70">
        <f>'RESUMEN TOTAL'!X532</f>
        <v>0</v>
      </c>
      <c r="L414" s="70">
        <f>'RESUMEN TOTAL'!Y532</f>
        <v>0</v>
      </c>
      <c r="M414" s="70">
        <f>'RESUMEN TOTAL'!Z532</f>
        <v>0</v>
      </c>
      <c r="N414" s="70">
        <f>'RESUMEN TOTAL'!AA532</f>
        <v>0</v>
      </c>
      <c r="O414" s="70">
        <f>'RESUMEN TOTAL'!AB532</f>
        <v>0</v>
      </c>
      <c r="P414" s="70">
        <f>'RESUMEN TOTAL'!AC532</f>
        <v>0</v>
      </c>
      <c r="Q414" s="70">
        <f>'RESUMEN TOTAL'!AD532</f>
        <v>0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>
        <f>'RESUMEN TOTAL'!W533</f>
        <v>0</v>
      </c>
      <c r="K415" s="70">
        <f>'RESUMEN TOTAL'!X533</f>
        <v>0</v>
      </c>
      <c r="L415" s="70">
        <f>'RESUMEN TOTAL'!Y533</f>
        <v>0</v>
      </c>
      <c r="M415" s="70">
        <f>'RESUMEN TOTAL'!Z533</f>
        <v>0</v>
      </c>
      <c r="N415" s="70">
        <f>'RESUMEN TOTAL'!AA533</f>
        <v>0</v>
      </c>
      <c r="O415" s="70">
        <f>'RESUMEN TOTAL'!AB533</f>
        <v>0</v>
      </c>
      <c r="P415" s="70">
        <f>'RESUMEN TOTAL'!AC533</f>
        <v>0</v>
      </c>
      <c r="Q415" s="70">
        <f>'RESUMEN TOTAL'!AD533</f>
        <v>0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>
        <f>'RESUMEN TOTAL'!Z534</f>
        <v>0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>
        <f>'RESUMEN TOTAL'!AC550</f>
        <v>0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>
        <f>'RESUMEN TOTAL'!W552</f>
        <v>0</v>
      </c>
      <c r="K428" s="70">
        <f>'RESUMEN TOTAL'!X552</f>
        <v>0</v>
      </c>
      <c r="L428" s="70">
        <f>'RESUMEN TOTAL'!Y552</f>
        <v>0</v>
      </c>
      <c r="M428" s="70">
        <f>'RESUMEN TOTAL'!Z552</f>
        <v>0</v>
      </c>
      <c r="N428" s="70">
        <f>'RESUMEN TOTAL'!AA552</f>
        <v>0</v>
      </c>
      <c r="O428" s="70">
        <f>'RESUMEN TOTAL'!AB552</f>
        <v>0</v>
      </c>
      <c r="P428" s="70">
        <f>'RESUMEN TOTAL'!AC552</f>
        <v>0</v>
      </c>
      <c r="Q428" s="70">
        <f>'RESUMEN TOTAL'!AD552</f>
        <v>0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>
        <f>'RESUMEN TOTAL'!Z554</f>
        <v>0</v>
      </c>
      <c r="N430" s="70">
        <f>'RESUMEN TOTAL'!AA554</f>
        <v>0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>
        <f>'RESUMEN TOTAL'!W564</f>
        <v>0</v>
      </c>
      <c r="K436" s="70">
        <f>'RESUMEN TOTAL'!X564</f>
        <v>0</v>
      </c>
      <c r="L436" s="70">
        <f>'RESUMEN TOTAL'!Y564</f>
        <v>0</v>
      </c>
      <c r="M436" s="70">
        <f>'RESUMEN TOTAL'!Z564</f>
        <v>0</v>
      </c>
      <c r="N436" s="70">
        <f>'RESUMEN TOTAL'!AA564</f>
        <v>0</v>
      </c>
      <c r="O436" s="70">
        <f>'RESUMEN TOTAL'!AB564</f>
        <v>0</v>
      </c>
      <c r="P436" s="70">
        <f>'RESUMEN TOTAL'!AC564</f>
        <v>0</v>
      </c>
      <c r="Q436" s="70">
        <f>'RESUMEN TOTAL'!AD564</f>
        <v>0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>
        <f>'RESUMEN TOTAL'!W567</f>
        <v>0</v>
      </c>
      <c r="K438" s="70">
        <f>'RESUMEN TOTAL'!X567</f>
        <v>0</v>
      </c>
      <c r="L438" s="70">
        <f>'RESUMEN TOTAL'!Y567</f>
        <v>0</v>
      </c>
      <c r="M438" s="70">
        <f>'RESUMEN TOTAL'!Z567</f>
        <v>0</v>
      </c>
      <c r="N438" s="70">
        <f>'RESUMEN TOTAL'!AA567</f>
        <v>0</v>
      </c>
      <c r="O438" s="70">
        <f>'RESUMEN TOTAL'!AB567</f>
        <v>0</v>
      </c>
      <c r="P438" s="70">
        <f>'RESUMEN TOTAL'!AC567</f>
        <v>0</v>
      </c>
      <c r="Q438" s="70">
        <f>'RESUMEN TOTAL'!AD567</f>
        <v>0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>
        <f>'RESUMEN TOTAL'!W569</f>
        <v>0</v>
      </c>
      <c r="K440" s="70">
        <f>'RESUMEN TOTAL'!X569</f>
        <v>0</v>
      </c>
      <c r="L440" s="70">
        <f>'RESUMEN TOTAL'!Y569</f>
        <v>0</v>
      </c>
      <c r="M440" s="70">
        <f>'RESUMEN TOTAL'!Z569</f>
        <v>0</v>
      </c>
      <c r="N440" s="70">
        <f>'RESUMEN TOTAL'!AA569</f>
        <v>0</v>
      </c>
      <c r="O440" s="70">
        <f>'RESUMEN TOTAL'!AB569</f>
        <v>0</v>
      </c>
      <c r="P440" s="70">
        <f>'RESUMEN TOTAL'!AC569</f>
        <v>0</v>
      </c>
      <c r="Q440" s="70">
        <f>'RESUMEN TOTAL'!AD569</f>
        <v>0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>
        <f>'RESUMEN TOTAL'!W576</f>
        <v>0</v>
      </c>
      <c r="K446" s="70">
        <f>'RESUMEN TOTAL'!X576</f>
        <v>0</v>
      </c>
      <c r="L446" s="70">
        <f>'RESUMEN TOTAL'!Y576</f>
        <v>0</v>
      </c>
      <c r="M446" s="70">
        <f>'RESUMEN TOTAL'!Z576</f>
        <v>0</v>
      </c>
      <c r="N446" s="70">
        <f>'RESUMEN TOTAL'!AA576</f>
        <v>0</v>
      </c>
      <c r="O446" s="70">
        <f>'RESUMEN TOTAL'!AB576</f>
        <v>0</v>
      </c>
      <c r="P446" s="70">
        <f>'RESUMEN TOTAL'!AC576</f>
        <v>0</v>
      </c>
      <c r="Q446" s="70">
        <f>'RESUMEN TOTAL'!AD576</f>
        <v>0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>
        <f>'RESUMEN TOTAL'!W577</f>
        <v>0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>
        <f>'RESUMEN TOTAL'!W579</f>
        <v>0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>
        <f>'RESUMEN TOTAL'!Z587</f>
        <v>0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>
        <f>'RESUMEN TOTAL'!Z588</f>
        <v>0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>
        <f>'RESUMEN TOTAL'!W589</f>
        <v>0</v>
      </c>
      <c r="K456" s="70">
        <f>'RESUMEN TOTAL'!X589</f>
        <v>0</v>
      </c>
      <c r="L456" s="70">
        <f>'RESUMEN TOTAL'!Y589</f>
        <v>0</v>
      </c>
      <c r="M456" s="70">
        <f>'RESUMEN TOTAL'!Z589</f>
        <v>0</v>
      </c>
      <c r="N456" s="70">
        <f>'RESUMEN TOTAL'!AA589</f>
        <v>0</v>
      </c>
      <c r="O456" s="70">
        <f>'RESUMEN TOTAL'!AB589</f>
        <v>0</v>
      </c>
      <c r="P456" s="70">
        <f>'RESUMEN TOTAL'!AC589</f>
        <v>0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0" priority="97" operator="containsText" text="fija">
      <formula>NOT(ISERROR(SEARCH("fija",D4)))</formula>
    </cfRule>
    <cfRule type="containsText" dxfId="109" priority="98" operator="containsText" text="domo">
      <formula>NOT(ISERROR(SEARCH("domo",D4)))</formula>
    </cfRule>
    <cfRule type="cellIs" dxfId="108" priority="924" operator="equal">
      <formula>$D$7</formula>
    </cfRule>
  </conditionalFormatting>
  <conditionalFormatting sqref="D439">
    <cfRule type="containsText" dxfId="107" priority="69" operator="containsText" text="Radio">
      <formula>NOT(ISERROR(SEARCH("Radio",D439)))</formula>
    </cfRule>
    <cfRule type="containsText" dxfId="106" priority="68" operator="containsText" text="domo">
      <formula>NOT(ISERROR(SEARCH("domo",D439)))</formula>
    </cfRule>
    <cfRule type="containsText" dxfId="105" priority="67" operator="containsText" text="fija">
      <formula>NOT(ISERROR(SEARCH("fija",D439)))</formula>
    </cfRule>
  </conditionalFormatting>
  <conditionalFormatting sqref="D439:D440">
    <cfRule type="containsText" dxfId="104" priority="65" operator="containsText" text="domo">
      <formula>NOT(ISERROR(SEARCH("domo",D439)))</formula>
    </cfRule>
    <cfRule type="containsText" dxfId="103" priority="64" operator="containsText" text="fija">
      <formula>NOT(ISERROR(SEARCH("fija",D439)))</formula>
    </cfRule>
  </conditionalFormatting>
  <conditionalFormatting sqref="D440">
    <cfRule type="containsText" dxfId="102" priority="66" operator="containsText" text="Radio">
      <formula>NOT(ISERROR(SEARCH("Radio",D440)))</formula>
    </cfRule>
    <cfRule type="containsText" dxfId="101" priority="63" operator="containsText" text="domo">
      <formula>NOT(ISERROR(SEARCH("domo",D440)))</formula>
    </cfRule>
    <cfRule type="containsText" dxfId="100" priority="62" operator="containsText" text="fija">
      <formula>NOT(ISERROR(SEARCH("fija",D440)))</formula>
    </cfRule>
  </conditionalFormatting>
  <conditionalFormatting sqref="D443">
    <cfRule type="containsText" dxfId="99" priority="59" operator="containsText" text="fija">
      <formula>NOT(ISERROR(SEARCH("fija",D443)))</formula>
    </cfRule>
    <cfRule type="containsText" dxfId="98" priority="61" operator="containsText" text="Radio">
      <formula>NOT(ISERROR(SEARCH("Radio",D443)))</formula>
    </cfRule>
    <cfRule type="containsText" dxfId="97" priority="60" operator="containsText" text="domo">
      <formula>NOT(ISERROR(SEARCH("domo",D443)))</formula>
    </cfRule>
  </conditionalFormatting>
  <conditionalFormatting sqref="D443:D444">
    <cfRule type="containsText" dxfId="96" priority="56" operator="containsText" text="fija">
      <formula>NOT(ISERROR(SEARCH("fija",D443)))</formula>
    </cfRule>
    <cfRule type="containsText" dxfId="95" priority="57" operator="containsText" text="domo">
      <formula>NOT(ISERROR(SEARCH("domo",D443)))</formula>
    </cfRule>
  </conditionalFormatting>
  <conditionalFormatting sqref="D444:D445">
    <cfRule type="containsText" dxfId="94" priority="54" operator="containsText" text="domo">
      <formula>NOT(ISERROR(SEARCH("domo",D444)))</formula>
    </cfRule>
    <cfRule type="containsText" dxfId="93" priority="53" operator="containsText" text="fija">
      <formula>NOT(ISERROR(SEARCH("fija",D444)))</formula>
    </cfRule>
  </conditionalFormatting>
  <conditionalFormatting sqref="D445">
    <cfRule type="containsText" dxfId="92" priority="55" operator="containsText" text="Radio">
      <formula>NOT(ISERROR(SEARCH("Radio",D445)))</formula>
    </cfRule>
  </conditionalFormatting>
  <conditionalFormatting sqref="D445:D446">
    <cfRule type="containsText" dxfId="91" priority="50" operator="containsText" text="fija">
      <formula>NOT(ISERROR(SEARCH("fija",D445)))</formula>
    </cfRule>
    <cfRule type="containsText" dxfId="90" priority="51" operator="containsText" text="domo">
      <formula>NOT(ISERROR(SEARCH("domo",D445)))</formula>
    </cfRule>
  </conditionalFormatting>
  <conditionalFormatting sqref="D446">
    <cfRule type="containsText" dxfId="89" priority="48" operator="containsText" text="fija">
      <formula>NOT(ISERROR(SEARCH("fija",D446)))</formula>
    </cfRule>
    <cfRule type="containsText" dxfId="88" priority="49" operator="containsText" text="domo">
      <formula>NOT(ISERROR(SEARCH("domo",D446)))</formula>
    </cfRule>
    <cfRule type="containsText" dxfId="87" priority="52" operator="containsText" text="Radio">
      <formula>NOT(ISERROR(SEARCH("Radio",D446)))</formula>
    </cfRule>
  </conditionalFormatting>
  <conditionalFormatting sqref="D448">
    <cfRule type="containsText" dxfId="86" priority="171" operator="containsText" text="fija">
      <formula>NOT(ISERROR(SEARCH("fija",D448)))</formula>
    </cfRule>
    <cfRule type="containsText" dxfId="85" priority="172" operator="containsText" text="domo">
      <formula>NOT(ISERROR(SEARCH("domo",D448)))</formula>
    </cfRule>
  </conditionalFormatting>
  <conditionalFormatting sqref="D451:D453">
    <cfRule type="containsText" dxfId="84" priority="70" operator="containsText" text="fija">
      <formula>NOT(ISERROR(SEARCH("fija",D451)))</formula>
    </cfRule>
    <cfRule type="containsText" dxfId="83" priority="71" operator="containsText" text="domo">
      <formula>NOT(ISERROR(SEARCH("domo",D451)))</formula>
    </cfRule>
  </conditionalFormatting>
  <conditionalFormatting sqref="D642">
    <cfRule type="containsText" dxfId="82" priority="1" operator="containsText" text="Radio">
      <formula>NOT(ISERROR(SEARCH("Radio",D642)))</formula>
    </cfRule>
  </conditionalFormatting>
  <conditionalFormatting sqref="D4:E641">
    <cfRule type="containsText" dxfId="81" priority="58" operator="containsText" text="Radio">
      <formula>NOT(ISERROR(SEARCH("Radio",D4)))</formula>
    </cfRule>
  </conditionalFormatting>
  <conditionalFormatting sqref="D448:E448 D458:E641">
    <cfRule type="containsText" dxfId="80" priority="193" operator="containsText" text="Radio">
      <formula>NOT(ISERROR(SEARCH("Radio",D448)))</formula>
    </cfRule>
  </conditionalFormatting>
  <conditionalFormatting sqref="E4:E665">
    <cfRule type="cellIs" dxfId="79" priority="169" operator="equal">
      <formula>"PTP A FO"</formula>
    </cfRule>
    <cfRule type="cellIs" dxfId="78" priority="927" operator="equal">
      <formula>$E$10</formula>
    </cfRule>
    <cfRule type="cellIs" dxfId="77" priority="928" operator="equal">
      <formula>"PTP A FO"</formula>
    </cfRule>
  </conditionalFormatting>
  <conditionalFormatting sqref="E438">
    <cfRule type="cellIs" dxfId="76" priority="11" operator="equal">
      <formula>"PTP A FO"</formula>
    </cfRule>
    <cfRule type="containsText" dxfId="75" priority="10" operator="containsText" text="Radio">
      <formula>NOT(ISERROR(SEARCH("Radio",E438)))</formula>
    </cfRule>
  </conditionalFormatting>
  <conditionalFormatting sqref="E642:E665">
    <cfRule type="containsText" dxfId="74" priority="3" operator="containsText" text="Radio">
      <formula>NOT(ISERROR(SEARCH("Radio",E642)))</formula>
    </cfRule>
  </conditionalFormatting>
  <conditionalFormatting sqref="F5:AJ643">
    <cfRule type="notContainsText" dxfId="73" priority="13" operator="notContains" text="Caida">
      <formula>ISERROR(SEARCH("Caida",F5))</formula>
    </cfRule>
    <cfRule type="cellIs" dxfId="72" priority="8" operator="equal">
      <formula>"apagado"</formula>
    </cfRule>
    <cfRule type="cellIs" dxfId="71" priority="16" operator="greaterThan">
      <formula>0.8</formula>
    </cfRule>
    <cfRule type="cellIs" dxfId="70" priority="12" operator="equal">
      <formula>"APAGADO"</formula>
    </cfRule>
    <cfRule type="cellIs" dxfId="69" priority="15" operator="lessThan">
      <formula>0.8</formula>
    </cfRule>
    <cfRule type="containsText" dxfId="68" priority="14" operator="containsText" text="Caida">
      <formula>NOT(ISERROR(SEARCH("Caida",F5)))</formula>
    </cfRule>
  </conditionalFormatting>
  <conditionalFormatting sqref="H4">
    <cfRule type="cellIs" dxfId="6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0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6" priority="5" operator="greaterThan">
      <formula>0.1</formula>
    </cfRule>
    <cfRule type="cellIs" dxfId="65" priority="6" operator="greaterThan">
      <formula>10</formula>
    </cfRule>
  </conditionalFormatting>
  <conditionalFormatting sqref="C5 F6:AJ6">
    <cfRule type="cellIs" dxfId="64" priority="3" operator="greaterThan">
      <formula>0.1</formula>
    </cfRule>
    <cfRule type="cellIs" dxfId="63" priority="4" operator="greaterThan">
      <formula>0.11</formula>
    </cfRule>
  </conditionalFormatting>
  <conditionalFormatting sqref="F4:AJ4">
    <cfRule type="cellIs" dxfId="62" priority="9" operator="greaterThan">
      <formula>0.1</formula>
    </cfRule>
    <cfRule type="cellIs" dxfId="6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7" zoomScaleNormal="100" workbookViewId="0">
      <selection activeCell="D44" sqref="D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5</v>
      </c>
      <c r="D28" s="100">
        <f>D27-C28</f>
        <v>42</v>
      </c>
      <c r="E28" s="55">
        <f>D28/C24</f>
        <v>7.0945945945945943E-2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1220</v>
      </c>
      <c r="C48" s="67">
        <v>3</v>
      </c>
      <c r="D48" s="100">
        <f>C47-C48</f>
        <v>-3</v>
      </c>
      <c r="E48" s="55">
        <f>D48/C46</f>
        <v>-5.0675675675675678E-3</v>
      </c>
      <c r="F48" s="160"/>
    </row>
    <row r="49" spans="1:6" x14ac:dyDescent="0.25">
      <c r="B49" s="53" t="s">
        <v>1221</v>
      </c>
      <c r="C49" s="67">
        <v>12</v>
      </c>
      <c r="D49" s="100">
        <f>D48-C49</f>
        <v>-15</v>
      </c>
      <c r="E49" s="55">
        <f>D49/C46</f>
        <v>-2.5337837837837839E-2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0</v>
      </c>
      <c r="D50" s="100">
        <f>D49-C50</f>
        <v>-15</v>
      </c>
      <c r="E50" s="55">
        <f>D50/C46</f>
        <v>-2.5337837837837839E-2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f>Hoja1!J5</f>
        <v>0</v>
      </c>
      <c r="E54" s="111">
        <f>D54/C54</f>
        <v>0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1220</v>
      </c>
      <c r="C81" s="67">
        <v>6</v>
      </c>
      <c r="D81" s="100">
        <f>C80-C81</f>
        <v>-6</v>
      </c>
      <c r="E81" s="55">
        <f>D81/C79</f>
        <v>-1.0135135135135136E-2</v>
      </c>
      <c r="F81" s="160"/>
    </row>
    <row r="82" spans="1:6" x14ac:dyDescent="0.25">
      <c r="B82" s="53" t="s">
        <v>1221</v>
      </c>
      <c r="C82" s="67">
        <v>12</v>
      </c>
      <c r="D82" s="100">
        <f>D81-C82</f>
        <v>-18</v>
      </c>
      <c r="E82" s="55">
        <f>D82/C79</f>
        <v>-3.0405405405405407E-2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-23</v>
      </c>
      <c r="E83" s="55">
        <f>D83/C79</f>
        <v>-3.885135135135135E-2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62</v>
      </c>
      <c r="E87" s="111">
        <f>D87/C87</f>
        <v>0.21830985915492956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-8.4459459459459464E-3</v>
      </c>
      <c r="F92" s="160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-1.8581081081081082E-2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-2.7027027027027029E-2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f>Hoja1!N5</f>
        <v>0</v>
      </c>
      <c r="E98" s="111">
        <f>D98/C98</f>
        <v>0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0.23817567567567569</v>
      </c>
      <c r="F102" s="160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0.23817567567567569</v>
      </c>
      <c r="F103" s="160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0.2195945945945946</v>
      </c>
      <c r="F104" s="160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0.17060810810810811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72</v>
      </c>
      <c r="E109" s="111">
        <f>D109/C109</f>
        <v>0.25352112676056338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-4</v>
      </c>
      <c r="E114" s="55">
        <f>D114/C112</f>
        <v>-6.7567567567567571E-3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-16</v>
      </c>
      <c r="E115" s="55">
        <f>D115/C112</f>
        <v>-2.7027027027027029E-2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-22</v>
      </c>
      <c r="E116" s="55">
        <f>D116/C112</f>
        <v>-3.7162162162162164E-2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63</v>
      </c>
      <c r="E120" s="111">
        <f>D120/C120</f>
        <v>0.22183098591549297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-8.4459459459459464E-3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-2.8716216216216218E-2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-3.7162162162162164E-2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67</v>
      </c>
      <c r="E131" s="111">
        <f>D131/C131</f>
        <v>0.23591549295774647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2026-06-04T13:52:11Z</dcterms:modified>
</cp:coreProperties>
</file>