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AEBBEAEF-AA28-4A52-ADC1-143D2F22B9C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<sst xmlns="http://schemas.openxmlformats.org/spreadsheetml/2006/main" count="6414" uniqueCount="2131">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</sst>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29</c:v>
                </c:pt>
                <c:pt idx="24">
                  <c:v>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24</c:v>
                </c:pt>
                <c:pt idx="24">
                  <c:v>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0.11</c:v>
                      </c:pt>
                      <c:pt idx="24">
                        <c:v>0.1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0.09</c:v>
                      </c:pt>
                      <c:pt idx="24">
                        <c:v>8.7649402390438252E-2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0.11</c:v>
                </c:pt>
                <c:pt idx="24">
                  <c:v>0.1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0.09</c:v>
                </c:pt>
                <c:pt idx="24">
                  <c:v>8.7649402390438252E-2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24</c:v>
                      </c:pt>
                      <c:pt idx="24">
                        <c:v>22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tabSelected="1" zoomScale="53" zoomScaleNormal="53" workbookViewId="0">
      <pane xSplit="12" ySplit="7" topLeftCell="AK8" activePane="bottomRight" state="frozen"/>
      <selection pane="topRight" activeCell="M1" sqref="M1"/>
      <selection pane="bottomLeft" activeCell="A5" sqref="A5"/>
      <selection pane="bottomRight" activeCell="AK297" sqref="AK297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8.9225589225589222E-2</v>
      </c>
      <c r="AK1" s="3">
        <f t="shared" si="1"/>
        <v>8.6148648648648643E-2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53</v>
      </c>
      <c r="AK3" s="126">
        <f t="shared" si="3"/>
        <v>51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20</v>
      </c>
      <c r="AK4" s="10">
        <f>COUNTIFS(AK8:AK656, "=APAGADO",F8:F656,"=Fibra Optica")</f>
        <v>20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10</v>
      </c>
      <c r="AK5" s="130">
        <f>COUNTIFS(AK8:AK656, "=APAGADO",F8:F656,"=RADIO")</f>
        <v>10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4</v>
      </c>
      <c r="AK6" s="10">
        <f>COUNTIFS(AK8:AK656, "=APAGADO",F8:F656,"=PTO A FO")</f>
        <v>4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3</v>
      </c>
      <c r="J22" s="148" t="s">
        <v>1689</v>
      </c>
      <c r="K22" s="31">
        <f t="shared" si="5"/>
        <v>25</v>
      </c>
      <c r="L22" s="32">
        <f t="shared" si="6"/>
        <v>0.10714285714285714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 t="s">
        <v>1526</v>
      </c>
      <c r="AK22" s="70" t="s">
        <v>1526</v>
      </c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4</v>
      </c>
      <c r="J34" s="148" t="s">
        <v>1698</v>
      </c>
      <c r="K34" s="134">
        <f t="shared" si="5"/>
        <v>24</v>
      </c>
      <c r="L34" s="135">
        <f t="shared" si="6"/>
        <v>0.14285714285714285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 t="s">
        <v>1526</v>
      </c>
      <c r="AK34" s="136" t="s">
        <v>1526</v>
      </c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4</v>
      </c>
      <c r="J35" s="87"/>
      <c r="K35" s="143">
        <f t="shared" si="5"/>
        <v>24</v>
      </c>
      <c r="L35" s="144">
        <f t="shared" si="6"/>
        <v>0.14285714285714285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 t="s">
        <v>1526</v>
      </c>
      <c r="AK35" s="70" t="s">
        <v>1526</v>
      </c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23</v>
      </c>
      <c r="J46" s="148" t="s">
        <v>1704</v>
      </c>
      <c r="K46" s="31">
        <f t="shared" si="5"/>
        <v>5</v>
      </c>
      <c r="L46" s="32">
        <f t="shared" si="6"/>
        <v>0.8214285714285714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 t="s">
        <v>1526</v>
      </c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26</v>
      </c>
      <c r="J56" s="148" t="s">
        <v>1713</v>
      </c>
      <c r="K56" s="31">
        <f t="shared" si="5"/>
        <v>2</v>
      </c>
      <c r="L56" s="32">
        <f t="shared" si="6"/>
        <v>0.9285714285714286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 t="s">
        <v>1526</v>
      </c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3</v>
      </c>
      <c r="J63" s="87"/>
      <c r="K63" s="31">
        <f t="shared" si="5"/>
        <v>25</v>
      </c>
      <c r="L63" s="32">
        <f t="shared" si="6"/>
        <v>0.10714285714285714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 t="s">
        <v>1526</v>
      </c>
      <c r="AK63" s="93" t="s">
        <v>1526</v>
      </c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4</v>
      </c>
      <c r="J66" s="148" t="s">
        <v>1722</v>
      </c>
      <c r="K66" s="31">
        <f t="shared" si="5"/>
        <v>24</v>
      </c>
      <c r="L66" s="32">
        <f t="shared" si="6"/>
        <v>0.14285714285714285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 t="s">
        <v>1526</v>
      </c>
      <c r="AK66" s="70" t="s">
        <v>1526</v>
      </c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4</v>
      </c>
      <c r="J95" s="148" t="s">
        <v>1751</v>
      </c>
      <c r="K95" s="143">
        <f t="shared" si="8"/>
        <v>24</v>
      </c>
      <c r="L95" s="144">
        <f t="shared" si="9"/>
        <v>0.14285714285714285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 t="s">
        <v>1526</v>
      </c>
      <c r="AK95" s="70" t="s">
        <v>1526</v>
      </c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3</v>
      </c>
      <c r="J96" s="148" t="s">
        <v>1752</v>
      </c>
      <c r="K96" s="143">
        <f t="shared" si="8"/>
        <v>25</v>
      </c>
      <c r="L96" s="144">
        <f t="shared" si="9"/>
        <v>0.10714285714285714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 t="s">
        <v>1526</v>
      </c>
      <c r="AK96" s="70" t="s">
        <v>1526</v>
      </c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4</v>
      </c>
      <c r="J98" s="148" t="s">
        <v>1754</v>
      </c>
      <c r="K98" s="143">
        <f t="shared" si="8"/>
        <v>24</v>
      </c>
      <c r="L98" s="144">
        <f t="shared" si="9"/>
        <v>0.14285714285714285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 t="s">
        <v>1526</v>
      </c>
      <c r="AK98" s="70" t="s">
        <v>1526</v>
      </c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7</v>
      </c>
      <c r="J103" s="148" t="s">
        <v>1759</v>
      </c>
      <c r="K103" s="143">
        <f t="shared" si="8"/>
        <v>21</v>
      </c>
      <c r="L103" s="144">
        <f t="shared" si="9"/>
        <v>0.25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 t="s">
        <v>1526</v>
      </c>
      <c r="AK103" s="70" t="s">
        <v>1526</v>
      </c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3</v>
      </c>
      <c r="J116" s="148" t="s">
        <v>1771</v>
      </c>
      <c r="K116" s="31">
        <f t="shared" si="8"/>
        <v>25</v>
      </c>
      <c r="L116" s="32">
        <f t="shared" si="9"/>
        <v>0.10714285714285714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 t="s">
        <v>1526</v>
      </c>
      <c r="AK116" s="70" t="s">
        <v>1526</v>
      </c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3</v>
      </c>
      <c r="J117" s="148" t="s">
        <v>1772</v>
      </c>
      <c r="K117" s="143">
        <f t="shared" si="8"/>
        <v>25</v>
      </c>
      <c r="L117" s="144">
        <f t="shared" si="9"/>
        <v>0.10714285714285714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 t="s">
        <v>1526</v>
      </c>
      <c r="AK117" s="70" t="s">
        <v>1526</v>
      </c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3</v>
      </c>
      <c r="J121" s="148" t="s">
        <v>1776</v>
      </c>
      <c r="K121" s="31">
        <f t="shared" si="8"/>
        <v>25</v>
      </c>
      <c r="L121" s="32">
        <f t="shared" si="9"/>
        <v>0.10714285714285714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 t="s">
        <v>1526</v>
      </c>
      <c r="AK121" s="70" t="s">
        <v>1526</v>
      </c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3</v>
      </c>
      <c r="J122" s="148" t="s">
        <v>1777</v>
      </c>
      <c r="K122" s="31">
        <f t="shared" si="8"/>
        <v>25</v>
      </c>
      <c r="L122" s="32">
        <f t="shared" si="9"/>
        <v>0.10714285714285714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 t="s">
        <v>1526</v>
      </c>
      <c r="AK122" s="70" t="s">
        <v>1526</v>
      </c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3</v>
      </c>
      <c r="J147" s="87"/>
      <c r="K147" s="141">
        <f t="shared" si="8"/>
        <v>25</v>
      </c>
      <c r="L147" s="142">
        <f t="shared" si="9"/>
        <v>0.10714285714285714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 t="s">
        <v>1526</v>
      </c>
      <c r="AK147" s="93" t="s">
        <v>1526</v>
      </c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3</v>
      </c>
      <c r="J150" s="87"/>
      <c r="K150" s="31">
        <f t="shared" si="8"/>
        <v>25</v>
      </c>
      <c r="L150" s="32">
        <f t="shared" si="9"/>
        <v>0.10714285714285714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 t="s">
        <v>1526</v>
      </c>
      <c r="AK150" s="93" t="s">
        <v>1526</v>
      </c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3</v>
      </c>
      <c r="J151" s="87"/>
      <c r="K151" s="31">
        <f t="shared" si="8"/>
        <v>25</v>
      </c>
      <c r="L151" s="32">
        <f t="shared" si="9"/>
        <v>0.10714285714285714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 t="s">
        <v>1526</v>
      </c>
      <c r="AK151" s="93" t="s">
        <v>1526</v>
      </c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4</v>
      </c>
      <c r="J155" s="148" t="s">
        <v>1804</v>
      </c>
      <c r="K155" s="143">
        <f t="shared" si="8"/>
        <v>24</v>
      </c>
      <c r="L155" s="144">
        <f t="shared" si="9"/>
        <v>0.14285714285714285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 t="s">
        <v>1526</v>
      </c>
      <c r="AK155" s="70" t="s">
        <v>1526</v>
      </c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12</v>
      </c>
      <c r="J177" s="148" t="s">
        <v>1825</v>
      </c>
      <c r="K177" s="31">
        <f t="shared" si="11"/>
        <v>16</v>
      </c>
      <c r="L177" s="32">
        <f t="shared" si="12"/>
        <v>0.42857142857142855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 t="s">
        <v>1526</v>
      </c>
      <c r="AK177" s="70" t="s">
        <v>1526</v>
      </c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12</v>
      </c>
      <c r="J178" s="148" t="s">
        <v>1826</v>
      </c>
      <c r="K178" s="31">
        <f t="shared" si="11"/>
        <v>16</v>
      </c>
      <c r="L178" s="32">
        <f t="shared" si="12"/>
        <v>0.42857142857142855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 t="s">
        <v>1526</v>
      </c>
      <c r="AK178" s="70" t="s">
        <v>1526</v>
      </c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3</v>
      </c>
      <c r="J184" s="87"/>
      <c r="K184" s="138">
        <f t="shared" si="11"/>
        <v>25</v>
      </c>
      <c r="L184" s="139">
        <f t="shared" si="12"/>
        <v>0.10714285714285714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 t="s">
        <v>1526</v>
      </c>
      <c r="AK184" s="140" t="s">
        <v>1526</v>
      </c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5</v>
      </c>
      <c r="J190" s="87"/>
      <c r="K190" s="31">
        <f t="shared" si="11"/>
        <v>23</v>
      </c>
      <c r="L190" s="32">
        <f t="shared" si="12"/>
        <v>0.17857142857142858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 t="s">
        <v>1526</v>
      </c>
      <c r="AK190" s="93" t="s">
        <v>1526</v>
      </c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15</v>
      </c>
      <c r="J191" s="148" t="s">
        <v>1836</v>
      </c>
      <c r="K191" s="143">
        <f t="shared" si="11"/>
        <v>13</v>
      </c>
      <c r="L191" s="144">
        <f t="shared" si="12"/>
        <v>0.5357142857142857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21</v>
      </c>
      <c r="J192" s="148" t="s">
        <v>1837</v>
      </c>
      <c r="K192" s="31">
        <f t="shared" si="11"/>
        <v>7</v>
      </c>
      <c r="L192" s="32">
        <f t="shared" si="12"/>
        <v>0.75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 t="s">
        <v>1526</v>
      </c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16</v>
      </c>
      <c r="J208" s="87"/>
      <c r="K208" s="31">
        <f t="shared" si="11"/>
        <v>12</v>
      </c>
      <c r="L208" s="32">
        <f t="shared" si="12"/>
        <v>0.5714285714285714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 t="s">
        <v>1526</v>
      </c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16</v>
      </c>
      <c r="J209" s="87"/>
      <c r="K209" s="31">
        <f t="shared" si="11"/>
        <v>12</v>
      </c>
      <c r="L209" s="32">
        <f t="shared" si="12"/>
        <v>0.5714285714285714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 t="s">
        <v>1526</v>
      </c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3</v>
      </c>
      <c r="J235" s="87"/>
      <c r="K235" s="31">
        <f t="shared" si="14"/>
        <v>25</v>
      </c>
      <c r="L235" s="32">
        <f t="shared" si="15"/>
        <v>0.10714285714285714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 t="s">
        <v>1526</v>
      </c>
      <c r="AK235" s="93" t="s">
        <v>1526</v>
      </c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24</v>
      </c>
      <c r="J238" s="87"/>
      <c r="K238" s="31">
        <f t="shared" si="14"/>
        <v>4</v>
      </c>
      <c r="L238" s="32">
        <f t="shared" si="15"/>
        <v>0.8571428571428571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10</v>
      </c>
      <c r="J243" s="148" t="s">
        <v>1881</v>
      </c>
      <c r="K243" s="31">
        <f t="shared" si="14"/>
        <v>18</v>
      </c>
      <c r="L243" s="32">
        <f t="shared" si="15"/>
        <v>0.35714285714285715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 t="s">
        <v>1526</v>
      </c>
      <c r="AK243" s="70" t="s">
        <v>1526</v>
      </c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3</v>
      </c>
      <c r="J264" s="148" t="s">
        <v>1900</v>
      </c>
      <c r="K264" s="143">
        <f t="shared" si="14"/>
        <v>25</v>
      </c>
      <c r="L264" s="144">
        <f t="shared" si="15"/>
        <v>0.10714285714285714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 t="s">
        <v>1526</v>
      </c>
      <c r="AK264" s="70" t="s">
        <v>1526</v>
      </c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3</v>
      </c>
      <c r="J283" s="148" t="s">
        <v>1917</v>
      </c>
      <c r="K283" s="31">
        <f t="shared" si="14"/>
        <v>25</v>
      </c>
      <c r="L283" s="32">
        <f t="shared" si="15"/>
        <v>0.10714285714285714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 t="s">
        <v>1526</v>
      </c>
      <c r="AK283" s="70" t="s">
        <v>1526</v>
      </c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25</v>
      </c>
      <c r="J288" s="148" t="s">
        <v>1922</v>
      </c>
      <c r="K288" s="31">
        <f t="shared" si="14"/>
        <v>3</v>
      </c>
      <c r="L288" s="32">
        <f t="shared" si="15"/>
        <v>0.8928571428571429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 t="s">
        <v>1526</v>
      </c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8</v>
      </c>
      <c r="J294" s="148" t="s">
        <v>1927</v>
      </c>
      <c r="K294" s="143">
        <f t="shared" si="14"/>
        <v>20</v>
      </c>
      <c r="L294" s="144">
        <f t="shared" si="15"/>
        <v>0.2857142857142857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 t="s">
        <v>1526</v>
      </c>
      <c r="AK294" s="70" t="s">
        <v>1526</v>
      </c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7</v>
      </c>
      <c r="J296" s="148" t="s">
        <v>1929</v>
      </c>
      <c r="K296" s="31">
        <f t="shared" ref="K296:K363" si="17">COUNTIF(M296:AN296,"APAGADO")</f>
        <v>21</v>
      </c>
      <c r="L296" s="32">
        <f t="shared" ref="L296:L363" si="18">(I296)/(K296+I296)</f>
        <v>0.25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 t="s">
        <v>1526</v>
      </c>
      <c r="AK296" s="70" t="s">
        <v>1526</v>
      </c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23</v>
      </c>
      <c r="J307" s="148" t="s">
        <v>1939</v>
      </c>
      <c r="K307" s="31">
        <f t="shared" si="17"/>
        <v>5</v>
      </c>
      <c r="L307" s="32">
        <f t="shared" si="18"/>
        <v>0.8214285714285714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23</v>
      </c>
      <c r="J308" s="148" t="s">
        <v>1940</v>
      </c>
      <c r="K308" s="31">
        <f t="shared" si="17"/>
        <v>5</v>
      </c>
      <c r="L308" s="32">
        <f t="shared" si="18"/>
        <v>0.8214285714285714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23</v>
      </c>
      <c r="J309" s="148" t="s">
        <v>1941</v>
      </c>
      <c r="K309" s="31">
        <f t="shared" si="17"/>
        <v>5</v>
      </c>
      <c r="L309" s="32">
        <f t="shared" si="18"/>
        <v>0.8214285714285714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24</v>
      </c>
      <c r="J320" s="148" t="s">
        <v>1952</v>
      </c>
      <c r="K320" s="31">
        <f t="shared" si="17"/>
        <v>4</v>
      </c>
      <c r="L320" s="32">
        <f t="shared" si="18"/>
        <v>0.8571428571428571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20</v>
      </c>
      <c r="J335" s="148" t="s">
        <v>1963</v>
      </c>
      <c r="K335" s="143">
        <f t="shared" si="17"/>
        <v>8</v>
      </c>
      <c r="L335" s="144">
        <f t="shared" si="18"/>
        <v>0.7142857142857143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 t="s">
        <v>1526</v>
      </c>
      <c r="AK335" s="70" t="s">
        <v>1526</v>
      </c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20</v>
      </c>
      <c r="J336" s="148" t="s">
        <v>1964</v>
      </c>
      <c r="K336" s="143">
        <f t="shared" si="17"/>
        <v>8</v>
      </c>
      <c r="L336" s="144">
        <f t="shared" si="18"/>
        <v>0.7142857142857143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 t="s">
        <v>1526</v>
      </c>
      <c r="AK336" s="70" t="s">
        <v>1526</v>
      </c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21</v>
      </c>
      <c r="J338" s="148" t="s">
        <v>1966</v>
      </c>
      <c r="K338" s="31">
        <f t="shared" si="17"/>
        <v>7</v>
      </c>
      <c r="L338" s="32">
        <f t="shared" si="18"/>
        <v>0.75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 t="s">
        <v>1526</v>
      </c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 t="s">
        <v>1526</v>
      </c>
      <c r="AK346" s="70" t="s">
        <v>1526</v>
      </c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4</v>
      </c>
      <c r="J357" s="148" t="s">
        <v>1982</v>
      </c>
      <c r="K357" s="31">
        <f t="shared" si="17"/>
        <v>24</v>
      </c>
      <c r="L357" s="32">
        <f t="shared" si="18"/>
        <v>0.14285714285714285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 t="s">
        <v>1526</v>
      </c>
      <c r="AK357" s="70" t="s">
        <v>1526</v>
      </c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3</v>
      </c>
      <c r="J358" s="73"/>
      <c r="K358" s="31">
        <f t="shared" si="17"/>
        <v>25</v>
      </c>
      <c r="L358" s="32">
        <f t="shared" si="18"/>
        <v>0.10714285714285714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 t="s">
        <v>1526</v>
      </c>
      <c r="AK358" s="93" t="s">
        <v>1526</v>
      </c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3</v>
      </c>
      <c r="J359" s="148" t="s">
        <v>1983</v>
      </c>
      <c r="K359" s="143">
        <f t="shared" si="17"/>
        <v>25</v>
      </c>
      <c r="L359" s="144">
        <f t="shared" si="18"/>
        <v>0.10714285714285714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 t="s">
        <v>1526</v>
      </c>
      <c r="AK359" s="70" t="s">
        <v>1526</v>
      </c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3</v>
      </c>
      <c r="J372" s="148" t="s">
        <v>1996</v>
      </c>
      <c r="K372" s="31">
        <f t="shared" si="20"/>
        <v>25</v>
      </c>
      <c r="L372" s="32">
        <f t="shared" si="21"/>
        <v>0.10714285714285714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 t="s">
        <v>1526</v>
      </c>
      <c r="AK372" s="70" t="s">
        <v>1526</v>
      </c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18</v>
      </c>
      <c r="J377" s="87"/>
      <c r="K377" s="31">
        <f t="shared" si="20"/>
        <v>10</v>
      </c>
      <c r="L377" s="32">
        <f t="shared" si="21"/>
        <v>0.6428571428571429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3</v>
      </c>
      <c r="J383" s="148" t="s">
        <v>2002</v>
      </c>
      <c r="K383" s="31">
        <f t="shared" si="20"/>
        <v>25</v>
      </c>
      <c r="L383" s="32">
        <f t="shared" si="21"/>
        <v>0.10714285714285714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 t="s">
        <v>1526</v>
      </c>
      <c r="AK383" s="70" t="s">
        <v>1526</v>
      </c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3</v>
      </c>
      <c r="J384" s="148" t="s">
        <v>2003</v>
      </c>
      <c r="K384" s="31">
        <f t="shared" si="20"/>
        <v>25</v>
      </c>
      <c r="L384" s="32">
        <f t="shared" si="21"/>
        <v>0.10714285714285714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 t="s">
        <v>1526</v>
      </c>
      <c r="AK384" s="70" t="s">
        <v>1526</v>
      </c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3</v>
      </c>
      <c r="J390" s="87"/>
      <c r="K390" s="31">
        <f t="shared" si="20"/>
        <v>25</v>
      </c>
      <c r="L390" s="32">
        <f t="shared" si="21"/>
        <v>0.10714285714285714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 t="s">
        <v>1526</v>
      </c>
      <c r="AK390" s="93" t="s">
        <v>1526</v>
      </c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26</v>
      </c>
      <c r="J393" s="148" t="s">
        <v>2008</v>
      </c>
      <c r="K393" s="143">
        <f t="shared" si="20"/>
        <v>2</v>
      </c>
      <c r="L393" s="144">
        <f t="shared" si="21"/>
        <v>0.9285714285714286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 t="s">
        <v>1526</v>
      </c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4</v>
      </c>
      <c r="J395" s="87"/>
      <c r="K395" s="31">
        <f t="shared" si="20"/>
        <v>24</v>
      </c>
      <c r="L395" s="32">
        <f t="shared" si="21"/>
        <v>0.14285714285714285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 t="s">
        <v>1526</v>
      </c>
      <c r="AK395" s="93" t="s">
        <v>1526</v>
      </c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26</v>
      </c>
      <c r="J396" s="148" t="s">
        <v>2010</v>
      </c>
      <c r="K396" s="143">
        <f t="shared" si="20"/>
        <v>2</v>
      </c>
      <c r="L396" s="144">
        <f t="shared" si="21"/>
        <v>0.9285714285714286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 t="s">
        <v>1526</v>
      </c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3</v>
      </c>
      <c r="J416" s="87"/>
      <c r="K416" s="31">
        <f t="shared" si="20"/>
        <v>25</v>
      </c>
      <c r="L416" s="32">
        <f t="shared" si="21"/>
        <v>0.10714285714285714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 t="s">
        <v>1526</v>
      </c>
      <c r="AK416" s="70" t="s">
        <v>1526</v>
      </c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21</v>
      </c>
      <c r="J421" s="148" t="s">
        <v>2029</v>
      </c>
      <c r="K421" s="31">
        <f t="shared" si="20"/>
        <v>7</v>
      </c>
      <c r="L421" s="32">
        <f t="shared" si="21"/>
        <v>0.75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3</v>
      </c>
      <c r="J428" s="148" t="s">
        <v>2036</v>
      </c>
      <c r="K428" s="31">
        <f t="shared" si="20"/>
        <v>25</v>
      </c>
      <c r="L428" s="32">
        <f t="shared" si="21"/>
        <v>0.10714285714285714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 t="s">
        <v>1526</v>
      </c>
      <c r="AK428" s="70" t="s">
        <v>1526</v>
      </c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23</v>
      </c>
      <c r="J438" s="148" t="s">
        <v>2040</v>
      </c>
      <c r="K438" s="31">
        <f t="shared" si="20"/>
        <v>5</v>
      </c>
      <c r="L438" s="32">
        <f t="shared" si="21"/>
        <v>0.8214285714285714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 t="s">
        <v>1526</v>
      </c>
      <c r="AK438" s="70" t="s">
        <v>1526</v>
      </c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26</v>
      </c>
      <c r="J488" s="73"/>
      <c r="K488" s="31">
        <f t="shared" si="23"/>
        <v>2</v>
      </c>
      <c r="L488" s="32">
        <f t="shared" si="24"/>
        <v>0.9285714285714286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 t="s">
        <v>1526</v>
      </c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3</v>
      </c>
      <c r="J502" s="148" t="s">
        <v>2094</v>
      </c>
      <c r="K502" s="31">
        <f t="shared" si="23"/>
        <v>25</v>
      </c>
      <c r="L502" s="32">
        <f t="shared" si="24"/>
        <v>0.10714285714285714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 t="s">
        <v>1526</v>
      </c>
      <c r="AK502" s="70" t="s">
        <v>1526</v>
      </c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4</v>
      </c>
      <c r="J503" s="148" t="s">
        <v>2095</v>
      </c>
      <c r="K503" s="31">
        <f t="shared" si="23"/>
        <v>24</v>
      </c>
      <c r="L503" s="32">
        <f t="shared" si="24"/>
        <v>0.14285714285714285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 t="s">
        <v>1526</v>
      </c>
      <c r="AK503" s="70" t="s">
        <v>1526</v>
      </c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15</v>
      </c>
      <c r="J511" s="148" t="s">
        <v>2102</v>
      </c>
      <c r="K511" s="143">
        <f t="shared" si="26"/>
        <v>13</v>
      </c>
      <c r="L511" s="144">
        <f t="shared" si="27"/>
        <v>0.5357142857142857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 t="s">
        <v>1526</v>
      </c>
      <c r="AK511" s="70" t="s">
        <v>1526</v>
      </c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4</v>
      </c>
      <c r="J521" s="87"/>
      <c r="K521" s="31">
        <f t="shared" si="26"/>
        <v>24</v>
      </c>
      <c r="L521" s="32">
        <f t="shared" si="27"/>
        <v>0.14285714285714285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 t="s">
        <v>1526</v>
      </c>
      <c r="AK521" s="70" t="s">
        <v>1526</v>
      </c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5</v>
      </c>
      <c r="J523" s="87"/>
      <c r="K523" s="31">
        <f t="shared" si="26"/>
        <v>23</v>
      </c>
      <c r="L523" s="32">
        <f t="shared" si="27"/>
        <v>0.17857142857142858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 t="s">
        <v>1526</v>
      </c>
      <c r="AK523" s="70" t="s">
        <v>1526</v>
      </c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4</v>
      </c>
      <c r="J545" s="148" t="s">
        <v>2127</v>
      </c>
      <c r="K545" s="143">
        <f t="shared" si="26"/>
        <v>24</v>
      </c>
      <c r="L545" s="144">
        <f t="shared" si="27"/>
        <v>0.14285714285714285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 t="s">
        <v>1526</v>
      </c>
      <c r="AK545" s="70" t="s">
        <v>1526</v>
      </c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245" zoomScale="90" zoomScaleNormal="90" workbookViewId="0">
      <selection activeCell="B258" sqref="B25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>
        <v>53</v>
      </c>
      <c r="D260" s="54"/>
      <c r="E260" s="55">
        <f>C260/C259</f>
        <v>9.7966728280961188E-2</v>
      </c>
      <c r="F260" s="153"/>
    </row>
    <row r="261" spans="2:6" x14ac:dyDescent="0.25">
      <c r="B261" s="53" t="s">
        <v>1248</v>
      </c>
      <c r="C261" s="67">
        <v>4</v>
      </c>
      <c r="D261" s="103">
        <v>49</v>
      </c>
      <c r="E261" s="55">
        <f>D261/C259</f>
        <v>9.0573012939001843E-2</v>
      </c>
      <c r="F261" s="153"/>
    </row>
    <row r="262" spans="2:6" x14ac:dyDescent="0.25">
      <c r="B262" s="53" t="s">
        <v>1249</v>
      </c>
      <c r="C262" s="67">
        <v>6</v>
      </c>
      <c r="D262" s="103">
        <v>43</v>
      </c>
      <c r="E262" s="55">
        <f>D262/C259</f>
        <v>7.9482439926062853E-2</v>
      </c>
      <c r="F262" s="153"/>
    </row>
    <row r="263" spans="2:6" x14ac:dyDescent="0.25">
      <c r="B263" s="53" t="s">
        <v>16</v>
      </c>
      <c r="C263" s="94">
        <v>10</v>
      </c>
      <c r="D263" s="103">
        <v>33</v>
      </c>
      <c r="E263" s="55">
        <f>D263/C259</f>
        <v>6.0998151571164512E-2</v>
      </c>
      <c r="F263" s="153"/>
    </row>
    <row r="264" spans="2:6" ht="15.75" thickBot="1" x14ac:dyDescent="0.3">
      <c r="B264" s="56" t="s">
        <v>1470</v>
      </c>
      <c r="C264" s="131">
        <v>9</v>
      </c>
      <c r="D264" s="104">
        <v>24</v>
      </c>
      <c r="E264" s="74">
        <v>4.4400000000000002E-2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29</v>
      </c>
      <c r="E266" s="105">
        <v>0.11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24</v>
      </c>
      <c r="E267" s="114">
        <v>0.09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 t="str">
        <f>'RESUMEN TOTAL'!AJ22</f>
        <v>APAGADO</v>
      </c>
      <c r="AD17" s="70" t="str">
        <f>'RESUMEN TOTAL'!AK22</f>
        <v>APAGADO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 t="str">
        <f>'RESUMEN TOTAL'!AJ46</f>
        <v>APAGADO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 t="str">
        <f>'RESUMEN TOTAL'!AJ56</f>
        <v>APAGADO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 t="str">
        <f>'RESUMEN TOTAL'!AJ63</f>
        <v>APAGADO</v>
      </c>
      <c r="AD45" s="70" t="str">
        <f>'RESUMEN TOTAL'!AK63</f>
        <v>APAGADO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 t="str">
        <f>'RESUMEN TOTAL'!AJ66</f>
        <v>APAGADO</v>
      </c>
      <c r="AD48" s="70" t="str">
        <f>'RESUMEN TOTAL'!AK66</f>
        <v>APAGADO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 t="str">
        <f>'RESUMEN TOTAL'!AJ95</f>
        <v>APAGADO</v>
      </c>
      <c r="AD77" s="70" t="str">
        <f>'RESUMEN TOTAL'!AK95</f>
        <v>APAGADO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 t="str">
        <f>'RESUMEN TOTAL'!AJ96</f>
        <v>APAGADO</v>
      </c>
      <c r="AD78" s="70" t="str">
        <f>'RESUMEN TOTAL'!AK96</f>
        <v>APAGADO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 t="str">
        <f>'RESUMEN TOTAL'!AJ98</f>
        <v>APAGADO</v>
      </c>
      <c r="AD80" s="70" t="str">
        <f>'RESUMEN TOTAL'!AK98</f>
        <v>APAGADO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 t="str">
        <f>'RESUMEN TOTAL'!AJ103</f>
        <v>APAGADO</v>
      </c>
      <c r="AD85" s="70" t="str">
        <f>'RESUMEN TOTAL'!AK103</f>
        <v>APAGADO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 t="str">
        <f>'RESUMEN TOTAL'!AJ116</f>
        <v>APAGADO</v>
      </c>
      <c r="AD98" s="70" t="str">
        <f>'RESUMEN TOTAL'!AK116</f>
        <v>APAGADO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 t="str">
        <f>'RESUMEN TOTAL'!AJ117</f>
        <v>APAGADO</v>
      </c>
      <c r="AD99" s="70" t="str">
        <f>'RESUMEN TOTAL'!AK117</f>
        <v>APAGADO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 t="str">
        <f>'RESUMEN TOTAL'!AJ121</f>
        <v>APAGADO</v>
      </c>
      <c r="AD103" s="70" t="str">
        <f>'RESUMEN TOTAL'!AK121</f>
        <v>APAGADO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 t="str">
        <f>'RESUMEN TOTAL'!AJ122</f>
        <v>APAGADO</v>
      </c>
      <c r="AD104" s="70" t="str">
        <f>'RESUMEN TOTAL'!AK122</f>
        <v>APAGADO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 t="str">
        <f>'RESUMEN TOTAL'!AJ147</f>
        <v>APAGADO</v>
      </c>
      <c r="AD119" s="70" t="str">
        <f>'RESUMEN TOTAL'!AK147</f>
        <v>APAGADO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 t="str">
        <f>'RESUMEN TOTAL'!AJ150</f>
        <v>APAGADO</v>
      </c>
      <c r="AD122" s="70" t="str">
        <f>'RESUMEN TOTAL'!AK150</f>
        <v>APAGADO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 t="str">
        <f>'RESUMEN TOTAL'!AJ151</f>
        <v>APAGADO</v>
      </c>
      <c r="AD123" s="70" t="str">
        <f>'RESUMEN TOTAL'!AK151</f>
        <v>APAGADO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 t="str">
        <f>'RESUMEN TOTAL'!AJ177</f>
        <v>APAGADO</v>
      </c>
      <c r="AD144" s="70" t="str">
        <f>'RESUMEN TOTAL'!AK177</f>
        <v>APAGADO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 t="str">
        <f>'RESUMEN TOTAL'!AJ178</f>
        <v>APAGADO</v>
      </c>
      <c r="AD145" s="70" t="str">
        <f>'RESUMEN TOTAL'!AK178</f>
        <v>APAGADO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 t="str">
        <f>'RESUMEN TOTAL'!AJ184</f>
        <v>APAGADO</v>
      </c>
      <c r="AD148" s="70" t="str">
        <f>'RESUMEN TOTAL'!AK184</f>
        <v>APAGADO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 t="str">
        <f>'RESUMEN TOTAL'!AJ190</f>
        <v>APAGADO</v>
      </c>
      <c r="AD154" s="70" t="str">
        <f>'RESUMEN TOTAL'!AK190</f>
        <v>APAGADO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 t="str">
        <f>'RESUMEN TOTAL'!AK192</f>
        <v>APAGADO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 t="str">
        <f>'RESUMEN TOTAL'!AJ208</f>
        <v>APAGADO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 t="str">
        <f>'RESUMEN TOTAL'!AJ209</f>
        <v>APAGADO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 t="str">
        <f>'RESUMEN TOTAL'!AJ235</f>
        <v>APAGADO</v>
      </c>
      <c r="AD194" s="70" t="str">
        <f>'RESUMEN TOTAL'!AK235</f>
        <v>APAGADO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 t="str">
        <f>'RESUMEN TOTAL'!AJ243</f>
        <v>APAGADO</v>
      </c>
      <c r="AD202" s="70" t="str">
        <f>'RESUMEN TOTAL'!AK243</f>
        <v>APAGADO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 t="str">
        <f>'RESUMEN TOTAL'!AJ264</f>
        <v>APAGADO</v>
      </c>
      <c r="AD221" s="70" t="str">
        <f>'RESUMEN TOTAL'!AK264</f>
        <v>APAGADO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 t="str">
        <f>'RESUMEN TOTAL'!AJ283</f>
        <v>APAGADO</v>
      </c>
      <c r="AD237" s="70" t="str">
        <f>'RESUMEN TOTAL'!AK283</f>
        <v>APAGADO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 t="str">
        <f>'RESUMEN TOTAL'!AK288</f>
        <v>APAGADO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 t="str">
        <f>'RESUMEN TOTAL'!AJ294</f>
        <v>APAGADO</v>
      </c>
      <c r="AD248" s="70" t="str">
        <f>'RESUMEN TOTAL'!AK294</f>
        <v>APAGADO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 t="str">
        <f>'RESUMEN TOTAL'!AJ296</f>
        <v>APAGADO</v>
      </c>
      <c r="AD250" s="70" t="str">
        <f>'RESUMEN TOTAL'!AK296</f>
        <v>APAGADO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 t="str">
        <f>'RESUMEN TOTAL'!AJ335</f>
        <v>APAGADO</v>
      </c>
      <c r="AD282" s="70" t="str">
        <f>'RESUMEN TOTAL'!AK335</f>
        <v>APAGADO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 t="str">
        <f>'RESUMEN TOTAL'!AJ336</f>
        <v>APAGADO</v>
      </c>
      <c r="AD283" s="70" t="str">
        <f>'RESUMEN TOTAL'!AK336</f>
        <v>APAGADO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 t="str">
        <f>'RESUMEN TOTAL'!AK338</f>
        <v>APAGADO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 t="str">
        <f>'RESUMEN TOTAL'!AJ357</f>
        <v>APAGADO</v>
      </c>
      <c r="AD300" s="70" t="str">
        <f>'RESUMEN TOTAL'!AK357</f>
        <v>APAGADO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 t="str">
        <f>'RESUMEN TOTAL'!AJ358</f>
        <v>APAGADO</v>
      </c>
      <c r="AD301" s="70" t="str">
        <f>'RESUMEN TOTAL'!AK358</f>
        <v>APAGADO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 t="str">
        <f>'RESUMEN TOTAL'!AJ359</f>
        <v>APAGADO</v>
      </c>
      <c r="AD302" s="70" t="str">
        <f>'RESUMEN TOTAL'!AK359</f>
        <v>APAGADO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 t="str">
        <f>'RESUMEN TOTAL'!AJ372</f>
        <v>APAGADO</v>
      </c>
      <c r="AD315" s="70" t="str">
        <f>'RESUMEN TOTAL'!AK372</f>
        <v>APAGADO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 t="str">
        <f>'RESUMEN TOTAL'!AJ383</f>
        <v>APAGADO</v>
      </c>
      <c r="AD322" s="70" t="str">
        <f>'RESUMEN TOTAL'!AK383</f>
        <v>APAGADO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 t="str">
        <f>'RESUMEN TOTAL'!AJ384</f>
        <v>APAGADO</v>
      </c>
      <c r="AD323" s="70" t="str">
        <f>'RESUMEN TOTAL'!AK384</f>
        <v>APAGADO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 t="str">
        <f>'RESUMEN TOTAL'!AJ390</f>
        <v>APAGADO</v>
      </c>
      <c r="AD326" s="70" t="str">
        <f>'RESUMEN TOTAL'!AK390</f>
        <v>APAGADO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 t="str">
        <f>'RESUMEN TOTAL'!AJ393</f>
        <v>APAGADO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 t="str">
        <f>'RESUMEN TOTAL'!AJ395</f>
        <v>APAGADO</v>
      </c>
      <c r="AD329" s="70" t="str">
        <f>'RESUMEN TOTAL'!AK395</f>
        <v>APAGADO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 t="str">
        <f>'RESUMEN TOTAL'!AJ396</f>
        <v>APAGADO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 t="str">
        <f>'RESUMEN TOTAL'!AJ416</f>
        <v>APAGADO</v>
      </c>
      <c r="AD348" s="70" t="str">
        <f>'RESUMEN TOTAL'!AK416</f>
        <v>APAGADO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 t="str">
        <f>'RESUMEN TOTAL'!AJ428</f>
        <v>APAGADO</v>
      </c>
      <c r="AD360" s="70" t="str">
        <f>'RESUMEN TOTAL'!AK428</f>
        <v>APAGADO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 t="str">
        <f>'RESUMEN TOTAL'!AJ438</f>
        <v>APAGADO</v>
      </c>
      <c r="AD365" s="70" t="str">
        <f>'RESUMEN TOTAL'!AK438</f>
        <v>APAGADO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 t="str">
        <f>'RESUMEN TOTAL'!AK488</f>
        <v>APAGADO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 t="str">
        <f>'RESUMEN TOTAL'!AJ502</f>
        <v>APAGADO</v>
      </c>
      <c r="AD420" s="70" t="str">
        <f>'RESUMEN TOTAL'!AK502</f>
        <v>APAGADO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 t="str">
        <f>'RESUMEN TOTAL'!AJ503</f>
        <v>APAGADO</v>
      </c>
      <c r="AD421" s="70" t="str">
        <f>'RESUMEN TOTAL'!AK503</f>
        <v>APAGADO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 t="str">
        <f>'RESUMEN TOTAL'!AJ511</f>
        <v>APAGADO</v>
      </c>
      <c r="AD428" s="70" t="str">
        <f>'RESUMEN TOTAL'!AK511</f>
        <v>APAGADO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 t="str">
        <f>'RESUMEN TOTAL'!AJ521</f>
        <v>APAGADO</v>
      </c>
      <c r="AD436" s="70" t="str">
        <f>'RESUMEN TOTAL'!AK521</f>
        <v>APAGADO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 t="str">
        <f>'RESUMEN TOTAL'!AJ523</f>
        <v>APAGADO</v>
      </c>
      <c r="AD438" s="70" t="str">
        <f>'RESUMEN TOTAL'!AK523</f>
        <v>APAGADO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 t="str">
        <f>'RESUMEN TOTAL'!AJ545</f>
        <v>APAGADO</v>
      </c>
      <c r="AD460" s="70" t="str">
        <f>'RESUMEN TOTAL'!AK545</f>
        <v>APAGADO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AB15" sqref="AB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29</v>
      </c>
      <c r="AD3" s="46">
        <f>COUNTIFS('RESUMEN TOTAL'!AK8:AK656,"=APAGADO",'RESUMEN TOTAL'!C8:C656,"=BONOMO")</f>
        <v>29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v>0.11</v>
      </c>
      <c r="AD4" s="50">
        <f t="shared" si="0"/>
        <v>0.1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24</v>
      </c>
      <c r="AD5" s="46">
        <f>COUNTIFS('RESUMEN TOTAL'!AK10:AK658,"=APAGADO",'RESUMEN TOTAL'!C10:C658,"=COSEIDI")</f>
        <v>22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v>0.09</v>
      </c>
      <c r="AD6" s="50">
        <f t="shared" si="1"/>
        <v>8.7649402390438252E-2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2025-09-26T10:40:21Z</dcterms:modified>
</cp:coreProperties>
</file>