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4D290EE8-C42B-4702-96D5-6704A79ADFD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TOTAL'!$A$7:$D$424</definedName>
    <definedName name="_25_de_agosto_3" localSheetId="0">'RESUMEN TOTAL'!$A$7:$D$436</definedName>
    <definedName name="_30_mar">#REF!</definedName>
    <definedName name="_xlnm._FilterDatabase" localSheetId="4" hidden="1">paradas!$4:$4</definedName>
    <definedName name="_xlnm._FilterDatabase" localSheetId="0" hidden="1">'RESUMEN TOTAL'!$A$7:$AO$582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0" i="2"/>
  <c r="J501" i="2"/>
  <c r="J502" i="2"/>
  <c r="I500" i="2"/>
  <c r="I501" i="2"/>
  <c r="I502" i="2"/>
  <c r="J362" i="2"/>
  <c r="I362" i="2"/>
  <c r="J196" i="2"/>
  <c r="I196" i="2"/>
  <c r="J120" i="2"/>
  <c r="I120" i="2"/>
  <c r="J32" i="2"/>
  <c r="J31" i="2"/>
  <c r="I32" i="2"/>
  <c r="I31" i="2"/>
  <c r="J29" i="2"/>
  <c r="I29" i="2"/>
  <c r="J348" i="2"/>
  <c r="J347" i="2"/>
  <c r="J349" i="2"/>
  <c r="I347" i="2"/>
  <c r="I348" i="2"/>
  <c r="I349" i="2"/>
  <c r="J307" i="2"/>
  <c r="J308" i="2"/>
  <c r="J309" i="2"/>
  <c r="I307" i="2"/>
  <c r="I308" i="2"/>
  <c r="I309" i="2"/>
  <c r="D203" i="24" l="1"/>
  <c r="D204" i="24" s="1"/>
  <c r="D214" i="24"/>
  <c r="D194" i="24"/>
  <c r="D183" i="24"/>
  <c r="D171" i="24"/>
  <c r="D159" i="24"/>
  <c r="D149" i="24"/>
  <c r="D138" i="24"/>
  <c r="K31" i="2"/>
  <c r="K362" i="2"/>
  <c r="K500" i="2"/>
  <c r="K501" i="2"/>
  <c r="K502" i="2"/>
  <c r="K120" i="2"/>
  <c r="K196" i="2"/>
  <c r="K32" i="2"/>
  <c r="K349" i="2"/>
  <c r="K348" i="2"/>
  <c r="K307" i="2"/>
  <c r="K347" i="2"/>
  <c r="K29" i="2"/>
  <c r="K309" i="2"/>
  <c r="K308" i="2"/>
  <c r="J291" i="2"/>
  <c r="J292" i="2"/>
  <c r="J293" i="2"/>
  <c r="I293" i="2"/>
  <c r="I292" i="2"/>
  <c r="I291" i="2"/>
  <c r="R3" i="2"/>
  <c r="C69" i="24" s="1"/>
  <c r="Q3" i="2"/>
  <c r="C58" i="24" s="1"/>
  <c r="J361" i="2"/>
  <c r="I361" i="2"/>
  <c r="J414" i="2"/>
  <c r="I414" i="2"/>
  <c r="J28" i="2"/>
  <c r="I28" i="2"/>
  <c r="J27" i="2"/>
  <c r="I27" i="2"/>
  <c r="D215" i="24" l="1"/>
  <c r="D205" i="24"/>
  <c r="D172" i="24"/>
  <c r="D160" i="24"/>
  <c r="D150" i="24"/>
  <c r="D70" i="24"/>
  <c r="K292" i="2"/>
  <c r="K293" i="2"/>
  <c r="K291" i="2"/>
  <c r="K361" i="2"/>
  <c r="K414" i="2"/>
  <c r="K28" i="2"/>
  <c r="K27" i="2"/>
  <c r="J464" i="2"/>
  <c r="I464" i="2"/>
  <c r="J250" i="2"/>
  <c r="I250" i="2"/>
  <c r="J413" i="2"/>
  <c r="I41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90" i="2"/>
  <c r="I290" i="2"/>
  <c r="I294" i="2"/>
  <c r="J294" i="2"/>
  <c r="J142" i="2"/>
  <c r="I142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4" i="2"/>
  <c r="K250" i="2"/>
  <c r="K413" i="2"/>
  <c r="K290" i="2"/>
  <c r="K294" i="2"/>
  <c r="K142" i="2"/>
  <c r="D278" i="26"/>
  <c r="A460" i="26"/>
  <c r="I195" i="2"/>
  <c r="J195" i="2"/>
  <c r="J119" i="2"/>
  <c r="I119" i="2"/>
  <c r="D72" i="24" l="1"/>
  <c r="K119" i="2"/>
  <c r="K195" i="2"/>
  <c r="J141" i="2"/>
  <c r="I141" i="2"/>
  <c r="J226" i="2"/>
  <c r="I22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31" i="2"/>
  <c r="J331" i="2"/>
  <c r="I470" i="2"/>
  <c r="J470" i="2"/>
  <c r="D73" i="24" l="1"/>
  <c r="AI2" i="26"/>
  <c r="K141" i="2"/>
  <c r="K226" i="2"/>
  <c r="K331" i="2"/>
  <c r="K47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6" i="2"/>
  <c r="I306" i="2"/>
  <c r="I421" i="2"/>
  <c r="J282" i="2"/>
  <c r="I282" i="2"/>
  <c r="I283" i="2"/>
  <c r="J283" i="2"/>
  <c r="I396" i="2"/>
  <c r="J396" i="2"/>
  <c r="I395" i="2"/>
  <c r="J395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6" i="2"/>
  <c r="K282" i="2"/>
  <c r="K283" i="2"/>
  <c r="K395" i="2"/>
  <c r="K396" i="2"/>
  <c r="J234" i="2" l="1"/>
  <c r="I234" i="2"/>
  <c r="J20" i="2"/>
  <c r="I20" i="2"/>
  <c r="J330" i="2"/>
  <c r="I330" i="2"/>
  <c r="I233" i="2"/>
  <c r="J233" i="2"/>
  <c r="I126" i="2"/>
  <c r="J126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69" i="2"/>
  <c r="J169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241" i="2"/>
  <c r="J241" i="2"/>
  <c r="I249" i="2"/>
  <c r="J249" i="2"/>
  <c r="I258" i="2"/>
  <c r="J258" i="2"/>
  <c r="I325" i="2"/>
  <c r="J325" i="2"/>
  <c r="I332" i="2"/>
  <c r="J332" i="2"/>
  <c r="I402" i="2"/>
  <c r="J402" i="2"/>
  <c r="I468" i="2"/>
  <c r="J468" i="2"/>
  <c r="I469" i="2"/>
  <c r="J469" i="2"/>
  <c r="K234" i="2" l="1"/>
  <c r="K20" i="2"/>
  <c r="K330" i="2"/>
  <c r="K233" i="2"/>
  <c r="K176" i="2"/>
  <c r="K140" i="2"/>
  <c r="K136" i="2"/>
  <c r="K177" i="2"/>
  <c r="K258" i="2"/>
  <c r="K332" i="2"/>
  <c r="K241" i="2"/>
  <c r="K182" i="2"/>
  <c r="K178" i="2"/>
  <c r="K402" i="2"/>
  <c r="K325" i="2"/>
  <c r="K175" i="2"/>
  <c r="K169" i="2"/>
  <c r="K139" i="2"/>
  <c r="K137" i="2"/>
  <c r="K181" i="2"/>
  <c r="K174" i="2"/>
  <c r="K135" i="2"/>
  <c r="K183" i="2"/>
  <c r="K468" i="2"/>
  <c r="K249" i="2"/>
  <c r="K184" i="2"/>
  <c r="K179" i="2"/>
  <c r="K138" i="2"/>
  <c r="K469" i="2"/>
  <c r="K180" i="2"/>
  <c r="K126" i="2"/>
  <c r="I411" i="2" l="1"/>
  <c r="I412" i="2"/>
  <c r="J411" i="2"/>
  <c r="J412" i="2"/>
  <c r="I321" i="2"/>
  <c r="I322" i="2"/>
  <c r="J321" i="2"/>
  <c r="J322" i="2"/>
  <c r="I225" i="2"/>
  <c r="J225" i="2"/>
  <c r="J133" i="2"/>
  <c r="I133" i="2"/>
  <c r="J116" i="2"/>
  <c r="J117" i="2"/>
  <c r="I116" i="2"/>
  <c r="I117" i="2"/>
  <c r="K411" i="2" l="1"/>
  <c r="K133" i="2"/>
  <c r="K412" i="2"/>
  <c r="K322" i="2"/>
  <c r="K321" i="2"/>
  <c r="K225" i="2"/>
  <c r="K117" i="2"/>
  <c r="K116" i="2"/>
  <c r="AN1" i="2" l="1"/>
  <c r="N1" i="2"/>
  <c r="AM1" i="2"/>
  <c r="I455" i="2"/>
  <c r="J455" i="2"/>
  <c r="I214" i="2"/>
  <c r="J214" i="2"/>
  <c r="I495" i="2"/>
  <c r="J495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7" i="2"/>
  <c r="I128" i="2"/>
  <c r="I129" i="2"/>
  <c r="I132" i="2"/>
  <c r="I130" i="2"/>
  <c r="I131" i="2"/>
  <c r="I134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4" i="2"/>
  <c r="I165" i="2"/>
  <c r="I166" i="2"/>
  <c r="I167" i="2"/>
  <c r="I168" i="2"/>
  <c r="I170" i="2"/>
  <c r="I171" i="2"/>
  <c r="I172" i="2"/>
  <c r="I173" i="2"/>
  <c r="I185" i="2"/>
  <c r="I186" i="2"/>
  <c r="I187" i="2"/>
  <c r="I189" i="2"/>
  <c r="I190" i="2"/>
  <c r="I191" i="2"/>
  <c r="I192" i="2"/>
  <c r="I193" i="2"/>
  <c r="I194" i="2"/>
  <c r="I197" i="2"/>
  <c r="I198" i="2"/>
  <c r="I199" i="2"/>
  <c r="I200" i="2"/>
  <c r="I201" i="2"/>
  <c r="I202" i="2"/>
  <c r="I203" i="2"/>
  <c r="I204" i="2"/>
  <c r="I205" i="2"/>
  <c r="I207" i="2"/>
  <c r="I208" i="2"/>
  <c r="I209" i="2"/>
  <c r="I210" i="2"/>
  <c r="I211" i="2"/>
  <c r="I212" i="2"/>
  <c r="I213" i="2"/>
  <c r="I215" i="2"/>
  <c r="I216" i="2"/>
  <c r="I217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5" i="2"/>
  <c r="I236" i="2"/>
  <c r="I237" i="2"/>
  <c r="I238" i="2"/>
  <c r="I242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7" i="2"/>
  <c r="I259" i="2"/>
  <c r="I260" i="2"/>
  <c r="I262" i="2"/>
  <c r="I263" i="2"/>
  <c r="I265" i="2"/>
  <c r="I268" i="2"/>
  <c r="I269" i="2"/>
  <c r="I271" i="2"/>
  <c r="I272" i="2"/>
  <c r="I273" i="2"/>
  <c r="I275" i="2"/>
  <c r="I276" i="2"/>
  <c r="I278" i="2"/>
  <c r="I279" i="2"/>
  <c r="I261" i="2"/>
  <c r="I264" i="2"/>
  <c r="I266" i="2"/>
  <c r="I267" i="2"/>
  <c r="I270" i="2"/>
  <c r="I274" i="2"/>
  <c r="I277" i="2"/>
  <c r="I280" i="2"/>
  <c r="I281" i="2"/>
  <c r="I284" i="2"/>
  <c r="I285" i="2"/>
  <c r="I286" i="2"/>
  <c r="I287" i="2"/>
  <c r="I288" i="2"/>
  <c r="I295" i="2"/>
  <c r="I296" i="2"/>
  <c r="I297" i="2"/>
  <c r="I298" i="2"/>
  <c r="I299" i="2"/>
  <c r="I300" i="2"/>
  <c r="I301" i="2"/>
  <c r="I302" i="2"/>
  <c r="I303" i="2"/>
  <c r="I304" i="2"/>
  <c r="I305" i="2"/>
  <c r="I310" i="2"/>
  <c r="I311" i="2"/>
  <c r="I312" i="2"/>
  <c r="I313" i="2"/>
  <c r="I314" i="2"/>
  <c r="I315" i="2"/>
  <c r="I316" i="2"/>
  <c r="I317" i="2"/>
  <c r="I318" i="2"/>
  <c r="I319" i="2"/>
  <c r="I320" i="2"/>
  <c r="I323" i="2"/>
  <c r="I324" i="2"/>
  <c r="I326" i="2"/>
  <c r="I327" i="2"/>
  <c r="I328" i="2"/>
  <c r="I329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2" i="2"/>
  <c r="I353" i="2"/>
  <c r="I354" i="2"/>
  <c r="I355" i="2"/>
  <c r="I357" i="2"/>
  <c r="I358" i="2"/>
  <c r="I359" i="2"/>
  <c r="I360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9" i="2"/>
  <c r="I383" i="2"/>
  <c r="I386" i="2"/>
  <c r="I388" i="2"/>
  <c r="I389" i="2"/>
  <c r="I393" i="2"/>
  <c r="I394" i="2"/>
  <c r="I376" i="2"/>
  <c r="I377" i="2"/>
  <c r="I378" i="2"/>
  <c r="I380" i="2"/>
  <c r="I381" i="2"/>
  <c r="I382" i="2"/>
  <c r="I384" i="2"/>
  <c r="I385" i="2"/>
  <c r="I387" i="2"/>
  <c r="I390" i="2"/>
  <c r="I391" i="2"/>
  <c r="I392" i="2"/>
  <c r="I397" i="2"/>
  <c r="I398" i="2"/>
  <c r="I399" i="2"/>
  <c r="I400" i="2"/>
  <c r="I401" i="2"/>
  <c r="I403" i="2"/>
  <c r="I404" i="2"/>
  <c r="I405" i="2"/>
  <c r="I406" i="2"/>
  <c r="I407" i="2"/>
  <c r="I408" i="2"/>
  <c r="I409" i="2"/>
  <c r="I410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460" i="2"/>
  <c r="I461" i="2"/>
  <c r="I462" i="2"/>
  <c r="I463" i="2"/>
  <c r="I465" i="2"/>
  <c r="I466" i="2"/>
  <c r="I467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6" i="2"/>
  <c r="I497" i="2"/>
  <c r="I498" i="2"/>
  <c r="I499" i="2"/>
  <c r="I9" i="2"/>
  <c r="I10" i="2"/>
  <c r="I11" i="2"/>
  <c r="I12" i="2"/>
  <c r="I13" i="2"/>
  <c r="I14" i="2"/>
  <c r="I15" i="2"/>
  <c r="I8" i="2"/>
  <c r="J499" i="2"/>
  <c r="J498" i="2"/>
  <c r="J497" i="2"/>
  <c r="J496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67" i="2"/>
  <c r="J466" i="2"/>
  <c r="J465" i="2"/>
  <c r="J463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0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2" i="2"/>
  <c r="J391" i="2"/>
  <c r="J390" i="2"/>
  <c r="J387" i="2"/>
  <c r="J385" i="2"/>
  <c r="J384" i="2"/>
  <c r="J382" i="2"/>
  <c r="J381" i="2"/>
  <c r="J380" i="2"/>
  <c r="J378" i="2"/>
  <c r="J377" i="2"/>
  <c r="J376" i="2"/>
  <c r="J394" i="2"/>
  <c r="J393" i="2"/>
  <c r="J389" i="2"/>
  <c r="J388" i="2"/>
  <c r="J386" i="2"/>
  <c r="J383" i="2"/>
  <c r="J379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0" i="2"/>
  <c r="J359" i="2"/>
  <c r="J358" i="2"/>
  <c r="J357" i="2"/>
  <c r="J355" i="2"/>
  <c r="J354" i="2"/>
  <c r="J353" i="2"/>
  <c r="J352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29" i="2"/>
  <c r="J328" i="2"/>
  <c r="J327" i="2"/>
  <c r="J326" i="2"/>
  <c r="J324" i="2"/>
  <c r="J323" i="2"/>
  <c r="J320" i="2"/>
  <c r="J319" i="2"/>
  <c r="J318" i="2"/>
  <c r="J317" i="2"/>
  <c r="J316" i="2"/>
  <c r="J315" i="2"/>
  <c r="J314" i="2"/>
  <c r="J313" i="2"/>
  <c r="J312" i="2"/>
  <c r="J311" i="2"/>
  <c r="J310" i="2"/>
  <c r="J304" i="2"/>
  <c r="J303" i="2"/>
  <c r="J302" i="2"/>
  <c r="J301" i="2"/>
  <c r="J300" i="2"/>
  <c r="J299" i="2"/>
  <c r="J298" i="2"/>
  <c r="J297" i="2"/>
  <c r="J296" i="2"/>
  <c r="J295" i="2"/>
  <c r="J288" i="2"/>
  <c r="J287" i="2"/>
  <c r="J286" i="2"/>
  <c r="J285" i="2"/>
  <c r="J284" i="2"/>
  <c r="J281" i="2"/>
  <c r="J280" i="2"/>
  <c r="J277" i="2"/>
  <c r="J274" i="2"/>
  <c r="J270" i="2"/>
  <c r="J267" i="2"/>
  <c r="J266" i="2"/>
  <c r="J264" i="2"/>
  <c r="J261" i="2"/>
  <c r="J279" i="2"/>
  <c r="J278" i="2"/>
  <c r="J276" i="2"/>
  <c r="J275" i="2"/>
  <c r="J273" i="2"/>
  <c r="J272" i="2"/>
  <c r="J271" i="2"/>
  <c r="J269" i="2"/>
  <c r="J268" i="2"/>
  <c r="J265" i="2"/>
  <c r="J263" i="2"/>
  <c r="J262" i="2"/>
  <c r="J260" i="2"/>
  <c r="J259" i="2"/>
  <c r="J257" i="2"/>
  <c r="J256" i="2"/>
  <c r="J255" i="2"/>
  <c r="J254" i="2"/>
  <c r="J253" i="2"/>
  <c r="J252" i="2"/>
  <c r="J251" i="2"/>
  <c r="J248" i="2"/>
  <c r="J247" i="2"/>
  <c r="J246" i="2"/>
  <c r="J245" i="2"/>
  <c r="J244" i="2"/>
  <c r="J243" i="2"/>
  <c r="J242" i="2"/>
  <c r="J238" i="2"/>
  <c r="J237" i="2"/>
  <c r="J236" i="2"/>
  <c r="J235" i="2"/>
  <c r="J232" i="2"/>
  <c r="J231" i="2"/>
  <c r="J230" i="2"/>
  <c r="J229" i="2"/>
  <c r="J228" i="2"/>
  <c r="J227" i="2"/>
  <c r="J224" i="2"/>
  <c r="J223" i="2"/>
  <c r="J222" i="2"/>
  <c r="J221" i="2"/>
  <c r="J220" i="2"/>
  <c r="J219" i="2"/>
  <c r="J217" i="2"/>
  <c r="J216" i="2"/>
  <c r="J215" i="2"/>
  <c r="J213" i="2"/>
  <c r="J212" i="2"/>
  <c r="J211" i="2"/>
  <c r="J210" i="2"/>
  <c r="J209" i="2"/>
  <c r="J208" i="2"/>
  <c r="J207" i="2"/>
  <c r="J205" i="2"/>
  <c r="J204" i="2"/>
  <c r="J203" i="2"/>
  <c r="J202" i="2"/>
  <c r="J201" i="2"/>
  <c r="J200" i="2"/>
  <c r="J199" i="2"/>
  <c r="J198" i="2"/>
  <c r="J197" i="2"/>
  <c r="J194" i="2"/>
  <c r="J193" i="2"/>
  <c r="J192" i="2"/>
  <c r="J191" i="2"/>
  <c r="J190" i="2"/>
  <c r="J189" i="2"/>
  <c r="J187" i="2"/>
  <c r="J186" i="2"/>
  <c r="J185" i="2"/>
  <c r="J172" i="2"/>
  <c r="J171" i="2"/>
  <c r="J170" i="2"/>
  <c r="J168" i="2"/>
  <c r="J167" i="2"/>
  <c r="J173" i="2"/>
  <c r="J166" i="2"/>
  <c r="J165" i="2"/>
  <c r="J164" i="2"/>
  <c r="J162" i="2"/>
  <c r="J161" i="2"/>
  <c r="J160" i="2"/>
  <c r="J159" i="2"/>
  <c r="J158" i="2"/>
  <c r="J157" i="2"/>
  <c r="J156" i="2"/>
  <c r="J155" i="2"/>
  <c r="J153" i="2"/>
  <c r="J152" i="2"/>
  <c r="J151" i="2"/>
  <c r="J150" i="2"/>
  <c r="J149" i="2"/>
  <c r="J148" i="2"/>
  <c r="J147" i="2"/>
  <c r="J154" i="2"/>
  <c r="J146" i="2"/>
  <c r="J145" i="2"/>
  <c r="J144" i="2"/>
  <c r="J143" i="2"/>
  <c r="J134" i="2"/>
  <c r="J131" i="2"/>
  <c r="J130" i="2"/>
  <c r="J132" i="2"/>
  <c r="J129" i="2"/>
  <c r="J128" i="2"/>
  <c r="J127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5" i="2" l="1"/>
  <c r="K455" i="2"/>
  <c r="K214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3" i="2"/>
  <c r="K489" i="2"/>
  <c r="K159" i="2"/>
  <c r="K204" i="2"/>
  <c r="K221" i="2"/>
  <c r="K420" i="2"/>
  <c r="K65" i="2"/>
  <c r="K85" i="2"/>
  <c r="K93" i="2"/>
  <c r="K97" i="2"/>
  <c r="K101" i="2"/>
  <c r="K105" i="2"/>
  <c r="K113" i="2"/>
  <c r="K129" i="2"/>
  <c r="K151" i="2"/>
  <c r="K156" i="2"/>
  <c r="K222" i="2"/>
  <c r="K232" i="2"/>
  <c r="K238" i="2"/>
  <c r="K263" i="2"/>
  <c r="K409" i="2"/>
  <c r="K425" i="2"/>
  <c r="K453" i="2"/>
  <c r="K480" i="2"/>
  <c r="K39" i="2"/>
  <c r="K43" i="2"/>
  <c r="K146" i="2"/>
  <c r="K149" i="2"/>
  <c r="K171" i="2"/>
  <c r="K482" i="2"/>
  <c r="K486" i="2"/>
  <c r="K448" i="2"/>
  <c r="K452" i="2"/>
  <c r="K475" i="2"/>
  <c r="K487" i="2"/>
  <c r="K273" i="2"/>
  <c r="K266" i="2"/>
  <c r="K318" i="2"/>
  <c r="K381" i="2"/>
  <c r="K269" i="2"/>
  <c r="K315" i="2"/>
  <c r="K329" i="2"/>
  <c r="K373" i="2"/>
  <c r="K272" i="2"/>
  <c r="K264" i="2"/>
  <c r="K317" i="2"/>
  <c r="K394" i="2"/>
  <c r="K385" i="2"/>
  <c r="K400" i="2"/>
  <c r="K439" i="2"/>
  <c r="K456" i="2"/>
  <c r="K491" i="2"/>
  <c r="K496" i="2"/>
  <c r="K96" i="2"/>
  <c r="K100" i="2"/>
  <c r="K320" i="2"/>
  <c r="K340" i="2"/>
  <c r="K351" i="2"/>
  <c r="K383" i="2"/>
  <c r="K378" i="2"/>
  <c r="K403" i="2"/>
  <c r="K488" i="2"/>
  <c r="K45" i="2"/>
  <c r="K49" i="2"/>
  <c r="K323" i="2"/>
  <c r="K327" i="2"/>
  <c r="K333" i="2"/>
  <c r="K337" i="2"/>
  <c r="K341" i="2"/>
  <c r="K345" i="2"/>
  <c r="K360" i="2"/>
  <c r="K366" i="2"/>
  <c r="K247" i="2"/>
  <c r="K256" i="2"/>
  <c r="K8" i="2"/>
  <c r="K25" i="2"/>
  <c r="K62" i="2"/>
  <c r="K86" i="2"/>
  <c r="K90" i="2"/>
  <c r="K106" i="2"/>
  <c r="K253" i="2"/>
  <c r="K328" i="2"/>
  <c r="K334" i="2"/>
  <c r="K338" i="2"/>
  <c r="K342" i="2"/>
  <c r="K346" i="2"/>
  <c r="K353" i="2"/>
  <c r="K367" i="2"/>
  <c r="K388" i="2"/>
  <c r="K474" i="2"/>
  <c r="K417" i="2"/>
  <c r="K424" i="2"/>
  <c r="K444" i="2"/>
  <c r="K461" i="2"/>
  <c r="K71" i="2"/>
  <c r="K75" i="2"/>
  <c r="K91" i="2"/>
  <c r="K95" i="2"/>
  <c r="K99" i="2"/>
  <c r="K152" i="2"/>
  <c r="K160" i="2"/>
  <c r="K165" i="2"/>
  <c r="K186" i="2"/>
  <c r="K197" i="2"/>
  <c r="K201" i="2"/>
  <c r="K209" i="2"/>
  <c r="K336" i="2"/>
  <c r="K359" i="2"/>
  <c r="K11" i="2"/>
  <c r="K15" i="2"/>
  <c r="K24" i="2"/>
  <c r="K33" i="2"/>
  <c r="K56" i="2"/>
  <c r="K60" i="2"/>
  <c r="K161" i="2"/>
  <c r="K166" i="2"/>
  <c r="K202" i="2"/>
  <c r="K210" i="2"/>
  <c r="K228" i="2"/>
  <c r="K432" i="2"/>
  <c r="K440" i="2"/>
  <c r="K497" i="2"/>
  <c r="K131" i="2"/>
  <c r="K143" i="2"/>
  <c r="K150" i="2"/>
  <c r="K437" i="2"/>
  <c r="K441" i="2"/>
  <c r="K357" i="2"/>
  <c r="K445" i="2"/>
  <c r="K457" i="2"/>
  <c r="K77" i="2"/>
  <c r="K78" i="2"/>
  <c r="K144" i="2"/>
  <c r="K224" i="2"/>
  <c r="K380" i="2"/>
  <c r="K404" i="2"/>
  <c r="K466" i="2"/>
  <c r="K479" i="2"/>
  <c r="K490" i="2"/>
  <c r="K494" i="2"/>
  <c r="K55" i="2"/>
  <c r="K172" i="2"/>
  <c r="K185" i="2"/>
  <c r="K276" i="2"/>
  <c r="K281" i="2"/>
  <c r="K368" i="2"/>
  <c r="K401" i="2"/>
  <c r="K462" i="2"/>
  <c r="K259" i="2"/>
  <c r="K429" i="2"/>
  <c r="K433" i="2"/>
  <c r="K451" i="2"/>
  <c r="K454" i="2"/>
  <c r="K492" i="2"/>
  <c r="K89" i="2"/>
  <c r="K208" i="2"/>
  <c r="K217" i="2"/>
  <c r="K236" i="2"/>
  <c r="K352" i="2"/>
  <c r="K365" i="2"/>
  <c r="K379" i="2"/>
  <c r="K376" i="2"/>
  <c r="K392" i="2"/>
  <c r="K415" i="2"/>
  <c r="K426" i="2"/>
  <c r="K476" i="2"/>
  <c r="K40" i="2"/>
  <c r="K44" i="2"/>
  <c r="K154" i="2"/>
  <c r="K191" i="2"/>
  <c r="K460" i="2"/>
  <c r="K463" i="2"/>
  <c r="K37" i="2"/>
  <c r="K41" i="2"/>
  <c r="K83" i="2"/>
  <c r="K102" i="2"/>
  <c r="K109" i="2"/>
  <c r="K187" i="2"/>
  <c r="K198" i="2"/>
  <c r="K213" i="2"/>
  <c r="K237" i="2"/>
  <c r="K243" i="2"/>
  <c r="K262" i="2"/>
  <c r="K287" i="2"/>
  <c r="K299" i="2"/>
  <c r="K326" i="2"/>
  <c r="K339" i="2"/>
  <c r="K369" i="2"/>
  <c r="K423" i="2"/>
  <c r="K449" i="2"/>
  <c r="K483" i="2"/>
  <c r="K498" i="2"/>
  <c r="K18" i="2"/>
  <c r="K382" i="2"/>
  <c r="K443" i="2"/>
  <c r="K446" i="2"/>
  <c r="K23" i="2"/>
  <c r="K22" i="2"/>
  <c r="K34" i="2"/>
  <c r="K53" i="2"/>
  <c r="K57" i="2"/>
  <c r="K72" i="2"/>
  <c r="K76" i="2"/>
  <c r="K132" i="2"/>
  <c r="K223" i="2"/>
  <c r="K244" i="2"/>
  <c r="K248" i="2"/>
  <c r="K257" i="2"/>
  <c r="K265" i="2"/>
  <c r="K278" i="2"/>
  <c r="K274" i="2"/>
  <c r="K300" i="2"/>
  <c r="K313" i="2"/>
  <c r="K344" i="2"/>
  <c r="K370" i="2"/>
  <c r="K374" i="2"/>
  <c r="K428" i="2"/>
  <c r="K478" i="2"/>
  <c r="K481" i="2"/>
  <c r="K46" i="2"/>
  <c r="K69" i="2"/>
  <c r="K73" i="2"/>
  <c r="K268" i="2"/>
  <c r="K279" i="2"/>
  <c r="K277" i="2"/>
  <c r="K310" i="2"/>
  <c r="K314" i="2"/>
  <c r="K355" i="2"/>
  <c r="K358" i="2"/>
  <c r="K371" i="2"/>
  <c r="K410" i="2"/>
  <c r="K458" i="2"/>
  <c r="K220" i="2"/>
  <c r="K284" i="2"/>
  <c r="K301" i="2"/>
  <c r="K302" i="2"/>
  <c r="K296" i="2"/>
  <c r="K397" i="2"/>
  <c r="K304" i="2"/>
  <c r="K297" i="2"/>
  <c r="K295" i="2"/>
  <c r="K285" i="2"/>
  <c r="K286" i="2"/>
  <c r="K472" i="2"/>
  <c r="K471" i="2"/>
  <c r="K465" i="2"/>
  <c r="K408" i="2"/>
  <c r="K231" i="2"/>
  <c r="K194" i="2"/>
  <c r="K112" i="2"/>
  <c r="K61" i="2"/>
  <c r="K484" i="2"/>
  <c r="K421" i="2"/>
  <c r="K407" i="2"/>
  <c r="K405" i="2"/>
  <c r="K212" i="2"/>
  <c r="K207" i="2"/>
  <c r="K193" i="2"/>
  <c r="K147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8" i="2"/>
  <c r="K200" i="2"/>
  <c r="K216" i="2"/>
  <c r="K10" i="2"/>
  <c r="K305" i="2"/>
  <c r="K48" i="2"/>
  <c r="K64" i="2"/>
  <c r="K80" i="2"/>
  <c r="K84" i="2"/>
  <c r="K104" i="2"/>
  <c r="K235" i="2"/>
  <c r="K255" i="2"/>
  <c r="K270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4" i="2"/>
  <c r="K158" i="2"/>
  <c r="K164" i="2"/>
  <c r="K168" i="2"/>
  <c r="K205" i="2"/>
  <c r="K230" i="2"/>
  <c r="K252" i="2"/>
  <c r="K298" i="2"/>
  <c r="K324" i="2"/>
  <c r="K363" i="2"/>
  <c r="K387" i="2"/>
  <c r="K436" i="2"/>
  <c r="K467" i="2"/>
  <c r="K87" i="2"/>
  <c r="K92" i="2"/>
  <c r="K94" i="2"/>
  <c r="K103" i="2"/>
  <c r="K108" i="2"/>
  <c r="K110" i="2"/>
  <c r="K127" i="2"/>
  <c r="K145" i="2"/>
  <c r="K155" i="2"/>
  <c r="K157" i="2"/>
  <c r="K162" i="2"/>
  <c r="K167" i="2"/>
  <c r="K170" i="2"/>
  <c r="K190" i="2"/>
  <c r="K192" i="2"/>
  <c r="K199" i="2"/>
  <c r="K211" i="2"/>
  <c r="K215" i="2"/>
  <c r="K227" i="2"/>
  <c r="K229" i="2"/>
  <c r="K246" i="2"/>
  <c r="K251" i="2"/>
  <c r="K254" i="2"/>
  <c r="K260" i="2"/>
  <c r="K271" i="2"/>
  <c r="K275" i="2"/>
  <c r="K261" i="2"/>
  <c r="K267" i="2"/>
  <c r="K288" i="2"/>
  <c r="K312" i="2"/>
  <c r="K316" i="2"/>
  <c r="K319" i="2"/>
  <c r="K386" i="2"/>
  <c r="K389" i="2"/>
  <c r="K391" i="2"/>
  <c r="K399" i="2"/>
  <c r="K416" i="2"/>
  <c r="K418" i="2"/>
  <c r="K431" i="2"/>
  <c r="K435" i="2"/>
  <c r="K438" i="2"/>
  <c r="K107" i="2"/>
  <c r="K130" i="2"/>
  <c r="K148" i="2"/>
  <c r="K153" i="2"/>
  <c r="K173" i="2"/>
  <c r="K189" i="2"/>
  <c r="K203" i="2"/>
  <c r="K219" i="2"/>
  <c r="K242" i="2"/>
  <c r="K245" i="2"/>
  <c r="K280" i="2"/>
  <c r="K303" i="2"/>
  <c r="K311" i="2"/>
  <c r="K335" i="2"/>
  <c r="K343" i="2"/>
  <c r="K354" i="2"/>
  <c r="K364" i="2"/>
  <c r="K372" i="2"/>
  <c r="K384" i="2"/>
  <c r="K390" i="2"/>
  <c r="K406" i="2"/>
  <c r="K427" i="2"/>
  <c r="K430" i="2"/>
  <c r="K442" i="2"/>
  <c r="K450" i="2"/>
  <c r="K459" i="2"/>
  <c r="K477" i="2"/>
  <c r="K485" i="2"/>
  <c r="K493" i="2"/>
  <c r="K499" i="2"/>
  <c r="K393" i="2"/>
  <c r="K377" i="2"/>
  <c r="K398" i="2"/>
  <c r="K419" i="2"/>
  <c r="K422" i="2"/>
  <c r="K434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7" i="2"/>
  <c r="K447" i="2" l="1"/>
  <c r="J289" i="2" l="1"/>
  <c r="I289" i="2"/>
  <c r="K289" i="2" l="1"/>
  <c r="I206" i="2" l="1"/>
  <c r="J206" i="2"/>
  <c r="K206" i="2" l="1"/>
  <c r="J375" i="2"/>
  <c r="I375" i="2"/>
  <c r="K375" i="2" l="1"/>
  <c r="Z1" i="2"/>
  <c r="I218" i="2" l="1"/>
  <c r="J218" i="2"/>
  <c r="K218" i="2" l="1"/>
  <c r="AC1" i="2" l="1"/>
  <c r="I356" i="2"/>
  <c r="J356" i="2"/>
  <c r="K356" i="2" l="1"/>
  <c r="AD1" i="2"/>
  <c r="I17" i="2"/>
  <c r="J17" i="2"/>
  <c r="K17" i="2" l="1"/>
  <c r="M3" i="2" l="1"/>
  <c r="C14" i="24" s="1"/>
  <c r="L3" i="2"/>
  <c r="I350" i="2"/>
  <c r="G315" i="26"/>
  <c r="G2" i="26" s="1"/>
  <c r="J350" i="2"/>
  <c r="F315" i="26"/>
  <c r="F2" i="26" s="1"/>
  <c r="L1" i="2" l="1"/>
  <c r="C3" i="24"/>
  <c r="M1" i="2"/>
  <c r="F3" i="26"/>
  <c r="G3" i="26"/>
  <c r="K35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<sst xmlns="http://schemas.openxmlformats.org/spreadsheetml/2006/main" count="5050" uniqueCount="1545">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</sst>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9.7014925373134331E-2</c:v>
                      </c:pt>
                      <c:pt idx="1">
                        <c:v>0.14925373134328357</c:v>
                      </c:pt>
                      <c:pt idx="2">
                        <c:v>0.14925373134328357</c:v>
                      </c:pt>
                      <c:pt idx="3">
                        <c:v>0.11194029850746269</c:v>
                      </c:pt>
                      <c:pt idx="4">
                        <c:v>0.14925373134328357</c:v>
                      </c:pt>
                      <c:pt idx="5">
                        <c:v>7.8358208955223885E-2</c:v>
                      </c:pt>
                      <c:pt idx="6">
                        <c:v>0.15298507462686567</c:v>
                      </c:pt>
                      <c:pt idx="7">
                        <c:v>7.8358208955223885E-2</c:v>
                      </c:pt>
                      <c:pt idx="8">
                        <c:v>0.1044776119402985</c:v>
                      </c:pt>
                      <c:pt idx="9">
                        <c:v>0.11567164179104478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9.7014925373134331E-2</c:v>
                </c:pt>
                <c:pt idx="1">
                  <c:v>0.14925373134328357</c:v>
                </c:pt>
                <c:pt idx="2">
                  <c:v>0.14925373134328357</c:v>
                </c:pt>
                <c:pt idx="3">
                  <c:v>0.11194029850746269</c:v>
                </c:pt>
                <c:pt idx="4">
                  <c:v>0.14925373134328357</c:v>
                </c:pt>
                <c:pt idx="5">
                  <c:v>7.8358208955223885E-2</c:v>
                </c:pt>
                <c:pt idx="6">
                  <c:v>0.15298507462686567</c:v>
                </c:pt>
                <c:pt idx="7">
                  <c:v>7.8358208955223885E-2</c:v>
                </c:pt>
                <c:pt idx="8">
                  <c:v>0.1044776119402985</c:v>
                </c:pt>
                <c:pt idx="9">
                  <c:v>0.11567164179104478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4"/>
  <sheetViews>
    <sheetView tabSelected="1" zoomScale="55" zoomScaleNormal="55" workbookViewId="0">
      <pane xSplit="11" ySplit="7" topLeftCell="V250" activePane="bottomRight" state="frozen"/>
      <selection pane="topRight" activeCell="M1" sqref="M1"/>
      <selection pane="bottomLeft" activeCell="A5" sqref="A5"/>
      <selection pane="bottomRight" activeCell="W279" sqref="W27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COUNTA(B8:B656)</f>
        <v>495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0.12234042553191489</v>
      </c>
      <c r="M1" s="3">
        <f t="shared" si="0"/>
        <v>0.14655172413793102</v>
      </c>
      <c r="N1" s="3">
        <f t="shared" si="0"/>
        <v>0.14655172413793102</v>
      </c>
      <c r="O1" s="3">
        <f t="shared" si="0"/>
        <v>0.17085427135678391</v>
      </c>
      <c r="P1" s="3">
        <f t="shared" si="0"/>
        <v>0.18719211822660098</v>
      </c>
      <c r="Q1" s="3">
        <f t="shared" si="0"/>
        <v>0.16946308724832215</v>
      </c>
      <c r="R1" s="3">
        <f t="shared" si="0"/>
        <v>0.19773095623987033</v>
      </c>
      <c r="S1" s="3">
        <f t="shared" si="0"/>
        <v>0.16526138279932545</v>
      </c>
      <c r="T1" s="3">
        <f t="shared" si="0"/>
        <v>0.1391304347826087</v>
      </c>
      <c r="U1" s="3">
        <f t="shared" si="0"/>
        <v>0.13612565445026178</v>
      </c>
      <c r="V1" s="3">
        <f t="shared" si="0"/>
        <v>0.13461538461538461</v>
      </c>
      <c r="W1" s="3">
        <f t="shared" si="0"/>
        <v>0.11131059245960502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495</v>
      </c>
      <c r="M2" s="7">
        <f t="shared" si="3"/>
        <v>495</v>
      </c>
      <c r="N2" s="7">
        <f t="shared" si="3"/>
        <v>495</v>
      </c>
      <c r="O2" s="7">
        <f t="shared" si="3"/>
        <v>495</v>
      </c>
      <c r="P2" s="7">
        <f t="shared" si="3"/>
        <v>495</v>
      </c>
      <c r="Q2" s="7">
        <f t="shared" si="3"/>
        <v>495</v>
      </c>
      <c r="R2" s="7">
        <f t="shared" si="3"/>
        <v>495</v>
      </c>
      <c r="S2" s="7">
        <f t="shared" si="3"/>
        <v>495</v>
      </c>
      <c r="T2" s="7">
        <f t="shared" si="3"/>
        <v>495</v>
      </c>
      <c r="U2" s="7">
        <f t="shared" si="3"/>
        <v>495</v>
      </c>
      <c r="V2" s="7">
        <f t="shared" si="3"/>
        <v>495</v>
      </c>
      <c r="W2" s="7">
        <f t="shared" si="3"/>
        <v>495</v>
      </c>
      <c r="X2" s="7">
        <f t="shared" si="3"/>
        <v>495</v>
      </c>
      <c r="Y2" s="7">
        <f t="shared" si="3"/>
        <v>495</v>
      </c>
      <c r="Z2" s="7">
        <f t="shared" si="3"/>
        <v>495</v>
      </c>
      <c r="AA2" s="7">
        <f t="shared" si="3"/>
        <v>495</v>
      </c>
      <c r="AB2" s="7">
        <f t="shared" si="3"/>
        <v>495</v>
      </c>
      <c r="AC2" s="7">
        <f t="shared" si="3"/>
        <v>495</v>
      </c>
      <c r="AD2" s="7">
        <f t="shared" si="3"/>
        <v>495</v>
      </c>
      <c r="AE2" s="7">
        <f t="shared" si="3"/>
        <v>495</v>
      </c>
      <c r="AF2" s="7">
        <f t="shared" si="3"/>
        <v>495</v>
      </c>
      <c r="AG2" s="7">
        <f t="shared" si="3"/>
        <v>495</v>
      </c>
      <c r="AH2" s="7">
        <f t="shared" si="3"/>
        <v>495</v>
      </c>
      <c r="AI2" s="7">
        <f t="shared" si="3"/>
        <v>495</v>
      </c>
      <c r="AJ2" s="7">
        <f t="shared" si="3"/>
        <v>495</v>
      </c>
      <c r="AK2" s="7">
        <f t="shared" si="3"/>
        <v>495</v>
      </c>
      <c r="AL2" s="7">
        <f t="shared" si="3"/>
        <v>495</v>
      </c>
      <c r="AM2" s="7">
        <f t="shared" si="3"/>
        <v>495</v>
      </c>
      <c r="AN2" s="7">
        <f t="shared" si="3"/>
        <v>495</v>
      </c>
      <c r="AO2" s="7">
        <f t="shared" si="3"/>
        <v>495</v>
      </c>
      <c r="AP2" s="7">
        <f t="shared" si="3"/>
        <v>495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COUNTIF(L7:L656,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62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COUNTIFS(L8:L610, "=APAGADO",F8:F610,"=Fibra Optica")</f>
        <v>40</v>
      </c>
      <c r="M4" s="10">
        <f>COUNTIFS(M8:M610, "=APAGADO",F8:F610,"=Fibra Optica")</f>
        <v>54</v>
      </c>
      <c r="N4" s="10">
        <f>COUNTIFS(N8:N610, "=APAGADO",F8:F610,"=Fibra Optica")</f>
        <v>54</v>
      </c>
      <c r="O4" s="10">
        <f>COUNTIFS(O8:O610, "=APAGADO",F8:F610,"=Fibra Optica")</f>
        <v>64</v>
      </c>
      <c r="P4" s="10">
        <f>COUNTIFS(P8:P610, "=APAGADO",F8:F610,"=Fibra Optica")</f>
        <v>83</v>
      </c>
      <c r="Q4" s="10">
        <f>COUNTIFS(Q8:Q610, "=APAGADO",F8:F610,"=Fibra Optica")</f>
        <v>68</v>
      </c>
      <c r="R4" s="10">
        <f>COUNTIFS(R8:R610, "=APAGADO",F8:F610,"=Fibra Optica")</f>
        <v>88</v>
      </c>
      <c r="S4" s="10">
        <f>COUNTIFS(S8:S610, "=APAGADO",F8:F610,"=Fibra Optica")</f>
        <v>68</v>
      </c>
      <c r="T4" s="10">
        <f>COUNTIFS(T8:T610, "=APAGADO",F8:F610,"=Fibra Optica")</f>
        <v>43</v>
      </c>
      <c r="U4" s="10">
        <f>COUNTIFS(U8:U610, "=APAGADO",F8:F610,"=Fibra Optica")</f>
        <v>49</v>
      </c>
      <c r="V4" s="10">
        <f>COUNTIFS(V8:V610, "=APAGADO",F8:F610,"=Fibra Optica")</f>
        <v>48</v>
      </c>
      <c r="W4" s="10">
        <f>COUNTIFS(W8:W610, "=APAGADO",F8:F610,"=Fibra Optica")</f>
        <v>38</v>
      </c>
      <c r="X4" s="10">
        <f>COUNTIFS(X8:X610, "=APAGADO",F8:F610,"=Fibra Optica")</f>
        <v>0</v>
      </c>
      <c r="Y4" s="10">
        <f>COUNTIFS(Y8:Y610, "=APAGADO",F8:F610,"=Fibra Optica")</f>
        <v>0</v>
      </c>
      <c r="Z4" s="10">
        <f>COUNTIFS(Z8:Z610, "=APAGADO",F8:F610,"=Fibra Optica")</f>
        <v>0</v>
      </c>
      <c r="AA4" s="10">
        <f>COUNTIFS(AA8:AA610, "=APAGADO",F8:F610,"=Fibra Optica")</f>
        <v>0</v>
      </c>
      <c r="AB4" s="10">
        <f>COUNTIFS(AB8:AB610, "=APAGADO",F8:F610,"=Fibra Optica")</f>
        <v>0</v>
      </c>
      <c r="AC4" s="10">
        <f>COUNTIFS(AC8:AC610, "=APAGADO",F8:F610,"=Fibra Optica")</f>
        <v>0</v>
      </c>
      <c r="AD4" s="10">
        <f>COUNTIFS(AD8:AD610, "=APAGADO",F8:F610,"=Fibra Optica")</f>
        <v>0</v>
      </c>
      <c r="AE4" s="10">
        <f>COUNTIFS(AE8:AE610, "=APAGADO",F8:F610,"=Fibra Optica")</f>
        <v>0</v>
      </c>
      <c r="AF4" s="10">
        <f>COUNTIFS(AF8:AF610, "=APAGADO",F8:F610,"=Fibra Optica")</f>
        <v>0</v>
      </c>
      <c r="AG4" s="10">
        <f>COUNTIFS(AG8:AG610, "=APAGADO",F8:F610,"=Fibra Optica")</f>
        <v>0</v>
      </c>
      <c r="AH4" s="10">
        <f>COUNTIFS(AH8:AH610, "=APAGADO",F8:F610,"=Fibra Optica")</f>
        <v>0</v>
      </c>
      <c r="AI4" s="10">
        <f>COUNTIFS(AI8:AI610, "=APAGADO",F8:F610,"=Fibra Optica")</f>
        <v>0</v>
      </c>
      <c r="AJ4" s="10">
        <f>COUNTIFS(AJ8:AJ610, "=APAGADO",F8:F610,"=Fibra Optica")</f>
        <v>0</v>
      </c>
      <c r="AK4" s="10">
        <f>COUNTIFS(AK8:AK610, "=APAGADO",F8:F610,"=Fibra Optica")</f>
        <v>0</v>
      </c>
      <c r="AL4" s="10">
        <f>COUNTIFS(AL8:AL610, "=APAGADO",F8:F610,"=Fibra Optica")</f>
        <v>0</v>
      </c>
      <c r="AM4" s="10">
        <f>COUNTIFS(AM8:AM610, "=APAGADO",F8:F610,"=Fibra Optica")</f>
        <v>0</v>
      </c>
      <c r="AN4" s="10">
        <f>COUNTIFS(AN8:AN610, "=APAGADO",F8:F610,"=Fibra Optica")</f>
        <v>0</v>
      </c>
      <c r="AO4" s="10">
        <f>COUNTIFS(AO8:AO610, "=APAGADO",F8:F610,"=Fibra Optica")</f>
        <v>0</v>
      </c>
      <c r="AP4" s="10">
        <f>COUNTIFS(AP8:AP610, "=APAGADO",G8:G610,"=Fibra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COUNTIFS(L8:L610, "=APAGADO",F8:F610,"=RADIO")</f>
        <v>13</v>
      </c>
      <c r="M5" s="136">
        <f>COUNTIFS(M8:M610, "=APAGADO",F8:F610,"=RADIO")</f>
        <v>15</v>
      </c>
      <c r="N5" s="136">
        <f>COUNTIFS(N8:N610, "=APAGADO",F8:F610,"=RADIO")</f>
        <v>15</v>
      </c>
      <c r="O5" s="136">
        <f>COUNTIFS(O8:O610, "=APAGADO",F8:F610,"=RADIO")</f>
        <v>22</v>
      </c>
      <c r="P5" s="136">
        <f>COUNTIFS(P8:P610, "=APAGADO",F8:F610,"=RADIO")</f>
        <v>17</v>
      </c>
      <c r="Q5" s="136">
        <f>COUNTIFS(Q8:Q610, "=APAGADO",F8:F610,"=RADIO")</f>
        <v>21</v>
      </c>
      <c r="R5" s="136">
        <f>COUNTIFS(R8:R610, "=APAGADO",F8:F610,"=RADIO")</f>
        <v>21</v>
      </c>
      <c r="S5" s="136">
        <f>COUNTIFS(S8:S610, "=APAGADO",F8:F610,"=RADIO")</f>
        <v>17</v>
      </c>
      <c r="T5" s="136">
        <f>COUNTIFS(T8:T610, "=APAGADO",F8:F610,"=RADIO")</f>
        <v>25</v>
      </c>
      <c r="U5" s="136">
        <f>COUNTIFS(U8:U610, "=APAGADO",F8:F610,"=RADIO")</f>
        <v>17</v>
      </c>
      <c r="V5" s="136">
        <f>COUNTIFS(V8:V610, "=APAGADO",F8:F610,"=RADIO")</f>
        <v>17</v>
      </c>
      <c r="W5" s="136">
        <f>COUNTIFS(W8:W610, "=APAGADO",F8:F610,"=RADIO")</f>
        <v>13</v>
      </c>
      <c r="X5" s="136">
        <f>COUNTIFS(X8:X610, "=APAGADO",F8:F610,"=RADIO")</f>
        <v>0</v>
      </c>
      <c r="Y5" s="136">
        <f>COUNTIFS(Y8:Y610, "=APAGADO",F8:F610,"=RADIO")</f>
        <v>0</v>
      </c>
      <c r="Z5" s="136">
        <f>COUNTIFS(Z8:Z610, "=APAGADO",F8:F610,"=RADIO")</f>
        <v>0</v>
      </c>
      <c r="AA5" s="136">
        <f>COUNTIFS(AA8:AA610, "=APAGADO",F8:F610,"=RADIO")</f>
        <v>0</v>
      </c>
      <c r="AB5" s="136">
        <f>COUNTIFS(AB8:AB610, "=APAGADO",F8:F610,"=RADIO")</f>
        <v>0</v>
      </c>
      <c r="AC5" s="136">
        <f>COUNTIFS(AC8:AC610, "=APAGADO",F8:F610,"=RADIO")</f>
        <v>0</v>
      </c>
      <c r="AD5" s="136">
        <f>COUNTIFS(AD8:AD610, "=APAGADO",F8:F610,"=RADIO")</f>
        <v>0</v>
      </c>
      <c r="AE5" s="136">
        <f>COUNTIFS(AE8:AE610, "=APAGADO",F8:F610,"=RADIO")</f>
        <v>0</v>
      </c>
      <c r="AF5" s="136">
        <f>COUNTIFS(AF8:AF610, "=APAGADO",F8:F610,"=RADIO")</f>
        <v>0</v>
      </c>
      <c r="AG5" s="136">
        <f>COUNTIFS(AG8:AG610, "=APAGADO",F8:F610,"=RADIO")</f>
        <v>0</v>
      </c>
      <c r="AH5" s="136">
        <f>COUNTIFS(AH8:AH610, "=APAGADO",F8:F610,"=RADIO")</f>
        <v>0</v>
      </c>
      <c r="AI5" s="136">
        <f>COUNTIFS(AI8:AI610, "=APAGADO",F8:F610,"=RADIO")</f>
        <v>0</v>
      </c>
      <c r="AJ5" s="136">
        <f>COUNTIFS(AJ8:AJ610, "=APAGADO",F8:F610,"=RADIO")</f>
        <v>0</v>
      </c>
      <c r="AK5" s="136">
        <f>COUNTIFS(AK8:AK610, "=APAGADO",F8:F610,"=RADIO")</f>
        <v>0</v>
      </c>
      <c r="AL5" s="136">
        <f>COUNTIFS(AL8:AL610, "=APAGADO",F8:F610,"=RADIO")</f>
        <v>0</v>
      </c>
      <c r="AM5" s="136">
        <f>COUNTIFS(AM8:AM610, "=APAGADO",F8:F610,"=RADIO")</f>
        <v>0</v>
      </c>
      <c r="AN5" s="136">
        <f>COUNTIFS(AN8:AN610, "=APAGADO",F8:F610,"=RADIO")</f>
        <v>0</v>
      </c>
      <c r="AO5" s="136">
        <f>COUNTIFS(AO8:AO610, "=APAGADO",F8:F610,"=RADIO")</f>
        <v>0</v>
      </c>
      <c r="AP5" s="136">
        <f>COUNTIFS(AP8:AP610, "=APAGADO",G8:G610,"=RADIO")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COUNTIFS(L8:L610, "=APAGADO",F8:F610,"=PTO A FO")</f>
        <v>7</v>
      </c>
      <c r="M6" s="10">
        <f>COUNTIFS(M8:M610, "=APAGADO",F8:F610,"=PTO A FO")</f>
        <v>8</v>
      </c>
      <c r="N6" s="10">
        <f>COUNTIFS(N8:N610, "=APAGADO",F8:F610,"=PTO A FO")</f>
        <v>8</v>
      </c>
      <c r="O6" s="10">
        <f>COUNTIFS(O8:O610, "=APAGADO",F8:F610,"=PTO A FO")</f>
        <v>10</v>
      </c>
      <c r="P6" s="10">
        <f>COUNTIFS(P8:P610, "=APAGADO",F8:F610,"=PTO A FO")</f>
        <v>8</v>
      </c>
      <c r="Q6" s="10">
        <f>COUNTIFS(Q8:Q610, "=APAGADO",F8:F610,"=PTO A FO")</f>
        <v>6</v>
      </c>
      <c r="R6" s="10">
        <f>COUNTIFS(R8:R610, "=APAGADO",F8:F610,"=PTO A FO")</f>
        <v>7</v>
      </c>
      <c r="S6" s="10">
        <f>COUNTIFS(S8:S610, "=APAGADO",F8:F610,"=PTO A FO")</f>
        <v>6</v>
      </c>
      <c r="T6" s="10">
        <f>COUNTIFS(T8:T610, "=APAGADO",F8:F610,"=PTO A FO")</f>
        <v>6</v>
      </c>
      <c r="U6" s="10">
        <f>COUNTIFS(U8:U610, "=APAGADO",F8:F610,"=PTO A FO")</f>
        <v>6</v>
      </c>
      <c r="V6" s="10">
        <f>COUNTIFS(V8:V610, "=APAGADO",F8:F610,"=PTO A FO")</f>
        <v>7</v>
      </c>
      <c r="W6" s="10">
        <f>COUNTIFS(W8:W610, "=APAGADO",F8:F610,"=PTO A FO")</f>
        <v>6</v>
      </c>
      <c r="X6" s="10">
        <f>COUNTIFS(X8:X610, "=APAGADO",F8:F610,"=PTO A FO")</f>
        <v>0</v>
      </c>
      <c r="Y6" s="10">
        <f>COUNTIFS(Y8:Y610, "=APAGADO",F8:F610,"=PTO A FO")</f>
        <v>0</v>
      </c>
      <c r="Z6" s="10">
        <f>COUNTIFS(Z8:Z610, "=APAGADO",F8:F610,"=PTO A FO")</f>
        <v>0</v>
      </c>
      <c r="AA6" s="10">
        <f>COUNTIFS(AA8:AA610, "=APAGADO",F8:F610,"=PTO A FO")</f>
        <v>0</v>
      </c>
      <c r="AB6" s="10">
        <f>COUNTIFS(AB8:AB610, "=APAGADO",F8:F610,"=PTO A FO")</f>
        <v>0</v>
      </c>
      <c r="AC6" s="10">
        <f>COUNTIFS(AC8:AC610, "=APAGADO",F8:F610,"=PTO A FO")</f>
        <v>0</v>
      </c>
      <c r="AD6" s="10">
        <f>COUNTIFS(AD8:AD610, "=APAGADO",F8:F610,"=PTO A FO")</f>
        <v>0</v>
      </c>
      <c r="AE6" s="10">
        <f>COUNTIFS(AE8:AE610, "=APAGADO",F8:F610,"=PTO A FO")</f>
        <v>0</v>
      </c>
      <c r="AF6" s="10">
        <f>COUNTIFS(AF8:AF610, "=APAGADO",F8:F610,"=PTO A FO")</f>
        <v>0</v>
      </c>
      <c r="AG6" s="10">
        <f>COUNTIFS(AG8:AG610, "=APAGADO",F8:F610,"=PTO A FO")</f>
        <v>0</v>
      </c>
      <c r="AH6" s="10">
        <f>COUNTIFS(AH8:AH610, "=APAGADO",F8:F610,"=PTO A FO")</f>
        <v>0</v>
      </c>
      <c r="AI6" s="10">
        <f>COUNTIFS(AI8:AI610, "=APAGADO",F8:F610,"=PTO A FO")</f>
        <v>0</v>
      </c>
      <c r="AJ6" s="10">
        <f>COUNTIFS(AJ8:AJ610, "=APAGADO",F8:F610,"=PTO A FO")</f>
        <v>0</v>
      </c>
      <c r="AK6" s="10">
        <f>COUNTIFS(AK8:AK610, "=APAGADO",F8:F610,"=PTO A FO")</f>
        <v>0</v>
      </c>
      <c r="AL6" s="10">
        <f>COUNTIFS(AL8:AL610, "=APAGADO",F8:F610,"=PTO A FO")</f>
        <v>0</v>
      </c>
      <c r="AM6" s="10">
        <f>COUNTIFS(AM8:AM610, "=APAGADO",F8:F610,"=PTO A FO")</f>
        <v>0</v>
      </c>
      <c r="AN6" s="10">
        <f>COUNTIFS(AN8:AN610, "=APAGADO",F8:F610,"=PTO A FO")</f>
        <v>0</v>
      </c>
      <c r="AO6" s="10">
        <f>COUNTIFS(AO8:AO610, "=APAGADO",F8:F610,"=PTO A FO")</f>
        <v>0</v>
      </c>
      <c r="AP6" s="10">
        <f>COUNTIFS(AP8:AP610, "=APAGADO",G8:G610,"=PTO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5">COUNTIF(L8:AM8,"")</f>
        <v>28</v>
      </c>
      <c r="J8" s="31">
        <f t="shared" ref="J8:J72" si="6">COUNTIF(L8:AM8,"APAGADO")</f>
        <v>0</v>
      </c>
      <c r="K8" s="32">
        <f t="shared" ref="K8:K72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22</v>
      </c>
      <c r="J11" s="31">
        <f t="shared" si="6"/>
        <v>6</v>
      </c>
      <c r="K11" s="32">
        <f t="shared" si="7"/>
        <v>0.7857142857142857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 t="s">
        <v>1534</v>
      </c>
      <c r="V11" s="72" t="s">
        <v>1534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27</v>
      </c>
      <c r="J12" s="31">
        <f t="shared" si="6"/>
        <v>1</v>
      </c>
      <c r="K12" s="32">
        <f t="shared" si="7"/>
        <v>0.9642857142857143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1534</v>
      </c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 t="s">
        <v>1534</v>
      </c>
      <c r="V17" s="72" t="s">
        <v>1534</v>
      </c>
      <c r="W17" s="72" t="s">
        <v>1534</v>
      </c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5"/>
        <v>27</v>
      </c>
      <c r="J18" s="31">
        <f t="shared" si="6"/>
        <v>1</v>
      </c>
      <c r="K18" s="32">
        <f t="shared" si="7"/>
        <v>0.9642857142857143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1534</v>
      </c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5"/>
        <v>17</v>
      </c>
      <c r="J21" s="31">
        <f t="shared" si="6"/>
        <v>11</v>
      </c>
      <c r="K21" s="32">
        <f t="shared" si="7"/>
        <v>0.6071428571428571</v>
      </c>
      <c r="L21" s="72" t="s">
        <v>1534</v>
      </c>
      <c r="M21" s="72" t="s">
        <v>1534</v>
      </c>
      <c r="N21" s="72" t="s">
        <v>1534</v>
      </c>
      <c r="O21" s="72" t="s">
        <v>1534</v>
      </c>
      <c r="P21" s="72" t="s">
        <v>1534</v>
      </c>
      <c r="Q21" s="72" t="s">
        <v>1534</v>
      </c>
      <c r="R21" s="72" t="s">
        <v>1534</v>
      </c>
      <c r="S21" s="72" t="s">
        <v>1534</v>
      </c>
      <c r="T21" s="72" t="s">
        <v>1534</v>
      </c>
      <c r="U21" s="72" t="s">
        <v>1534</v>
      </c>
      <c r="V21" s="72" t="s">
        <v>1534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 t="s">
        <v>1534</v>
      </c>
      <c r="V22" s="72" t="s">
        <v>1534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 t="s">
        <v>1534</v>
      </c>
      <c r="V23" s="72" t="s">
        <v>1534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 t="s">
        <v>1534</v>
      </c>
      <c r="V24" s="72" t="s">
        <v>1534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5"/>
        <v>23</v>
      </c>
      <c r="J25" s="31">
        <f t="shared" si="6"/>
        <v>5</v>
      </c>
      <c r="K25" s="32">
        <f t="shared" si="7"/>
        <v>0.8214285714285714</v>
      </c>
      <c r="L25" s="72"/>
      <c r="M25" s="72"/>
      <c r="N25" s="72"/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5"/>
        <v>16</v>
      </c>
      <c r="J28" s="140">
        <f t="shared" si="6"/>
        <v>12</v>
      </c>
      <c r="K28" s="141">
        <f t="shared" si="7"/>
        <v>0.5714285714285714</v>
      </c>
      <c r="L28" s="142" t="s">
        <v>1534</v>
      </c>
      <c r="M28" s="142" t="s">
        <v>1534</v>
      </c>
      <c r="N28" s="142" t="s">
        <v>1534</v>
      </c>
      <c r="O28" s="142" t="s">
        <v>1534</v>
      </c>
      <c r="P28" s="142" t="s">
        <v>1534</v>
      </c>
      <c r="Q28" s="142" t="s">
        <v>1534</v>
      </c>
      <c r="R28" s="142" t="s">
        <v>1534</v>
      </c>
      <c r="S28" s="142" t="s">
        <v>1534</v>
      </c>
      <c r="T28" s="142" t="s">
        <v>1534</v>
      </c>
      <c r="U28" s="142" t="s">
        <v>1534</v>
      </c>
      <c r="V28" s="142" t="s">
        <v>1534</v>
      </c>
      <c r="W28" s="142" t="s">
        <v>1534</v>
      </c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5"/>
        <v>16</v>
      </c>
      <c r="J29" s="31">
        <f t="shared" si="6"/>
        <v>12</v>
      </c>
      <c r="K29" s="32">
        <f t="shared" si="7"/>
        <v>0.5714285714285714</v>
      </c>
      <c r="L29" s="72" t="s">
        <v>1534</v>
      </c>
      <c r="M29" s="72" t="s">
        <v>1534</v>
      </c>
      <c r="N29" s="72" t="s">
        <v>1534</v>
      </c>
      <c r="O29" s="72" t="s">
        <v>1534</v>
      </c>
      <c r="P29" s="72" t="s">
        <v>1534</v>
      </c>
      <c r="Q29" s="72" t="s">
        <v>1534</v>
      </c>
      <c r="R29" s="72" t="s">
        <v>1534</v>
      </c>
      <c r="S29" s="72" t="s">
        <v>1534</v>
      </c>
      <c r="T29" s="72" t="s">
        <v>1534</v>
      </c>
      <c r="U29" s="72" t="s">
        <v>1534</v>
      </c>
      <c r="V29" s="72" t="s">
        <v>1534</v>
      </c>
      <c r="W29" s="72" t="s">
        <v>1534</v>
      </c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1526</v>
      </c>
      <c r="C30" t="s">
        <v>1070</v>
      </c>
      <c r="D30" t="s">
        <v>1527</v>
      </c>
      <c r="E30" s="67"/>
      <c r="F30" s="30"/>
      <c r="G30" s="30"/>
      <c r="H30" s="89" t="s">
        <v>1528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 t="s">
        <v>1534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5"/>
        <v>28</v>
      </c>
      <c r="J31" s="31">
        <f t="shared" si="6"/>
        <v>0</v>
      </c>
      <c r="K31" s="32">
        <f t="shared" si="7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5"/>
        <v>16</v>
      </c>
      <c r="J38" s="31">
        <f t="shared" si="6"/>
        <v>12</v>
      </c>
      <c r="K38" s="32">
        <f t="shared" si="7"/>
        <v>0.5714285714285714</v>
      </c>
      <c r="L38" s="72" t="s">
        <v>1534</v>
      </c>
      <c r="M38" s="72" t="s">
        <v>1534</v>
      </c>
      <c r="N38" s="72" t="s">
        <v>1534</v>
      </c>
      <c r="O38" s="72" t="s">
        <v>1534</v>
      </c>
      <c r="P38" s="72" t="s">
        <v>1534</v>
      </c>
      <c r="Q38" s="72" t="s">
        <v>1534</v>
      </c>
      <c r="R38" s="72" t="s">
        <v>1534</v>
      </c>
      <c r="S38" s="72" t="s">
        <v>1534</v>
      </c>
      <c r="T38" s="72" t="s">
        <v>1534</v>
      </c>
      <c r="U38" s="72" t="s">
        <v>1534</v>
      </c>
      <c r="V38" s="72" t="s">
        <v>1534</v>
      </c>
      <c r="W38" s="72" t="s">
        <v>1534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5"/>
        <v>26</v>
      </c>
      <c r="J44" s="31">
        <f t="shared" si="6"/>
        <v>2</v>
      </c>
      <c r="K44" s="32">
        <f t="shared" si="7"/>
        <v>0.9285714285714286</v>
      </c>
      <c r="L44" s="72"/>
      <c r="M44" s="72"/>
      <c r="N44" s="72"/>
      <c r="O44" s="72"/>
      <c r="P44" s="72" t="s">
        <v>1534</v>
      </c>
      <c r="Q44" s="72"/>
      <c r="R44" s="72" t="s">
        <v>1534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5"/>
        <v>26</v>
      </c>
      <c r="J50" s="31">
        <f t="shared" si="6"/>
        <v>2</v>
      </c>
      <c r="K50" s="32">
        <f t="shared" si="7"/>
        <v>0.9285714285714286</v>
      </c>
      <c r="L50" s="72"/>
      <c r="M50" s="72"/>
      <c r="N50" s="72"/>
      <c r="O50" s="72"/>
      <c r="P50" s="72" t="s">
        <v>1534</v>
      </c>
      <c r="Q50" s="72"/>
      <c r="R50" s="72" t="s">
        <v>1534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5"/>
        <v>27</v>
      </c>
      <c r="J52" s="31">
        <f t="shared" si="6"/>
        <v>1</v>
      </c>
      <c r="K52" s="32">
        <f t="shared" si="7"/>
        <v>0.9642857142857143</v>
      </c>
      <c r="L52" s="72"/>
      <c r="M52" s="72"/>
      <c r="N52" s="72"/>
      <c r="O52" s="72"/>
      <c r="P52" s="72"/>
      <c r="Q52" s="72"/>
      <c r="R52" s="72"/>
      <c r="S52" s="72"/>
      <c r="T52" s="72" t="s">
        <v>1534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5"/>
        <v>16</v>
      </c>
      <c r="J53" s="31">
        <f t="shared" si="6"/>
        <v>12</v>
      </c>
      <c r="K53" s="32">
        <f t="shared" si="7"/>
        <v>0.5714285714285714</v>
      </c>
      <c r="L53" s="72" t="s">
        <v>1534</v>
      </c>
      <c r="M53" s="72" t="s">
        <v>1534</v>
      </c>
      <c r="N53" s="72" t="s">
        <v>1534</v>
      </c>
      <c r="O53" s="72" t="s">
        <v>1534</v>
      </c>
      <c r="P53" s="72" t="s">
        <v>1534</v>
      </c>
      <c r="Q53" s="72" t="s">
        <v>1534</v>
      </c>
      <c r="R53" s="72" t="s">
        <v>1534</v>
      </c>
      <c r="S53" s="72" t="s">
        <v>1534</v>
      </c>
      <c r="T53" s="72" t="s">
        <v>1534</v>
      </c>
      <c r="U53" s="72" t="s">
        <v>1534</v>
      </c>
      <c r="V53" s="72" t="s">
        <v>1534</v>
      </c>
      <c r="W53" s="72" t="s">
        <v>1534</v>
      </c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5"/>
        <v>26</v>
      </c>
      <c r="J54" s="31">
        <f t="shared" si="6"/>
        <v>2</v>
      </c>
      <c r="K54" s="32">
        <f t="shared" si="7"/>
        <v>0.9285714285714286</v>
      </c>
      <c r="L54" s="72" t="s">
        <v>1534</v>
      </c>
      <c r="M54" s="72"/>
      <c r="N54" s="72"/>
      <c r="O54" s="72"/>
      <c r="P54" s="72"/>
      <c r="Q54" s="72"/>
      <c r="R54" s="72"/>
      <c r="S54" s="72"/>
      <c r="T54" s="72" t="s">
        <v>1534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5"/>
        <v>27</v>
      </c>
      <c r="J55" s="31">
        <f t="shared" si="6"/>
        <v>1</v>
      </c>
      <c r="K55" s="32">
        <f t="shared" si="7"/>
        <v>0.9642857142857143</v>
      </c>
      <c r="L55" s="72"/>
      <c r="M55" s="72"/>
      <c r="N55" s="72"/>
      <c r="O55" s="72"/>
      <c r="P55" s="72"/>
      <c r="Q55" s="72"/>
      <c r="R55" s="72" t="s">
        <v>1534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5"/>
        <v>24</v>
      </c>
      <c r="J56" s="31">
        <f t="shared" si="6"/>
        <v>4</v>
      </c>
      <c r="K56" s="32">
        <f t="shared" si="7"/>
        <v>0.8571428571428571</v>
      </c>
      <c r="L56" s="72"/>
      <c r="M56" s="72"/>
      <c r="N56" s="72"/>
      <c r="O56" s="72"/>
      <c r="P56" s="72" t="s">
        <v>1534</v>
      </c>
      <c r="Q56" s="72"/>
      <c r="R56" s="72" t="s">
        <v>1534</v>
      </c>
      <c r="S56" s="72"/>
      <c r="T56" s="72"/>
      <c r="U56" s="72"/>
      <c r="V56" s="72" t="s">
        <v>1534</v>
      </c>
      <c r="W56" s="72" t="s">
        <v>1534</v>
      </c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5"/>
        <v>16</v>
      </c>
      <c r="J57" s="31">
        <f t="shared" si="6"/>
        <v>12</v>
      </c>
      <c r="K57" s="32">
        <f t="shared" si="7"/>
        <v>0.5714285714285714</v>
      </c>
      <c r="L57" s="72" t="s">
        <v>1534</v>
      </c>
      <c r="M57" s="72" t="s">
        <v>1534</v>
      </c>
      <c r="N57" s="72" t="s">
        <v>1534</v>
      </c>
      <c r="O57" s="72" t="s">
        <v>1534</v>
      </c>
      <c r="P57" s="72" t="s">
        <v>1534</v>
      </c>
      <c r="Q57" s="72" t="s">
        <v>1534</v>
      </c>
      <c r="R57" s="72" t="s">
        <v>1534</v>
      </c>
      <c r="S57" s="72" t="s">
        <v>1534</v>
      </c>
      <c r="T57" s="72" t="s">
        <v>1534</v>
      </c>
      <c r="U57" s="72" t="s">
        <v>1534</v>
      </c>
      <c r="V57" s="72" t="s">
        <v>1534</v>
      </c>
      <c r="W57" s="72" t="s">
        <v>1534</v>
      </c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5"/>
        <v>26</v>
      </c>
      <c r="J58" s="31">
        <f t="shared" si="6"/>
        <v>2</v>
      </c>
      <c r="K58" s="32">
        <f t="shared" si="7"/>
        <v>0.9285714285714286</v>
      </c>
      <c r="L58" s="72"/>
      <c r="M58" s="72"/>
      <c r="N58" s="72"/>
      <c r="O58" s="72"/>
      <c r="P58" s="72" t="s">
        <v>1534</v>
      </c>
      <c r="Q58" s="72"/>
      <c r="R58" s="72" t="s">
        <v>1534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1492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41" si="8">COUNTIF(L73:AM73,"")</f>
        <v>28</v>
      </c>
      <c r="J73" s="31">
        <f t="shared" ref="J73:J141" si="9">COUNTIF(L73:AM73,"APAGADO")</f>
        <v>0</v>
      </c>
      <c r="K73" s="32">
        <f t="shared" ref="K73:K141" si="10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1538</v>
      </c>
      <c r="E74" s="30" t="s">
        <v>19</v>
      </c>
      <c r="F74" s="30" t="s">
        <v>1309</v>
      </c>
      <c r="G74" s="30"/>
      <c r="H74" s="30" t="s">
        <v>659</v>
      </c>
      <c r="I74" s="31">
        <f t="shared" si="8"/>
        <v>22</v>
      </c>
      <c r="J74" s="31">
        <f t="shared" si="9"/>
        <v>6</v>
      </c>
      <c r="K74" s="32">
        <f t="shared" si="10"/>
        <v>0.7857142857142857</v>
      </c>
      <c r="L74" s="72" t="s">
        <v>1534</v>
      </c>
      <c r="M74" s="72" t="s">
        <v>1534</v>
      </c>
      <c r="N74" s="72" t="s">
        <v>1534</v>
      </c>
      <c r="O74" s="72"/>
      <c r="P74" s="72" t="s">
        <v>1534</v>
      </c>
      <c r="Q74" s="72" t="s">
        <v>1534</v>
      </c>
      <c r="R74" s="72" t="s">
        <v>1534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8"/>
        <v>24</v>
      </c>
      <c r="J75" s="31">
        <f t="shared" si="9"/>
        <v>4</v>
      </c>
      <c r="K75" s="32">
        <f t="shared" si="10"/>
        <v>0.8571428571428571</v>
      </c>
      <c r="L75" s="72"/>
      <c r="M75" s="72"/>
      <c r="N75" s="72"/>
      <c r="O75" s="72"/>
      <c r="P75" s="72" t="s">
        <v>1534</v>
      </c>
      <c r="Q75" s="72"/>
      <c r="R75" s="72" t="s">
        <v>1534</v>
      </c>
      <c r="S75" s="72"/>
      <c r="T75" s="72"/>
      <c r="U75" s="72" t="s">
        <v>1534</v>
      </c>
      <c r="V75" s="72" t="s">
        <v>1534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 t="s">
        <v>1534</v>
      </c>
      <c r="V76" s="72" t="s">
        <v>1534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1493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1494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8"/>
        <v>25</v>
      </c>
      <c r="J79" s="31">
        <f t="shared" si="9"/>
        <v>3</v>
      </c>
      <c r="K79" s="32">
        <f t="shared" si="10"/>
        <v>0.8928571428571429</v>
      </c>
      <c r="L79" s="72"/>
      <c r="M79" s="72"/>
      <c r="N79" s="72"/>
      <c r="O79" s="72"/>
      <c r="P79" s="72"/>
      <c r="Q79" s="72"/>
      <c r="R79" s="72" t="s">
        <v>1534</v>
      </c>
      <c r="S79" s="72"/>
      <c r="T79" s="72"/>
      <c r="U79" s="72" t="s">
        <v>1534</v>
      </c>
      <c r="V79" s="72" t="s">
        <v>1534</v>
      </c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8"/>
        <v>25</v>
      </c>
      <c r="J85" s="31">
        <f t="shared" si="9"/>
        <v>3</v>
      </c>
      <c r="K85" s="32">
        <f t="shared" si="10"/>
        <v>0.8928571428571429</v>
      </c>
      <c r="L85" s="72" t="s">
        <v>1534</v>
      </c>
      <c r="M85" s="72" t="s">
        <v>1534</v>
      </c>
      <c r="N85" s="72" t="s">
        <v>1534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8"/>
        <v>26</v>
      </c>
      <c r="J86" s="31">
        <f t="shared" si="9"/>
        <v>2</v>
      </c>
      <c r="K86" s="32">
        <f t="shared" si="10"/>
        <v>0.9285714285714286</v>
      </c>
      <c r="L86" s="72"/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8"/>
        <v>28</v>
      </c>
      <c r="J87" s="31">
        <f t="shared" si="9"/>
        <v>0</v>
      </c>
      <c r="K87" s="32">
        <f t="shared" si="10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8"/>
        <v>26</v>
      </c>
      <c r="J92" s="31">
        <f t="shared" si="9"/>
        <v>2</v>
      </c>
      <c r="K92" s="32">
        <f t="shared" si="10"/>
        <v>0.9285714285714286</v>
      </c>
      <c r="L92" s="72"/>
      <c r="M92" s="72"/>
      <c r="N92" s="72"/>
      <c r="O92" s="72" t="s">
        <v>1534</v>
      </c>
      <c r="P92" s="72" t="s">
        <v>1534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 t="s">
        <v>1534</v>
      </c>
      <c r="M99" s="72" t="s">
        <v>1534</v>
      </c>
      <c r="N99" s="72" t="s">
        <v>1534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8"/>
        <v>19</v>
      </c>
      <c r="J105" s="31">
        <f t="shared" si="9"/>
        <v>9</v>
      </c>
      <c r="K105" s="32">
        <f t="shared" si="10"/>
        <v>0.6785714285714286</v>
      </c>
      <c r="L105" s="72"/>
      <c r="M105" s="72" t="s">
        <v>1534</v>
      </c>
      <c r="N105" s="72" t="s">
        <v>1534</v>
      </c>
      <c r="O105" s="72" t="s">
        <v>1534</v>
      </c>
      <c r="P105" s="72" t="s">
        <v>1534</v>
      </c>
      <c r="Q105" s="72" t="s">
        <v>1534</v>
      </c>
      <c r="R105" s="72" t="s">
        <v>1534</v>
      </c>
      <c r="S105" s="72" t="s">
        <v>1534</v>
      </c>
      <c r="T105" s="72" t="s">
        <v>1534</v>
      </c>
      <c r="U105" s="72" t="s">
        <v>1534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1512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 t="s">
        <v>1534</v>
      </c>
      <c r="Q108" s="72"/>
      <c r="R108" s="72" t="s">
        <v>1534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8"/>
        <v>25</v>
      </c>
      <c r="J111" s="31">
        <f t="shared" si="9"/>
        <v>3</v>
      </c>
      <c r="K111" s="32">
        <f t="shared" si="10"/>
        <v>0.8928571428571429</v>
      </c>
      <c r="L111" s="72" t="s">
        <v>1534</v>
      </c>
      <c r="M111" s="72" t="s">
        <v>1534</v>
      </c>
      <c r="N111" s="72" t="s">
        <v>1534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8"/>
        <v>28</v>
      </c>
      <c r="J113" s="31">
        <f t="shared" si="9"/>
        <v>0</v>
      </c>
      <c r="K113" s="32">
        <f t="shared" si="10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8.75" customHeight="1" thickBot="1" x14ac:dyDescent="0.3">
      <c r="A121" t="s">
        <v>52</v>
      </c>
      <c r="B121" s="30" t="s">
        <v>1524</v>
      </c>
      <c r="C121" s="30" t="s">
        <v>1069</v>
      </c>
      <c r="D121" t="s">
        <v>1525</v>
      </c>
      <c r="E121" s="89"/>
      <c r="F121" s="89" t="s">
        <v>28</v>
      </c>
      <c r="G121" s="89"/>
      <c r="H121" s="89" t="s">
        <v>1529</v>
      </c>
      <c r="I121" s="31"/>
      <c r="J121" s="31"/>
      <c r="K121" s="3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1503</v>
      </c>
      <c r="C122" s="30" t="s">
        <v>1069</v>
      </c>
      <c r="D122" t="s">
        <v>1502</v>
      </c>
      <c r="E122" s="89" t="s">
        <v>19</v>
      </c>
      <c r="F122" s="89" t="s">
        <v>28</v>
      </c>
      <c r="G122" s="89"/>
      <c r="H122" s="89" t="s">
        <v>1504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1506</v>
      </c>
      <c r="C123" s="30" t="s">
        <v>1069</v>
      </c>
      <c r="D123" t="s">
        <v>1505</v>
      </c>
      <c r="E123" s="89" t="s">
        <v>19</v>
      </c>
      <c r="F123" s="89" t="s">
        <v>28</v>
      </c>
      <c r="G123" s="89"/>
      <c r="H123" s="89" t="s">
        <v>1507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1539</v>
      </c>
      <c r="C124" s="30" t="s">
        <v>1069</v>
      </c>
      <c r="D124" t="s">
        <v>1540</v>
      </c>
      <c r="E124" s="89" t="s">
        <v>19</v>
      </c>
      <c r="F124" s="89" t="s">
        <v>28</v>
      </c>
      <c r="G124" s="89"/>
      <c r="H124" s="89" t="s">
        <v>1541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1542</v>
      </c>
      <c r="C125" s="30" t="s">
        <v>1069</v>
      </c>
      <c r="D125" t="s">
        <v>1543</v>
      </c>
      <c r="E125" s="89" t="s">
        <v>19</v>
      </c>
      <c r="F125" s="89" t="s">
        <v>28</v>
      </c>
      <c r="G125" s="89"/>
      <c r="H125" s="89" t="s">
        <v>1544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165</v>
      </c>
      <c r="B126" t="s">
        <v>166</v>
      </c>
      <c r="C126" t="s">
        <v>1069</v>
      </c>
      <c r="D126" t="s">
        <v>167</v>
      </c>
      <c r="E126" s="30" t="s">
        <v>19</v>
      </c>
      <c r="F126" s="30" t="s">
        <v>20</v>
      </c>
      <c r="G126" s="30"/>
      <c r="H126" s="30" t="s">
        <v>1417</v>
      </c>
      <c r="I126" s="31">
        <f t="shared" si="8"/>
        <v>26</v>
      </c>
      <c r="J126" s="31">
        <f t="shared" si="9"/>
        <v>2</v>
      </c>
      <c r="K126" s="32">
        <f t="shared" si="10"/>
        <v>0.9285714285714286</v>
      </c>
      <c r="L126" s="72"/>
      <c r="M126" s="72"/>
      <c r="N126" s="72"/>
      <c r="O126" s="72"/>
      <c r="P126" s="72"/>
      <c r="Q126" s="72"/>
      <c r="R126" s="72"/>
      <c r="S126" s="72"/>
      <c r="T126" s="72" t="s">
        <v>1534</v>
      </c>
      <c r="U126" s="72" t="s">
        <v>1534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169</v>
      </c>
      <c r="C127" t="s">
        <v>1069</v>
      </c>
      <c r="D127" t="s">
        <v>170</v>
      </c>
      <c r="E127" s="30" t="s">
        <v>19</v>
      </c>
      <c r="F127" s="30" t="s">
        <v>20</v>
      </c>
      <c r="G127" s="30"/>
      <c r="H127" s="30" t="s">
        <v>683</v>
      </c>
      <c r="I127" s="31">
        <f t="shared" si="8"/>
        <v>17</v>
      </c>
      <c r="J127" s="31">
        <f t="shared" si="9"/>
        <v>11</v>
      </c>
      <c r="K127" s="32">
        <f t="shared" si="10"/>
        <v>0.6071428571428571</v>
      </c>
      <c r="L127" s="72" t="s">
        <v>1534</v>
      </c>
      <c r="M127" s="72" t="s">
        <v>1534</v>
      </c>
      <c r="N127" s="72" t="s">
        <v>1534</v>
      </c>
      <c r="O127" s="72" t="s">
        <v>1534</v>
      </c>
      <c r="P127" s="72" t="s">
        <v>1534</v>
      </c>
      <c r="Q127" s="72" t="s">
        <v>1534</v>
      </c>
      <c r="R127" s="72" t="s">
        <v>1534</v>
      </c>
      <c r="S127" s="72" t="s">
        <v>1534</v>
      </c>
      <c r="T127" s="72" t="s">
        <v>1534</v>
      </c>
      <c r="U127" s="72"/>
      <c r="V127" s="72" t="s">
        <v>1534</v>
      </c>
      <c r="W127" s="72" t="s">
        <v>1534</v>
      </c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171</v>
      </c>
      <c r="C128" t="s">
        <v>1069</v>
      </c>
      <c r="D128" t="s">
        <v>172</v>
      </c>
      <c r="E128" s="30" t="s">
        <v>15</v>
      </c>
      <c r="F128" s="30" t="s">
        <v>28</v>
      </c>
      <c r="G128" s="30"/>
      <c r="H128" s="30" t="s">
        <v>684</v>
      </c>
      <c r="I128" s="31">
        <f t="shared" si="8"/>
        <v>28</v>
      </c>
      <c r="J128" s="31">
        <f t="shared" si="9"/>
        <v>0</v>
      </c>
      <c r="K128" s="32">
        <f t="shared" si="10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173</v>
      </c>
      <c r="C129" t="s">
        <v>1069</v>
      </c>
      <c r="D129" t="s">
        <v>174</v>
      </c>
      <c r="E129" s="30" t="s">
        <v>15</v>
      </c>
      <c r="F129" s="30" t="s">
        <v>28</v>
      </c>
      <c r="G129" s="30"/>
      <c r="H129" s="30" t="s">
        <v>685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175</v>
      </c>
      <c r="B130" t="s">
        <v>176</v>
      </c>
      <c r="C130" t="s">
        <v>1070</v>
      </c>
      <c r="D130" t="s">
        <v>177</v>
      </c>
      <c r="E130" s="30" t="s">
        <v>19</v>
      </c>
      <c r="F130" s="30" t="s">
        <v>20</v>
      </c>
      <c r="G130" s="30"/>
      <c r="H130" s="30" t="s">
        <v>686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178</v>
      </c>
      <c r="B131" t="s">
        <v>179</v>
      </c>
      <c r="C131" t="s">
        <v>1070</v>
      </c>
      <c r="D131" t="s">
        <v>180</v>
      </c>
      <c r="E131" s="30" t="s">
        <v>19</v>
      </c>
      <c r="F131" s="30" t="s">
        <v>20</v>
      </c>
      <c r="G131" s="30"/>
      <c r="H131" s="30" t="s">
        <v>1317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943</v>
      </c>
      <c r="C132" t="s">
        <v>1070</v>
      </c>
      <c r="D132" t="s">
        <v>181</v>
      </c>
      <c r="E132" s="30" t="s">
        <v>15</v>
      </c>
      <c r="F132" s="30" t="s">
        <v>20</v>
      </c>
      <c r="G132" s="30"/>
      <c r="H132" s="30" t="s">
        <v>687</v>
      </c>
      <c r="I132" s="31">
        <f t="shared" si="8"/>
        <v>26</v>
      </c>
      <c r="J132" s="31">
        <f t="shared" si="9"/>
        <v>2</v>
      </c>
      <c r="K132" s="32">
        <f t="shared" si="10"/>
        <v>0.9285714285714286</v>
      </c>
      <c r="L132" s="72"/>
      <c r="M132" s="72" t="s">
        <v>1534</v>
      </c>
      <c r="N132" s="72" t="s">
        <v>1534</v>
      </c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s="71" t="s">
        <v>178</v>
      </c>
      <c r="B133" t="s">
        <v>1235</v>
      </c>
      <c r="C133" t="s">
        <v>1070</v>
      </c>
      <c r="D133" t="s">
        <v>1236</v>
      </c>
      <c r="E133" t="s">
        <v>19</v>
      </c>
      <c r="F133" t="s">
        <v>28</v>
      </c>
      <c r="G133"/>
      <c r="H133" s="30" t="s">
        <v>1246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s="97" customFormat="1" ht="15.75" thickBot="1" x14ac:dyDescent="0.3">
      <c r="A134" s="97" t="s">
        <v>184</v>
      </c>
      <c r="B134" s="97" t="s">
        <v>182</v>
      </c>
      <c r="C134" s="97" t="s">
        <v>1069</v>
      </c>
      <c r="D134" s="97" t="s">
        <v>183</v>
      </c>
      <c r="E134" s="98" t="s">
        <v>19</v>
      </c>
      <c r="F134" s="98" t="s">
        <v>20</v>
      </c>
      <c r="G134" s="98"/>
      <c r="H134" s="98" t="s">
        <v>688</v>
      </c>
      <c r="I134" s="147">
        <f t="shared" si="8"/>
        <v>15</v>
      </c>
      <c r="J134" s="147">
        <f t="shared" si="9"/>
        <v>12</v>
      </c>
      <c r="K134" s="148">
        <f t="shared" si="10"/>
        <v>0.55555555555555558</v>
      </c>
      <c r="L134" s="99" t="s">
        <v>1534</v>
      </c>
      <c r="M134" s="99" t="s">
        <v>1534</v>
      </c>
      <c r="N134" s="99" t="s">
        <v>1534</v>
      </c>
      <c r="O134" s="99" t="s">
        <v>1534</v>
      </c>
      <c r="P134" s="99" t="s">
        <v>1534</v>
      </c>
      <c r="Q134" s="99" t="s">
        <v>1534</v>
      </c>
      <c r="R134" s="99" t="s">
        <v>1534</v>
      </c>
      <c r="S134" s="99" t="s">
        <v>1534</v>
      </c>
      <c r="T134" s="99" t="s">
        <v>1534</v>
      </c>
      <c r="U134" s="99" t="s">
        <v>1534</v>
      </c>
      <c r="V134" s="99" t="s">
        <v>1534</v>
      </c>
      <c r="W134" s="99" t="s">
        <v>1534</v>
      </c>
      <c r="X134" s="99"/>
      <c r="Y134" s="99"/>
      <c r="Z134" s="99"/>
      <c r="AA134" s="99"/>
      <c r="AB134" s="99"/>
      <c r="AC134" s="99"/>
      <c r="AD134" s="99"/>
      <c r="AE134" s="99" t="s">
        <v>1498</v>
      </c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</row>
    <row r="135" spans="1:42" ht="15.75" thickBot="1" x14ac:dyDescent="0.3">
      <c r="A135" t="s">
        <v>184</v>
      </c>
      <c r="B135" t="s">
        <v>944</v>
      </c>
      <c r="C135" t="s">
        <v>1069</v>
      </c>
      <c r="D135" t="s">
        <v>185</v>
      </c>
      <c r="E135" s="30" t="s">
        <v>73</v>
      </c>
      <c r="F135" s="30" t="s">
        <v>1063</v>
      </c>
      <c r="G135" s="30" t="s">
        <v>1257</v>
      </c>
      <c r="H135" s="30" t="s">
        <v>689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ht="15.75" thickBot="1" x14ac:dyDescent="0.3">
      <c r="A136" t="s">
        <v>184</v>
      </c>
      <c r="B136" t="s">
        <v>945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690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s="97" customFormat="1" ht="15.75" thickBot="1" x14ac:dyDescent="0.3">
      <c r="A137" s="97" t="s">
        <v>184</v>
      </c>
      <c r="B137" s="97" t="s">
        <v>946</v>
      </c>
      <c r="C137" s="97" t="s">
        <v>1069</v>
      </c>
      <c r="D137" s="97" t="s">
        <v>947</v>
      </c>
      <c r="E137" s="98" t="s">
        <v>73</v>
      </c>
      <c r="F137" s="98" t="s">
        <v>1063</v>
      </c>
      <c r="G137" s="98" t="s">
        <v>1257</v>
      </c>
      <c r="H137" s="98" t="s">
        <v>1222</v>
      </c>
      <c r="I137" s="31">
        <f t="shared" si="8"/>
        <v>16</v>
      </c>
      <c r="J137" s="31">
        <f t="shared" si="9"/>
        <v>12</v>
      </c>
      <c r="K137" s="32">
        <f t="shared" si="10"/>
        <v>0.5714285714285714</v>
      </c>
      <c r="L137" s="72" t="s">
        <v>1534</v>
      </c>
      <c r="M137" s="72" t="s">
        <v>1534</v>
      </c>
      <c r="N137" s="72" t="s">
        <v>1534</v>
      </c>
      <c r="O137" s="72" t="s">
        <v>1534</v>
      </c>
      <c r="P137" s="72" t="s">
        <v>1534</v>
      </c>
      <c r="Q137" s="72" t="s">
        <v>1534</v>
      </c>
      <c r="R137" s="72" t="s">
        <v>1534</v>
      </c>
      <c r="S137" s="72" t="s">
        <v>1534</v>
      </c>
      <c r="T137" s="72" t="s">
        <v>1534</v>
      </c>
      <c r="U137" s="72" t="s">
        <v>1534</v>
      </c>
      <c r="V137" s="72" t="s">
        <v>1534</v>
      </c>
      <c r="W137" s="72" t="s">
        <v>1534</v>
      </c>
      <c r="X137" s="72"/>
      <c r="Y137" s="72"/>
      <c r="Z137" s="72"/>
      <c r="AA137" s="72"/>
      <c r="AB137" s="72"/>
      <c r="AC137" s="72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</row>
    <row r="138" spans="1:42" s="97" customFormat="1" ht="16.149999999999999" customHeight="1" thickBot="1" x14ac:dyDescent="0.3">
      <c r="A138" s="97" t="s">
        <v>184</v>
      </c>
      <c r="B138" s="97" t="s">
        <v>948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1223</v>
      </c>
      <c r="I138" s="31">
        <f t="shared" si="8"/>
        <v>16</v>
      </c>
      <c r="J138" s="31">
        <f t="shared" si="9"/>
        <v>12</v>
      </c>
      <c r="K138" s="32">
        <f t="shared" si="10"/>
        <v>0.5714285714285714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 t="s">
        <v>1534</v>
      </c>
      <c r="V138" s="72" t="s">
        <v>1534</v>
      </c>
      <c r="W138" s="72" t="s">
        <v>1534</v>
      </c>
      <c r="X138" s="72"/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ht="15.75" thickBot="1" x14ac:dyDescent="0.3">
      <c r="A139" t="s">
        <v>184</v>
      </c>
      <c r="B139" t="s">
        <v>1141</v>
      </c>
      <c r="C139" t="s">
        <v>1069</v>
      </c>
      <c r="D139" t="s">
        <v>1136</v>
      </c>
      <c r="E139" s="30" t="s">
        <v>73</v>
      </c>
      <c r="F139" s="30" t="s">
        <v>1063</v>
      </c>
      <c r="G139" s="30" t="s">
        <v>1257</v>
      </c>
      <c r="H139" s="30" t="s">
        <v>1149</v>
      </c>
      <c r="I139" s="31">
        <f t="shared" si="8"/>
        <v>28</v>
      </c>
      <c r="J139" s="31">
        <f t="shared" si="9"/>
        <v>0</v>
      </c>
      <c r="K139" s="32">
        <f t="shared" si="10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184</v>
      </c>
      <c r="B140" t="s">
        <v>1142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1150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1338</v>
      </c>
      <c r="B141" t="s">
        <v>1326</v>
      </c>
      <c r="C141" s="87" t="s">
        <v>1070</v>
      </c>
      <c r="D141" t="s">
        <v>1327</v>
      </c>
      <c r="E141" s="30" t="s">
        <v>19</v>
      </c>
      <c r="F141" s="30" t="s">
        <v>1309</v>
      </c>
      <c r="G141" s="30"/>
      <c r="H141" s="30" t="s">
        <v>1341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 t="s">
        <v>1534</v>
      </c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1342</v>
      </c>
      <c r="C142" s="87" t="s">
        <v>1070</v>
      </c>
      <c r="D142" t="s">
        <v>1343</v>
      </c>
      <c r="E142" s="30"/>
      <c r="F142" s="30"/>
      <c r="G142" s="30"/>
      <c r="H142" s="30" t="s">
        <v>1513</v>
      </c>
      <c r="I142" s="31">
        <f t="shared" ref="I142:I207" si="11">COUNTIF(L142:AM142,"")</f>
        <v>27</v>
      </c>
      <c r="J142" s="31">
        <f t="shared" ref="J142:J207" si="12">COUNTIF(L142:AM142,"APAGADO")</f>
        <v>1</v>
      </c>
      <c r="K142" s="32">
        <f t="shared" ref="K142:K207" si="13">(I142)/(J142+I142)</f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949</v>
      </c>
      <c r="C143" t="s">
        <v>1070</v>
      </c>
      <c r="D143" t="s">
        <v>187</v>
      </c>
      <c r="E143" s="30" t="s">
        <v>15</v>
      </c>
      <c r="F143" s="30" t="s">
        <v>28</v>
      </c>
      <c r="G143" s="30"/>
      <c r="H143" s="30" t="s">
        <v>691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/>
      <c r="M143" s="72"/>
      <c r="N143" s="72"/>
      <c r="O143" s="72"/>
      <c r="P143" s="72" t="s">
        <v>1534</v>
      </c>
      <c r="Q143" s="72" t="s">
        <v>1534</v>
      </c>
      <c r="R143" s="72" t="s">
        <v>1534</v>
      </c>
      <c r="S143" s="72" t="s">
        <v>1534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950</v>
      </c>
      <c r="C144" t="s">
        <v>1070</v>
      </c>
      <c r="D144" t="s">
        <v>188</v>
      </c>
      <c r="E144" s="30" t="s">
        <v>15</v>
      </c>
      <c r="F144" s="30" t="s">
        <v>28</v>
      </c>
      <c r="G144" s="30"/>
      <c r="H144" s="30" t="s">
        <v>692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951</v>
      </c>
      <c r="C145" t="s">
        <v>1070</v>
      </c>
      <c r="D145" t="s">
        <v>189</v>
      </c>
      <c r="E145" s="30" t="s">
        <v>19</v>
      </c>
      <c r="F145" s="30" t="s">
        <v>28</v>
      </c>
      <c r="G145" s="30"/>
      <c r="H145" s="30" t="s">
        <v>1318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952</v>
      </c>
      <c r="C146" t="s">
        <v>1070</v>
      </c>
      <c r="D146" t="s">
        <v>190</v>
      </c>
      <c r="E146" s="30" t="s">
        <v>15</v>
      </c>
      <c r="F146" s="30" t="s">
        <v>28</v>
      </c>
      <c r="G146" s="30"/>
      <c r="H146" s="30" t="s">
        <v>693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191</v>
      </c>
      <c r="B147" t="s">
        <v>194</v>
      </c>
      <c r="C147" t="s">
        <v>1070</v>
      </c>
      <c r="D147" t="s">
        <v>195</v>
      </c>
      <c r="E147" s="30" t="s">
        <v>19</v>
      </c>
      <c r="F147" s="30" t="s">
        <v>20</v>
      </c>
      <c r="G147" s="30"/>
      <c r="H147" s="30" t="s">
        <v>1454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196</v>
      </c>
      <c r="B148" t="s">
        <v>197</v>
      </c>
      <c r="C148" t="s">
        <v>1070</v>
      </c>
      <c r="D148" t="s">
        <v>198</v>
      </c>
      <c r="E148" s="30" t="s">
        <v>19</v>
      </c>
      <c r="F148" s="30" t="s">
        <v>1063</v>
      </c>
      <c r="G148" s="30" t="s">
        <v>458</v>
      </c>
      <c r="H148" s="30" t="s">
        <v>694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200</v>
      </c>
      <c r="C149" t="s">
        <v>1070</v>
      </c>
      <c r="D149" t="s">
        <v>201</v>
      </c>
      <c r="E149" s="30" t="s">
        <v>15</v>
      </c>
      <c r="F149" s="30" t="s">
        <v>1063</v>
      </c>
      <c r="G149" s="30" t="s">
        <v>458</v>
      </c>
      <c r="H149" s="30" t="s">
        <v>695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202</v>
      </c>
      <c r="C150" t="s">
        <v>1070</v>
      </c>
      <c r="D150" t="s">
        <v>203</v>
      </c>
      <c r="E150" s="30" t="s">
        <v>19</v>
      </c>
      <c r="F150" s="30" t="s">
        <v>28</v>
      </c>
      <c r="G150" s="30"/>
      <c r="H150" s="30" t="s">
        <v>696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204</v>
      </c>
      <c r="C151" t="s">
        <v>1070</v>
      </c>
      <c r="D151" t="s">
        <v>205</v>
      </c>
      <c r="E151" s="30" t="s">
        <v>19</v>
      </c>
      <c r="F151" s="30" t="s">
        <v>28</v>
      </c>
      <c r="G151" s="30"/>
      <c r="H151" s="30" t="s">
        <v>697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206</v>
      </c>
      <c r="C152" t="s">
        <v>1070</v>
      </c>
      <c r="D152" t="s">
        <v>207</v>
      </c>
      <c r="E152" s="30" t="s">
        <v>19</v>
      </c>
      <c r="F152" s="30" t="s">
        <v>20</v>
      </c>
      <c r="G152" s="30"/>
      <c r="H152" s="30" t="s">
        <v>1440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954</v>
      </c>
      <c r="C153" t="s">
        <v>1070</v>
      </c>
      <c r="D153" t="s">
        <v>192</v>
      </c>
      <c r="E153" s="30" t="s">
        <v>15</v>
      </c>
      <c r="F153" s="30" t="s">
        <v>1063</v>
      </c>
      <c r="G153" s="30" t="s">
        <v>458</v>
      </c>
      <c r="H153" s="30" t="s">
        <v>698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193</v>
      </c>
      <c r="C154" t="s">
        <v>1070</v>
      </c>
      <c r="D154" t="s">
        <v>953</v>
      </c>
      <c r="E154" s="30" t="s">
        <v>46</v>
      </c>
      <c r="F154" s="30" t="s">
        <v>20</v>
      </c>
      <c r="G154" s="30"/>
      <c r="H154" s="30" t="s">
        <v>699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208</v>
      </c>
      <c r="C155" t="s">
        <v>1070</v>
      </c>
      <c r="D155" t="s">
        <v>209</v>
      </c>
      <c r="E155" s="30" t="s">
        <v>73</v>
      </c>
      <c r="F155" s="30" t="s">
        <v>28</v>
      </c>
      <c r="G155" s="30"/>
      <c r="H155" s="30" t="s">
        <v>700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210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701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211</v>
      </c>
      <c r="C157" t="s">
        <v>1070</v>
      </c>
      <c r="D157" t="s">
        <v>212</v>
      </c>
      <c r="E157" s="30" t="s">
        <v>73</v>
      </c>
      <c r="F157" s="30" t="s">
        <v>28</v>
      </c>
      <c r="G157" s="30"/>
      <c r="H157" s="30" t="s">
        <v>673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213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674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1177</v>
      </c>
      <c r="C159" s="30" t="s">
        <v>1070</v>
      </c>
      <c r="D159" t="s">
        <v>1160</v>
      </c>
      <c r="E159" s="30" t="s">
        <v>1121</v>
      </c>
      <c r="F159" s="30" t="s">
        <v>28</v>
      </c>
      <c r="G159" s="30"/>
      <c r="H159" s="30" t="s">
        <v>1161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1176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1162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1179</v>
      </c>
      <c r="C161" s="30" t="s">
        <v>1070</v>
      </c>
      <c r="D161" t="s">
        <v>1157</v>
      </c>
      <c r="E161" s="30" t="s">
        <v>73</v>
      </c>
      <c r="F161" s="30" t="s">
        <v>28</v>
      </c>
      <c r="G161" s="30"/>
      <c r="H161" s="30" t="s">
        <v>1158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1180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1159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1530</v>
      </c>
      <c r="D163" t="s">
        <v>1531</v>
      </c>
      <c r="E163" s="30"/>
      <c r="F163" s="30"/>
      <c r="G163" s="30"/>
      <c r="H163" s="30" t="s">
        <v>1532</v>
      </c>
      <c r="I163" s="31"/>
      <c r="J163" s="31"/>
      <c r="K163" s="3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214</v>
      </c>
      <c r="B164" t="s">
        <v>955</v>
      </c>
      <c r="C164" t="s">
        <v>1070</v>
      </c>
      <c r="D164" t="s">
        <v>215</v>
      </c>
      <c r="E164" s="30" t="s">
        <v>15</v>
      </c>
      <c r="F164" s="30" t="s">
        <v>28</v>
      </c>
      <c r="G164" s="30"/>
      <c r="H164" s="30" t="s">
        <v>703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/>
      <c r="M164" s="72"/>
      <c r="N164" s="72"/>
      <c r="O164" s="72"/>
      <c r="P164" s="72" t="s">
        <v>1534</v>
      </c>
      <c r="Q164" s="72" t="s">
        <v>1534</v>
      </c>
      <c r="R164" s="72" t="s">
        <v>1534</v>
      </c>
      <c r="S164" s="72" t="s">
        <v>1534</v>
      </c>
      <c r="T164" s="72" t="s">
        <v>1534</v>
      </c>
      <c r="U164" s="72" t="s">
        <v>1534</v>
      </c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956</v>
      </c>
      <c r="C165" t="s">
        <v>1070</v>
      </c>
      <c r="D165" t="s">
        <v>216</v>
      </c>
      <c r="E165" s="30" t="s">
        <v>15</v>
      </c>
      <c r="F165" s="30" t="s">
        <v>28</v>
      </c>
      <c r="G165" s="30"/>
      <c r="H165" s="30" t="s">
        <v>704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 t="s">
        <v>1534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s="143" customFormat="1" ht="15.75" thickBot="1" x14ac:dyDescent="0.3">
      <c r="A166" s="143" t="s">
        <v>217</v>
      </c>
      <c r="B166" s="143" t="s">
        <v>957</v>
      </c>
      <c r="C166" s="143" t="s">
        <v>1070</v>
      </c>
      <c r="D166" s="143" t="s">
        <v>218</v>
      </c>
      <c r="E166" s="91"/>
      <c r="F166" s="91" t="s">
        <v>28</v>
      </c>
      <c r="G166" s="91"/>
      <c r="H166" s="91" t="s">
        <v>705</v>
      </c>
      <c r="I166" s="144">
        <f t="shared" si="11"/>
        <v>16</v>
      </c>
      <c r="J166" s="144">
        <f t="shared" si="12"/>
        <v>12</v>
      </c>
      <c r="K166" s="145">
        <f t="shared" si="13"/>
        <v>0.5714285714285714</v>
      </c>
      <c r="L166" s="146" t="s">
        <v>1534</v>
      </c>
      <c r="M166" s="146" t="s">
        <v>1534</v>
      </c>
      <c r="N166" s="146" t="s">
        <v>1534</v>
      </c>
      <c r="O166" s="146" t="s">
        <v>1534</v>
      </c>
      <c r="P166" s="146" t="s">
        <v>1534</v>
      </c>
      <c r="Q166" s="146" t="s">
        <v>1534</v>
      </c>
      <c r="R166" s="146" t="s">
        <v>1534</v>
      </c>
      <c r="S166" s="146" t="s">
        <v>1534</v>
      </c>
      <c r="T166" s="146" t="s">
        <v>1534</v>
      </c>
      <c r="U166" s="146" t="s">
        <v>1534</v>
      </c>
      <c r="V166" s="146" t="s">
        <v>1534</v>
      </c>
      <c r="W166" s="146" t="s">
        <v>1534</v>
      </c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</row>
    <row r="167" spans="1:42" ht="15.75" thickBot="1" x14ac:dyDescent="0.3">
      <c r="A167" t="s">
        <v>229</v>
      </c>
      <c r="B167" t="s">
        <v>230</v>
      </c>
      <c r="C167" t="s">
        <v>1069</v>
      </c>
      <c r="D167" t="s">
        <v>231</v>
      </c>
      <c r="E167" s="30" t="s">
        <v>15</v>
      </c>
      <c r="F167" s="30" t="s">
        <v>20</v>
      </c>
      <c r="G167" s="30"/>
      <c r="H167" s="30" t="s">
        <v>1401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168</v>
      </c>
      <c r="B168" t="s">
        <v>232</v>
      </c>
      <c r="C168" t="s">
        <v>1069</v>
      </c>
      <c r="D168" t="s">
        <v>233</v>
      </c>
      <c r="E168" s="30" t="s">
        <v>19</v>
      </c>
      <c r="F168" s="30" t="s">
        <v>1309</v>
      </c>
      <c r="G168" s="30"/>
      <c r="H168" s="30" t="s">
        <v>1437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234</v>
      </c>
      <c r="C169" t="s">
        <v>1069</v>
      </c>
      <c r="D169" t="s">
        <v>235</v>
      </c>
      <c r="E169" s="30" t="s">
        <v>19</v>
      </c>
      <c r="F169" s="30" t="s">
        <v>20</v>
      </c>
      <c r="G169" s="30"/>
      <c r="H169" s="30" t="s">
        <v>1418</v>
      </c>
      <c r="I169" s="31">
        <f t="shared" si="11"/>
        <v>27</v>
      </c>
      <c r="J169" s="31">
        <f t="shared" si="12"/>
        <v>1</v>
      </c>
      <c r="K169" s="32">
        <f t="shared" si="13"/>
        <v>0.9642857142857143</v>
      </c>
      <c r="L169" s="72"/>
      <c r="M169" s="72"/>
      <c r="N169" s="72"/>
      <c r="O169" s="72"/>
      <c r="P169" s="72"/>
      <c r="Q169" s="72"/>
      <c r="R169" s="72"/>
      <c r="S169" s="72"/>
      <c r="T169" s="72" t="s">
        <v>1534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236</v>
      </c>
      <c r="C170" t="s">
        <v>1069</v>
      </c>
      <c r="D170" t="s">
        <v>237</v>
      </c>
      <c r="E170" s="30" t="s">
        <v>19</v>
      </c>
      <c r="F170" s="30" t="s">
        <v>20</v>
      </c>
      <c r="G170" s="30"/>
      <c r="H170" s="30" t="s">
        <v>1445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238</v>
      </c>
      <c r="C171" t="s">
        <v>1069</v>
      </c>
      <c r="D171" t="s">
        <v>239</v>
      </c>
      <c r="E171" s="30" t="s">
        <v>19</v>
      </c>
      <c r="F171" s="30" t="s">
        <v>20</v>
      </c>
      <c r="G171" s="30"/>
      <c r="H171" s="30" t="s">
        <v>1446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1534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s="97" customFormat="1" ht="15.75" thickBot="1" x14ac:dyDescent="0.3">
      <c r="A172" s="97" t="s">
        <v>219</v>
      </c>
      <c r="B172" s="97" t="s">
        <v>240</v>
      </c>
      <c r="C172" s="97" t="s">
        <v>1069</v>
      </c>
      <c r="D172" s="97" t="s">
        <v>241</v>
      </c>
      <c r="E172" s="98" t="s">
        <v>15</v>
      </c>
      <c r="F172" s="98" t="s">
        <v>20</v>
      </c>
      <c r="G172" s="98"/>
      <c r="H172" s="98" t="s">
        <v>706</v>
      </c>
      <c r="I172" s="31">
        <f t="shared" si="11"/>
        <v>16</v>
      </c>
      <c r="J172" s="31">
        <f t="shared" si="12"/>
        <v>12</v>
      </c>
      <c r="K172" s="32">
        <f t="shared" si="13"/>
        <v>0.5714285714285714</v>
      </c>
      <c r="L172" s="72" t="s">
        <v>1534</v>
      </c>
      <c r="M172" s="72" t="s">
        <v>1534</v>
      </c>
      <c r="N172" s="72" t="s">
        <v>1534</v>
      </c>
      <c r="O172" s="72" t="s">
        <v>1534</v>
      </c>
      <c r="P172" s="72" t="s">
        <v>1534</v>
      </c>
      <c r="Q172" s="72" t="s">
        <v>1534</v>
      </c>
      <c r="R172" s="72" t="s">
        <v>1534</v>
      </c>
      <c r="S172" s="72" t="s">
        <v>1534</v>
      </c>
      <c r="T172" s="72" t="s">
        <v>1534</v>
      </c>
      <c r="U172" s="72" t="s">
        <v>1534</v>
      </c>
      <c r="V172" s="72" t="s">
        <v>1534</v>
      </c>
      <c r="W172" s="72" t="s">
        <v>1534</v>
      </c>
      <c r="X172" s="72"/>
      <c r="Y172" s="72"/>
      <c r="Z172" s="72"/>
      <c r="AA172" s="72"/>
      <c r="AB172" s="72"/>
      <c r="AC172" s="72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</row>
    <row r="173" spans="1:42" ht="15.75" thickBot="1" x14ac:dyDescent="0.3">
      <c r="A173" t="s">
        <v>219</v>
      </c>
      <c r="B173" t="s">
        <v>220</v>
      </c>
      <c r="C173" t="s">
        <v>1069</v>
      </c>
      <c r="D173" t="s">
        <v>221</v>
      </c>
      <c r="E173" s="30" t="s">
        <v>15</v>
      </c>
      <c r="F173" s="30" t="s">
        <v>20</v>
      </c>
      <c r="G173" s="30"/>
      <c r="H173" s="30" t="s">
        <v>707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962</v>
      </c>
      <c r="C174" t="s">
        <v>1069</v>
      </c>
      <c r="D174" t="s">
        <v>222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1"/>
        <v>27</v>
      </c>
      <c r="J174" s="31">
        <f t="shared" si="12"/>
        <v>1</v>
      </c>
      <c r="K174" s="32">
        <f t="shared" si="13"/>
        <v>0.9642857142857143</v>
      </c>
      <c r="L174" s="72"/>
      <c r="M174" s="72"/>
      <c r="N174" s="72"/>
      <c r="O174" s="72"/>
      <c r="P174" s="72"/>
      <c r="Q174" s="72"/>
      <c r="R174" s="72"/>
      <c r="S174" s="72"/>
      <c r="T174" s="72" t="s">
        <v>1534</v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963</v>
      </c>
      <c r="C175" t="s">
        <v>1069</v>
      </c>
      <c r="D175" t="s">
        <v>223</v>
      </c>
      <c r="E175" s="30" t="s">
        <v>15</v>
      </c>
      <c r="F175" s="30" t="s">
        <v>20</v>
      </c>
      <c r="G175" s="30"/>
      <c r="H175" s="30" t="s">
        <v>1219</v>
      </c>
      <c r="I175" s="31">
        <f t="shared" si="11"/>
        <v>26</v>
      </c>
      <c r="J175" s="31">
        <f t="shared" si="12"/>
        <v>1</v>
      </c>
      <c r="K175" s="32">
        <f t="shared" si="13"/>
        <v>0.96296296296296291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 t="s">
        <v>1370</v>
      </c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224</v>
      </c>
      <c r="C176" t="s">
        <v>1069</v>
      </c>
      <c r="D176" t="s">
        <v>225</v>
      </c>
      <c r="E176" s="30" t="s">
        <v>15</v>
      </c>
      <c r="F176" s="30" t="s">
        <v>20</v>
      </c>
      <c r="G176" s="30"/>
      <c r="H176" s="30" t="s">
        <v>1415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242</v>
      </c>
      <c r="C177" t="s">
        <v>1069</v>
      </c>
      <c r="D177" t="s">
        <v>243</v>
      </c>
      <c r="E177" s="30" t="s">
        <v>15</v>
      </c>
      <c r="F177" s="30" t="s">
        <v>28</v>
      </c>
      <c r="G177" s="30"/>
      <c r="H177" s="30" t="s">
        <v>708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1534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226</v>
      </c>
      <c r="C178" t="s">
        <v>1069</v>
      </c>
      <c r="D178" t="s">
        <v>227</v>
      </c>
      <c r="E178" s="30" t="s">
        <v>73</v>
      </c>
      <c r="F178" s="30" t="s">
        <v>1063</v>
      </c>
      <c r="G178" s="30" t="s">
        <v>1257</v>
      </c>
      <c r="H178" s="30" t="s">
        <v>709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228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710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958</v>
      </c>
      <c r="C180" t="s">
        <v>1069</v>
      </c>
      <c r="D180" t="s">
        <v>244</v>
      </c>
      <c r="E180" s="30" t="s">
        <v>73</v>
      </c>
      <c r="F180" s="30" t="s">
        <v>1063</v>
      </c>
      <c r="G180" s="30" t="s">
        <v>1257</v>
      </c>
      <c r="H180" s="30" t="s">
        <v>711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959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712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960</v>
      </c>
      <c r="C182" t="s">
        <v>1069</v>
      </c>
      <c r="D182" t="s">
        <v>245</v>
      </c>
      <c r="E182" s="30" t="s">
        <v>73</v>
      </c>
      <c r="F182" s="30" t="s">
        <v>1063</v>
      </c>
      <c r="G182" s="30" t="s">
        <v>1257</v>
      </c>
      <c r="H182" s="30" t="s">
        <v>713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961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714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s="75" t="s">
        <v>219</v>
      </c>
      <c r="B184" t="s">
        <v>1238</v>
      </c>
      <c r="C184" t="s">
        <v>1069</v>
      </c>
      <c r="D184" t="s">
        <v>1237</v>
      </c>
      <c r="E184" t="s">
        <v>19</v>
      </c>
      <c r="F184" t="s">
        <v>28</v>
      </c>
      <c r="G184"/>
      <c r="H184" s="30" t="s">
        <v>1247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246</v>
      </c>
      <c r="C185" t="s">
        <v>1069</v>
      </c>
      <c r="D185" t="s">
        <v>247</v>
      </c>
      <c r="E185" s="30" t="s">
        <v>15</v>
      </c>
      <c r="F185" s="30" t="s">
        <v>1063</v>
      </c>
      <c r="G185" s="30" t="s">
        <v>45</v>
      </c>
      <c r="H185" s="30" t="s">
        <v>715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1534</v>
      </c>
      <c r="P185" s="72" t="s">
        <v>1534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248</v>
      </c>
      <c r="C186" t="s">
        <v>1069</v>
      </c>
      <c r="D186" t="s">
        <v>249</v>
      </c>
      <c r="E186" s="30" t="s">
        <v>15</v>
      </c>
      <c r="F186" s="30" t="s">
        <v>1063</v>
      </c>
      <c r="G186" s="30" t="s">
        <v>45</v>
      </c>
      <c r="H186" s="30" t="s">
        <v>716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250</v>
      </c>
      <c r="C187" t="s">
        <v>1069</v>
      </c>
      <c r="D187" t="s">
        <v>251</v>
      </c>
      <c r="E187" s="30" t="s">
        <v>15</v>
      </c>
      <c r="F187" s="30" t="s">
        <v>1063</v>
      </c>
      <c r="G187" s="30" t="s">
        <v>45</v>
      </c>
      <c r="H187" s="30" t="s">
        <v>717</v>
      </c>
      <c r="I187" s="31">
        <f t="shared" si="11"/>
        <v>24</v>
      </c>
      <c r="J187" s="31">
        <f t="shared" si="12"/>
        <v>4</v>
      </c>
      <c r="K187" s="32">
        <f t="shared" si="13"/>
        <v>0.8571428571428571</v>
      </c>
      <c r="L187" s="72" t="s">
        <v>1534</v>
      </c>
      <c r="M187" s="72" t="s">
        <v>1534</v>
      </c>
      <c r="N187" s="72" t="s">
        <v>1534</v>
      </c>
      <c r="O187" s="72" t="s">
        <v>1534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1535</v>
      </c>
      <c r="C188" t="s">
        <v>1069</v>
      </c>
      <c r="D188" t="s">
        <v>1536</v>
      </c>
      <c r="E188" s="30" t="s">
        <v>15</v>
      </c>
      <c r="F188" s="30" t="s">
        <v>28</v>
      </c>
      <c r="G188" s="30"/>
      <c r="H188" s="30" t="s">
        <v>1537</v>
      </c>
      <c r="I188" s="31"/>
      <c r="J188" s="31"/>
      <c r="K188" s="3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199</v>
      </c>
      <c r="B189" t="s">
        <v>1191</v>
      </c>
      <c r="C189" t="s">
        <v>1070</v>
      </c>
      <c r="D189" t="s">
        <v>1192</v>
      </c>
      <c r="E189" s="30" t="s">
        <v>73</v>
      </c>
      <c r="F189" s="30" t="s">
        <v>16</v>
      </c>
      <c r="G189" s="30"/>
      <c r="H189" s="30" t="s">
        <v>1278</v>
      </c>
      <c r="I189" s="31">
        <f t="shared" si="11"/>
        <v>20</v>
      </c>
      <c r="J189" s="31">
        <f t="shared" si="12"/>
        <v>8</v>
      </c>
      <c r="K189" s="32">
        <f t="shared" si="13"/>
        <v>0.7142857142857143</v>
      </c>
      <c r="L189" s="72"/>
      <c r="M189" s="72"/>
      <c r="N189" s="72"/>
      <c r="O189" s="72" t="s">
        <v>1534</v>
      </c>
      <c r="P189" s="72"/>
      <c r="Q189" s="72" t="s">
        <v>1534</v>
      </c>
      <c r="R189" s="72" t="s">
        <v>1534</v>
      </c>
      <c r="S189" s="72" t="s">
        <v>1534</v>
      </c>
      <c r="T189" s="72" t="s">
        <v>1534</v>
      </c>
      <c r="U189" s="72" t="s">
        <v>1534</v>
      </c>
      <c r="V189" s="72" t="s">
        <v>1534</v>
      </c>
      <c r="W189" s="72" t="s">
        <v>1534</v>
      </c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1193</v>
      </c>
      <c r="C190" t="s">
        <v>1070</v>
      </c>
      <c r="D190" t="s">
        <v>1194</v>
      </c>
      <c r="E190" s="30" t="s">
        <v>73</v>
      </c>
      <c r="F190" s="30" t="s">
        <v>20</v>
      </c>
      <c r="G190" s="30"/>
      <c r="H190" s="30" t="s">
        <v>1279</v>
      </c>
      <c r="I190" s="31">
        <f t="shared" si="11"/>
        <v>20</v>
      </c>
      <c r="J190" s="31">
        <f t="shared" si="12"/>
        <v>8</v>
      </c>
      <c r="K190" s="32">
        <f t="shared" si="13"/>
        <v>0.7142857142857143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 t="s">
        <v>1534</v>
      </c>
      <c r="V190" s="72" t="s">
        <v>1534</v>
      </c>
      <c r="W190" s="72" t="s">
        <v>1534</v>
      </c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1455</v>
      </c>
      <c r="B191" t="s">
        <v>964</v>
      </c>
      <c r="C191" t="s">
        <v>1069</v>
      </c>
      <c r="D191" t="s">
        <v>1093</v>
      </c>
      <c r="E191" s="30" t="s">
        <v>19</v>
      </c>
      <c r="F191" s="30" t="s">
        <v>20</v>
      </c>
      <c r="G191" s="30"/>
      <c r="H191" s="30" t="s">
        <v>1444</v>
      </c>
      <c r="I191" s="31">
        <f t="shared" si="11"/>
        <v>28</v>
      </c>
      <c r="J191" s="31">
        <f t="shared" si="12"/>
        <v>0</v>
      </c>
      <c r="K191" s="32">
        <f t="shared" si="13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168</v>
      </c>
      <c r="B192" t="s">
        <v>252</v>
      </c>
      <c r="C192" t="s">
        <v>1069</v>
      </c>
      <c r="D192" t="s">
        <v>253</v>
      </c>
      <c r="E192" s="30" t="s">
        <v>19</v>
      </c>
      <c r="F192" s="30" t="s">
        <v>1309</v>
      </c>
      <c r="G192" s="30"/>
      <c r="H192" s="30" t="s">
        <v>1425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255</v>
      </c>
      <c r="C193" t="s">
        <v>1069</v>
      </c>
      <c r="D193" t="s">
        <v>256</v>
      </c>
      <c r="E193" s="30" t="s">
        <v>73</v>
      </c>
      <c r="F193" s="30" t="s">
        <v>28</v>
      </c>
      <c r="G193" s="30"/>
      <c r="H193" s="30" t="s">
        <v>718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257</v>
      </c>
      <c r="C194" t="s">
        <v>1069</v>
      </c>
      <c r="D194" t="s">
        <v>256</v>
      </c>
      <c r="E194" s="30" t="s">
        <v>46</v>
      </c>
      <c r="F194" s="30" t="s">
        <v>28</v>
      </c>
      <c r="G194" s="30"/>
      <c r="H194" s="30" t="s">
        <v>702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1332</v>
      </c>
      <c r="C195" t="s">
        <v>1069</v>
      </c>
      <c r="D195" t="s">
        <v>1336</v>
      </c>
      <c r="E195" s="30" t="s">
        <v>15</v>
      </c>
      <c r="F195" s="30" t="s">
        <v>1309</v>
      </c>
      <c r="G195" s="30"/>
      <c r="H195" s="30" t="s">
        <v>1337</v>
      </c>
      <c r="I195" s="31">
        <f t="shared" si="11"/>
        <v>17</v>
      </c>
      <c r="J195" s="31">
        <f t="shared" si="12"/>
        <v>11</v>
      </c>
      <c r="K195" s="32">
        <f t="shared" si="13"/>
        <v>0.6071428571428571</v>
      </c>
      <c r="L195" s="72"/>
      <c r="M195" s="72" t="s">
        <v>1534</v>
      </c>
      <c r="N195" s="72" t="s">
        <v>1534</v>
      </c>
      <c r="O195" s="72" t="s">
        <v>1534</v>
      </c>
      <c r="P195" s="72" t="s">
        <v>1534</v>
      </c>
      <c r="Q195" s="72" t="s">
        <v>1534</v>
      </c>
      <c r="R195" s="72" t="s">
        <v>1534</v>
      </c>
      <c r="S195" s="72" t="s">
        <v>1534</v>
      </c>
      <c r="T195" s="72" t="s">
        <v>1534</v>
      </c>
      <c r="U195" s="72" t="s">
        <v>1534</v>
      </c>
      <c r="V195" s="72" t="s">
        <v>1534</v>
      </c>
      <c r="W195" s="72" t="s">
        <v>1534</v>
      </c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1429</v>
      </c>
      <c r="C196" t="s">
        <v>1069</v>
      </c>
      <c r="D196" t="s">
        <v>1430</v>
      </c>
      <c r="E196" s="92"/>
      <c r="F196" s="89" t="s">
        <v>28</v>
      </c>
      <c r="G196" s="89"/>
      <c r="H196" s="89" t="s">
        <v>1431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Y196" s="72"/>
    </row>
    <row r="197" spans="1:42" ht="15.75" thickBot="1" x14ac:dyDescent="0.3">
      <c r="A197" t="s">
        <v>258</v>
      </c>
      <c r="B197" t="s">
        <v>965</v>
      </c>
      <c r="C197" t="s">
        <v>1070</v>
      </c>
      <c r="D197" t="s">
        <v>259</v>
      </c>
      <c r="E197" s="30" t="s">
        <v>15</v>
      </c>
      <c r="F197" s="30" t="s">
        <v>28</v>
      </c>
      <c r="G197" s="30"/>
      <c r="H197" s="30" t="s">
        <v>719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258</v>
      </c>
      <c r="B198" t="s">
        <v>260</v>
      </c>
      <c r="C198" t="s">
        <v>1070</v>
      </c>
      <c r="D198" t="s">
        <v>261</v>
      </c>
      <c r="E198" s="30" t="s">
        <v>73</v>
      </c>
      <c r="F198" s="30" t="s">
        <v>28</v>
      </c>
      <c r="G198" s="30"/>
      <c r="H198" s="30" t="s">
        <v>720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262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721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966</v>
      </c>
      <c r="C200" t="s">
        <v>1069</v>
      </c>
      <c r="D200" t="s">
        <v>272</v>
      </c>
      <c r="E200" s="30" t="s">
        <v>73</v>
      </c>
      <c r="F200" s="30" t="s">
        <v>28</v>
      </c>
      <c r="G200" s="30"/>
      <c r="H200" s="30" t="s">
        <v>726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967</v>
      </c>
      <c r="C201" t="s">
        <v>1069</v>
      </c>
      <c r="D201" t="s">
        <v>1094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968</v>
      </c>
      <c r="C202" t="s">
        <v>1069</v>
      </c>
      <c r="D202" t="s">
        <v>279</v>
      </c>
      <c r="E202" s="30" t="s">
        <v>19</v>
      </c>
      <c r="F202" s="30" t="s">
        <v>28</v>
      </c>
      <c r="G202" s="30"/>
      <c r="H202" s="30" t="s">
        <v>1495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969</v>
      </c>
      <c r="C203" t="s">
        <v>1069</v>
      </c>
      <c r="D203" t="s">
        <v>282</v>
      </c>
      <c r="E203" s="30" t="s">
        <v>73</v>
      </c>
      <c r="F203" s="30" t="s">
        <v>28</v>
      </c>
      <c r="G203" s="30"/>
      <c r="H203" s="30" t="s">
        <v>730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970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731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971</v>
      </c>
      <c r="C205" t="s">
        <v>1069</v>
      </c>
      <c r="D205" t="s">
        <v>263</v>
      </c>
      <c r="E205" s="30" t="s">
        <v>46</v>
      </c>
      <c r="F205" s="30" t="s">
        <v>28</v>
      </c>
      <c r="G205" s="30"/>
      <c r="H205" s="30" t="s">
        <v>722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264</v>
      </c>
      <c r="B206" t="s">
        <v>265</v>
      </c>
      <c r="C206" t="s">
        <v>1069</v>
      </c>
      <c r="D206" t="s">
        <v>266</v>
      </c>
      <c r="E206" s="30" t="s">
        <v>19</v>
      </c>
      <c r="F206" s="30" t="s">
        <v>28</v>
      </c>
      <c r="G206" s="30"/>
      <c r="H206" s="30" t="s">
        <v>723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268</v>
      </c>
      <c r="C207" t="s">
        <v>1069</v>
      </c>
      <c r="D207" t="s">
        <v>269</v>
      </c>
      <c r="E207" s="30" t="s">
        <v>73</v>
      </c>
      <c r="F207" s="30" t="s">
        <v>28</v>
      </c>
      <c r="G207" s="30"/>
      <c r="H207" s="30" t="s">
        <v>724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270</v>
      </c>
      <c r="C208" t="s">
        <v>1069</v>
      </c>
      <c r="D208" t="s">
        <v>271</v>
      </c>
      <c r="E208" s="30" t="s">
        <v>46</v>
      </c>
      <c r="F208" s="30" t="s">
        <v>28</v>
      </c>
      <c r="G208" s="30"/>
      <c r="H208" s="30" t="s">
        <v>725</v>
      </c>
      <c r="I208" s="31">
        <f t="shared" ref="I208:I273" si="14">COUNTIF(L208:AM208,"")</f>
        <v>28</v>
      </c>
      <c r="J208" s="31">
        <f t="shared" ref="J208:J273" si="15">COUNTIF(L208:AM208,"APAGADO")</f>
        <v>0</v>
      </c>
      <c r="K208" s="32">
        <f t="shared" ref="K208:K273" si="16">(I208)/(J208+I208)</f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273</v>
      </c>
      <c r="C209" t="s">
        <v>1069</v>
      </c>
      <c r="D209" t="s">
        <v>274</v>
      </c>
      <c r="E209" s="30" t="s">
        <v>19</v>
      </c>
      <c r="F209" s="30" t="s">
        <v>28</v>
      </c>
      <c r="G209" s="30"/>
      <c r="H209" s="30" t="s">
        <v>727</v>
      </c>
      <c r="I209" s="31">
        <f t="shared" si="14"/>
        <v>28</v>
      </c>
      <c r="J209" s="31">
        <f t="shared" si="15"/>
        <v>0</v>
      </c>
      <c r="K209" s="32">
        <f t="shared" si="16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275</v>
      </c>
      <c r="C210" t="s">
        <v>1069</v>
      </c>
      <c r="D210" t="s">
        <v>276</v>
      </c>
      <c r="E210" s="30" t="s">
        <v>19</v>
      </c>
      <c r="F210" s="30" t="s">
        <v>28</v>
      </c>
      <c r="G210" s="30"/>
      <c r="H210" s="30" t="s">
        <v>716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277</v>
      </c>
      <c r="C211" t="s">
        <v>1069</v>
      </c>
      <c r="D211" t="s">
        <v>278</v>
      </c>
      <c r="E211" s="30" t="s">
        <v>19</v>
      </c>
      <c r="F211" s="30" t="s">
        <v>28</v>
      </c>
      <c r="G211" s="30"/>
      <c r="H211" s="30" t="s">
        <v>1453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280</v>
      </c>
      <c r="C212" t="s">
        <v>1069</v>
      </c>
      <c r="D212" t="s">
        <v>281</v>
      </c>
      <c r="E212" s="17"/>
      <c r="F212" s="30" t="s">
        <v>28</v>
      </c>
      <c r="G212" s="30"/>
      <c r="H212" s="30" t="s">
        <v>729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283</v>
      </c>
      <c r="C213" t="s">
        <v>1069</v>
      </c>
      <c r="D213" t="s">
        <v>284</v>
      </c>
      <c r="E213" s="30" t="s">
        <v>15</v>
      </c>
      <c r="F213" s="30" t="s">
        <v>28</v>
      </c>
      <c r="G213" s="30"/>
      <c r="H213" s="30" t="s">
        <v>732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s="30" t="s">
        <v>1218</v>
      </c>
      <c r="C214" s="30" t="s">
        <v>1069</v>
      </c>
      <c r="D214" t="s">
        <v>1213</v>
      </c>
      <c r="E214" s="30" t="s">
        <v>15</v>
      </c>
      <c r="F214" s="30" t="s">
        <v>28</v>
      </c>
      <c r="G214" s="30"/>
      <c r="H214" s="30" t="s">
        <v>1214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s="97" customFormat="1" ht="15.75" thickBot="1" x14ac:dyDescent="0.3">
      <c r="A215" s="97" t="s">
        <v>287</v>
      </c>
      <c r="B215" s="97" t="s">
        <v>972</v>
      </c>
      <c r="C215" s="97" t="s">
        <v>1070</v>
      </c>
      <c r="D215" s="97" t="s">
        <v>1095</v>
      </c>
      <c r="E215" s="98" t="s">
        <v>19</v>
      </c>
      <c r="F215" s="98" t="s">
        <v>20</v>
      </c>
      <c r="G215" s="98"/>
      <c r="H215" s="98" t="s">
        <v>733</v>
      </c>
      <c r="I215" s="31">
        <f t="shared" si="14"/>
        <v>16</v>
      </c>
      <c r="J215" s="31">
        <f t="shared" si="15"/>
        <v>12</v>
      </c>
      <c r="K215" s="32">
        <f t="shared" si="16"/>
        <v>0.5714285714285714</v>
      </c>
      <c r="L215" s="72" t="s">
        <v>1534</v>
      </c>
      <c r="M215" s="72" t="s">
        <v>1534</v>
      </c>
      <c r="N215" s="72" t="s">
        <v>1534</v>
      </c>
      <c r="O215" s="72" t="s">
        <v>1534</v>
      </c>
      <c r="P215" s="72" t="s">
        <v>1534</v>
      </c>
      <c r="Q215" s="72" t="s">
        <v>1534</v>
      </c>
      <c r="R215" s="72" t="s">
        <v>1534</v>
      </c>
      <c r="S215" s="72" t="s">
        <v>1534</v>
      </c>
      <c r="T215" s="72" t="s">
        <v>1534</v>
      </c>
      <c r="U215" s="72" t="s">
        <v>1534</v>
      </c>
      <c r="V215" s="72" t="s">
        <v>1534</v>
      </c>
      <c r="W215" s="72" t="s">
        <v>1534</v>
      </c>
      <c r="X215" s="72"/>
      <c r="Y215" s="72"/>
      <c r="Z215" s="72"/>
      <c r="AA215" s="72"/>
      <c r="AB215" s="72"/>
      <c r="AC215" s="72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</row>
    <row r="216" spans="1:42" ht="15.75" thickBot="1" x14ac:dyDescent="0.3">
      <c r="A216" t="s">
        <v>229</v>
      </c>
      <c r="B216" t="s">
        <v>285</v>
      </c>
      <c r="C216" t="s">
        <v>1070</v>
      </c>
      <c r="D216" t="s">
        <v>286</v>
      </c>
      <c r="E216" s="30" t="s">
        <v>15</v>
      </c>
      <c r="F216" s="30" t="s">
        <v>1063</v>
      </c>
      <c r="G216" s="30"/>
      <c r="H216" s="30" t="s">
        <v>1071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287</v>
      </c>
      <c r="B217" t="s">
        <v>288</v>
      </c>
      <c r="C217" t="s">
        <v>1070</v>
      </c>
      <c r="D217" t="s">
        <v>289</v>
      </c>
      <c r="E217" s="30" t="s">
        <v>15</v>
      </c>
      <c r="F217" s="30" t="s">
        <v>28</v>
      </c>
      <c r="G217" s="30"/>
      <c r="H217" s="30" t="s">
        <v>734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/>
      <c r="M217" s="72"/>
      <c r="N217" s="72"/>
      <c r="O217" s="72"/>
      <c r="P217" s="72" t="s">
        <v>1534</v>
      </c>
      <c r="Q217" s="72" t="s">
        <v>1534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12</v>
      </c>
      <c r="B218" s="33" t="s">
        <v>13</v>
      </c>
      <c r="C218" t="s">
        <v>1070</v>
      </c>
      <c r="D218" t="s">
        <v>14</v>
      </c>
      <c r="E218" s="30" t="s">
        <v>15</v>
      </c>
      <c r="F218" s="30" t="s">
        <v>1063</v>
      </c>
      <c r="G218" s="30"/>
      <c r="H218" s="30" t="s">
        <v>735</v>
      </c>
      <c r="I218" s="31">
        <f t="shared" si="14"/>
        <v>16</v>
      </c>
      <c r="J218" s="31">
        <f t="shared" si="15"/>
        <v>12</v>
      </c>
      <c r="K218" s="32">
        <f t="shared" si="16"/>
        <v>0.5714285714285714</v>
      </c>
      <c r="L218" s="72" t="s">
        <v>1534</v>
      </c>
      <c r="M218" s="72" t="s">
        <v>1534</v>
      </c>
      <c r="N218" s="72" t="s">
        <v>1534</v>
      </c>
      <c r="O218" s="72" t="s">
        <v>1534</v>
      </c>
      <c r="P218" s="72" t="s">
        <v>1534</v>
      </c>
      <c r="Q218" s="72" t="s">
        <v>1534</v>
      </c>
      <c r="R218" s="72" t="s">
        <v>1534</v>
      </c>
      <c r="S218" s="72" t="s">
        <v>1534</v>
      </c>
      <c r="T218" s="72" t="s">
        <v>1534</v>
      </c>
      <c r="U218" s="72" t="s">
        <v>1534</v>
      </c>
      <c r="V218" s="72" t="s">
        <v>1534</v>
      </c>
      <c r="W218" s="72" t="s">
        <v>1534</v>
      </c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375</v>
      </c>
      <c r="B219" t="s">
        <v>973</v>
      </c>
      <c r="C219" t="s">
        <v>1070</v>
      </c>
      <c r="D219" t="s">
        <v>974</v>
      </c>
      <c r="E219" s="30" t="s">
        <v>73</v>
      </c>
      <c r="F219" s="30" t="s">
        <v>28</v>
      </c>
      <c r="G219" s="30"/>
      <c r="H219" s="30" t="s">
        <v>1224</v>
      </c>
      <c r="I219" s="31">
        <f t="shared" si="14"/>
        <v>23</v>
      </c>
      <c r="J219" s="31">
        <f t="shared" si="15"/>
        <v>5</v>
      </c>
      <c r="K219" s="32">
        <f t="shared" si="16"/>
        <v>0.8214285714285714</v>
      </c>
      <c r="L219" s="72"/>
      <c r="M219" s="72"/>
      <c r="N219" s="72"/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975</v>
      </c>
      <c r="B220" t="s">
        <v>976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1225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18</v>
      </c>
      <c r="C221" t="s">
        <v>1070</v>
      </c>
      <c r="D221" t="s">
        <v>1096</v>
      </c>
      <c r="E221" s="30" t="s">
        <v>19</v>
      </c>
      <c r="F221" s="30" t="s">
        <v>1309</v>
      </c>
      <c r="G221" s="30"/>
      <c r="H221" s="30" t="s">
        <v>1387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21</v>
      </c>
      <c r="C222" t="s">
        <v>1070</v>
      </c>
      <c r="D222" t="s">
        <v>22</v>
      </c>
      <c r="E222" s="30" t="s">
        <v>19</v>
      </c>
      <c r="F222" s="30" t="s">
        <v>28</v>
      </c>
      <c r="G222" s="30"/>
      <c r="H222" s="30" t="s">
        <v>1388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23</v>
      </c>
      <c r="C223" t="s">
        <v>1070</v>
      </c>
      <c r="D223" t="s">
        <v>610</v>
      </c>
      <c r="E223" s="30" t="s">
        <v>15</v>
      </c>
      <c r="F223" s="30" t="s">
        <v>1063</v>
      </c>
      <c r="G223" s="30" t="s">
        <v>1262</v>
      </c>
      <c r="H223" s="30" t="s">
        <v>736</v>
      </c>
      <c r="I223" s="31">
        <f t="shared" si="14"/>
        <v>18</v>
      </c>
      <c r="J223" s="31">
        <f t="shared" si="15"/>
        <v>10</v>
      </c>
      <c r="K223" s="32">
        <f t="shared" si="16"/>
        <v>0.6428571428571429</v>
      </c>
      <c r="L223" s="72" t="s">
        <v>1534</v>
      </c>
      <c r="M223" s="72" t="s">
        <v>1534</v>
      </c>
      <c r="N223" s="72" t="s">
        <v>1534</v>
      </c>
      <c r="O223" s="72" t="s">
        <v>1534</v>
      </c>
      <c r="P223" s="72" t="s">
        <v>1534</v>
      </c>
      <c r="Q223" s="72" t="s">
        <v>1534</v>
      </c>
      <c r="R223" s="72" t="s">
        <v>1534</v>
      </c>
      <c r="S223" s="72" t="s">
        <v>1534</v>
      </c>
      <c r="T223" s="72" t="s">
        <v>1534</v>
      </c>
      <c r="U223" s="72"/>
      <c r="V223" s="72" t="s">
        <v>1534</v>
      </c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24</v>
      </c>
      <c r="C224" t="s">
        <v>1070</v>
      </c>
      <c r="D224" t="s">
        <v>25</v>
      </c>
      <c r="E224" s="30" t="s">
        <v>15</v>
      </c>
      <c r="F224" s="30" t="s">
        <v>20</v>
      </c>
      <c r="G224" s="30"/>
      <c r="H224" s="30" t="s">
        <v>737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2.75" customHeight="1" thickBot="1" x14ac:dyDescent="0.3">
      <c r="A225" s="71"/>
      <c r="B225" t="s">
        <v>1239</v>
      </c>
      <c r="C225" t="s">
        <v>1069</v>
      </c>
      <c r="D225" t="s">
        <v>1240</v>
      </c>
      <c r="E225" t="s">
        <v>19</v>
      </c>
      <c r="F225" t="s">
        <v>28</v>
      </c>
      <c r="G225"/>
      <c r="H225" s="30" t="s">
        <v>1280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1325</v>
      </c>
      <c r="C226" t="s">
        <v>1069</v>
      </c>
      <c r="D226" t="s">
        <v>1328</v>
      </c>
      <c r="E226" s="30" t="s">
        <v>15</v>
      </c>
      <c r="F226" s="30" t="s">
        <v>28</v>
      </c>
      <c r="G226"/>
      <c r="H226" s="30" t="s">
        <v>1340</v>
      </c>
      <c r="I226" s="31">
        <f t="shared" si="14"/>
        <v>16</v>
      </c>
      <c r="J226" s="31">
        <f t="shared" si="15"/>
        <v>12</v>
      </c>
      <c r="K226" s="32">
        <f t="shared" si="16"/>
        <v>0.5714285714285714</v>
      </c>
      <c r="L226" s="72" t="s">
        <v>1534</v>
      </c>
      <c r="M226" s="72" t="s">
        <v>1534</v>
      </c>
      <c r="N226" s="72" t="s">
        <v>1534</v>
      </c>
      <c r="O226" s="72" t="s">
        <v>1534</v>
      </c>
      <c r="P226" s="72" t="s">
        <v>1534</v>
      </c>
      <c r="Q226" s="72" t="s">
        <v>1534</v>
      </c>
      <c r="R226" s="72" t="s">
        <v>1534</v>
      </c>
      <c r="S226" s="72" t="s">
        <v>1534</v>
      </c>
      <c r="T226" s="72" t="s">
        <v>1534</v>
      </c>
      <c r="U226" s="72" t="s">
        <v>1534</v>
      </c>
      <c r="V226" s="72" t="s">
        <v>1534</v>
      </c>
      <c r="W226" s="72" t="s">
        <v>1534</v>
      </c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290</v>
      </c>
      <c r="B227" t="s">
        <v>977</v>
      </c>
      <c r="C227" t="s">
        <v>1069</v>
      </c>
      <c r="D227" t="s">
        <v>291</v>
      </c>
      <c r="E227" s="30" t="s">
        <v>73</v>
      </c>
      <c r="F227" s="30" t="s">
        <v>28</v>
      </c>
      <c r="G227" s="30"/>
      <c r="H227" s="30" t="s">
        <v>738</v>
      </c>
      <c r="I227" s="31">
        <f t="shared" si="14"/>
        <v>25</v>
      </c>
      <c r="J227" s="31">
        <f t="shared" si="15"/>
        <v>3</v>
      </c>
      <c r="K227" s="32">
        <f t="shared" si="16"/>
        <v>0.8928571428571429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 t="s">
        <v>1534</v>
      </c>
      <c r="V227" s="72" t="s">
        <v>1534</v>
      </c>
      <c r="W227" s="72" t="s">
        <v>1534</v>
      </c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267</v>
      </c>
      <c r="B228" t="s">
        <v>292</v>
      </c>
      <c r="C228" t="s">
        <v>1069</v>
      </c>
      <c r="D228" t="s">
        <v>293</v>
      </c>
      <c r="E228" s="30" t="s">
        <v>73</v>
      </c>
      <c r="F228" s="30" t="s">
        <v>28</v>
      </c>
      <c r="G228" s="30"/>
      <c r="H228" s="30" t="s">
        <v>1067</v>
      </c>
      <c r="I228" s="31">
        <f t="shared" si="14"/>
        <v>28</v>
      </c>
      <c r="J228" s="31">
        <f t="shared" si="15"/>
        <v>0</v>
      </c>
      <c r="K228" s="32">
        <f t="shared" si="16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978</v>
      </c>
      <c r="C229" t="s">
        <v>1069</v>
      </c>
      <c r="D229" t="s">
        <v>295</v>
      </c>
      <c r="E229" s="30" t="s">
        <v>19</v>
      </c>
      <c r="F229" s="30" t="s">
        <v>28</v>
      </c>
      <c r="G229" s="30"/>
      <c r="H229" s="30" t="s">
        <v>739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296</v>
      </c>
      <c r="C230" t="s">
        <v>1069</v>
      </c>
      <c r="D230" t="s">
        <v>297</v>
      </c>
      <c r="E230" s="30" t="s">
        <v>19</v>
      </c>
      <c r="F230" s="30" t="s">
        <v>28</v>
      </c>
      <c r="G230" s="30"/>
      <c r="H230" s="30" t="s">
        <v>740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979</v>
      </c>
      <c r="C231" t="s">
        <v>1069</v>
      </c>
      <c r="D231" t="s">
        <v>298</v>
      </c>
      <c r="E231" s="30" t="s">
        <v>19</v>
      </c>
      <c r="F231" s="30" t="s">
        <v>28</v>
      </c>
      <c r="G231" s="30"/>
      <c r="H231" s="30" t="s">
        <v>741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299</v>
      </c>
      <c r="C232" t="s">
        <v>1069</v>
      </c>
      <c r="D232" t="s">
        <v>300</v>
      </c>
      <c r="E232" s="30" t="s">
        <v>15</v>
      </c>
      <c r="F232" s="30" t="s">
        <v>20</v>
      </c>
      <c r="G232" s="30"/>
      <c r="H232" s="30" t="s">
        <v>742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1253</v>
      </c>
      <c r="C233" t="s">
        <v>1069</v>
      </c>
      <c r="D233" t="s">
        <v>1254</v>
      </c>
      <c r="E233" s="30" t="s">
        <v>19</v>
      </c>
      <c r="F233" s="30" t="s">
        <v>1063</v>
      </c>
      <c r="G233" s="30"/>
      <c r="H233" s="30" t="s">
        <v>1255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1292</v>
      </c>
      <c r="C234" t="s">
        <v>1069</v>
      </c>
      <c r="D234" t="s">
        <v>1293</v>
      </c>
      <c r="E234" s="30" t="s">
        <v>19</v>
      </c>
      <c r="F234" s="30" t="s">
        <v>1063</v>
      </c>
      <c r="G234" s="30"/>
      <c r="H234" s="30" t="s">
        <v>1369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302</v>
      </c>
      <c r="C235" t="s">
        <v>1069</v>
      </c>
      <c r="D235" t="s">
        <v>303</v>
      </c>
      <c r="E235" s="30" t="s">
        <v>73</v>
      </c>
      <c r="F235" s="30" t="s">
        <v>28</v>
      </c>
      <c r="G235" s="30"/>
      <c r="H235" s="30" t="s">
        <v>743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304</v>
      </c>
      <c r="C236" t="s">
        <v>1069</v>
      </c>
      <c r="D236" t="s">
        <v>305</v>
      </c>
      <c r="E236" s="30" t="s">
        <v>19</v>
      </c>
      <c r="F236" s="30" t="s">
        <v>20</v>
      </c>
      <c r="G236" s="30"/>
      <c r="H236" s="30" t="s">
        <v>744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306</v>
      </c>
      <c r="C237" t="s">
        <v>1069</v>
      </c>
      <c r="D237" t="s">
        <v>307</v>
      </c>
      <c r="E237" s="30" t="s">
        <v>19</v>
      </c>
      <c r="F237" s="30" t="s">
        <v>20</v>
      </c>
      <c r="G237" s="30"/>
      <c r="H237" s="30" t="s">
        <v>1514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308</v>
      </c>
      <c r="C238" t="s">
        <v>1069</v>
      </c>
      <c r="D238" t="s">
        <v>309</v>
      </c>
      <c r="E238" s="30" t="s">
        <v>19</v>
      </c>
      <c r="F238" s="30" t="s">
        <v>1309</v>
      </c>
      <c r="G238" s="30"/>
      <c r="H238" s="30" t="s">
        <v>1515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1509</v>
      </c>
      <c r="C239" t="s">
        <v>1069</v>
      </c>
      <c r="D239" t="s">
        <v>1508</v>
      </c>
      <c r="E239" s="30" t="s">
        <v>73</v>
      </c>
      <c r="F239" s="30" t="s">
        <v>28</v>
      </c>
      <c r="G239" s="30"/>
      <c r="H239" s="30" t="s">
        <v>1510</v>
      </c>
      <c r="I239" s="31"/>
      <c r="J239" s="31"/>
      <c r="K239" s="3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1511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1516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980</v>
      </c>
      <c r="C241" t="s">
        <v>1069</v>
      </c>
      <c r="D241" t="s">
        <v>313</v>
      </c>
      <c r="E241" s="30" t="s">
        <v>19</v>
      </c>
      <c r="F241" s="30" t="s">
        <v>28</v>
      </c>
      <c r="G241" s="30"/>
      <c r="H241" s="30" t="s">
        <v>745</v>
      </c>
      <c r="I241" s="31">
        <f t="shared" si="14"/>
        <v>25</v>
      </c>
      <c r="J241" s="31">
        <f t="shared" si="15"/>
        <v>3</v>
      </c>
      <c r="K241" s="32">
        <f t="shared" si="16"/>
        <v>0.8928571428571429</v>
      </c>
      <c r="L241" s="72"/>
      <c r="M241" s="72"/>
      <c r="N241" s="72"/>
      <c r="O241" s="72" t="s">
        <v>1534</v>
      </c>
      <c r="P241" s="72"/>
      <c r="Q241" s="72"/>
      <c r="R241" s="72" t="s">
        <v>1534</v>
      </c>
      <c r="S241" s="72"/>
      <c r="T241" s="72"/>
      <c r="U241" s="72" t="s">
        <v>1534</v>
      </c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314</v>
      </c>
      <c r="C242" t="s">
        <v>1069</v>
      </c>
      <c r="D242" t="s">
        <v>315</v>
      </c>
      <c r="E242" s="30" t="s">
        <v>19</v>
      </c>
      <c r="F242" s="30" t="s">
        <v>28</v>
      </c>
      <c r="G242" s="30"/>
      <c r="H242" s="30" t="s">
        <v>1382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316</v>
      </c>
      <c r="C243" t="s">
        <v>1069</v>
      </c>
      <c r="D243" t="s">
        <v>317</v>
      </c>
      <c r="E243" s="30" t="s">
        <v>19</v>
      </c>
      <c r="F243" s="30" t="s">
        <v>1063</v>
      </c>
      <c r="G243" s="30" t="s">
        <v>1263</v>
      </c>
      <c r="H243" s="30" t="s">
        <v>746</v>
      </c>
      <c r="I243" s="31">
        <f t="shared" si="14"/>
        <v>26</v>
      </c>
      <c r="J243" s="31">
        <f t="shared" si="15"/>
        <v>2</v>
      </c>
      <c r="K243" s="32">
        <f t="shared" si="16"/>
        <v>0.9285714285714286</v>
      </c>
      <c r="L243" s="72"/>
      <c r="M243" s="72"/>
      <c r="N243" s="72"/>
      <c r="O243" s="72"/>
      <c r="P243" s="72"/>
      <c r="Q243" s="72"/>
      <c r="R243" s="72" t="s">
        <v>1534</v>
      </c>
      <c r="S243" s="72"/>
      <c r="T243" s="72"/>
      <c r="U243" s="72" t="s">
        <v>1534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318</v>
      </c>
      <c r="C244" t="s">
        <v>1069</v>
      </c>
      <c r="D244" t="s">
        <v>319</v>
      </c>
      <c r="E244" s="30" t="s">
        <v>19</v>
      </c>
      <c r="F244" s="30" t="s">
        <v>28</v>
      </c>
      <c r="G244" s="30"/>
      <c r="H244" s="30" t="s">
        <v>1372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320</v>
      </c>
      <c r="B245" t="s">
        <v>321</v>
      </c>
      <c r="C245" t="s">
        <v>1069</v>
      </c>
      <c r="D245" t="s">
        <v>322</v>
      </c>
      <c r="E245" s="30" t="s">
        <v>19</v>
      </c>
      <c r="F245" s="30" t="s">
        <v>28</v>
      </c>
      <c r="G245" s="30"/>
      <c r="H245" s="79" t="s">
        <v>1373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52</v>
      </c>
      <c r="B246" t="s">
        <v>323</v>
      </c>
      <c r="C246" t="s">
        <v>1069</v>
      </c>
      <c r="D246" t="s">
        <v>324</v>
      </c>
      <c r="E246" s="30" t="s">
        <v>19</v>
      </c>
      <c r="F246" s="30" t="s">
        <v>28</v>
      </c>
      <c r="G246" s="30"/>
      <c r="H246" s="30" t="s">
        <v>747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 t="s">
        <v>1534</v>
      </c>
      <c r="P246" s="72"/>
      <c r="Q246" s="72"/>
      <c r="R246" s="72" t="s">
        <v>1534</v>
      </c>
      <c r="S246" s="72"/>
      <c r="T246" s="72"/>
      <c r="U246" s="72" t="s">
        <v>1534</v>
      </c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325</v>
      </c>
      <c r="C247" t="s">
        <v>1069</v>
      </c>
      <c r="D247" t="s">
        <v>326</v>
      </c>
      <c r="E247" s="30" t="s">
        <v>19</v>
      </c>
      <c r="F247" s="30" t="s">
        <v>28</v>
      </c>
      <c r="G247" s="30"/>
      <c r="H247" s="30" t="s">
        <v>748</v>
      </c>
      <c r="I247" s="31">
        <f t="shared" si="14"/>
        <v>16</v>
      </c>
      <c r="J247" s="31">
        <f t="shared" si="15"/>
        <v>12</v>
      </c>
      <c r="K247" s="32">
        <f t="shared" si="16"/>
        <v>0.5714285714285714</v>
      </c>
      <c r="L247" s="72" t="s">
        <v>1534</v>
      </c>
      <c r="M247" s="72" t="s">
        <v>1534</v>
      </c>
      <c r="N247" s="72" t="s">
        <v>1534</v>
      </c>
      <c r="O247" s="72" t="s">
        <v>1534</v>
      </c>
      <c r="P247" s="72" t="s">
        <v>1534</v>
      </c>
      <c r="Q247" s="72" t="s">
        <v>1534</v>
      </c>
      <c r="R247" s="72" t="s">
        <v>1534</v>
      </c>
      <c r="S247" s="72" t="s">
        <v>1534</v>
      </c>
      <c r="T247" s="72" t="s">
        <v>1534</v>
      </c>
      <c r="U247" s="72" t="s">
        <v>1534</v>
      </c>
      <c r="V247" s="72" t="s">
        <v>1534</v>
      </c>
      <c r="W247" s="72" t="s">
        <v>1534</v>
      </c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311</v>
      </c>
      <c r="C248" t="s">
        <v>1069</v>
      </c>
      <c r="D248" t="s">
        <v>312</v>
      </c>
      <c r="E248" s="30" t="s">
        <v>15</v>
      </c>
      <c r="F248" s="30" t="s">
        <v>28</v>
      </c>
      <c r="G248" s="30"/>
      <c r="H248" s="30" t="s">
        <v>1381</v>
      </c>
      <c r="I248" s="31">
        <f t="shared" si="14"/>
        <v>26</v>
      </c>
      <c r="J248" s="31">
        <f t="shared" si="15"/>
        <v>2</v>
      </c>
      <c r="K248" s="32">
        <f t="shared" si="16"/>
        <v>0.9285714285714286</v>
      </c>
      <c r="L248" s="72"/>
      <c r="M248" s="72" t="s">
        <v>1534</v>
      </c>
      <c r="N248" s="72" t="s">
        <v>1534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327</v>
      </c>
      <c r="C249" t="s">
        <v>1069</v>
      </c>
      <c r="D249" t="s">
        <v>328</v>
      </c>
      <c r="E249" s="30" t="s">
        <v>15</v>
      </c>
      <c r="F249" s="30" t="s">
        <v>28</v>
      </c>
      <c r="G249" s="30"/>
      <c r="H249" s="30" t="s">
        <v>749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1351</v>
      </c>
      <c r="C250" t="s">
        <v>1069</v>
      </c>
      <c r="D250" t="s">
        <v>1352</v>
      </c>
      <c r="E250" s="30"/>
      <c r="F250" s="30"/>
      <c r="G250" s="30"/>
      <c r="H250" s="30" t="s">
        <v>1367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329</v>
      </c>
      <c r="C251" t="s">
        <v>1070</v>
      </c>
      <c r="D251" t="s">
        <v>330</v>
      </c>
      <c r="E251" s="30" t="s">
        <v>15</v>
      </c>
      <c r="F251" s="30" t="s">
        <v>28</v>
      </c>
      <c r="G251" s="30"/>
      <c r="H251" s="30" t="s">
        <v>750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332</v>
      </c>
      <c r="C252" t="s">
        <v>1070</v>
      </c>
      <c r="D252" t="s">
        <v>333</v>
      </c>
      <c r="E252" s="30" t="s">
        <v>73</v>
      </c>
      <c r="F252" s="30" t="s">
        <v>28</v>
      </c>
      <c r="G252" s="30"/>
      <c r="H252" s="30" t="s">
        <v>751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334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752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335</v>
      </c>
      <c r="C254" t="s">
        <v>1070</v>
      </c>
      <c r="D254" t="s">
        <v>336</v>
      </c>
      <c r="E254" s="30" t="s">
        <v>73</v>
      </c>
      <c r="F254" s="30" t="s">
        <v>28</v>
      </c>
      <c r="G254" s="30"/>
      <c r="H254" s="30" t="s">
        <v>753</v>
      </c>
      <c r="I254" s="31">
        <f t="shared" si="14"/>
        <v>27</v>
      </c>
      <c r="J254" s="31">
        <f t="shared" si="15"/>
        <v>1</v>
      </c>
      <c r="K254" s="32">
        <f t="shared" si="16"/>
        <v>0.9642857142857143</v>
      </c>
      <c r="L254" s="72"/>
      <c r="M254" s="72"/>
      <c r="N254" s="72"/>
      <c r="O254" s="72" t="s">
        <v>1534</v>
      </c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337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754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339</v>
      </c>
      <c r="C256" t="s">
        <v>1069</v>
      </c>
      <c r="D256" t="s">
        <v>340</v>
      </c>
      <c r="E256" s="30" t="s">
        <v>15</v>
      </c>
      <c r="F256" s="30" t="s">
        <v>28</v>
      </c>
      <c r="G256" s="30"/>
      <c r="H256" s="30" t="s">
        <v>757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341</v>
      </c>
      <c r="C257" t="s">
        <v>1069</v>
      </c>
      <c r="D257" t="s">
        <v>340</v>
      </c>
      <c r="E257" s="30" t="s">
        <v>73</v>
      </c>
      <c r="F257" s="30" t="s">
        <v>28</v>
      </c>
      <c r="G257" s="30"/>
      <c r="H257" s="30" t="s">
        <v>758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982</v>
      </c>
      <c r="C258" t="s">
        <v>1069</v>
      </c>
      <c r="D258" t="s">
        <v>983</v>
      </c>
      <c r="E258" s="30" t="s">
        <v>73</v>
      </c>
      <c r="F258" s="30" t="s">
        <v>28</v>
      </c>
      <c r="G258" s="30"/>
      <c r="H258" s="30" t="s">
        <v>1281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342</v>
      </c>
      <c r="C259" t="s">
        <v>1070</v>
      </c>
      <c r="D259" t="s">
        <v>343</v>
      </c>
      <c r="E259" s="30" t="s">
        <v>15</v>
      </c>
      <c r="F259" s="30" t="s">
        <v>28</v>
      </c>
      <c r="G259" s="30"/>
      <c r="H259" s="30" t="s">
        <v>759</v>
      </c>
      <c r="I259" s="31">
        <f t="shared" si="14"/>
        <v>18</v>
      </c>
      <c r="J259" s="31">
        <f t="shared" si="15"/>
        <v>10</v>
      </c>
      <c r="K259" s="32">
        <f t="shared" si="16"/>
        <v>0.6428571428571429</v>
      </c>
      <c r="L259" s="72"/>
      <c r="M259" s="72" t="s">
        <v>1534</v>
      </c>
      <c r="N259" s="72" t="s">
        <v>1534</v>
      </c>
      <c r="O259" s="72" t="s">
        <v>1534</v>
      </c>
      <c r="P259" s="72"/>
      <c r="Q259" s="72" t="s">
        <v>1534</v>
      </c>
      <c r="R259" s="72" t="s">
        <v>1534</v>
      </c>
      <c r="S259" s="72" t="s">
        <v>1534</v>
      </c>
      <c r="T259" s="72" t="s">
        <v>1534</v>
      </c>
      <c r="U259" s="72" t="s">
        <v>1534</v>
      </c>
      <c r="V259" s="72" t="s">
        <v>1534</v>
      </c>
      <c r="W259" s="72" t="s">
        <v>1534</v>
      </c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344</v>
      </c>
      <c r="C260" t="s">
        <v>1070</v>
      </c>
      <c r="D260" t="s">
        <v>343</v>
      </c>
      <c r="E260" s="30" t="s">
        <v>73</v>
      </c>
      <c r="F260" s="30" t="s">
        <v>28</v>
      </c>
      <c r="G260" s="30"/>
      <c r="H260" s="30" t="s">
        <v>760</v>
      </c>
      <c r="I260" s="31">
        <f t="shared" si="14"/>
        <v>19</v>
      </c>
      <c r="J260" s="31">
        <f t="shared" si="15"/>
        <v>9</v>
      </c>
      <c r="K260" s="32">
        <f t="shared" si="16"/>
        <v>0.6785714285714286</v>
      </c>
      <c r="L260" s="72"/>
      <c r="M260" s="72" t="s">
        <v>1534</v>
      </c>
      <c r="N260" s="72" t="s">
        <v>1534</v>
      </c>
      <c r="O260" s="72" t="s">
        <v>1534</v>
      </c>
      <c r="P260" s="72" t="s">
        <v>1534</v>
      </c>
      <c r="Q260" s="72" t="s">
        <v>1534</v>
      </c>
      <c r="R260" s="72" t="s">
        <v>1534</v>
      </c>
      <c r="S260" s="72" t="s">
        <v>1534</v>
      </c>
      <c r="T260" s="72"/>
      <c r="U260" s="72"/>
      <c r="V260" s="72" t="s">
        <v>1534</v>
      </c>
      <c r="W260" s="72" t="s">
        <v>1534</v>
      </c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1303</v>
      </c>
      <c r="C261" t="s">
        <v>1070</v>
      </c>
      <c r="D261" t="s">
        <v>984</v>
      </c>
      <c r="E261" s="30" t="s">
        <v>73</v>
      </c>
      <c r="F261" s="30" t="s">
        <v>28</v>
      </c>
      <c r="G261" s="30"/>
      <c r="H261" s="30" t="s">
        <v>1282</v>
      </c>
      <c r="I261" s="31">
        <f t="shared" si="14"/>
        <v>22</v>
      </c>
      <c r="J261" s="31">
        <f t="shared" si="15"/>
        <v>6</v>
      </c>
      <c r="K261" s="32">
        <f t="shared" si="16"/>
        <v>0.7857142857142857</v>
      </c>
      <c r="L261" s="72"/>
      <c r="M261" s="72" t="s">
        <v>1534</v>
      </c>
      <c r="N261" s="72" t="s">
        <v>1534</v>
      </c>
      <c r="O261" s="72"/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345</v>
      </c>
      <c r="C262" t="s">
        <v>1070</v>
      </c>
      <c r="D262" t="s">
        <v>346</v>
      </c>
      <c r="E262" s="30" t="s">
        <v>15</v>
      </c>
      <c r="F262" s="30" t="s">
        <v>28</v>
      </c>
      <c r="G262" s="30"/>
      <c r="H262" s="30" t="s">
        <v>761</v>
      </c>
      <c r="I262" s="31">
        <f t="shared" si="14"/>
        <v>16</v>
      </c>
      <c r="J262" s="31">
        <f t="shared" si="15"/>
        <v>12</v>
      </c>
      <c r="K262" s="32">
        <f t="shared" si="16"/>
        <v>0.5714285714285714</v>
      </c>
      <c r="L262" s="72" t="s">
        <v>1534</v>
      </c>
      <c r="M262" s="72" t="s">
        <v>1534</v>
      </c>
      <c r="N262" s="72" t="s">
        <v>1534</v>
      </c>
      <c r="O262" s="72" t="s">
        <v>1534</v>
      </c>
      <c r="P262" s="72" t="s">
        <v>1534</v>
      </c>
      <c r="Q262" s="72" t="s">
        <v>1534</v>
      </c>
      <c r="R262" s="72" t="s">
        <v>1534</v>
      </c>
      <c r="S262" s="72" t="s">
        <v>1534</v>
      </c>
      <c r="T262" s="72" t="s">
        <v>1534</v>
      </c>
      <c r="U262" s="72" t="s">
        <v>1534</v>
      </c>
      <c r="V262" s="72" t="s">
        <v>1534</v>
      </c>
      <c r="W262" s="72" t="s">
        <v>1534</v>
      </c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347</v>
      </c>
      <c r="C263" t="s">
        <v>1070</v>
      </c>
      <c r="D263" t="s">
        <v>346</v>
      </c>
      <c r="E263" s="30" t="s">
        <v>73</v>
      </c>
      <c r="F263" s="30" t="s">
        <v>28</v>
      </c>
      <c r="G263" s="30"/>
      <c r="H263" s="30" t="s">
        <v>762</v>
      </c>
      <c r="I263" s="31">
        <f t="shared" si="14"/>
        <v>25</v>
      </c>
      <c r="J263" s="31">
        <f t="shared" si="15"/>
        <v>3</v>
      </c>
      <c r="K263" s="32">
        <f t="shared" si="16"/>
        <v>0.8928571428571429</v>
      </c>
      <c r="L263" s="72"/>
      <c r="M263" s="72"/>
      <c r="N263" s="72"/>
      <c r="O263" s="72"/>
      <c r="P263" s="72"/>
      <c r="Q263" s="72" t="s">
        <v>1534</v>
      </c>
      <c r="R263" s="72" t="s">
        <v>1534</v>
      </c>
      <c r="S263" s="72" t="s">
        <v>1534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1302</v>
      </c>
      <c r="C264" t="s">
        <v>1070</v>
      </c>
      <c r="D264" t="s">
        <v>985</v>
      </c>
      <c r="E264" s="30" t="s">
        <v>19</v>
      </c>
      <c r="F264" s="30" t="s">
        <v>28</v>
      </c>
      <c r="G264" s="30"/>
      <c r="H264" s="30" t="s">
        <v>1283</v>
      </c>
      <c r="I264" s="31">
        <f t="shared" si="14"/>
        <v>24</v>
      </c>
      <c r="J264" s="31">
        <f t="shared" si="15"/>
        <v>4</v>
      </c>
      <c r="K264" s="32">
        <f t="shared" si="16"/>
        <v>0.8571428571428571</v>
      </c>
      <c r="L264" s="72"/>
      <c r="M264" s="72"/>
      <c r="N264" s="72"/>
      <c r="O264" s="72"/>
      <c r="P264" s="72" t="s">
        <v>1534</v>
      </c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348</v>
      </c>
      <c r="C265" t="s">
        <v>1070</v>
      </c>
      <c r="D265" t="s">
        <v>349</v>
      </c>
      <c r="E265" s="30" t="s">
        <v>73</v>
      </c>
      <c r="F265" s="30" t="s">
        <v>28</v>
      </c>
      <c r="G265" s="30"/>
      <c r="H265" s="30" t="s">
        <v>764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364</v>
      </c>
      <c r="C266" t="s">
        <v>1070</v>
      </c>
      <c r="D266" t="s">
        <v>349</v>
      </c>
      <c r="E266" s="30" t="s">
        <v>15</v>
      </c>
      <c r="F266" s="30" t="s">
        <v>28</v>
      </c>
      <c r="G266" s="30"/>
      <c r="H266" s="30" t="s">
        <v>765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986</v>
      </c>
      <c r="C267" t="s">
        <v>1070</v>
      </c>
      <c r="D267" t="s">
        <v>987</v>
      </c>
      <c r="E267" s="30" t="s">
        <v>73</v>
      </c>
      <c r="F267" s="30" t="s">
        <v>28</v>
      </c>
      <c r="G267" s="30"/>
      <c r="H267" s="30" t="s">
        <v>1284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351</v>
      </c>
      <c r="C268" t="s">
        <v>1070</v>
      </c>
      <c r="D268" t="s">
        <v>352</v>
      </c>
      <c r="E268" s="30" t="s">
        <v>15</v>
      </c>
      <c r="F268" s="30" t="s">
        <v>28</v>
      </c>
      <c r="G268" s="30"/>
      <c r="H268" s="30" t="s">
        <v>766</v>
      </c>
      <c r="I268" s="31">
        <f t="shared" si="14"/>
        <v>27</v>
      </c>
      <c r="J268" s="31">
        <f t="shared" si="15"/>
        <v>1</v>
      </c>
      <c r="K268" s="32">
        <f t="shared" si="16"/>
        <v>0.9642857142857143</v>
      </c>
      <c r="L268" s="72"/>
      <c r="M268" s="72"/>
      <c r="N268" s="72"/>
      <c r="O268" s="72"/>
      <c r="P268" s="72"/>
      <c r="Q268" s="72"/>
      <c r="R268" s="72" t="s">
        <v>1534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353</v>
      </c>
      <c r="C269" t="s">
        <v>1070</v>
      </c>
      <c r="D269" t="s">
        <v>352</v>
      </c>
      <c r="E269" s="30" t="s">
        <v>73</v>
      </c>
      <c r="F269" s="30" t="s">
        <v>28</v>
      </c>
      <c r="G269" s="30"/>
      <c r="H269" s="30" t="s">
        <v>767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988</v>
      </c>
      <c r="C270" t="s">
        <v>1070</v>
      </c>
      <c r="D270" t="s">
        <v>352</v>
      </c>
      <c r="E270" s="30" t="s">
        <v>19</v>
      </c>
      <c r="F270" s="30" t="s">
        <v>28</v>
      </c>
      <c r="G270" s="30"/>
      <c r="H270" s="30" t="s">
        <v>1285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354</v>
      </c>
      <c r="B271" t="s">
        <v>981</v>
      </c>
      <c r="C271" t="s">
        <v>1070</v>
      </c>
      <c r="D271" t="s">
        <v>355</v>
      </c>
      <c r="E271" s="30" t="s">
        <v>15</v>
      </c>
      <c r="F271" s="30" t="s">
        <v>28</v>
      </c>
      <c r="G271" s="30"/>
      <c r="H271" s="30" t="s">
        <v>773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196</v>
      </c>
      <c r="B272" t="s">
        <v>356</v>
      </c>
      <c r="C272" t="s">
        <v>1070</v>
      </c>
      <c r="D272" t="s">
        <v>357</v>
      </c>
      <c r="E272" s="30" t="s">
        <v>15</v>
      </c>
      <c r="F272" s="30" t="s">
        <v>28</v>
      </c>
      <c r="G272" s="30"/>
      <c r="H272" s="30" t="s">
        <v>768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s="143" customFormat="1" ht="15.75" thickBot="1" x14ac:dyDescent="0.3">
      <c r="A273" s="143" t="s">
        <v>196</v>
      </c>
      <c r="B273" s="143" t="s">
        <v>358</v>
      </c>
      <c r="C273" s="143" t="s">
        <v>1070</v>
      </c>
      <c r="D273" s="143" t="s">
        <v>357</v>
      </c>
      <c r="E273" s="91" t="s">
        <v>73</v>
      </c>
      <c r="F273" s="91" t="s">
        <v>28</v>
      </c>
      <c r="G273" s="91"/>
      <c r="H273" s="91" t="s">
        <v>769</v>
      </c>
      <c r="I273" s="144">
        <f t="shared" si="14"/>
        <v>16</v>
      </c>
      <c r="J273" s="144">
        <f t="shared" si="15"/>
        <v>12</v>
      </c>
      <c r="K273" s="145">
        <f t="shared" si="16"/>
        <v>0.5714285714285714</v>
      </c>
      <c r="L273" s="146" t="s">
        <v>1534</v>
      </c>
      <c r="M273" s="146" t="s">
        <v>1534</v>
      </c>
      <c r="N273" s="146" t="s">
        <v>1534</v>
      </c>
      <c r="O273" s="146" t="s">
        <v>1534</v>
      </c>
      <c r="P273" s="146" t="s">
        <v>1534</v>
      </c>
      <c r="Q273" s="146" t="s">
        <v>1534</v>
      </c>
      <c r="R273" s="146" t="s">
        <v>1534</v>
      </c>
      <c r="S273" s="146" t="s">
        <v>1534</v>
      </c>
      <c r="T273" s="146" t="s">
        <v>1534</v>
      </c>
      <c r="U273" s="146" t="s">
        <v>1534</v>
      </c>
      <c r="V273" s="146" t="s">
        <v>1534</v>
      </c>
      <c r="W273" s="146" t="s">
        <v>1534</v>
      </c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</row>
    <row r="274" spans="1:42" ht="15.75" thickBot="1" x14ac:dyDescent="0.3">
      <c r="A274" t="s">
        <v>196</v>
      </c>
      <c r="B274" t="s">
        <v>989</v>
      </c>
      <c r="C274" t="s">
        <v>1070</v>
      </c>
      <c r="D274" t="s">
        <v>990</v>
      </c>
      <c r="E274" s="30" t="s">
        <v>73</v>
      </c>
      <c r="F274" s="30" t="s">
        <v>28</v>
      </c>
      <c r="G274" s="30"/>
      <c r="H274" s="30" t="s">
        <v>1286</v>
      </c>
      <c r="I274" s="31">
        <f t="shared" ref="I274:I337" si="17">COUNTIF(L274:AM274,"")</f>
        <v>28</v>
      </c>
      <c r="J274" s="31">
        <f t="shared" ref="J274:J337" si="18">COUNTIF(L274:AM274,"APAGADO")</f>
        <v>0</v>
      </c>
      <c r="K274" s="32">
        <f t="shared" ref="K274:K337" si="19">(I274)/(J274+I274)</f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1216</v>
      </c>
      <c r="C275" t="s">
        <v>1070</v>
      </c>
      <c r="D275" t="s">
        <v>1217</v>
      </c>
      <c r="E275" s="30" t="s">
        <v>15</v>
      </c>
      <c r="F275" s="30" t="s">
        <v>28</v>
      </c>
      <c r="G275" s="30"/>
      <c r="H275" s="30" t="s">
        <v>774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360</v>
      </c>
      <c r="C276" t="s">
        <v>1070</v>
      </c>
      <c r="D276" t="s">
        <v>1217</v>
      </c>
      <c r="E276" s="30" t="s">
        <v>73</v>
      </c>
      <c r="F276" s="30" t="s">
        <v>28</v>
      </c>
      <c r="G276" s="30"/>
      <c r="H276" s="30" t="s">
        <v>775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991</v>
      </c>
      <c r="C277" t="s">
        <v>1070</v>
      </c>
      <c r="D277" t="s">
        <v>992</v>
      </c>
      <c r="E277" s="30" t="s">
        <v>19</v>
      </c>
      <c r="F277" s="30" t="s">
        <v>28</v>
      </c>
      <c r="G277" s="30"/>
      <c r="H277" s="30" t="s">
        <v>1287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361</v>
      </c>
      <c r="C278" t="s">
        <v>1070</v>
      </c>
      <c r="D278" t="s">
        <v>362</v>
      </c>
      <c r="E278" s="30" t="s">
        <v>15</v>
      </c>
      <c r="F278" s="30" t="s">
        <v>28</v>
      </c>
      <c r="G278" s="30"/>
      <c r="H278" s="30" t="s">
        <v>771</v>
      </c>
      <c r="I278" s="31">
        <f t="shared" si="17"/>
        <v>16</v>
      </c>
      <c r="J278" s="31">
        <f t="shared" si="18"/>
        <v>12</v>
      </c>
      <c r="K278" s="32">
        <f t="shared" si="19"/>
        <v>0.5714285714285714</v>
      </c>
      <c r="L278" s="72" t="s">
        <v>1534</v>
      </c>
      <c r="M278" s="72" t="s">
        <v>1534</v>
      </c>
      <c r="N278" s="72" t="s">
        <v>1534</v>
      </c>
      <c r="O278" s="72" t="s">
        <v>1534</v>
      </c>
      <c r="P278" s="72" t="s">
        <v>1534</v>
      </c>
      <c r="Q278" s="72" t="s">
        <v>1534</v>
      </c>
      <c r="R278" s="72" t="s">
        <v>1534</v>
      </c>
      <c r="S278" s="72" t="s">
        <v>1534</v>
      </c>
      <c r="T278" s="72" t="s">
        <v>1534</v>
      </c>
      <c r="U278" s="72" t="s">
        <v>1534</v>
      </c>
      <c r="V278" s="72" t="s">
        <v>1534</v>
      </c>
      <c r="W278" s="72" t="s">
        <v>1534</v>
      </c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363</v>
      </c>
      <c r="C279" t="s">
        <v>1070</v>
      </c>
      <c r="D279" t="s">
        <v>362</v>
      </c>
      <c r="E279" s="30" t="s">
        <v>73</v>
      </c>
      <c r="F279" s="30" t="s">
        <v>28</v>
      </c>
      <c r="G279" s="30"/>
      <c r="H279" s="30" t="s">
        <v>770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993</v>
      </c>
      <c r="C280" t="s">
        <v>1070</v>
      </c>
      <c r="D280" t="s">
        <v>994</v>
      </c>
      <c r="E280" s="30" t="s">
        <v>73</v>
      </c>
      <c r="F280" s="30" t="s">
        <v>28</v>
      </c>
      <c r="G280" s="30"/>
      <c r="H280" s="30" t="s">
        <v>1288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1299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772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1300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763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995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1301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 t="s">
        <v>1534</v>
      </c>
      <c r="Q283" s="72" t="s">
        <v>1534</v>
      </c>
      <c r="R283" s="72" t="s">
        <v>1534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366</v>
      </c>
      <c r="C284" t="s">
        <v>1070</v>
      </c>
      <c r="D284" t="s">
        <v>367</v>
      </c>
      <c r="E284" s="30" t="s">
        <v>15</v>
      </c>
      <c r="F284" s="30" t="s">
        <v>28</v>
      </c>
      <c r="G284" s="30"/>
      <c r="H284" s="30" t="s">
        <v>776</v>
      </c>
      <c r="I284" s="31">
        <f t="shared" si="17"/>
        <v>20</v>
      </c>
      <c r="J284" s="31">
        <f t="shared" si="18"/>
        <v>8</v>
      </c>
      <c r="K284" s="32">
        <f t="shared" si="19"/>
        <v>0.7142857142857143</v>
      </c>
      <c r="L284" s="72" t="s">
        <v>1534</v>
      </c>
      <c r="M284" s="72" t="s">
        <v>1534</v>
      </c>
      <c r="N284" s="72" t="s">
        <v>1534</v>
      </c>
      <c r="O284" s="72" t="s">
        <v>1534</v>
      </c>
      <c r="P284" s="72" t="s">
        <v>1534</v>
      </c>
      <c r="Q284" s="72" t="s">
        <v>1534</v>
      </c>
      <c r="R284" s="72" t="s">
        <v>1534</v>
      </c>
      <c r="S284" s="72" t="s">
        <v>1534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997</v>
      </c>
      <c r="C285" t="s">
        <v>1070</v>
      </c>
      <c r="D285" t="s">
        <v>368</v>
      </c>
      <c r="E285" s="30" t="s">
        <v>15</v>
      </c>
      <c r="F285" s="30" t="s">
        <v>28</v>
      </c>
      <c r="G285" s="30"/>
      <c r="H285" s="30" t="s">
        <v>777</v>
      </c>
      <c r="I285" s="31">
        <f t="shared" si="17"/>
        <v>23</v>
      </c>
      <c r="J285" s="31">
        <f t="shared" si="18"/>
        <v>5</v>
      </c>
      <c r="K285" s="32">
        <f t="shared" si="19"/>
        <v>0.8214285714285714</v>
      </c>
      <c r="L285" s="72"/>
      <c r="M285" s="72"/>
      <c r="N285" s="72"/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369</v>
      </c>
      <c r="C286" t="s">
        <v>1070</v>
      </c>
      <c r="D286" t="s">
        <v>370</v>
      </c>
      <c r="E286" s="30" t="s">
        <v>73</v>
      </c>
      <c r="F286" s="30" t="s">
        <v>28</v>
      </c>
      <c r="G286" s="30"/>
      <c r="H286" s="30" t="s">
        <v>778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371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779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372</v>
      </c>
      <c r="C288" t="s">
        <v>1070</v>
      </c>
      <c r="D288" t="s">
        <v>373</v>
      </c>
      <c r="E288" s="30" t="s">
        <v>73</v>
      </c>
      <c r="F288" s="30" t="s">
        <v>28</v>
      </c>
      <c r="G288" s="30"/>
      <c r="H288" s="30" t="s">
        <v>780</v>
      </c>
      <c r="I288" s="31">
        <f t="shared" si="17"/>
        <v>17</v>
      </c>
      <c r="J288" s="31">
        <f t="shared" si="18"/>
        <v>11</v>
      </c>
      <c r="K288" s="32">
        <f t="shared" si="19"/>
        <v>0.6071428571428571</v>
      </c>
      <c r="L288" s="72" t="s">
        <v>1534</v>
      </c>
      <c r="M288" s="72" t="s">
        <v>1534</v>
      </c>
      <c r="N288" s="72" t="s">
        <v>1534</v>
      </c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 t="s">
        <v>1534</v>
      </c>
      <c r="U288" s="72" t="s">
        <v>1534</v>
      </c>
      <c r="V288" s="72" t="s">
        <v>1534</v>
      </c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374</v>
      </c>
      <c r="C289" t="s">
        <v>1070</v>
      </c>
      <c r="D289" t="s">
        <v>373</v>
      </c>
      <c r="E289" s="30" t="s">
        <v>46</v>
      </c>
      <c r="F289" s="30" t="s">
        <v>28</v>
      </c>
      <c r="G289" s="30"/>
      <c r="H289" s="30" t="s">
        <v>781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 t="s">
        <v>1534</v>
      </c>
      <c r="V289" s="72" t="s">
        <v>1534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1344</v>
      </c>
      <c r="C290" t="s">
        <v>1069</v>
      </c>
      <c r="D290" t="s">
        <v>1345</v>
      </c>
      <c r="E290" s="30"/>
      <c r="F290" s="30" t="s">
        <v>28</v>
      </c>
      <c r="G290" s="30"/>
      <c r="H290" s="30" t="s">
        <v>1355</v>
      </c>
      <c r="I290" s="31">
        <f t="shared" si="17"/>
        <v>26</v>
      </c>
      <c r="J290" s="31">
        <f t="shared" si="18"/>
        <v>2</v>
      </c>
      <c r="K290" s="32">
        <f t="shared" si="19"/>
        <v>0.9285714285714286</v>
      </c>
      <c r="L290" s="72"/>
      <c r="M290" s="72"/>
      <c r="N290" s="72"/>
      <c r="O290" s="72"/>
      <c r="P290" s="72" t="s">
        <v>1534</v>
      </c>
      <c r="Q290" s="72" t="s">
        <v>1534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1389</v>
      </c>
      <c r="C291" t="s">
        <v>1070</v>
      </c>
      <c r="D291" s="70" t="s">
        <v>1392</v>
      </c>
      <c r="E291" s="30" t="s">
        <v>19</v>
      </c>
      <c r="F291" s="30" t="s">
        <v>28</v>
      </c>
      <c r="G291" s="30"/>
      <c r="H291" s="30" t="s">
        <v>1404</v>
      </c>
      <c r="I291" s="31">
        <f t="shared" si="17"/>
        <v>18</v>
      </c>
      <c r="J291" s="31">
        <f t="shared" si="18"/>
        <v>10</v>
      </c>
      <c r="K291" s="32">
        <f t="shared" si="19"/>
        <v>0.6428571428571429</v>
      </c>
      <c r="L291" s="72" t="s">
        <v>1534</v>
      </c>
      <c r="M291" s="72"/>
      <c r="N291" s="72"/>
      <c r="O291" s="72" t="s">
        <v>1534</v>
      </c>
      <c r="P291" s="72" t="s">
        <v>1534</v>
      </c>
      <c r="Q291" s="72" t="s">
        <v>1534</v>
      </c>
      <c r="R291" s="72" t="s">
        <v>1534</v>
      </c>
      <c r="S291" s="72" t="s">
        <v>1534</v>
      </c>
      <c r="T291" s="72" t="s">
        <v>1534</v>
      </c>
      <c r="U291" s="72" t="s">
        <v>1534</v>
      </c>
      <c r="V291" s="72" t="s">
        <v>1534</v>
      </c>
      <c r="W291" s="72" t="s">
        <v>1534</v>
      </c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1390</v>
      </c>
      <c r="C292" t="s">
        <v>1070</v>
      </c>
      <c r="D292" s="70" t="s">
        <v>1393</v>
      </c>
      <c r="E292" s="30" t="s">
        <v>73</v>
      </c>
      <c r="F292" s="30" t="s">
        <v>28</v>
      </c>
      <c r="G292" s="30"/>
      <c r="H292" s="30" t="s">
        <v>1405</v>
      </c>
      <c r="I292" s="31">
        <f t="shared" si="17"/>
        <v>16</v>
      </c>
      <c r="J292" s="31">
        <f t="shared" si="18"/>
        <v>12</v>
      </c>
      <c r="K292" s="32">
        <f t="shared" si="19"/>
        <v>0.5714285714285714</v>
      </c>
      <c r="L292" s="72" t="s">
        <v>1534</v>
      </c>
      <c r="M292" s="72" t="s">
        <v>1534</v>
      </c>
      <c r="N292" s="72" t="s">
        <v>1534</v>
      </c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 t="s">
        <v>1534</v>
      </c>
      <c r="V292" s="72" t="s">
        <v>1534</v>
      </c>
      <c r="W292" s="72" t="s">
        <v>1534</v>
      </c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1391</v>
      </c>
      <c r="C293" t="s">
        <v>1070</v>
      </c>
      <c r="D293" s="70" t="s">
        <v>1394</v>
      </c>
      <c r="E293" s="30" t="s">
        <v>73</v>
      </c>
      <c r="F293" s="30" t="s">
        <v>28</v>
      </c>
      <c r="G293" s="30"/>
      <c r="H293" s="30" t="s">
        <v>1406</v>
      </c>
      <c r="I293" s="31">
        <f t="shared" si="17"/>
        <v>16</v>
      </c>
      <c r="J293" s="31">
        <f t="shared" si="18"/>
        <v>12</v>
      </c>
      <c r="K293" s="32">
        <f t="shared" si="19"/>
        <v>0.5714285714285714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 t="s">
        <v>1534</v>
      </c>
      <c r="V293" s="72" t="s">
        <v>1534</v>
      </c>
      <c r="W293" s="72" t="s">
        <v>1534</v>
      </c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s="75" customFormat="1" ht="15.75" thickBot="1" x14ac:dyDescent="0.3">
      <c r="A294" s="75" t="s">
        <v>375</v>
      </c>
      <c r="B294" s="75" t="s">
        <v>1007</v>
      </c>
      <c r="C294" s="75" t="s">
        <v>1070</v>
      </c>
      <c r="D294" s="75" t="s">
        <v>376</v>
      </c>
      <c r="E294" s="89" t="s">
        <v>15</v>
      </c>
      <c r="F294" s="89" t="s">
        <v>28</v>
      </c>
      <c r="G294" s="89"/>
      <c r="H294" s="89" t="s">
        <v>782</v>
      </c>
      <c r="I294" s="93">
        <f t="shared" si="17"/>
        <v>23</v>
      </c>
      <c r="J294" s="93">
        <f t="shared" si="18"/>
        <v>5</v>
      </c>
      <c r="K294" s="94">
        <f t="shared" si="19"/>
        <v>0.8214285714285714</v>
      </c>
      <c r="L294" s="95"/>
      <c r="M294" s="95"/>
      <c r="N294" s="95"/>
      <c r="O294" s="95" t="s">
        <v>1534</v>
      </c>
      <c r="P294" s="95" t="s">
        <v>1534</v>
      </c>
      <c r="Q294" s="95" t="s">
        <v>1534</v>
      </c>
      <c r="R294" s="95" t="s">
        <v>1534</v>
      </c>
      <c r="S294" s="95" t="s">
        <v>1534</v>
      </c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75" thickBot="1" x14ac:dyDescent="0.3">
      <c r="A295" t="s">
        <v>375</v>
      </c>
      <c r="B295" t="s">
        <v>1008</v>
      </c>
      <c r="C295" t="s">
        <v>1070</v>
      </c>
      <c r="D295" t="s">
        <v>377</v>
      </c>
      <c r="E295" s="30" t="s">
        <v>15</v>
      </c>
      <c r="F295" s="30" t="s">
        <v>28</v>
      </c>
      <c r="G295" s="30"/>
      <c r="H295" s="30" t="s">
        <v>785</v>
      </c>
      <c r="I295" s="31">
        <f t="shared" si="17"/>
        <v>19</v>
      </c>
      <c r="J295" s="31">
        <f t="shared" si="18"/>
        <v>9</v>
      </c>
      <c r="K295" s="32">
        <f t="shared" si="19"/>
        <v>0.6785714285714286</v>
      </c>
      <c r="L295" s="72"/>
      <c r="M295" s="72"/>
      <c r="N295" s="72"/>
      <c r="O295" s="72" t="s">
        <v>1534</v>
      </c>
      <c r="P295" s="72" t="s">
        <v>1534</v>
      </c>
      <c r="Q295" s="72" t="s">
        <v>1534</v>
      </c>
      <c r="R295" s="72" t="s">
        <v>1534</v>
      </c>
      <c r="S295" s="72" t="s">
        <v>1534</v>
      </c>
      <c r="T295" s="72" t="s">
        <v>1534</v>
      </c>
      <c r="U295" s="72" t="s">
        <v>1534</v>
      </c>
      <c r="V295" s="72" t="s">
        <v>1534</v>
      </c>
      <c r="W295" s="72" t="s">
        <v>1534</v>
      </c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378</v>
      </c>
      <c r="C296" t="s">
        <v>1070</v>
      </c>
      <c r="D296" t="s">
        <v>379</v>
      </c>
      <c r="E296" s="30" t="s">
        <v>73</v>
      </c>
      <c r="F296" s="30" t="s">
        <v>28</v>
      </c>
      <c r="G296" s="30"/>
      <c r="H296" s="30" t="s">
        <v>783</v>
      </c>
      <c r="I296" s="31">
        <f t="shared" si="17"/>
        <v>23</v>
      </c>
      <c r="J296" s="31">
        <f t="shared" si="18"/>
        <v>5</v>
      </c>
      <c r="K296" s="32">
        <f t="shared" si="19"/>
        <v>0.8214285714285714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380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784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998</v>
      </c>
      <c r="C298" t="s">
        <v>1070</v>
      </c>
      <c r="D298" t="s">
        <v>381</v>
      </c>
      <c r="E298" s="30" t="s">
        <v>15</v>
      </c>
      <c r="F298" s="30" t="s">
        <v>28</v>
      </c>
      <c r="G298" s="30"/>
      <c r="H298" s="30" t="s">
        <v>786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999</v>
      </c>
      <c r="C299" t="s">
        <v>1070</v>
      </c>
      <c r="D299" t="s">
        <v>1000</v>
      </c>
      <c r="E299" s="30" t="s">
        <v>19</v>
      </c>
      <c r="F299" s="30" t="s">
        <v>28</v>
      </c>
      <c r="G299" s="30"/>
      <c r="H299" s="30" t="s">
        <v>912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1001</v>
      </c>
      <c r="C300" t="s">
        <v>1070</v>
      </c>
      <c r="D300" t="s">
        <v>1002</v>
      </c>
      <c r="E300" s="30" t="s">
        <v>19</v>
      </c>
      <c r="F300" s="30" t="s">
        <v>28</v>
      </c>
      <c r="G300" s="30"/>
      <c r="H300" s="30" t="s">
        <v>913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1003</v>
      </c>
      <c r="C301" t="s">
        <v>1070</v>
      </c>
      <c r="D301" t="s">
        <v>1004</v>
      </c>
      <c r="E301" s="30" t="s">
        <v>19</v>
      </c>
      <c r="F301" s="30" t="s">
        <v>28</v>
      </c>
      <c r="G301" s="30"/>
      <c r="H301" s="30" t="s">
        <v>914</v>
      </c>
      <c r="I301" s="31">
        <f t="shared" si="17"/>
        <v>16</v>
      </c>
      <c r="J301" s="31">
        <f t="shared" si="18"/>
        <v>12</v>
      </c>
      <c r="K301" s="32">
        <f t="shared" si="19"/>
        <v>0.5714285714285714</v>
      </c>
      <c r="L301" s="72" t="s">
        <v>1534</v>
      </c>
      <c r="M301" s="72" t="s">
        <v>1534</v>
      </c>
      <c r="N301" s="72" t="s">
        <v>1534</v>
      </c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 t="s">
        <v>1534</v>
      </c>
      <c r="U301" s="72" t="s">
        <v>1534</v>
      </c>
      <c r="V301" s="72" t="s">
        <v>1534</v>
      </c>
      <c r="W301" s="72" t="s">
        <v>1534</v>
      </c>
      <c r="X301" s="72"/>
      <c r="Y301" s="72"/>
      <c r="Z301" s="72"/>
      <c r="AA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1005</v>
      </c>
      <c r="C302" t="s">
        <v>1070</v>
      </c>
      <c r="D302" t="s">
        <v>1006</v>
      </c>
      <c r="E302" s="30" t="s">
        <v>19</v>
      </c>
      <c r="F302" s="30" t="s">
        <v>28</v>
      </c>
      <c r="G302" s="30"/>
      <c r="H302" s="30" t="s">
        <v>915</v>
      </c>
      <c r="I302" s="31">
        <f t="shared" si="17"/>
        <v>22</v>
      </c>
      <c r="J302" s="31">
        <f t="shared" si="18"/>
        <v>6</v>
      </c>
      <c r="K302" s="32">
        <f t="shared" si="19"/>
        <v>0.7857142857142857</v>
      </c>
      <c r="L302" s="72"/>
      <c r="M302" s="72"/>
      <c r="N302" s="72"/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1181</v>
      </c>
      <c r="C303" t="s">
        <v>1070</v>
      </c>
      <c r="D303" t="s">
        <v>1164</v>
      </c>
      <c r="E303" s="30" t="s">
        <v>19</v>
      </c>
      <c r="F303" s="30" t="s">
        <v>28</v>
      </c>
      <c r="G303" s="30"/>
      <c r="H303" s="30" t="s">
        <v>1166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1182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1167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86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1200</v>
      </c>
      <c r="C305" t="s">
        <v>1070</v>
      </c>
      <c r="D305" t="s">
        <v>1163</v>
      </c>
      <c r="E305" s="30" t="s">
        <v>15</v>
      </c>
      <c r="F305" s="30" t="s">
        <v>28</v>
      </c>
      <c r="G305" s="30"/>
      <c r="H305" s="30" t="s">
        <v>1165</v>
      </c>
      <c r="I305" s="31">
        <f t="shared" si="17"/>
        <v>21</v>
      </c>
      <c r="J305" s="31">
        <f t="shared" si="18"/>
        <v>7</v>
      </c>
      <c r="K305" s="32">
        <f t="shared" si="19"/>
        <v>0.75</v>
      </c>
      <c r="L305" s="72"/>
      <c r="M305" s="72" t="s">
        <v>1534</v>
      </c>
      <c r="N305" s="72" t="s">
        <v>1534</v>
      </c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1304</v>
      </c>
      <c r="C306" t="s">
        <v>1070</v>
      </c>
      <c r="D306" t="s">
        <v>1305</v>
      </c>
      <c r="E306" s="30" t="s">
        <v>73</v>
      </c>
      <c r="F306" s="30" t="s">
        <v>28</v>
      </c>
      <c r="G306" s="30"/>
      <c r="H306" s="30" t="s">
        <v>1501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1395</v>
      </c>
      <c r="C307" t="s">
        <v>1070</v>
      </c>
      <c r="D307" s="70" t="s">
        <v>1398</v>
      </c>
      <c r="E307" s="30" t="s">
        <v>15</v>
      </c>
      <c r="F307" s="30" t="s">
        <v>1063</v>
      </c>
      <c r="G307" s="30"/>
      <c r="H307" s="30" t="s">
        <v>1402</v>
      </c>
      <c r="I307" s="31">
        <f t="shared" si="17"/>
        <v>16</v>
      </c>
      <c r="J307" s="31">
        <f t="shared" si="18"/>
        <v>12</v>
      </c>
      <c r="K307" s="32">
        <f t="shared" si="19"/>
        <v>0.5714285714285714</v>
      </c>
      <c r="L307" s="72" t="s">
        <v>1534</v>
      </c>
      <c r="M307" s="72" t="s">
        <v>1534</v>
      </c>
      <c r="N307" s="72" t="s">
        <v>1534</v>
      </c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 t="s">
        <v>1534</v>
      </c>
      <c r="U307" s="72" t="s">
        <v>1534</v>
      </c>
      <c r="V307" s="72" t="s">
        <v>1534</v>
      </c>
      <c r="W307" s="72" t="s">
        <v>1534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1396</v>
      </c>
      <c r="C308" t="s">
        <v>1070</v>
      </c>
      <c r="D308" s="70" t="s">
        <v>1399</v>
      </c>
      <c r="E308" s="30" t="s">
        <v>73</v>
      </c>
      <c r="F308" s="30" t="s">
        <v>1063</v>
      </c>
      <c r="G308" s="30"/>
      <c r="H308" s="30" t="s">
        <v>1403</v>
      </c>
      <c r="I308" s="31">
        <f t="shared" si="17"/>
        <v>16</v>
      </c>
      <c r="J308" s="31">
        <f t="shared" si="18"/>
        <v>12</v>
      </c>
      <c r="K308" s="32">
        <f t="shared" si="19"/>
        <v>0.5714285714285714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 t="s">
        <v>1534</v>
      </c>
      <c r="V308" s="72" t="s">
        <v>1534</v>
      </c>
      <c r="W308" s="72" t="s">
        <v>1534</v>
      </c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1397</v>
      </c>
      <c r="C309" t="s">
        <v>1070</v>
      </c>
      <c r="D309" s="70" t="s">
        <v>1400</v>
      </c>
      <c r="E309" s="30" t="s">
        <v>15</v>
      </c>
      <c r="F309" s="30" t="s">
        <v>28</v>
      </c>
      <c r="G309" s="30"/>
      <c r="H309" s="30" t="s">
        <v>1518</v>
      </c>
      <c r="I309" s="31">
        <f t="shared" si="17"/>
        <v>16</v>
      </c>
      <c r="J309" s="31">
        <f t="shared" si="18"/>
        <v>12</v>
      </c>
      <c r="K309" s="32">
        <f t="shared" si="19"/>
        <v>0.5714285714285714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 t="s">
        <v>1534</v>
      </c>
      <c r="V309" s="72" t="s">
        <v>1534</v>
      </c>
      <c r="W309" s="72" t="s">
        <v>1534</v>
      </c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905</v>
      </c>
      <c r="B310" t="s">
        <v>1009</v>
      </c>
      <c r="C310" t="s">
        <v>1070</v>
      </c>
      <c r="D310" t="s">
        <v>1010</v>
      </c>
      <c r="E310" s="30" t="s">
        <v>1064</v>
      </c>
      <c r="F310" s="30" t="s">
        <v>1309</v>
      </c>
      <c r="G310" s="30"/>
      <c r="H310" s="30" t="s">
        <v>907</v>
      </c>
      <c r="I310" s="31">
        <f t="shared" si="17"/>
        <v>16</v>
      </c>
      <c r="J310" s="31">
        <f t="shared" si="18"/>
        <v>12</v>
      </c>
      <c r="K310" s="32">
        <f t="shared" si="19"/>
        <v>0.5714285714285714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 t="s">
        <v>1534</v>
      </c>
      <c r="V310" s="72" t="s">
        <v>1534</v>
      </c>
      <c r="W310" s="72" t="s">
        <v>1534</v>
      </c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904</v>
      </c>
      <c r="C311" t="s">
        <v>1070</v>
      </c>
      <c r="D311" t="s">
        <v>1010</v>
      </c>
      <c r="E311" s="30" t="s">
        <v>1065</v>
      </c>
      <c r="F311" s="30" t="s">
        <v>1309</v>
      </c>
      <c r="G311" s="30"/>
      <c r="H311" s="30" t="s">
        <v>906</v>
      </c>
      <c r="I311" s="31">
        <f t="shared" si="17"/>
        <v>16</v>
      </c>
      <c r="J311" s="31">
        <f t="shared" si="18"/>
        <v>12</v>
      </c>
      <c r="K311" s="32">
        <f t="shared" si="19"/>
        <v>0.5714285714285714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 t="s">
        <v>1534</v>
      </c>
      <c r="V311" s="72" t="s">
        <v>1534</v>
      </c>
      <c r="W311" s="72" t="s">
        <v>1534</v>
      </c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382</v>
      </c>
      <c r="C312" t="s">
        <v>1069</v>
      </c>
      <c r="D312" t="s">
        <v>383</v>
      </c>
      <c r="E312" s="30" t="s">
        <v>19</v>
      </c>
      <c r="F312" s="30" t="s">
        <v>28</v>
      </c>
      <c r="G312" s="30"/>
      <c r="H312" s="30" t="s">
        <v>787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1011</v>
      </c>
      <c r="C313" t="s">
        <v>1069</v>
      </c>
      <c r="D313" t="s">
        <v>338</v>
      </c>
      <c r="E313" s="30" t="s">
        <v>73</v>
      </c>
      <c r="F313" s="30" t="s">
        <v>28</v>
      </c>
      <c r="G313" s="30"/>
      <c r="H313" s="30" t="s">
        <v>755</v>
      </c>
      <c r="I313" s="31">
        <f t="shared" si="17"/>
        <v>26</v>
      </c>
      <c r="J313" s="31">
        <f t="shared" si="18"/>
        <v>2</v>
      </c>
      <c r="K313" s="32">
        <f t="shared" si="19"/>
        <v>0.9285714285714286</v>
      </c>
      <c r="L313" s="72" t="s">
        <v>1534</v>
      </c>
      <c r="M313" s="72"/>
      <c r="N313" s="72"/>
      <c r="O313" s="72"/>
      <c r="P313" s="72"/>
      <c r="Q313" s="72"/>
      <c r="R313" s="72"/>
      <c r="S313" s="72"/>
      <c r="T313" s="72"/>
      <c r="U313" s="72" t="s">
        <v>1534</v>
      </c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1012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756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 t="s">
        <v>1534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1013</v>
      </c>
      <c r="C315" t="s">
        <v>1069</v>
      </c>
      <c r="D315" t="s">
        <v>1014</v>
      </c>
      <c r="E315" s="30" t="s">
        <v>19</v>
      </c>
      <c r="F315" s="30" t="s">
        <v>28</v>
      </c>
      <c r="G315" s="30"/>
      <c r="H315" s="30" t="s">
        <v>1496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1015</v>
      </c>
      <c r="C316" t="s">
        <v>1069</v>
      </c>
      <c r="D316" t="s">
        <v>1016</v>
      </c>
      <c r="E316" s="30" t="s">
        <v>19</v>
      </c>
      <c r="F316" s="30" t="s">
        <v>28</v>
      </c>
      <c r="G316" s="30"/>
      <c r="H316" s="30" t="s">
        <v>1226</v>
      </c>
      <c r="I316" s="31">
        <f t="shared" si="17"/>
        <v>24</v>
      </c>
      <c r="J316" s="31">
        <f t="shared" si="18"/>
        <v>4</v>
      </c>
      <c r="K316" s="32">
        <f t="shared" si="19"/>
        <v>0.8571428571428571</v>
      </c>
      <c r="L316" s="72"/>
      <c r="M316" s="72"/>
      <c r="N316" s="72"/>
      <c r="O316" s="72"/>
      <c r="P316" s="72"/>
      <c r="Q316" s="72"/>
      <c r="R316" s="72"/>
      <c r="S316" s="72" t="s">
        <v>1534</v>
      </c>
      <c r="T316" s="72"/>
      <c r="U316" s="72" t="s">
        <v>1534</v>
      </c>
      <c r="V316" s="72" t="s">
        <v>1534</v>
      </c>
      <c r="W316" s="72" t="s">
        <v>1534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1137</v>
      </c>
      <c r="C317" t="s">
        <v>1069</v>
      </c>
      <c r="D317" t="s">
        <v>1134</v>
      </c>
      <c r="E317" s="30" t="s">
        <v>73</v>
      </c>
      <c r="F317" s="30" t="s">
        <v>28</v>
      </c>
      <c r="G317" s="30"/>
      <c r="H317" s="30" t="s">
        <v>1143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1138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1144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1139</v>
      </c>
      <c r="C319" t="s">
        <v>1069</v>
      </c>
      <c r="D319" t="s">
        <v>1135</v>
      </c>
      <c r="E319" s="30" t="s">
        <v>73</v>
      </c>
      <c r="F319" s="30" t="s">
        <v>28</v>
      </c>
      <c r="G319" s="30"/>
      <c r="H319" s="30" t="s">
        <v>1145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1140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1146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s="75" t="s">
        <v>1329</v>
      </c>
      <c r="B321" t="s">
        <v>1241</v>
      </c>
      <c r="C321" t="s">
        <v>1069</v>
      </c>
      <c r="D321" t="s">
        <v>1242</v>
      </c>
      <c r="E321" t="s">
        <v>19</v>
      </c>
      <c r="F321" t="s">
        <v>28</v>
      </c>
      <c r="G321"/>
      <c r="H321" s="30" t="s">
        <v>1248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1243</v>
      </c>
      <c r="C322" t="s">
        <v>1069</v>
      </c>
      <c r="D322" t="s">
        <v>1244</v>
      </c>
      <c r="E322" t="s">
        <v>19</v>
      </c>
      <c r="F322" t="s">
        <v>28</v>
      </c>
      <c r="G322"/>
      <c r="H322" s="30" t="s">
        <v>1249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384</v>
      </c>
      <c r="B323" t="s">
        <v>385</v>
      </c>
      <c r="C323" t="s">
        <v>1069</v>
      </c>
      <c r="D323" t="s">
        <v>386</v>
      </c>
      <c r="E323" s="30" t="s">
        <v>19</v>
      </c>
      <c r="F323" s="30" t="s">
        <v>28</v>
      </c>
      <c r="G323" s="30"/>
      <c r="H323" s="30" t="s">
        <v>788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387</v>
      </c>
      <c r="C324" t="s">
        <v>1069</v>
      </c>
      <c r="D324" t="s">
        <v>388</v>
      </c>
      <c r="E324" s="30" t="s">
        <v>19</v>
      </c>
      <c r="F324" s="30" t="s">
        <v>28</v>
      </c>
      <c r="G324" s="30"/>
      <c r="H324" s="30" t="s">
        <v>789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s="97" customFormat="1" ht="15.75" thickBot="1" x14ac:dyDescent="0.3">
      <c r="A325" s="97" t="s">
        <v>389</v>
      </c>
      <c r="B325" s="97" t="s">
        <v>390</v>
      </c>
      <c r="C325" s="97" t="s">
        <v>1069</v>
      </c>
      <c r="D325" s="97" t="s">
        <v>391</v>
      </c>
      <c r="E325" s="98" t="s">
        <v>19</v>
      </c>
      <c r="F325" s="98" t="s">
        <v>20</v>
      </c>
      <c r="G325" s="98"/>
      <c r="H325" s="98" t="s">
        <v>1497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</row>
    <row r="326" spans="1:42" ht="15.75" thickBot="1" x14ac:dyDescent="0.3">
      <c r="A326" t="s">
        <v>294</v>
      </c>
      <c r="B326" t="s">
        <v>392</v>
      </c>
      <c r="C326" t="s">
        <v>1069</v>
      </c>
      <c r="D326" t="s">
        <v>393</v>
      </c>
      <c r="E326" s="30" t="s">
        <v>19</v>
      </c>
      <c r="F326" s="30" t="s">
        <v>28</v>
      </c>
      <c r="G326" s="30"/>
      <c r="H326" s="30" t="s">
        <v>792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1017</v>
      </c>
      <c r="C327" t="s">
        <v>1069</v>
      </c>
      <c r="D327" t="s">
        <v>394</v>
      </c>
      <c r="E327" s="30" t="s">
        <v>19</v>
      </c>
      <c r="F327" s="30" t="s">
        <v>28</v>
      </c>
      <c r="G327" s="30"/>
      <c r="H327" s="30" t="s">
        <v>793</v>
      </c>
      <c r="I327" s="31">
        <f t="shared" si="17"/>
        <v>16</v>
      </c>
      <c r="J327" s="31">
        <f t="shared" si="18"/>
        <v>12</v>
      </c>
      <c r="K327" s="32">
        <f t="shared" si="19"/>
        <v>0.5714285714285714</v>
      </c>
      <c r="L327" s="72" t="s">
        <v>1534</v>
      </c>
      <c r="M327" s="72" t="s">
        <v>1534</v>
      </c>
      <c r="N327" s="72" t="s">
        <v>1534</v>
      </c>
      <c r="O327" s="72" t="s">
        <v>1534</v>
      </c>
      <c r="P327" s="72" t="s">
        <v>1534</v>
      </c>
      <c r="Q327" s="72" t="s">
        <v>1534</v>
      </c>
      <c r="R327" s="72" t="s">
        <v>1534</v>
      </c>
      <c r="S327" s="72" t="s">
        <v>1534</v>
      </c>
      <c r="T327" s="72" t="s">
        <v>1534</v>
      </c>
      <c r="U327" s="72" t="s">
        <v>1534</v>
      </c>
      <c r="V327" s="72" t="s">
        <v>1534</v>
      </c>
      <c r="W327" s="72" t="s">
        <v>1534</v>
      </c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395</v>
      </c>
      <c r="C328" t="s">
        <v>1069</v>
      </c>
      <c r="D328" t="s">
        <v>396</v>
      </c>
      <c r="E328" s="30" t="s">
        <v>73</v>
      </c>
      <c r="F328" s="30" t="s">
        <v>28</v>
      </c>
      <c r="G328" s="30"/>
      <c r="H328" s="30" t="s">
        <v>790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397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791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1272</v>
      </c>
      <c r="C330" t="s">
        <v>1069</v>
      </c>
      <c r="D330" t="s">
        <v>1273</v>
      </c>
      <c r="E330" s="30" t="s">
        <v>15</v>
      </c>
      <c r="F330" s="30" t="s">
        <v>1063</v>
      </c>
      <c r="G330" s="30" t="s">
        <v>1275</v>
      </c>
      <c r="H330" s="30" t="s">
        <v>1274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1322</v>
      </c>
      <c r="C331" s="87" t="s">
        <v>1070</v>
      </c>
      <c r="D331" t="s">
        <v>1323</v>
      </c>
      <c r="E331" s="30" t="s">
        <v>15</v>
      </c>
      <c r="F331" s="30" t="s">
        <v>1309</v>
      </c>
      <c r="G331" s="30"/>
      <c r="H331" s="30" t="s">
        <v>1324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 t="s">
        <v>1534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s="97" customFormat="1" ht="15.75" thickBot="1" x14ac:dyDescent="0.3">
      <c r="A332" s="97" t="s">
        <v>402</v>
      </c>
      <c r="B332" s="97" t="s">
        <v>407</v>
      </c>
      <c r="C332" s="97" t="s">
        <v>1069</v>
      </c>
      <c r="D332" s="97" t="s">
        <v>408</v>
      </c>
      <c r="E332" s="98" t="s">
        <v>15</v>
      </c>
      <c r="F332" s="98" t="s">
        <v>20</v>
      </c>
      <c r="G332" s="98"/>
      <c r="H332" s="98" t="s">
        <v>794</v>
      </c>
      <c r="I332" s="31">
        <f t="shared" si="17"/>
        <v>16</v>
      </c>
      <c r="J332" s="31">
        <f t="shared" si="18"/>
        <v>12</v>
      </c>
      <c r="K332" s="32">
        <f t="shared" si="19"/>
        <v>0.5714285714285714</v>
      </c>
      <c r="L332" s="72" t="s">
        <v>1534</v>
      </c>
      <c r="M332" s="72" t="s">
        <v>1534</v>
      </c>
      <c r="N332" s="72" t="s">
        <v>1534</v>
      </c>
      <c r="O332" s="72" t="s">
        <v>1534</v>
      </c>
      <c r="P332" s="72" t="s">
        <v>1534</v>
      </c>
      <c r="Q332" s="72" t="s">
        <v>1534</v>
      </c>
      <c r="R332" s="72" t="s">
        <v>1534</v>
      </c>
      <c r="S332" s="72" t="s">
        <v>1534</v>
      </c>
      <c r="T332" s="72" t="s">
        <v>1534</v>
      </c>
      <c r="U332" s="72" t="s">
        <v>1534</v>
      </c>
      <c r="V332" s="72" t="s">
        <v>1534</v>
      </c>
      <c r="W332" s="72" t="s">
        <v>1534</v>
      </c>
      <c r="X332" s="72"/>
      <c r="Y332" s="72"/>
      <c r="Z332" s="72"/>
      <c r="AA332" s="72"/>
      <c r="AB332" s="72"/>
      <c r="AC332" s="72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</row>
    <row r="333" spans="1:42" s="143" customFormat="1" ht="15.75" thickBot="1" x14ac:dyDescent="0.3">
      <c r="A333" s="143" t="s">
        <v>384</v>
      </c>
      <c r="B333" s="143" t="s">
        <v>398</v>
      </c>
      <c r="C333" s="143" t="s">
        <v>1069</v>
      </c>
      <c r="D333" s="143" t="s">
        <v>399</v>
      </c>
      <c r="E333" s="91" t="s">
        <v>19</v>
      </c>
      <c r="F333" s="91" t="s">
        <v>1499</v>
      </c>
      <c r="G333" s="91"/>
      <c r="H333" s="91" t="s">
        <v>1297</v>
      </c>
      <c r="I333" s="144">
        <f t="shared" si="17"/>
        <v>16</v>
      </c>
      <c r="J333" s="144">
        <f t="shared" si="18"/>
        <v>12</v>
      </c>
      <c r="K333" s="145">
        <f t="shared" si="19"/>
        <v>0.5714285714285714</v>
      </c>
      <c r="L333" s="146" t="s">
        <v>1534</v>
      </c>
      <c r="M333" s="146" t="s">
        <v>1534</v>
      </c>
      <c r="N333" s="146" t="s">
        <v>1534</v>
      </c>
      <c r="O333" s="146" t="s">
        <v>1534</v>
      </c>
      <c r="P333" s="146" t="s">
        <v>1534</v>
      </c>
      <c r="Q333" s="146" t="s">
        <v>1534</v>
      </c>
      <c r="R333" s="146" t="s">
        <v>1534</v>
      </c>
      <c r="S333" s="146" t="s">
        <v>1534</v>
      </c>
      <c r="T333" s="146" t="s">
        <v>1534</v>
      </c>
      <c r="U333" s="146" t="s">
        <v>1534</v>
      </c>
      <c r="V333" s="146" t="s">
        <v>1534</v>
      </c>
      <c r="W333" s="146" t="s">
        <v>1534</v>
      </c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</row>
    <row r="334" spans="1:42" s="75" customFormat="1" ht="15.75" thickBot="1" x14ac:dyDescent="0.3">
      <c r="A334" s="75" t="s">
        <v>384</v>
      </c>
      <c r="B334" s="75" t="s">
        <v>400</v>
      </c>
      <c r="C334" s="75" t="s">
        <v>1069</v>
      </c>
      <c r="D334" s="75" t="s">
        <v>401</v>
      </c>
      <c r="E334" s="89" t="s">
        <v>15</v>
      </c>
      <c r="F334" s="89" t="s">
        <v>28</v>
      </c>
      <c r="G334" s="89"/>
      <c r="H334" s="89" t="s">
        <v>1533</v>
      </c>
      <c r="I334" s="93">
        <f t="shared" si="17"/>
        <v>27</v>
      </c>
      <c r="J334" s="93">
        <f t="shared" si="18"/>
        <v>1</v>
      </c>
      <c r="K334" s="94">
        <f t="shared" si="19"/>
        <v>0.9642857142857143</v>
      </c>
      <c r="L334" s="95"/>
      <c r="M334" s="95"/>
      <c r="N334" s="95"/>
      <c r="O334" s="95"/>
      <c r="P334" s="95" t="s">
        <v>1534</v>
      </c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75" thickBot="1" x14ac:dyDescent="0.3">
      <c r="A335" t="s">
        <v>402</v>
      </c>
      <c r="B335" t="s">
        <v>403</v>
      </c>
      <c r="C335" t="s">
        <v>1069</v>
      </c>
      <c r="D335" t="s">
        <v>404</v>
      </c>
      <c r="E335" s="30" t="s">
        <v>19</v>
      </c>
      <c r="F335" s="30" t="s">
        <v>28</v>
      </c>
      <c r="G335" s="30"/>
      <c r="H335" s="30" t="s">
        <v>795</v>
      </c>
      <c r="I335" s="31">
        <f t="shared" si="17"/>
        <v>26</v>
      </c>
      <c r="J335" s="31">
        <f t="shared" si="18"/>
        <v>2</v>
      </c>
      <c r="K335" s="32">
        <f t="shared" si="19"/>
        <v>0.9285714285714286</v>
      </c>
      <c r="L335" s="72"/>
      <c r="M335" s="72" t="s">
        <v>1534</v>
      </c>
      <c r="N335" s="72" t="s">
        <v>1534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402</v>
      </c>
      <c r="B336" t="s">
        <v>405</v>
      </c>
      <c r="C336" t="s">
        <v>1069</v>
      </c>
      <c r="D336" t="s">
        <v>404</v>
      </c>
      <c r="E336" s="30" t="s">
        <v>73</v>
      </c>
      <c r="F336" s="30" t="s">
        <v>28</v>
      </c>
      <c r="G336" s="30"/>
      <c r="H336" s="30" t="s">
        <v>796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406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797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409</v>
      </c>
      <c r="B338" t="s">
        <v>410</v>
      </c>
      <c r="C338" t="s">
        <v>1069</v>
      </c>
      <c r="D338" t="s">
        <v>411</v>
      </c>
      <c r="E338" s="30" t="s">
        <v>73</v>
      </c>
      <c r="F338" s="30" t="s">
        <v>28</v>
      </c>
      <c r="G338" s="30"/>
      <c r="H338" s="30" t="s">
        <v>798</v>
      </c>
      <c r="I338" s="31">
        <f t="shared" ref="I338:I401" si="20">COUNTIF(L338:AM338,"")</f>
        <v>28</v>
      </c>
      <c r="J338" s="31">
        <f t="shared" ref="J338:J401" si="21">COUNTIF(L338:AM338,"APAGADO")</f>
        <v>0</v>
      </c>
      <c r="K338" s="32">
        <f t="shared" ref="K338:K401" si="22">(I338)/(J338+I338)</f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412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799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413</v>
      </c>
      <c r="C340" t="s">
        <v>1069</v>
      </c>
      <c r="D340" t="s">
        <v>414</v>
      </c>
      <c r="E340" s="30" t="s">
        <v>73</v>
      </c>
      <c r="F340" s="30" t="s">
        <v>28</v>
      </c>
      <c r="G340" s="30"/>
      <c r="H340" s="30" t="s">
        <v>800</v>
      </c>
      <c r="I340" s="31">
        <f t="shared" si="20"/>
        <v>26</v>
      </c>
      <c r="J340" s="31">
        <f t="shared" si="21"/>
        <v>2</v>
      </c>
      <c r="K340" s="32">
        <f t="shared" si="22"/>
        <v>0.9285714285714286</v>
      </c>
      <c r="L340" s="72"/>
      <c r="M340" s="72" t="s">
        <v>1534</v>
      </c>
      <c r="N340" s="72" t="s">
        <v>1534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415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801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416</v>
      </c>
      <c r="C342" t="s">
        <v>1069</v>
      </c>
      <c r="D342" t="s">
        <v>417</v>
      </c>
      <c r="E342" s="30" t="s">
        <v>73</v>
      </c>
      <c r="F342" s="30" t="s">
        <v>28</v>
      </c>
      <c r="G342" s="30"/>
      <c r="H342" s="30" t="s">
        <v>802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418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803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409</v>
      </c>
      <c r="B344" t="s">
        <v>908</v>
      </c>
      <c r="C344" t="s">
        <v>1069</v>
      </c>
      <c r="D344" t="s">
        <v>909</v>
      </c>
      <c r="E344" s="30" t="s">
        <v>19</v>
      </c>
      <c r="F344" s="30" t="s">
        <v>28</v>
      </c>
      <c r="G344" s="30"/>
      <c r="H344" s="30" t="s">
        <v>916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910</v>
      </c>
      <c r="C345" t="s">
        <v>1069</v>
      </c>
      <c r="D345" t="s">
        <v>911</v>
      </c>
      <c r="E345" s="30" t="s">
        <v>19</v>
      </c>
      <c r="F345" s="30" t="s">
        <v>28</v>
      </c>
      <c r="G345" s="30"/>
      <c r="H345" s="30" t="s">
        <v>917</v>
      </c>
      <c r="I345" s="31">
        <f t="shared" si="20"/>
        <v>26</v>
      </c>
      <c r="J345" s="31">
        <f t="shared" si="21"/>
        <v>2</v>
      </c>
      <c r="K345" s="32">
        <f t="shared" si="22"/>
        <v>0.9285714285714286</v>
      </c>
      <c r="L345" s="72"/>
      <c r="M345" s="72" t="s">
        <v>1534</v>
      </c>
      <c r="N345" s="72" t="s">
        <v>1534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1018</v>
      </c>
      <c r="C346" t="s">
        <v>1069</v>
      </c>
      <c r="D346" t="s">
        <v>1019</v>
      </c>
      <c r="E346" s="30" t="s">
        <v>19</v>
      </c>
      <c r="F346" s="30" t="s">
        <v>28</v>
      </c>
      <c r="G346" s="30"/>
      <c r="H346" s="30" t="s">
        <v>1227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/>
      <c r="M346" s="72" t="s">
        <v>1534</v>
      </c>
      <c r="N346" s="72" t="s">
        <v>1534</v>
      </c>
      <c r="O346" s="72"/>
      <c r="P346" s="72" t="s">
        <v>1534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1447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1451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</row>
    <row r="348" spans="1:42" ht="15.75" thickBot="1" x14ac:dyDescent="0.3">
      <c r="A348" t="s">
        <v>402</v>
      </c>
      <c r="B348" t="s">
        <v>1448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1519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96"/>
      <c r="AP348" s="96"/>
    </row>
    <row r="349" spans="1:42" ht="15.75" thickBot="1" x14ac:dyDescent="0.3">
      <c r="A349" t="s">
        <v>402</v>
      </c>
      <c r="B349" t="s">
        <v>1449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1517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196</v>
      </c>
      <c r="B350" t="s">
        <v>419</v>
      </c>
      <c r="C350" t="s">
        <v>1070</v>
      </c>
      <c r="D350" t="s">
        <v>420</v>
      </c>
      <c r="E350" s="30" t="s">
        <v>15</v>
      </c>
      <c r="F350" s="30" t="s">
        <v>20</v>
      </c>
      <c r="G350" s="30"/>
      <c r="H350" s="30" t="s">
        <v>805</v>
      </c>
      <c r="I350" s="31">
        <f t="shared" si="20"/>
        <v>20</v>
      </c>
      <c r="J350" s="31">
        <f t="shared" si="21"/>
        <v>8</v>
      </c>
      <c r="K350" s="32">
        <f t="shared" si="22"/>
        <v>0.7142857142857143</v>
      </c>
      <c r="L350" s="72"/>
      <c r="M350" s="72"/>
      <c r="N350" s="72"/>
      <c r="O350" s="72" t="s">
        <v>1534</v>
      </c>
      <c r="P350" s="72"/>
      <c r="Q350" s="72" t="s">
        <v>1534</v>
      </c>
      <c r="R350" s="72" t="s">
        <v>1534</v>
      </c>
      <c r="S350" s="72" t="s">
        <v>1534</v>
      </c>
      <c r="T350" s="72" t="s">
        <v>1534</v>
      </c>
      <c r="U350" s="72" t="s">
        <v>1534</v>
      </c>
      <c r="V350" s="72" t="s">
        <v>1534</v>
      </c>
      <c r="W350" s="72" t="s">
        <v>1534</v>
      </c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421</v>
      </c>
      <c r="C351" t="s">
        <v>1070</v>
      </c>
      <c r="D351" t="s">
        <v>422</v>
      </c>
      <c r="E351" s="30" t="s">
        <v>15</v>
      </c>
      <c r="F351" s="30" t="s">
        <v>1309</v>
      </c>
      <c r="G351" s="30"/>
      <c r="H351" s="30" t="s">
        <v>1441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1020</v>
      </c>
      <c r="C352" t="s">
        <v>1070</v>
      </c>
      <c r="D352" t="s">
        <v>1021</v>
      </c>
      <c r="E352" s="30" t="s">
        <v>73</v>
      </c>
      <c r="F352" s="30" t="s">
        <v>20</v>
      </c>
      <c r="G352" s="30"/>
      <c r="H352" s="30" t="s">
        <v>1289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1022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1408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423</v>
      </c>
      <c r="C354" t="s">
        <v>1070</v>
      </c>
      <c r="D354" t="s">
        <v>424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425</v>
      </c>
      <c r="C355" t="s">
        <v>1070</v>
      </c>
      <c r="D355" t="s">
        <v>426</v>
      </c>
      <c r="E355" s="30" t="s">
        <v>19</v>
      </c>
      <c r="F355" s="30" t="s">
        <v>20</v>
      </c>
      <c r="G355" s="30"/>
      <c r="H355" s="30" t="s">
        <v>804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427</v>
      </c>
      <c r="C356" t="s">
        <v>1070</v>
      </c>
      <c r="D356" t="s">
        <v>428</v>
      </c>
      <c r="E356" s="30" t="s">
        <v>73</v>
      </c>
      <c r="F356" s="30" t="s">
        <v>28</v>
      </c>
      <c r="G356" s="30"/>
      <c r="H356" s="30" t="s">
        <v>807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429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430</v>
      </c>
      <c r="C358" t="s">
        <v>1070</v>
      </c>
      <c r="D358" t="s">
        <v>431</v>
      </c>
      <c r="E358" s="30" t="s">
        <v>73</v>
      </c>
      <c r="F358" s="30" t="s">
        <v>28</v>
      </c>
      <c r="G358" s="30"/>
      <c r="H358" s="30" t="s">
        <v>809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432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810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s="97" customFormat="1" ht="15.75" thickBot="1" x14ac:dyDescent="0.3">
      <c r="A360" s="97" t="s">
        <v>433</v>
      </c>
      <c r="B360" s="97" t="s">
        <v>434</v>
      </c>
      <c r="C360" s="97" t="s">
        <v>1070</v>
      </c>
      <c r="D360" s="97" t="s">
        <v>435</v>
      </c>
      <c r="E360" s="98" t="s">
        <v>19</v>
      </c>
      <c r="F360" s="98" t="s">
        <v>20</v>
      </c>
      <c r="G360" s="98"/>
      <c r="H360" s="98" t="s">
        <v>811</v>
      </c>
      <c r="I360" s="31">
        <f t="shared" si="20"/>
        <v>17</v>
      </c>
      <c r="J360" s="31">
        <f t="shared" si="21"/>
        <v>11</v>
      </c>
      <c r="K360" s="32">
        <f t="shared" si="22"/>
        <v>0.6071428571428571</v>
      </c>
      <c r="L360" s="72" t="s">
        <v>1534</v>
      </c>
      <c r="M360" s="72" t="s">
        <v>1534</v>
      </c>
      <c r="N360" s="72" t="s">
        <v>1534</v>
      </c>
      <c r="O360" s="72" t="s">
        <v>1534</v>
      </c>
      <c r="P360" s="72"/>
      <c r="Q360" s="72" t="s">
        <v>1534</v>
      </c>
      <c r="R360" s="72" t="s">
        <v>1534</v>
      </c>
      <c r="S360" s="72" t="s">
        <v>1534</v>
      </c>
      <c r="T360" s="72" t="s">
        <v>1534</v>
      </c>
      <c r="U360" s="72" t="s">
        <v>1534</v>
      </c>
      <c r="V360" s="72" t="s">
        <v>1534</v>
      </c>
      <c r="W360" s="72" t="s">
        <v>1534</v>
      </c>
      <c r="X360" s="72"/>
      <c r="Y360" s="72"/>
      <c r="Z360" s="72"/>
      <c r="AA360" s="72"/>
      <c r="AB360" s="72"/>
      <c r="AC360" s="72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</row>
    <row r="361" spans="1:42" ht="15.75" thickBot="1" x14ac:dyDescent="0.3">
      <c r="A361" t="s">
        <v>433</v>
      </c>
      <c r="B361" t="s">
        <v>1362</v>
      </c>
      <c r="C361" t="s">
        <v>1070</v>
      </c>
      <c r="D361" t="s">
        <v>1363</v>
      </c>
      <c r="E361" s="30"/>
      <c r="F361" s="30"/>
      <c r="G361" s="30"/>
      <c r="H361" s="30" t="s">
        <v>1424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433</v>
      </c>
      <c r="B362" t="s">
        <v>1412</v>
      </c>
      <c r="C362" t="s">
        <v>1070</v>
      </c>
      <c r="D362" t="s">
        <v>1413</v>
      </c>
      <c r="E362" s="90"/>
      <c r="F362" s="91" t="s">
        <v>28</v>
      </c>
      <c r="G362" s="91"/>
      <c r="H362" s="91" t="s">
        <v>1414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</row>
    <row r="363" spans="1:42" ht="15.75" thickBot="1" x14ac:dyDescent="0.3">
      <c r="A363" t="s">
        <v>438</v>
      </c>
      <c r="B363" t="s">
        <v>445</v>
      </c>
      <c r="C363" t="s">
        <v>1070</v>
      </c>
      <c r="D363" t="s">
        <v>446</v>
      </c>
      <c r="E363" s="30" t="s">
        <v>15</v>
      </c>
      <c r="F363" s="30" t="s">
        <v>1309</v>
      </c>
      <c r="G363" s="30"/>
      <c r="H363" s="30" t="s">
        <v>1383</v>
      </c>
      <c r="I363" s="31">
        <f t="shared" si="20"/>
        <v>25</v>
      </c>
      <c r="J363" s="31">
        <f t="shared" si="21"/>
        <v>3</v>
      </c>
      <c r="K363" s="32">
        <f t="shared" si="22"/>
        <v>0.8928571428571429</v>
      </c>
      <c r="L363" s="72"/>
      <c r="M363" s="72"/>
      <c r="N363" s="72"/>
      <c r="O363" s="72"/>
      <c r="P363" s="72"/>
      <c r="Q363" s="72"/>
      <c r="R363" s="72"/>
      <c r="S363" s="72" t="s">
        <v>1534</v>
      </c>
      <c r="T363" s="72" t="s">
        <v>1534</v>
      </c>
      <c r="U363" s="72" t="s">
        <v>1534</v>
      </c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ht="15.75" thickBot="1" x14ac:dyDescent="0.3">
      <c r="A364" t="s">
        <v>438</v>
      </c>
      <c r="B364" t="s">
        <v>447</v>
      </c>
      <c r="C364" t="s">
        <v>1070</v>
      </c>
      <c r="D364" t="s">
        <v>448</v>
      </c>
      <c r="E364" s="30" t="s">
        <v>19</v>
      </c>
      <c r="F364" s="30" t="s">
        <v>1309</v>
      </c>
      <c r="G364" s="30"/>
      <c r="H364" s="30" t="s">
        <v>1434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s="97" customFormat="1" ht="15.75" thickBot="1" x14ac:dyDescent="0.3">
      <c r="A365" s="97" t="s">
        <v>438</v>
      </c>
      <c r="B365" s="97" t="s">
        <v>436</v>
      </c>
      <c r="C365" s="97" t="s">
        <v>1070</v>
      </c>
      <c r="D365" s="97" t="s">
        <v>437</v>
      </c>
      <c r="E365" s="98" t="s">
        <v>19</v>
      </c>
      <c r="F365" s="98" t="s">
        <v>20</v>
      </c>
      <c r="G365" s="98"/>
      <c r="H365" s="98" t="s">
        <v>812</v>
      </c>
      <c r="I365" s="31">
        <f t="shared" si="20"/>
        <v>16</v>
      </c>
      <c r="J365" s="31">
        <f t="shared" si="21"/>
        <v>12</v>
      </c>
      <c r="K365" s="32">
        <f t="shared" si="22"/>
        <v>0.5714285714285714</v>
      </c>
      <c r="L365" s="72" t="s">
        <v>1534</v>
      </c>
      <c r="M365" s="72" t="s">
        <v>1534</v>
      </c>
      <c r="N365" s="72" t="s">
        <v>1534</v>
      </c>
      <c r="O365" s="72" t="s">
        <v>1534</v>
      </c>
      <c r="P365" s="72" t="s">
        <v>1534</v>
      </c>
      <c r="Q365" s="72" t="s">
        <v>1534</v>
      </c>
      <c r="R365" s="72" t="s">
        <v>1534</v>
      </c>
      <c r="S365" s="72" t="s">
        <v>1534</v>
      </c>
      <c r="T365" s="72" t="s">
        <v>1534</v>
      </c>
      <c r="U365" s="72" t="s">
        <v>1534</v>
      </c>
      <c r="V365" s="72" t="s">
        <v>1534</v>
      </c>
      <c r="W365" s="72" t="s">
        <v>1534</v>
      </c>
      <c r="X365" s="72"/>
      <c r="Y365" s="72"/>
      <c r="Z365" s="72"/>
      <c r="AA365" s="72"/>
      <c r="AB365" s="72"/>
      <c r="AC365" s="72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</row>
    <row r="366" spans="1:42" ht="15.75" thickBot="1" x14ac:dyDescent="0.3">
      <c r="A366" t="s">
        <v>438</v>
      </c>
      <c r="B366" t="s">
        <v>439</v>
      </c>
      <c r="C366" t="s">
        <v>1070</v>
      </c>
      <c r="D366" t="s">
        <v>440</v>
      </c>
      <c r="E366" s="30" t="s">
        <v>46</v>
      </c>
      <c r="F366" s="30" t="s">
        <v>28</v>
      </c>
      <c r="G366" s="30"/>
      <c r="H366" s="30" t="s">
        <v>1384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1534</v>
      </c>
      <c r="T366" s="72" t="s">
        <v>1534</v>
      </c>
      <c r="U366" s="72" t="s">
        <v>1534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 t="s">
        <v>1474</v>
      </c>
      <c r="AP366" s="72"/>
    </row>
    <row r="367" spans="1:42" ht="15.75" thickBot="1" x14ac:dyDescent="0.3">
      <c r="A367" t="s">
        <v>438</v>
      </c>
      <c r="B367" t="s">
        <v>449</v>
      </c>
      <c r="C367" t="s">
        <v>1070</v>
      </c>
      <c r="D367" t="s">
        <v>450</v>
      </c>
      <c r="E367" s="30" t="s">
        <v>15</v>
      </c>
      <c r="F367" s="30" t="s">
        <v>1063</v>
      </c>
      <c r="G367" s="30" t="s">
        <v>1264</v>
      </c>
      <c r="H367" s="30" t="s">
        <v>813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441</v>
      </c>
      <c r="C368" t="s">
        <v>1070</v>
      </c>
      <c r="D368" t="s">
        <v>442</v>
      </c>
      <c r="E368" s="30" t="s">
        <v>15</v>
      </c>
      <c r="F368" s="30" t="s">
        <v>28</v>
      </c>
      <c r="G368" s="30"/>
      <c r="H368" s="30" t="s">
        <v>814</v>
      </c>
      <c r="I368" s="31">
        <f t="shared" si="20"/>
        <v>16</v>
      </c>
      <c r="J368" s="31">
        <f t="shared" si="21"/>
        <v>12</v>
      </c>
      <c r="K368" s="32">
        <f t="shared" si="22"/>
        <v>0.5714285714285714</v>
      </c>
      <c r="L368" s="72" t="s">
        <v>1534</v>
      </c>
      <c r="M368" s="72" t="s">
        <v>1534</v>
      </c>
      <c r="N368" s="72" t="s">
        <v>1534</v>
      </c>
      <c r="O368" s="72" t="s">
        <v>1534</v>
      </c>
      <c r="P368" s="72" t="s">
        <v>1534</v>
      </c>
      <c r="Q368" s="72" t="s">
        <v>1534</v>
      </c>
      <c r="R368" s="72" t="s">
        <v>1534</v>
      </c>
      <c r="S368" s="72" t="s">
        <v>1534</v>
      </c>
      <c r="T368" s="72" t="s">
        <v>1534</v>
      </c>
      <c r="U368" s="72" t="s">
        <v>1534</v>
      </c>
      <c r="V368" s="72" t="s">
        <v>1534</v>
      </c>
      <c r="W368" s="72" t="s">
        <v>1534</v>
      </c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443</v>
      </c>
      <c r="C369" t="s">
        <v>1070</v>
      </c>
      <c r="D369" t="s">
        <v>444</v>
      </c>
      <c r="E369" s="30" t="s">
        <v>15</v>
      </c>
      <c r="F369" s="30" t="s">
        <v>28</v>
      </c>
      <c r="G369" s="30"/>
      <c r="H369" s="30" t="s">
        <v>815</v>
      </c>
      <c r="I369" s="31">
        <f t="shared" si="20"/>
        <v>16</v>
      </c>
      <c r="J369" s="31">
        <f t="shared" si="21"/>
        <v>12</v>
      </c>
      <c r="K369" s="32">
        <f t="shared" si="22"/>
        <v>0.5714285714285714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 t="s">
        <v>1534</v>
      </c>
      <c r="V369" s="72" t="s">
        <v>1534</v>
      </c>
      <c r="W369" s="72" t="s">
        <v>1534</v>
      </c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1131</v>
      </c>
      <c r="B370" t="s">
        <v>1132</v>
      </c>
      <c r="C370" t="s">
        <v>1070</v>
      </c>
      <c r="D370" t="s">
        <v>1133</v>
      </c>
      <c r="E370" s="30" t="s">
        <v>1121</v>
      </c>
      <c r="F370" s="30" t="s">
        <v>28</v>
      </c>
      <c r="G370" s="30"/>
      <c r="H370" s="30" t="s">
        <v>1147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6.899999999999999" customHeight="1" thickBot="1" x14ac:dyDescent="0.3">
      <c r="A371" t="s">
        <v>1131</v>
      </c>
      <c r="B371" t="s">
        <v>1151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1148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451</v>
      </c>
      <c r="C372" t="s">
        <v>1069</v>
      </c>
      <c r="D372" t="s">
        <v>452</v>
      </c>
      <c r="E372" s="30" t="s">
        <v>73</v>
      </c>
      <c r="F372" s="30" t="s">
        <v>28</v>
      </c>
      <c r="G372" s="30"/>
      <c r="H372" s="30" t="s">
        <v>816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453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1023</v>
      </c>
      <c r="C374" t="s">
        <v>1069</v>
      </c>
      <c r="D374" t="s">
        <v>454</v>
      </c>
      <c r="E374" s="30" t="s">
        <v>73</v>
      </c>
      <c r="F374" s="30" t="s">
        <v>28</v>
      </c>
      <c r="G374" s="30"/>
      <c r="H374" s="30" t="s">
        <v>818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1024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819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464</v>
      </c>
      <c r="C376" t="s">
        <v>1070</v>
      </c>
      <c r="D376" t="s">
        <v>1031</v>
      </c>
      <c r="E376" s="30" t="s">
        <v>19</v>
      </c>
      <c r="F376" s="30" t="s">
        <v>20</v>
      </c>
      <c r="G376" s="30"/>
      <c r="H376" s="30" t="s">
        <v>1420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350</v>
      </c>
      <c r="B377" t="s">
        <v>465</v>
      </c>
      <c r="C377" t="s">
        <v>1070</v>
      </c>
      <c r="D377" t="s">
        <v>1330</v>
      </c>
      <c r="E377" s="30" t="s">
        <v>19</v>
      </c>
      <c r="F377" s="30" t="s">
        <v>20</v>
      </c>
      <c r="G377" s="30"/>
      <c r="H377" s="30" t="s">
        <v>1421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466</v>
      </c>
      <c r="C378" t="s">
        <v>1070</v>
      </c>
      <c r="D378" t="s">
        <v>467</v>
      </c>
      <c r="E378" s="30" t="s">
        <v>19</v>
      </c>
      <c r="F378" s="30" t="s">
        <v>1309</v>
      </c>
      <c r="G378" s="30"/>
      <c r="H378" s="30" t="s">
        <v>1433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1025</v>
      </c>
      <c r="C379" t="s">
        <v>1070</v>
      </c>
      <c r="D379" t="s">
        <v>468</v>
      </c>
      <c r="E379" s="30" t="s">
        <v>19</v>
      </c>
      <c r="F379" s="30" t="s">
        <v>20</v>
      </c>
      <c r="G379" s="30"/>
      <c r="H379" s="30" t="s">
        <v>1337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1032</v>
      </c>
      <c r="C380" t="s">
        <v>1070</v>
      </c>
      <c r="D380" t="s">
        <v>456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1033</v>
      </c>
      <c r="C381" t="s">
        <v>1070</v>
      </c>
      <c r="D381" t="s">
        <v>457</v>
      </c>
      <c r="E381" s="30" t="s">
        <v>19</v>
      </c>
      <c r="F381" s="30" t="s">
        <v>28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1034</v>
      </c>
      <c r="C382" t="s">
        <v>1070</v>
      </c>
      <c r="D382" t="s">
        <v>458</v>
      </c>
      <c r="E382" s="30" t="s">
        <v>19</v>
      </c>
      <c r="F382" s="30" t="s">
        <v>28</v>
      </c>
      <c r="G382" s="30"/>
      <c r="H382" s="30" t="s">
        <v>824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459</v>
      </c>
      <c r="C383" t="s">
        <v>1070</v>
      </c>
      <c r="D383" t="s">
        <v>460</v>
      </c>
      <c r="E383" s="30" t="s">
        <v>19</v>
      </c>
      <c r="F383" s="30" t="s">
        <v>28</v>
      </c>
      <c r="G383" s="30"/>
      <c r="H383" s="30" t="s">
        <v>825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1035</v>
      </c>
      <c r="C384" t="s">
        <v>1070</v>
      </c>
      <c r="D384" t="s">
        <v>461</v>
      </c>
      <c r="E384" s="30" t="s">
        <v>15</v>
      </c>
      <c r="F384" s="30" t="s">
        <v>20</v>
      </c>
      <c r="G384" s="30"/>
      <c r="H384" s="30" t="s">
        <v>806</v>
      </c>
      <c r="I384" s="31">
        <f t="shared" si="20"/>
        <v>25</v>
      </c>
      <c r="J384" s="31">
        <f t="shared" si="21"/>
        <v>3</v>
      </c>
      <c r="K384" s="32">
        <f t="shared" si="22"/>
        <v>0.8928571428571429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 t="s">
        <v>1534</v>
      </c>
      <c r="V384" s="72" t="s">
        <v>1534</v>
      </c>
      <c r="W384" s="72" t="s">
        <v>1534</v>
      </c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1036</v>
      </c>
      <c r="C385" t="s">
        <v>1070</v>
      </c>
      <c r="D385" t="s">
        <v>462</v>
      </c>
      <c r="E385" s="30" t="s">
        <v>15</v>
      </c>
      <c r="F385" s="30" t="s">
        <v>20</v>
      </c>
      <c r="G385" s="30"/>
      <c r="H385" s="30" t="s">
        <v>826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 t="s">
        <v>1534</v>
      </c>
      <c r="N385" s="72" t="s">
        <v>1534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1026</v>
      </c>
      <c r="C386" t="s">
        <v>1070</v>
      </c>
      <c r="D386" t="s">
        <v>469</v>
      </c>
      <c r="E386" s="30" t="s">
        <v>15</v>
      </c>
      <c r="F386" s="30" t="s">
        <v>20</v>
      </c>
      <c r="G386" s="30"/>
      <c r="H386" s="30" t="s">
        <v>820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2" t="s">
        <v>1534</v>
      </c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470</v>
      </c>
      <c r="C387" t="s">
        <v>1070</v>
      </c>
      <c r="D387" t="s">
        <v>471</v>
      </c>
      <c r="E387" s="30" t="s">
        <v>15</v>
      </c>
      <c r="F387" s="30" t="s">
        <v>20</v>
      </c>
      <c r="G387" s="30"/>
      <c r="H387" s="30" t="s">
        <v>821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350</v>
      </c>
      <c r="B388" t="s">
        <v>1027</v>
      </c>
      <c r="C388" t="s">
        <v>1070</v>
      </c>
      <c r="D388" t="s">
        <v>472</v>
      </c>
      <c r="E388" s="30" t="s">
        <v>73</v>
      </c>
      <c r="F388" s="30" t="s">
        <v>20</v>
      </c>
      <c r="G388" s="30"/>
      <c r="H388" s="30" t="s">
        <v>1422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1028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1423</v>
      </c>
      <c r="I389" s="31">
        <f t="shared" si="20"/>
        <v>27</v>
      </c>
      <c r="J389" s="31">
        <f t="shared" si="21"/>
        <v>1</v>
      </c>
      <c r="K389" s="32">
        <f t="shared" si="22"/>
        <v>0.9642857142857143</v>
      </c>
      <c r="L389" s="72"/>
      <c r="M389" s="72"/>
      <c r="N389" s="72"/>
      <c r="O389" s="72" t="s">
        <v>1534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473</v>
      </c>
      <c r="C390" t="s">
        <v>1070</v>
      </c>
      <c r="D390" t="s">
        <v>474</v>
      </c>
      <c r="E390" s="30" t="s">
        <v>15</v>
      </c>
      <c r="F390" s="30" t="s">
        <v>28</v>
      </c>
      <c r="G390" s="30"/>
      <c r="H390" s="30" t="s">
        <v>827</v>
      </c>
      <c r="I390" s="31">
        <f t="shared" si="20"/>
        <v>20</v>
      </c>
      <c r="J390" s="31">
        <f t="shared" si="21"/>
        <v>8</v>
      </c>
      <c r="K390" s="32">
        <f t="shared" si="22"/>
        <v>0.7142857142857143</v>
      </c>
      <c r="L390" s="72"/>
      <c r="M390" s="72"/>
      <c r="N390" s="72"/>
      <c r="O390" s="72"/>
      <c r="P390" s="72" t="s">
        <v>1534</v>
      </c>
      <c r="Q390" s="72" t="s">
        <v>1534</v>
      </c>
      <c r="R390" s="72" t="s">
        <v>1534</v>
      </c>
      <c r="S390" s="72" t="s">
        <v>1534</v>
      </c>
      <c r="T390" s="72" t="s">
        <v>1534</v>
      </c>
      <c r="U390" s="72" t="s">
        <v>1534</v>
      </c>
      <c r="V390" s="72" t="s">
        <v>1534</v>
      </c>
      <c r="W390" s="72" t="s">
        <v>1534</v>
      </c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1037</v>
      </c>
      <c r="C391" t="s">
        <v>1070</v>
      </c>
      <c r="D391" t="s">
        <v>463</v>
      </c>
      <c r="E391" s="30" t="s">
        <v>73</v>
      </c>
      <c r="F391" s="30" t="s">
        <v>28</v>
      </c>
      <c r="G391" s="30"/>
      <c r="H391" s="30" t="s">
        <v>828</v>
      </c>
      <c r="I391" s="31">
        <f t="shared" si="20"/>
        <v>16</v>
      </c>
      <c r="J391" s="31">
        <f t="shared" si="21"/>
        <v>12</v>
      </c>
      <c r="K391" s="32">
        <f t="shared" si="22"/>
        <v>0.5714285714285714</v>
      </c>
      <c r="L391" s="72" t="s">
        <v>1534</v>
      </c>
      <c r="M391" s="72" t="s">
        <v>1534</v>
      </c>
      <c r="N391" s="72" t="s">
        <v>1534</v>
      </c>
      <c r="O391" s="72" t="s">
        <v>1534</v>
      </c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 t="s">
        <v>1534</v>
      </c>
      <c r="V391" s="72" t="s">
        <v>1534</v>
      </c>
      <c r="W391" s="72" t="s">
        <v>1534</v>
      </c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1038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829</v>
      </c>
      <c r="I392" s="31">
        <f t="shared" si="20"/>
        <v>16</v>
      </c>
      <c r="J392" s="31">
        <f t="shared" si="21"/>
        <v>12</v>
      </c>
      <c r="K392" s="32">
        <f t="shared" si="22"/>
        <v>0.5714285714285714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 t="s">
        <v>1534</v>
      </c>
      <c r="V392" s="72" t="s">
        <v>1534</v>
      </c>
      <c r="W392" s="72" t="s">
        <v>1534</v>
      </c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1029</v>
      </c>
      <c r="C393" t="s">
        <v>1070</v>
      </c>
      <c r="D393" t="s">
        <v>475</v>
      </c>
      <c r="E393" s="30" t="s">
        <v>73</v>
      </c>
      <c r="F393" s="30" t="s">
        <v>28</v>
      </c>
      <c r="G393" s="30"/>
      <c r="H393" s="30" t="s">
        <v>830</v>
      </c>
      <c r="I393" s="31">
        <f t="shared" si="20"/>
        <v>28</v>
      </c>
      <c r="J393" s="31">
        <f t="shared" si="21"/>
        <v>0</v>
      </c>
      <c r="K393" s="32">
        <f t="shared" si="22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1030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831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s="30" t="s">
        <v>1296</v>
      </c>
      <c r="C395" t="s">
        <v>1070</v>
      </c>
      <c r="D395" s="70" t="s">
        <v>1295</v>
      </c>
      <c r="E395" s="30" t="s">
        <v>73</v>
      </c>
      <c r="F395" s="30" t="s">
        <v>28</v>
      </c>
      <c r="G395" s="30"/>
      <c r="H395" s="30" t="s">
        <v>1297</v>
      </c>
      <c r="I395" s="31">
        <f t="shared" si="20"/>
        <v>16</v>
      </c>
      <c r="J395" s="31">
        <f t="shared" si="21"/>
        <v>12</v>
      </c>
      <c r="K395" s="32">
        <f t="shared" si="22"/>
        <v>0.5714285714285714</v>
      </c>
      <c r="L395" s="72" t="s">
        <v>1534</v>
      </c>
      <c r="M395" s="72" t="s">
        <v>1534</v>
      </c>
      <c r="N395" s="72" t="s">
        <v>1534</v>
      </c>
      <c r="O395" s="72" t="s">
        <v>1534</v>
      </c>
      <c r="P395" s="72" t="s">
        <v>1534</v>
      </c>
      <c r="Q395" s="72" t="s">
        <v>1534</v>
      </c>
      <c r="R395" s="72" t="s">
        <v>1534</v>
      </c>
      <c r="S395" s="72" t="s">
        <v>1534</v>
      </c>
      <c r="T395" s="72" t="s">
        <v>1534</v>
      </c>
      <c r="U395" s="72" t="s">
        <v>1534</v>
      </c>
      <c r="V395" s="72" t="s">
        <v>1534</v>
      </c>
      <c r="W395" s="72" t="s">
        <v>1534</v>
      </c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1294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1298</v>
      </c>
      <c r="I396" s="31">
        <f t="shared" si="20"/>
        <v>19</v>
      </c>
      <c r="J396" s="31">
        <f t="shared" si="21"/>
        <v>9</v>
      </c>
      <c r="K396" s="32">
        <f t="shared" si="22"/>
        <v>0.6785714285714286</v>
      </c>
      <c r="L396" s="72"/>
      <c r="M396" s="72"/>
      <c r="N396" s="72"/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 t="s">
        <v>1534</v>
      </c>
      <c r="V396" s="72" t="s">
        <v>1534</v>
      </c>
      <c r="W396" s="72" t="s">
        <v>1534</v>
      </c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t="s">
        <v>476</v>
      </c>
      <c r="C397" t="s">
        <v>1070</v>
      </c>
      <c r="D397" t="s">
        <v>477</v>
      </c>
      <c r="E397" s="30" t="s">
        <v>73</v>
      </c>
      <c r="F397" s="30" t="s">
        <v>28</v>
      </c>
      <c r="G397" s="30"/>
      <c r="H397" s="30" t="s">
        <v>832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478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833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s="30" t="s">
        <v>1112</v>
      </c>
      <c r="C399" s="30" t="s">
        <v>1070</v>
      </c>
      <c r="D399" t="s">
        <v>1111</v>
      </c>
      <c r="E399" s="30" t="s">
        <v>15</v>
      </c>
      <c r="F399" s="30" t="s">
        <v>28</v>
      </c>
      <c r="G399" s="30"/>
      <c r="H399" s="30" t="s">
        <v>1113</v>
      </c>
      <c r="I399" s="31">
        <f t="shared" si="20"/>
        <v>18</v>
      </c>
      <c r="J399" s="31">
        <f t="shared" si="21"/>
        <v>10</v>
      </c>
      <c r="K399" s="32">
        <f t="shared" si="22"/>
        <v>0.6428571428571429</v>
      </c>
      <c r="L399" s="72" t="s">
        <v>1534</v>
      </c>
      <c r="M399" s="72" t="s">
        <v>1534</v>
      </c>
      <c r="N399" s="72" t="s">
        <v>1534</v>
      </c>
      <c r="O399" s="72" t="s">
        <v>1534</v>
      </c>
      <c r="P399" s="72"/>
      <c r="Q399" s="72"/>
      <c r="R399" s="72" t="s">
        <v>1534</v>
      </c>
      <c r="S399" s="72" t="s">
        <v>1534</v>
      </c>
      <c r="T399" s="72" t="s">
        <v>1534</v>
      </c>
      <c r="U399" s="72" t="s">
        <v>1534</v>
      </c>
      <c r="V399" s="72" t="s">
        <v>1534</v>
      </c>
      <c r="W399" s="72" t="s">
        <v>1534</v>
      </c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264</v>
      </c>
      <c r="B400" t="s">
        <v>1039</v>
      </c>
      <c r="C400" t="s">
        <v>1069</v>
      </c>
      <c r="D400" t="s">
        <v>497</v>
      </c>
      <c r="E400" s="30" t="s">
        <v>19</v>
      </c>
      <c r="F400" s="30" t="s">
        <v>1063</v>
      </c>
      <c r="G400" s="30" t="s">
        <v>1265</v>
      </c>
      <c r="H400" s="30" t="s">
        <v>842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479</v>
      </c>
      <c r="B401" t="s">
        <v>480</v>
      </c>
      <c r="C401" t="s">
        <v>1069</v>
      </c>
      <c r="D401" t="s">
        <v>481</v>
      </c>
      <c r="E401" s="30" t="s">
        <v>19</v>
      </c>
      <c r="F401" s="30" t="s">
        <v>1063</v>
      </c>
      <c r="G401" s="30" t="s">
        <v>1265</v>
      </c>
      <c r="H401" s="30" t="s">
        <v>834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482</v>
      </c>
      <c r="C402" t="s">
        <v>1069</v>
      </c>
      <c r="D402" t="s">
        <v>483</v>
      </c>
      <c r="E402" s="30" t="s">
        <v>19</v>
      </c>
      <c r="F402" s="30" t="s">
        <v>28</v>
      </c>
      <c r="G402" s="30"/>
      <c r="H402" s="30" t="s">
        <v>835</v>
      </c>
      <c r="I402" s="31">
        <f t="shared" ref="I402:I465" si="23">COUNTIF(L402:AM402,"")</f>
        <v>28</v>
      </c>
      <c r="J402" s="31">
        <f t="shared" ref="J402:J465" si="24">COUNTIF(L402:AM402,"APAGADO")</f>
        <v>0</v>
      </c>
      <c r="K402" s="32">
        <f t="shared" ref="K402:K465" si="25">(I402)/(J402+I402)</f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484</v>
      </c>
      <c r="B403" t="s">
        <v>485</v>
      </c>
      <c r="C403" t="s">
        <v>1069</v>
      </c>
      <c r="D403" t="s">
        <v>486</v>
      </c>
      <c r="E403" s="30" t="s">
        <v>19</v>
      </c>
      <c r="F403" s="30" t="s">
        <v>28</v>
      </c>
      <c r="G403" s="30"/>
      <c r="H403" s="30" t="s">
        <v>836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487</v>
      </c>
      <c r="C404" t="s">
        <v>1069</v>
      </c>
      <c r="D404" t="s">
        <v>488</v>
      </c>
      <c r="E404" s="30" t="s">
        <v>15</v>
      </c>
      <c r="F404" s="30" t="s">
        <v>28</v>
      </c>
      <c r="G404" s="30"/>
      <c r="H404" s="30" t="s">
        <v>837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489</v>
      </c>
      <c r="C405" t="s">
        <v>1069</v>
      </c>
      <c r="D405" t="s">
        <v>490</v>
      </c>
      <c r="E405" s="30" t="s">
        <v>19</v>
      </c>
      <c r="F405" s="30" t="s">
        <v>28</v>
      </c>
      <c r="G405" s="30"/>
      <c r="H405" s="30" t="s">
        <v>838</v>
      </c>
      <c r="I405" s="31">
        <f t="shared" si="23"/>
        <v>25</v>
      </c>
      <c r="J405" s="31">
        <f t="shared" si="24"/>
        <v>3</v>
      </c>
      <c r="K405" s="32">
        <f t="shared" si="25"/>
        <v>0.8928571428571429</v>
      </c>
      <c r="L405" s="72"/>
      <c r="M405" s="72" t="s">
        <v>1534</v>
      </c>
      <c r="N405" s="72" t="s">
        <v>1534</v>
      </c>
      <c r="O405" s="72" t="s">
        <v>1534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491</v>
      </c>
      <c r="C406" t="s">
        <v>1069</v>
      </c>
      <c r="D406" t="s">
        <v>492</v>
      </c>
      <c r="E406" s="30" t="s">
        <v>15</v>
      </c>
      <c r="F406" s="30" t="s">
        <v>1309</v>
      </c>
      <c r="G406" s="30"/>
      <c r="H406" s="30" t="s">
        <v>839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493</v>
      </c>
      <c r="C407" t="s">
        <v>1069</v>
      </c>
      <c r="D407" t="s">
        <v>494</v>
      </c>
      <c r="E407" s="30" t="s">
        <v>19</v>
      </c>
      <c r="F407" s="30" t="s">
        <v>1309</v>
      </c>
      <c r="G407" s="30"/>
      <c r="H407" s="30" t="s">
        <v>840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495</v>
      </c>
      <c r="C408" t="s">
        <v>1069</v>
      </c>
      <c r="D408" t="s">
        <v>496</v>
      </c>
      <c r="E408" s="30" t="s">
        <v>19</v>
      </c>
      <c r="F408" s="30" t="s">
        <v>1063</v>
      </c>
      <c r="G408" s="30" t="s">
        <v>1266</v>
      </c>
      <c r="H408" s="30" t="s">
        <v>841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1534</v>
      </c>
      <c r="N408" s="72" t="s">
        <v>1534</v>
      </c>
      <c r="O408" s="72" t="s">
        <v>1534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1195</v>
      </c>
      <c r="C409" t="s">
        <v>1069</v>
      </c>
      <c r="D409" t="s">
        <v>1196</v>
      </c>
      <c r="E409" s="30" t="s">
        <v>1121</v>
      </c>
      <c r="F409" s="30" t="s">
        <v>28</v>
      </c>
      <c r="G409" s="30"/>
      <c r="H409" s="30" t="s">
        <v>1197</v>
      </c>
      <c r="I409" s="31">
        <f t="shared" si="23"/>
        <v>16</v>
      </c>
      <c r="J409" s="31">
        <f t="shared" si="24"/>
        <v>12</v>
      </c>
      <c r="K409" s="32">
        <f t="shared" si="25"/>
        <v>0.5714285714285714</v>
      </c>
      <c r="L409" s="72" t="s">
        <v>1534</v>
      </c>
      <c r="M409" s="72" t="s">
        <v>1534</v>
      </c>
      <c r="N409" s="72" t="s">
        <v>1534</v>
      </c>
      <c r="O409" s="72" t="s">
        <v>1534</v>
      </c>
      <c r="P409" s="72" t="s">
        <v>1534</v>
      </c>
      <c r="Q409" s="72" t="s">
        <v>1534</v>
      </c>
      <c r="R409" s="72" t="s">
        <v>1534</v>
      </c>
      <c r="S409" s="72" t="s">
        <v>1534</v>
      </c>
      <c r="T409" s="72" t="s">
        <v>1534</v>
      </c>
      <c r="U409" s="72" t="s">
        <v>1534</v>
      </c>
      <c r="V409" s="72" t="s">
        <v>1534</v>
      </c>
      <c r="W409" s="72" t="s">
        <v>1534</v>
      </c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1198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1199</v>
      </c>
      <c r="I410" s="31">
        <f t="shared" si="23"/>
        <v>16</v>
      </c>
      <c r="J410" s="31">
        <f t="shared" si="24"/>
        <v>12</v>
      </c>
      <c r="K410" s="32">
        <f t="shared" si="25"/>
        <v>0.5714285714285714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 t="s">
        <v>1534</v>
      </c>
      <c r="V410" s="72" t="s">
        <v>1534</v>
      </c>
      <c r="W410" s="72" t="s">
        <v>1534</v>
      </c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1229</v>
      </c>
      <c r="C411" t="s">
        <v>1069</v>
      </c>
      <c r="D411" t="s">
        <v>1245</v>
      </c>
      <c r="E411" t="s">
        <v>73</v>
      </c>
      <c r="F411" t="s">
        <v>28</v>
      </c>
      <c r="G411"/>
      <c r="H411" s="30" t="s">
        <v>1290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1230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1291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1349</v>
      </c>
      <c r="C413" t="s">
        <v>1069</v>
      </c>
      <c r="D413" s="70" t="s">
        <v>1350</v>
      </c>
      <c r="E413"/>
      <c r="F413"/>
      <c r="G413"/>
      <c r="H413" s="30" t="s">
        <v>1173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B414" t="s">
        <v>1361</v>
      </c>
      <c r="C414" t="s">
        <v>1069</v>
      </c>
      <c r="D414" s="70" t="s">
        <v>1368</v>
      </c>
      <c r="E414"/>
      <c r="F414"/>
      <c r="G414"/>
      <c r="H414" s="30" t="s">
        <v>1432</v>
      </c>
      <c r="I414" s="31">
        <f t="shared" si="23"/>
        <v>19</v>
      </c>
      <c r="J414" s="31">
        <f t="shared" si="24"/>
        <v>9</v>
      </c>
      <c r="K414" s="32">
        <f t="shared" si="25"/>
        <v>0.6785714285714286</v>
      </c>
      <c r="L414" s="72"/>
      <c r="M414" s="72"/>
      <c r="N414" s="72"/>
      <c r="O414" s="72" t="s">
        <v>1534</v>
      </c>
      <c r="P414" s="72" t="s">
        <v>1534</v>
      </c>
      <c r="Q414" s="72" t="s">
        <v>1534</v>
      </c>
      <c r="R414" s="72" t="s">
        <v>1534</v>
      </c>
      <c r="S414" s="72" t="s">
        <v>1534</v>
      </c>
      <c r="T414" s="72" t="s">
        <v>1534</v>
      </c>
      <c r="U414" s="72" t="s">
        <v>1534</v>
      </c>
      <c r="V414" s="72" t="s">
        <v>1534</v>
      </c>
      <c r="W414" s="72" t="s">
        <v>1534</v>
      </c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498</v>
      </c>
      <c r="C415" t="s">
        <v>1070</v>
      </c>
      <c r="D415" t="s">
        <v>499</v>
      </c>
      <c r="E415" s="30" t="s">
        <v>19</v>
      </c>
      <c r="F415" s="30" t="s">
        <v>1309</v>
      </c>
      <c r="G415" s="30"/>
      <c r="H415" s="30" t="s">
        <v>843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500</v>
      </c>
      <c r="C416" t="s">
        <v>1070</v>
      </c>
      <c r="D416" t="s">
        <v>501</v>
      </c>
      <c r="E416" s="30" t="s">
        <v>15</v>
      </c>
      <c r="F416" s="30" t="s">
        <v>20</v>
      </c>
      <c r="G416" s="30"/>
      <c r="H416" s="30" t="s">
        <v>844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502</v>
      </c>
      <c r="C417" t="s">
        <v>1070</v>
      </c>
      <c r="D417" t="s">
        <v>503</v>
      </c>
      <c r="E417" s="30" t="s">
        <v>73</v>
      </c>
      <c r="F417" s="30" t="s">
        <v>20</v>
      </c>
      <c r="G417" s="30"/>
      <c r="H417" s="30" t="s">
        <v>845</v>
      </c>
      <c r="I417" s="31">
        <f t="shared" si="23"/>
        <v>23</v>
      </c>
      <c r="J417" s="31">
        <f t="shared" si="24"/>
        <v>5</v>
      </c>
      <c r="K417" s="32">
        <f t="shared" si="25"/>
        <v>0.8214285714285714</v>
      </c>
      <c r="L417" s="72"/>
      <c r="M417" s="72"/>
      <c r="N417" s="72"/>
      <c r="O417" s="72" t="s">
        <v>1534</v>
      </c>
      <c r="P417" s="72" t="s">
        <v>1534</v>
      </c>
      <c r="Q417" s="72" t="s">
        <v>1534</v>
      </c>
      <c r="R417" s="72" t="s">
        <v>1534</v>
      </c>
      <c r="S417" s="72"/>
      <c r="T417" s="72" t="s">
        <v>1534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504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846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505</v>
      </c>
      <c r="C419" t="s">
        <v>1070</v>
      </c>
      <c r="D419" t="s">
        <v>506</v>
      </c>
      <c r="E419" s="30" t="s">
        <v>73</v>
      </c>
      <c r="F419" s="30" t="s">
        <v>20</v>
      </c>
      <c r="G419" s="30"/>
      <c r="H419" s="30" t="s">
        <v>847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507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848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508</v>
      </c>
      <c r="C421" t="s">
        <v>1070</v>
      </c>
      <c r="D421" t="s">
        <v>509</v>
      </c>
      <c r="E421" s="30" t="s">
        <v>15</v>
      </c>
      <c r="F421" s="30" t="s">
        <v>28</v>
      </c>
      <c r="G421" s="30"/>
      <c r="H421" s="30" t="s">
        <v>849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1040</v>
      </c>
      <c r="C422" t="s">
        <v>1070</v>
      </c>
      <c r="D422" t="s">
        <v>510</v>
      </c>
      <c r="E422" s="30" t="s">
        <v>73</v>
      </c>
      <c r="F422" s="30" t="s">
        <v>28</v>
      </c>
      <c r="G422" s="30"/>
      <c r="H422" s="30" t="s">
        <v>850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1041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851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511</v>
      </c>
      <c r="C424" t="s">
        <v>1070</v>
      </c>
      <c r="D424" t="s">
        <v>512</v>
      </c>
      <c r="E424" s="30" t="s">
        <v>73</v>
      </c>
      <c r="F424" s="30" t="s">
        <v>28</v>
      </c>
      <c r="G424" s="30"/>
      <c r="H424" s="30" t="s">
        <v>852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513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1102</v>
      </c>
      <c r="C426" s="30" t="s">
        <v>1070</v>
      </c>
      <c r="D426" t="s">
        <v>1103</v>
      </c>
      <c r="E426" s="30" t="s">
        <v>19</v>
      </c>
      <c r="F426" s="30" t="s">
        <v>28</v>
      </c>
      <c r="G426" s="30"/>
      <c r="H426" s="30" t="s">
        <v>1104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1107</v>
      </c>
      <c r="C427" s="30" t="s">
        <v>1070</v>
      </c>
      <c r="D427" t="s">
        <v>1105</v>
      </c>
      <c r="E427" s="30" t="s">
        <v>19</v>
      </c>
      <c r="F427" s="30" t="s">
        <v>28</v>
      </c>
      <c r="G427" s="30"/>
      <c r="H427" s="30" t="s">
        <v>1106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1108</v>
      </c>
      <c r="C428" s="30" t="s">
        <v>1070</v>
      </c>
      <c r="D428" t="s">
        <v>1109</v>
      </c>
      <c r="E428" s="30" t="s">
        <v>19</v>
      </c>
      <c r="F428" s="30" t="s">
        <v>28</v>
      </c>
      <c r="G428" s="30"/>
      <c r="H428" s="30" t="s">
        <v>1110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519</v>
      </c>
      <c r="B429" t="s">
        <v>527</v>
      </c>
      <c r="C429" t="s">
        <v>1070</v>
      </c>
      <c r="D429" t="s">
        <v>1046</v>
      </c>
      <c r="E429" s="30" t="s">
        <v>19</v>
      </c>
      <c r="F429" s="30" t="s">
        <v>28</v>
      </c>
      <c r="G429" s="30"/>
      <c r="H429" s="30" t="s">
        <v>854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 t="s">
        <v>1534</v>
      </c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515</v>
      </c>
      <c r="B430" t="s">
        <v>528</v>
      </c>
      <c r="C430" t="s">
        <v>1070</v>
      </c>
      <c r="D430" t="s">
        <v>1098</v>
      </c>
      <c r="E430" s="30" t="s">
        <v>19</v>
      </c>
      <c r="F430" s="30" t="s">
        <v>28</v>
      </c>
      <c r="G430" s="30"/>
      <c r="H430" s="30" t="s">
        <v>855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529</v>
      </c>
      <c r="C431" t="s">
        <v>1070</v>
      </c>
      <c r="D431" t="s">
        <v>530</v>
      </c>
      <c r="E431" s="30" t="s">
        <v>19</v>
      </c>
      <c r="F431" s="30" t="s">
        <v>28</v>
      </c>
      <c r="G431" s="30"/>
      <c r="H431" s="30" t="s">
        <v>856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s="75" t="s">
        <v>515</v>
      </c>
      <c r="B432" s="75" t="s">
        <v>531</v>
      </c>
      <c r="C432" s="75" t="s">
        <v>1070</v>
      </c>
      <c r="D432" s="75" t="s">
        <v>532</v>
      </c>
      <c r="E432" s="89" t="s">
        <v>19</v>
      </c>
      <c r="F432" s="89" t="s">
        <v>28</v>
      </c>
      <c r="G432" s="89"/>
      <c r="H432" s="89" t="s">
        <v>857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533</v>
      </c>
      <c r="C433" t="s">
        <v>1070</v>
      </c>
      <c r="D433" t="s">
        <v>534</v>
      </c>
      <c r="E433" s="30" t="s">
        <v>19</v>
      </c>
      <c r="F433" s="30" t="s">
        <v>1309</v>
      </c>
      <c r="G433" s="30"/>
      <c r="H433" s="30" t="s">
        <v>1520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535</v>
      </c>
      <c r="C434" t="s">
        <v>1070</v>
      </c>
      <c r="D434" t="s">
        <v>1076</v>
      </c>
      <c r="E434" s="30" t="s">
        <v>19</v>
      </c>
      <c r="F434" s="30" t="s">
        <v>28</v>
      </c>
      <c r="G434" s="30"/>
      <c r="H434" s="30" t="s">
        <v>858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536</v>
      </c>
      <c r="C435" t="s">
        <v>1069</v>
      </c>
      <c r="D435" t="s">
        <v>1075</v>
      </c>
      <c r="E435" s="30"/>
      <c r="F435" s="30" t="s">
        <v>28</v>
      </c>
      <c r="G435" s="30"/>
      <c r="H435" s="30" t="s">
        <v>859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519</v>
      </c>
      <c r="B436" t="s">
        <v>537</v>
      </c>
      <c r="C436" t="s">
        <v>1070</v>
      </c>
      <c r="D436" t="s">
        <v>538</v>
      </c>
      <c r="E436" s="30" t="s">
        <v>19</v>
      </c>
      <c r="F436" s="30" t="s">
        <v>28</v>
      </c>
      <c r="G436" s="30"/>
      <c r="H436" s="30" t="s">
        <v>860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539</v>
      </c>
      <c r="C437" t="s">
        <v>1070</v>
      </c>
      <c r="D437" t="s">
        <v>540</v>
      </c>
      <c r="E437" s="30" t="s">
        <v>19</v>
      </c>
      <c r="F437" s="30" t="s">
        <v>28</v>
      </c>
      <c r="G437" s="30"/>
      <c r="H437" s="30" t="s">
        <v>861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1042</v>
      </c>
      <c r="C438" t="s">
        <v>1070</v>
      </c>
      <c r="D438" t="s">
        <v>541</v>
      </c>
      <c r="E438" s="30" t="s">
        <v>19</v>
      </c>
      <c r="F438" s="30" t="s">
        <v>28</v>
      </c>
      <c r="G438" s="30"/>
      <c r="H438" s="30" t="s">
        <v>862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542</v>
      </c>
      <c r="C439" t="s">
        <v>1070</v>
      </c>
      <c r="D439" t="s">
        <v>543</v>
      </c>
      <c r="E439" s="30" t="s">
        <v>19</v>
      </c>
      <c r="F439" s="30" t="s">
        <v>28</v>
      </c>
      <c r="G439" s="30"/>
      <c r="H439" s="30" t="s">
        <v>863</v>
      </c>
      <c r="I439" s="31">
        <f t="shared" si="23"/>
        <v>27</v>
      </c>
      <c r="J439" s="31">
        <f t="shared" si="24"/>
        <v>1</v>
      </c>
      <c r="K439" s="32">
        <f t="shared" si="25"/>
        <v>0.9642857142857143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 t="s">
        <v>1534</v>
      </c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1047</v>
      </c>
      <c r="C440" t="s">
        <v>1070</v>
      </c>
      <c r="D440" t="s">
        <v>514</v>
      </c>
      <c r="E440" s="30" t="s">
        <v>15</v>
      </c>
      <c r="F440" s="30" t="s">
        <v>1063</v>
      </c>
      <c r="G440" s="30" t="s">
        <v>1267</v>
      </c>
      <c r="H440" s="30" t="s">
        <v>864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1048</v>
      </c>
      <c r="C441" t="s">
        <v>1070</v>
      </c>
      <c r="D441" t="s">
        <v>516</v>
      </c>
      <c r="E441" s="30" t="s">
        <v>19</v>
      </c>
      <c r="F441" s="30" t="s">
        <v>28</v>
      </c>
      <c r="G441" s="30"/>
      <c r="H441" s="30" t="s">
        <v>865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1043</v>
      </c>
      <c r="C442" t="s">
        <v>1070</v>
      </c>
      <c r="D442" t="s">
        <v>544</v>
      </c>
      <c r="E442" s="30" t="s">
        <v>15</v>
      </c>
      <c r="F442" s="30" t="s">
        <v>28</v>
      </c>
      <c r="G442" s="30"/>
      <c r="H442" s="30" t="s">
        <v>866</v>
      </c>
      <c r="I442" s="31">
        <f t="shared" si="23"/>
        <v>27</v>
      </c>
      <c r="J442" s="31">
        <f t="shared" si="24"/>
        <v>1</v>
      </c>
      <c r="K442" s="32">
        <f t="shared" si="25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1534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517</v>
      </c>
      <c r="C443" t="s">
        <v>1070</v>
      </c>
      <c r="D443" t="s">
        <v>518</v>
      </c>
      <c r="E443" s="30" t="s">
        <v>15</v>
      </c>
      <c r="F443" s="30" t="s">
        <v>1063</v>
      </c>
      <c r="G443" s="30" t="s">
        <v>1268</v>
      </c>
      <c r="H443" s="30" t="s">
        <v>867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520</v>
      </c>
      <c r="C444" t="s">
        <v>1070</v>
      </c>
      <c r="D444" t="s">
        <v>521</v>
      </c>
      <c r="E444" s="30" t="s">
        <v>15</v>
      </c>
      <c r="F444" s="30" t="s">
        <v>1063</v>
      </c>
      <c r="G444" s="30" t="s">
        <v>1264</v>
      </c>
      <c r="H444" s="30" t="s">
        <v>868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522</v>
      </c>
      <c r="C445" t="s">
        <v>1070</v>
      </c>
      <c r="D445" t="s">
        <v>1097</v>
      </c>
      <c r="E445" s="30" t="s">
        <v>15</v>
      </c>
      <c r="F445" s="30" t="s">
        <v>1063</v>
      </c>
      <c r="G445" s="30" t="s">
        <v>1269</v>
      </c>
      <c r="H445" s="30" t="s">
        <v>869</v>
      </c>
      <c r="I445" s="31">
        <f t="shared" si="23"/>
        <v>27</v>
      </c>
      <c r="J445" s="31">
        <f t="shared" si="24"/>
        <v>1</v>
      </c>
      <c r="K445" s="32">
        <f t="shared" si="25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1534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515</v>
      </c>
      <c r="B446" t="s">
        <v>1049</v>
      </c>
      <c r="C446" t="s">
        <v>1070</v>
      </c>
      <c r="D446" t="s">
        <v>523</v>
      </c>
      <c r="E446" s="30" t="s">
        <v>15</v>
      </c>
      <c r="F446" s="30" t="s">
        <v>1063</v>
      </c>
      <c r="G446" s="30" t="s">
        <v>1270</v>
      </c>
      <c r="H446" s="30" t="s">
        <v>870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1050</v>
      </c>
      <c r="C447" t="s">
        <v>1070</v>
      </c>
      <c r="D447" t="s">
        <v>524</v>
      </c>
      <c r="E447" s="30" t="s">
        <v>15</v>
      </c>
      <c r="F447" s="30" t="s">
        <v>20</v>
      </c>
      <c r="G447" s="30"/>
      <c r="H447" s="30" t="s">
        <v>871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525</v>
      </c>
      <c r="C448" t="s">
        <v>1070</v>
      </c>
      <c r="D448" t="s">
        <v>526</v>
      </c>
      <c r="E448" s="30" t="s">
        <v>46</v>
      </c>
      <c r="F448" s="30" t="s">
        <v>28</v>
      </c>
      <c r="G448" s="30"/>
      <c r="H448" s="30" t="s">
        <v>1376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1044</v>
      </c>
      <c r="C449" t="s">
        <v>1070</v>
      </c>
      <c r="D449" t="s">
        <v>545</v>
      </c>
      <c r="E449" s="30" t="s">
        <v>73</v>
      </c>
      <c r="F449" s="30" t="s">
        <v>28</v>
      </c>
      <c r="G449" s="30"/>
      <c r="H449" s="30" t="s">
        <v>872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1045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546</v>
      </c>
      <c r="C451" t="s">
        <v>1069</v>
      </c>
      <c r="D451" t="s">
        <v>547</v>
      </c>
      <c r="E451" s="30" t="s">
        <v>73</v>
      </c>
      <c r="F451" s="30" t="s">
        <v>28</v>
      </c>
      <c r="G451" s="30"/>
      <c r="H451" s="30" t="s">
        <v>672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548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874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4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1152</v>
      </c>
      <c r="C453" t="s">
        <v>1070</v>
      </c>
      <c r="D453" t="s">
        <v>1154</v>
      </c>
      <c r="E453" s="30" t="s">
        <v>73</v>
      </c>
      <c r="F453" s="30" t="s">
        <v>28</v>
      </c>
      <c r="G453" s="30"/>
      <c r="H453" s="30" t="s">
        <v>1155</v>
      </c>
      <c r="I453" s="31">
        <f t="shared" si="23"/>
        <v>27</v>
      </c>
      <c r="J453" s="31">
        <f t="shared" si="24"/>
        <v>1</v>
      </c>
      <c r="K453" s="32">
        <f t="shared" si="25"/>
        <v>0.9642857142857143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 t="s">
        <v>1534</v>
      </c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1153</v>
      </c>
      <c r="C454" t="s">
        <v>1070</v>
      </c>
      <c r="D454" t="s">
        <v>1154</v>
      </c>
      <c r="E454" s="30" t="s">
        <v>1121</v>
      </c>
      <c r="F454" s="30" t="s">
        <v>28</v>
      </c>
      <c r="G454" s="30"/>
      <c r="H454" s="30" t="s">
        <v>1156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1534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519</v>
      </c>
      <c r="B455" s="30" t="s">
        <v>1215</v>
      </c>
      <c r="C455" s="30" t="s">
        <v>1070</v>
      </c>
      <c r="D455" t="s">
        <v>1211</v>
      </c>
      <c r="E455" s="30" t="s">
        <v>15</v>
      </c>
      <c r="F455" s="30" t="s">
        <v>28</v>
      </c>
      <c r="G455" s="30"/>
      <c r="H455" s="30" t="s">
        <v>1212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1051</v>
      </c>
      <c r="C456" t="s">
        <v>1069</v>
      </c>
      <c r="D456" t="s">
        <v>551</v>
      </c>
      <c r="E456" s="30" t="s">
        <v>19</v>
      </c>
      <c r="F456" s="30" t="s">
        <v>28</v>
      </c>
      <c r="G456" s="30"/>
      <c r="H456" s="30" t="s">
        <v>877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294</v>
      </c>
      <c r="B457" t="s">
        <v>1052</v>
      </c>
      <c r="C457" t="s">
        <v>1069</v>
      </c>
      <c r="D457" t="s">
        <v>552</v>
      </c>
      <c r="E457" s="30" t="s">
        <v>19</v>
      </c>
      <c r="F457" s="30" t="s">
        <v>28</v>
      </c>
      <c r="G457" s="30"/>
      <c r="H457" s="30" t="s">
        <v>878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553</v>
      </c>
      <c r="C458" t="s">
        <v>1069</v>
      </c>
      <c r="D458" t="s">
        <v>554</v>
      </c>
      <c r="E458" s="30" t="s">
        <v>73</v>
      </c>
      <c r="F458" s="30" t="s">
        <v>28</v>
      </c>
      <c r="G458" s="30"/>
      <c r="H458" s="30" t="s">
        <v>875</v>
      </c>
      <c r="I458" s="31">
        <f t="shared" si="23"/>
        <v>26</v>
      </c>
      <c r="J458" s="31">
        <f t="shared" si="24"/>
        <v>2</v>
      </c>
      <c r="K458" s="32">
        <f t="shared" si="25"/>
        <v>0.9285714285714286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 t="s">
        <v>1534</v>
      </c>
      <c r="W458" s="72" t="s">
        <v>1534</v>
      </c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555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876</v>
      </c>
      <c r="I459" s="31">
        <f t="shared" si="23"/>
        <v>26</v>
      </c>
      <c r="J459" s="31">
        <f t="shared" si="24"/>
        <v>2</v>
      </c>
      <c r="K459" s="32">
        <f t="shared" si="25"/>
        <v>0.9285714285714286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1534</v>
      </c>
      <c r="W459" s="72" t="s">
        <v>1534</v>
      </c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556</v>
      </c>
      <c r="C460" t="s">
        <v>1069</v>
      </c>
      <c r="D460" t="s">
        <v>557</v>
      </c>
      <c r="E460" s="30" t="s">
        <v>73</v>
      </c>
      <c r="F460" s="30" t="s">
        <v>28</v>
      </c>
      <c r="G460" s="30"/>
      <c r="H460" s="30" t="s">
        <v>879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558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880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s="97" customFormat="1" ht="15.75" thickBot="1" x14ac:dyDescent="0.3">
      <c r="A462" s="97" t="s">
        <v>409</v>
      </c>
      <c r="B462" s="97" t="s">
        <v>549</v>
      </c>
      <c r="C462" s="97" t="s">
        <v>1069</v>
      </c>
      <c r="D462" s="97" t="s">
        <v>550</v>
      </c>
      <c r="E462" s="98" t="s">
        <v>19</v>
      </c>
      <c r="F462" s="98" t="s">
        <v>28</v>
      </c>
      <c r="G462" s="98"/>
      <c r="H462" s="98" t="s">
        <v>881</v>
      </c>
      <c r="I462" s="31">
        <f t="shared" si="23"/>
        <v>17</v>
      </c>
      <c r="J462" s="31">
        <f t="shared" si="24"/>
        <v>11</v>
      </c>
      <c r="K462" s="32">
        <f t="shared" si="25"/>
        <v>0.6071428571428571</v>
      </c>
      <c r="L462" s="72" t="s">
        <v>1534</v>
      </c>
      <c r="M462" s="72" t="s">
        <v>1534</v>
      </c>
      <c r="N462" s="72" t="s">
        <v>1534</v>
      </c>
      <c r="O462" s="72" t="s">
        <v>1534</v>
      </c>
      <c r="P462" s="72"/>
      <c r="Q462" s="72" t="s">
        <v>1534</v>
      </c>
      <c r="R462" s="72" t="s">
        <v>1534</v>
      </c>
      <c r="S462" s="72" t="s">
        <v>1534</v>
      </c>
      <c r="T462" s="72" t="s">
        <v>1534</v>
      </c>
      <c r="U462" s="72" t="s">
        <v>1534</v>
      </c>
      <c r="V462" s="72" t="s">
        <v>1534</v>
      </c>
      <c r="W462" s="72" t="s">
        <v>1534</v>
      </c>
      <c r="X462" s="72"/>
      <c r="Y462" s="72"/>
      <c r="Z462" s="72"/>
      <c r="AA462" s="72"/>
      <c r="AB462" s="72"/>
      <c r="AC462" s="72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</row>
    <row r="463" spans="1:42" s="97" customFormat="1" ht="15.75" thickBot="1" x14ac:dyDescent="0.3">
      <c r="A463" s="97" t="s">
        <v>409</v>
      </c>
      <c r="B463" s="97" t="s">
        <v>559</v>
      </c>
      <c r="C463" s="97" t="s">
        <v>1069</v>
      </c>
      <c r="D463" s="97" t="s">
        <v>560</v>
      </c>
      <c r="E463" s="98" t="s">
        <v>15</v>
      </c>
      <c r="F463" s="98" t="s">
        <v>28</v>
      </c>
      <c r="G463" s="98"/>
      <c r="H463" s="98" t="s">
        <v>1522</v>
      </c>
      <c r="I463" s="31">
        <f t="shared" si="23"/>
        <v>27</v>
      </c>
      <c r="J463" s="31">
        <f t="shared" si="24"/>
        <v>1</v>
      </c>
      <c r="K463" s="32">
        <f t="shared" si="25"/>
        <v>0.9642857142857143</v>
      </c>
      <c r="L463" s="72"/>
      <c r="M463" s="72"/>
      <c r="N463" s="72"/>
      <c r="O463" s="72" t="s">
        <v>1534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ht="15.75" thickBot="1" x14ac:dyDescent="0.3">
      <c r="A464" t="s">
        <v>484</v>
      </c>
      <c r="B464" t="s">
        <v>1353</v>
      </c>
      <c r="C464" s="30" t="s">
        <v>1069</v>
      </c>
      <c r="D464" t="s">
        <v>1354</v>
      </c>
      <c r="E464" s="30"/>
      <c r="F464" s="30"/>
      <c r="G464" s="30"/>
      <c r="H464" s="30" t="s">
        <v>1360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484</v>
      </c>
      <c r="B465" t="s">
        <v>561</v>
      </c>
      <c r="C465" t="s">
        <v>1069</v>
      </c>
      <c r="D465" t="s">
        <v>562</v>
      </c>
      <c r="E465" s="30" t="s">
        <v>19</v>
      </c>
      <c r="F465" s="30" t="s">
        <v>28</v>
      </c>
      <c r="G465" s="30"/>
      <c r="H465" s="30" t="s">
        <v>882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75" customFormat="1" ht="15.75" thickBot="1" x14ac:dyDescent="0.3">
      <c r="A466" s="75" t="s">
        <v>484</v>
      </c>
      <c r="B466" s="75" t="s">
        <v>563</v>
      </c>
      <c r="C466" s="75" t="s">
        <v>1069</v>
      </c>
      <c r="D466" s="75" t="s">
        <v>564</v>
      </c>
      <c r="E466" s="89" t="s">
        <v>19</v>
      </c>
      <c r="F466" s="89" t="s">
        <v>28</v>
      </c>
      <c r="G466" s="89"/>
      <c r="H466" s="89" t="s">
        <v>1379</v>
      </c>
      <c r="I466" s="93">
        <f t="shared" ref="I466:I502" si="26">COUNTIF(L466:AM466,"")</f>
        <v>28</v>
      </c>
      <c r="J466" s="93">
        <f t="shared" ref="J466:J502" si="27">COUNTIF(L466:AM466,"APAGADO")</f>
        <v>0</v>
      </c>
      <c r="K466" s="94">
        <f t="shared" ref="K466:K502" si="28">(I466)/(J466+I466)</f>
        <v>1</v>
      </c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spans="1:42" ht="15.75" thickBot="1" x14ac:dyDescent="0.3">
      <c r="A467" t="s">
        <v>484</v>
      </c>
      <c r="B467" t="s">
        <v>565</v>
      </c>
      <c r="C467" t="s">
        <v>1069</v>
      </c>
      <c r="D467" t="s">
        <v>566</v>
      </c>
      <c r="E467" s="30" t="s">
        <v>19</v>
      </c>
      <c r="F467" s="30" t="s">
        <v>20</v>
      </c>
      <c r="G467" s="30"/>
      <c r="H467" s="30" t="s">
        <v>1438</v>
      </c>
      <c r="I467" s="31">
        <f t="shared" si="26"/>
        <v>28</v>
      </c>
      <c r="J467" s="31">
        <f t="shared" si="27"/>
        <v>0</v>
      </c>
      <c r="K467" s="32">
        <f t="shared" si="28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567</v>
      </c>
      <c r="C468" t="s">
        <v>1069</v>
      </c>
      <c r="D468" t="s">
        <v>568</v>
      </c>
      <c r="E468" s="30" t="s">
        <v>19</v>
      </c>
      <c r="F468" s="30" t="s">
        <v>1063</v>
      </c>
      <c r="G468" s="30" t="s">
        <v>1271</v>
      </c>
      <c r="H468" s="30" t="s">
        <v>883</v>
      </c>
      <c r="I468" s="31">
        <f t="shared" si="26"/>
        <v>27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 t="s">
        <v>1370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479</v>
      </c>
      <c r="B469" t="s">
        <v>569</v>
      </c>
      <c r="C469" t="s">
        <v>1069</v>
      </c>
      <c r="D469" t="s">
        <v>570</v>
      </c>
      <c r="E469" s="30" t="s">
        <v>19</v>
      </c>
      <c r="F469" s="30" t="s">
        <v>1309</v>
      </c>
      <c r="G469" s="30"/>
      <c r="H469" s="30" t="s">
        <v>1521</v>
      </c>
      <c r="I469" s="31">
        <f t="shared" si="26"/>
        <v>28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1320</v>
      </c>
      <c r="C470" t="s">
        <v>1069</v>
      </c>
      <c r="D470" t="s">
        <v>1321</v>
      </c>
      <c r="E470" s="30" t="s">
        <v>73</v>
      </c>
      <c r="F470" s="30" t="s">
        <v>28</v>
      </c>
      <c r="G470" s="30"/>
      <c r="H470" s="30" t="s">
        <v>1339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572</v>
      </c>
      <c r="C471" t="s">
        <v>1070</v>
      </c>
      <c r="D471" t="s">
        <v>573</v>
      </c>
      <c r="E471" s="30" t="s">
        <v>15</v>
      </c>
      <c r="F471" s="30" t="s">
        <v>28</v>
      </c>
      <c r="G471" s="30"/>
      <c r="H471" s="30" t="s">
        <v>884</v>
      </c>
      <c r="I471" s="31">
        <f t="shared" si="26"/>
        <v>20</v>
      </c>
      <c r="J471" s="31">
        <f t="shared" si="27"/>
        <v>8</v>
      </c>
      <c r="K471" s="32">
        <f t="shared" si="28"/>
        <v>0.7142857142857143</v>
      </c>
      <c r="L471" s="72" t="s">
        <v>1534</v>
      </c>
      <c r="M471" s="72" t="s">
        <v>1534</v>
      </c>
      <c r="N471" s="72" t="s">
        <v>1534</v>
      </c>
      <c r="O471" s="72" t="s">
        <v>1534</v>
      </c>
      <c r="P471" s="72" t="s">
        <v>1534</v>
      </c>
      <c r="Q471" s="72" t="s">
        <v>1534</v>
      </c>
      <c r="R471" s="72" t="s">
        <v>1534</v>
      </c>
      <c r="S471" s="72" t="s">
        <v>1534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1473</v>
      </c>
      <c r="C472" t="s">
        <v>1070</v>
      </c>
      <c r="D472" t="s">
        <v>574</v>
      </c>
      <c r="E472" s="30" t="s">
        <v>15</v>
      </c>
      <c r="F472" s="30" t="s">
        <v>28</v>
      </c>
      <c r="G472" s="30"/>
      <c r="H472" s="30" t="s">
        <v>885</v>
      </c>
      <c r="I472" s="31">
        <f t="shared" si="26"/>
        <v>23</v>
      </c>
      <c r="J472" s="31">
        <f t="shared" si="27"/>
        <v>5</v>
      </c>
      <c r="K472" s="32">
        <f t="shared" si="28"/>
        <v>0.8214285714285714</v>
      </c>
      <c r="L472" s="72"/>
      <c r="M472" s="72"/>
      <c r="N472" s="72"/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1053</v>
      </c>
      <c r="C473" t="s">
        <v>1070</v>
      </c>
      <c r="D473" t="s">
        <v>575</v>
      </c>
      <c r="E473" s="30" t="s">
        <v>73</v>
      </c>
      <c r="F473" s="30" t="s">
        <v>28</v>
      </c>
      <c r="G473" s="30"/>
      <c r="H473" s="30" t="s">
        <v>886</v>
      </c>
      <c r="I473" s="31">
        <f t="shared" si="26"/>
        <v>18</v>
      </c>
      <c r="J473" s="31">
        <f t="shared" si="27"/>
        <v>10</v>
      </c>
      <c r="K473" s="32">
        <f t="shared" si="28"/>
        <v>0.6428571428571429</v>
      </c>
      <c r="L473" s="72" t="s">
        <v>1534</v>
      </c>
      <c r="M473" s="72" t="s">
        <v>1534</v>
      </c>
      <c r="N473" s="72" t="s">
        <v>1534</v>
      </c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 t="s">
        <v>1534</v>
      </c>
      <c r="U473" s="72" t="s">
        <v>1534</v>
      </c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1054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887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 t="s">
        <v>1534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1055</v>
      </c>
      <c r="C475" t="s">
        <v>1070</v>
      </c>
      <c r="D475" t="s">
        <v>577</v>
      </c>
      <c r="E475" s="30" t="s">
        <v>73</v>
      </c>
      <c r="F475" s="30" t="s">
        <v>28</v>
      </c>
      <c r="G475" s="30"/>
      <c r="H475" s="30" t="s">
        <v>888</v>
      </c>
      <c r="I475" s="31">
        <f t="shared" si="26"/>
        <v>16</v>
      </c>
      <c r="J475" s="31">
        <f t="shared" si="27"/>
        <v>12</v>
      </c>
      <c r="K475" s="32">
        <f t="shared" si="28"/>
        <v>0.5714285714285714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 t="s">
        <v>1534</v>
      </c>
      <c r="V475" s="72" t="s">
        <v>1534</v>
      </c>
      <c r="W475" s="72" t="s">
        <v>1534</v>
      </c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1056</v>
      </c>
      <c r="C476" t="s">
        <v>1070</v>
      </c>
      <c r="D476" t="s">
        <v>578</v>
      </c>
      <c r="E476" s="30" t="s">
        <v>15</v>
      </c>
      <c r="F476" s="30" t="s">
        <v>28</v>
      </c>
      <c r="G476" s="30"/>
      <c r="H476" s="30" t="s">
        <v>889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579</v>
      </c>
      <c r="C477" t="s">
        <v>1070</v>
      </c>
      <c r="D477" t="s">
        <v>580</v>
      </c>
      <c r="E477" s="30" t="s">
        <v>73</v>
      </c>
      <c r="F477" s="30" t="s">
        <v>28</v>
      </c>
      <c r="G477" s="30"/>
      <c r="H477" s="30" t="s">
        <v>890</v>
      </c>
      <c r="I477" s="31">
        <f t="shared" si="26"/>
        <v>16</v>
      </c>
      <c r="J477" s="31">
        <f t="shared" si="27"/>
        <v>12</v>
      </c>
      <c r="K477" s="32">
        <f t="shared" si="28"/>
        <v>0.5714285714285714</v>
      </c>
      <c r="L477" s="72" t="s">
        <v>1534</v>
      </c>
      <c r="M477" s="72" t="s">
        <v>1534</v>
      </c>
      <c r="N477" s="72" t="s">
        <v>1534</v>
      </c>
      <c r="O477" s="72" t="s">
        <v>1534</v>
      </c>
      <c r="P477" s="72" t="s">
        <v>1534</v>
      </c>
      <c r="Q477" s="72" t="s">
        <v>1534</v>
      </c>
      <c r="R477" s="72" t="s">
        <v>1534</v>
      </c>
      <c r="S477" s="72" t="s">
        <v>1534</v>
      </c>
      <c r="T477" s="72" t="s">
        <v>1534</v>
      </c>
      <c r="U477" s="72" t="s">
        <v>1534</v>
      </c>
      <c r="V477" s="72" t="s">
        <v>1534</v>
      </c>
      <c r="W477" s="72" t="s">
        <v>1534</v>
      </c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581</v>
      </c>
      <c r="C478" t="s">
        <v>1070</v>
      </c>
      <c r="D478" t="s">
        <v>582</v>
      </c>
      <c r="E478" s="30" t="s">
        <v>15</v>
      </c>
      <c r="F478" s="30" t="s">
        <v>28</v>
      </c>
      <c r="G478" s="30"/>
      <c r="H478" s="30" t="s">
        <v>891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583</v>
      </c>
      <c r="C479" t="s">
        <v>1070</v>
      </c>
      <c r="D479" t="s">
        <v>584</v>
      </c>
      <c r="E479" s="30" t="s">
        <v>15</v>
      </c>
      <c r="F479" s="30" t="s">
        <v>28</v>
      </c>
      <c r="G479" s="30"/>
      <c r="H479" s="30" t="s">
        <v>892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585</v>
      </c>
      <c r="C480" t="s">
        <v>1070</v>
      </c>
      <c r="D480" t="s">
        <v>1099</v>
      </c>
      <c r="E480" s="30" t="s">
        <v>19</v>
      </c>
      <c r="F480" s="30" t="s">
        <v>20</v>
      </c>
      <c r="G480" s="30"/>
      <c r="H480" s="30" t="s">
        <v>1407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1057</v>
      </c>
      <c r="C481" t="s">
        <v>1070</v>
      </c>
      <c r="D481" t="s">
        <v>1100</v>
      </c>
      <c r="E481" s="30" t="s">
        <v>73</v>
      </c>
      <c r="F481" s="30" t="s">
        <v>28</v>
      </c>
      <c r="G481" s="30"/>
      <c r="H481" s="30" t="s">
        <v>893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1058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894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1059</v>
      </c>
      <c r="C483" t="s">
        <v>1070</v>
      </c>
      <c r="D483" t="s">
        <v>1114</v>
      </c>
      <c r="E483" s="30" t="s">
        <v>15</v>
      </c>
      <c r="F483" s="30" t="s">
        <v>28</v>
      </c>
      <c r="G483" s="30"/>
      <c r="H483" s="30" t="s">
        <v>895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586</v>
      </c>
      <c r="C484" t="s">
        <v>1070</v>
      </c>
      <c r="D484" t="s">
        <v>1101</v>
      </c>
      <c r="E484" s="30" t="s">
        <v>15</v>
      </c>
      <c r="F484" s="30" t="s">
        <v>28</v>
      </c>
      <c r="G484" s="30"/>
      <c r="H484" s="30" t="s">
        <v>1228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588</v>
      </c>
      <c r="C485" t="s">
        <v>1070</v>
      </c>
      <c r="D485" t="s">
        <v>589</v>
      </c>
      <c r="E485" s="30" t="s">
        <v>73</v>
      </c>
      <c r="F485" s="30" t="s">
        <v>28</v>
      </c>
      <c r="G485" s="30"/>
      <c r="H485" s="30" t="s">
        <v>896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1060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897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1061</v>
      </c>
      <c r="C487" t="s">
        <v>1070</v>
      </c>
      <c r="D487" t="s">
        <v>590</v>
      </c>
      <c r="E487" s="30" t="s">
        <v>73</v>
      </c>
      <c r="F487" s="30" t="s">
        <v>28</v>
      </c>
      <c r="G487" s="30"/>
      <c r="H487" s="30" t="s">
        <v>898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591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592</v>
      </c>
      <c r="B489" t="s">
        <v>593</v>
      </c>
      <c r="C489" t="s">
        <v>1070</v>
      </c>
      <c r="D489" t="s">
        <v>594</v>
      </c>
      <c r="E489" s="30" t="s">
        <v>15</v>
      </c>
      <c r="F489" s="30" t="s">
        <v>28</v>
      </c>
      <c r="G489" s="30"/>
      <c r="H489" s="30" t="s">
        <v>900</v>
      </c>
      <c r="I489" s="31">
        <f t="shared" si="26"/>
        <v>21</v>
      </c>
      <c r="J489" s="31">
        <f t="shared" si="27"/>
        <v>7</v>
      </c>
      <c r="K489" s="32">
        <f t="shared" si="28"/>
        <v>0.75</v>
      </c>
      <c r="L489" s="72" t="s">
        <v>1534</v>
      </c>
      <c r="M489" s="72" t="s">
        <v>1534</v>
      </c>
      <c r="N489" s="72" t="s">
        <v>1534</v>
      </c>
      <c r="O489" s="72" t="s">
        <v>1534</v>
      </c>
      <c r="P489" s="72" t="s">
        <v>1534</v>
      </c>
      <c r="Q489" s="72" t="s">
        <v>1534</v>
      </c>
      <c r="R489" s="72" t="s">
        <v>1534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1062</v>
      </c>
      <c r="C490" t="s">
        <v>1070</v>
      </c>
      <c r="D490" t="s">
        <v>596</v>
      </c>
      <c r="E490" s="30" t="s">
        <v>15</v>
      </c>
      <c r="F490" s="30" t="s">
        <v>20</v>
      </c>
      <c r="G490" s="30"/>
      <c r="H490" s="30" t="s">
        <v>901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597</v>
      </c>
      <c r="C491" t="s">
        <v>1070</v>
      </c>
      <c r="D491" t="s">
        <v>598</v>
      </c>
      <c r="E491" s="30" t="s">
        <v>15</v>
      </c>
      <c r="F491" s="30" t="s">
        <v>20</v>
      </c>
      <c r="G491" s="30"/>
      <c r="H491" s="30" t="s">
        <v>902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599</v>
      </c>
      <c r="C492" t="s">
        <v>1070</v>
      </c>
      <c r="D492" t="s">
        <v>600</v>
      </c>
      <c r="E492" s="30" t="s">
        <v>15</v>
      </c>
      <c r="F492" s="30" t="s">
        <v>20</v>
      </c>
      <c r="G492" s="30"/>
      <c r="H492" s="30" t="s">
        <v>903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1122</v>
      </c>
      <c r="C493" s="30" t="s">
        <v>1070</v>
      </c>
      <c r="D493" t="s">
        <v>1124</v>
      </c>
      <c r="E493" s="30" t="s">
        <v>1121</v>
      </c>
      <c r="F493" s="30" t="s">
        <v>28</v>
      </c>
      <c r="G493" s="30"/>
      <c r="H493" s="30" t="s">
        <v>1129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1123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1130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1208</v>
      </c>
      <c r="C495" s="30" t="s">
        <v>1070</v>
      </c>
      <c r="D495" t="s">
        <v>1209</v>
      </c>
      <c r="E495" s="30" t="s">
        <v>15</v>
      </c>
      <c r="F495" s="30" t="s">
        <v>28</v>
      </c>
      <c r="G495" s="30"/>
      <c r="H495" s="30" t="s">
        <v>1210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604</v>
      </c>
      <c r="C496" t="s">
        <v>1070</v>
      </c>
      <c r="D496" t="s">
        <v>605</v>
      </c>
      <c r="E496" s="30" t="s">
        <v>19</v>
      </c>
      <c r="F496" s="30" t="s">
        <v>1309</v>
      </c>
      <c r="G496" s="30"/>
      <c r="H496" s="30" t="s">
        <v>1380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310</v>
      </c>
      <c r="B497" t="s">
        <v>606</v>
      </c>
      <c r="C497" t="s">
        <v>1070</v>
      </c>
      <c r="D497" t="s">
        <v>607</v>
      </c>
      <c r="E497" s="30" t="s">
        <v>19</v>
      </c>
      <c r="F497" s="30" t="s">
        <v>1309</v>
      </c>
      <c r="G497" s="30"/>
      <c r="H497" s="30" t="s">
        <v>1377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608</v>
      </c>
      <c r="C498" t="s">
        <v>1070</v>
      </c>
      <c r="D498" t="s">
        <v>609</v>
      </c>
      <c r="E498" s="30" t="s">
        <v>15</v>
      </c>
      <c r="F498" s="30" t="s">
        <v>1309</v>
      </c>
      <c r="G498" s="30"/>
      <c r="H498" s="30" t="s">
        <v>1523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601</v>
      </c>
      <c r="C499" t="s">
        <v>1070</v>
      </c>
      <c r="D499" t="s">
        <v>602</v>
      </c>
      <c r="E499" s="30" t="s">
        <v>19</v>
      </c>
      <c r="F499" s="30" t="s">
        <v>20</v>
      </c>
      <c r="G499" s="30"/>
      <c r="H499" s="30" t="s">
        <v>1439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1457</v>
      </c>
      <c r="C500" t="s">
        <v>1069</v>
      </c>
      <c r="D500" t="s">
        <v>1458</v>
      </c>
      <c r="E500" s="30" t="s">
        <v>46</v>
      </c>
      <c r="F500" s="30" t="s">
        <v>28</v>
      </c>
      <c r="G500" s="30"/>
      <c r="H500" s="30" t="s">
        <v>1463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1460</v>
      </c>
      <c r="C501" t="s">
        <v>1069</v>
      </c>
      <c r="D501" t="s">
        <v>1459</v>
      </c>
      <c r="E501" s="30" t="s">
        <v>73</v>
      </c>
      <c r="F501" s="30" t="s">
        <v>28</v>
      </c>
      <c r="G501" s="30"/>
      <c r="H501" s="30" t="s">
        <v>1464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1461</v>
      </c>
      <c r="C502" t="s">
        <v>1069</v>
      </c>
      <c r="D502" t="s">
        <v>1462</v>
      </c>
      <c r="E502" s="30" t="s">
        <v>73</v>
      </c>
      <c r="F502" s="30" t="s">
        <v>28</v>
      </c>
      <c r="G502" s="30"/>
      <c r="H502" s="30" t="s">
        <v>1465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K752" s="13"/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</sheetData>
  <autoFilter ref="A7:AO582" xr:uid="{00000000-0001-0000-0000-000000000000}"/>
  <sortState xmlns:xlrd2="http://schemas.microsoft.com/office/spreadsheetml/2017/richdata2" ref="A575:AN580">
    <sortCondition ref="B575:B580"/>
  </sortState>
  <phoneticPr fontId="6" type="noConversion"/>
  <conditionalFormatting sqref="C1:C233 D116:D125 D133 D184 D188:D190 D195:D196 D225:D226 D233 C234:D234 C235:C502 D239:D240 D250 D321:D322 D330 C331:D331 D347:D349 D362 D409:D412 D470 C585:C1048576">
    <cfRule type="cellIs" dxfId="53" priority="458" operator="equal">
      <formula>$C$236</formula>
    </cfRule>
  </conditionalFormatting>
  <conditionalFormatting sqref="C1:C233 D188:D190 C234:D234 C235:C502 D239:D240 D250 C331:D331 D347:D349 D362 C585:C1048576 D116:D125 D133 D184 D195:D196 D225:D226 D233 D321:D322 D330 D409:D412 D470">
    <cfRule type="cellIs" dxfId="52" priority="457" operator="equal">
      <formula>$C$251</formula>
    </cfRule>
  </conditionalFormatting>
  <conditionalFormatting sqref="C1:C502 D188 D239:D240 D250 D347:D349 D362 C585:C1048576">
    <cfRule type="cellIs" dxfId="51" priority="3" operator="equal">
      <formula>"IPCOMS"</formula>
    </cfRule>
  </conditionalFormatting>
  <conditionalFormatting sqref="E1:E28 E31:E195 E197:E346 E350:E361 E363:E479 E492:E502 E585:E1048576">
    <cfRule type="containsText" dxfId="50" priority="463" operator="containsText" text="fija">
      <formula>NOT(ISERROR(SEARCH("fija",E1)))</formula>
    </cfRule>
    <cfRule type="containsText" dxfId="49" priority="464" operator="containsText" text="domo">
      <formula>NOT(ISERROR(SEARCH("domo",E1)))</formula>
    </cfRule>
  </conditionalFormatting>
  <conditionalFormatting sqref="E31:E32">
    <cfRule type="containsText" dxfId="48" priority="1" operator="containsText" text="Radio">
      <formula>NOT(ISERROR(SEARCH("Radio",E31)))</formula>
    </cfRule>
  </conditionalFormatting>
  <conditionalFormatting sqref="E363:E502 E1:E28 E31:E195 E197:E346 E350:E361 E585:E1048576">
    <cfRule type="cellIs" dxfId="47" priority="459" operator="equal">
      <formula>$E$10</formula>
    </cfRule>
  </conditionalFormatting>
  <conditionalFormatting sqref="E481">
    <cfRule type="containsText" dxfId="46" priority="406" operator="containsText" text="Radio">
      <formula>NOT(ISERROR(SEARCH("Radio",E481)))</formula>
    </cfRule>
    <cfRule type="containsText" dxfId="45" priority="405" operator="containsText" text="domo">
      <formula>NOT(ISERROR(SEARCH("domo",E481)))</formula>
    </cfRule>
    <cfRule type="containsText" dxfId="44" priority="404" operator="containsText" text="fija">
      <formula>NOT(ISERROR(SEARCH("fija",E481)))</formula>
    </cfRule>
  </conditionalFormatting>
  <conditionalFormatting sqref="E481:E482">
    <cfRule type="containsText" dxfId="43" priority="400" operator="containsText" text="domo">
      <formula>NOT(ISERROR(SEARCH("domo",E481)))</formula>
    </cfRule>
    <cfRule type="containsText" dxfId="42" priority="399" operator="containsText" text="fija">
      <formula>NOT(ISERROR(SEARCH("fija",E481)))</formula>
    </cfRule>
  </conditionalFormatting>
  <conditionalFormatting sqref="E482">
    <cfRule type="containsText" dxfId="41" priority="398" operator="containsText" text="domo">
      <formula>NOT(ISERROR(SEARCH("domo",E482)))</formula>
    </cfRule>
    <cfRule type="containsText" dxfId="40" priority="397" operator="containsText" text="fija">
      <formula>NOT(ISERROR(SEARCH("fija",E482)))</formula>
    </cfRule>
    <cfRule type="containsText" dxfId="39" priority="401" operator="containsText" text="Radio">
      <formula>NOT(ISERROR(SEARCH("Radio",E482)))</formula>
    </cfRule>
  </conditionalFormatting>
  <conditionalFormatting sqref="E485">
    <cfRule type="containsText" dxfId="38" priority="395" operator="containsText" text="domo">
      <formula>NOT(ISERROR(SEARCH("domo",E485)))</formula>
    </cfRule>
    <cfRule type="containsText" dxfId="37" priority="396" operator="containsText" text="Radio">
      <formula>NOT(ISERROR(SEARCH("Radio",E485)))</formula>
    </cfRule>
    <cfRule type="containsText" dxfId="36" priority="394" operator="containsText" text="fija">
      <formula>NOT(ISERROR(SEARCH("fija",E485)))</formula>
    </cfRule>
  </conditionalFormatting>
  <conditionalFormatting sqref="E485:E486">
    <cfRule type="containsText" dxfId="35" priority="389" operator="containsText" text="fija">
      <formula>NOT(ISERROR(SEARCH("fija",E485)))</formula>
    </cfRule>
    <cfRule type="containsText" dxfId="34" priority="390" operator="containsText" text="domo">
      <formula>NOT(ISERROR(SEARCH("domo",E485)))</formula>
    </cfRule>
  </conditionalFormatting>
  <conditionalFormatting sqref="E486 E1:H28 F29:G32 E33:H119 E126:H195 E197:H345 E346:F346 F347:F349 E350:H361 E363:H479 E492:H502 E585:H1048576 E120:E125 H346 G346:G349">
    <cfRule type="containsText" dxfId="33" priority="391" operator="containsText" text="Radio">
      <formula>NOT(ISERROR(SEARCH("Radio",E1)))</formula>
    </cfRule>
  </conditionalFormatting>
  <conditionalFormatting sqref="E486:E487">
    <cfRule type="containsText" dxfId="32" priority="385" operator="containsText" text="domo">
      <formula>NOT(ISERROR(SEARCH("domo",E486)))</formula>
    </cfRule>
    <cfRule type="containsText" dxfId="31" priority="384" operator="containsText" text="fija">
      <formula>NOT(ISERROR(SEARCH("fija",E486)))</formula>
    </cfRule>
  </conditionalFormatting>
  <conditionalFormatting sqref="E487">
    <cfRule type="containsText" dxfId="30" priority="386" operator="containsText" text="Radio">
      <formula>NOT(ISERROR(SEARCH("Radio",E487)))</formula>
    </cfRule>
  </conditionalFormatting>
  <conditionalFormatting sqref="E487:E488">
    <cfRule type="containsText" dxfId="29" priority="380" operator="containsText" text="domo">
      <formula>NOT(ISERROR(SEARCH("domo",E487)))</formula>
    </cfRule>
    <cfRule type="containsText" dxfId="28" priority="379" operator="containsText" text="fija">
      <formula>NOT(ISERROR(SEARCH("fija",E487)))</formula>
    </cfRule>
  </conditionalFormatting>
  <conditionalFormatting sqref="E488">
    <cfRule type="containsText" dxfId="27" priority="381" operator="containsText" text="Radio">
      <formula>NOT(ISERROR(SEARCH("Radio",E488)))</formula>
    </cfRule>
    <cfRule type="containsText" dxfId="26" priority="377" operator="containsText" text="fija">
      <formula>NOT(ISERROR(SEARCH("fija",E488)))</formula>
    </cfRule>
    <cfRule type="containsText" dxfId="25" priority="378" operator="containsText" text="domo">
      <formula>NOT(ISERROR(SEARCH("domo",E488)))</formula>
    </cfRule>
  </conditionalFormatting>
  <conditionalFormatting sqref="E490">
    <cfRule type="containsText" dxfId="24" priority="675" operator="containsText" text="fija">
      <formula>NOT(ISERROR(SEARCH("fija",E490)))</formula>
    </cfRule>
    <cfRule type="containsText" dxfId="23" priority="676" operator="containsText" text="domo">
      <formula>NOT(ISERROR(SEARCH("domo",E490)))</formula>
    </cfRule>
  </conditionalFormatting>
  <conditionalFormatting sqref="E493:E495">
    <cfRule type="containsText" dxfId="22" priority="407" operator="containsText" text="fija">
      <formula>NOT(ISERROR(SEARCH("fija",E493)))</formula>
    </cfRule>
    <cfRule type="containsText" dxfId="21" priority="408" operator="containsText" text="domo">
      <formula>NOT(ISERROR(SEARCH("domo",E493)))</formula>
    </cfRule>
  </conditionalFormatting>
  <conditionalFormatting sqref="E490:H490">
    <cfRule type="containsText" dxfId="20" priority="932" operator="containsText" text="Radio">
      <formula>NOT(ISERROR(SEARCH("Radio",E490)))</formula>
    </cfRule>
  </conditionalFormatting>
  <conditionalFormatting sqref="F1:F119 F126:F195 F197:F361 F363:F502 F585:F1048576">
    <cfRule type="cellIs" dxfId="19" priority="5" operator="equal">
      <formula>"GPON"</formula>
    </cfRule>
    <cfRule type="cellIs" dxfId="18" priority="4" operator="equal">
      <formula>"GPON"</formula>
    </cfRule>
  </conditionalFormatting>
  <conditionalFormatting sqref="F480">
    <cfRule type="cellIs" dxfId="17" priority="55" operator="equal">
      <formula>"PTP A FO"</formula>
    </cfRule>
    <cfRule type="containsText" dxfId="16" priority="54" operator="containsText" text="Radio">
      <formula>NOT(ISERROR(SEARCH("Radio",F480)))</formula>
    </cfRule>
  </conditionalFormatting>
  <conditionalFormatting sqref="F1:G119 F126:G195 F197:G361 F363:G479 F490:G490 F492:G502 F585:G1048576">
    <cfRule type="cellIs" dxfId="15" priority="656" operator="equal">
      <formula>"PTP A FO"</formula>
    </cfRule>
  </conditionalFormatting>
  <conditionalFormatting sqref="F1:G119 F126:G195 F197:G361 F363:G502 F585:G1048576">
    <cfRule type="cellIs" dxfId="14" priority="460" operator="equal">
      <formula>$F$13</formula>
    </cfRule>
    <cfRule type="cellIs" dxfId="13" priority="461" operator="equal">
      <formula>"PTP A FO"</formula>
    </cfRule>
  </conditionalFormatting>
  <conditionalFormatting sqref="K7:K502">
    <cfRule type="cellIs" dxfId="12" priority="891" operator="lessThan">
      <formula>0.8</formula>
    </cfRule>
    <cfRule type="cellIs" dxfId="11" priority="892" operator="greaterThan">
      <formula>0.8</formula>
    </cfRule>
  </conditionalFormatting>
  <conditionalFormatting sqref="L585:AN661 V585:AG1048576">
    <cfRule type="cellIs" dxfId="10" priority="38" operator="equal">
      <formula>"apagado"</formula>
    </cfRule>
  </conditionalFormatting>
  <conditionalFormatting sqref="L585:AN1048576">
    <cfRule type="containsText" dxfId="9" priority="588" operator="containsText" text="Caida">
      <formula>NOT(ISERROR(SEARCH("Caida",L585)))</formula>
    </cfRule>
    <cfRule type="notContainsText" dxfId="8" priority="921" operator="notContains" text="Caida">
      <formula>ISERROR(SEARCH("Caida",L585))</formula>
    </cfRule>
  </conditionalFormatting>
  <conditionalFormatting sqref="L8:AO32 AP8:AP119 L33:AN79 AO33:AO119 L80:AF80 AH80:AN80 L81:AN118 AB119:AN119 L119:AA125 AB120:AP125 L126:AP195 Y196 L197:AN300 AO197:AP346 L301:AA301 AC301:AN301 L302:AN346 M347:N347 L347:L349 M348:M349 N348:N350 L350:M350 O350:AO350 AP350:AP361 L351:AO358 N359:AO361 L359:M362 L363:AP502 AH585:AN1048576">
    <cfRule type="cellIs" dxfId="7" priority="37" operator="equal">
      <formula>"APAGADO"</formula>
    </cfRule>
  </conditionalFormatting>
  <conditionalFormatting sqref="N585:N1104">
    <cfRule type="notContainsText" dxfId="6" priority="217" operator="notContains" text="Caida">
      <formula>ISERROR(SEARCH("Caida",N585))</formula>
    </cfRule>
    <cfRule type="cellIs" dxfId="5" priority="347" operator="equal">
      <formula>"APAGADO"</formula>
    </cfRule>
    <cfRule type="cellIs" dxfId="4" priority="243" operator="greaterThan">
      <formula>0.8</formula>
    </cfRule>
    <cfRule type="cellIs" dxfId="3" priority="220" operator="greaterThan">
      <formula>0.8</formula>
    </cfRule>
    <cfRule type="cellIs" dxfId="2" priority="219" operator="lessThan">
      <formula>0.8</formula>
    </cfRule>
    <cfRule type="containsText" dxfId="1" priority="218" operator="containsText" text="Caida">
      <formula>NOT(ISERROR(SEARCH("Caida",N585)))</formula>
    </cfRule>
  </conditionalFormatting>
  <conditionalFormatting sqref="N585:N1048576">
    <cfRule type="cellIs" dxfId="0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00" zoomScale="90" zoomScaleNormal="9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495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0.1393939393939394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0.13535353535353536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0.12323232323232323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9.696969696969697E-2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7.6767676767676762E-2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268</v>
      </c>
      <c r="D9" s="121">
        <f>Hoja1!F3</f>
        <v>26</v>
      </c>
      <c r="E9" s="111">
        <f>D9/C9</f>
        <v>9.7014925373134331E-2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495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0.17171717171717171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0.16767676767676767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0.15555555555555556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0.12525252525252525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0.10505050505050505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268</v>
      </c>
      <c r="D20" s="121">
        <f>Hoja1!G3</f>
        <v>40</v>
      </c>
      <c r="E20" s="111">
        <f>D20/C20</f>
        <v>0.14925373134328357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495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0.17171717171717171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0.12121212121212122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0.10909090909090909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7.8787878787878782E-2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5.8585858585858588E-2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268</v>
      </c>
      <c r="D31" s="121">
        <f>Hoja1!H3</f>
        <v>40</v>
      </c>
      <c r="E31" s="111">
        <f>D31/C31</f>
        <v>0.14925373134328357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495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0.20606060606060606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0.1898989898989899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0.17777777777777778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0.13333333333333333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0.11313131313131314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268</v>
      </c>
      <c r="D42" s="121">
        <f>Hoja1!I3</f>
        <v>30</v>
      </c>
      <c r="E42" s="111">
        <f>D42/C42</f>
        <v>0.11194029850746269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495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0.23030303030303031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0.21414141414141413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0.20202020202020202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0.16767676767676767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0.14747474747474748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268</v>
      </c>
      <c r="D53" s="121">
        <f>Hoja1!J3</f>
        <v>40</v>
      </c>
      <c r="E53" s="111">
        <f>D53/C53</f>
        <v>0.14925373134328357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495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0.20404040404040405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-4.2424242424242427E-2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268</v>
      </c>
      <c r="D64" s="121">
        <f>Hoja1!K3</f>
        <v>21</v>
      </c>
      <c r="E64" s="111">
        <f>D64/C64</f>
        <v>7.8358208955223885E-2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495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0.24646464646464647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0.20808080808080809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0.19595959595959597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0.15353535353535352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0.13333333333333333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268</v>
      </c>
      <c r="D75" s="121">
        <f>Hoja1!L3</f>
        <v>41</v>
      </c>
      <c r="E75" s="111">
        <f>D75/C75</f>
        <v>0.15298507462686567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495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0.19797979797979798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0.1898989898989899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0.17777777777777778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0.14343434343434344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0.12323232323232323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268</v>
      </c>
      <c r="D86" s="121">
        <f>Hoja1!M3</f>
        <v>21</v>
      </c>
      <c r="E86" s="111">
        <f>D86/C86</f>
        <v>7.8358208955223885E-2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495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0.16161616161616163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-5.0505050505050504E-2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268</v>
      </c>
      <c r="D97" s="121">
        <f>Hoja1!N3</f>
        <v>28</v>
      </c>
      <c r="E97" s="111">
        <f>D97/C97</f>
        <v>0.1044776119402985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495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78</v>
      </c>
      <c r="D102" s="56"/>
      <c r="E102" s="57">
        <f>C102/C101</f>
        <v>0.15757575757575756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0.1393939393939394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0.12727272727272726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9.2929292929292931E-2</v>
      </c>
      <c r="F105" s="150"/>
    </row>
    <row r="106" spans="1:6" ht="15.75" thickBot="1" x14ac:dyDescent="0.3">
      <c r="B106" s="58" t="s">
        <v>1475</v>
      </c>
      <c r="C106" s="137">
        <v>10</v>
      </c>
      <c r="D106" s="110">
        <f>D105-C106</f>
        <v>36</v>
      </c>
      <c r="E106" s="76">
        <f>D106/C101</f>
        <v>7.2727272727272724E-2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268</v>
      </c>
      <c r="D108" s="121">
        <f>Hoja1!O3</f>
        <v>31</v>
      </c>
      <c r="E108" s="111">
        <f>D108/C108</f>
        <v>0.11567164179104478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495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0.15555555555555556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0.14747474747474748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0.13535353535353536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0.10101010101010101</v>
      </c>
      <c r="F116" s="150"/>
    </row>
    <row r="117" spans="2:6" ht="15.75" thickBot="1" x14ac:dyDescent="0.3">
      <c r="B117" s="58" t="s">
        <v>1475</v>
      </c>
      <c r="C117" s="137">
        <v>10</v>
      </c>
      <c r="D117" s="110">
        <v>40</v>
      </c>
      <c r="E117" s="76">
        <f>D117/C112</f>
        <v>8.0808080808080815E-2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268</v>
      </c>
      <c r="D119" s="121">
        <f>Hoja1!P3</f>
        <v>28</v>
      </c>
      <c r="E119" s="111">
        <f>D119/C119</f>
        <v>0.1044776119402985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495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0.12525252525252525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62</v>
      </c>
      <c r="E125" s="57">
        <f>D125/C123</f>
        <v>0.12525252525252525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62</v>
      </c>
      <c r="E126" s="57">
        <f>D126/C123</f>
        <v>0.12525252525252525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49</v>
      </c>
      <c r="E127" s="57">
        <f>D127/C123</f>
        <v>9.8989898989898989E-2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49</v>
      </c>
      <c r="E128" s="76">
        <f>D128/C123</f>
        <v>9.8989898989898989E-2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268</v>
      </c>
      <c r="D130" s="121">
        <f>Hoja1!Q3</f>
        <v>26</v>
      </c>
      <c r="E130" s="111">
        <f>D130/C130</f>
        <v>9.7014925373134331E-2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495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268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495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495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268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495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268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495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268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495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268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495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268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495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268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495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268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495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268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495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268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495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268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495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268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495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268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495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268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495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268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495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268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495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268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495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268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TOTAL'!C8:C502,"=BONOMO")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TOTAL'!L8:L610,"=APAGADO",'RESUMEN TOTAL'!C8:C610,"=BONOMO")</f>
        <v>26</v>
      </c>
      <c r="G3" s="47">
        <f>COUNTIFS('RESUMEN TOTAL'!M8:M610,"=APAGADO",'RESUMEN TOTAL'!C8:C610,"=BONOMO")</f>
        <v>40</v>
      </c>
      <c r="H3" s="47">
        <f>COUNTIFS('RESUMEN TOTAL'!N8:N610,"=APAGADO",'RESUMEN TOTAL'!C8:C610,"=BONOMO")</f>
        <v>40</v>
      </c>
      <c r="I3" s="47">
        <f>COUNTIFS('RESUMEN TOTAL'!O8:O610,"=APAGADO",'RESUMEN TOTAL'!C8:C610,"=BONOMO")</f>
        <v>30</v>
      </c>
      <c r="J3" s="47">
        <f>COUNTIFS('RESUMEN TOTAL'!P8:P610,"=APAGADO",'RESUMEN TOTAL'!C8:C610,"=BONOMO")</f>
        <v>40</v>
      </c>
      <c r="K3" s="47">
        <f>COUNTIFS('RESUMEN TOTAL'!Q8:Q610,"=APAGADO",'RESUMEN TOTAL'!C8:C610,"=BONOMO")</f>
        <v>21</v>
      </c>
      <c r="L3" s="47">
        <f>COUNTIFS('RESUMEN TOTAL'!R8:R610,"=APAGADO",'RESUMEN TOTAL'!C8:C610,"=BONOMO")</f>
        <v>41</v>
      </c>
      <c r="M3" s="47">
        <f>COUNTIFS('RESUMEN TOTAL'!S8:S610,"=APAGADO",'RESUMEN TOTAL'!C8:C610,"=BONOMO")</f>
        <v>21</v>
      </c>
      <c r="N3" s="47">
        <f>COUNTIFS('RESUMEN TOTAL'!T8:T610,"=APAGADO",'RESUMEN TOTAL'!C8:C610,"=BONOMO")</f>
        <v>28</v>
      </c>
      <c r="O3" s="47">
        <f>COUNTIFS('RESUMEN TOTAL'!U8:U610,"=APAGADO",'RESUMEN TOTAL'!C8:C610,"=BONOMO")</f>
        <v>31</v>
      </c>
      <c r="P3" s="47">
        <f>COUNTIFS('RESUMEN TOTAL'!V8:V610,"=APAGADO",'RESUMEN TOTAL'!C8:C610,"=BONOMO")</f>
        <v>28</v>
      </c>
      <c r="Q3" s="47">
        <f>COUNTIFS('RESUMEN TOTAL'!W8:W610,"=APAGADO",'RESUMEN TOTAL'!C8:C610,"=BONOMO")</f>
        <v>26</v>
      </c>
      <c r="R3" s="47">
        <f>COUNTIFS('RESUMEN TOTAL'!X8:X610,"=APAGADO",'RESUMEN TOTAL'!C8:C610,"=BONOMO")</f>
        <v>0</v>
      </c>
      <c r="S3" s="47">
        <f>COUNTIFS('RESUMEN TOTAL'!Y8:Y610,"=APAGADO",'RESUMEN TOTAL'!C8:C610,"=BONOMO")</f>
        <v>0</v>
      </c>
      <c r="T3" s="47">
        <f>COUNTIFS('RESUMEN TOTAL'!Z8:Z610,"=APAGADO",'RESUMEN TOTAL'!C8:C610,"=BONOMO")</f>
        <v>0</v>
      </c>
      <c r="U3" s="47">
        <v>0</v>
      </c>
      <c r="V3" s="47">
        <f>COUNTIFS('RESUMEN TOTAL'!AB8:AB610,"=APAGADO",'RESUMEN TOTAL'!C8:C610,"=BONOMO")</f>
        <v>0</v>
      </c>
      <c r="W3" s="47">
        <f>COUNTIFS('RESUMEN TOTAL'!AC8:AC610,"=APAGADO",'RESUMEN TOTAL'!C8:C610,"=BONOMO")</f>
        <v>0</v>
      </c>
      <c r="X3" s="47">
        <f>COUNTIFS('RESUMEN TOTAL'!AD8:AD610,"=APAGADO",'RESUMEN TOTAL'!C8:C610,"=BONOMO")</f>
        <v>0</v>
      </c>
      <c r="Y3" s="47">
        <f>COUNTIFS('RESUMEN TOTAL'!AE8:AE610,"=APAGADO",'RESUMEN TOTAL'!C8:C610,"=BONOMO")</f>
        <v>0</v>
      </c>
      <c r="Z3" s="47">
        <f>COUNTIFS('RESUMEN TOTAL'!AF8:AF610,"=APAGADO",'RESUMEN TOTAL'!C8:C610,"=BONOMO")</f>
        <v>0</v>
      </c>
      <c r="AA3" s="47">
        <f>COUNTIFS('RESUMEN TOTAL'!AG8:AG610,"=APAGADO",'RESUMEN TOTAL'!C8:C610,"=BONOMO")</f>
        <v>0</v>
      </c>
      <c r="AB3" s="47">
        <f>COUNTIFS('RESUMEN TOTAL'!AH8:AH610,"=APAGADO",'RESUMEN TOTAL'!C8:C610,"=BONOMO")</f>
        <v>0</v>
      </c>
      <c r="AC3" s="47">
        <f>COUNTIFS('RESUMEN TOTAL'!AI8:AI610,"=APAGADO",'RESUMEN TOTAL'!C8:C610,"=BONOMO")</f>
        <v>0</v>
      </c>
      <c r="AD3" s="47">
        <f>COUNTIFS('RESUMEN TOTAL'!AJ8:AJ610,"=APAGADO",'RESUMEN TOTAL'!C8:C610,"=BONOMO")</f>
        <v>0</v>
      </c>
      <c r="AE3" s="47">
        <v>0</v>
      </c>
      <c r="AF3" s="47">
        <f>COUNTIFS('RESUMEN TOTAL'!AL8:AL610,"=APAGADO",'RESUMEN TOTAL'!C8:C610,"=BONOMO")</f>
        <v>0</v>
      </c>
      <c r="AG3" s="47">
        <f>COUNTIFS('RESUMEN TOTAL'!AM8:AM610,"=APAGADO",'RESUMEN TOTAL'!C8:C610,"=BONOMO")</f>
        <v>0</v>
      </c>
      <c r="AH3" s="47">
        <f>COUNTIFS('RESUMEN TOTAL'!AN8:AN610,"=APAGADO",'RESUMEN TOTAL'!C8:C610,"=BONOMO")</f>
        <v>0</v>
      </c>
      <c r="AI3" s="47">
        <f>COUNTIFS('RESUMEN TOTAL'!AO8:AO610,"=APAGADO",'RESUMEN TOTAL'!C8:C610,"=BONOMO")</f>
        <v>0</v>
      </c>
      <c r="AJ3" s="47">
        <f>COUNTIFS('RESUMEN TOTAL'!AP8:AP610,"=APAGADO",'RESUMEN TOTAL'!D8:D610,"=BONOMO")</f>
        <v>0</v>
      </c>
    </row>
    <row r="4" spans="1:36" ht="16.5" thickTop="1" thickBot="1" x14ac:dyDescent="0.3">
      <c r="A4" s="49" t="s">
        <v>1070</v>
      </c>
      <c r="B4" s="42">
        <f>COUNTIFS('RESUMEN TOTAL'!C8:C502,"=COSEIDI")</f>
        <v>226</v>
      </c>
      <c r="D4" s="40"/>
      <c r="E4" s="38" t="s">
        <v>1080</v>
      </c>
      <c r="F4" s="51">
        <f t="shared" ref="F4:O4" si="0">F3/BONOMOcam</f>
        <v>9.7014925373134331E-2</v>
      </c>
      <c r="G4" s="51">
        <f t="shared" si="0"/>
        <v>0.14925373134328357</v>
      </c>
      <c r="H4" s="51">
        <f t="shared" si="0"/>
        <v>0.14925373134328357</v>
      </c>
      <c r="I4" s="51">
        <f t="shared" si="0"/>
        <v>0.11194029850746269</v>
      </c>
      <c r="J4" s="51">
        <f t="shared" si="0"/>
        <v>0.14925373134328357</v>
      </c>
      <c r="K4" s="51">
        <f t="shared" si="0"/>
        <v>7.8358208955223885E-2</v>
      </c>
      <c r="L4" s="51">
        <f t="shared" si="0"/>
        <v>0.15298507462686567</v>
      </c>
      <c r="M4" s="51">
        <f t="shared" si="0"/>
        <v>7.8358208955223885E-2</v>
      </c>
      <c r="N4" s="51">
        <f t="shared" si="0"/>
        <v>0.1044776119402985</v>
      </c>
      <c r="O4" s="51">
        <f t="shared" si="0"/>
        <v>0.11567164179104478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TOTAL'!L10:L612,"=APAGADO",'RESUMEN TOTAL'!C10:C612,"=COSEIDI")</f>
        <v>43</v>
      </c>
      <c r="G5" s="47">
        <f>COUNTIFS('RESUMEN TOTAL'!M10:M612,"=APAGADO",'RESUMEN TOTAL'!C10:C612,"=COSEIDI")</f>
        <v>45</v>
      </c>
      <c r="H5" s="47">
        <f>COUNTIFS('RESUMEN TOTAL'!N10:N612,"=APAGADO",'RESUMEN TOTAL'!C10:C612,"=COSEIDI")</f>
        <v>45</v>
      </c>
      <c r="I5" s="47">
        <f>COUNTIFS('RESUMEN TOTAL'!O10:O612,"=APAGADO",'RESUMEN TOTAL'!C10:C612,"=COSEIDI")</f>
        <v>72</v>
      </c>
      <c r="J5" s="47">
        <f>COUNTIFS('RESUMEN TOTAL'!P10:P612,"=APAGADO",'RESUMEN TOTAL'!C10:C612,"=COSEIDI")</f>
        <v>74</v>
      </c>
      <c r="K5" s="47">
        <f>COUNTIFS('RESUMEN TOTAL'!Q10:Q612,"=APAGADO",'RESUMEN TOTAL'!C10:C612,"=COSEIDI")</f>
        <v>80</v>
      </c>
      <c r="L5" s="47">
        <f>COUNTIFS('RESUMEN TOTAL'!R10:R612,"=APAGADO",'RESUMEN TOTAL'!C10:C612,"=COSEIDI")</f>
        <v>81</v>
      </c>
      <c r="M5" s="47">
        <f>COUNTIFS('RESUMEN TOTAL'!S10:S612,"=APAGADO",'RESUMEN TOTAL'!C10:C612,"=COSEIDI")</f>
        <v>77</v>
      </c>
      <c r="N5" s="47">
        <f>COUNTIFS('RESUMEN TOTAL'!T10:T612,"=APAGADO",'RESUMEN TOTAL'!C10:C612,"=COSEIDI")</f>
        <v>52</v>
      </c>
      <c r="O5" s="47">
        <f>COUNTIFS('RESUMEN TOTAL'!U10:U612,"=APAGADO",'RESUMEN TOTAL'!C10:C612,"=COSEIDI")</f>
        <v>47</v>
      </c>
      <c r="P5" s="47">
        <f>COUNTIFS('RESUMEN TOTAL'!V10:V612,"=APAGADO",'RESUMEN TOTAL'!C10:C612,"=COSEIDI")</f>
        <v>49</v>
      </c>
      <c r="Q5" s="47">
        <f>COUNTIFS('RESUMEN TOTAL'!W10:W612,"=APAGADO",'RESUMEN TOTAL'!C10:C612,"=COSEIDI")</f>
        <v>36</v>
      </c>
      <c r="R5" s="47">
        <f>COUNTIFS('RESUMEN TOTAL'!X10:X612,"=APAGADO",'RESUMEN TOTAL'!C10:C612,"=COSEIDI")</f>
        <v>0</v>
      </c>
      <c r="S5" s="47">
        <f>COUNTIFS('RESUMEN TOTAL'!Y10:Y612,"=APAGADO",'RESUMEN TOTAL'!C10:C612,"=COSEIDI")</f>
        <v>0</v>
      </c>
      <c r="T5" s="47">
        <f>COUNTIFS('RESUMEN TOTAL'!Z10:Z612,"=APAGADO",'RESUMEN TOTAL'!C10:C612,"=COSEIDI")</f>
        <v>0</v>
      </c>
      <c r="U5" s="47">
        <f>COUNTIFS('RESUMEN TOTAL'!AA10:AA612,"=APAGADO",'RESUMEN TOTAL'!C10:C612,"=COSEIDI")</f>
        <v>0</v>
      </c>
      <c r="V5" s="47">
        <f>COUNTIFS('RESUMEN TOTAL'!AB10:AB612,"=APAGADO",'RESUMEN TOTAL'!C10:C612,"=COSEIDI")</f>
        <v>0</v>
      </c>
      <c r="W5" s="47">
        <f>COUNTIFS('RESUMEN TOTAL'!AC10:AC612,"=APAGADO",'RESUMEN TOTAL'!C10:C612,"=COSEIDI")</f>
        <v>0</v>
      </c>
      <c r="X5" s="47">
        <f>COUNTIFS('RESUMEN TOTAL'!AD10:AD612,"=APAGADO",'RESUMEN TOTAL'!C10:C612,"=COSEIDI")</f>
        <v>0</v>
      </c>
      <c r="Y5" s="47">
        <f>COUNTIFS('RESUMEN TOTAL'!AE10:AE612,"=APAGADO",'RESUMEN TOTAL'!C10:C612,"=COSEIDI")</f>
        <v>0</v>
      </c>
      <c r="Z5" s="47">
        <f>COUNTIFS('RESUMEN TOTAL'!AF10:AF612,"=APAGADO",'RESUMEN TOTAL'!C10:C612,"=COSEIDI")</f>
        <v>0</v>
      </c>
      <c r="AA5" s="47">
        <f>COUNTIFS('RESUMEN TOTAL'!AG10:AG612,"=APAGADO",'RESUMEN TOTAL'!C10:C612,"=COSEIDI")</f>
        <v>0</v>
      </c>
      <c r="AB5" s="47">
        <f>COUNTIFS('RESUMEN TOTAL'!AH10:AH612,"=APAGADO",'RESUMEN TOTAL'!C10:C612,"=COSEIDI")</f>
        <v>0</v>
      </c>
      <c r="AC5" s="47">
        <f>COUNTIFS('RESUMEN TOTAL'!AI10:AI612,"=APAGADO",'RESUMEN TOTAL'!C10:C612,"=COSEIDI")</f>
        <v>0</v>
      </c>
      <c r="AD5" s="47">
        <f>COUNTIFS('RESUMEN TOTAL'!AJ10:AJ612,"=APAGADO",'RESUMEN TOTAL'!C10:C612,"=COSEIDI")</f>
        <v>0</v>
      </c>
      <c r="AE5" s="47">
        <f>COUNTIFS('RESUMEN TOTAL'!AK10:AK612,"=APAGADO",'RESUMEN TOTAL'!C10:C612,"=COSEIDI")</f>
        <v>0</v>
      </c>
      <c r="AF5" s="47">
        <f>COUNTIFS('RESUMEN TOTAL'!AL10:AL612,"=APAGADO",'RESUMEN TOTAL'!C10:C612,"=COSEIDI")</f>
        <v>0</v>
      </c>
      <c r="AG5" s="47">
        <f>COUNTIFS('RESUMEN TOTAL'!AM10:AM612,"=APAGADO",'RESUMEN TOTAL'!C10:C612,"=COSEIDI")</f>
        <v>0</v>
      </c>
      <c r="AH5" s="47">
        <f>COUNTIFS('RESUMEN TOTAL'!AN10:AN612,"=APAGADO",'RESUMEN TOTAL'!C10:C612,"=COSEIDI")</f>
        <v>0</v>
      </c>
      <c r="AI5" s="47">
        <f>COUNTIFS('RESUMEN TOTAL'!AO10:AO612,"=APAGADO",'RESUMEN TOTAL'!C10:C612,"=COSEIDI")</f>
        <v>0</v>
      </c>
      <c r="AJ5" s="47">
        <f>COUNTIFS('RESUMEN TOTAL'!AP10:AP612,"=APAGADO",'RESUMEN TOTAL'!D10:D612,"=COSEIDI")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101" priority="3" operator="greaterThan">
      <formula>0.1</formula>
    </cfRule>
    <cfRule type="cellIs" dxfId="100" priority="4" operator="greaterThan">
      <formula>10</formula>
    </cfRule>
  </conditionalFormatting>
  <conditionalFormatting sqref="F6:AJ6">
    <cfRule type="cellIs" dxfId="99" priority="1" operator="greaterThan">
      <formula>0.1</formula>
    </cfRule>
    <cfRule type="cellIs" dxfId="9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 t="str">
        <f>'RESUMEN TOTAL'!S21</f>
        <v>APAGADO</v>
      </c>
      <c r="N18" s="72" t="str">
        <f>'RESUMEN TOTAL'!T21</f>
        <v>APAGADO</v>
      </c>
      <c r="O18" s="72" t="str">
        <f>'RESUMEN TOTAL'!U21</f>
        <v>APAGADO</v>
      </c>
      <c r="P18" s="72" t="str">
        <f>'RESUMEN TOTAL'!V21</f>
        <v>APAGADO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 t="str">
        <f>'RESUMEN TOTAL'!S38</f>
        <v>APAGADO</v>
      </c>
      <c r="N29" s="72" t="str">
        <f>'RESUMEN TOTAL'!T38</f>
        <v>APAGADO</v>
      </c>
      <c r="O29" s="72" t="str">
        <f>'RESUMEN TOTAL'!U38</f>
        <v>APAGADO</v>
      </c>
      <c r="P29" s="72" t="str">
        <f>'RESUMEN TOTAL'!V38</f>
        <v>APAGADO</v>
      </c>
      <c r="Q29" s="72" t="str">
        <f>'RESUMEN TOTAL'!W38</f>
        <v>APAGADO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 t="str">
        <f>'RESUMEN TOTAL'!T52</f>
        <v>APAGADO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 t="str">
        <f>'RESUMEN TOTAL'!S53</f>
        <v>APAGADO</v>
      </c>
      <c r="N44" s="72" t="str">
        <f>'RESUMEN TOTAL'!T53</f>
        <v>APAGADO</v>
      </c>
      <c r="O44" s="72" t="str">
        <f>'RESUMEN TOTAL'!U53</f>
        <v>APAGADO</v>
      </c>
      <c r="P44" s="72" t="str">
        <f>'RESUMEN TOTAL'!V53</f>
        <v>APAGADO</v>
      </c>
      <c r="Q44" s="72" t="str">
        <f>'RESUMEN TOTAL'!W53</f>
        <v>APAGADO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 t="str">
        <f>'RESUMEN TOTAL'!T54</f>
        <v>APAGADO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 t="str">
        <f>'RESUMEN TOTAL'!V56</f>
        <v>APAGADO</v>
      </c>
      <c r="Q47" s="72" t="str">
        <f>'RESUMEN TOTAL'!W56</f>
        <v>APAGADO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 t="str">
        <f>'RESUMEN TOTAL'!S57</f>
        <v>APAGADO</v>
      </c>
      <c r="N48" s="72" t="str">
        <f>'RESUMEN TOTAL'!T57</f>
        <v>APAGADO</v>
      </c>
      <c r="O48" s="72" t="str">
        <f>'RESUMEN TOTAL'!U57</f>
        <v>APAGADO</v>
      </c>
      <c r="P48" s="72" t="str">
        <f>'RESUMEN TOTAL'!V57</f>
        <v>APAGADO</v>
      </c>
      <c r="Q48" s="72" t="str">
        <f>'RESUMEN TOTAL'!W57</f>
        <v>APAGADO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 t="str">
        <f>'RESUMEN TOTAL'!U75</f>
        <v>APAGADO</v>
      </c>
      <c r="P66" s="72" t="str">
        <f>'RESUMEN TOTAL'!V75</f>
        <v>APAGADO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 t="str">
        <f>'RESUMEN TOTAL'!U79</f>
        <v>APAGADO</v>
      </c>
      <c r="P70" s="72" t="str">
        <f>'RESUMEN TOTAL'!V79</f>
        <v>APAGADO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 t="str">
        <f>'RESUMEN TOTAL'!S105</f>
        <v>APAGADO</v>
      </c>
      <c r="N96" s="72" t="str">
        <f>'RESUMEN TOTAL'!T105</f>
        <v>APAGADO</v>
      </c>
      <c r="O96" s="72" t="str">
        <f>'RESUMEN TOTAL'!U105</f>
        <v>APAGADO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TOTAL'!A126</f>
        <v>SAN NICOLAS</v>
      </c>
      <c r="B110" t="str">
        <f>'RESUMEN TOTAL'!B126</f>
        <v>CHA01</v>
      </c>
      <c r="C110" t="str">
        <f>'RESUMEN TOTAL'!D126</f>
        <v>Novak y Pte Illia</v>
      </c>
      <c r="D110" s="30" t="str">
        <f>'RESUMEN TOTAL'!E126</f>
        <v>Domo</v>
      </c>
      <c r="E110" s="30" t="str">
        <f>'RESUMEN TOTAL'!F126</f>
        <v>Radio</v>
      </c>
      <c r="F110" s="72">
        <f>'RESUMEN TOTAL'!L126</f>
        <v>0</v>
      </c>
      <c r="G110" s="72">
        <f>'RESUMEN TOTAL'!M126</f>
        <v>0</v>
      </c>
      <c r="H110" s="72">
        <f>'RESUMEN TOTAL'!N126</f>
        <v>0</v>
      </c>
      <c r="I110" s="72">
        <f>'RESUMEN TOTAL'!O126</f>
        <v>0</v>
      </c>
      <c r="J110" s="72">
        <f>'RESUMEN TOTAL'!P126</f>
        <v>0</v>
      </c>
      <c r="K110" s="72">
        <f>'RESUMEN TOTAL'!Q126</f>
        <v>0</v>
      </c>
      <c r="L110" s="72">
        <f>'RESUMEN TOTAL'!R126</f>
        <v>0</v>
      </c>
      <c r="M110" s="72">
        <f>'RESUMEN TOTAL'!S126</f>
        <v>0</v>
      </c>
      <c r="N110" s="72" t="str">
        <f>'RESUMEN TOTAL'!T126</f>
        <v>APAGADO</v>
      </c>
      <c r="O110" s="72" t="str">
        <f>'RESUMEN TOTAL'!U126</f>
        <v>APAGADO</v>
      </c>
      <c r="P110" s="72">
        <f>'RESUMEN TOTAL'!V126</f>
        <v>0</v>
      </c>
      <c r="Q110" s="72">
        <f>'RESUMEN TOTAL'!W126</f>
        <v>0</v>
      </c>
      <c r="R110" s="72">
        <f>'RESUMEN TOTAL'!X126</f>
        <v>0</v>
      </c>
      <c r="S110" s="72">
        <f>'RESUMEN TOTAL'!Y126</f>
        <v>0</v>
      </c>
      <c r="T110" s="72">
        <f>'RESUMEN TOTAL'!Z126</f>
        <v>0</v>
      </c>
      <c r="U110" s="72">
        <f>'RESUMEN TOTAL'!AA126</f>
        <v>0</v>
      </c>
      <c r="V110" s="72">
        <f>'RESUMEN TOTAL'!AB126</f>
        <v>0</v>
      </c>
      <c r="W110" s="72">
        <f>'RESUMEN TOTAL'!AC126</f>
        <v>0</v>
      </c>
      <c r="X110" s="72">
        <f>'RESUMEN TOTAL'!AD126</f>
        <v>0</v>
      </c>
      <c r="Y110" s="72">
        <f>'RESUMEN TOTAL'!AE126</f>
        <v>0</v>
      </c>
      <c r="Z110" s="72">
        <f>'RESUMEN TOTAL'!AF126</f>
        <v>0</v>
      </c>
      <c r="AA110" s="72">
        <f>'RESUMEN TOTAL'!AG126</f>
        <v>0</v>
      </c>
      <c r="AB110" s="72">
        <f>'RESUMEN TOTAL'!AH126</f>
        <v>0</v>
      </c>
      <c r="AC110" s="72">
        <f>'RESUMEN TOTAL'!AI126</f>
        <v>0</v>
      </c>
      <c r="AD110" s="72">
        <f>'RESUMEN TOTAL'!AJ126</f>
        <v>0</v>
      </c>
      <c r="AE110" s="72">
        <f>'RESUMEN TOTAL'!AK126</f>
        <v>0</v>
      </c>
      <c r="AF110" s="72">
        <f>'RESUMEN TOTAL'!AL126</f>
        <v>0</v>
      </c>
      <c r="AG110" s="72">
        <f>'RESUMEN TOTAL'!AM126</f>
        <v>0</v>
      </c>
      <c r="AH110" s="72">
        <f>'RESUMEN TOTAL'!AN126</f>
        <v>0</v>
      </c>
      <c r="AI110" s="72">
        <f>'RESUMEN TOTAL'!AO126</f>
        <v>0</v>
      </c>
      <c r="AJ110" s="72">
        <f>'RESUMEN TOTAL'!AP126</f>
        <v>0</v>
      </c>
    </row>
    <row r="111" spans="1:36" x14ac:dyDescent="0.25">
      <c r="A111" t="str">
        <f>'RESUMEN TOTAL'!A127</f>
        <v>CHACABUCO</v>
      </c>
      <c r="B111" t="str">
        <f>'RESUMEN TOTAL'!B127</f>
        <v>CHA02</v>
      </c>
      <c r="C111" t="str">
        <f>'RESUMEN TOTAL'!D127</f>
        <v>Pte. Illia y Posadas</v>
      </c>
      <c r="D111" s="30" t="str">
        <f>'RESUMEN TOTAL'!E127</f>
        <v>Domo</v>
      </c>
      <c r="E111" s="30" t="str">
        <f>'RESUMEN TOTAL'!F127</f>
        <v>Radio</v>
      </c>
      <c r="F111" s="72" t="str">
        <f>'RESUMEN TOTAL'!L127</f>
        <v>APAGADO</v>
      </c>
      <c r="G111" s="72" t="str">
        <f>'RESUMEN TOTAL'!M127</f>
        <v>APAGADO</v>
      </c>
      <c r="H111" s="72" t="str">
        <f>'RESUMEN TOTAL'!N127</f>
        <v>APAGADO</v>
      </c>
      <c r="I111" s="72" t="str">
        <f>'RESUMEN TOTAL'!O127</f>
        <v>APAGADO</v>
      </c>
      <c r="J111" s="72" t="str">
        <f>'RESUMEN TOTAL'!P127</f>
        <v>APAGADO</v>
      </c>
      <c r="K111" s="72" t="str">
        <f>'RESUMEN TOTAL'!Q127</f>
        <v>APAGADO</v>
      </c>
      <c r="L111" s="72" t="str">
        <f>'RESUMEN TOTAL'!R127</f>
        <v>APAGADO</v>
      </c>
      <c r="M111" s="72" t="str">
        <f>'RESUMEN TOTAL'!S127</f>
        <v>APAGADO</v>
      </c>
      <c r="N111" s="72" t="str">
        <f>'RESUMEN TOTAL'!T127</f>
        <v>APAGADO</v>
      </c>
      <c r="O111" s="72">
        <f>'RESUMEN TOTAL'!U127</f>
        <v>0</v>
      </c>
      <c r="P111" s="72" t="str">
        <f>'RESUMEN TOTAL'!V127</f>
        <v>APAGADO</v>
      </c>
      <c r="Q111" s="72" t="str">
        <f>'RESUMEN TOTAL'!W127</f>
        <v>APAGADO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CHA03</v>
      </c>
      <c r="C112" t="str">
        <f>'RESUMEN TOTAL'!D128</f>
        <v>MAIPU Y ALVAREZ THOMAS</v>
      </c>
      <c r="D112" s="30" t="str">
        <f>'RESUMEN TOTAL'!E128</f>
        <v>DOMO</v>
      </c>
      <c r="E112" s="30" t="str">
        <f>'RESUMEN TOTAL'!F128</f>
        <v>Fibra Optica</v>
      </c>
      <c r="F112" s="72">
        <f>'RESUMEN TOTAL'!L128</f>
        <v>0</v>
      </c>
      <c r="G112" s="72">
        <f>'RESUMEN TOTAL'!M128</f>
        <v>0</v>
      </c>
      <c r="H112" s="72">
        <f>'RESUMEN TOTAL'!N128</f>
        <v>0</v>
      </c>
      <c r="I112" s="72">
        <f>'RESUMEN TOTAL'!O128</f>
        <v>0</v>
      </c>
      <c r="J112" s="72">
        <f>'RESUMEN TOTAL'!P128</f>
        <v>0</v>
      </c>
      <c r="K112" s="72">
        <f>'RESUMEN TOTAL'!Q128</f>
        <v>0</v>
      </c>
      <c r="L112" s="72">
        <f>'RESUMEN TOTAL'!R128</f>
        <v>0</v>
      </c>
      <c r="M112" s="72">
        <f>'RESUMEN TOTAL'!S128</f>
        <v>0</v>
      </c>
      <c r="N112" s="72">
        <f>'RESUMEN TOTAL'!T128</f>
        <v>0</v>
      </c>
      <c r="O112" s="72">
        <f>'RESUMEN TOTAL'!U128</f>
        <v>0</v>
      </c>
      <c r="P112" s="72">
        <f>'RESUMEN TOTAL'!V128</f>
        <v>0</v>
      </c>
      <c r="Q112" s="72">
        <f>'RESUMEN TOTAL'!W128</f>
        <v>0</v>
      </c>
      <c r="R112" s="72">
        <f>'RESUMEN TOTAL'!X128</f>
        <v>0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CHA04</v>
      </c>
      <c r="C113" t="str">
        <f>'RESUMEN TOTAL'!D129</f>
        <v>ESTADOS UNIDOS DE A. E ILLIA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VILLA MONICA NUEVA</v>
      </c>
      <c r="B114" t="str">
        <f>'RESUMEN TOTAL'!B130</f>
        <v>COL01</v>
      </c>
      <c r="C114" t="str">
        <f>'RESUMEN TOTAL'!D130</f>
        <v>Eva Peron y Cariboni</v>
      </c>
      <c r="D114" s="30" t="str">
        <f>'RESUMEN TOTAL'!E130</f>
        <v>Domo</v>
      </c>
      <c r="E114" s="30" t="str">
        <f>'RESUMEN TOTAL'!F130</f>
        <v>Radio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LA COLORADA ESTE</v>
      </c>
      <c r="B115" t="str">
        <f>'RESUMEN TOTAL'!B131</f>
        <v>COL02</v>
      </c>
      <c r="C115" t="str">
        <f>'RESUMEN TOTAL'!D131</f>
        <v>Av. Eva Peron y Pompeya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 03</v>
      </c>
      <c r="C116" t="str">
        <f>'RESUMEN TOTAL'!D132</f>
        <v>CARIBONI Y LA ANCIANIDAD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 t="str">
        <f>'RESUMEN TOTAL'!M132</f>
        <v>APAGADO</v>
      </c>
      <c r="H116" s="72" t="str">
        <f>'RESUMEN TOTAL'!N132</f>
        <v>APAGADO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04</v>
      </c>
      <c r="C117" t="str">
        <f>'RESUMEN TOTAL'!D133</f>
        <v>EVA PERON Y SAVIO</v>
      </c>
      <c r="D117" s="30" t="str">
        <f>'RESUMEN TOTAL'!E133</f>
        <v>Domo</v>
      </c>
      <c r="E117" s="30" t="str">
        <f>'RESUMEN TOTAL'!F133</f>
        <v>Fibra Optica</v>
      </c>
      <c r="F117" s="72">
        <f>'RESUMEN TOTAL'!L133</f>
        <v>0</v>
      </c>
      <c r="G117" s="72">
        <f>'RESUMEN TOTAL'!M133</f>
        <v>0</v>
      </c>
      <c r="H117" s="72">
        <f>'RESUMEN TOTAL'!N133</f>
        <v>0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DON JOSE</v>
      </c>
      <c r="B118" t="str">
        <f>'RESUMEN TOTAL'!B134</f>
        <v>DJO01</v>
      </c>
      <c r="C118" t="str">
        <f>'RESUMEN TOTAL'!D134</f>
        <v>Monteverde y Donato Alvarez</v>
      </c>
      <c r="D118" s="30" t="str">
        <f>'RESUMEN TOTAL'!E134</f>
        <v>Domo</v>
      </c>
      <c r="E118" s="30" t="str">
        <f>'RESUMEN TOTAL'!F134</f>
        <v>Radio</v>
      </c>
      <c r="F118" s="72" t="str">
        <f>'RESUMEN TOTAL'!L134</f>
        <v>APAGADO</v>
      </c>
      <c r="G118" s="72" t="str">
        <f>'RESUMEN TOTAL'!M134</f>
        <v>APAGADO</v>
      </c>
      <c r="H118" s="72" t="str">
        <f>'RESUMEN TOTAL'!N134</f>
        <v>APAGADO</v>
      </c>
      <c r="I118" s="72" t="str">
        <f>'RESUMEN TOTAL'!O134</f>
        <v>APAGADO</v>
      </c>
      <c r="J118" s="72" t="str">
        <f>'RESUMEN TOTAL'!P134</f>
        <v>APAGADO</v>
      </c>
      <c r="K118" s="72" t="str">
        <f>'RESUMEN TOTAL'!Q134</f>
        <v>APAGADO</v>
      </c>
      <c r="L118" s="72" t="str">
        <f>'RESUMEN TOTAL'!R134</f>
        <v>APAGADO</v>
      </c>
      <c r="M118" s="72" t="str">
        <f>'RESUMEN TOTAL'!S134</f>
        <v>APAGADO</v>
      </c>
      <c r="N118" s="72" t="str">
        <f>'RESUMEN TOTAL'!T134</f>
        <v>APAGADO</v>
      </c>
      <c r="O118" s="72" t="str">
        <f>'RESUMEN TOTAL'!U134</f>
        <v>APAGADO</v>
      </c>
      <c r="P118" s="72" t="str">
        <f>'RESUMEN TOTAL'!V134</f>
        <v>APAGADO</v>
      </c>
      <c r="Q118" s="72" t="str">
        <f>'RESUMEN TOTAL'!W134</f>
        <v>APAGADO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 t="str">
        <f>'RESUMEN TOTAL'!AE134</f>
        <v>APÁGADO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 02 (fija 1)</v>
      </c>
      <c r="C119" t="str">
        <f>'RESUMEN TOTAL'!D135</f>
        <v>DONATO ALVAREZ Y EL APERO</v>
      </c>
      <c r="D119" s="30" t="str">
        <f>'RESUMEN TOTAL'!E135</f>
        <v>Fija</v>
      </c>
      <c r="E119" s="30" t="str">
        <f>'RESUMEN TOTAL'!F135</f>
        <v>PTO A FO</v>
      </c>
      <c r="F119" s="72">
        <f>'RESUMEN TOTAL'!L135</f>
        <v>0</v>
      </c>
      <c r="G119" s="72">
        <f>'RESUMEN TOTAL'!M135</f>
        <v>0</v>
      </c>
      <c r="H119" s="72">
        <f>'RESUMEN TOTAL'!N135</f>
        <v>0</v>
      </c>
      <c r="I119" s="72">
        <f>'RESUMEN TOTAL'!O135</f>
        <v>0</v>
      </c>
      <c r="J119" s="72">
        <f>'RESUMEN TOTAL'!P135</f>
        <v>0</v>
      </c>
      <c r="K119" s="72">
        <f>'RESUMEN TOTAL'!Q135</f>
        <v>0</v>
      </c>
      <c r="L119" s="72">
        <f>'RESUMEN TOTAL'!R135</f>
        <v>0</v>
      </c>
      <c r="M119" s="72">
        <f>'RESUMEN TOTAL'!S135</f>
        <v>0</v>
      </c>
      <c r="N119" s="72">
        <f>'RESUMEN TOTAL'!T135</f>
        <v>0</v>
      </c>
      <c r="O119" s="72">
        <f>'RESUMEN TOTAL'!U135</f>
        <v>0</v>
      </c>
      <c r="P119" s="72">
        <f>'RESUMEN TOTAL'!V135</f>
        <v>0</v>
      </c>
      <c r="Q119" s="72">
        <f>'RESUMEN TOTAL'!W135</f>
        <v>0</v>
      </c>
      <c r="R119" s="72">
        <f>'RESUMEN TOTAL'!X135</f>
        <v>0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03 (fija 2)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04 (Fija 1)</v>
      </c>
      <c r="C121" t="str">
        <f>'RESUMEN TOTAL'!D137</f>
        <v>MONTEVERDE Y EL INDIO</v>
      </c>
      <c r="D121" s="30" t="str">
        <f>'RESUMEN TOTAL'!E137</f>
        <v>Fija</v>
      </c>
      <c r="E121" s="30" t="str">
        <f>'RESUMEN TOTAL'!F137</f>
        <v>PTO A FO</v>
      </c>
      <c r="F121" s="72" t="str">
        <f>'RESUMEN TOTAL'!L137</f>
        <v>APAGADO</v>
      </c>
      <c r="G121" s="72" t="str">
        <f>'RESUMEN TOTAL'!M137</f>
        <v>APAGADO</v>
      </c>
      <c r="H121" s="72" t="str">
        <f>'RESUMEN TOTAL'!N137</f>
        <v>APAGADO</v>
      </c>
      <c r="I121" s="72" t="str">
        <f>'RESUMEN TOTAL'!O137</f>
        <v>APAGADO</v>
      </c>
      <c r="J121" s="72" t="str">
        <f>'RESUMEN TOTAL'!P137</f>
        <v>APAGADO</v>
      </c>
      <c r="K121" s="72" t="str">
        <f>'RESUMEN TOTAL'!Q137</f>
        <v>APAGADO</v>
      </c>
      <c r="L121" s="72" t="str">
        <f>'RESUMEN TOTAL'!R137</f>
        <v>APAGADO</v>
      </c>
      <c r="M121" s="72" t="str">
        <f>'RESUMEN TOTAL'!S137</f>
        <v>APAGADO</v>
      </c>
      <c r="N121" s="72" t="str">
        <f>'RESUMEN TOTAL'!T137</f>
        <v>APAGADO</v>
      </c>
      <c r="O121" s="72" t="str">
        <f>'RESUMEN TOTAL'!U137</f>
        <v>APAGADO</v>
      </c>
      <c r="P121" s="72" t="str">
        <f>'RESUMEN TOTAL'!V137</f>
        <v>APAGADO</v>
      </c>
      <c r="Q121" s="72" t="str">
        <f>'RESUMEN TOTAL'!W137</f>
        <v>APAGADO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05 (Fija 2)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>
        <f>'RESUMEN TOTAL'!X138</f>
        <v>0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 O6</v>
      </c>
      <c r="C123" t="str">
        <f>'RESUMEN TOTAL'!D139</f>
        <v>Calle 414 y El Indio</v>
      </c>
      <c r="D123" s="30" t="str">
        <f>'RESUMEN TOTAL'!E139</f>
        <v>Fija</v>
      </c>
      <c r="E123" s="30" t="str">
        <f>'RESUMEN TOTAL'!F139</f>
        <v>PTO A FO</v>
      </c>
      <c r="F123" s="72">
        <f>'RESUMEN TOTAL'!L139</f>
        <v>0</v>
      </c>
      <c r="G123" s="72">
        <f>'RESUMEN TOTAL'!M139</f>
        <v>0</v>
      </c>
      <c r="H123" s="72">
        <f>'RESUMEN TOTAL'!N139</f>
        <v>0</v>
      </c>
      <c r="I123" s="72">
        <f>'RESUMEN TOTAL'!O139</f>
        <v>0</v>
      </c>
      <c r="J123" s="72">
        <f>'RESUMEN TOTAL'!P139</f>
        <v>0</v>
      </c>
      <c r="K123" s="72">
        <f>'RESUMEN TOTAL'!Q139</f>
        <v>0</v>
      </c>
      <c r="L123" s="72">
        <f>'RESUMEN TOTAL'!R139</f>
        <v>0</v>
      </c>
      <c r="M123" s="72">
        <f>'RESUMEN TOTAL'!S139</f>
        <v>0</v>
      </c>
      <c r="N123" s="72">
        <f>'RESUMEN TOTAL'!T139</f>
        <v>0</v>
      </c>
      <c r="O123" s="72">
        <f>'RESUMEN TOTAL'!U139</f>
        <v>0</v>
      </c>
      <c r="P123" s="72">
        <f>'RESUMEN TOTAL'!V139</f>
        <v>0</v>
      </c>
      <c r="Q123" s="72">
        <f>'RESUMEN TOTAL'!W139</f>
        <v>0</v>
      </c>
      <c r="R123" s="72">
        <f>'RESUMEN TOTAL'!X139</f>
        <v>0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07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TOTAL'!A143</f>
        <v>EL PARQUE</v>
      </c>
      <c r="B125" t="str">
        <f>'RESUMEN TOTAL'!B143</f>
        <v>EPQ 01</v>
      </c>
      <c r="C125" t="str">
        <f>'RESUMEN TOTAL'!D143</f>
        <v>1282 Y GRIERSON</v>
      </c>
      <c r="D125" s="30" t="str">
        <f>'RESUMEN TOTAL'!E143</f>
        <v>DOMO</v>
      </c>
      <c r="E125" s="30" t="str">
        <f>'RESUMEN TOTAL'!F143</f>
        <v>Fibra Optica</v>
      </c>
      <c r="F125" s="72">
        <f>'RESUMEN TOTAL'!L143</f>
        <v>0</v>
      </c>
      <c r="G125" s="72">
        <f>'RESUMEN TOTAL'!M143</f>
        <v>0</v>
      </c>
      <c r="H125" s="72">
        <f>'RESUMEN TOTAL'!N143</f>
        <v>0</v>
      </c>
      <c r="I125" s="72">
        <f>'RESUMEN TOTAL'!O143</f>
        <v>0</v>
      </c>
      <c r="J125" s="72" t="str">
        <f>'RESUMEN TOTAL'!P143</f>
        <v>APAGADO</v>
      </c>
      <c r="K125" s="72" t="str">
        <f>'RESUMEN TOTAL'!Q143</f>
        <v>APAGADO</v>
      </c>
      <c r="L125" s="72" t="str">
        <f>'RESUMEN TOTAL'!R143</f>
        <v>APAGADO</v>
      </c>
      <c r="M125" s="72" t="str">
        <f>'RESUMEN TOTAL'!S143</f>
        <v>APAGADO</v>
      </c>
      <c r="N125" s="72">
        <f>'RESUMEN TOTAL'!T143</f>
        <v>0</v>
      </c>
      <c r="O125" s="72">
        <f>'RESUMEN TOTAL'!U143</f>
        <v>0</v>
      </c>
      <c r="P125" s="72">
        <f>'RESUMEN TOTAL'!V143</f>
        <v>0</v>
      </c>
      <c r="Q125" s="72">
        <f>'RESUMEN TOTAL'!W143</f>
        <v>0</v>
      </c>
      <c r="R125" s="72">
        <f>'RESUMEN TOTAL'!X143</f>
        <v>0</v>
      </c>
      <c r="S125" s="72">
        <f>'RESUMEN TOTAL'!Y143</f>
        <v>0</v>
      </c>
      <c r="T125" s="72">
        <f>'RESUMEN TOTAL'!Z143</f>
        <v>0</v>
      </c>
      <c r="U125" s="72">
        <f>'RESUMEN TOTAL'!AA143</f>
        <v>0</v>
      </c>
      <c r="V125" s="72">
        <f>'RESUMEN TOTAL'!AB143</f>
        <v>0</v>
      </c>
      <c r="W125" s="72">
        <f>'RESUMEN TOTAL'!AC143</f>
        <v>0</v>
      </c>
      <c r="X125" s="72">
        <f>'RESUMEN TOTAL'!AD143</f>
        <v>0</v>
      </c>
      <c r="Y125" s="72">
        <f>'RESUMEN TOTAL'!AE143</f>
        <v>0</v>
      </c>
      <c r="Z125" s="72">
        <f>'RESUMEN TOTAL'!AF143</f>
        <v>0</v>
      </c>
      <c r="AA125" s="72">
        <f>'RESUMEN TOTAL'!AG143</f>
        <v>0</v>
      </c>
      <c r="AB125" s="72">
        <f>'RESUMEN TOTAL'!AH143</f>
        <v>0</v>
      </c>
      <c r="AC125" s="72">
        <f>'RESUMEN TOTAL'!AI143</f>
        <v>0</v>
      </c>
      <c r="AD125" s="72">
        <f>'RESUMEN TOTAL'!AJ143</f>
        <v>0</v>
      </c>
      <c r="AE125" s="72">
        <f>'RESUMEN TOTAL'!AK143</f>
        <v>0</v>
      </c>
      <c r="AF125" s="72">
        <f>'RESUMEN TOTAL'!AL143</f>
        <v>0</v>
      </c>
      <c r="AG125" s="72">
        <f>'RESUMEN TOTAL'!AM143</f>
        <v>0</v>
      </c>
      <c r="AH125" s="72">
        <f>'RESUMEN TOTAL'!AN143</f>
        <v>0</v>
      </c>
      <c r="AI125" s="72">
        <f>'RESUMEN TOTAL'!AO143</f>
        <v>0</v>
      </c>
      <c r="AJ125" s="72">
        <f>'RESUMEN TOTAL'!AP143</f>
        <v>0</v>
      </c>
    </row>
    <row r="126" spans="1:36" x14ac:dyDescent="0.25">
      <c r="A126" t="str">
        <f>'RESUMEN TOTAL'!A144</f>
        <v>EL PARQUE</v>
      </c>
      <c r="B126" t="str">
        <f>'RESUMEN TOTAL'!B144</f>
        <v>EPQ 02</v>
      </c>
      <c r="C126" t="str">
        <f>'RESUMEN TOTAL'!D144</f>
        <v>1282 Y MASSE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03</v>
      </c>
      <c r="C127" t="str">
        <f>'RESUMEN TOTAL'!D145</f>
        <v>1282 Y RP 36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04</v>
      </c>
      <c r="C128" t="str">
        <f>'RESUMEN TOTAL'!D146</f>
        <v>1282 Y MORENO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LA ESMERALDA</v>
      </c>
      <c r="B129" t="str">
        <f>'RESUMEN TOTAL'!B147</f>
        <v>ESM01</v>
      </c>
      <c r="C129" t="str">
        <f>'RESUMEN TOTAL'!D147</f>
        <v>Cabello y Brasil</v>
      </c>
      <c r="D129" s="30" t="str">
        <f>'RESUMEN TOTAL'!E147</f>
        <v>Domo</v>
      </c>
      <c r="E129" s="30" t="str">
        <f>'RESUMEN TOTAL'!F147</f>
        <v>Radio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>
        <f>'RESUMEN TOTAL'!P147</f>
        <v>0</v>
      </c>
      <c r="K129" s="72">
        <f>'RESUMEN TOTAL'!Q147</f>
        <v>0</v>
      </c>
      <c r="L129" s="72">
        <f>'RESUMEN TOTAL'!R147</f>
        <v>0</v>
      </c>
      <c r="M129" s="72">
        <f>'RESUMEN TOTAL'!S147</f>
        <v>0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SAN JORGE</v>
      </c>
      <c r="B130" t="str">
        <f>'RESUMEN TOTAL'!B148</f>
        <v>ESM02</v>
      </c>
      <c r="C130" t="str">
        <f>'RESUMEN TOTAL'!D148</f>
        <v>Novak y Cabello</v>
      </c>
      <c r="D130" s="30" t="str">
        <f>'RESUMEN TOTAL'!E148</f>
        <v>Domo</v>
      </c>
      <c r="E130" s="30" t="str">
        <f>'RESUMEN TOTAL'!F148</f>
        <v>PTO A FO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ESM03</v>
      </c>
      <c r="C131" t="str">
        <f>'RESUMEN TOTAL'!D149</f>
        <v>Novak y Humahuaca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LA ESMERALDA</v>
      </c>
      <c r="B132" t="str">
        <f>'RESUMEN TOTAL'!B150</f>
        <v>ESM04</v>
      </c>
      <c r="C132" t="str">
        <f>'RESUMEN TOTAL'!D150</f>
        <v>Basualdo y Bengochea</v>
      </c>
      <c r="D132" s="30" t="str">
        <f>'RESUMEN TOTAL'!E150</f>
        <v>Domo</v>
      </c>
      <c r="E132" s="30" t="str">
        <f>'RESUMEN TOTAL'!F150</f>
        <v>Fibra Optica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ESM05</v>
      </c>
      <c r="C133" t="str">
        <f>'RESUMEN TOTAL'!D151</f>
        <v>Aniceto Diaz y Villar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ESM06</v>
      </c>
      <c r="C134" t="str">
        <f>'RESUMEN TOTAL'!D152</f>
        <v>Roselli y Cabello</v>
      </c>
      <c r="D134" s="30" t="str">
        <f>'RESUMEN TOTAL'!E152</f>
        <v>Domo</v>
      </c>
      <c r="E134" s="30" t="str">
        <f>'RESUMEN TOTAL'!F152</f>
        <v>Radio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ESM07</v>
      </c>
      <c r="C135" t="str">
        <f>'RESUMEN TOTAL'!D153</f>
        <v>AV. NOVAK Y SERRANO</v>
      </c>
      <c r="D135" s="30" t="str">
        <f>'RESUMEN TOTAL'!E153</f>
        <v>DOMO</v>
      </c>
      <c r="E135" s="30" t="str">
        <f>'RESUMEN TOTAL'!F153</f>
        <v>PTO A FO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 08</v>
      </c>
      <c r="C136" t="str">
        <f>'RESUMEN TOTAL'!D154</f>
        <v>DAVINSON Y MORANCHEL</v>
      </c>
      <c r="D136" s="30" t="str">
        <f>'RESUMEN TOTAL'!E154</f>
        <v>FIJA</v>
      </c>
      <c r="E136" s="30" t="str">
        <f>'RESUMEN TOTAL'!F154</f>
        <v>Radio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ESM09 (fija 1)</v>
      </c>
      <c r="C137" t="str">
        <f>'RESUMEN TOTAL'!D155</f>
        <v>EEUU Y CABELLO</v>
      </c>
      <c r="D137" s="30" t="str">
        <f>'RESUMEN TOTAL'!E155</f>
        <v>Fija</v>
      </c>
      <c r="E137" s="30" t="str">
        <f>'RESUMEN TOTAL'!F155</f>
        <v>Fibra Optica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ESM10 (fija 2)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ESM11 (fija 1)</v>
      </c>
      <c r="C139" t="str">
        <f>'RESUMEN TOTAL'!D157</f>
        <v>NOVAK Y LAMBARDI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ESM12 (fija 2)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 13</v>
      </c>
      <c r="C141" t="str">
        <f>'RESUMEN TOTAL'!D159</f>
        <v>Barzi y Serrano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14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15</v>
      </c>
      <c r="C143" t="str">
        <f>'RESUMEN TOTAL'!D161</f>
        <v>Basualdo y Lieja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16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TOTAL'!A164</f>
        <v>INGENIERO ALLAN</v>
      </c>
      <c r="B145" t="str">
        <f>'RESUMEN TOTAL'!B164</f>
        <v>INA 01</v>
      </c>
      <c r="C145" t="str">
        <f>'RESUMEN TOTAL'!D164</f>
        <v>1138 Y 1155</v>
      </c>
      <c r="D145" s="30" t="str">
        <f>'RESUMEN TOTAL'!E164</f>
        <v>DOMO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 t="str">
        <f>'RESUMEN TOTAL'!P164</f>
        <v>APAGADO</v>
      </c>
      <c r="K145" s="72" t="str">
        <f>'RESUMEN TOTAL'!Q164</f>
        <v>APAGADO</v>
      </c>
      <c r="L145" s="72" t="str">
        <f>'RESUMEN TOTAL'!R164</f>
        <v>APAGADO</v>
      </c>
      <c r="M145" s="72" t="str">
        <f>'RESUMEN TOTAL'!S164</f>
        <v>APAGADO</v>
      </c>
      <c r="N145" s="72" t="str">
        <f>'RESUMEN TOTAL'!T164</f>
        <v>APAGADO</v>
      </c>
      <c r="O145" s="72" t="str">
        <f>'RESUMEN TOTAL'!U164</f>
        <v>APAGADO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02</v>
      </c>
      <c r="C146" t="str">
        <f>'RESUMEN TOTAL'!D165</f>
        <v>1144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INFICO</v>
      </c>
      <c r="B147" t="str">
        <f>'RESUMEN TOTAL'!B166</f>
        <v>INF 01</v>
      </c>
      <c r="C147" t="str">
        <f>'RESUMEN TOTAL'!D166</f>
        <v>AV. HUDSON Y CARIBONI</v>
      </c>
      <c r="D147" s="30">
        <f>'RESUMEN TOTAL'!E166</f>
        <v>0</v>
      </c>
      <c r="E147" s="30" t="str">
        <f>'RESUMEN TOTAL'!F166</f>
        <v>Fibra Optica</v>
      </c>
      <c r="F147" s="72" t="str">
        <f>'RESUMEN TOTAL'!L166</f>
        <v>APAGADO</v>
      </c>
      <c r="G147" s="72" t="str">
        <f>'RESUMEN TOTAL'!M166</f>
        <v>APAGADO</v>
      </c>
      <c r="H147" s="72" t="str">
        <f>'RESUMEN TOTAL'!N166</f>
        <v>APAGADO</v>
      </c>
      <c r="I147" s="72" t="str">
        <f>'RESUMEN TOTAL'!O166</f>
        <v>APAGADO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 t="str">
        <f>'RESUMEN TOTAL'!V166</f>
        <v>APAGADO</v>
      </c>
      <c r="Q147" s="72" t="str">
        <f>'RESUMEN TOTAL'!W166</f>
        <v>APAGADO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VILLA ARGENTINA</v>
      </c>
      <c r="B148" t="str">
        <f>'RESUMEN TOTAL'!B167</f>
        <v>KM01</v>
      </c>
      <c r="C148" t="str">
        <f>'RESUMEN TOTAL'!D167</f>
        <v>Vias FFCC y La Pulperia</v>
      </c>
      <c r="D148" s="30" t="str">
        <f>'RESUMEN TOTAL'!E167</f>
        <v>DOMO</v>
      </c>
      <c r="E148" s="30" t="str">
        <f>'RESUMEN TOTAL'!F167</f>
        <v>Radio</v>
      </c>
      <c r="F148" s="72">
        <f>'RESUMEN TOTAL'!L167</f>
        <v>0</v>
      </c>
      <c r="G148" s="72">
        <f>'RESUMEN TOTAL'!M167</f>
        <v>0</v>
      </c>
      <c r="H148" s="72">
        <f>'RESUMEN TOTAL'!N167</f>
        <v>0</v>
      </c>
      <c r="I148" s="72">
        <f>'RESUMEN TOTAL'!O167</f>
        <v>0</v>
      </c>
      <c r="J148" s="72">
        <f>'RESUMEN TOTAL'!P167</f>
        <v>0</v>
      </c>
      <c r="K148" s="72">
        <f>'RESUMEN TOTAL'!Q167</f>
        <v>0</v>
      </c>
      <c r="L148" s="72">
        <f>'RESUMEN TOTAL'!R167</f>
        <v>0</v>
      </c>
      <c r="M148" s="72">
        <f>'RESUMEN TOTAL'!S167</f>
        <v>0</v>
      </c>
      <c r="N148" s="72">
        <f>'RESUMEN TOTAL'!T167</f>
        <v>0</v>
      </c>
      <c r="O148" s="72">
        <f>'RESUMEN TOTAL'!U167</f>
        <v>0</v>
      </c>
      <c r="P148" s="72">
        <f>'RESUMEN TOTAL'!V167</f>
        <v>0</v>
      </c>
      <c r="Q148" s="72">
        <f>'RESUMEN TOTAL'!W167</f>
        <v>0</v>
      </c>
      <c r="R148" s="72">
        <f>'RESUMEN TOTAL'!X167</f>
        <v>0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CHACABUCO</v>
      </c>
      <c r="B149" t="str">
        <f>'RESUMEN TOTAL'!B168</f>
        <v>KM02</v>
      </c>
      <c r="C149" t="str">
        <f>'RESUMEN TOTAL'!D168</f>
        <v>Novak e/El Overo y el Mangrullo</v>
      </c>
      <c r="D149" s="30" t="str">
        <f>'RESUMEN TOTAL'!E168</f>
        <v>Domo</v>
      </c>
      <c r="E149" s="30" t="str">
        <f>'RESUMEN TOTAL'!F168</f>
        <v>GPON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KM 26700 (JULIO A. COSTA)</v>
      </c>
      <c r="B150" t="str">
        <f>'RESUMEN TOTAL'!B169</f>
        <v>KM03</v>
      </c>
      <c r="C150" t="str">
        <f>'RESUMEN TOTAL'!D169</f>
        <v>Novak y La Pulperia</v>
      </c>
      <c r="D150" s="30" t="str">
        <f>'RESUMEN TOTAL'!E169</f>
        <v>Domo</v>
      </c>
      <c r="E150" s="30" t="str">
        <f>'RESUMEN TOTAL'!F169</f>
        <v>Radio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 t="str">
        <f>'RESUMEN TOTAL'!T169</f>
        <v>APAGADO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KM04</v>
      </c>
      <c r="C151" t="str">
        <f>'RESUMEN TOTAL'!D170</f>
        <v>El Ombu y El Zonda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>
        <f>'RESUMEN TOTAL'!T170</f>
        <v>0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KM05</v>
      </c>
      <c r="C152" t="str">
        <f>'RESUMEN TOTAL'!D171</f>
        <v>El Ombu y Los Charruas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 t="str">
        <f>'RESUMEN TOTAL'!T171</f>
        <v>APAGADO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KM06</v>
      </c>
      <c r="C153" t="str">
        <f>'RESUMEN TOTAL'!D172</f>
        <v>El Ombu y La Cautiva</v>
      </c>
      <c r="D153" s="30" t="str">
        <f>'RESUMEN TOTAL'!E172</f>
        <v>DOMO</v>
      </c>
      <c r="E153" s="30" t="str">
        <f>'RESUMEN TOTAL'!F172</f>
        <v>Radio</v>
      </c>
      <c r="F153" s="72" t="str">
        <f>'RESUMEN TOTAL'!L172</f>
        <v>APAGADO</v>
      </c>
      <c r="G153" s="72" t="str">
        <f>'RESUMEN TOTAL'!M172</f>
        <v>APAGADO</v>
      </c>
      <c r="H153" s="72" t="str">
        <f>'RESUMEN TOTAL'!N172</f>
        <v>APAGADO</v>
      </c>
      <c r="I153" s="72" t="str">
        <f>'RESUMEN TOTAL'!O172</f>
        <v>APAGADO</v>
      </c>
      <c r="J153" s="72" t="str">
        <f>'RESUMEN TOTAL'!P172</f>
        <v>APAGADO</v>
      </c>
      <c r="K153" s="72" t="str">
        <f>'RESUMEN TOTAL'!Q172</f>
        <v>APAGADO</v>
      </c>
      <c r="L153" s="72" t="str">
        <f>'RESUMEN TOTAL'!R172</f>
        <v>APAGADO</v>
      </c>
      <c r="M153" s="72" t="str">
        <f>'RESUMEN TOTAL'!S172</f>
        <v>APAGADO</v>
      </c>
      <c r="N153" s="72" t="str">
        <f>'RESUMEN TOTAL'!T172</f>
        <v>APAGADO</v>
      </c>
      <c r="O153" s="72" t="str">
        <f>'RESUMEN TOTAL'!U172</f>
        <v>APAGADO</v>
      </c>
      <c r="P153" s="72" t="str">
        <f>'RESUMEN TOTAL'!V172</f>
        <v>APAGADO</v>
      </c>
      <c r="Q153" s="72" t="str">
        <f>'RESUMEN TOTAL'!W172</f>
        <v>APAGADO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 07</v>
      </c>
      <c r="C154" t="str">
        <f>'RESUMEN TOTAL'!D173</f>
        <v>EL ALJIBE E/ EL ZONDA Y DON SEGUNDO SOMBRA</v>
      </c>
      <c r="D154" s="30" t="str">
        <f>'RESUMEN TOTAL'!E173</f>
        <v>DOMO</v>
      </c>
      <c r="E154" s="30" t="str">
        <f>'RESUMEN TOTAL'!F173</f>
        <v>Radio</v>
      </c>
      <c r="F154" s="72">
        <f>'RESUMEN TOTAL'!L173</f>
        <v>0</v>
      </c>
      <c r="G154" s="72">
        <f>'RESUMEN TOTAL'!M173</f>
        <v>0</v>
      </c>
      <c r="H154" s="72">
        <f>'RESUMEN TOTAL'!N173</f>
        <v>0</v>
      </c>
      <c r="I154" s="72">
        <f>'RESUMEN TOTAL'!O173</f>
        <v>0</v>
      </c>
      <c r="J154" s="72">
        <f>'RESUMEN TOTAL'!P173</f>
        <v>0</v>
      </c>
      <c r="K154" s="72">
        <f>'RESUMEN TOTAL'!Q173</f>
        <v>0</v>
      </c>
      <c r="L154" s="72">
        <f>'RESUMEN TOTAL'!R173</f>
        <v>0</v>
      </c>
      <c r="M154" s="72">
        <f>'RESUMEN TOTAL'!S173</f>
        <v>0</v>
      </c>
      <c r="N154" s="72">
        <f>'RESUMEN TOTAL'!T173</f>
        <v>0</v>
      </c>
      <c r="O154" s="72">
        <f>'RESUMEN TOTAL'!U173</f>
        <v>0</v>
      </c>
      <c r="P154" s="72">
        <f>'RESUMEN TOTAL'!V173</f>
        <v>0</v>
      </c>
      <c r="Q154" s="72">
        <f>'RESUMEN TOTAL'!W173</f>
        <v>0</v>
      </c>
      <c r="R154" s="72">
        <f>'RESUMEN TOTAL'!X173</f>
        <v>0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KM08 / UPA 03</v>
      </c>
      <c r="C155" t="str">
        <f>'RESUMEN TOTAL'!D174</f>
        <v>LOS CHARRUAS Y BLANDENGUES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 t="str">
        <f>'RESUMEN TOTAL'!T174</f>
        <v>APAGADO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KM09 / UPA 1</v>
      </c>
      <c r="C156" t="str">
        <f>'RESUMEN TOTAL'!D175</f>
        <v>NOVAK Y LA POSTA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 t="str">
        <f>'RESUMEN TOTAL'!AK175</f>
        <v xml:space="preserve"> 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 10 / UPA 2</v>
      </c>
      <c r="C157" t="str">
        <f>'RESUMEN TOTAL'!D176</f>
        <v>PLAYA DE ESTACIONAMIENTO INTERNA E/ HOSP. MODULAR Y UPA 11.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>
        <f>'RESUMEN TOTAL'!T176</f>
        <v>0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>
        <f>'RESUMEN TOTAL'!AK176</f>
        <v>0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KM11</v>
      </c>
      <c r="C158" t="str">
        <f>'RESUMEN TOTAL'!D177</f>
        <v>NOVAK Y EL OVERO</v>
      </c>
      <c r="D158" s="30" t="str">
        <f>'RESUMEN TOTAL'!E177</f>
        <v>DOMO</v>
      </c>
      <c r="E158" s="30" t="str">
        <f>'RESUMEN TOTAL'!F177</f>
        <v>Fibra Optica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 t="str">
        <f>'RESUMEN TOTAL'!T177</f>
        <v>APAGADO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 12 FIJA 1</v>
      </c>
      <c r="C159" t="str">
        <f>'RESUMEN TOTAL'!D178</f>
        <v>BLANDENGUES Y LA ZAMBA</v>
      </c>
      <c r="D159" s="30" t="str">
        <f>'RESUMEN TOTAL'!E178</f>
        <v>Fija</v>
      </c>
      <c r="E159" s="30" t="str">
        <f>'RESUMEN TOTAL'!F178</f>
        <v>PTO A FO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>
        <f>'RESUMEN TOTAL'!T178</f>
        <v>0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13 FIJA 2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14 (fija 1)</v>
      </c>
      <c r="C161" t="str">
        <f>'RESUMEN TOTAL'!D180</f>
        <v>EL GAUCHO Y EL ZONDA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15 (fija 2)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16 (fija 1)</v>
      </c>
      <c r="C163" t="str">
        <f>'RESUMEN TOTAL'!D182</f>
        <v>EL GAUCHO Y MARTIN FIERRO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17 (fija 2)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18</v>
      </c>
      <c r="C165" t="str">
        <f>'RESUMEN TOTAL'!D184</f>
        <v>PULPERIA Y EL ALJIBE</v>
      </c>
      <c r="D165" s="30" t="str">
        <f>'RESUMEN TOTAL'!E184</f>
        <v>Domo</v>
      </c>
      <c r="E165" s="30" t="str">
        <f>'RESUMEN TOTAL'!F184</f>
        <v>Fibra Optica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LOMAS DE MONTEVERDE</v>
      </c>
      <c r="B166" t="str">
        <f>'RESUMEN TOTAL'!B185</f>
        <v>LDM 01</v>
      </c>
      <c r="C166" t="str">
        <f>'RESUMEN TOTAL'!D185</f>
        <v>ILLIA Y BOUREL</v>
      </c>
      <c r="D166" s="30" t="str">
        <f>'RESUMEN TOTAL'!E185</f>
        <v>DOMO</v>
      </c>
      <c r="E166" s="30" t="str">
        <f>'RESUMEN TOTAL'!F185</f>
        <v>PTO A FO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 t="str">
        <f>'RESUMEN TOTAL'!O185</f>
        <v>APAGADO</v>
      </c>
      <c r="J166" s="72" t="str">
        <f>'RESUMEN TOTAL'!P185</f>
        <v>APAGADO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02</v>
      </c>
      <c r="C167" t="str">
        <f>'RESUMEN TOTAL'!D186</f>
        <v>LAS HERAS Y EDISON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>
        <f>'RESUMEN TOTAL'!O186</f>
        <v>0</v>
      </c>
      <c r="J167" s="72">
        <f>'RESUMEN TOTAL'!P186</f>
        <v>0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03</v>
      </c>
      <c r="C168" t="str">
        <f>'RESUMEN TOTAL'!D187</f>
        <v>LAS HERAS Y FRANKLIN</v>
      </c>
      <c r="D168" s="30" t="str">
        <f>'RESUMEN TOTAL'!E187</f>
        <v>DOMO</v>
      </c>
      <c r="E168" s="30" t="str">
        <f>'RESUMEN TOTAL'!F187</f>
        <v>PTO A FO</v>
      </c>
      <c r="F168" s="72" t="str">
        <f>'RESUMEN TOTAL'!L187</f>
        <v>APAGADO</v>
      </c>
      <c r="G168" s="72" t="str">
        <f>'RESUMEN TOTAL'!M187</f>
        <v>APAGADO</v>
      </c>
      <c r="H168" s="72" t="str">
        <f>'RESUMEN TOTAL'!N187</f>
        <v>APAGADO</v>
      </c>
      <c r="I168" s="72" t="str">
        <f>'RESUMEN TOTAL'!O187</f>
        <v>APAGADO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TOTAL'!A189</f>
        <v>LIBERTAD</v>
      </c>
      <c r="B169" t="str">
        <f>'RESUMEN TOTAL'!B189</f>
        <v>LIBER 01</v>
      </c>
      <c r="C169" t="str">
        <f>'RESUMEN TOTAL'!D189</f>
        <v>511 Y 574 FIJA 01</v>
      </c>
      <c r="D169" s="30" t="str">
        <f>'RESUMEN TOTAL'!E189</f>
        <v>Fija</v>
      </c>
      <c r="E169" s="30" t="str">
        <f>'RESUMEN TOTAL'!F189</f>
        <v>RADIO</v>
      </c>
      <c r="F169" s="72">
        <f>'RESUMEN TOTAL'!L189</f>
        <v>0</v>
      </c>
      <c r="G169" s="72">
        <f>'RESUMEN TOTAL'!M189</f>
        <v>0</v>
      </c>
      <c r="H169" s="72">
        <f>'RESUMEN TOTAL'!N189</f>
        <v>0</v>
      </c>
      <c r="I169" s="72" t="str">
        <f>'RESUMEN TOTAL'!O189</f>
        <v>APAGADO</v>
      </c>
      <c r="J169" s="72">
        <f>'RESUMEN TOTAL'!P189</f>
        <v>0</v>
      </c>
      <c r="K169" s="72" t="str">
        <f>'RESUMEN TOTAL'!Q189</f>
        <v>APAGADO</v>
      </c>
      <c r="L169" s="72" t="str">
        <f>'RESUMEN TOTAL'!R189</f>
        <v>APAGADO</v>
      </c>
      <c r="M169" s="72" t="str">
        <f>'RESUMEN TOTAL'!S189</f>
        <v>APAGADO</v>
      </c>
      <c r="N169" s="72" t="str">
        <f>'RESUMEN TOTAL'!T189</f>
        <v>APAGADO</v>
      </c>
      <c r="O169" s="72" t="str">
        <f>'RESUMEN TOTAL'!U189</f>
        <v>APAGADO</v>
      </c>
      <c r="P169" s="72" t="str">
        <f>'RESUMEN TOTAL'!V189</f>
        <v>APAGADO</v>
      </c>
      <c r="Q169" s="72" t="str">
        <f>'RESUMEN TOTAL'!W189</f>
        <v>APAGADO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TOTAL'!A190</f>
        <v>LIBERTAD</v>
      </c>
      <c r="B170" t="str">
        <f>'RESUMEN TOTAL'!B190</f>
        <v>LIBER 02</v>
      </c>
      <c r="C170" t="str">
        <f>'RESUMEN TOTAL'!D190</f>
        <v>511 Y 574 FIJA 02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>
        <f>'RESUMEN TOTAL'!X190</f>
        <v>0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z</v>
      </c>
      <c r="B171" t="str">
        <f>'RESUMEN TOTAL'!B191</f>
        <v>LPI 01</v>
      </c>
      <c r="C171" t="str">
        <f>'RESUMEN TOTAL'!D191</f>
        <v>Maipu y Posadas</v>
      </c>
      <c r="D171" s="30" t="str">
        <f>'RESUMEN TOTAL'!E191</f>
        <v>Domo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>
        <f>'RESUMEN TOTAL'!O191</f>
        <v>0</v>
      </c>
      <c r="J171" s="72">
        <f>'RESUMEN TOTAL'!P191</f>
        <v>0</v>
      </c>
      <c r="K171" s="72">
        <f>'RESUMEN TOTAL'!Q191</f>
        <v>0</v>
      </c>
      <c r="L171" s="72">
        <f>'RESUMEN TOTAL'!R191</f>
        <v>0</v>
      </c>
      <c r="M171" s="72">
        <f>'RESUMEN TOTAL'!S191</f>
        <v>0</v>
      </c>
      <c r="N171" s="72">
        <f>'RESUMEN TOTAL'!T191</f>
        <v>0</v>
      </c>
      <c r="O171" s="72">
        <f>'RESUMEN TOTAL'!U191</f>
        <v>0</v>
      </c>
      <c r="P171" s="72">
        <f>'RESUMEN TOTAL'!V191</f>
        <v>0</v>
      </c>
      <c r="Q171" s="72">
        <f>'RESUMEN TOTAL'!W191</f>
        <v>0</v>
      </c>
      <c r="R171" s="72">
        <f>'RESUMEN TOTAL'!X191</f>
        <v>0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CHACABUCO</v>
      </c>
      <c r="B172" t="str">
        <f>'RESUMEN TOTAL'!B192</f>
        <v>LPI02</v>
      </c>
      <c r="C172" t="str">
        <f>'RESUMEN TOTAL'!D192</f>
        <v>EE.UU y Ayacucho</v>
      </c>
      <c r="D172" s="30" t="str">
        <f>'RESUMEN TOTAL'!E192</f>
        <v>Domo</v>
      </c>
      <c r="E172" s="30" t="str">
        <f>'RESUMEN TOTAL'!F192</f>
        <v>GPON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LA PILETA</v>
      </c>
      <c r="B173" t="str">
        <f>'RESUMEN TOTAL'!B193</f>
        <v>LPI03 (fija 2)</v>
      </c>
      <c r="C173" t="str">
        <f>'RESUMEN TOTAL'!D193</f>
        <v>MAIPU Y POSADAS</v>
      </c>
      <c r="D173" s="30" t="str">
        <f>'RESUMEN TOTAL'!E193</f>
        <v>Fija</v>
      </c>
      <c r="E173" s="30" t="str">
        <f>'RESUMEN TOTAL'!F193</f>
        <v>Fibra Optica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LPI04 (fija 1)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TOTAL'!A197</f>
        <v>LOS PILARES</v>
      </c>
      <c r="B175" t="str">
        <f>'RESUMEN TOTAL'!B197</f>
        <v>LPR 01</v>
      </c>
      <c r="C175" t="str">
        <f>'RESUMEN TOTAL'!D197</f>
        <v>EVA PERON E/ CACHEUTA Y 1406</v>
      </c>
      <c r="D175" s="30" t="str">
        <f>'RESUMEN TOTAL'!E197</f>
        <v>DOMO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TOTAL'!A198</f>
        <v>LOS PILARES</v>
      </c>
      <c r="B176" t="str">
        <f>'RESUMEN TOTAL'!B198</f>
        <v>LPR02 (fija 1)</v>
      </c>
      <c r="C176" t="str">
        <f>'RESUMEN TOTAL'!D198</f>
        <v>EVA PERON Y CACHEUTA</v>
      </c>
      <c r="D176" s="30" t="str">
        <f>'RESUMEN TOTAL'!E198</f>
        <v>Fija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LPR03 (fija 2)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LOPEZ ROMERO</v>
      </c>
      <c r="B178" t="str">
        <f>'RESUMEN TOTAL'!B200</f>
        <v>LRO 05</v>
      </c>
      <c r="C178" t="str">
        <f>'RESUMEN TOTAL'!D200</f>
        <v>Calchaqui y Las Americas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09</v>
      </c>
      <c r="C179" t="str">
        <f>'RESUMEN TOTAL'!D201</f>
        <v>Las Americas y Braile</v>
      </c>
      <c r="D179" s="30" t="str">
        <f>'RESUMEN TOTAL'!E201</f>
        <v>Domo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10</v>
      </c>
      <c r="C180" t="str">
        <f>'RESUMEN TOTAL'!D202</f>
        <v>Con. Gral. Belgrano y Balcarce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12 (fija 1)</v>
      </c>
      <c r="C181" t="str">
        <f>'RESUMEN TOTAL'!D203</f>
        <v>LAS AMERICAS E/ BRAILLE Y ALVARADO</v>
      </c>
      <c r="D181" s="30" t="str">
        <f>'RESUMEN TOTAL'!E203</f>
        <v>Fija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13 (fija 2)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LRO01</v>
      </c>
      <c r="C183" t="str">
        <f>'RESUMEN TOTAL'!D205</f>
        <v>H. IRIGOYEN Y BRAILE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PRESIDENTE SARMIENTO</v>
      </c>
      <c r="B184" t="str">
        <f>'RESUMEN TOTAL'!B206</f>
        <v>LRO02</v>
      </c>
      <c r="C184" t="str">
        <f>'RESUMEN TOTAL'!D206</f>
        <v>H. Irigoyen e Islas Orcadas</v>
      </c>
      <c r="D184" s="30" t="str">
        <f>'RESUMEN TOTAL'!E206</f>
        <v>Domo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LOPEZ ROMERO</v>
      </c>
      <c r="B185" t="str">
        <f>'RESUMEN TOTAL'!B207</f>
        <v>LRO03</v>
      </c>
      <c r="C185" t="str">
        <f>'RESUMEN TOTAL'!D207</f>
        <v>H. Irigoyen y Parravicini</v>
      </c>
      <c r="D185" s="30" t="str">
        <f>'RESUMEN TOTAL'!E207</f>
        <v>Fija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LRO04</v>
      </c>
      <c r="C186" t="str">
        <f>'RESUMEN TOTAL'!D208</f>
        <v>H. Irigoyen y Alvarado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PRESIDENTE SARMIENTO</v>
      </c>
      <c r="B187" t="str">
        <f>'RESUMEN TOTAL'!B209</f>
        <v>LRO06</v>
      </c>
      <c r="C187" t="str">
        <f>'RESUMEN TOTAL'!D209</f>
        <v>H. Irigoyen y Belgrano</v>
      </c>
      <c r="D187" s="30" t="str">
        <f>'RESUMEN TOTAL'!E209</f>
        <v>Domo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LOPEZ ROMERO</v>
      </c>
      <c r="B188" t="str">
        <f>'RESUMEN TOTAL'!B210</f>
        <v>LRO07</v>
      </c>
      <c r="C188" t="str">
        <f>'RESUMEN TOTAL'!D210</f>
        <v>H. Irigoyen y Remedios de Escalada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LRO08</v>
      </c>
      <c r="C189" t="str">
        <f>'RESUMEN TOTAL'!D211</f>
        <v>Remedios de Escalada y Finochieto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LRO11</v>
      </c>
      <c r="C190" t="str">
        <f>'RESUMEN TOTAL'!D212</f>
        <v>Av. Yrigoyen y Braile</v>
      </c>
      <c r="D190" s="30">
        <f>'RESUMEN TOTAL'!E212</f>
        <v>0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LRO14</v>
      </c>
      <c r="C191" t="str">
        <f>'RESUMEN TOTAL'!D213</f>
        <v>YRIGOYEN Y STORNI</v>
      </c>
      <c r="D191" s="30" t="str">
        <f>'RESUMEN TOTAL'!E213</f>
        <v>DOMO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LRO15</v>
      </c>
      <c r="C192" t="str">
        <f>'RESUMEN TOTAL'!D214</f>
        <v>BRAILE Y FINOCCHIETTO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LUJAN</v>
      </c>
      <c r="B193" t="str">
        <f>'RESUMEN TOTAL'!B215</f>
        <v>LUJ 01</v>
      </c>
      <c r="C193" t="str">
        <f>'RESUMEN TOTAL'!D215</f>
        <v>ñandu y Los Pinos</v>
      </c>
      <c r="D193" s="30" t="str">
        <f>'RESUMEN TOTAL'!E215</f>
        <v>Domo</v>
      </c>
      <c r="E193" s="30" t="str">
        <f>'RESUMEN TOTAL'!F215</f>
        <v>Radio</v>
      </c>
      <c r="F193" s="72" t="str">
        <f>'RESUMEN TOTAL'!L215</f>
        <v>APAGADO</v>
      </c>
      <c r="G193" s="72" t="str">
        <f>'RESUMEN TOTAL'!M215</f>
        <v>APAGADO</v>
      </c>
      <c r="H193" s="72" t="str">
        <f>'RESUMEN TOTAL'!N215</f>
        <v>APAGADO</v>
      </c>
      <c r="I193" s="72" t="str">
        <f>'RESUMEN TOTAL'!O215</f>
        <v>APAGADO</v>
      </c>
      <c r="J193" s="72" t="str">
        <f>'RESUMEN TOTAL'!P215</f>
        <v>APAGADO</v>
      </c>
      <c r="K193" s="72" t="str">
        <f>'RESUMEN TOTAL'!Q215</f>
        <v>APAGADO</v>
      </c>
      <c r="L193" s="72" t="str">
        <f>'RESUMEN TOTAL'!R215</f>
        <v>APAGADO</v>
      </c>
      <c r="M193" s="72" t="str">
        <f>'RESUMEN TOTAL'!S215</f>
        <v>APAGADO</v>
      </c>
      <c r="N193" s="72" t="str">
        <f>'RESUMEN TOTAL'!T215</f>
        <v>APAGADO</v>
      </c>
      <c r="O193" s="72" t="str">
        <f>'RESUMEN TOTAL'!U215</f>
        <v>APAGADO</v>
      </c>
      <c r="P193" s="72" t="str">
        <f>'RESUMEN TOTAL'!V215</f>
        <v>APAGADO</v>
      </c>
      <c r="Q193" s="72" t="str">
        <f>'RESUMEN TOTAL'!W215</f>
        <v>APAGADO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VILLA ARGENTINA</v>
      </c>
      <c r="B194" t="str">
        <f>'RESUMEN TOTAL'!B216</f>
        <v>LUJ 02</v>
      </c>
      <c r="C194" t="str">
        <f>'RESUMEN TOTAL'!D216</f>
        <v>DIAG. LOS TILOS Y 527</v>
      </c>
      <c r="D194" s="30" t="str">
        <f>'RESUMEN TOTAL'!E216</f>
        <v>DOMO</v>
      </c>
      <c r="E194" s="30" t="str">
        <f>'RESUMEN TOTAL'!F216</f>
        <v>PTO A FO</v>
      </c>
      <c r="F194" s="72">
        <f>'RESUMEN TOTAL'!L216</f>
        <v>0</v>
      </c>
      <c r="G194" s="72">
        <f>'RESUMEN TOTAL'!M216</f>
        <v>0</v>
      </c>
      <c r="H194" s="72">
        <f>'RESUMEN TOTAL'!N216</f>
        <v>0</v>
      </c>
      <c r="I194" s="72">
        <f>'RESUMEN TOTAL'!O216</f>
        <v>0</v>
      </c>
      <c r="J194" s="72">
        <f>'RESUMEN TOTAL'!P216</f>
        <v>0</v>
      </c>
      <c r="K194" s="72">
        <f>'RESUMEN TOTAL'!Q216</f>
        <v>0</v>
      </c>
      <c r="L194" s="72">
        <f>'RESUMEN TOTAL'!R216</f>
        <v>0</v>
      </c>
      <c r="M194" s="72">
        <f>'RESUMEN TOTAL'!S216</f>
        <v>0</v>
      </c>
      <c r="N194" s="72">
        <f>'RESUMEN TOTAL'!T216</f>
        <v>0</v>
      </c>
      <c r="O194" s="72">
        <f>'RESUMEN TOTAL'!U216</f>
        <v>0</v>
      </c>
      <c r="P194" s="72">
        <f>'RESUMEN TOTAL'!V216</f>
        <v>0</v>
      </c>
      <c r="Q194" s="72">
        <f>'RESUMEN TOTAL'!W216</f>
        <v>0</v>
      </c>
      <c r="R194" s="72">
        <f>'RESUMEN TOTAL'!X216</f>
        <v>0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LUJAN</v>
      </c>
      <c r="B195" t="str">
        <f>'RESUMEN TOTAL'!B217</f>
        <v>LUJ03</v>
      </c>
      <c r="C195" t="str">
        <f>'RESUMEN TOTAL'!D217</f>
        <v>LOS PINOS Y LOS TILOS</v>
      </c>
      <c r="D195" s="30" t="str">
        <f>'RESUMEN TOTAL'!E217</f>
        <v>DOMO</v>
      </c>
      <c r="E195" s="30" t="str">
        <f>'RESUMEN TOTAL'!F217</f>
        <v>Fibra Optica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 t="str">
        <f>'RESUMEN TOTAL'!P217</f>
        <v>APAGADO</v>
      </c>
      <c r="K195" s="72" t="str">
        <f>'RESUMEN TOTAL'!Q217</f>
        <v>APAGADO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PRESIDENTE PERON (PEPSI)</v>
      </c>
      <c r="B196" t="str">
        <f>'RESUMEN TOTAL'!B218</f>
        <v>MAR 01</v>
      </c>
      <c r="C196" t="str">
        <f>'RESUMEN TOTAL'!D218</f>
        <v>RP36 Y LA ESMERALDA</v>
      </c>
      <c r="D196" s="30" t="str">
        <f>'RESUMEN TOTAL'!E218</f>
        <v>DOMO</v>
      </c>
      <c r="E196" s="30" t="str">
        <f>'RESUMEN TOTAL'!F218</f>
        <v>PTO A FO</v>
      </c>
      <c r="F196" s="72" t="str">
        <f>'RESUMEN TOTAL'!L218</f>
        <v>APAGADO</v>
      </c>
      <c r="G196" s="72" t="str">
        <f>'RESUMEN TOTAL'!M218</f>
        <v>APAGADO</v>
      </c>
      <c r="H196" s="72" t="str">
        <f>'RESUMEN TOTAL'!N218</f>
        <v>APAGADO</v>
      </c>
      <c r="I196" s="72" t="str">
        <f>'RESUMEN TOTAL'!O218</f>
        <v>APAGADO</v>
      </c>
      <c r="J196" s="72" t="str">
        <f>'RESUMEN TOTAL'!P218</f>
        <v>APAGADO</v>
      </c>
      <c r="K196" s="72" t="str">
        <f>'RESUMEN TOTAL'!Q218</f>
        <v>APAGADO</v>
      </c>
      <c r="L196" s="72" t="str">
        <f>'RESUMEN TOTAL'!R218</f>
        <v>APAGADO</v>
      </c>
      <c r="M196" s="72" t="str">
        <f>'RESUMEN TOTAL'!S218</f>
        <v>APAGADO</v>
      </c>
      <c r="N196" s="72" t="str">
        <f>'RESUMEN TOTAL'!T218</f>
        <v>APAGADO</v>
      </c>
      <c r="O196" s="72" t="str">
        <f>'RESUMEN TOTAL'!U218</f>
        <v>APAGADO</v>
      </c>
      <c r="P196" s="72" t="str">
        <f>'RESUMEN TOTAL'!V218</f>
        <v>APAGADO</v>
      </c>
      <c r="Q196" s="72" t="str">
        <f>'RESUMEN TOTAL'!W218</f>
        <v>APAGADO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RICARDO ROJAS</v>
      </c>
      <c r="B197" t="str">
        <f>'RESUMEN TOTAL'!B219</f>
        <v>MAR 02 (FIJA1)</v>
      </c>
      <c r="C197" t="str">
        <f>'RESUMEN TOTAL'!D219</f>
        <v>LUJAN Y PATAGONES</v>
      </c>
      <c r="D197" s="30" t="str">
        <f>'RESUMEN TOTAL'!E219</f>
        <v>Fija</v>
      </c>
      <c r="E197" s="30" t="str">
        <f>'RESUMEN TOTAL'!F219</f>
        <v>Fibra Optica</v>
      </c>
      <c r="F197" s="72">
        <f>'RESUMEN TOTAL'!L219</f>
        <v>0</v>
      </c>
      <c r="G197" s="72">
        <f>'RESUMEN TOTAL'!M219</f>
        <v>0</v>
      </c>
      <c r="H197" s="72">
        <f>'RESUMEN TOTAL'!N219</f>
        <v>0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>
        <f>'RESUMEN TOTAL'!T219</f>
        <v>0</v>
      </c>
      <c r="O197" s="72">
        <f>'RESUMEN TOTAL'!U219</f>
        <v>0</v>
      </c>
      <c r="P197" s="72">
        <f>'RESUMEN TOTAL'!V219</f>
        <v>0</v>
      </c>
      <c r="Q197" s="72">
        <f>'RESUMEN TOTAL'!W219</f>
        <v>0</v>
      </c>
      <c r="R197" s="72">
        <f>'RESUMEN TOTAL'!X219</f>
        <v>0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LAS MARGARITAS</v>
      </c>
      <c r="B198" t="str">
        <f>'RESUMEN TOTAL'!B220</f>
        <v>MAR 03(FIJA 2)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MAYOL</v>
      </c>
      <c r="B199" t="str">
        <f>'RESUMEN TOTAL'!B221</f>
        <v>MAY 01</v>
      </c>
      <c r="C199" t="str">
        <f>'RESUMEN TOTAL'!D221</f>
        <v>Eva Peron y Cabildo</v>
      </c>
      <c r="D199" s="30" t="str">
        <f>'RESUMEN TOTAL'!E221</f>
        <v>Domo</v>
      </c>
      <c r="E199" s="30" t="str">
        <f>'RESUMEN TOTAL'!F221</f>
        <v>GPON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>
        <f>'RESUMEN TOTAL'!O221</f>
        <v>0</v>
      </c>
      <c r="J199" s="72">
        <f>'RESUMEN TOTAL'!P221</f>
        <v>0</v>
      </c>
      <c r="K199" s="72">
        <f>'RESUMEN TOTAL'!Q221</f>
        <v>0</v>
      </c>
      <c r="L199" s="72">
        <f>'RESUMEN TOTAL'!R221</f>
        <v>0</v>
      </c>
      <c r="M199" s="72">
        <f>'RESUMEN TOTAL'!S221</f>
        <v>0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02</v>
      </c>
      <c r="C200" t="str">
        <f>'RESUMEN TOTAL'!D222</f>
        <v>EVA PERON Y MONTEVIDEO</v>
      </c>
      <c r="D200" s="30" t="str">
        <f>'RESUMEN TOTAL'!E222</f>
        <v>Domo</v>
      </c>
      <c r="E200" s="30" t="str">
        <f>'RESUMEN TOTAL'!F222</f>
        <v>Fibra Optica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03</v>
      </c>
      <c r="C201" t="str">
        <f>'RESUMEN TOTAL'!D223</f>
        <v>CHAÑAR Y SAN NICOLAS</v>
      </c>
      <c r="D201" s="30" t="str">
        <f>'RESUMEN TOTAL'!E223</f>
        <v>DOMO</v>
      </c>
      <c r="E201" s="30" t="str">
        <f>'RESUMEN TOTAL'!F223</f>
        <v>PTO A FO</v>
      </c>
      <c r="F201" s="72" t="str">
        <f>'RESUMEN TOTAL'!L223</f>
        <v>APAGADO</v>
      </c>
      <c r="G201" s="72" t="str">
        <f>'RESUMEN TOTAL'!M223</f>
        <v>APAGADO</v>
      </c>
      <c r="H201" s="72" t="str">
        <f>'RESUMEN TOTAL'!N223</f>
        <v>APAGADO</v>
      </c>
      <c r="I201" s="72" t="str">
        <f>'RESUMEN TOTAL'!O223</f>
        <v>APAGADO</v>
      </c>
      <c r="J201" s="72" t="str">
        <f>'RESUMEN TOTAL'!P223</f>
        <v>APAGADO</v>
      </c>
      <c r="K201" s="72" t="str">
        <f>'RESUMEN TOTAL'!Q223</f>
        <v>APAGADO</v>
      </c>
      <c r="L201" s="72" t="str">
        <f>'RESUMEN TOTAL'!R223</f>
        <v>APAGADO</v>
      </c>
      <c r="M201" s="72" t="str">
        <f>'RESUMEN TOTAL'!S223</f>
        <v>APAGADO</v>
      </c>
      <c r="N201" s="72" t="str">
        <f>'RESUMEN TOTAL'!T223</f>
        <v>APAGADO</v>
      </c>
      <c r="O201" s="72">
        <f>'RESUMEN TOTAL'!U223</f>
        <v>0</v>
      </c>
      <c r="P201" s="72" t="str">
        <f>'RESUMEN TOTAL'!V223</f>
        <v>APAGADO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04</v>
      </c>
      <c r="C202" t="str">
        <f>'RESUMEN TOTAL'!D224</f>
        <v>MAR CHIQUITA Y RIO JACHAL</v>
      </c>
      <c r="D202" s="30" t="str">
        <f>'RESUMEN TOTAL'!E224</f>
        <v>DOMO</v>
      </c>
      <c r="E202" s="30" t="str">
        <f>'RESUMEN TOTAL'!F224</f>
        <v>Radio</v>
      </c>
      <c r="F202" s="72">
        <f>'RESUMEN TOTAL'!L224</f>
        <v>0</v>
      </c>
      <c r="G202" s="72">
        <f>'RESUMEN TOTAL'!M224</f>
        <v>0</v>
      </c>
      <c r="H202" s="72">
        <f>'RESUMEN TOTAL'!N224</f>
        <v>0</v>
      </c>
      <c r="I202" s="72">
        <f>'RESUMEN TOTAL'!O224</f>
        <v>0</v>
      </c>
      <c r="J202" s="72">
        <f>'RESUMEN TOTAL'!P224</f>
        <v>0</v>
      </c>
      <c r="K202" s="72">
        <f>'RESUMEN TOTAL'!Q224</f>
        <v>0</v>
      </c>
      <c r="L202" s="72">
        <f>'RESUMEN TOTAL'!R224</f>
        <v>0</v>
      </c>
      <c r="M202" s="72">
        <f>'RESUMEN TOTAL'!S224</f>
        <v>0</v>
      </c>
      <c r="N202" s="72">
        <f>'RESUMEN TOTAL'!T224</f>
        <v>0</v>
      </c>
      <c r="O202" s="72">
        <f>'RESUMEN TOTAL'!U224</f>
        <v>0</v>
      </c>
      <c r="P202" s="72">
        <f>'RESUMEN TOTAL'!V224</f>
        <v>0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>
        <f>'RESUMEN TOTAL'!A225</f>
        <v>0</v>
      </c>
      <c r="B203" t="str">
        <f>'RESUMEN TOTAL'!B225</f>
        <v>MCUD 01</v>
      </c>
      <c r="C203" t="str">
        <f>'RESUMEN TOTAL'!D225</f>
        <v>TINOGASTA Y SAN LORENZO</v>
      </c>
      <c r="D203" s="30" t="str">
        <f>'RESUMEN TOTAL'!E225</f>
        <v>Domo</v>
      </c>
      <c r="E203" s="30" t="str">
        <f>'RESUMEN TOTAL'!F225</f>
        <v>Fibra Optica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02</v>
      </c>
      <c r="C204" t="str">
        <f>'RESUMEN TOTAL'!D226</f>
        <v>CALLE 115 A Y 158</v>
      </c>
      <c r="D204" s="30" t="str">
        <f>'RESUMEN TOTAL'!E226</f>
        <v>DOMO</v>
      </c>
      <c r="E204" s="30" t="str">
        <f>'RESUMEN TOTAL'!F226</f>
        <v>Fibra Optica</v>
      </c>
      <c r="F204" s="72" t="str">
        <f>'RESUMEN TOTAL'!L226</f>
        <v>APAGADO</v>
      </c>
      <c r="G204" s="72" t="str">
        <f>'RESUMEN TOTAL'!M226</f>
        <v>APAGADO</v>
      </c>
      <c r="H204" s="72" t="str">
        <f>'RESUMEN TOTAL'!N226</f>
        <v>APAGADO</v>
      </c>
      <c r="I204" s="72" t="str">
        <f>'RESUMEN TOTAL'!O226</f>
        <v>APAGADO</v>
      </c>
      <c r="J204" s="72" t="str">
        <f>'RESUMEN TOTAL'!P226</f>
        <v>APAGADO</v>
      </c>
      <c r="K204" s="72" t="str">
        <f>'RESUMEN TOTAL'!Q226</f>
        <v>APAGADO</v>
      </c>
      <c r="L204" s="72" t="str">
        <f>'RESUMEN TOTAL'!R226</f>
        <v>APAGADO</v>
      </c>
      <c r="M204" s="72" t="str">
        <f>'RESUMEN TOTAL'!S226</f>
        <v>APAGADO</v>
      </c>
      <c r="N204" s="72" t="str">
        <f>'RESUMEN TOTAL'!T226</f>
        <v>APAGADO</v>
      </c>
      <c r="O204" s="72" t="str">
        <f>'RESUMEN TOTAL'!U226</f>
        <v>APAGADO</v>
      </c>
      <c r="P204" s="72" t="str">
        <f>'RESUMEN TOTAL'!V226</f>
        <v>APAGADO</v>
      </c>
      <c r="Q204" s="72" t="str">
        <f>'RESUMEN TOTAL'!W226</f>
        <v>APAGADO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 t="str">
        <f>'RESUMEN TOTAL'!A227</f>
        <v>MARTIN FIERRO</v>
      </c>
      <c r="B205" t="str">
        <f>'RESUMEN TOTAL'!B227</f>
        <v>MFI 01</v>
      </c>
      <c r="C205" t="str">
        <f>'RESUMEN TOTAL'!D227</f>
        <v>Belgrano y Sgto. Cabral</v>
      </c>
      <c r="D205" s="30" t="str">
        <f>'RESUMEN TOTAL'!E227</f>
        <v>Fija</v>
      </c>
      <c r="E205" s="30" t="str">
        <f>'RESUMEN TOTAL'!F227</f>
        <v>Fibra Optica</v>
      </c>
      <c r="F205" s="72">
        <f>'RESUMEN TOTAL'!L227</f>
        <v>0</v>
      </c>
      <c r="G205" s="72">
        <f>'RESUMEN TOTAL'!M227</f>
        <v>0</v>
      </c>
      <c r="H205" s="72">
        <f>'RESUMEN TOTAL'!N227</f>
        <v>0</v>
      </c>
      <c r="I205" s="72">
        <f>'RESUMEN TOTAL'!O227</f>
        <v>0</v>
      </c>
      <c r="J205" s="72">
        <f>'RESUMEN TOTAL'!P227</f>
        <v>0</v>
      </c>
      <c r="K205" s="72">
        <f>'RESUMEN TOTAL'!Q227</f>
        <v>0</v>
      </c>
      <c r="L205" s="72">
        <f>'RESUMEN TOTAL'!R227</f>
        <v>0</v>
      </c>
      <c r="M205" s="72">
        <f>'RESUMEN TOTAL'!S227</f>
        <v>0</v>
      </c>
      <c r="N205" s="72">
        <f>'RESUMEN TOTAL'!T227</f>
        <v>0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>
        <f>'RESUMEN TOTAL'!X227</f>
        <v>0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LOPEZ ROMERO</v>
      </c>
      <c r="B206" t="str">
        <f>'RESUMEN TOTAL'!B228</f>
        <v>MFI02</v>
      </c>
      <c r="C206" t="str">
        <f>'RESUMEN TOTAL'!D228</f>
        <v>Calchaqui y Balcarce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>
        <f>'RESUMEN TOTAL'!U228</f>
        <v>0</v>
      </c>
      <c r="P206" s="72">
        <f>'RESUMEN TOTAL'!V228</f>
        <v>0</v>
      </c>
      <c r="Q206" s="72">
        <f>'RESUMEN TOTAL'!W228</f>
        <v>0</v>
      </c>
      <c r="R206" s="72">
        <f>'RESUMEN TOTAL'!X228</f>
        <v>0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SAN EMILIO</v>
      </c>
      <c r="B207" t="str">
        <f>'RESUMEN TOTAL'!B229</f>
        <v>MFI 03</v>
      </c>
      <c r="C207" t="str">
        <f>'RESUMEN TOTAL'!D229</f>
        <v>Cno. Gral. Belgrano y Av. del Trabajo</v>
      </c>
      <c r="D207" s="30" t="str">
        <f>'RESUMEN TOTAL'!E229</f>
        <v>Domo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MARTIN FIERRO</v>
      </c>
      <c r="B208" t="str">
        <f>'RESUMEN TOTAL'!B230</f>
        <v>MFI04</v>
      </c>
      <c r="C208" t="str">
        <f>'RESUMEN TOTAL'!D230</f>
        <v>Calchaqui y balcarce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SAN EMILIO</v>
      </c>
      <c r="B209" t="str">
        <f>'RESUMEN TOTAL'!B231</f>
        <v>MFI 05</v>
      </c>
      <c r="C209" t="str">
        <f>'RESUMEN TOTAL'!D231</f>
        <v>Cno. Gral. Belgrano y Guayaquil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MFI06</v>
      </c>
      <c r="C210" t="str">
        <f>'RESUMEN TOTAL'!D232</f>
        <v>Con. Gral. Belgrano y Bombero Galarza</v>
      </c>
      <c r="D210" s="30" t="str">
        <f>'RESUMEN TOTAL'!E232</f>
        <v>DOMO</v>
      </c>
      <c r="E210" s="30" t="str">
        <f>'RESUMEN TOTAL'!F232</f>
        <v>Radio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MARTIN FIERRO</v>
      </c>
      <c r="B211" t="str">
        <f>'RESUMEN TOTAL'!B233</f>
        <v>MFI 07</v>
      </c>
      <c r="C211" t="str">
        <f>'RESUMEN TOTAL'!D233</f>
        <v>Sargento Cabral y Carlos Gardel</v>
      </c>
      <c r="D211" s="30" t="str">
        <f>'RESUMEN TOTAL'!E233</f>
        <v>Domo</v>
      </c>
      <c r="E211" s="30" t="str">
        <f>'RESUMEN TOTAL'!F233</f>
        <v>PTO A FO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08</v>
      </c>
      <c r="C212" t="str">
        <f>'RESUMEN TOTAL'!D234</f>
        <v>Braile y Batalla de Callao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GOBERNADOR MONTEVERDE</v>
      </c>
      <c r="B213" t="str">
        <f>'RESUMEN TOTAL'!B235</f>
        <v>MON01</v>
      </c>
      <c r="C213" t="str">
        <f>'RESUMEN TOTAL'!D235</f>
        <v>San Martin y Patricias Argentinas</v>
      </c>
      <c r="D213" s="30" t="str">
        <f>'RESUMEN TOTAL'!E235</f>
        <v>Fija</v>
      </c>
      <c r="E213" s="30" t="str">
        <f>'RESUMEN TOTAL'!F235</f>
        <v>Fibra Optica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MON02</v>
      </c>
      <c r="C214" t="str">
        <f>'RESUMEN TOTAL'!D236</f>
        <v>Senzabello y Famatina</v>
      </c>
      <c r="D214" s="30" t="str">
        <f>'RESUMEN TOTAL'!E236</f>
        <v>Domo</v>
      </c>
      <c r="E214" s="30" t="str">
        <f>'RESUMEN TOTAL'!F236</f>
        <v>Radio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MON03</v>
      </c>
      <c r="C215" t="str">
        <f>'RESUMEN TOTAL'!D237</f>
        <v>Senzabello y Guemes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MON04</v>
      </c>
      <c r="C216" t="str">
        <f>'RESUMEN TOTAL'!D238</f>
        <v>Av. Yrigoyen y San Lorenzo</v>
      </c>
      <c r="D216" s="30" t="str">
        <f>'RESUMEN TOTAL'!E238</f>
        <v>Domo</v>
      </c>
      <c r="E216" s="30" t="str">
        <f>'RESUMEN TOTAL'!F238</f>
        <v>GPON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TOTAL'!A241</f>
        <v>9 DE JULIO</v>
      </c>
      <c r="B217" t="str">
        <f>'RESUMEN TOTAL'!B241</f>
        <v>NJU 01</v>
      </c>
      <c r="C217" t="str">
        <f>'RESUMEN TOTAL'!D241</f>
        <v>Sallares y Parrillo</v>
      </c>
      <c r="D217" s="30" t="str">
        <f>'RESUMEN TOTAL'!E241</f>
        <v>Domo</v>
      </c>
      <c r="E217" s="30" t="str">
        <f>'RESUMEN TOTAL'!F241</f>
        <v>Fibra Optica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 t="str">
        <f>'RESUMEN TOTAL'!O241</f>
        <v>APAGADO</v>
      </c>
      <c r="J217" s="72">
        <f>'RESUMEN TOTAL'!P241</f>
        <v>0</v>
      </c>
      <c r="K217" s="72">
        <f>'RESUMEN TOTAL'!Q241</f>
        <v>0</v>
      </c>
      <c r="L217" s="72" t="str">
        <f>'RESUMEN TOTAL'!R241</f>
        <v>APAGADO</v>
      </c>
      <c r="M217" s="72">
        <f>'RESUMEN TOTAL'!S241</f>
        <v>0</v>
      </c>
      <c r="N217" s="72">
        <f>'RESUMEN TOTAL'!T241</f>
        <v>0</v>
      </c>
      <c r="O217" s="72" t="str">
        <f>'RESUMEN TOTAL'!U241</f>
        <v>APAGADO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TOTAL'!A242</f>
        <v>9 DE JULIO</v>
      </c>
      <c r="B218" t="str">
        <f>'RESUMEN TOTAL'!B242</f>
        <v>NJU02</v>
      </c>
      <c r="C218" t="str">
        <f>'RESUMEN TOTAL'!D242</f>
        <v>Ituzaingo y Boccuzzi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>
        <f>'RESUMEN TOTAL'!O242</f>
        <v>0</v>
      </c>
      <c r="J218" s="72">
        <f>'RESUMEN TOTAL'!P242</f>
        <v>0</v>
      </c>
      <c r="K218" s="72">
        <f>'RESUMEN TOTAL'!Q242</f>
        <v>0</v>
      </c>
      <c r="L218" s="72">
        <f>'RESUMEN TOTAL'!R242</f>
        <v>0</v>
      </c>
      <c r="M218" s="72">
        <f>'RESUMEN TOTAL'!S242</f>
        <v>0</v>
      </c>
      <c r="N218" s="72">
        <f>'RESUMEN TOTAL'!T242</f>
        <v>0</v>
      </c>
      <c r="O218" s="72">
        <f>'RESUMEN TOTAL'!U242</f>
        <v>0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NJU03</v>
      </c>
      <c r="C219" t="str">
        <f>'RESUMEN TOTAL'!D243</f>
        <v>San Juan y Parrillo</v>
      </c>
      <c r="D219" s="30" t="str">
        <f>'RESUMEN TOTAL'!E243</f>
        <v>Domo</v>
      </c>
      <c r="E219" s="30" t="str">
        <f>'RESUMEN TOTAL'!F243</f>
        <v>PTO A FO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 t="str">
        <f>'RESUMEN TOTAL'!R243</f>
        <v>APAGADO</v>
      </c>
      <c r="M219" s="72">
        <f>'RESUMEN TOTAL'!S243</f>
        <v>0</v>
      </c>
      <c r="N219" s="72">
        <f>'RESUMEN TOTAL'!T243</f>
        <v>0</v>
      </c>
      <c r="O219" s="72" t="str">
        <f>'RESUMEN TOTAL'!U243</f>
        <v>APAGADO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NJU04</v>
      </c>
      <c r="C220" t="str">
        <f>'RESUMEN TOTAL'!D244</f>
        <v>Ituzaingo y 214 A</v>
      </c>
      <c r="D220" s="30" t="str">
        <f>'RESUMEN TOTAL'!E244</f>
        <v>Domo</v>
      </c>
      <c r="E220" s="30" t="str">
        <f>'RESUMEN TOTAL'!F244</f>
        <v>Fibra Optica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>
        <f>'RESUMEN TOTAL'!R244</f>
        <v>0</v>
      </c>
      <c r="M220" s="72">
        <f>'RESUMEN TOTAL'!S244</f>
        <v>0</v>
      </c>
      <c r="N220" s="72">
        <f>'RESUMEN TOTAL'!T244</f>
        <v>0</v>
      </c>
      <c r="O220" s="72">
        <f>'RESUMEN TOTAL'!U244</f>
        <v>0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ZEBALLOS CENTRO</v>
      </c>
      <c r="B221" t="str">
        <f>'RESUMEN TOTAL'!B245</f>
        <v>NJU05</v>
      </c>
      <c r="C221" t="str">
        <f>'RESUMEN TOTAL'!D245</f>
        <v>Ituzaingo y Alem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CENTRO</v>
      </c>
      <c r="B222" t="str">
        <f>'RESUMEN TOTAL'!B246</f>
        <v>NJU06</v>
      </c>
      <c r="C222" t="str">
        <f>'RESUMEN TOTAL'!D246</f>
        <v>Sallares y Rodo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 t="str">
        <f>'RESUMEN TOTAL'!O246</f>
        <v>APAGADO</v>
      </c>
      <c r="J222" s="72">
        <f>'RESUMEN TOTAL'!P246</f>
        <v>0</v>
      </c>
      <c r="K222" s="72">
        <f>'RESUMEN TOTAL'!Q246</f>
        <v>0</v>
      </c>
      <c r="L222" s="72" t="str">
        <f>'RESUMEN TOTAL'!R246</f>
        <v>APAGADO</v>
      </c>
      <c r="M222" s="72">
        <f>'RESUMEN TOTAL'!S246</f>
        <v>0</v>
      </c>
      <c r="N222" s="72">
        <f>'RESUMEN TOTAL'!T246</f>
        <v>0</v>
      </c>
      <c r="O222" s="72" t="str">
        <f>'RESUMEN TOTAL'!U246</f>
        <v>APAGADO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9 DE JULIO</v>
      </c>
      <c r="B223" t="str">
        <f>'RESUMEN TOTAL'!B247</f>
        <v>NJU07</v>
      </c>
      <c r="C223" t="str">
        <f>'RESUMEN TOTAL'!D247</f>
        <v>Gral. Juan Domingo Peron y Parrillo</v>
      </c>
      <c r="D223" s="30" t="str">
        <f>'RESUMEN TOTAL'!E247</f>
        <v>Domo</v>
      </c>
      <c r="E223" s="30" t="str">
        <f>'RESUMEN TOTAL'!F247</f>
        <v>Fibra Optica</v>
      </c>
      <c r="F223" s="72" t="str">
        <f>'RESUMEN TOTAL'!L247</f>
        <v>APAGADO</v>
      </c>
      <c r="G223" s="72" t="str">
        <f>'RESUMEN TOTAL'!M247</f>
        <v>APAGADO</v>
      </c>
      <c r="H223" s="72" t="str">
        <f>'RESUMEN TOTAL'!N247</f>
        <v>APAGADO</v>
      </c>
      <c r="I223" s="72" t="str">
        <f>'RESUMEN TOTAL'!O247</f>
        <v>APAGADO</v>
      </c>
      <c r="J223" s="72" t="str">
        <f>'RESUMEN TOTAL'!P247</f>
        <v>APAGADO</v>
      </c>
      <c r="K223" s="72" t="str">
        <f>'RESUMEN TOTAL'!Q247</f>
        <v>APAGADO</v>
      </c>
      <c r="L223" s="72" t="str">
        <f>'RESUMEN TOTAL'!R247</f>
        <v>APAGADO</v>
      </c>
      <c r="M223" s="72" t="str">
        <f>'RESUMEN TOTAL'!S247</f>
        <v>APAGADO</v>
      </c>
      <c r="N223" s="72" t="str">
        <f>'RESUMEN TOTAL'!T247</f>
        <v>APAGADO</v>
      </c>
      <c r="O223" s="72" t="str">
        <f>'RESUMEN TOTAL'!U247</f>
        <v>APAGADO</v>
      </c>
      <c r="P223" s="72" t="str">
        <f>'RESUMEN TOTAL'!V247</f>
        <v>APAGADO</v>
      </c>
      <c r="Q223" s="72" t="str">
        <f>'RESUMEN TOTAL'!W247</f>
        <v>APAGADO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 08</v>
      </c>
      <c r="C224" t="str">
        <f>'RESUMEN TOTAL'!D248</f>
        <v>BOCCUZZI Y O HIGGINS</v>
      </c>
      <c r="D224" s="30" t="str">
        <f>'RESUMEN TOTAL'!E248</f>
        <v>DOMO</v>
      </c>
      <c r="E224" s="30" t="str">
        <f>'RESUMEN TOTAL'!F248</f>
        <v>Fibra Optica</v>
      </c>
      <c r="F224" s="72">
        <f>'RESUMEN TOTAL'!L248</f>
        <v>0</v>
      </c>
      <c r="G224" s="72" t="str">
        <f>'RESUMEN TOTAL'!M248</f>
        <v>APAGADO</v>
      </c>
      <c r="H224" s="72" t="str">
        <f>'RESUMEN TOTAL'!N248</f>
        <v>APAGADO</v>
      </c>
      <c r="I224" s="72">
        <f>'RESUMEN TOTAL'!O248</f>
        <v>0</v>
      </c>
      <c r="J224" s="72">
        <f>'RESUMEN TOTAL'!P248</f>
        <v>0</v>
      </c>
      <c r="K224" s="72">
        <f>'RESUMEN TOTAL'!Q248</f>
        <v>0</v>
      </c>
      <c r="L224" s="72">
        <f>'RESUMEN TOTAL'!R248</f>
        <v>0</v>
      </c>
      <c r="M224" s="72">
        <f>'RESUMEN TOTAL'!S248</f>
        <v>0</v>
      </c>
      <c r="N224" s="72">
        <f>'RESUMEN TOTAL'!T248</f>
        <v>0</v>
      </c>
      <c r="O224" s="72">
        <f>'RESUMEN TOTAL'!U248</f>
        <v>0</v>
      </c>
      <c r="P224" s="72">
        <f>'RESUMEN TOTAL'!V248</f>
        <v>0</v>
      </c>
      <c r="Q224" s="72">
        <f>'RESUMEN TOTAL'!W248</f>
        <v>0</v>
      </c>
      <c r="R224" s="72">
        <f>'RESUMEN TOTAL'!X248</f>
        <v>0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NJU09</v>
      </c>
      <c r="C225" t="str">
        <f>'RESUMEN TOTAL'!D249</f>
        <v>PARRILLO Y CONTRERAS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>
        <f>'RESUMEN TOTAL'!M249</f>
        <v>0</v>
      </c>
      <c r="H225" s="72">
        <f>'RESUMEN TOTAL'!N249</f>
        <v>0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TOTAL'!A251</f>
        <v>PICO DE ORO</v>
      </c>
      <c r="B226" t="str">
        <f>'RESUMEN TOTAL'!B251</f>
        <v>PCO 01</v>
      </c>
      <c r="C226" t="str">
        <f>'RESUMEN TOTAL'!D251</f>
        <v>CEMENTERIO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TOTAL'!A252</f>
        <v>PICO DE ORO</v>
      </c>
      <c r="B227" t="str">
        <f>'RESUMEN TOTAL'!B252</f>
        <v>PCO02 (fija 1)</v>
      </c>
      <c r="C227" t="str">
        <f>'RESUMEN TOTAL'!D252</f>
        <v>SICILIA E/ VIENA Y VARSOVIA</v>
      </c>
      <c r="D227" s="30" t="str">
        <f>'RESUMEN TOTAL'!E252</f>
        <v>Fija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PCO03 (fija 2)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PCO04 (fija 1)</v>
      </c>
      <c r="C229" t="str">
        <f>'RESUMEN TOTAL'!D254</f>
        <v>BERNA Y POLONIA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 t="str">
        <f>'RESUMEN TOTAL'!O254</f>
        <v>APAGADO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PCO05 (fija 2)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AGUSTIN RAMIREZ</v>
      </c>
      <c r="B231" t="str">
        <f>'RESUMEN TOTAL'!B256</f>
        <v>PUNTO SEGURO - AGUSTIN RAMIREZ (domo)</v>
      </c>
      <c r="C231" t="str">
        <f>'RESUMEN TOTAL'!D256</f>
        <v>EL MALAMBO Y LA TRANQUERA</v>
      </c>
      <c r="D231" s="30" t="str">
        <f>'RESUMEN TOTAL'!E256</f>
        <v>DOMO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>
        <f>'RESUMEN TOTAL'!O256</f>
        <v>0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(fija)</v>
      </c>
      <c r="C232" t="str">
        <f>'RESUMEN TOTAL'!D257</f>
        <v>EL MALAMBO Y LA TRANQUERA</v>
      </c>
      <c r="D232" s="30" t="str">
        <f>'RESUMEN TOTAL'!E257</f>
        <v>Fija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>
        <f>'RESUMEN TOTAL'!X257</f>
        <v>0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AGUSTIN RAMIREZ INTERCOMUNICADOR</v>
      </c>
      <c r="C233" t="str">
        <f>'RESUMEN TOTAL'!D258</f>
        <v>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>
        <f>'RESUMEN TOTAL'!X258</f>
        <v>0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EL PARQUE</v>
      </c>
      <c r="B234" t="str">
        <f>'RESUMEN TOTAL'!B259</f>
        <v>PUNTO SEGURO - EL PARQUE (domo)</v>
      </c>
      <c r="C234" t="str">
        <f>'RESUMEN TOTAL'!D259</f>
        <v>CALLE 1282 Y 1201</v>
      </c>
      <c r="D234" s="30" t="str">
        <f>'RESUMEN TOTAL'!E259</f>
        <v>DOMO</v>
      </c>
      <c r="E234" s="30" t="str">
        <f>'RESUMEN TOTAL'!F259</f>
        <v>Fibra Optica</v>
      </c>
      <c r="F234" s="72">
        <f>'RESUMEN TOTAL'!L259</f>
        <v>0</v>
      </c>
      <c r="G234" s="72" t="str">
        <f>'RESUMEN TOTAL'!M259</f>
        <v>APAGADO</v>
      </c>
      <c r="H234" s="72" t="str">
        <f>'RESUMEN TOTAL'!N259</f>
        <v>APAGADO</v>
      </c>
      <c r="I234" s="72" t="str">
        <f>'RESUMEN TOTAL'!O259</f>
        <v>APAGADO</v>
      </c>
      <c r="J234" s="72">
        <f>'RESUMEN TOTAL'!P259</f>
        <v>0</v>
      </c>
      <c r="K234" s="72" t="str">
        <f>'RESUMEN TOTAL'!Q259</f>
        <v>APAGADO</v>
      </c>
      <c r="L234" s="72" t="str">
        <f>'RESUMEN TOTAL'!R259</f>
        <v>APAGADO</v>
      </c>
      <c r="M234" s="72" t="str">
        <f>'RESUMEN TOTAL'!S259</f>
        <v>APAGADO</v>
      </c>
      <c r="N234" s="72" t="str">
        <f>'RESUMEN TOTAL'!T259</f>
        <v>APAGADO</v>
      </c>
      <c r="O234" s="72" t="str">
        <f>'RESUMEN TOTAL'!U259</f>
        <v>APAGADO</v>
      </c>
      <c r="P234" s="72" t="str">
        <f>'RESUMEN TOTAL'!V259</f>
        <v>APAGADO</v>
      </c>
      <c r="Q234" s="72" t="str">
        <f>'RESUMEN TOTAL'!W259</f>
        <v>APAGADO</v>
      </c>
      <c r="R234" s="72">
        <f>'RESUMEN TOTAL'!X259</f>
        <v>0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(fija)</v>
      </c>
      <c r="C235" t="str">
        <f>'RESUMEN TOTAL'!D260</f>
        <v>CALLE 1282 Y 1201</v>
      </c>
      <c r="D235" s="30" t="str">
        <f>'RESUMEN TOTAL'!E260</f>
        <v>Fija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 t="str">
        <f>'RESUMEN TOTAL'!P260</f>
        <v>APAGADO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>
        <f>'RESUMEN TOTAL'!T260</f>
        <v>0</v>
      </c>
      <c r="O235" s="72">
        <f>'RESUMEN TOTAL'!U260</f>
        <v>0</v>
      </c>
      <c r="P235" s="72" t="str">
        <f>'RESUMEN TOTAL'!V260</f>
        <v>APAGADO</v>
      </c>
      <c r="Q235" s="72" t="str">
        <f>'RESUMEN TOTAL'!W260</f>
        <v>APAGADO</v>
      </c>
      <c r="R235" s="72">
        <f>'RESUMEN TOTAL'!X260</f>
        <v>0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INTERCOMUNICADOR</v>
      </c>
      <c r="C236" t="str">
        <f>'RESUMEN TOTAL'!D261</f>
        <v>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>
        <f>'RESUMEN TOTAL'!O261</f>
        <v>0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>
        <f>'RESUMEN TOTAL'!V261</f>
        <v>0</v>
      </c>
      <c r="Q236" s="72">
        <f>'RESUMEN TOTAL'!W261</f>
        <v>0</v>
      </c>
      <c r="R236" s="72">
        <f>'RESUMEN TOTAL'!X261</f>
        <v>0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INGENIERO ALLAN</v>
      </c>
      <c r="B237" t="str">
        <f>'RESUMEN TOTAL'!B262</f>
        <v>PUNTO SEGURO - ING. ALLAN (domo)</v>
      </c>
      <c r="C237" t="str">
        <f>'RESUMEN TOTAL'!D262</f>
        <v>DIAG. LOS YAGANES Y 1148</v>
      </c>
      <c r="D237" s="30" t="str">
        <f>'RESUMEN TOTAL'!E262</f>
        <v>DOMO</v>
      </c>
      <c r="E237" s="30" t="str">
        <f>'RESUMEN TOTAL'!F262</f>
        <v>Fibra Optica</v>
      </c>
      <c r="F237" s="72" t="str">
        <f>'RESUMEN TOTAL'!L262</f>
        <v>APAGADO</v>
      </c>
      <c r="G237" s="72" t="str">
        <f>'RESUMEN TOTAL'!M262</f>
        <v>APAGADO</v>
      </c>
      <c r="H237" s="72" t="str">
        <f>'RESUMEN TOTAL'!N262</f>
        <v>APAGADO</v>
      </c>
      <c r="I237" s="72" t="str">
        <f>'RESUMEN TOTAL'!O262</f>
        <v>APAGADO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 t="str">
        <f>'RESUMEN TOTAL'!T262</f>
        <v>APAGADO</v>
      </c>
      <c r="O237" s="72" t="str">
        <f>'RESUMEN TOTAL'!U262</f>
        <v>APAGADO</v>
      </c>
      <c r="P237" s="72" t="str">
        <f>'RESUMEN TOTAL'!V262</f>
        <v>APAGADO</v>
      </c>
      <c r="Q237" s="72" t="str">
        <f>'RESUMEN TOTAL'!W262</f>
        <v>APAGADO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(fija)</v>
      </c>
      <c r="C238" t="str">
        <f>'RESUMEN TOTAL'!D263</f>
        <v>DIAG. LOS YAGANES Y 1148</v>
      </c>
      <c r="D238" s="30" t="str">
        <f>'RESUMEN TOTAL'!E263</f>
        <v>Fija</v>
      </c>
      <c r="E238" s="30" t="str">
        <f>'RESUMEN TOTAL'!F263</f>
        <v>Fibra Optica</v>
      </c>
      <c r="F238" s="72">
        <f>'RESUMEN TOTAL'!L263</f>
        <v>0</v>
      </c>
      <c r="G238" s="72">
        <f>'RESUMEN TOTAL'!M263</f>
        <v>0</v>
      </c>
      <c r="H238" s="72">
        <f>'RESUMEN TOTAL'!N263</f>
        <v>0</v>
      </c>
      <c r="I238" s="72">
        <f>'RESUMEN TOTAL'!O263</f>
        <v>0</v>
      </c>
      <c r="J238" s="72">
        <f>'RESUMEN TOTAL'!P263</f>
        <v>0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>
        <f>'RESUMEN TOTAL'!T263</f>
        <v>0</v>
      </c>
      <c r="O238" s="72">
        <f>'RESUMEN TOTAL'!U263</f>
        <v>0</v>
      </c>
      <c r="P238" s="72">
        <f>'RESUMEN TOTAL'!V263</f>
        <v>0</v>
      </c>
      <c r="Q238" s="72">
        <f>'RESUMEN TOTAL'!W263</f>
        <v>0</v>
      </c>
      <c r="R238" s="72">
        <f>'RESUMEN TOTAL'!X263</f>
        <v>0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 ALLAN INTERCOMUNICADOR</v>
      </c>
      <c r="C239" t="str">
        <f>'RESUMEN TOTAL'!D264</f>
        <v>DIAG LOS YAGANES Y 1148</v>
      </c>
      <c r="D239" s="30" t="str">
        <f>'RESUMEN TOTAL'!E264</f>
        <v>Domo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 t="str">
        <f>'RESUMEN TOTAL'!P264</f>
        <v>APAGADO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LUJAN</v>
      </c>
      <c r="B240" t="str">
        <f>'RESUMEN TOTAL'!B265</f>
        <v>PUNTO SEGURO - LUJAN (fija)</v>
      </c>
      <c r="C240" t="str">
        <f>'RESUMEN TOTAL'!D265</f>
        <v>DIAG. LOS TILOS Y LOS ALGARROBOS</v>
      </c>
      <c r="D240" s="30" t="str">
        <f>'RESUMEN TOTAL'!E265</f>
        <v>Fija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>
        <f>'RESUMEN TOTAL'!P265</f>
        <v>0</v>
      </c>
      <c r="K240" s="72">
        <f>'RESUMEN TOTAL'!Q265</f>
        <v>0</v>
      </c>
      <c r="L240" s="72">
        <f>'RESUMEN TOTAL'!R265</f>
        <v>0</v>
      </c>
      <c r="M240" s="72">
        <f>'RESUMEN TOTAL'!S265</f>
        <v>0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LUJAN (domo)</v>
      </c>
      <c r="C241" t="str">
        <f>'RESUMEN TOTAL'!D266</f>
        <v>DIAG. LOS TILOS Y LOS ALGARROBOS</v>
      </c>
      <c r="D241" s="30" t="str">
        <f>'RESUMEN TOTAL'!E266</f>
        <v>DOMO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INTERCOMUNICADOR</v>
      </c>
      <c r="C242" t="str">
        <f>'RESUMEN TOTAL'!D267</f>
        <v>DIAG LOS TILOS Y LOS ALGARROBOS</v>
      </c>
      <c r="D242" s="30" t="str">
        <f>'RESUMEN TOTAL'!E267</f>
        <v>Fija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ZONA RURAL SANTA ROSA</v>
      </c>
      <c r="B243" t="str">
        <f>'RESUMEN TOTAL'!B268</f>
        <v>PUNTO SEGURO - PICO DE ORO (domo)</v>
      </c>
      <c r="C243" t="str">
        <f>'RESUMEN TOTAL'!D268</f>
        <v>PISANI Y BULGARIA</v>
      </c>
      <c r="D243" s="30" t="str">
        <f>'RESUMEN TOTAL'!E268</f>
        <v>DOMO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 t="str">
        <f>'RESUMEN TOTAL'!R268</f>
        <v>APAGADO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(fija)</v>
      </c>
      <c r="C244" t="str">
        <f>'RESUMEN TOTAL'!D269</f>
        <v>PISANI Y BULGARIA</v>
      </c>
      <c r="D244" s="30" t="str">
        <f>'RESUMEN TOTAL'!E269</f>
        <v>Fija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>
        <f>'RESUMEN TOTAL'!R269</f>
        <v>0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PICO DE ORO INTERCOMUNICADOR</v>
      </c>
      <c r="C245" t="str">
        <f>'RESUMEN TOTAL'!D270</f>
        <v>PISANI Y BULGARIA</v>
      </c>
      <c r="D245" s="30" t="str">
        <f>'RESUMEN TOTAL'!E270</f>
        <v>Domo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SAN FRANCISCO ESTE (CHICO)</v>
      </c>
      <c r="B246" t="str">
        <f>'RESUMEN TOTAL'!B271</f>
        <v>PUNTO SEGURO - SAN FRANCISCO (domo)</v>
      </c>
      <c r="C246" t="str">
        <f>'RESUMEN TOTAL'!D271</f>
        <v>RP 53 Y 1332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JORGE</v>
      </c>
      <c r="B247" t="str">
        <f>'RESUMEN TOTAL'!B272</f>
        <v>Punto Seguro - San Jorge (Domo)</v>
      </c>
      <c r="C247" t="str">
        <f>'RESUMEN TOTAL'!D272</f>
        <v>CALLE 523 E/ 554 Y 556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(Fija)</v>
      </c>
      <c r="C248" t="str">
        <f>'RESUMEN TOTAL'!D273</f>
        <v>CALLE 523 E/ 554 Y 556</v>
      </c>
      <c r="D248" s="30" t="str">
        <f>'RESUMEN TOTAL'!E273</f>
        <v>Fija</v>
      </c>
      <c r="E248" s="30" t="str">
        <f>'RESUMEN TOTAL'!F273</f>
        <v>Fibra Optica</v>
      </c>
      <c r="F248" s="72" t="str">
        <f>'RESUMEN TOTAL'!L273</f>
        <v>APAGADO</v>
      </c>
      <c r="G248" s="72" t="str">
        <f>'RESUMEN TOTAL'!M273</f>
        <v>APAGADO</v>
      </c>
      <c r="H248" s="72" t="str">
        <f>'RESUMEN TOTAL'!N273</f>
        <v>APAGADO</v>
      </c>
      <c r="I248" s="72" t="str">
        <f>'RESUMEN TOTAL'!O273</f>
        <v>APAGADO</v>
      </c>
      <c r="J248" s="72" t="str">
        <f>'RESUMEN TOTAL'!P273</f>
        <v>APAGADO</v>
      </c>
      <c r="K248" s="72" t="str">
        <f>'RESUMEN TOTAL'!Q273</f>
        <v>APAGADO</v>
      </c>
      <c r="L248" s="72" t="str">
        <f>'RESUMEN TOTAL'!R273</f>
        <v>APAGADO</v>
      </c>
      <c r="M248" s="72" t="str">
        <f>'RESUMEN TOTAL'!S273</f>
        <v>APAGADO</v>
      </c>
      <c r="N248" s="72" t="str">
        <f>'RESUMEN TOTAL'!T273</f>
        <v>APAGADO</v>
      </c>
      <c r="O248" s="72" t="str">
        <f>'RESUMEN TOTAL'!U273</f>
        <v>APAGADO</v>
      </c>
      <c r="P248" s="72" t="str">
        <f>'RESUMEN TOTAL'!V273</f>
        <v>APAGADO</v>
      </c>
      <c r="Q248" s="72" t="str">
        <f>'RESUMEN TOTAL'!W273</f>
        <v>APAGADO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SAN JORGE INTERCOMUNICADOR</v>
      </c>
      <c r="C249" t="str">
        <f>'RESUMEN TOTAL'!D274</f>
        <v>CALLE 554 Y 523</v>
      </c>
      <c r="D249" s="30" t="str">
        <f>'RESUMEN TOTAL'!E274</f>
        <v>Fija</v>
      </c>
      <c r="E249" s="30" t="str">
        <f>'RESUMEN TOTAL'!F274</f>
        <v>Fibra Optica</v>
      </c>
      <c r="F249" s="72">
        <f>'RESUMEN TOTAL'!L274</f>
        <v>0</v>
      </c>
      <c r="G249" s="72">
        <f>'RESUMEN TOTAL'!M274</f>
        <v>0</v>
      </c>
      <c r="H249" s="72">
        <f>'RESUMEN TOTAL'!N274</f>
        <v>0</v>
      </c>
      <c r="I249" s="72">
        <f>'RESUMEN TOTAL'!O274</f>
        <v>0</v>
      </c>
      <c r="J249" s="72">
        <f>'RESUMEN TOTAL'!P274</f>
        <v>0</v>
      </c>
      <c r="K249" s="72">
        <f>'RESUMEN TOTAL'!Q274</f>
        <v>0</v>
      </c>
      <c r="L249" s="72">
        <f>'RESUMEN TOTAL'!R274</f>
        <v>0</v>
      </c>
      <c r="M249" s="72">
        <f>'RESUMEN TOTAL'!S274</f>
        <v>0</v>
      </c>
      <c r="N249" s="72">
        <f>'RESUMEN TOTAL'!T274</f>
        <v>0</v>
      </c>
      <c r="O249" s="72">
        <f>'RESUMEN TOTAL'!U274</f>
        <v>0</v>
      </c>
      <c r="P249" s="72">
        <f>'RESUMEN TOTAL'!V274</f>
        <v>0</v>
      </c>
      <c r="Q249" s="72">
        <f>'RESUMEN TOTAL'!W274</f>
        <v>0</v>
      </c>
      <c r="R249" s="72">
        <f>'RESUMEN TOTAL'!X274</f>
        <v>0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RUDECINDO</v>
      </c>
      <c r="B250" t="str">
        <f>'RESUMEN TOTAL'!B275</f>
        <v>PUNTO SEGURO- SAN RUDECINDO (domo)</v>
      </c>
      <c r="C250" t="str">
        <f>'RESUMEN TOTAL'!D275</f>
        <v>SANTA SOFIA Y ALVAR NUÑEZ</v>
      </c>
      <c r="D250" s="30" t="str">
        <f>'RESUMEN TOTAL'!E275</f>
        <v>DOMO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 - SAN RUDECINDO (fija)</v>
      </c>
      <c r="C251" t="str">
        <f>'RESUMEN TOTAL'!D276</f>
        <v>SANTA SOFIA Y ALVAR NUÑEZ</v>
      </c>
      <c r="D251" s="30" t="str">
        <f>'RESUMEN TOTAL'!E276</f>
        <v>Fija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SAN RUDECINDO INTERCOMUNICADOR</v>
      </c>
      <c r="C252" t="str">
        <f>'RESUMEN TOTAL'!D277</f>
        <v>SABTA SOFIA Y ALVAR NUÃ‘EZ</v>
      </c>
      <c r="D252" s="30" t="str">
        <f>'RESUMEN TOTAL'!E277</f>
        <v>Domo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ZONA RURAL SANTA ROSA</v>
      </c>
      <c r="B253" t="str">
        <f>'RESUMEN TOTAL'!B278</f>
        <v>PUNTO SEGURO - SANTA ROSA (domo)</v>
      </c>
      <c r="C253" t="str">
        <f>'RESUMEN TOTAL'!D278</f>
        <v>BRUSELAS Y SICILIA</v>
      </c>
      <c r="D253" s="30" t="str">
        <f>'RESUMEN TOTAL'!E278</f>
        <v>DOMO</v>
      </c>
      <c r="E253" s="30" t="str">
        <f>'RESUMEN TOTAL'!F278</f>
        <v>Fibra Optica</v>
      </c>
      <c r="F253" s="72" t="str">
        <f>'RESUMEN TOTAL'!L278</f>
        <v>APAGADO</v>
      </c>
      <c r="G253" s="72" t="str">
        <f>'RESUMEN TOTAL'!M278</f>
        <v>APAGADO</v>
      </c>
      <c r="H253" s="72" t="str">
        <f>'RESUMEN TOTAL'!N278</f>
        <v>APAGADO</v>
      </c>
      <c r="I253" s="72" t="str">
        <f>'RESUMEN TOTAL'!O278</f>
        <v>APAGADO</v>
      </c>
      <c r="J253" s="72" t="str">
        <f>'RESUMEN TOTAL'!P278</f>
        <v>APAGADO</v>
      </c>
      <c r="K253" s="72" t="str">
        <f>'RESUMEN TOTAL'!Q278</f>
        <v>APAGADO</v>
      </c>
      <c r="L253" s="72" t="str">
        <f>'RESUMEN TOTAL'!R278</f>
        <v>APAGADO</v>
      </c>
      <c r="M253" s="72" t="str">
        <f>'RESUMEN TOTAL'!S278</f>
        <v>APAGADO</v>
      </c>
      <c r="N253" s="72" t="str">
        <f>'RESUMEN TOTAL'!T278</f>
        <v>APAGADO</v>
      </c>
      <c r="O253" s="72" t="str">
        <f>'RESUMEN TOTAL'!U278</f>
        <v>APAGADO</v>
      </c>
      <c r="P253" s="72" t="str">
        <f>'RESUMEN TOTAL'!V278</f>
        <v>APAGADO</v>
      </c>
      <c r="Q253" s="72" t="str">
        <f>'RESUMEN TOTAL'!W278</f>
        <v>APAGADO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(fija)</v>
      </c>
      <c r="C254" t="str">
        <f>'RESUMEN TOTAL'!D279</f>
        <v>BRUSELAS Y SICILIA</v>
      </c>
      <c r="D254" s="30" t="str">
        <f>'RESUMEN TOTAL'!E279</f>
        <v>Fija</v>
      </c>
      <c r="E254" s="30" t="str">
        <f>'RESUMEN TOTAL'!F279</f>
        <v>Fibra Optica</v>
      </c>
      <c r="F254" s="72">
        <f>'RESUMEN TOTAL'!L279</f>
        <v>0</v>
      </c>
      <c r="G254" s="72">
        <f>'RESUMEN TOTAL'!M279</f>
        <v>0</v>
      </c>
      <c r="H254" s="72">
        <f>'RESUMEN TOTAL'!N279</f>
        <v>0</v>
      </c>
      <c r="I254" s="72">
        <f>'RESUMEN TOTAL'!O279</f>
        <v>0</v>
      </c>
      <c r="J254" s="72">
        <f>'RESUMEN TOTAL'!P279</f>
        <v>0</v>
      </c>
      <c r="K254" s="72">
        <f>'RESUMEN TOTAL'!Q279</f>
        <v>0</v>
      </c>
      <c r="L254" s="72">
        <f>'RESUMEN TOTAL'!R279</f>
        <v>0</v>
      </c>
      <c r="M254" s="72">
        <f>'RESUMEN TOTAL'!S279</f>
        <v>0</v>
      </c>
      <c r="N254" s="72">
        <f>'RESUMEN TOTAL'!T279</f>
        <v>0</v>
      </c>
      <c r="O254" s="72">
        <f>'RESUMEN TOTAL'!U279</f>
        <v>0</v>
      </c>
      <c r="P254" s="72">
        <f>'RESUMEN TOTAL'!V279</f>
        <v>0</v>
      </c>
      <c r="Q254" s="72">
        <f>'RESUMEN TOTAL'!W279</f>
        <v>0</v>
      </c>
      <c r="R254" s="72">
        <f>'RESUMEN TOTAL'!X279</f>
        <v>0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SANTA ROSA INTERCOMUNICADOR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VILLA ARGENTINA</v>
      </c>
      <c r="B256" t="str">
        <f>'RESUMEN TOTAL'!B281</f>
        <v>PUNTO SEGURO VILLA ARGENTINA domo</v>
      </c>
      <c r="C256" t="str">
        <f>'RESUMEN TOTAL'!D281</f>
        <v>CALLE 513 Y DIAG PORTELA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fija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INTERCOMUNICADOR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 t="str">
        <f>'RESUMEN TOTAL'!P283</f>
        <v>APAGADO</v>
      </c>
      <c r="K258" s="72" t="str">
        <f>'RESUMEN TOTAL'!Q283</f>
        <v>APAGADO</v>
      </c>
      <c r="L258" s="72" t="str">
        <f>'RESUMEN TOTAL'!R283</f>
        <v>APAGADO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EL ROCIO</v>
      </c>
      <c r="B259" t="str">
        <f>'RESUMEN TOTAL'!B284</f>
        <v>RCO 01</v>
      </c>
      <c r="C259" t="str">
        <f>'RESUMEN TOTAL'!D284</f>
        <v>AV. LUJAN Y LOBOS</v>
      </c>
      <c r="D259" s="30" t="str">
        <f>'RESUMEN TOTAL'!E284</f>
        <v>DOMO</v>
      </c>
      <c r="E259" s="30" t="str">
        <f>'RESUMEN TOTAL'!F284</f>
        <v>Fibra Optica</v>
      </c>
      <c r="F259" s="72" t="str">
        <f>'RESUMEN TOTAL'!L284</f>
        <v>APAGADO</v>
      </c>
      <c r="G259" s="72" t="str">
        <f>'RESUMEN TOTAL'!M284</f>
        <v>APAGADO</v>
      </c>
      <c r="H259" s="72" t="str">
        <f>'RESUMEN TOTAL'!N284</f>
        <v>APAGADO</v>
      </c>
      <c r="I259" s="72" t="str">
        <f>'RESUMEN TOTAL'!O284</f>
        <v>APAGADO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 t="str">
        <f>'RESUMEN TOTAL'!S284</f>
        <v>APAGADO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RCO02</v>
      </c>
      <c r="C260" t="str">
        <f>'RESUMEN TOTAL'!D285</f>
        <v>AV. LUJAN Y BRANDSEN</v>
      </c>
      <c r="D260" s="30" t="str">
        <f>'RESUMEN TOTAL'!E285</f>
        <v>DOMO</v>
      </c>
      <c r="E260" s="30" t="str">
        <f>'RESUMEN TOTAL'!F285</f>
        <v>Fibra Optica</v>
      </c>
      <c r="F260" s="72">
        <f>'RESUMEN TOTAL'!L285</f>
        <v>0</v>
      </c>
      <c r="G260" s="72">
        <f>'RESUMEN TOTAL'!M285</f>
        <v>0</v>
      </c>
      <c r="H260" s="72">
        <f>'RESUMEN TOTAL'!N285</f>
        <v>0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RCO03 (fija 1)</v>
      </c>
      <c r="C261" t="str">
        <f>'RESUMEN TOTAL'!D286</f>
        <v>OLAVARRIA Y CONCORDIA</v>
      </c>
      <c r="D261" s="30" t="str">
        <f>'RESUMEN TOTAL'!E286</f>
        <v>Fija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RCO04 (fija 2)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RCO05 (fija 1)</v>
      </c>
      <c r="C263" t="str">
        <f>'RESUMEN TOTAL'!D288</f>
        <v>LOBOS Y CHASCOMUS</v>
      </c>
      <c r="D263" s="30" t="str">
        <f>'RESUMEN TOTAL'!E288</f>
        <v>Fija</v>
      </c>
      <c r="E263" s="30" t="str">
        <f>'RESUMEN TOTAL'!F288</f>
        <v>Fibra Optica</v>
      </c>
      <c r="F263" s="72" t="str">
        <f>'RESUMEN TOTAL'!L288</f>
        <v>APAGADO</v>
      </c>
      <c r="G263" s="72" t="str">
        <f>'RESUMEN TOTAL'!M288</f>
        <v>APAGADO</v>
      </c>
      <c r="H263" s="72" t="str">
        <f>'RESUMEN TOTAL'!N288</f>
        <v>APAGADO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 t="str">
        <f>'RESUMEN TOTAL'!T288</f>
        <v>APAGADO</v>
      </c>
      <c r="O263" s="72" t="str">
        <f>'RESUMEN TOTAL'!U288</f>
        <v>APAGADO</v>
      </c>
      <c r="P263" s="72" t="str">
        <f>'RESUMEN TOTAL'!V288</f>
        <v>APAGADO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TOTAL'!A291</f>
        <v>EL ROCIO</v>
      </c>
      <c r="B264" t="str">
        <f>'RESUMEN TOTAL'!B289</f>
        <v>RCO06 (fija 2)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TOTAL'!A294</f>
        <v>RICARDO ROJAS</v>
      </c>
      <c r="B265" t="str">
        <f>'RESUMEN TOTAL'!B294</f>
        <v>RRJ01</v>
      </c>
      <c r="C265" t="str">
        <f>'RESUMEN TOTAL'!D294</f>
        <v>AV. LUJAN Y BRAGADO</v>
      </c>
      <c r="D265" s="30" t="str">
        <f>'RESUMEN TOTAL'!E294</f>
        <v>DOMO</v>
      </c>
      <c r="E265" s="30" t="str">
        <f>'RESUMEN TOTAL'!F294</f>
        <v>Fibra Optica</v>
      </c>
      <c r="F265" s="72">
        <f>'RESUMEN TOTAL'!L294</f>
        <v>0</v>
      </c>
      <c r="G265" s="72">
        <f>'RESUMEN TOTAL'!M294</f>
        <v>0</v>
      </c>
      <c r="H265" s="72">
        <f>'RESUMEN TOTAL'!N294</f>
        <v>0</v>
      </c>
      <c r="I265" s="72" t="str">
        <f>'RESUMEN TOTAL'!O294</f>
        <v>APAGADO</v>
      </c>
      <c r="J265" s="72" t="str">
        <f>'RESUMEN TOTAL'!P294</f>
        <v>APAGADO</v>
      </c>
      <c r="K265" s="72" t="str">
        <f>'RESUMEN TOTAL'!Q294</f>
        <v>APAGADO</v>
      </c>
      <c r="L265" s="72" t="str">
        <f>'RESUMEN TOTAL'!R294</f>
        <v>APAGADO</v>
      </c>
      <c r="M265" s="72" t="str">
        <f>'RESUMEN TOTAL'!S294</f>
        <v>APAGADO</v>
      </c>
      <c r="N265" s="72">
        <f>'RESUMEN TOTAL'!T294</f>
        <v>0</v>
      </c>
      <c r="O265" s="72">
        <f>'RESUMEN TOTAL'!U294</f>
        <v>0</v>
      </c>
      <c r="P265" s="72">
        <f>'RESUMEN TOTAL'!V294</f>
        <v>0</v>
      </c>
      <c r="Q265" s="72">
        <f>'RESUMEN TOTAL'!W294</f>
        <v>0</v>
      </c>
      <c r="R265" s="72">
        <f>'RESUMEN TOTAL'!X294</f>
        <v>0</v>
      </c>
      <c r="S265" s="72">
        <f>'RESUMEN TOTAL'!Y294</f>
        <v>0</v>
      </c>
      <c r="T265" s="72">
        <f>'RESUMEN TOTAL'!Z294</f>
        <v>0</v>
      </c>
      <c r="U265" s="72">
        <f>'RESUMEN TOTAL'!AA294</f>
        <v>0</v>
      </c>
      <c r="V265" s="72">
        <f>'RESUMEN TOTAL'!AB294</f>
        <v>0</v>
      </c>
      <c r="W265" s="72">
        <f>'RESUMEN TOTAL'!AC294</f>
        <v>0</v>
      </c>
      <c r="X265" s="72">
        <f>'RESUMEN TOTAL'!AD294</f>
        <v>0</v>
      </c>
      <c r="Y265" s="72">
        <f>'RESUMEN TOTAL'!AE294</f>
        <v>0</v>
      </c>
      <c r="Z265" s="72">
        <f>'RESUMEN TOTAL'!AF294</f>
        <v>0</v>
      </c>
      <c r="AA265" s="72">
        <f>'RESUMEN TOTAL'!AG294</f>
        <v>0</v>
      </c>
      <c r="AB265" s="72">
        <f>'RESUMEN TOTAL'!AH294</f>
        <v>0</v>
      </c>
      <c r="AC265" s="72">
        <f>'RESUMEN TOTAL'!AI294</f>
        <v>0</v>
      </c>
      <c r="AD265" s="72">
        <f>'RESUMEN TOTAL'!AJ294</f>
        <v>0</v>
      </c>
      <c r="AE265" s="72">
        <f>'RESUMEN TOTAL'!AK294</f>
        <v>0</v>
      </c>
      <c r="AF265" s="72">
        <f>'RESUMEN TOTAL'!AL294</f>
        <v>0</v>
      </c>
      <c r="AG265" s="72">
        <f>'RESUMEN TOTAL'!AM294</f>
        <v>0</v>
      </c>
      <c r="AH265" s="72">
        <f>'RESUMEN TOTAL'!AN294</f>
        <v>0</v>
      </c>
      <c r="AI265" s="72">
        <f>'RESUMEN TOTAL'!AO294</f>
        <v>0</v>
      </c>
      <c r="AJ265" s="72">
        <f>'RESUMEN TOTAL'!AP294</f>
        <v>0</v>
      </c>
    </row>
    <row r="266" spans="1:36" x14ac:dyDescent="0.25">
      <c r="A266" t="str">
        <f>'RESUMEN TOTAL'!A295</f>
        <v>RICARDO ROJAS</v>
      </c>
      <c r="B266" t="str">
        <f>'RESUMEN TOTAL'!B295</f>
        <v>RRJ02</v>
      </c>
      <c r="C266" t="str">
        <f>'RESUMEN TOTAL'!D295</f>
        <v>AV. LUJAN Y DIAG. LOS POETAS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 t="str">
        <f>'RESUMEN TOTAL'!T295</f>
        <v>APAGADO</v>
      </c>
      <c r="O266" s="72" t="str">
        <f>'RESUMEN TOTAL'!U295</f>
        <v>APAGADO</v>
      </c>
      <c r="P266" s="72" t="str">
        <f>'RESUMEN TOTAL'!V295</f>
        <v>APAGADO</v>
      </c>
      <c r="Q266" s="72" t="str">
        <f>'RESUMEN TOTAL'!W295</f>
        <v>APAGADO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RRJ03 (fija 1)</v>
      </c>
      <c r="C267" t="str">
        <f>'RESUMEN TOTAL'!D296</f>
        <v>RUBEN DARIO E/ FADER Y DIAG. LOS POETAS</v>
      </c>
      <c r="D267" s="30" t="str">
        <f>'RESUMEN TOTAL'!E296</f>
        <v>Fija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>
        <f>'RESUMEN TOTAL'!T296</f>
        <v>0</v>
      </c>
      <c r="O267" s="72">
        <f>'RESUMEN TOTAL'!U296</f>
        <v>0</v>
      </c>
      <c r="P267" s="72">
        <f>'RESUMEN TOTAL'!V296</f>
        <v>0</v>
      </c>
      <c r="Q267" s="72">
        <f>'RESUMEN TOTAL'!W296</f>
        <v>0</v>
      </c>
      <c r="R267" s="72">
        <f>'RESUMEN TOTAL'!X296</f>
        <v>0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RRJ04 (fija 2)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 05</v>
      </c>
      <c r="C269" t="str">
        <f>'RESUMEN TOTAL'!D298</f>
        <v>LUJAN Y RUTA 36</v>
      </c>
      <c r="D269" s="30" t="str">
        <f>'RESUMEN TOTAL'!E298</f>
        <v>DOMO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06</v>
      </c>
      <c r="C270" t="str">
        <f>'RESUMEN TOTAL'!D299</f>
        <v>Constancio Vigil y Pablo Groussac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07</v>
      </c>
      <c r="C271" t="str">
        <f>'RESUMEN TOTAL'!D300</f>
        <v>Constancio Vigil y Estanislao del Campo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08</v>
      </c>
      <c r="C272" t="str">
        <f>'RESUMEN TOTAL'!D301</f>
        <v>Constancio Vigil y Pablo Podesta</v>
      </c>
      <c r="D272" s="30" t="str">
        <f>'RESUMEN TOTAL'!E301</f>
        <v>Domo</v>
      </c>
      <c r="E272" s="30" t="str">
        <f>'RESUMEN TOTAL'!F301</f>
        <v>Fibra Optica</v>
      </c>
      <c r="F272" s="72" t="str">
        <f>'RESUMEN TOTAL'!L301</f>
        <v>APAGADO</v>
      </c>
      <c r="G272" s="72" t="str">
        <f>'RESUMEN TOTAL'!M301</f>
        <v>APAGADO</v>
      </c>
      <c r="H272" s="72" t="str">
        <f>'RESUMEN TOTAL'!N301</f>
        <v>APAGADO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 t="str">
        <f>'RESUMEN TOTAL'!T301</f>
        <v>APAGADO</v>
      </c>
      <c r="O272" s="72" t="str">
        <f>'RESUMEN TOTAL'!U301</f>
        <v>APAGADO</v>
      </c>
      <c r="P272" s="72" t="str">
        <f>'RESUMEN TOTAL'!V301</f>
        <v>APAGADO</v>
      </c>
      <c r="Q272" s="72" t="str">
        <f>'RESUMEN TOTAL'!W301</f>
        <v>APAGADO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TOTAL'!AB302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09</v>
      </c>
      <c r="C273" t="str">
        <f>'RESUMEN TOTAL'!D302</f>
        <v>Constancio Vigil y Jose Ingeniero</v>
      </c>
      <c r="D273" s="30" t="str">
        <f>'RESUMEN TOTAL'!E302</f>
        <v>Domo</v>
      </c>
      <c r="E273" s="30" t="str">
        <f>'RESUMEN TOTAL'!F302</f>
        <v>Fibra Optica</v>
      </c>
      <c r="F273" s="72">
        <f>'RESUMEN TOTAL'!L302</f>
        <v>0</v>
      </c>
      <c r="G273" s="72">
        <f>'RESUMEN TOTAL'!M302</f>
        <v>0</v>
      </c>
      <c r="H273" s="72">
        <f>'RESUMEN TOTAL'!N302</f>
        <v>0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>
        <f>'RESUMEN TOTAL'!U302</f>
        <v>0</v>
      </c>
      <c r="P273" s="72">
        <f>'RESUMEN TOTAL'!V302</f>
        <v>0</v>
      </c>
      <c r="Q273" s="72">
        <f>'RESUMEN TOTAL'!W302</f>
        <v>0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 t="e">
        <f>'RESUMEN TOTAL'!#REF!</f>
        <v>#REF!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10</v>
      </c>
      <c r="C274" t="str">
        <f>'RESUMEN TOTAL'!D303</f>
        <v>LUGONES Y OBLIGADO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>
        <f>'RESUMEN TOTAL'!T303</f>
        <v>0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>
        <f>'RESUMEN TOTAL'!AB303</f>
        <v>0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11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12</v>
      </c>
      <c r="C276" t="str">
        <f>'RESUMEN TOTAL'!D305</f>
        <v>FADER Y DIAGONAL LOS POETAS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 t="str">
        <f>'RESUMEN TOTAL'!M305</f>
        <v>APAGADO</v>
      </c>
      <c r="H276" s="72" t="str">
        <f>'RESUMEN TOTAL'!N305</f>
        <v>APAGADO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13</v>
      </c>
      <c r="C277" t="str">
        <f>'RESUMEN TOTAL'!D306</f>
        <v>LUJAN Y DIAGONAL LOS POETAS</v>
      </c>
      <c r="D277" s="30" t="str">
        <f>'RESUMEN TOTAL'!E306</f>
        <v>Fija</v>
      </c>
      <c r="E277" s="30" t="str">
        <f>'RESUMEN TOTAL'!F306</f>
        <v>Fibra Optica</v>
      </c>
      <c r="F277" s="72">
        <f>'RESUMEN TOTAL'!L306</f>
        <v>0</v>
      </c>
      <c r="G277" s="72">
        <f>'RESUMEN TOTAL'!M306</f>
        <v>0</v>
      </c>
      <c r="H277" s="72">
        <f>'RESUMEN TOTAL'!N306</f>
        <v>0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TOTAL'!A310</f>
        <v>SANTA ANA</v>
      </c>
      <c r="B278" t="str">
        <f>'RESUMEN TOTAL'!B310</f>
        <v>SAN 02</v>
      </c>
      <c r="C278" t="str">
        <f>'RESUMEN TOTAL'!D310</f>
        <v>HUDSON Y SUIPACHA</v>
      </c>
      <c r="D278" s="30" t="str">
        <f>'RESUMEN TOTAL'!E310</f>
        <v>Fija 2</v>
      </c>
      <c r="E278" s="30" t="str">
        <f>'RESUMEN TOTAL'!F310</f>
        <v>GPON</v>
      </c>
      <c r="F278" s="72" t="str">
        <f>'RESUMEN TOTAL'!L310</f>
        <v>APAGADO</v>
      </c>
      <c r="G278" s="72" t="str">
        <f>'RESUMEN TOTAL'!M310</f>
        <v>APAGADO</v>
      </c>
      <c r="H278" s="72" t="str">
        <f>'RESUMEN TOTAL'!N310</f>
        <v>APAGADO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 t="str">
        <f>'RESUMEN TOTAL'!T310</f>
        <v>APAGADO</v>
      </c>
      <c r="O278" s="72" t="str">
        <f>'RESUMEN TOTAL'!U310</f>
        <v>APAGADO</v>
      </c>
      <c r="P278" s="72" t="str">
        <f>'RESUMEN TOTAL'!V310</f>
        <v>APAGADO</v>
      </c>
      <c r="Q278" s="72" t="str">
        <f>'RESUMEN TOTAL'!W310</f>
        <v>APAGADO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TOTAL'!A311</f>
        <v>SANTA ANA</v>
      </c>
      <c r="B279" t="str">
        <f>'RESUMEN TOTAL'!B311</f>
        <v>SAN01</v>
      </c>
      <c r="C279" t="str">
        <f>'RESUMEN TOTAL'!D311</f>
        <v>HUDSON Y SUIPACHA</v>
      </c>
      <c r="D279" s="30" t="str">
        <f>'RESUMEN TOTAL'!E311</f>
        <v>Fija 1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>
        <f>'RESUMEN TOTAL'!X311</f>
        <v>0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PRESIDENTE SARMIENTO</v>
      </c>
      <c r="B280" t="str">
        <f>'RESUMEN TOTAL'!B312</f>
        <v>SAR01</v>
      </c>
      <c r="C280" t="str">
        <f>'RESUMEN TOTAL'!D312</f>
        <v>Storni Y Sanchez de Loria</v>
      </c>
      <c r="D280" s="30" t="str">
        <f>'RESUMEN TOTAL'!E312</f>
        <v>Domo</v>
      </c>
      <c r="E280" s="30" t="str">
        <f>'RESUMEN TOTAL'!F312</f>
        <v>Fibra Optica</v>
      </c>
      <c r="F280" s="72">
        <f>'RESUMEN TOTAL'!L312</f>
        <v>0</v>
      </c>
      <c r="G280" s="72">
        <f>'RESUMEN TOTAL'!M312</f>
        <v>0</v>
      </c>
      <c r="H280" s="72">
        <f>'RESUMEN TOTAL'!N312</f>
        <v>0</v>
      </c>
      <c r="I280" s="72">
        <f>'RESUMEN TOTAL'!O312</f>
        <v>0</v>
      </c>
      <c r="J280" s="72">
        <f>'RESUMEN TOTAL'!P312</f>
        <v>0</v>
      </c>
      <c r="K280" s="72">
        <f>'RESUMEN TOTAL'!Q312</f>
        <v>0</v>
      </c>
      <c r="L280" s="72">
        <f>'RESUMEN TOTAL'!R312</f>
        <v>0</v>
      </c>
      <c r="M280" s="72">
        <f>'RESUMEN TOTAL'!S312</f>
        <v>0</v>
      </c>
      <c r="N280" s="72">
        <f>'RESUMEN TOTAL'!T312</f>
        <v>0</v>
      </c>
      <c r="O280" s="72">
        <f>'RESUMEN TOTAL'!U312</f>
        <v>0</v>
      </c>
      <c r="P280" s="72">
        <f>'RESUMEN TOTAL'!V312</f>
        <v>0</v>
      </c>
      <c r="Q280" s="72">
        <f>'RESUMEN TOTAL'!W312</f>
        <v>0</v>
      </c>
      <c r="R280" s="72">
        <f>'RESUMEN TOTAL'!X312</f>
        <v>0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 02 (fija 1)</v>
      </c>
      <c r="C281" t="str">
        <f>'RESUMEN TOTAL'!D313</f>
        <v>DARDO ROCHA Y GABRIELA MISTRAL</v>
      </c>
      <c r="D281" s="30" t="str">
        <f>'RESUMEN TOTAL'!E313</f>
        <v>Fija</v>
      </c>
      <c r="E281" s="30" t="str">
        <f>'RESUMEN TOTAL'!F313</f>
        <v>Fibra Optica</v>
      </c>
      <c r="F281" s="72" t="str">
        <f>'RESUMEN TOTAL'!L313</f>
        <v>APAGADO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 t="str">
        <f>'RESUMEN TOTAL'!U313</f>
        <v>APAGADO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03 (fija 2)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04</v>
      </c>
      <c r="C283" t="str">
        <f>'RESUMEN TOTAL'!D315</f>
        <v>MONTES DE OCA Y ALVARADO</v>
      </c>
      <c r="D283" s="30" t="str">
        <f>'RESUMEN TOTAL'!E315</f>
        <v>Domo</v>
      </c>
      <c r="E283" s="30" t="str">
        <f>'RESUMEN TOTAL'!F315</f>
        <v>Fibra Optica</v>
      </c>
      <c r="F283" s="72">
        <f>'RESUMEN TOTAL'!L315</f>
        <v>0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>
        <f>'RESUMEN TOTAL'!U315</f>
        <v>0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05</v>
      </c>
      <c r="C284" t="str">
        <f>'RESUMEN TOTAL'!D316</f>
        <v>ALVARADO Y ROCHA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 t="str">
        <f>'RESUMEN TOTAL'!S316</f>
        <v>APAGADO</v>
      </c>
      <c r="N284" s="72">
        <f>'RESUMEN TOTAL'!T316</f>
        <v>0</v>
      </c>
      <c r="O284" s="72" t="str">
        <f>'RESUMEN TOTAL'!U316</f>
        <v>APAGADO</v>
      </c>
      <c r="P284" s="72" t="str">
        <f>'RESUMEN TOTAL'!V316</f>
        <v>APAGADO</v>
      </c>
      <c r="Q284" s="72" t="str">
        <f>'RESUMEN TOTAL'!W316</f>
        <v>APAGADO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06</v>
      </c>
      <c r="C285" t="str">
        <f>'RESUMEN TOTAL'!D317</f>
        <v>Necochea y Lorenzini</v>
      </c>
      <c r="D285" s="30" t="str">
        <f>'RESUMEN TOTAL'!E317</f>
        <v>Fija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>
        <f>'RESUMEN TOTAL'!S317</f>
        <v>0</v>
      </c>
      <c r="N285" s="72">
        <f>'RESUMEN TOTAL'!T317</f>
        <v>0</v>
      </c>
      <c r="O285" s="72">
        <f>'RESUMEN TOTAL'!U317</f>
        <v>0</v>
      </c>
      <c r="P285" s="72">
        <f>'RESUMEN TOTAL'!V317</f>
        <v>0</v>
      </c>
      <c r="Q285" s="72">
        <f>'RESUMEN TOTAL'!W317</f>
        <v>0</v>
      </c>
      <c r="R285" s="72">
        <f>'RESUMEN TOTAL'!X317</f>
        <v>0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07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08</v>
      </c>
      <c r="C287" t="str">
        <f>'RESUMEN TOTAL'!D319</f>
        <v>Necochea y Montes de Oca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09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MONTE CUDINE</v>
      </c>
      <c r="B289" t="str">
        <f>'RESUMEN TOTAL'!B321</f>
        <v>SAR 10</v>
      </c>
      <c r="C289" t="str">
        <f>'RESUMEN TOTAL'!D321</f>
        <v>SENZABELLO Y TINOGASTA</v>
      </c>
      <c r="D289" s="30" t="str">
        <f>'RESUMEN TOTAL'!E321</f>
        <v>Domo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11</v>
      </c>
      <c r="C290" t="str">
        <f>'RESUMEN TOTAL'!D322</f>
        <v>SENSABELLO Y BRAILLE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SAN EDUARDO</v>
      </c>
      <c r="B291" t="str">
        <f>'RESUMEN TOTAL'!B323</f>
        <v>SEDU01</v>
      </c>
      <c r="C291" t="str">
        <f>'RESUMEN TOTAL'!D323</f>
        <v>San Martin y Sperandio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SEDU02</v>
      </c>
      <c r="C292" t="str">
        <f>'RESUMEN TOTAL'!D324</f>
        <v>Curva de Berraymundo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VILLA CIRIO</v>
      </c>
      <c r="B293" t="str">
        <f>'RESUMEN TOTAL'!B325</f>
        <v>SEDU03</v>
      </c>
      <c r="C293" t="str">
        <f>'RESUMEN TOTAL'!D325</f>
        <v>Av. San Martin y Las Americas</v>
      </c>
      <c r="D293" s="30" t="str">
        <f>'RESUMEN TOTAL'!E325</f>
        <v>Domo</v>
      </c>
      <c r="E293" s="30" t="str">
        <f>'RESUMEN TOTAL'!F325</f>
        <v>Radio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SAN EMILIO</v>
      </c>
      <c r="B294" t="str">
        <f>'RESUMEN TOTAL'!B326</f>
        <v>SEMI01</v>
      </c>
      <c r="C294" t="str">
        <f>'RESUMEN TOTAL'!D326</f>
        <v>San Martin y Av. del Trabajo</v>
      </c>
      <c r="D294" s="30" t="str">
        <f>'RESUMEN TOTAL'!E326</f>
        <v>Domo</v>
      </c>
      <c r="E294" s="30" t="str">
        <f>'RESUMEN TOTAL'!F326</f>
        <v>Fibra Optica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 02</v>
      </c>
      <c r="C295" t="str">
        <f>'RESUMEN TOTAL'!D327</f>
        <v>Cno. Gral. Belgrano y Francia</v>
      </c>
      <c r="D295" s="30" t="str">
        <f>'RESUMEN TOTAL'!E327</f>
        <v>Domo</v>
      </c>
      <c r="E295" s="30" t="str">
        <f>'RESUMEN TOTAL'!F327</f>
        <v>Fibra Optica</v>
      </c>
      <c r="F295" s="72" t="str">
        <f>'RESUMEN TOTAL'!L327</f>
        <v>APAGADO</v>
      </c>
      <c r="G295" s="72" t="str">
        <f>'RESUMEN TOTAL'!M327</f>
        <v>APAGADO</v>
      </c>
      <c r="H295" s="72" t="str">
        <f>'RESUMEN TOTAL'!N327</f>
        <v>APAGADO</v>
      </c>
      <c r="I295" s="72" t="str">
        <f>'RESUMEN TOTAL'!O327</f>
        <v>APAGADO</v>
      </c>
      <c r="J295" s="72" t="str">
        <f>'RESUMEN TOTAL'!P327</f>
        <v>APAGADO</v>
      </c>
      <c r="K295" s="72" t="str">
        <f>'RESUMEN TOTAL'!Q327</f>
        <v>APAGADO</v>
      </c>
      <c r="L295" s="72" t="str">
        <f>'RESUMEN TOTAL'!R327</f>
        <v>APAGADO</v>
      </c>
      <c r="M295" s="72" t="str">
        <f>'RESUMEN TOTAL'!S327</f>
        <v>APAGADO</v>
      </c>
      <c r="N295" s="72" t="str">
        <f>'RESUMEN TOTAL'!T327</f>
        <v>APAGADO</v>
      </c>
      <c r="O295" s="72" t="str">
        <f>'RESUMEN TOTAL'!U327</f>
        <v>APAGADO</v>
      </c>
      <c r="P295" s="72" t="str">
        <f>'RESUMEN TOTAL'!V327</f>
        <v>APAGADO</v>
      </c>
      <c r="Q295" s="72" t="str">
        <f>'RESUMEN TOTAL'!W327</f>
        <v>APAGADO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SEMI03 (fija 1)</v>
      </c>
      <c r="C296" t="str">
        <f>'RESUMEN TOTAL'!D328</f>
        <v>GORRITI E/ GALARZA Y LOPE DE VEGA</v>
      </c>
      <c r="D296" s="30" t="str">
        <f>'RESUMEN TOTAL'!E328</f>
        <v>Fija</v>
      </c>
      <c r="E296" s="30" t="str">
        <f>'RESUMEN TOTAL'!F328</f>
        <v>Fibra Optica</v>
      </c>
      <c r="F296" s="72">
        <f>'RESUMEN TOTAL'!L328</f>
        <v>0</v>
      </c>
      <c r="G296" s="72">
        <f>'RESUMEN TOTAL'!M328</f>
        <v>0</v>
      </c>
      <c r="H296" s="72">
        <f>'RESUMEN TOTAL'!N328</f>
        <v>0</v>
      </c>
      <c r="I296" s="72">
        <f>'RESUMEN TOTAL'!O328</f>
        <v>0</v>
      </c>
      <c r="J296" s="72">
        <f>'RESUMEN TOTAL'!P328</f>
        <v>0</v>
      </c>
      <c r="K296" s="72">
        <f>'RESUMEN TOTAL'!Q328</f>
        <v>0</v>
      </c>
      <c r="L296" s="72">
        <f>'RESUMEN TOTAL'!R328</f>
        <v>0</v>
      </c>
      <c r="M296" s="72">
        <f>'RESUMEN TOTAL'!S328</f>
        <v>0</v>
      </c>
      <c r="N296" s="72">
        <f>'RESUMEN TOTAL'!T328</f>
        <v>0</v>
      </c>
      <c r="O296" s="72">
        <f>'RESUMEN TOTAL'!U328</f>
        <v>0</v>
      </c>
      <c r="P296" s="72">
        <f>'RESUMEN TOTAL'!V328</f>
        <v>0</v>
      </c>
      <c r="Q296" s="72">
        <f>'RESUMEN TOTAL'!W328</f>
        <v>0</v>
      </c>
      <c r="R296" s="72">
        <f>'RESUMEN TOTAL'!X328</f>
        <v>0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SEMI04 (fija 2)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 xml:space="preserve">SEMI05 </v>
      </c>
      <c r="C298" t="str">
        <f>'RESUMEN TOTAL'!D330</f>
        <v xml:space="preserve">Av Del Trabajo y Carlos Gardel </v>
      </c>
      <c r="D298" s="30" t="str">
        <f>'RESUMEN TOTAL'!E330</f>
        <v>DOMO</v>
      </c>
      <c r="E298" s="30" t="str">
        <f>'RESUMEN TOTAL'!F330</f>
        <v>PTO A FO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>SMAT01</v>
      </c>
      <c r="C299" t="str">
        <f>'RESUMEN TOTAL'!D331</f>
        <v xml:space="preserve">AV BOSQUES Y CANTU </v>
      </c>
      <c r="D299" s="30" t="str">
        <f>'RESUMEN TOTAL'!E331</f>
        <v>DOMO</v>
      </c>
      <c r="E299" s="30" t="str">
        <f>'RESUMEN TOTAL'!F331</f>
        <v>GPON</v>
      </c>
      <c r="F299" s="72" t="str">
        <f>'RESUMEN TOTAL'!L331</f>
        <v>APAGADO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LA SIRENA</v>
      </c>
      <c r="B300" t="str">
        <f>'RESUMEN TOTAL'!B332</f>
        <v>SIR01</v>
      </c>
      <c r="C300" t="str">
        <f>'RESUMEN TOTAL'!D332</f>
        <v>Moran y Calle 14</v>
      </c>
      <c r="D300" s="30" t="str">
        <f>'RESUMEN TOTAL'!E332</f>
        <v>DOMO</v>
      </c>
      <c r="E300" s="30" t="str">
        <f>'RESUMEN TOTAL'!F332</f>
        <v>Radio</v>
      </c>
      <c r="F300" s="72" t="str">
        <f>'RESUMEN TOTAL'!L332</f>
        <v>APAGADO</v>
      </c>
      <c r="G300" s="72" t="str">
        <f>'RESUMEN TOTAL'!M332</f>
        <v>APAGADO</v>
      </c>
      <c r="H300" s="72" t="str">
        <f>'RESUMEN TOTAL'!N332</f>
        <v>APAGADO</v>
      </c>
      <c r="I300" s="72" t="str">
        <f>'RESUMEN TOTAL'!O332</f>
        <v>APAGADO</v>
      </c>
      <c r="J300" s="72" t="str">
        <f>'RESUMEN TOTAL'!P332</f>
        <v>APAGADO</v>
      </c>
      <c r="K300" s="72" t="str">
        <f>'RESUMEN TOTAL'!Q332</f>
        <v>APAGADO</v>
      </c>
      <c r="L300" s="72" t="str">
        <f>'RESUMEN TOTAL'!R332</f>
        <v>APAGADO</v>
      </c>
      <c r="M300" s="72" t="str">
        <f>'RESUMEN TOTAL'!S332</f>
        <v>APAGADO</v>
      </c>
      <c r="N300" s="72" t="str">
        <f>'RESUMEN TOTAL'!T332</f>
        <v>APAGADO</v>
      </c>
      <c r="O300" s="72" t="str">
        <f>'RESUMEN TOTAL'!U332</f>
        <v>APAGADO</v>
      </c>
      <c r="P300" s="72" t="str">
        <f>'RESUMEN TOTAL'!V332</f>
        <v>APAGADO</v>
      </c>
      <c r="Q300" s="72" t="str">
        <f>'RESUMEN TOTAL'!W332</f>
        <v>APAGADO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SAN EDUARDO</v>
      </c>
      <c r="B301" t="str">
        <f>'RESUMEN TOTAL'!B333</f>
        <v>SIR 02</v>
      </c>
      <c r="C301" t="str">
        <f>'RESUMEN TOTAL'!D333</f>
        <v>Victorino de la Plaza y Argentina</v>
      </c>
      <c r="D301" s="30" t="str">
        <f>'RESUMEN TOTAL'!E333</f>
        <v>Domo</v>
      </c>
      <c r="E301" s="30" t="str">
        <f>'RESUMEN TOTAL'!F333</f>
        <v>-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>
        <f>'RESUMEN TOTAL'!X333</f>
        <v>0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03</v>
      </c>
      <c r="C302" t="str">
        <f>'RESUMEN TOTAL'!D334</f>
        <v>MONTES Y LONARDI</v>
      </c>
      <c r="D302" s="30" t="str">
        <f>'RESUMEN TOTAL'!E334</f>
        <v>DOMO</v>
      </c>
      <c r="E302" s="30" t="str">
        <f>'RESUMEN TOTAL'!F334</f>
        <v>Fibra Optica</v>
      </c>
      <c r="F302" s="72">
        <f>'RESUMEN TOTAL'!L334</f>
        <v>0</v>
      </c>
      <c r="G302" s="72">
        <f>'RESUMEN TOTAL'!M334</f>
        <v>0</v>
      </c>
      <c r="H302" s="72">
        <f>'RESUMEN TOTAL'!N334</f>
        <v>0</v>
      </c>
      <c r="I302" s="72">
        <f>'RESUMEN TOTAL'!O334</f>
        <v>0</v>
      </c>
      <c r="J302" s="72" t="str">
        <f>'RESUMEN TOTAL'!P334</f>
        <v>APAGADO</v>
      </c>
      <c r="K302" s="72">
        <f>'RESUMEN TOTAL'!Q334</f>
        <v>0</v>
      </c>
      <c r="L302" s="72">
        <f>'RESUMEN TOTAL'!R334</f>
        <v>0</v>
      </c>
      <c r="M302" s="72">
        <f>'RESUMEN TOTAL'!S334</f>
        <v>0</v>
      </c>
      <c r="N302" s="72">
        <f>'RESUMEN TOTAL'!T334</f>
        <v>0</v>
      </c>
      <c r="O302" s="72">
        <f>'RESUMEN TOTAL'!U334</f>
        <v>0</v>
      </c>
      <c r="P302" s="72">
        <f>'RESUMEN TOTAL'!V334</f>
        <v>0</v>
      </c>
      <c r="Q302" s="72">
        <f>'RESUMEN TOTAL'!W334</f>
        <v>0</v>
      </c>
      <c r="R302" s="72">
        <f>'RESUMEN TOTAL'!X334</f>
        <v>0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LA SIRENA</v>
      </c>
      <c r="B303" t="str">
        <f>'RESUMEN TOTAL'!B335</f>
        <v>SIR 04</v>
      </c>
      <c r="C303" t="str">
        <f>'RESUMEN TOTAL'!D335</f>
        <v>AV. MONTEVERDE Y MORAN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 t="str">
        <f>'RESUMEN TOTAL'!M335</f>
        <v>APAGADO</v>
      </c>
      <c r="H303" s="72" t="str">
        <f>'RESUMEN TOTAL'!N335</f>
        <v>APAGADO</v>
      </c>
      <c r="I303" s="72">
        <f>'RESUMEN TOTAL'!O335</f>
        <v>0</v>
      </c>
      <c r="J303" s="72">
        <f>'RESUMEN TOTAL'!P335</f>
        <v>0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05 (FIJA 01)</v>
      </c>
      <c r="C304" t="str">
        <f>'RESUMEN TOTAL'!D336</f>
        <v>AV. MONTEVERDE Y MORAN</v>
      </c>
      <c r="D304" s="30" t="str">
        <f>'RESUMEN TOTAL'!E336</f>
        <v>Fija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06 (FIJA 02)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VILLA AURORA</v>
      </c>
      <c r="B306" t="str">
        <f>'RESUMEN TOTAL'!B338</f>
        <v>SIR07 (fija 1)</v>
      </c>
      <c r="C306" t="str">
        <f>'RESUMEN TOTAL'!D338</f>
        <v>MONTEVERDE Y URIBURU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>
        <f>'RESUMEN TOTAL'!M338</f>
        <v>0</v>
      </c>
      <c r="H306" s="72">
        <f>'RESUMEN TOTAL'!N338</f>
        <v>0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SIR08 (fija 2)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LA SIRENA</v>
      </c>
      <c r="B308" t="str">
        <f>'RESUMEN TOTAL'!B340</f>
        <v>SIR09 (fija 1)</v>
      </c>
      <c r="C308" t="str">
        <f>'RESUMEN TOTAL'!D340</f>
        <v>GUIDO SPANO Y MORAN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 t="str">
        <f>'RESUMEN TOTAL'!M340</f>
        <v>APAGADO</v>
      </c>
      <c r="H308" s="72" t="str">
        <f>'RESUMEN TOTAL'!N340</f>
        <v>APAGADO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SIR10 (fija 2)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SIR11 (fija 1)</v>
      </c>
      <c r="C310" t="str">
        <f>'RESUMEN TOTAL'!D342</f>
        <v>LARREA Y GUARDIA NACIONAL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SIR12 (fija 2)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VILLA AURORA</v>
      </c>
      <c r="B312" t="str">
        <f>'RESUMEN TOTAL'!B344</f>
        <v>SIR 13</v>
      </c>
      <c r="C312" t="str">
        <f>'RESUMEN TOTAL'!D344</f>
        <v>AV MONTEVERDE Y URIBURU</v>
      </c>
      <c r="D312" s="30" t="str">
        <f>'RESUMEN TOTAL'!E344</f>
        <v>Domo</v>
      </c>
      <c r="E312" s="30" t="str">
        <f>'RESUMEN TOTAL'!F344</f>
        <v>Fibra Optica</v>
      </c>
      <c r="F312" s="72">
        <f>'RESUMEN TOTAL'!L344</f>
        <v>0</v>
      </c>
      <c r="G312" s="72">
        <f>'RESUMEN TOTAL'!M344</f>
        <v>0</v>
      </c>
      <c r="H312" s="72">
        <f>'RESUMEN TOTAL'!N344</f>
        <v>0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LA SIRENA</v>
      </c>
      <c r="B313" t="str">
        <f>'RESUMEN TOTAL'!B345</f>
        <v>SIR 14</v>
      </c>
      <c r="C313" t="str">
        <f>'RESUMEN TOTAL'!D345</f>
        <v>MANUEL IGLESIAS Y PEDRAZA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 t="str">
        <f>'RESUMEN TOTAL'!M345</f>
        <v>APAGADO</v>
      </c>
      <c r="H313" s="72" t="str">
        <f>'RESUMEN TOTAL'!N345</f>
        <v>APAGADO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15</v>
      </c>
      <c r="C314" t="str">
        <f>'RESUMEN TOTAL'!D346</f>
        <v>Monteverde y Azara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 t="str">
        <f>'RESUMEN TOTAL'!P346</f>
        <v>APAGADO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TOTAL'!A350</f>
        <v>SAN JORGE</v>
      </c>
      <c r="B315" t="str">
        <f>'RESUMEN TOTAL'!B350</f>
        <v>SJO 03</v>
      </c>
      <c r="C315" t="str">
        <f>'RESUMEN TOTAL'!D350</f>
        <v>517 Y 580</v>
      </c>
      <c r="D315" s="30" t="str">
        <f>'RESUMEN TOTAL'!E350</f>
        <v>DOMO</v>
      </c>
      <c r="E315" s="30" t="str">
        <f>'RESUMEN TOTAL'!F350</f>
        <v>Radio</v>
      </c>
      <c r="F315" s="72">
        <f>'RESUMEN TOTAL'!L350</f>
        <v>0</v>
      </c>
      <c r="G315" s="72">
        <f>'RESUMEN TOTAL'!M350</f>
        <v>0</v>
      </c>
      <c r="H315" s="72">
        <f>'RESUMEN TOTAL'!N350</f>
        <v>0</v>
      </c>
      <c r="I315" s="72" t="str">
        <f>'RESUMEN TOTAL'!O350</f>
        <v>APAGADO</v>
      </c>
      <c r="J315" s="72">
        <f>'RESUMEN TOTAL'!P350</f>
        <v>0</v>
      </c>
      <c r="K315" s="72" t="str">
        <f>'RESUMEN TOTAL'!Q350</f>
        <v>APAGADO</v>
      </c>
      <c r="L315" s="72" t="str">
        <f>'RESUMEN TOTAL'!R350</f>
        <v>APAGADO</v>
      </c>
      <c r="M315" s="72" t="str">
        <f>'RESUMEN TOTAL'!S350</f>
        <v>APAGADO</v>
      </c>
      <c r="N315" s="72" t="str">
        <f>'RESUMEN TOTAL'!T350</f>
        <v>APAGADO</v>
      </c>
      <c r="O315" s="72" t="str">
        <f>'RESUMEN TOTAL'!U350</f>
        <v>APAGADO</v>
      </c>
      <c r="P315" s="72" t="str">
        <f>'RESUMEN TOTAL'!V350</f>
        <v>APAGADO</v>
      </c>
      <c r="Q315" s="72" t="str">
        <f>'RESUMEN TOTAL'!W350</f>
        <v>APAGADO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TOTAL'!A351</f>
        <v>SAN JORGE</v>
      </c>
      <c r="B316" t="str">
        <f>'RESUMEN TOTAL'!B351</f>
        <v>SJO 04</v>
      </c>
      <c r="C316" t="str">
        <f>'RESUMEN TOTAL'!D351</f>
        <v>552 Y 519</v>
      </c>
      <c r="D316" s="30" t="str">
        <f>'RESUMEN TOTAL'!E351</f>
        <v>DOMO</v>
      </c>
      <c r="E316" s="30" t="str">
        <f>'RESUMEN TOTAL'!F351</f>
        <v>GPON</v>
      </c>
      <c r="F316" s="72">
        <f>'RESUMEN TOTAL'!L351</f>
        <v>0</v>
      </c>
      <c r="G316" s="72">
        <f>'RESUMEN TOTAL'!M351</f>
        <v>0</v>
      </c>
      <c r="H316" s="72">
        <f>'RESUMEN TOTAL'!O351</f>
        <v>0</v>
      </c>
      <c r="I316" s="72" t="e">
        <f>'RESUMEN TOTAL'!#REF!</f>
        <v>#REF!</v>
      </c>
      <c r="J316" s="72">
        <f>'RESUMEN TOTAL'!P351</f>
        <v>0</v>
      </c>
      <c r="K316" s="72">
        <f>'RESUMEN TOTAL'!Q351</f>
        <v>0</v>
      </c>
      <c r="L316" s="72">
        <f>'RESUMEN TOTAL'!R351</f>
        <v>0</v>
      </c>
      <c r="M316" s="72">
        <f>'RESUMEN TOTAL'!S351</f>
        <v>0</v>
      </c>
      <c r="N316" s="72">
        <f>'RESUMEN TOTAL'!T351</f>
        <v>0</v>
      </c>
      <c r="O316" s="72">
        <f>'RESUMEN TOTAL'!U351</f>
        <v>0</v>
      </c>
      <c r="P316" s="72">
        <f>'RESUMEN TOTAL'!V351</f>
        <v>0</v>
      </c>
      <c r="Q316" s="72">
        <f>'RESUMEN TOTAL'!W351</f>
        <v>0</v>
      </c>
      <c r="R316" s="72">
        <f>'RESUMEN TOTAL'!X351</f>
        <v>0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09 (FIJA 1)</v>
      </c>
      <c r="C317" t="str">
        <f>'RESUMEN TOTAL'!D352</f>
        <v>515 Y 566</v>
      </c>
      <c r="D317" s="30" t="str">
        <f>'RESUMEN TOTAL'!E352</f>
        <v>Fija</v>
      </c>
      <c r="E317" s="30" t="str">
        <f>'RESUMEN TOTAL'!F352</f>
        <v>Radio</v>
      </c>
      <c r="F317" s="72">
        <f>'RESUMEN TOTAL'!L352</f>
        <v>0</v>
      </c>
      <c r="G317" s="72">
        <f>'RESUMEN TOTAL'!M352</f>
        <v>0</v>
      </c>
      <c r="H317" s="72">
        <f>'RESUMEN TOTAL'!N352</f>
        <v>0</v>
      </c>
      <c r="I317" s="72">
        <f>'RESUMEN TOTAL'!O352</f>
        <v>0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10 (FIJA 2)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SJO01</v>
      </c>
      <c r="C319" t="str">
        <f>'RESUMEN TOTAL'!D354</f>
        <v>Calle 554 y 527</v>
      </c>
      <c r="D319" s="30" t="str">
        <f>'RESUMEN TOTAL'!E354</f>
        <v>Domo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SJO02</v>
      </c>
      <c r="C320" t="str">
        <f>'RESUMEN TOTAL'!D355</f>
        <v>Calle 554 y 511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TOTAL'!O355</f>
        <v>0</v>
      </c>
      <c r="I320" s="72" t="e">
        <f>'RESUMEN TOTAL'!#REF!</f>
        <v>#REF!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SJO05 (fija 1)</v>
      </c>
      <c r="C321" t="str">
        <f>'RESUMEN TOTAL'!D356</f>
        <v>511 Y 560</v>
      </c>
      <c r="D321" s="30" t="str">
        <f>'RESUMEN TOTAL'!E356</f>
        <v>Fija</v>
      </c>
      <c r="E321" s="30" t="str">
        <f>'RESUMEN TOTAL'!F356</f>
        <v>Fibra Optica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SJO06 (fija 2)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>
        <f>'RESUMEN TOTAL'!X357</f>
        <v>0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SJO07 (fija 1)</v>
      </c>
      <c r="C323" t="str">
        <f>'RESUMEN TOTAL'!D358</f>
        <v>503 Y 556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>
        <f>'RESUMEN TOTAL'!X358</f>
        <v>0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SJO08 (fija 2)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SANTO TOMAS</v>
      </c>
      <c r="B325" t="str">
        <f>'RESUMEN TOTAL'!B360</f>
        <v>SJU01</v>
      </c>
      <c r="C325" t="str">
        <f>'RESUMEN TOTAL'!D360</f>
        <v>Ruta 36 y Pte.Peron</v>
      </c>
      <c r="D325" s="30" t="str">
        <f>'RESUMEN TOTAL'!E360</f>
        <v>Domo</v>
      </c>
      <c r="E325" s="30" t="str">
        <f>'RESUMEN TOTAL'!F360</f>
        <v>Radio</v>
      </c>
      <c r="F325" s="72" t="str">
        <f>'RESUMEN TOTAL'!L360</f>
        <v>APAGADO</v>
      </c>
      <c r="G325" s="72" t="str">
        <f>'RESUMEN TOTAL'!M360</f>
        <v>APAGADO</v>
      </c>
      <c r="H325" s="72" t="str">
        <f>'RESUMEN TOTAL'!N360</f>
        <v>APAGADO</v>
      </c>
      <c r="I325" s="72" t="str">
        <f>'RESUMEN TOTAL'!O360</f>
        <v>APAGADO</v>
      </c>
      <c r="J325" s="72">
        <f>'RESUMEN TOTAL'!P360</f>
        <v>0</v>
      </c>
      <c r="K325" s="72" t="str">
        <f>'RESUMEN TOTAL'!Q360</f>
        <v>APAGADO</v>
      </c>
      <c r="L325" s="72" t="str">
        <f>'RESUMEN TOTAL'!R360</f>
        <v>APAGADO</v>
      </c>
      <c r="M325" s="72" t="str">
        <f>'RESUMEN TOTAL'!S360</f>
        <v>APAGADO</v>
      </c>
      <c r="N325" s="72" t="str">
        <f>'RESUMEN TOTAL'!T360</f>
        <v>APAGADO</v>
      </c>
      <c r="O325" s="72" t="str">
        <f>'RESUMEN TOTAL'!U360</f>
        <v>APAGADO</v>
      </c>
      <c r="P325" s="72" t="str">
        <f>'RESUMEN TOTAL'!V360</f>
        <v>APAGADO</v>
      </c>
      <c r="Q325" s="72" t="str">
        <f>'RESUMEN TOTAL'!W360</f>
        <v>APAGADO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TOTAL'!A363</f>
        <v>VILLA GENERAL SAN MARTIN</v>
      </c>
      <c r="B326" t="str">
        <f>'RESUMEN TOTAL'!B363</f>
        <v>SMA01</v>
      </c>
      <c r="C326" t="str">
        <f>'RESUMEN TOTAL'!D363</f>
        <v>Hudson y Montevideo</v>
      </c>
      <c r="D326" s="30" t="str">
        <f>'RESUMEN TOTAL'!E363</f>
        <v>DOMO</v>
      </c>
      <c r="E326" s="30" t="str">
        <f>'RESUMEN TOTAL'!F363</f>
        <v>GPON</v>
      </c>
      <c r="F326" s="72">
        <f>'RESUMEN TOTAL'!L363</f>
        <v>0</v>
      </c>
      <c r="G326" s="72">
        <f>'RESUMEN TOTAL'!M363</f>
        <v>0</v>
      </c>
      <c r="H326" s="72">
        <f>'RESUMEN TOTAL'!N363</f>
        <v>0</v>
      </c>
      <c r="I326" s="72">
        <f>'RESUMEN TOTAL'!O363</f>
        <v>0</v>
      </c>
      <c r="J326" s="72">
        <f>'RESUMEN TOTAL'!P363</f>
        <v>0</v>
      </c>
      <c r="K326" s="72">
        <f>'RESUMEN TOTAL'!Q363</f>
        <v>0</v>
      </c>
      <c r="L326" s="72">
        <f>'RESUMEN TOTAL'!R363</f>
        <v>0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>
        <f>'RESUMEN TOTAL'!V363</f>
        <v>0</v>
      </c>
      <c r="Q326" s="72">
        <f>'RESUMEN TOTAL'!W363</f>
        <v>0</v>
      </c>
      <c r="R326" s="72">
        <f>'RESUMEN TOTAL'!X363</f>
        <v>0</v>
      </c>
      <c r="S326" s="72">
        <f>'RESUMEN TOTAL'!Y363</f>
        <v>0</v>
      </c>
      <c r="T326" s="72">
        <f>'RESUMEN TOTAL'!Z363</f>
        <v>0</v>
      </c>
      <c r="U326" s="72">
        <f>'RESUMEN TOTAL'!AA363</f>
        <v>0</v>
      </c>
      <c r="V326" s="72">
        <f>'RESUMEN TOTAL'!AB363</f>
        <v>0</v>
      </c>
      <c r="W326" s="72">
        <f>'RESUMEN TOTAL'!AC363</f>
        <v>0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SMA02</v>
      </c>
      <c r="C327" t="str">
        <f>'RESUMEN TOTAL'!D364</f>
        <v>Hudson y San Nicolas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>
        <f>'RESUMEN TOTAL'!S364</f>
        <v>0</v>
      </c>
      <c r="N327" s="72">
        <f>'RESUMEN TOTAL'!T364</f>
        <v>0</v>
      </c>
      <c r="O327" s="72">
        <f>'RESUMEN TOTAL'!U364</f>
        <v>0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 03</v>
      </c>
      <c r="C328" t="str">
        <f>'RESUMEN TOTAL'!D365</f>
        <v>ROSARIO Y SAN NICOLAS</v>
      </c>
      <c r="D328" s="30" t="str">
        <f>'RESUMEN TOTAL'!E365</f>
        <v>Domo</v>
      </c>
      <c r="E328" s="30" t="str">
        <f>'RESUMEN TOTAL'!F365</f>
        <v>Radio</v>
      </c>
      <c r="F328" s="72" t="str">
        <f>'RESUMEN TOTAL'!L365</f>
        <v>APAGADO</v>
      </c>
      <c r="G328" s="72" t="str">
        <f>'RESUMEN TOTAL'!M365</f>
        <v>APAGADO</v>
      </c>
      <c r="H328" s="72" t="str">
        <f>'RESUMEN TOTAL'!N365</f>
        <v>APAGADO</v>
      </c>
      <c r="I328" s="72" t="str">
        <f>'RESUMEN TOTAL'!O365</f>
        <v>APAGADO</v>
      </c>
      <c r="J328" s="72" t="str">
        <f>'RESUMEN TOTAL'!P365</f>
        <v>APAGADO</v>
      </c>
      <c r="K328" s="72" t="str">
        <f>'RESUMEN TOTAL'!Q365</f>
        <v>APAGADO</v>
      </c>
      <c r="L328" s="72" t="str">
        <f>'RESUMEN TOTAL'!R365</f>
        <v>APAGADO</v>
      </c>
      <c r="M328" s="72" t="str">
        <f>'RESUMEN TOTAL'!S365</f>
        <v>APAGADO</v>
      </c>
      <c r="N328" s="72" t="str">
        <f>'RESUMEN TOTAL'!T365</f>
        <v>APAGADO</v>
      </c>
      <c r="O328" s="72" t="str">
        <f>'RESUMEN TOTAL'!U365</f>
        <v>APAGADO</v>
      </c>
      <c r="P328" s="72" t="str">
        <f>'RESUMEN TOTAL'!V365</f>
        <v>APAGADO</v>
      </c>
      <c r="Q328" s="72" t="str">
        <f>'RESUMEN TOTAL'!W365</f>
        <v>APAGADO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04</v>
      </c>
      <c r="C329" t="str">
        <f>'RESUMEN TOTAL'!D366</f>
        <v>HUDSON Y MONTEVIDEO</v>
      </c>
      <c r="D329" s="30" t="str">
        <f>'RESUMEN TOTAL'!E366</f>
        <v>FIJA</v>
      </c>
      <c r="E329" s="30" t="str">
        <f>'RESUMEN TOTAL'!F366</f>
        <v>Fibra Optica</v>
      </c>
      <c r="F329" s="72">
        <f>'RESUMEN TOTAL'!L366</f>
        <v>0</v>
      </c>
      <c r="G329" s="72">
        <f>'RESUMEN TOTAL'!M366</f>
        <v>0</v>
      </c>
      <c r="H329" s="72">
        <f>'RESUMEN TOTAL'!N366</f>
        <v>0</v>
      </c>
      <c r="I329" s="72">
        <f>'RESUMEN TOTAL'!O366</f>
        <v>0</v>
      </c>
      <c r="J329" s="72">
        <f>'RESUMEN TOTAL'!P366</f>
        <v>0</v>
      </c>
      <c r="K329" s="72">
        <f>'RESUMEN TOTAL'!Q366</f>
        <v>0</v>
      </c>
      <c r="L329" s="72">
        <f>'RESUMEN TOTAL'!R366</f>
        <v>0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>
        <f>'RESUMEN TOTAL'!V366</f>
        <v>0</v>
      </c>
      <c r="Q329" s="72">
        <f>'RESUMEN TOTAL'!W366</f>
        <v>0</v>
      </c>
      <c r="R329" s="72">
        <f>'RESUMEN TOTAL'!X366</f>
        <v>0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 t="str">
        <f>'RESUMEN TOTAL'!AO366</f>
        <v>}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SMA05</v>
      </c>
      <c r="C330" t="str">
        <f>'RESUMEN TOTAL'!D367</f>
        <v>MONTEVIDEO Y VILLEGAS</v>
      </c>
      <c r="D330" s="30" t="str">
        <f>'RESUMEN TOTAL'!E367</f>
        <v>DOMO</v>
      </c>
      <c r="E330" s="30" t="str">
        <f>'RESUMEN TOTAL'!F367</f>
        <v>PTO A FO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>
        <f>'RESUMEN TOTAL'!S367</f>
        <v>0</v>
      </c>
      <c r="N330" s="72">
        <f>'RESUMEN TOTAL'!T367</f>
        <v>0</v>
      </c>
      <c r="O330" s="72">
        <f>'RESUMEN TOTAL'!U367</f>
        <v>0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>
        <f>'RESUMEN TOTAL'!AO367</f>
        <v>0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 06</v>
      </c>
      <c r="C331" t="str">
        <f>'RESUMEN TOTAL'!D368</f>
        <v>AV. HUDSON Y RIO IGUAZU</v>
      </c>
      <c r="D331" s="30" t="str">
        <f>'RESUMEN TOTAL'!E368</f>
        <v>DOMO</v>
      </c>
      <c r="E331" s="30" t="str">
        <f>'RESUMEN TOTAL'!F368</f>
        <v>Fibra Optica</v>
      </c>
      <c r="F331" s="72" t="str">
        <f>'RESUMEN TOTAL'!L368</f>
        <v>APAGADO</v>
      </c>
      <c r="G331" s="72" t="str">
        <f>'RESUMEN TOTAL'!M368</f>
        <v>APAGADO</v>
      </c>
      <c r="H331" s="72" t="str">
        <f>'RESUMEN TOTAL'!N368</f>
        <v>APAGADO</v>
      </c>
      <c r="I331" s="72" t="str">
        <f>'RESUMEN TOTAL'!O368</f>
        <v>APAGADO</v>
      </c>
      <c r="J331" s="72" t="str">
        <f>'RESUMEN TOTAL'!P368</f>
        <v>APAGADO</v>
      </c>
      <c r="K331" s="72" t="str">
        <f>'RESUMEN TOTAL'!Q368</f>
        <v>APAGADO</v>
      </c>
      <c r="L331" s="72" t="str">
        <f>'RESUMEN TOTAL'!R368</f>
        <v>APAGADO</v>
      </c>
      <c r="M331" s="72" t="str">
        <f>'RESUMEN TOTAL'!S368</f>
        <v>APAGADO</v>
      </c>
      <c r="N331" s="72" t="str">
        <f>'RESUMEN TOTAL'!T368</f>
        <v>APAGADO</v>
      </c>
      <c r="O331" s="72" t="str">
        <f>'RESUMEN TOTAL'!U368</f>
        <v>APAGADO</v>
      </c>
      <c r="P331" s="72" t="str">
        <f>'RESUMEN TOTAL'!V368</f>
        <v>APAGADO</v>
      </c>
      <c r="Q331" s="72" t="str">
        <f>'RESUMEN TOTAL'!W368</f>
        <v>APAGADO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07</v>
      </c>
      <c r="C332" t="str">
        <f>'RESUMEN TOTAL'!D369</f>
        <v>AV. HUDSON Y RIO TURBIO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>
        <f>'RESUMEN TOTAL'!X369</f>
        <v>0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SAN MARTIN</v>
      </c>
      <c r="B333" t="str">
        <f>'RESUMEN TOTAL'!B370</f>
        <v>SMA 08</v>
      </c>
      <c r="C333" t="str">
        <f>'RESUMEN TOTAL'!D370</f>
        <v>12 De Octubre y H. Lagos</v>
      </c>
      <c r="D333" s="30" t="str">
        <f>'RESUMEN TOTAL'!E370</f>
        <v>fija</v>
      </c>
      <c r="E333" s="30" t="str">
        <f>'RESUMEN TOTAL'!F370</f>
        <v>Fibra Optica</v>
      </c>
      <c r="F333" s="72">
        <f>'RESUMEN TOTAL'!L370</f>
        <v>0</v>
      </c>
      <c r="G333" s="72">
        <f>'RESUMEN TOTAL'!M370</f>
        <v>0</v>
      </c>
      <c r="H333" s="72">
        <f>'RESUMEN TOTAL'!O370</f>
        <v>0</v>
      </c>
      <c r="I333" s="72" t="e">
        <f>'RESUMEN TOTAL'!#REF!</f>
        <v>#REF!</v>
      </c>
      <c r="J333" s="72">
        <f>'RESUMEN TOTAL'!P370</f>
        <v>0</v>
      </c>
      <c r="K333" s="72">
        <f>'RESUMEN TOTAL'!Q370</f>
        <v>0</v>
      </c>
      <c r="L333" s="72">
        <f>'RESUMEN TOTAL'!R370</f>
        <v>0</v>
      </c>
      <c r="M333" s="72">
        <f>'RESUMEN TOTAL'!S370</f>
        <v>0</v>
      </c>
      <c r="N333" s="72">
        <f>'RESUMEN TOTAL'!T370</f>
        <v>0</v>
      </c>
      <c r="O333" s="72">
        <f>'RESUMEN TOTAL'!U370</f>
        <v>0</v>
      </c>
      <c r="P333" s="72">
        <f>'RESUMEN TOTAL'!V370</f>
        <v>0</v>
      </c>
      <c r="Q333" s="72">
        <f>'RESUMEN TOTAL'!W370</f>
        <v>0</v>
      </c>
      <c r="R333" s="72">
        <f>'RESUMEN TOTAL'!X370</f>
        <v>0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09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NICOLAS</v>
      </c>
      <c r="B335" t="str">
        <f>'RESUMEN TOTAL'!B372</f>
        <v>SNI01 (fija 1)</v>
      </c>
      <c r="C335" t="str">
        <f>'RESUMEN TOTAL'!D372</f>
        <v>SARRATEA E/ EEUU DE A. Y AGRELO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TOTAL'!N372</f>
        <v>0</v>
      </c>
      <c r="I335" s="72">
        <f>'RESUMEN TOTAL'!O372</f>
        <v>0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SNI02 (fija 2)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 03 (fija 1)</v>
      </c>
      <c r="C337" t="str">
        <f>'RESUMEN TOTAL'!D374</f>
        <v>SARRATEA Y LOS TREBOLES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04 (fija 2)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SANTA ROSA</v>
      </c>
      <c r="B339" t="str">
        <f>'RESUMEN TOTAL'!B376</f>
        <v>SRO01</v>
      </c>
      <c r="C339" t="str">
        <f>'RESUMEN TOTAL'!D376</f>
        <v>Yugoslavia y MilÃ¡n</v>
      </c>
      <c r="D339" s="30" t="str">
        <f>'RESUMEN TOTAL'!E376</f>
        <v>Domo</v>
      </c>
      <c r="E339" s="30" t="str">
        <f>'RESUMEN TOTAL'!F376</f>
        <v>Radio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ZONA RURAL SANTA ROSA</v>
      </c>
      <c r="B340" t="str">
        <f>'RESUMEN TOTAL'!B377</f>
        <v>SRO02</v>
      </c>
      <c r="C340" t="str">
        <f>'RESUMEN TOTAL'!D377</f>
        <v>Bruselas y Calle 647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SANTA ROSA</v>
      </c>
      <c r="B341" t="str">
        <f>'RESUMEN TOTAL'!B378</f>
        <v>SRO03</v>
      </c>
      <c r="C341" t="str">
        <f>'RESUMEN TOTAL'!D378</f>
        <v>Eva Peron y Paysandu</v>
      </c>
      <c r="D341" s="30" t="str">
        <f>'RESUMEN TOTAL'!E378</f>
        <v>Domo</v>
      </c>
      <c r="E341" s="30" t="str">
        <f>'RESUMEN TOTAL'!F378</f>
        <v>GPON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 04</v>
      </c>
      <c r="C342" t="str">
        <f>'RESUMEN TOTAL'!D379</f>
        <v>Belgica y Andorra</v>
      </c>
      <c r="D342" s="30" t="str">
        <f>'RESUMEN TOTAL'!E379</f>
        <v>Domo</v>
      </c>
      <c r="E342" s="30" t="str">
        <f>'RESUMEN TOTAL'!F379</f>
        <v>Radio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SRO05</v>
      </c>
      <c r="C343" t="str">
        <f>'RESUMEN TOTAL'!D380</f>
        <v>CAFFERATA Y BONN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SRO06</v>
      </c>
      <c r="C344" t="str">
        <f>'RESUMEN TOTAL'!D381</f>
        <v>Novak y Bonn</v>
      </c>
      <c r="D344" s="30" t="str">
        <f>'RESUMEN TOTAL'!E381</f>
        <v>Domo</v>
      </c>
      <c r="E344" s="30" t="str">
        <f>'RESUMEN TOTAL'!F381</f>
        <v>Fibra Optica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SRO07</v>
      </c>
      <c r="C345" t="str">
        <f>'RESUMEN TOTAL'!D382</f>
        <v>NOVAK Y BELGICA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 08</v>
      </c>
      <c r="C346" t="str">
        <f>'RESUMEN TOTAL'!D383</f>
        <v>NOVAK E/ DESSY Y BELGICA (POLIDEPORTIVO LA PATRIADA)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SRO09</v>
      </c>
      <c r="C347" t="str">
        <f>'RESUMEN TOTAL'!D384</f>
        <v>BUCAREST E/ ALEMANIA Y CAFFERATA</v>
      </c>
      <c r="D347" s="30" t="str">
        <f>'RESUMEN TOTAL'!E384</f>
        <v>DOMO</v>
      </c>
      <c r="E347" s="30" t="str">
        <f>'RESUMEN TOTAL'!F384</f>
        <v>Radio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 t="str">
        <f>'RESUMEN TOTAL'!U384</f>
        <v>APAGADO</v>
      </c>
      <c r="P347" s="72" t="str">
        <f>'RESUMEN TOTAL'!V384</f>
        <v>APAGADO</v>
      </c>
      <c r="Q347" s="72" t="str">
        <f>'RESUMEN TOTAL'!W384</f>
        <v>APAGADO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SRO10</v>
      </c>
      <c r="C348" t="str">
        <f>'RESUMEN TOTAL'!D385</f>
        <v>DINAMARCA Y MILAN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 t="str">
        <f>'RESUMEN TOTAL'!M385</f>
        <v>APAGADO</v>
      </c>
      <c r="H348" s="72" t="str">
        <f>'RESUMEN TOTAL'!N385</f>
        <v>APAGADO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>
        <f>'RESUMEN TOTAL'!U385</f>
        <v>0</v>
      </c>
      <c r="P348" s="72">
        <f>'RESUMEN TOTAL'!V385</f>
        <v>0</v>
      </c>
      <c r="Q348" s="72">
        <f>'RESUMEN TOTAL'!W385</f>
        <v>0</v>
      </c>
      <c r="R348" s="72">
        <f>'RESUMEN TOTAL'!X385</f>
        <v>0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 11</v>
      </c>
      <c r="C349" t="str">
        <f>'RESUMEN TOTAL'!D386</f>
        <v>MILAN Y MALLORCA</v>
      </c>
      <c r="D349" s="30" t="str">
        <f>'RESUMEN TOTAL'!E386</f>
        <v>DOMO</v>
      </c>
      <c r="E349" s="30" t="str">
        <f>'RESUMEN TOTAL'!F386</f>
        <v>Radio</v>
      </c>
      <c r="F349" s="72" t="str">
        <f>'RESUMEN TOTAL'!L386</f>
        <v>APAGADO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SRO12</v>
      </c>
      <c r="C350" t="str">
        <f>'RESUMEN TOTAL'!D387</f>
        <v>YUGOSLAVIA Y PAYSANDU</v>
      </c>
      <c r="D350" s="30" t="str">
        <f>'RESUMEN TOTAL'!E387</f>
        <v>DOMO</v>
      </c>
      <c r="E350" s="30" t="str">
        <f>'RESUMEN TOTAL'!F387</f>
        <v>Radio</v>
      </c>
      <c r="F350" s="72">
        <f>'RESUMEN TOTAL'!L387</f>
        <v>0</v>
      </c>
      <c r="G350" s="72">
        <f>'RESUMEN TOTAL'!M387</f>
        <v>0</v>
      </c>
      <c r="H350" s="72">
        <f>'RESUMEN TOTAL'!N387</f>
        <v>0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ZONA RURAL SANTA ROSA</v>
      </c>
      <c r="B351" t="str">
        <f>'RESUMEN TOTAL'!B388</f>
        <v>SRO 13 (fija 1)</v>
      </c>
      <c r="C351" t="str">
        <f>'RESUMEN TOTAL'!D388</f>
        <v>BRUSELAS E/ GRECIA Y CHECOSLOVAQUIA</v>
      </c>
      <c r="D351" s="30" t="str">
        <f>'RESUMEN TOTAL'!E388</f>
        <v>Fija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14 (fija 2)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 t="str">
        <f>'RESUMEN TOTAL'!O389</f>
        <v>APAGADO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SANTA ROSA</v>
      </c>
      <c r="B353" t="str">
        <f>'RESUMEN TOTAL'!B390</f>
        <v>SRO15</v>
      </c>
      <c r="C353" t="str">
        <f>'RESUMEN TOTAL'!D390</f>
        <v>NOVAK Y TIRANA (614)</v>
      </c>
      <c r="D353" s="30" t="str">
        <f>'RESUMEN TOTAL'!E390</f>
        <v>DOMO</v>
      </c>
      <c r="E353" s="30" t="str">
        <f>'RESUMEN TOTAL'!F390</f>
        <v>Fibra Optica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>
        <f>'RESUMEN TOTAL'!O390</f>
        <v>0</v>
      </c>
      <c r="J353" s="72" t="str">
        <f>'RESUMEN TOTAL'!P390</f>
        <v>APAGADO</v>
      </c>
      <c r="K353" s="72" t="str">
        <f>'RESUMEN TOTAL'!Q390</f>
        <v>APAGADO</v>
      </c>
      <c r="L353" s="72" t="str">
        <f>'RESUMEN TOTAL'!R390</f>
        <v>APAGADO</v>
      </c>
      <c r="M353" s="72" t="str">
        <f>'RESUMEN TOTAL'!S390</f>
        <v>APAGADO</v>
      </c>
      <c r="N353" s="72" t="str">
        <f>'RESUMEN TOTAL'!T390</f>
        <v>APAGADO</v>
      </c>
      <c r="O353" s="72" t="str">
        <f>'RESUMEN TOTAL'!U390</f>
        <v>APAGADO</v>
      </c>
      <c r="P353" s="72" t="str">
        <f>'RESUMEN TOTAL'!V390</f>
        <v>APAGADO</v>
      </c>
      <c r="Q353" s="72" t="str">
        <f>'RESUMEN TOTAL'!W390</f>
        <v>APAGADO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SRO16 (fija 1)</v>
      </c>
      <c r="C354" t="str">
        <f>'RESUMEN TOTAL'!D391</f>
        <v>ANDORRA E/ BELGICA Y SAN MARINO</v>
      </c>
      <c r="D354" s="30" t="str">
        <f>'RESUMEN TOTAL'!E391</f>
        <v>Fija</v>
      </c>
      <c r="E354" s="30" t="str">
        <f>'RESUMEN TOTAL'!F391</f>
        <v>Fibra Optica</v>
      </c>
      <c r="F354" s="72" t="str">
        <f>'RESUMEN TOTAL'!L391</f>
        <v>APAGADO</v>
      </c>
      <c r="G354" s="72" t="str">
        <f>'RESUMEN TOTAL'!M391</f>
        <v>APAGADO</v>
      </c>
      <c r="H354" s="72" t="str">
        <f>'RESUMEN TOTAL'!N391</f>
        <v>APAGADO</v>
      </c>
      <c r="I354" s="72" t="str">
        <f>'RESUMEN TOTAL'!O391</f>
        <v>APAGADO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>
        <f>'RESUMEN TOTAL'!X391</f>
        <v>0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SRO17 (fija 2)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>
        <f>'RESUMEN TOTAL'!X392</f>
        <v>0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 18 (fija 1)</v>
      </c>
      <c r="C356" t="str">
        <f>'RESUMEN TOTAL'!D393</f>
        <v>GRAN CANARIA Y BUDAPEST</v>
      </c>
      <c r="D356" s="30" t="str">
        <f>'RESUMEN TOTAL'!E393</f>
        <v>Fija</v>
      </c>
      <c r="E356" s="30" t="str">
        <f>'RESUMEN TOTAL'!F393</f>
        <v>Fibra Optica</v>
      </c>
      <c r="F356" s="72">
        <f>'RESUMEN TOTAL'!L393</f>
        <v>0</v>
      </c>
      <c r="G356" s="72">
        <f>'RESUMEN TOTAL'!M393</f>
        <v>0</v>
      </c>
      <c r="H356" s="72">
        <f>'RESUMEN TOTAL'!N393</f>
        <v>0</v>
      </c>
      <c r="I356" s="72">
        <f>'RESUMEN TOTAL'!O393</f>
        <v>0</v>
      </c>
      <c r="J356" s="72">
        <f>'RESUMEN TOTAL'!P393</f>
        <v>0</v>
      </c>
      <c r="K356" s="72">
        <f>'RESUMEN TOTAL'!Q393</f>
        <v>0</v>
      </c>
      <c r="L356" s="72">
        <f>'RESUMEN TOTAL'!R393</f>
        <v>0</v>
      </c>
      <c r="M356" s="72">
        <f>'RESUMEN TOTAL'!S393</f>
        <v>0</v>
      </c>
      <c r="N356" s="72">
        <f>'RESUMEN TOTAL'!T393</f>
        <v>0</v>
      </c>
      <c r="O356" s="72">
        <f>'RESUMEN TOTAL'!U393</f>
        <v>0</v>
      </c>
      <c r="P356" s="72">
        <f>'RESUMEN TOTAL'!V393</f>
        <v>0</v>
      </c>
      <c r="Q356" s="72">
        <f>'RESUMEN TOTAL'!W393</f>
        <v>0</v>
      </c>
      <c r="R356" s="72">
        <f>'RESUMEN TOTAL'!X393</f>
        <v>0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19 (fija 2)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SRO20</v>
      </c>
      <c r="C358" t="str">
        <f>'RESUMEN TOTAL'!D395</f>
        <v>NOVAK Y BONN</v>
      </c>
      <c r="D358" s="30" t="str">
        <f>'RESUMEN TOTAL'!E395</f>
        <v>Fija</v>
      </c>
      <c r="E358" s="30" t="str">
        <f>'RESUMEN TOTAL'!F395</f>
        <v>Fibra Optica</v>
      </c>
      <c r="F358" s="72" t="str">
        <f>'RESUMEN TOTAL'!L395</f>
        <v>APAGADO</v>
      </c>
      <c r="G358" s="72" t="str">
        <f>'RESUMEN TOTAL'!M395</f>
        <v>APAGADO</v>
      </c>
      <c r="H358" s="72" t="str">
        <f>'RESUMEN TOTAL'!N395</f>
        <v>APAGADO</v>
      </c>
      <c r="I358" s="72" t="str">
        <f>'RESUMEN TOTAL'!O395</f>
        <v>APAGADO</v>
      </c>
      <c r="J358" s="72" t="str">
        <f>'RESUMEN TOTAL'!P395</f>
        <v>APAGADO</v>
      </c>
      <c r="K358" s="72" t="str">
        <f>'RESUMEN TOTAL'!Q395</f>
        <v>APAGADO</v>
      </c>
      <c r="L358" s="72" t="str">
        <f>'RESUMEN TOTAL'!R395</f>
        <v>APAGADO</v>
      </c>
      <c r="M358" s="72" t="str">
        <f>'RESUMEN TOTAL'!S395</f>
        <v>APAGADO</v>
      </c>
      <c r="N358" s="72" t="str">
        <f>'RESUMEN TOTAL'!T395</f>
        <v>APAGADO</v>
      </c>
      <c r="O358" s="72" t="str">
        <f>'RESUMEN TOTAL'!U395</f>
        <v>APAGADO</v>
      </c>
      <c r="P358" s="72" t="str">
        <f>'RESUMEN TOTAL'!V395</f>
        <v>APAGADO</v>
      </c>
      <c r="Q358" s="72" t="str">
        <f>'RESUMEN TOTAL'!W395</f>
        <v>APAGADO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SRO21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>
        <f>'RESUMEN TOTAL'!L396</f>
        <v>0</v>
      </c>
      <c r="G359" s="72">
        <f>'RESUMEN TOTAL'!M396</f>
        <v>0</v>
      </c>
      <c r="H359" s="72">
        <f>'RESUMEN TOTAL'!N396</f>
        <v>0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>
        <f>'RESUMEN TOTAL'!X396</f>
        <v>0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 RUDECINDO</v>
      </c>
      <c r="B360" t="str">
        <f>'RESUMEN TOTAL'!B397</f>
        <v>SRU01 (fija 1)</v>
      </c>
      <c r="C360" t="str">
        <f>'RESUMEN TOTAL'!D397</f>
        <v>HERNANDARIAS Y AMBATO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>
        <f>'RESUMEN TOTAL'!O397</f>
        <v>0</v>
      </c>
      <c r="J360" s="72">
        <f>'RESUMEN TOTAL'!P397</f>
        <v>0</v>
      </c>
      <c r="K360" s="72">
        <f>'RESUMEN TOTAL'!Q397</f>
        <v>0</v>
      </c>
      <c r="L360" s="72">
        <f>'RESUMEN TOTAL'!R397</f>
        <v>0</v>
      </c>
      <c r="M360" s="72">
        <f>'RESUMEN TOTAL'!S397</f>
        <v>0</v>
      </c>
      <c r="N360" s="72">
        <f>'RESUMEN TOTAL'!T397</f>
        <v>0</v>
      </c>
      <c r="O360" s="72">
        <f>'RESUMEN TOTAL'!U397</f>
        <v>0</v>
      </c>
      <c r="P360" s="72">
        <f>'RESUMEN TOTAL'!V397</f>
        <v>0</v>
      </c>
      <c r="Q360" s="72">
        <f>'RESUMEN TOTAL'!W397</f>
        <v>0</v>
      </c>
      <c r="R360" s="72">
        <f>'RESUMEN TOTAL'!X397</f>
        <v>0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SRU02 (fija 2)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SRU03</v>
      </c>
      <c r="C362" t="str">
        <f>'RESUMEN TOTAL'!D399</f>
        <v>SANTA SOFIA Y LUIS AGOTE</v>
      </c>
      <c r="D362" s="30" t="str">
        <f>'RESUMEN TOTAL'!E399</f>
        <v>DOMO</v>
      </c>
      <c r="E362" s="30" t="str">
        <f>'RESUMEN TOTAL'!F399</f>
        <v>Fibra Optica</v>
      </c>
      <c r="F362" s="72" t="str">
        <f>'RESUMEN TOTAL'!L399</f>
        <v>APAGADO</v>
      </c>
      <c r="G362" s="72" t="str">
        <f>'RESUMEN TOTAL'!M399</f>
        <v>APAGADO</v>
      </c>
      <c r="H362" s="72" t="str">
        <f>'RESUMEN TOTAL'!N399</f>
        <v>APAGADO</v>
      </c>
      <c r="I362" s="72" t="str">
        <f>'RESUMEN TOTAL'!O399</f>
        <v>APAGADO</v>
      </c>
      <c r="J362" s="72">
        <f>'RESUMEN TOTAL'!P399</f>
        <v>0</v>
      </c>
      <c r="K362" s="72">
        <f>'RESUMEN TOTAL'!Q399</f>
        <v>0</v>
      </c>
      <c r="L362" s="72" t="str">
        <f>'RESUMEN TOTAL'!R399</f>
        <v>APAGADO</v>
      </c>
      <c r="M362" s="72" t="str">
        <f>'RESUMEN TOTAL'!S399</f>
        <v>APAGADO</v>
      </c>
      <c r="N362" s="72" t="str">
        <f>'RESUMEN TOTAL'!T399</f>
        <v>APAGADO</v>
      </c>
      <c r="O362" s="72" t="str">
        <f>'RESUMEN TOTAL'!U399</f>
        <v>APAGADO</v>
      </c>
      <c r="P362" s="72" t="str">
        <f>'RESUMEN TOTAL'!V399</f>
        <v>APAGADO</v>
      </c>
      <c r="Q362" s="72" t="str">
        <f>'RESUMEN TOTAL'!W399</f>
        <v>APAGADO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PRESIDENTE SARMIENTO</v>
      </c>
      <c r="B363" t="str">
        <f>'RESUMEN TOTAL'!B400</f>
        <v>VANG 09</v>
      </c>
      <c r="C363" t="str">
        <f>'RESUMEN TOTAL'!D400</f>
        <v>Ruta 36 y Senzabello</v>
      </c>
      <c r="D363" s="30" t="str">
        <f>'RESUMEN TOTAL'!E400</f>
        <v>Domo</v>
      </c>
      <c r="E363" s="30" t="str">
        <f>'RESUMEN TOTAL'!F400</f>
        <v>PTO A FO</v>
      </c>
      <c r="F363" s="72">
        <f>'RESUMEN TOTAL'!L400</f>
        <v>0</v>
      </c>
      <c r="G363" s="72">
        <f>'RESUMEN TOTAL'!M400</f>
        <v>0</v>
      </c>
      <c r="H363" s="72">
        <f>'RESUMEN TOTAL'!N400</f>
        <v>0</v>
      </c>
      <c r="I363" s="72">
        <f>'RESUMEN TOTAL'!O400</f>
        <v>0</v>
      </c>
      <c r="J363" s="72">
        <f>'RESUMEN TOTAL'!P400</f>
        <v>0</v>
      </c>
      <c r="K363" s="72">
        <f>'RESUMEN TOTAL'!Q400</f>
        <v>0</v>
      </c>
      <c r="L363" s="72">
        <f>'RESUMEN TOTAL'!R400</f>
        <v>0</v>
      </c>
      <c r="M363" s="72">
        <f>'RESUMEN TOTAL'!S400</f>
        <v>0</v>
      </c>
      <c r="N363" s="72">
        <f>'RESUMEN TOTAL'!T400</f>
        <v>0</v>
      </c>
      <c r="O363" s="72">
        <f>'RESUMEN TOTAL'!U400</f>
        <v>0</v>
      </c>
      <c r="P363" s="72">
        <f>'RESUMEN TOTAL'!V400</f>
        <v>0</v>
      </c>
      <c r="Q363" s="72">
        <f>'RESUMEN TOTAL'!W400</f>
        <v>0</v>
      </c>
      <c r="R363" s="72">
        <f>'RESUMEN TOTAL'!X400</f>
        <v>0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VILLA ANGELICA</v>
      </c>
      <c r="B364" t="str">
        <f>'RESUMEN TOTAL'!B401</f>
        <v>VANG01</v>
      </c>
      <c r="C364" t="str">
        <f>'RESUMEN TOTAL'!D401</f>
        <v>Senzabello y Necochea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VANG02</v>
      </c>
      <c r="C365" t="str">
        <f>'RESUMEN TOTAL'!D402</f>
        <v>Thevenet y Ruta 36</v>
      </c>
      <c r="D365" s="30" t="str">
        <f>'RESUMEN TOTAL'!E402</f>
        <v>Domo</v>
      </c>
      <c r="E365" s="30" t="str">
        <f>'RESUMEN TOTAL'!F402</f>
        <v>Fibra Optica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DEL PLATA</v>
      </c>
      <c r="B366" t="str">
        <f>'RESUMEN TOTAL'!B403</f>
        <v>VANG03</v>
      </c>
      <c r="C366" t="str">
        <f>'RESUMEN TOTAL'!D403</f>
        <v>Thevenet 1950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ANGELICA</v>
      </c>
      <c r="B367" t="str">
        <f>'RESUMEN TOTAL'!B404</f>
        <v>VANG04</v>
      </c>
      <c r="C367" t="str">
        <f>'RESUMEN TOTAL'!D404</f>
        <v>Storni e/Thevenet y Calle 158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VANG05</v>
      </c>
      <c r="C368" t="str">
        <f>'RESUMEN TOTAL'!D405</f>
        <v>Storni y Thevenet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 t="str">
        <f>'RESUMEN TOTAL'!M405</f>
        <v>APAGADO</v>
      </c>
      <c r="H368" s="72" t="str">
        <f>'RESUMEN TOTAL'!N405</f>
        <v>APAGADO</v>
      </c>
      <c r="I368" s="72" t="str">
        <f>'RESUMEN TOTAL'!O405</f>
        <v>APAGADO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VANG06</v>
      </c>
      <c r="C369" t="str">
        <f>'RESUMEN TOTAL'!D406</f>
        <v>Arenales e/Thevenet y Calle 158</v>
      </c>
      <c r="D369" s="30" t="str">
        <f>'RESUMEN TOTAL'!E406</f>
        <v>DOMO</v>
      </c>
      <c r="E369" s="30" t="str">
        <f>'RESUMEN TOTAL'!F406</f>
        <v>GPON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VANG07</v>
      </c>
      <c r="C370" t="str">
        <f>'RESUMEN TOTAL'!D407</f>
        <v>Arenales y Thevenet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>
        <f>'RESUMEN TOTAL'!M407</f>
        <v>0</v>
      </c>
      <c r="H370" s="72">
        <f>'RESUMEN TOTAL'!N407</f>
        <v>0</v>
      </c>
      <c r="I370" s="72">
        <f>'RESUMEN TOTAL'!O407</f>
        <v>0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VANG08</v>
      </c>
      <c r="C371" t="str">
        <f>'RESUMEN TOTAL'!D408</f>
        <v>Calle 158 al 2200</v>
      </c>
      <c r="D371" s="30" t="str">
        <f>'RESUMEN TOTAL'!E408</f>
        <v>Domo</v>
      </c>
      <c r="E371" s="30" t="str">
        <f>'RESUMEN TOTAL'!F408</f>
        <v>PTO A FO</v>
      </c>
      <c r="F371" s="72">
        <f>'RESUMEN TOTAL'!L408</f>
        <v>0</v>
      </c>
      <c r="G371" s="72" t="str">
        <f>'RESUMEN TOTAL'!M408</f>
        <v>APAGADO</v>
      </c>
      <c r="H371" s="72" t="str">
        <f>'RESUMEN TOTAL'!N408</f>
        <v>APAGADO</v>
      </c>
      <c r="I371" s="72" t="str">
        <f>'RESUMEN TOTAL'!O408</f>
        <v>APAGADO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VANG10</v>
      </c>
      <c r="C372" t="str">
        <f>'RESUMEN TOTAL'!D409</f>
        <v>Senzabello y Braile</v>
      </c>
      <c r="D372" s="30" t="str">
        <f>'RESUMEN TOTAL'!E409</f>
        <v>fija</v>
      </c>
      <c r="E372" s="30" t="str">
        <f>'RESUMEN TOTAL'!F409</f>
        <v>Fibra Optica</v>
      </c>
      <c r="F372" s="72" t="str">
        <f>'RESUMEN TOTAL'!L409</f>
        <v>APAGADO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 t="str">
        <f>'RESUMEN TOTAL'!P409</f>
        <v>APAGADO</v>
      </c>
      <c r="K372" s="72" t="str">
        <f>'RESUMEN TOTAL'!Q409</f>
        <v>APAGADO</v>
      </c>
      <c r="L372" s="72" t="str">
        <f>'RESUMEN TOTAL'!R409</f>
        <v>APAGADO</v>
      </c>
      <c r="M372" s="72" t="str">
        <f>'RESUMEN TOTAL'!S409</f>
        <v>APAGADO</v>
      </c>
      <c r="N372" s="72" t="str">
        <f>'RESUMEN TOTAL'!T409</f>
        <v>APAGADO</v>
      </c>
      <c r="O372" s="72" t="str">
        <f>'RESUMEN TOTAL'!U409</f>
        <v>APAGADO</v>
      </c>
      <c r="P372" s="72" t="str">
        <f>'RESUMEN TOTAL'!V409</f>
        <v>APAGADO</v>
      </c>
      <c r="Q372" s="72" t="str">
        <f>'RESUMEN TOTAL'!W409</f>
        <v>APAGADO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VANG11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>
        <f>'RESUMEN TOTAL'!X410</f>
        <v>0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VANG12</v>
      </c>
      <c r="C374" t="str">
        <f>'RESUMEN TOTAL'!D411</f>
        <v>TAPALQUE E/ BOLIVAR Y GORRITI</v>
      </c>
      <c r="D374" s="30" t="str">
        <f>'RESUMEN TOTAL'!E411</f>
        <v>Fija</v>
      </c>
      <c r="E374" s="30" t="str">
        <f>'RESUMEN TOTAL'!F411</f>
        <v>Fibra Optica</v>
      </c>
      <c r="F374" s="72">
        <f>'RESUMEN TOTAL'!L411</f>
        <v>0</v>
      </c>
      <c r="G374" s="72">
        <f>'RESUMEN TOTAL'!M411</f>
        <v>0</v>
      </c>
      <c r="H374" s="72">
        <f>'RESUMEN TOTAL'!N411</f>
        <v>0</v>
      </c>
      <c r="I374" s="72">
        <f>'RESUMEN TOTAL'!O411</f>
        <v>0</v>
      </c>
      <c r="J374" s="72">
        <f>'RESUMEN TOTAL'!P411</f>
        <v>0</v>
      </c>
      <c r="K374" s="72">
        <f>'RESUMEN TOTAL'!Q411</f>
        <v>0</v>
      </c>
      <c r="L374" s="72">
        <f>'RESUMEN TOTAL'!R411</f>
        <v>0</v>
      </c>
      <c r="M374" s="72">
        <f>'RESUMEN TOTAL'!S411</f>
        <v>0</v>
      </c>
      <c r="N374" s="72">
        <f>'RESUMEN TOTAL'!T411</f>
        <v>0</v>
      </c>
      <c r="O374" s="72">
        <f>'RESUMEN TOTAL'!U411</f>
        <v>0</v>
      </c>
      <c r="P374" s="72">
        <f>'RESUMEN TOTAL'!V411</f>
        <v>0</v>
      </c>
      <c r="Q374" s="72">
        <f>'RESUMEN TOTAL'!W411</f>
        <v>0</v>
      </c>
      <c r="R374" s="72">
        <f>'RESUMEN TOTAL'!X411</f>
        <v>0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VANG13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TOTAL'!A415</f>
        <v>VILLA ARGENTINA</v>
      </c>
      <c r="B376" t="str">
        <f>'RESUMEN TOTAL'!B415</f>
        <v>VAR 01</v>
      </c>
      <c r="C376" t="str">
        <f>'RESUMEN TOTAL'!D415</f>
        <v>Calle 519 y 546</v>
      </c>
      <c r="D376" s="30" t="str">
        <f>'RESUMEN TOTAL'!E415</f>
        <v>Domo</v>
      </c>
      <c r="E376" s="30" t="str">
        <f>'RESUMEN TOTAL'!F415</f>
        <v>GPON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02</v>
      </c>
      <c r="C377" t="str">
        <f>'RESUMEN TOTAL'!D416</f>
        <v>DIAGONAL LOS TILOS Y 542</v>
      </c>
      <c r="D377" s="30" t="str">
        <f>'RESUMEN TOTAL'!E416</f>
        <v>DOMO</v>
      </c>
      <c r="E377" s="30" t="str">
        <f>'RESUMEN TOTAL'!F416</f>
        <v>Radio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VAR03 (fija 1)</v>
      </c>
      <c r="C378" t="str">
        <f>'RESUMEN TOTAL'!D417</f>
        <v>509 y 546</v>
      </c>
      <c r="D378" s="30" t="str">
        <f>'RESUMEN TOTAL'!E417</f>
        <v>Fija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 t="str">
        <f>'RESUMEN TOTAL'!O417</f>
        <v>APAGADO</v>
      </c>
      <c r="J378" s="72" t="str">
        <f>'RESUMEN TOTAL'!P417</f>
        <v>APAGADO</v>
      </c>
      <c r="K378" s="72" t="str">
        <f>'RESUMEN TOTAL'!Q417</f>
        <v>APAGADO</v>
      </c>
      <c r="L378" s="72" t="str">
        <f>'RESUMEN TOTAL'!R417</f>
        <v>APAGADO</v>
      </c>
      <c r="M378" s="72">
        <f>'RESUMEN TOTAL'!S417</f>
        <v>0</v>
      </c>
      <c r="N378" s="72" t="str">
        <f>'RESUMEN TOTAL'!T417</f>
        <v>APAGADO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VAR04 (fija 2)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VAR05 (fija 1)</v>
      </c>
      <c r="C380" t="str">
        <f>'RESUMEN TOTAL'!D419</f>
        <v>511 E/ 544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VAR06 (fija 2)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VAR07</v>
      </c>
      <c r="C382" t="str">
        <f>'RESUMEN TOTAL'!D421</f>
        <v>DIAG. LOS TILOS Y 517</v>
      </c>
      <c r="D382" s="30" t="str">
        <f>'RESUMEN TOTAL'!E421</f>
        <v>DOMO</v>
      </c>
      <c r="E382" s="30" t="str">
        <f>'RESUMEN TOTAL'!F421</f>
        <v>Fibra Optica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>
        <f>'RESUMEN TOTAL'!O421</f>
        <v>0</v>
      </c>
      <c r="J382" s="72">
        <f>'RESUMEN TOTAL'!P421</f>
        <v>0</v>
      </c>
      <c r="K382" s="72">
        <f>'RESUMEN TOTAL'!Q421</f>
        <v>0</v>
      </c>
      <c r="L382" s="72">
        <f>'RESUMEN TOTAL'!R421</f>
        <v>0</v>
      </c>
      <c r="M382" s="72">
        <f>'RESUMEN TOTAL'!S421</f>
        <v>0</v>
      </c>
      <c r="N382" s="72">
        <f>'RESUMEN TOTAL'!T421</f>
        <v>0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 08 (fija 1)</v>
      </c>
      <c r="C383" t="str">
        <f>'RESUMEN TOTAL'!D422</f>
        <v>534 Y 523</v>
      </c>
      <c r="D383" s="30" t="str">
        <f>'RESUMEN TOTAL'!E422</f>
        <v>Fija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09 (fija 2)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VAR10 (fija 1)</v>
      </c>
      <c r="C385" t="str">
        <f>'RESUMEN TOTAL'!D424</f>
        <v>532 A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VAR11 (fija 2)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VAR12</v>
      </c>
      <c r="C387" t="str">
        <f>'RESUMEN TOTAL'!D426</f>
        <v>Calle 527 y Portela</v>
      </c>
      <c r="D387" s="30" t="str">
        <f>'RESUMEN TOTAL'!E426</f>
        <v>Domo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VAR13</v>
      </c>
      <c r="C388" t="str">
        <f>'RESUMEN TOTAL'!D427</f>
        <v>Calle 527 y 532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VAR14</v>
      </c>
      <c r="C389" t="str">
        <f>'RESUMEN TOTAL'!D428</f>
        <v>Pportela y 517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VATTEONE</v>
      </c>
      <c r="B390" t="str">
        <f>'RESUMEN TOTAL'!B429</f>
        <v>VAT01</v>
      </c>
      <c r="C390" t="str">
        <f>'RESUMEN TOTAL'!D429</f>
        <v>Montevideo y El ChaÃ±ar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 t="str">
        <f>'RESUMEN TOTAL'!V429</f>
        <v>APAGADO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 CENTRO</v>
      </c>
      <c r="B391" t="str">
        <f>'RESUMEN TOTAL'!B430</f>
        <v>VAT02</v>
      </c>
      <c r="C391" t="str">
        <f>'RESUMEN TOTAL'!D430</f>
        <v>Eva Peron y 12 de Octubre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>
        <f>'RESUMEN TOTAL'!V430</f>
        <v>0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VAT03</v>
      </c>
      <c r="C392" t="str">
        <f>'RESUMEN TOTAL'!D431</f>
        <v>Lavalle y Belgrano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VAT04</v>
      </c>
      <c r="C393" t="str">
        <f>'RESUMEN TOTAL'!D432</f>
        <v>Lavalle y Entre Rios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VAT05</v>
      </c>
      <c r="C394" t="str">
        <f>'RESUMEN TOTAL'!D433</f>
        <v>Lavalle y Colombia</v>
      </c>
      <c r="D394" s="30" t="str">
        <f>'RESUMEN TOTAL'!E433</f>
        <v>Domo</v>
      </c>
      <c r="E394" s="30" t="str">
        <f>'RESUMEN TOTAL'!F433</f>
        <v>GPON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VAT06</v>
      </c>
      <c r="C395" t="str">
        <f>'RESUMEN TOTAL'!D434</f>
        <v>Eva Peron y Pueyrredon</v>
      </c>
      <c r="D395" s="30" t="str">
        <f>'RESUMEN TOTAL'!E434</f>
        <v>Domo</v>
      </c>
      <c r="E395" s="30" t="str">
        <f>'RESUMEN TOTAL'!F434</f>
        <v>Fibra Optica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VAT07</v>
      </c>
      <c r="C396" t="str">
        <f>'RESUMEN TOTAL'!D435</f>
        <v>Eva Peron y Lavalle</v>
      </c>
      <c r="D396" s="30">
        <f>'RESUMEN TOTAL'!E435</f>
        <v>0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</v>
      </c>
      <c r="B397" t="str">
        <f>'RESUMEN TOTAL'!B436</f>
        <v>VAT08</v>
      </c>
      <c r="C397" t="str">
        <f>'RESUMEN TOTAL'!D436</f>
        <v>12 de Octubre y Florida</v>
      </c>
      <c r="D397" s="30" t="str">
        <f>'RESUMEN TOTAL'!E436</f>
        <v>Domo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VAT09</v>
      </c>
      <c r="C398" t="str">
        <f>'RESUMEN TOTAL'!D437</f>
        <v>Montevideo y Alsina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 CENTRO</v>
      </c>
      <c r="B399" t="str">
        <f>'RESUMEN TOTAL'!B438</f>
        <v>VAT 10</v>
      </c>
      <c r="C399" t="str">
        <f>'RESUMEN TOTAL'!D438</f>
        <v>Belgrano y Quintana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</v>
      </c>
      <c r="B400" t="str">
        <f>'RESUMEN TOTAL'!B439</f>
        <v>VAT11</v>
      </c>
      <c r="C400" t="str">
        <f>'RESUMEN TOTAL'!D439</f>
        <v>Mainini y Montevideo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 t="str">
        <f>'RESUMEN TOTAL'!V439</f>
        <v>APAGADO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VAT12</v>
      </c>
      <c r="C401" t="str">
        <f>'RESUMEN TOTAL'!D440</f>
        <v>12 DE OCTUBRE Y CHACO</v>
      </c>
      <c r="D401" s="30" t="str">
        <f>'RESUMEN TOTAL'!E440</f>
        <v>DOMO</v>
      </c>
      <c r="E401" s="30" t="str">
        <f>'RESUMEN TOTAL'!F440</f>
        <v>PTO A FO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>
        <f>'RESUMEN TOTAL'!V440</f>
        <v>0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 CENTRO</v>
      </c>
      <c r="B402" t="str">
        <f>'RESUMEN TOTAL'!B441</f>
        <v>VAT13</v>
      </c>
      <c r="C402" t="str">
        <f>'RESUMEN TOTAL'!D441</f>
        <v>Av.12 de Octubre y Belgrano</v>
      </c>
      <c r="D402" s="30" t="str">
        <f>'RESUMEN TOTAL'!E441</f>
        <v>Domo</v>
      </c>
      <c r="E402" s="30" t="str">
        <f>'RESUMEN TOTAL'!F441</f>
        <v>Fibra Optica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</v>
      </c>
      <c r="B403" t="str">
        <f>'RESUMEN TOTAL'!B442</f>
        <v>VAT 14</v>
      </c>
      <c r="C403" t="str">
        <f>'RESUMEN TOTAL'!D442</f>
        <v>FLORIDA Y MONTEVIDEO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 t="str">
        <f>'RESUMEN TOTAL'!V442</f>
        <v>APAGADO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15</v>
      </c>
      <c r="C404" t="str">
        <f>'RESUMEN TOTAL'!D443</f>
        <v>CORRIENTES Y VICENTE LOPEZ</v>
      </c>
      <c r="D404" s="30" t="str">
        <f>'RESUMEN TOTAL'!E443</f>
        <v>DOMO</v>
      </c>
      <c r="E404" s="30" t="str">
        <f>'RESUMEN TOTAL'!F443</f>
        <v>PTO A FO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>
        <f>'RESUMEN TOTAL'!V443</f>
        <v>0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16</v>
      </c>
      <c r="C405" t="str">
        <f>'RESUMEN TOTAL'!D444</f>
        <v>MONTEVIDEO Y CHACO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17</v>
      </c>
      <c r="C406" t="str">
        <f>'RESUMEN TOTAL'!D445</f>
        <v>CHAÑAR Y URUGUAY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 t="str">
        <f>'RESUMEN TOTAL'!V445</f>
        <v>APAGADO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 CENTRO</v>
      </c>
      <c r="B407" t="str">
        <f>'RESUMEN TOTAL'!B446</f>
        <v>VAT18</v>
      </c>
      <c r="C407" t="str">
        <f>'RESUMEN TOTAL'!D446</f>
        <v>LAVALLE Y FONROUGE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>
        <f>'RESUMEN TOTAL'!V446</f>
        <v>0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VAT19</v>
      </c>
      <c r="C408" t="str">
        <f>'RESUMEN TOTAL'!D447</f>
        <v>QUINTANA Y FONROUGE ( TUCUMAN )</v>
      </c>
      <c r="D408" s="30" t="str">
        <f>'RESUMEN TOTAL'!E447</f>
        <v>DOMO</v>
      </c>
      <c r="E408" s="30" t="str">
        <f>'RESUMEN TOTAL'!F447</f>
        <v>Radio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</v>
      </c>
      <c r="B409" t="str">
        <f>'RESUMEN TOTAL'!B448</f>
        <v>VAT 20</v>
      </c>
      <c r="C409" t="str">
        <f>'RESUMEN TOTAL'!D448</f>
        <v>URUGUAY Y PILCOMAYO</v>
      </c>
      <c r="D409" s="30" t="str">
        <f>'RESUMEN TOTAL'!E448</f>
        <v>FIJA</v>
      </c>
      <c r="E409" s="30" t="str">
        <f>'RESUMEN TOTAL'!F448</f>
        <v>Fibra Optica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 CENTRO</v>
      </c>
      <c r="B410" t="str">
        <f>'RESUMEN TOTAL'!B449</f>
        <v>VAT 21 (fija 1)</v>
      </c>
      <c r="C410" t="str">
        <f>'RESUMEN TOTAL'!D449</f>
        <v>QUINTANA E/ BELGRANO Y FONROUGE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22 (fija 2)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VAT23 (fija 1)</v>
      </c>
      <c r="C412" t="str">
        <f>'RESUMEN TOTAL'!D451</f>
        <v>EVA PERON Y "EL TUNEL" (BAJO NIVEL)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VAT24 (fija 2)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 25</v>
      </c>
      <c r="C414" t="str">
        <f>'RESUMEN TOTAL'!D453</f>
        <v>Mainini y Uruguay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 t="str">
        <f>'RESUMEN TOTAL'!V453</f>
        <v>APAGADO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26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</v>
      </c>
      <c r="B416" t="str">
        <f>'RESUMEN TOTAL'!B455</f>
        <v>VAT 27</v>
      </c>
      <c r="C416" t="str">
        <f>'RESUMEN TOTAL'!D455</f>
        <v>12 DE OCTUBRE Y ROSARIO</v>
      </c>
      <c r="D416" s="30" t="str">
        <f>'RESUMEN TOTAL'!E455</f>
        <v>DOMO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>
        <f>'RESUMEN TOTAL'!V455</f>
        <v>0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AURORA</v>
      </c>
      <c r="B417" t="str">
        <f>'RESUMEN TOTAL'!B456</f>
        <v>VAU 01</v>
      </c>
      <c r="C417" t="str">
        <f>'RESUMEN TOTAL'!D456</f>
        <v>San Martin y Monteverde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SAN EMILIO</v>
      </c>
      <c r="B418" t="str">
        <f>'RESUMEN TOTAL'!B457</f>
        <v>VAU 02</v>
      </c>
      <c r="C418" t="str">
        <f>'RESUMEN TOTAL'!D457</f>
        <v>San Martin y Lope de Vega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VILLA AURORA</v>
      </c>
      <c r="B419" t="str">
        <f>'RESUMEN TOTAL'!B458</f>
        <v>VAU03 (fija 1)</v>
      </c>
      <c r="C419" t="str">
        <f>'RESUMEN TOTAL'!D458</f>
        <v>PIZZURNO Y NUESTRAS MALVINAS</v>
      </c>
      <c r="D419" s="30" t="str">
        <f>'RESUMEN TOTAL'!E458</f>
        <v>Fija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 t="str">
        <f>'RESUMEN TOTAL'!V458</f>
        <v>APAGADO</v>
      </c>
      <c r="Q419" s="72" t="str">
        <f>'RESUMEN TOTAL'!W458</f>
        <v>APAGADO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VAU04 (fija 2)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>
        <f>'RESUMEN TOTAL'!X459</f>
        <v>0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VAU05 (fija 1)</v>
      </c>
      <c r="C421" t="str">
        <f>'RESUMEN TOTAL'!D460</f>
        <v>GUIDO SPANO Y VICTORINO DE LA PLAZA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>
        <f>'RESUMEN TOTAL'!V460</f>
        <v>0</v>
      </c>
      <c r="Q421" s="72">
        <f>'RESUMEN TOTAL'!W460</f>
        <v>0</v>
      </c>
      <c r="R421" s="72">
        <f>'RESUMEN TOTAL'!X460</f>
        <v>0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VAU06 (fija 2)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 07</v>
      </c>
      <c r="C423" t="str">
        <f>'RESUMEN TOTAL'!D462</f>
        <v>VICTORINO DE LA PLAZA Y MONTEVERDE</v>
      </c>
      <c r="D423" s="30" t="str">
        <f>'RESUMEN TOTAL'!E462</f>
        <v>Domo</v>
      </c>
      <c r="E423" s="30" t="str">
        <f>'RESUMEN TOTAL'!F462</f>
        <v>Fibra Optica</v>
      </c>
      <c r="F423" s="72" t="str">
        <f>'RESUMEN TOTAL'!L462</f>
        <v>APAGADO</v>
      </c>
      <c r="G423" s="72" t="str">
        <f>'RESUMEN TOTAL'!M462</f>
        <v>APAGADO</v>
      </c>
      <c r="H423" s="72" t="str">
        <f>'RESUMEN TOTAL'!N462</f>
        <v>APAGADO</v>
      </c>
      <c r="I423" s="72" t="str">
        <f>'RESUMEN TOTAL'!O462</f>
        <v>APAGADO</v>
      </c>
      <c r="J423" s="72">
        <f>'RESUMEN TOTAL'!P462</f>
        <v>0</v>
      </c>
      <c r="K423" s="72" t="str">
        <f>'RESUMEN TOTAL'!Q462</f>
        <v>APAGADO</v>
      </c>
      <c r="L423" s="72" t="str">
        <f>'RESUMEN TOTAL'!R462</f>
        <v>APAGADO</v>
      </c>
      <c r="M423" s="72" t="str">
        <f>'RESUMEN TOTAL'!S462</f>
        <v>APAGADO</v>
      </c>
      <c r="N423" s="72" t="str">
        <f>'RESUMEN TOTAL'!T462</f>
        <v>APAGADO</v>
      </c>
      <c r="O423" s="72" t="str">
        <f>'RESUMEN TOTAL'!U462</f>
        <v>APAGADO</v>
      </c>
      <c r="P423" s="72" t="str">
        <f>'RESUMEN TOTAL'!V462</f>
        <v>APAGADO</v>
      </c>
      <c r="Q423" s="72" t="str">
        <f>'RESUMEN TOTAL'!W462</f>
        <v>APAGADO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VAU08</v>
      </c>
      <c r="C424" t="str">
        <f>'RESUMEN TOTAL'!D463</f>
        <v>MONTEVERDE Y WASHINGTON</v>
      </c>
      <c r="D424" s="30" t="str">
        <f>'RESUMEN TOTAL'!E463</f>
        <v>DOMO</v>
      </c>
      <c r="E424" s="30" t="str">
        <f>'RESUMEN TOTAL'!F463</f>
        <v>Fibra Optica</v>
      </c>
      <c r="F424" s="72">
        <f>'RESUMEN TOTAL'!L463</f>
        <v>0</v>
      </c>
      <c r="G424" s="72">
        <f>'RESUMEN TOTAL'!M463</f>
        <v>0</v>
      </c>
      <c r="H424" s="72">
        <f>'RESUMEN TOTAL'!N463</f>
        <v>0</v>
      </c>
      <c r="I424" s="72" t="str">
        <f>'RESUMEN TOTAL'!O463</f>
        <v>APAGADO</v>
      </c>
      <c r="J424" s="72">
        <f>'RESUMEN TOTAL'!P463</f>
        <v>0</v>
      </c>
      <c r="K424" s="72">
        <f>'RESUMEN TOTAL'!Q463</f>
        <v>0</v>
      </c>
      <c r="L424" s="72">
        <f>'RESUMEN TOTAL'!R463</f>
        <v>0</v>
      </c>
      <c r="M424" s="72">
        <f>'RESUMEN TOTAL'!S463</f>
        <v>0</v>
      </c>
      <c r="N424" s="72">
        <f>'RESUMEN TOTAL'!T463</f>
        <v>0</v>
      </c>
      <c r="O424" s="72">
        <f>'RESUMEN TOTAL'!U463</f>
        <v>0</v>
      </c>
      <c r="P424" s="72">
        <f>'RESUMEN TOTAL'!V463</f>
        <v>0</v>
      </c>
      <c r="Q424" s="72">
        <f>'RESUMEN TOTAL'!W463</f>
        <v>0</v>
      </c>
      <c r="R424" s="72">
        <f>'RESUMEN TOTAL'!X463</f>
        <v>0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TOTAL'!A465</f>
        <v>VILLA DEL PLATA</v>
      </c>
      <c r="B425" t="str">
        <f>'RESUMEN TOTAL'!B465</f>
        <v>VDPL02</v>
      </c>
      <c r="C425" t="str">
        <f>'RESUMEN TOTAL'!D465</f>
        <v>Thevenet y Berutti</v>
      </c>
      <c r="D425" s="30" t="str">
        <f>'RESUMEN TOTAL'!E465</f>
        <v>Domo</v>
      </c>
      <c r="E425" s="30" t="str">
        <f>'RESUMEN TOTAL'!F465</f>
        <v>Fibra Optica</v>
      </c>
      <c r="F425" s="72">
        <f>'RESUMEN TOTAL'!L465</f>
        <v>0</v>
      </c>
      <c r="G425" s="72">
        <f>'RESUMEN TOTAL'!M465</f>
        <v>0</v>
      </c>
      <c r="H425" s="72">
        <f>'RESUMEN TOTAL'!N465</f>
        <v>0</v>
      </c>
      <c r="I425" s="72">
        <f>'RESUMEN TOTAL'!O465</f>
        <v>0</v>
      </c>
      <c r="J425" s="72">
        <f>'RESUMEN TOTAL'!P465</f>
        <v>0</v>
      </c>
      <c r="K425" s="72">
        <f>'RESUMEN TOTAL'!Q465</f>
        <v>0</v>
      </c>
      <c r="L425" s="72">
        <f>'RESUMEN TOTAL'!R465</f>
        <v>0</v>
      </c>
      <c r="M425" s="72">
        <f>'RESUMEN TOTAL'!S465</f>
        <v>0</v>
      </c>
      <c r="N425" s="72">
        <f>'RESUMEN TOTAL'!T465</f>
        <v>0</v>
      </c>
      <c r="O425" s="72">
        <f>'RESUMEN TOTAL'!U465</f>
        <v>0</v>
      </c>
      <c r="P425" s="72">
        <f>'RESUMEN TOTAL'!V465</f>
        <v>0</v>
      </c>
      <c r="Q425" s="72">
        <f>'RESUMEN TOTAL'!W465</f>
        <v>0</v>
      </c>
      <c r="R425" s="72">
        <f>'RESUMEN TOTAL'!X465</f>
        <v>0</v>
      </c>
      <c r="S425" s="72">
        <f>'RESUMEN TOTAL'!Y465</f>
        <v>0</v>
      </c>
      <c r="T425" s="72">
        <f>'RESUMEN TOTAL'!Z465</f>
        <v>0</v>
      </c>
      <c r="U425" s="72">
        <f>'RESUMEN TOTAL'!AA465</f>
        <v>0</v>
      </c>
      <c r="V425" s="72">
        <f>'RESUMEN TOTAL'!AB465</f>
        <v>0</v>
      </c>
      <c r="W425" s="72">
        <f>'RESUMEN TOTAL'!AC465</f>
        <v>0</v>
      </c>
      <c r="X425" s="72">
        <f>'RESUMEN TOTAL'!AD465</f>
        <v>0</v>
      </c>
      <c r="Y425" s="72">
        <f>'RESUMEN TOTAL'!AE465</f>
        <v>0</v>
      </c>
      <c r="Z425" s="72">
        <f>'RESUMEN TOTAL'!AF465</f>
        <v>0</v>
      </c>
      <c r="AA425" s="72">
        <f>'RESUMEN TOTAL'!AG465</f>
        <v>0</v>
      </c>
      <c r="AB425" s="72">
        <f>'RESUMEN TOTAL'!AH465</f>
        <v>0</v>
      </c>
      <c r="AC425" s="72">
        <f>'RESUMEN TOTAL'!AI465</f>
        <v>0</v>
      </c>
      <c r="AD425" s="72">
        <f>'RESUMEN TOTAL'!AJ465</f>
        <v>0</v>
      </c>
      <c r="AE425" s="72">
        <f>'RESUMEN TOTAL'!AK465</f>
        <v>0</v>
      </c>
      <c r="AF425" s="72">
        <f>'RESUMEN TOTAL'!AL465</f>
        <v>0</v>
      </c>
      <c r="AG425" s="72">
        <f>'RESUMEN TOTAL'!AM465</f>
        <v>0</v>
      </c>
      <c r="AH425" s="72">
        <f>'RESUMEN TOTAL'!AN465</f>
        <v>0</v>
      </c>
      <c r="AI425" s="72">
        <f>'RESUMEN TOTAL'!AO465</f>
        <v>0</v>
      </c>
      <c r="AJ425" s="72">
        <f>'RESUMEN TOTAL'!AP465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VDPL03</v>
      </c>
      <c r="C426" t="str">
        <f>'RESUMEN TOTAL'!D466</f>
        <v>Neuquen y Alvarado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VDPL04</v>
      </c>
      <c r="C427" t="str">
        <f>'RESUMEN TOTAL'!D467</f>
        <v>Neuquen y Diagonal Guemes</v>
      </c>
      <c r="D427" s="30" t="str">
        <f>'RESUMEN TOTAL'!E467</f>
        <v>Domo</v>
      </c>
      <c r="E427" s="30" t="str">
        <f>'RESUMEN TOTAL'!F467</f>
        <v>Radio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VDPL05</v>
      </c>
      <c r="C428" t="str">
        <f>'RESUMEN TOTAL'!D468</f>
        <v>Ruta 36 y Abraham</v>
      </c>
      <c r="D428" s="30" t="str">
        <f>'RESUMEN TOTAL'!E468</f>
        <v>Domo</v>
      </c>
      <c r="E428" s="30" t="str">
        <f>'RESUMEN TOTAL'!F468</f>
        <v>PTO A FO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 t="str">
        <f>'RESUMEN TOTAL'!AB468</f>
        <v xml:space="preserve"> 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ANGELICA</v>
      </c>
      <c r="B429" t="str">
        <f>'RESUMEN TOTAL'!B469</f>
        <v>VDPL06</v>
      </c>
      <c r="C429" t="str">
        <f>'RESUMEN TOTAL'!D469</f>
        <v>Thevenet e/ Islas Orcadas y Gardel</v>
      </c>
      <c r="D429" s="30" t="str">
        <f>'RESUMEN TOTAL'!E469</f>
        <v>Domo</v>
      </c>
      <c r="E429" s="30" t="str">
        <f>'RESUMEN TOTAL'!F469</f>
        <v>GPON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>
        <f>'RESUMEN TOTAL'!AB469</f>
        <v>0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VDPL07</v>
      </c>
      <c r="C430" t="str">
        <f>'RESUMEN TOTAL'!D470</f>
        <v>THEVENET 2290</v>
      </c>
      <c r="D430" s="30" t="str">
        <f>'RESUMEN TOTAL'!E470</f>
        <v>Fija</v>
      </c>
      <c r="E430" s="30" t="str">
        <f>'RESUMEN TOTAL'!F470</f>
        <v>Fibra Optica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HUDSON</v>
      </c>
      <c r="B431" t="str">
        <f>'RESUMEN TOTAL'!B471</f>
        <v>VHS 01</v>
      </c>
      <c r="C431" t="str">
        <f>'RESUMEN TOTAL'!D471</f>
        <v>AV. HUDSON Y AV. LUJAN</v>
      </c>
      <c r="D431" s="30" t="str">
        <f>'RESUMEN TOTAL'!E471</f>
        <v>DOMO</v>
      </c>
      <c r="E431" s="30" t="str">
        <f>'RESUMEN TOTAL'!F471</f>
        <v>Fibra Optica</v>
      </c>
      <c r="F431" s="72" t="str">
        <f>'RESUMEN TOTAL'!L471</f>
        <v>APAGADO</v>
      </c>
      <c r="G431" s="72" t="str">
        <f>'RESUMEN TOTAL'!M471</f>
        <v>APAGADO</v>
      </c>
      <c r="H431" s="72" t="str">
        <f>'RESUMEN TOTAL'!N471</f>
        <v>APAGADO</v>
      </c>
      <c r="I431" s="72" t="str">
        <f>'RESUMEN TOTAL'!O471</f>
        <v>APAGADO</v>
      </c>
      <c r="J431" s="72" t="str">
        <f>'RESUMEN TOTAL'!P471</f>
        <v>APAGADO</v>
      </c>
      <c r="K431" s="72" t="str">
        <f>'RESUMEN TOTAL'!Q471</f>
        <v>APAGADO</v>
      </c>
      <c r="L431" s="72" t="str">
        <f>'RESUMEN TOTAL'!R471</f>
        <v>APAGADO</v>
      </c>
      <c r="M431" s="72" t="str">
        <f>'RESUMEN TOTAL'!S471</f>
        <v>APAGADO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02</v>
      </c>
      <c r="C432" t="str">
        <f>'RESUMEN TOTAL'!D472</f>
        <v>AV. LUJAN Y CALLE 909 A</v>
      </c>
      <c r="D432" s="30" t="str">
        <f>'RESUMEN TOTAL'!E472</f>
        <v>DOMO</v>
      </c>
      <c r="E432" s="30" t="str">
        <f>'RESUMEN TOTAL'!F472</f>
        <v>Fibra Optica</v>
      </c>
      <c r="F432" s="72">
        <f>'RESUMEN TOTAL'!L472</f>
        <v>0</v>
      </c>
      <c r="G432" s="72">
        <f>'RESUMEN TOTAL'!M472</f>
        <v>0</v>
      </c>
      <c r="H432" s="72">
        <f>'RESUMEN TOTAL'!N472</f>
        <v>0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03 (fija 1)</v>
      </c>
      <c r="C433" t="str">
        <f>'RESUMEN TOTAL'!D473</f>
        <v>AV. HUDSON Y LOS INMIGRANTES</v>
      </c>
      <c r="D433" s="30" t="str">
        <f>'RESUMEN TOTAL'!E473</f>
        <v>Fija</v>
      </c>
      <c r="E433" s="30" t="str">
        <f>'RESUMEN TOTAL'!F473</f>
        <v>Fibra Optica</v>
      </c>
      <c r="F433" s="72" t="str">
        <f>'RESUMEN TOTAL'!L473</f>
        <v>APAGADO</v>
      </c>
      <c r="G433" s="72" t="str">
        <f>'RESUMEN TOTAL'!M473</f>
        <v>APAGADO</v>
      </c>
      <c r="H433" s="72" t="str">
        <f>'RESUMEN TOTAL'!N473</f>
        <v>APAGADO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 t="str">
        <f>'RESUMEN TOTAL'!T473</f>
        <v>APAGADO</v>
      </c>
      <c r="O433" s="72" t="str">
        <f>'RESUMEN TOTAL'!U473</f>
        <v>APAGADO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04 (fija 2)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ARIAS</v>
      </c>
      <c r="B435" t="str">
        <f>'RESUMEN TOTAL'!B475</f>
        <v>VLA 01 (fija 1)</v>
      </c>
      <c r="C435" t="str">
        <f>'RESUMEN TOTAL'!D475</f>
        <v>820 Y SOLER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 t="str">
        <f>'RESUMEN TOTAL'!V475</f>
        <v>APAGADO</v>
      </c>
      <c r="Q435" s="72" t="str">
        <f>'RESUMEN TOTAL'!W475</f>
        <v>APAGADO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02</v>
      </c>
      <c r="C436" t="str">
        <f>'RESUMEN TOTAL'!D476</f>
        <v>ESPORA Y HUDSON</v>
      </c>
      <c r="D436" s="30" t="str">
        <f>'RESUMEN TOTAL'!E476</f>
        <v>DOMO</v>
      </c>
      <c r="E436" s="30" t="str">
        <f>'RESUMEN TOTAL'!F476</f>
        <v>Fibra Optica</v>
      </c>
      <c r="F436" s="72">
        <f>'RESUMEN TOTAL'!L476</f>
        <v>0</v>
      </c>
      <c r="G436" s="72">
        <f>'RESUMEN TOTAL'!M476</f>
        <v>0</v>
      </c>
      <c r="H436" s="72">
        <f>'RESUMEN TOTAL'!N476</f>
        <v>0</v>
      </c>
      <c r="I436" s="72">
        <f>'RESUMEN TOTAL'!O476</f>
        <v>0</v>
      </c>
      <c r="J436" s="72">
        <f>'RESUMEN TOTAL'!P476</f>
        <v>0</v>
      </c>
      <c r="K436" s="72">
        <f>'RESUMEN TOTAL'!Q476</f>
        <v>0</v>
      </c>
      <c r="L436" s="72">
        <f>'RESUMEN TOTAL'!R476</f>
        <v>0</v>
      </c>
      <c r="M436" s="72">
        <f>'RESUMEN TOTAL'!S476</f>
        <v>0</v>
      </c>
      <c r="N436" s="72">
        <f>'RESUMEN TOTAL'!T476</f>
        <v>0</v>
      </c>
      <c r="O436" s="72">
        <f>'RESUMEN TOTAL'!U476</f>
        <v>0</v>
      </c>
      <c r="P436" s="72">
        <f>'RESUMEN TOTAL'!V476</f>
        <v>0</v>
      </c>
      <c r="Q436" s="72">
        <f>'RESUMEN TOTAL'!W476</f>
        <v>0</v>
      </c>
      <c r="R436" s="72">
        <f>'RESUMEN TOTAL'!X476</f>
        <v>0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VLA03 (fija 2)</v>
      </c>
      <c r="C437" t="str">
        <f>'RESUMEN TOTAL'!D477</f>
        <v>820 y SOLER</v>
      </c>
      <c r="D437" s="30" t="str">
        <f>'RESUMEN TOTAL'!E477</f>
        <v>Fija</v>
      </c>
      <c r="E437" s="30" t="str">
        <f>'RESUMEN TOTAL'!F477</f>
        <v>Fibra Optica</v>
      </c>
      <c r="F437" s="72" t="str">
        <f>'RESUMEN TOTAL'!L477</f>
        <v>APAGADO</v>
      </c>
      <c r="G437" s="72" t="str">
        <f>'RESUMEN TOTAL'!M477</f>
        <v>APAGADO</v>
      </c>
      <c r="H437" s="72" t="str">
        <f>'RESUMEN TOTAL'!N477</f>
        <v>APAGADO</v>
      </c>
      <c r="I437" s="72" t="str">
        <f>'RESUMEN TOTAL'!O477</f>
        <v>APAGADO</v>
      </c>
      <c r="J437" s="72" t="str">
        <f>'RESUMEN TOTAL'!P477</f>
        <v>APAGADO</v>
      </c>
      <c r="K437" s="72" t="str">
        <f>'RESUMEN TOTAL'!Q477</f>
        <v>APAGADO</v>
      </c>
      <c r="L437" s="72" t="str">
        <f>'RESUMEN TOTAL'!R477</f>
        <v>APAGADO</v>
      </c>
      <c r="M437" s="72" t="str">
        <f>'RESUMEN TOTAL'!S477</f>
        <v>APAGADO</v>
      </c>
      <c r="N437" s="72" t="str">
        <f>'RESUMEN TOTAL'!T477</f>
        <v>APAGADO</v>
      </c>
      <c r="O437" s="72" t="str">
        <f>'RESUMEN TOTAL'!U477</f>
        <v>APAGADO</v>
      </c>
      <c r="P437" s="72" t="str">
        <f>'RESUMEN TOTAL'!V477</f>
        <v>APAGADO</v>
      </c>
      <c r="Q437" s="72" t="str">
        <f>'RESUMEN TOTAL'!W477</f>
        <v>APAGADO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VLA04</v>
      </c>
      <c r="C438" t="str">
        <f>'RESUMEN TOTAL'!D478</f>
        <v>ESPORA Y MARTIN GRASS</v>
      </c>
      <c r="D438" s="30" t="str">
        <f>'RESUMEN TOTAL'!E478</f>
        <v>DOMO</v>
      </c>
      <c r="E438" s="30" t="str">
        <f>'RESUMEN TOTAL'!F478</f>
        <v>Fibra Optica</v>
      </c>
      <c r="F438" s="72">
        <f>'RESUMEN TOTAL'!L478</f>
        <v>0</v>
      </c>
      <c r="G438" s="72">
        <f>'RESUMEN TOTAL'!M478</f>
        <v>0</v>
      </c>
      <c r="H438" s="72">
        <f>'RESUMEN TOTAL'!N478</f>
        <v>0</v>
      </c>
      <c r="I438" s="72">
        <f>'RESUMEN TOTAL'!O478</f>
        <v>0</v>
      </c>
      <c r="J438" s="72">
        <f>'RESUMEN TOTAL'!P478</f>
        <v>0</v>
      </c>
      <c r="K438" s="72">
        <f>'RESUMEN TOTAL'!Q478</f>
        <v>0</v>
      </c>
      <c r="L438" s="72">
        <f>'RESUMEN TOTAL'!R478</f>
        <v>0</v>
      </c>
      <c r="M438" s="72">
        <f>'RESUMEN TOTAL'!S478</f>
        <v>0</v>
      </c>
      <c r="N438" s="72">
        <f>'RESUMEN TOTAL'!T478</f>
        <v>0</v>
      </c>
      <c r="O438" s="72">
        <f>'RESUMEN TOTAL'!U478</f>
        <v>0</v>
      </c>
      <c r="P438" s="72">
        <f>'RESUMEN TOTAL'!V478</f>
        <v>0</v>
      </c>
      <c r="Q438" s="72">
        <f>'RESUMEN TOTAL'!W478</f>
        <v>0</v>
      </c>
      <c r="R438" s="72">
        <f>'RESUMEN TOTAL'!X478</f>
        <v>0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VLA05</v>
      </c>
      <c r="C439" t="str">
        <f>'RESUMEN TOTAL'!D479</f>
        <v>ESPORA Y 802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MONICA NUEVA</v>
      </c>
      <c r="B440" t="str">
        <f>'RESUMEN TOTAL'!B480</f>
        <v>VMO 02</v>
      </c>
      <c r="C440" t="str">
        <f>'RESUMEN TOTAL'!D480</f>
        <v>Rio Carapachay y Oroño</v>
      </c>
      <c r="D440" s="30" t="str">
        <f>'RESUMEN TOTAL'!E480</f>
        <v>Domo</v>
      </c>
      <c r="E440" s="30" t="str">
        <f>'RESUMEN TOTAL'!F480</f>
        <v>Radio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03 (fija 1)</v>
      </c>
      <c r="C441" t="str">
        <f>'RESUMEN TOTAL'!D481</f>
        <v>EVA PERON E/ OROÑO Y 734 A</v>
      </c>
      <c r="D441" s="30" t="str">
        <f>'RESUMEN TOTAL'!E481</f>
        <v>Fija</v>
      </c>
      <c r="E441" s="30" t="str">
        <f>'RESUMEN TOTAL'!F481</f>
        <v>Fibra Optica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04 (fija 2)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05</v>
      </c>
      <c r="C443" t="str">
        <f>'RESUMEN TOTAL'!D483</f>
        <v>OROÑO Y EVA PERON</v>
      </c>
      <c r="D443" s="30" t="str">
        <f>'RESUMEN TOTAL'!E483</f>
        <v>DOMO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VMO01</v>
      </c>
      <c r="C444" t="str">
        <f>'RESUMEN TOTAL'!D484</f>
        <v>Eva Peron y Monseñor de las Casas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VIEJA</v>
      </c>
      <c r="B445" t="str">
        <f>'RESUMEN TOTAL'!B485</f>
        <v>VMOV01 (fija 1)</v>
      </c>
      <c r="C445" t="str">
        <f>'RESUMEN TOTAL'!D485</f>
        <v>ATENAS E/ CAFFERATA Y ALEMANIA</v>
      </c>
      <c r="D445" s="30" t="str">
        <f>'RESUMEN TOTAL'!E485</f>
        <v>Fija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 02 (fija 2)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03 (fija 1)</v>
      </c>
      <c r="C447" t="str">
        <f>'RESUMEN TOTAL'!D487</f>
        <v>ROMA E/ HOLANDA Y CAFFERATA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VMOV04 (fija 2)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SAN LUIS</v>
      </c>
      <c r="B449" t="str">
        <f>'RESUMEN TOTAL'!B489</f>
        <v>VSL 01</v>
      </c>
      <c r="C449" t="str">
        <f>'RESUMEN TOTAL'!D489</f>
        <v>AV. HUDSON Y CACHEUTA</v>
      </c>
      <c r="D449" s="30" t="str">
        <f>'RESUMEN TOTAL'!E489</f>
        <v>DOMO</v>
      </c>
      <c r="E449" s="30" t="str">
        <f>'RESUMEN TOTAL'!F489</f>
        <v>Fibra Optica</v>
      </c>
      <c r="F449" s="72" t="str">
        <f>'RESUMEN TOTAL'!L489</f>
        <v>APAGADO</v>
      </c>
      <c r="G449" s="72" t="str">
        <f>'RESUMEN TOTAL'!M489</f>
        <v>APAGADO</v>
      </c>
      <c r="H449" s="72" t="str">
        <f>'RESUMEN TOTAL'!N489</f>
        <v>APAGADO</v>
      </c>
      <c r="I449" s="72" t="str">
        <f>'RESUMEN TOTAL'!O489</f>
        <v>APAGADO</v>
      </c>
      <c r="J449" s="72" t="str">
        <f>'RESUMEN TOTAL'!P489</f>
        <v>APAGADO</v>
      </c>
      <c r="K449" s="72" t="str">
        <f>'RESUMEN TOTAL'!Q489</f>
        <v>APAGADO</v>
      </c>
      <c r="L449" s="72" t="str">
        <f>'RESUMEN TOTAL'!R489</f>
        <v>APAGADO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SUSANA</v>
      </c>
      <c r="B450" t="str">
        <f>'RESUMEN TOTAL'!B490</f>
        <v>VSU01</v>
      </c>
      <c r="C450" t="str">
        <f>'RESUMEN TOTAL'!D490</f>
        <v>CJAL. JUAN BROWN Y SANTA FE</v>
      </c>
      <c r="D450" s="30" t="str">
        <f>'RESUMEN TOTAL'!E490</f>
        <v>DOMO</v>
      </c>
      <c r="E450" s="30" t="str">
        <f>'RESUMEN TOTAL'!F490</f>
        <v>Radio</v>
      </c>
      <c r="F450" s="72">
        <f>'RESUMEN TOTAL'!L490</f>
        <v>0</v>
      </c>
      <c r="G450" s="72">
        <f>'RESUMEN TOTAL'!M490</f>
        <v>0</v>
      </c>
      <c r="H450" s="72">
        <f>'RESUMEN TOTAL'!N490</f>
        <v>0</v>
      </c>
      <c r="I450" s="72">
        <f>'RESUMEN TOTAL'!O490</f>
        <v>0</v>
      </c>
      <c r="J450" s="72">
        <f>'RESUMEN TOTAL'!P490</f>
        <v>0</v>
      </c>
      <c r="K450" s="72">
        <f>'RESUMEN TOTAL'!Q490</f>
        <v>0</v>
      </c>
      <c r="L450" s="72">
        <f>'RESUMEN TOTAL'!R490</f>
        <v>0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 02</v>
      </c>
      <c r="C451" t="str">
        <f>'RESUMEN TOTAL'!D491</f>
        <v>CABELLO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03</v>
      </c>
      <c r="C452" t="str">
        <f>'RESUMEN TOTAL'!D492</f>
        <v>EE.UU Y SERRANO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04</v>
      </c>
      <c r="C453" t="str">
        <f>'RESUMEN TOTAL'!D493</f>
        <v>Aniceto Diaz y Cordoba</v>
      </c>
      <c r="D453" s="30" t="str">
        <f>'RESUMEN TOTAL'!E493</f>
        <v>fija</v>
      </c>
      <c r="E453" s="30" t="str">
        <f>'RESUMEN TOTAL'!F493</f>
        <v>Fibra Optica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05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06</v>
      </c>
      <c r="C455" t="str">
        <f>'RESUMEN TOTAL'!D495</f>
        <v>EE.UU Y BROWN</v>
      </c>
      <c r="D455" s="30" t="str">
        <f>'RESUMEN TOTAL'!E495</f>
        <v>DOMO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ZEBALLOS</v>
      </c>
      <c r="B456" t="str">
        <f>'RESUMEN TOTAL'!B496</f>
        <v>ZEB02</v>
      </c>
      <c r="C456" t="str">
        <f>'RESUMEN TOTAL'!D496</f>
        <v>Quinquela Martin y Sgo. del Estero</v>
      </c>
      <c r="D456" s="30" t="str">
        <f>'RESUMEN TOTAL'!E496</f>
        <v>Domo</v>
      </c>
      <c r="E456" s="30" t="str">
        <f>'RESUMEN TOTAL'!F496</f>
        <v>GPON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9 DE JULIO</v>
      </c>
      <c r="B457" t="str">
        <f>'RESUMEN TOTAL'!B497</f>
        <v>ZEB03</v>
      </c>
      <c r="C457" t="str">
        <f>'RESUMEN TOTAL'!D497</f>
        <v>Quinquela Martin y Pte. Peron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ZEBALLOS</v>
      </c>
      <c r="B458" t="str">
        <f>'RESUMEN TOTAL'!B498</f>
        <v>ZEB04</v>
      </c>
      <c r="C458" t="str">
        <f>'RESUMEN TOTAL'!D498</f>
        <v>THEVENET Y DIAGONAL GRANADEROS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 05</v>
      </c>
      <c r="C459" t="str">
        <f>'RESUMEN TOTAL'!D499</f>
        <v>DIAG. GRANADEROS Y 214 BIS</v>
      </c>
      <c r="D459" s="30" t="str">
        <f>'RESUMEN TOTAL'!E499</f>
        <v>Domo</v>
      </c>
      <c r="E459" s="30" t="str">
        <f>'RESUMEN TOTAL'!F499</f>
        <v>Radio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 s="30">
        <f>'RESUMEN TOTAL'!E585</f>
        <v>0</v>
      </c>
      <c r="E548" s="30">
        <f>'RESUMEN TOTAL'!F585</f>
        <v>0</v>
      </c>
      <c r="F548" s="72">
        <f>'RESUMEN TOTAL'!L585</f>
        <v>0</v>
      </c>
      <c r="G548" s="72">
        <f>'RESUMEN TOTAL'!M585</f>
        <v>0</v>
      </c>
      <c r="H548" s="72">
        <f>'RESUMEN TOTAL'!N585</f>
        <v>0</v>
      </c>
      <c r="I548" s="72">
        <f>'RESUMEN TOTAL'!O585</f>
        <v>0</v>
      </c>
      <c r="J548" s="72">
        <f>'RESUMEN TOTAL'!P585</f>
        <v>0</v>
      </c>
      <c r="K548" s="72">
        <f>'RESUMEN TOTAL'!Q585</f>
        <v>0</v>
      </c>
      <c r="L548" s="72">
        <f>'RESUMEN TOTAL'!R585</f>
        <v>0</v>
      </c>
      <c r="M548" s="72">
        <f>'RESUMEN TOTAL'!S585</f>
        <v>0</v>
      </c>
      <c r="N548" s="72">
        <f>'RESUMEN TOTAL'!T585</f>
        <v>0</v>
      </c>
      <c r="O548" s="72">
        <f>'RESUMEN TOTAL'!U585</f>
        <v>0</v>
      </c>
      <c r="P548" s="72">
        <f>'RESUMEN TOTAL'!V585</f>
        <v>0</v>
      </c>
      <c r="Q548" s="72">
        <f>'RESUMEN TOTAL'!W585</f>
        <v>0</v>
      </c>
      <c r="R548" s="72">
        <f>'RESUMEN TOTAL'!X585</f>
        <v>0</v>
      </c>
      <c r="S548" s="72">
        <f>'RESUMEN TOTAL'!Y585</f>
        <v>0</v>
      </c>
      <c r="T548" s="72">
        <f>'RESUMEN TOTAL'!Z585</f>
        <v>0</v>
      </c>
      <c r="U548" s="72">
        <f>'RESUMEN TOTAL'!AA585</f>
        <v>0</v>
      </c>
      <c r="V548" s="72">
        <f>'RESUMEN TOTAL'!AB585</f>
        <v>0</v>
      </c>
      <c r="W548" s="72">
        <f>'RESUMEN TOTAL'!AC585</f>
        <v>0</v>
      </c>
      <c r="X548" s="72">
        <f>'RESUMEN TOTAL'!AD585</f>
        <v>0</v>
      </c>
      <c r="Y548" s="72">
        <f>'RESUMEN TOTAL'!AE585</f>
        <v>0</v>
      </c>
      <c r="Z548" s="72">
        <f>'RESUMEN TOTAL'!AF585</f>
        <v>0</v>
      </c>
      <c r="AA548" s="72">
        <f>'RESUMEN TOTAL'!AG585</f>
        <v>0</v>
      </c>
      <c r="AB548" s="72">
        <f>'RESUMEN TOTAL'!AH585</f>
        <v>0</v>
      </c>
      <c r="AC548" s="72">
        <f>'RESUMEN TOTAL'!AI585</f>
        <v>0</v>
      </c>
      <c r="AD548" s="72">
        <f>'RESUMEN TOTAL'!AJ585</f>
        <v>0</v>
      </c>
      <c r="AE548" s="72">
        <f>'RESUMEN TOTAL'!AK585</f>
        <v>0</v>
      </c>
      <c r="AF548" s="72">
        <f>'RESUMEN TOTAL'!AL585</f>
        <v>0</v>
      </c>
      <c r="AG548" s="72">
        <f>'RESUMEN TOTAL'!AM585</f>
        <v>0</v>
      </c>
      <c r="AH548" s="72">
        <f>'RESUMEN TOTAL'!AN585</f>
        <v>0</v>
      </c>
      <c r="AI548" s="72">
        <f>'RESUMEN TOTAL'!AO585</f>
        <v>0</v>
      </c>
      <c r="AJ548" s="72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97" priority="97" operator="containsText" text="fija">
      <formula>NOT(ISERROR(SEARCH("fija",D4)))</formula>
    </cfRule>
    <cfRule type="containsText" dxfId="96" priority="98" operator="containsText" text="domo">
      <formula>NOT(ISERROR(SEARCH("domo",D4)))</formula>
    </cfRule>
    <cfRule type="cellIs" dxfId="95" priority="924" operator="equal">
      <formula>$D$7</formula>
    </cfRule>
  </conditionalFormatting>
  <conditionalFormatting sqref="D438">
    <cfRule type="containsText" dxfId="94" priority="69" operator="containsText" text="Radio">
      <formula>NOT(ISERROR(SEARCH("Radio",D438)))</formula>
    </cfRule>
    <cfRule type="containsText" dxfId="93" priority="68" operator="containsText" text="domo">
      <formula>NOT(ISERROR(SEARCH("domo",D438)))</formula>
    </cfRule>
    <cfRule type="containsText" dxfId="92" priority="67" operator="containsText" text="fija">
      <formula>NOT(ISERROR(SEARCH("fija",D438)))</formula>
    </cfRule>
  </conditionalFormatting>
  <conditionalFormatting sqref="D438:D439">
    <cfRule type="containsText" dxfId="91" priority="65" operator="containsText" text="domo">
      <formula>NOT(ISERROR(SEARCH("domo",D438)))</formula>
    </cfRule>
    <cfRule type="containsText" dxfId="90" priority="64" operator="containsText" text="fija">
      <formula>NOT(ISERROR(SEARCH("fija",D438)))</formula>
    </cfRule>
  </conditionalFormatting>
  <conditionalFormatting sqref="D439">
    <cfRule type="containsText" dxfId="89" priority="66" operator="containsText" text="Radio">
      <formula>NOT(ISERROR(SEARCH("Radio",D439)))</formula>
    </cfRule>
    <cfRule type="containsText" dxfId="88" priority="63" operator="containsText" text="domo">
      <formula>NOT(ISERROR(SEARCH("domo",D439)))</formula>
    </cfRule>
    <cfRule type="containsText" dxfId="87" priority="62" operator="containsText" text="fija">
      <formula>NOT(ISERROR(SEARCH("fija",D439)))</formula>
    </cfRule>
  </conditionalFormatting>
  <conditionalFormatting sqref="D442">
    <cfRule type="containsText" dxfId="86" priority="59" operator="containsText" text="fija">
      <formula>NOT(ISERROR(SEARCH("fija",D442)))</formula>
    </cfRule>
    <cfRule type="containsText" dxfId="85" priority="61" operator="containsText" text="Radio">
      <formula>NOT(ISERROR(SEARCH("Radio",D442)))</formula>
    </cfRule>
    <cfRule type="containsText" dxfId="84" priority="60" operator="containsText" text="domo">
      <formula>NOT(ISERROR(SEARCH("domo",D442)))</formula>
    </cfRule>
  </conditionalFormatting>
  <conditionalFormatting sqref="D442:D443">
    <cfRule type="containsText" dxfId="83" priority="56" operator="containsText" text="fija">
      <formula>NOT(ISERROR(SEARCH("fija",D442)))</formula>
    </cfRule>
    <cfRule type="containsText" dxfId="82" priority="57" operator="containsText" text="domo">
      <formula>NOT(ISERROR(SEARCH("domo",D442)))</formula>
    </cfRule>
  </conditionalFormatting>
  <conditionalFormatting sqref="D443:D444">
    <cfRule type="containsText" dxfId="81" priority="54" operator="containsText" text="domo">
      <formula>NOT(ISERROR(SEARCH("domo",D443)))</formula>
    </cfRule>
    <cfRule type="containsText" dxfId="80" priority="53" operator="containsText" text="fija">
      <formula>NOT(ISERROR(SEARCH("fija",D443)))</formula>
    </cfRule>
  </conditionalFormatting>
  <conditionalFormatting sqref="D444">
    <cfRule type="containsText" dxfId="79" priority="55" operator="containsText" text="Radio">
      <formula>NOT(ISERROR(SEARCH("Radio",D444)))</formula>
    </cfRule>
  </conditionalFormatting>
  <conditionalFormatting sqref="D444:D445">
    <cfRule type="containsText" dxfId="78" priority="50" operator="containsText" text="fija">
      <formula>NOT(ISERROR(SEARCH("fija",D444)))</formula>
    </cfRule>
    <cfRule type="containsText" dxfId="77" priority="51" operator="containsText" text="domo">
      <formula>NOT(ISERROR(SEARCH("domo",D444)))</formula>
    </cfRule>
  </conditionalFormatting>
  <conditionalFormatting sqref="D445">
    <cfRule type="containsText" dxfId="76" priority="48" operator="containsText" text="fija">
      <formula>NOT(ISERROR(SEARCH("fija",D445)))</formula>
    </cfRule>
    <cfRule type="containsText" dxfId="75" priority="49" operator="containsText" text="domo">
      <formula>NOT(ISERROR(SEARCH("domo",D445)))</formula>
    </cfRule>
    <cfRule type="containsText" dxfId="74" priority="52" operator="containsText" text="Radio">
      <formula>NOT(ISERROR(SEARCH("Radio",D445)))</formula>
    </cfRule>
  </conditionalFormatting>
  <conditionalFormatting sqref="D447">
    <cfRule type="containsText" dxfId="73" priority="171" operator="containsText" text="fija">
      <formula>NOT(ISERROR(SEARCH("fija",D447)))</formula>
    </cfRule>
    <cfRule type="containsText" dxfId="72" priority="172" operator="containsText" text="domo">
      <formula>NOT(ISERROR(SEARCH("domo",D447)))</formula>
    </cfRule>
  </conditionalFormatting>
  <conditionalFormatting sqref="D450:D452">
    <cfRule type="containsText" dxfId="71" priority="70" operator="containsText" text="fija">
      <formula>NOT(ISERROR(SEARCH("fija",D450)))</formula>
    </cfRule>
    <cfRule type="containsText" dxfId="70" priority="71" operator="containsText" text="domo">
      <formula>NOT(ISERROR(SEARCH("domo",D450)))</formula>
    </cfRule>
  </conditionalFormatting>
  <conditionalFormatting sqref="D641">
    <cfRule type="containsText" dxfId="69" priority="1" operator="containsText" text="Radio">
      <formula>NOT(ISERROR(SEARCH("Radio",D641)))</formula>
    </cfRule>
  </conditionalFormatting>
  <conditionalFormatting sqref="D4:E640">
    <cfRule type="containsText" dxfId="68" priority="58" operator="containsText" text="Radio">
      <formula>NOT(ISERROR(SEARCH("Radio",D4)))</formula>
    </cfRule>
  </conditionalFormatting>
  <conditionalFormatting sqref="D447:E447 D457:E640">
    <cfRule type="containsText" dxfId="67" priority="193" operator="containsText" text="Radio">
      <formula>NOT(ISERROR(SEARCH("Radio",D447)))</formula>
    </cfRule>
  </conditionalFormatting>
  <conditionalFormatting sqref="E4:E664">
    <cfRule type="cellIs" dxfId="66" priority="169" operator="equal">
      <formula>"PTP A FO"</formula>
    </cfRule>
    <cfRule type="cellIs" dxfId="65" priority="927" operator="equal">
      <formula>$E$10</formula>
    </cfRule>
    <cfRule type="cellIs" dxfId="64" priority="928" operator="equal">
      <formula>"PTP A FO"</formula>
    </cfRule>
  </conditionalFormatting>
  <conditionalFormatting sqref="E437">
    <cfRule type="cellIs" dxfId="63" priority="11" operator="equal">
      <formula>"PTP A FO"</formula>
    </cfRule>
    <cfRule type="containsText" dxfId="62" priority="10" operator="containsText" text="Radio">
      <formula>NOT(ISERROR(SEARCH("Radio",E437)))</formula>
    </cfRule>
  </conditionalFormatting>
  <conditionalFormatting sqref="E641:E664">
    <cfRule type="containsText" dxfId="61" priority="3" operator="containsText" text="Radio">
      <formula>NOT(ISERROR(SEARCH("Radio",E641)))</formula>
    </cfRule>
  </conditionalFormatting>
  <conditionalFormatting sqref="F5:AJ642">
    <cfRule type="notContainsText" dxfId="60" priority="13" operator="notContains" text="Caida">
      <formula>ISERROR(SEARCH("Caida",F5))</formula>
    </cfRule>
    <cfRule type="cellIs" dxfId="59" priority="8" operator="equal">
      <formula>"apagado"</formula>
    </cfRule>
    <cfRule type="cellIs" dxfId="58" priority="16" operator="greaterThan">
      <formula>0.8</formula>
    </cfRule>
    <cfRule type="cellIs" dxfId="57" priority="12" operator="equal">
      <formula>"APAGADO"</formula>
    </cfRule>
    <cfRule type="cellIs" dxfId="56" priority="15" operator="lessThan">
      <formula>0.8</formula>
    </cfRule>
    <cfRule type="containsText" dxfId="55" priority="14" operator="containsText" text="Caida">
      <formula>NOT(ISERROR(SEARCH("Caida",F5)))</formula>
    </cfRule>
  </conditionalFormatting>
  <conditionalFormatting sqref="H4">
    <cfRule type="cellIs" dxfId="54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2025-07-14T10:35:57Z</dcterms:modified>
</cp:coreProperties>
</file>