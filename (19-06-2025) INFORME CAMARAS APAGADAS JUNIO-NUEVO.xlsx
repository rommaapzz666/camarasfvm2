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340311E3-6855-4922-A7A1-01CABEDB335B}" xr6:coauthVersionLast="47" xr6:coauthVersionMax="47" xr10:uidLastSave="{00000000-0000-0000-0000-000000000000}"/>
  <bookViews>
    <workbookView xWindow="-120" yWindow="-120" windowWidth="20730" windowHeight="117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<sst xmlns="http://schemas.openxmlformats.org/spreadsheetml/2006/main" count="4784" uniqueCount="1522">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</sst>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zoomScale="55" zoomScaleNormal="55" workbookViewId="0">
      <pane xSplit="11" ySplit="7" topLeftCell="AD8" activePane="bottomRight" state="frozen"/>
      <selection pane="topRight" activeCell="M1" sqref="M1"/>
      <selection pane="bottomLeft" activeCell="A5" sqref="A5"/>
      <selection pane="bottomRight" activeCell="F413" sqref="F41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8.3175803402646506E-2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28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20</v>
      </c>
      <c r="AC5" s="136">
        <f>COUNTIFS(AC8:AC600, "=APAGADO",F8:F600,"=RADIO")</f>
        <v>15</v>
      </c>
      <c r="AD5" s="136">
        <f>COUNTIFS(AD8:AD600, "=APAGADO",F8:F600,"=RADIO")</f>
        <v>10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6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12</v>
      </c>
      <c r="J10" s="31">
        <f t="shared" si="6"/>
        <v>16</v>
      </c>
      <c r="K10" s="32">
        <f t="shared" si="7"/>
        <v>0.42857142857142855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 t="s">
        <v>1489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12</v>
      </c>
      <c r="J11" s="31">
        <f t="shared" si="6"/>
        <v>16</v>
      </c>
      <c r="K11" s="32">
        <f t="shared" si="7"/>
        <v>0.42857142857142855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 t="s">
        <v>1489</v>
      </c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12</v>
      </c>
      <c r="J13" s="31">
        <f t="shared" si="6"/>
        <v>16</v>
      </c>
      <c r="K13" s="32">
        <f t="shared" si="7"/>
        <v>0.42857142857142855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 t="s">
        <v>1489</v>
      </c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15</v>
      </c>
      <c r="J28" s="31">
        <f t="shared" si="6"/>
        <v>13</v>
      </c>
      <c r="K28" s="32">
        <f t="shared" si="7"/>
        <v>0.5357142857142857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 t="s">
        <v>1489</v>
      </c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12</v>
      </c>
      <c r="J29" s="31">
        <f t="shared" si="6"/>
        <v>16</v>
      </c>
      <c r="K29" s="32">
        <f t="shared" si="7"/>
        <v>0.42857142857142855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 t="s">
        <v>1489</v>
      </c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13</v>
      </c>
      <c r="J30" s="31">
        <f t="shared" si="6"/>
        <v>15</v>
      </c>
      <c r="K30" s="32">
        <f t="shared" si="7"/>
        <v>0.4642857142857143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 t="s">
        <v>1489</v>
      </c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13</v>
      </c>
      <c r="J31" s="31">
        <f t="shared" si="6"/>
        <v>15</v>
      </c>
      <c r="K31" s="32">
        <f t="shared" si="7"/>
        <v>0.4642857142857143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 t="s">
        <v>1489</v>
      </c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12</v>
      </c>
      <c r="J37" s="31">
        <f t="shared" si="6"/>
        <v>16</v>
      </c>
      <c r="K37" s="32">
        <f t="shared" si="7"/>
        <v>0.42857142857142855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 t="s">
        <v>1489</v>
      </c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14</v>
      </c>
      <c r="J52" s="31">
        <f t="shared" si="6"/>
        <v>14</v>
      </c>
      <c r="K52" s="32">
        <f t="shared" si="7"/>
        <v>0.5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 t="s">
        <v>1489</v>
      </c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12</v>
      </c>
      <c r="J56" s="31">
        <f t="shared" si="6"/>
        <v>16</v>
      </c>
      <c r="K56" s="32">
        <f t="shared" si="7"/>
        <v>0.42857142857142855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 t="s">
        <v>1489</v>
      </c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23</v>
      </c>
      <c r="J57" s="31">
        <f t="shared" si="6"/>
        <v>5</v>
      </c>
      <c r="K57" s="32">
        <f t="shared" si="7"/>
        <v>0.8214285714285714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 t="s">
        <v>1489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 t="s">
        <v>1489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12</v>
      </c>
      <c r="J121" s="31">
        <f t="shared" si="9"/>
        <v>16</v>
      </c>
      <c r="K121" s="32">
        <f t="shared" si="10"/>
        <v>0.42857142857142855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 t="s">
        <v>1489</v>
      </c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12</v>
      </c>
      <c r="J128" s="31">
        <f t="shared" si="9"/>
        <v>16</v>
      </c>
      <c r="K128" s="32">
        <f t="shared" si="10"/>
        <v>0.42857142857142855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 t="s">
        <v>1489</v>
      </c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12</v>
      </c>
      <c r="J131" s="31">
        <f t="shared" si="9"/>
        <v>16</v>
      </c>
      <c r="K131" s="32">
        <f t="shared" si="10"/>
        <v>0.42857142857142855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 t="s">
        <v>1489</v>
      </c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12</v>
      </c>
      <c r="J132" s="31">
        <f t="shared" si="9"/>
        <v>16</v>
      </c>
      <c r="K132" s="32">
        <f t="shared" si="10"/>
        <v>0.42857142857142855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 t="s">
        <v>1489</v>
      </c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25</v>
      </c>
      <c r="J143" s="31">
        <f t="shared" si="12"/>
        <v>3</v>
      </c>
      <c r="K143" s="32">
        <f t="shared" si="13"/>
        <v>0.8928571428571429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25</v>
      </c>
      <c r="J152" s="31">
        <f t="shared" si="12"/>
        <v>3</v>
      </c>
      <c r="K152" s="32">
        <f t="shared" si="13"/>
        <v>0.8928571428571429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25</v>
      </c>
      <c r="J153" s="31">
        <f t="shared" si="12"/>
        <v>3</v>
      </c>
      <c r="K153" s="32">
        <f t="shared" si="13"/>
        <v>0.8928571428571429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26</v>
      </c>
      <c r="J154" s="31">
        <f t="shared" si="12"/>
        <v>2</v>
      </c>
      <c r="K154" s="32">
        <f t="shared" si="13"/>
        <v>0.9285714285714286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12</v>
      </c>
      <c r="J159" s="31">
        <f t="shared" si="12"/>
        <v>16</v>
      </c>
      <c r="K159" s="32">
        <f t="shared" si="13"/>
        <v>0.42857142857142855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 t="s">
        <v>1489</v>
      </c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23</v>
      </c>
      <c r="J169" s="31">
        <f t="shared" si="12"/>
        <v>5</v>
      </c>
      <c r="K169" s="32">
        <f t="shared" si="13"/>
        <v>0.8214285714285714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 t="s">
        <v>1489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21</v>
      </c>
      <c r="J177" s="31">
        <f t="shared" si="12"/>
        <v>7</v>
      </c>
      <c r="K177" s="32">
        <f t="shared" si="13"/>
        <v>0.75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13</v>
      </c>
      <c r="J207" s="31">
        <f t="shared" si="15"/>
        <v>15</v>
      </c>
      <c r="K207" s="32">
        <f t="shared" si="16"/>
        <v>0.4642857142857143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 t="s">
        <v>1489</v>
      </c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12</v>
      </c>
      <c r="J210" s="31">
        <f t="shared" si="15"/>
        <v>16</v>
      </c>
      <c r="K210" s="32">
        <f t="shared" si="16"/>
        <v>0.42857142857142855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 t="s">
        <v>1489</v>
      </c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 t="s">
        <v>1489</v>
      </c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13</v>
      </c>
      <c r="J263" s="31">
        <f t="shared" si="15"/>
        <v>15</v>
      </c>
      <c r="K263" s="32">
        <f t="shared" si="16"/>
        <v>0.4642857142857143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 t="s">
        <v>1489</v>
      </c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12</v>
      </c>
      <c r="J297" s="31">
        <f t="shared" si="18"/>
        <v>16</v>
      </c>
      <c r="K297" s="32">
        <f t="shared" si="19"/>
        <v>0.42857142857142855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 t="s">
        <v>1489</v>
      </c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12</v>
      </c>
      <c r="J298" s="31">
        <f t="shared" si="18"/>
        <v>16</v>
      </c>
      <c r="K298" s="32">
        <f t="shared" si="19"/>
        <v>0.42857142857142855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 t="s">
        <v>1489</v>
      </c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12</v>
      </c>
      <c r="J299" s="31">
        <f t="shared" si="18"/>
        <v>16</v>
      </c>
      <c r="K299" s="32">
        <f t="shared" si="19"/>
        <v>0.42857142857142855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 t="s">
        <v>1489</v>
      </c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12</v>
      </c>
      <c r="J300" s="31">
        <f t="shared" si="18"/>
        <v>16</v>
      </c>
      <c r="K300" s="32">
        <f t="shared" si="19"/>
        <v>0.42857142857142855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 t="s">
        <v>1489</v>
      </c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12</v>
      </c>
      <c r="J301" s="31">
        <f t="shared" si="18"/>
        <v>16</v>
      </c>
      <c r="K301" s="32">
        <f t="shared" si="19"/>
        <v>0.42857142857142855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 t="s">
        <v>1489</v>
      </c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12</v>
      </c>
      <c r="J317" s="31">
        <f t="shared" si="18"/>
        <v>16</v>
      </c>
      <c r="K317" s="32">
        <f t="shared" si="19"/>
        <v>0.42857142857142855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 t="s">
        <v>1489</v>
      </c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12</v>
      </c>
      <c r="J322" s="31">
        <f t="shared" si="18"/>
        <v>16</v>
      </c>
      <c r="K322" s="32">
        <f t="shared" si="19"/>
        <v>0.42857142857142855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 t="s">
        <v>1489</v>
      </c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13</v>
      </c>
      <c r="J323" s="31">
        <f t="shared" si="18"/>
        <v>15</v>
      </c>
      <c r="K323" s="32">
        <f t="shared" si="19"/>
        <v>0.4642857142857143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12</v>
      </c>
      <c r="J350" s="31">
        <f t="shared" si="21"/>
        <v>16</v>
      </c>
      <c r="K350" s="32">
        <f t="shared" si="22"/>
        <v>0.42857142857142855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 t="s">
        <v>1489</v>
      </c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12</v>
      </c>
      <c r="J355" s="31">
        <f t="shared" si="21"/>
        <v>16</v>
      </c>
      <c r="K355" s="32">
        <f t="shared" si="22"/>
        <v>0.42857142857142855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 t="s">
        <v>1489</v>
      </c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12</v>
      </c>
      <c r="J358" s="31">
        <f t="shared" si="21"/>
        <v>16</v>
      </c>
      <c r="K358" s="32">
        <f t="shared" si="22"/>
        <v>0.42857142857142855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 t="s">
        <v>1489</v>
      </c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12</v>
      </c>
      <c r="J359" s="31">
        <f t="shared" si="21"/>
        <v>16</v>
      </c>
      <c r="K359" s="32">
        <f t="shared" si="22"/>
        <v>0.42857142857142855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 t="s">
        <v>1489</v>
      </c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24</v>
      </c>
      <c r="J371" s="31">
        <f t="shared" si="21"/>
        <v>4</v>
      </c>
      <c r="K371" s="32">
        <f t="shared" si="22"/>
        <v>0.8571428571428571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25</v>
      </c>
      <c r="J372" s="31">
        <f t="shared" si="21"/>
        <v>3</v>
      </c>
      <c r="K372" s="32">
        <f t="shared" si="22"/>
        <v>0.8928571428571429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24</v>
      </c>
      <c r="J373" s="31">
        <f t="shared" si="21"/>
        <v>4</v>
      </c>
      <c r="K373" s="32">
        <f t="shared" si="22"/>
        <v>0.8571428571428571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20</v>
      </c>
      <c r="J376" s="31">
        <f t="shared" si="21"/>
        <v>8</v>
      </c>
      <c r="K376" s="32">
        <f t="shared" si="22"/>
        <v>0.7142857142857143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 t="s">
        <v>1489</v>
      </c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 t="s">
        <v>1489</v>
      </c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22</v>
      </c>
      <c r="J385" s="31">
        <f t="shared" si="21"/>
        <v>6</v>
      </c>
      <c r="K385" s="32">
        <f t="shared" si="22"/>
        <v>0.7857142857142857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13</v>
      </c>
      <c r="J389" s="31">
        <f t="shared" si="21"/>
        <v>15</v>
      </c>
      <c r="K389" s="32">
        <f t="shared" si="22"/>
        <v>0.4642857142857143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 t="s">
        <v>1489</v>
      </c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23</v>
      </c>
      <c r="J399" s="31">
        <f t="shared" si="24"/>
        <v>5</v>
      </c>
      <c r="K399" s="32">
        <f t="shared" si="25"/>
        <v>0.8214285714285714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 t="s">
        <v>1489</v>
      </c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23</v>
      </c>
      <c r="J400" s="31">
        <f t="shared" si="24"/>
        <v>5</v>
      </c>
      <c r="K400" s="32">
        <f t="shared" si="25"/>
        <v>0.8214285714285714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 t="s">
        <v>1489</v>
      </c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27</v>
      </c>
      <c r="J412" s="31">
        <f t="shared" si="24"/>
        <v>1</v>
      </c>
      <c r="K412" s="32">
        <f t="shared" si="25"/>
        <v>0.9642857142857143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 t="s">
        <v>1489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27</v>
      </c>
      <c r="J413" s="31">
        <f t="shared" si="24"/>
        <v>1</v>
      </c>
      <c r="K413" s="32">
        <f t="shared" si="25"/>
        <v>0.9642857142857143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 t="s">
        <v>1489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12</v>
      </c>
      <c r="J452" s="31">
        <f t="shared" si="24"/>
        <v>16</v>
      </c>
      <c r="K452" s="32">
        <f t="shared" si="25"/>
        <v>0.42857142857142855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 t="s">
        <v>1489</v>
      </c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12</v>
      </c>
      <c r="J453" s="31">
        <f t="shared" si="24"/>
        <v>16</v>
      </c>
      <c r="K453" s="32">
        <f t="shared" si="25"/>
        <v>0.42857142857142855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 t="s">
        <v>1489</v>
      </c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12</v>
      </c>
      <c r="J465" s="31">
        <f t="shared" si="27"/>
        <v>16</v>
      </c>
      <c r="K465" s="32">
        <f t="shared" si="28"/>
        <v>0.42857142857142855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 t="s">
        <v>1489</v>
      </c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12</v>
      </c>
      <c r="J467" s="31">
        <f t="shared" si="27"/>
        <v>16</v>
      </c>
      <c r="K467" s="32">
        <f t="shared" si="28"/>
        <v>0.42857142857142855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 t="s">
        <v>1489</v>
      </c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abSelected="1" topLeftCell="A191" zoomScale="110" zoomScaleNormal="110" workbookViewId="0">
      <selection activeCell="G204" sqref="G20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20</v>
      </c>
      <c r="D182" s="109">
        <f>D181-C182</f>
        <v>22</v>
      </c>
      <c r="E182" s="57">
        <f>D182/C178</f>
        <v>4.536082474226804E-2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12</v>
      </c>
      <c r="E183" s="76">
        <f>D183/C178</f>
        <v>2.4742268041237112E-2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9.0721649484536079E-2</v>
      </c>
      <c r="F201" s="139"/>
    </row>
    <row r="202" spans="2:6" x14ac:dyDescent="0.25">
      <c r="B202" s="55" t="s">
        <v>1254</v>
      </c>
      <c r="C202" s="69">
        <v>2</v>
      </c>
      <c r="D202" s="109">
        <f>C201-C202</f>
        <v>42</v>
      </c>
      <c r="E202" s="57">
        <f>D202/C200</f>
        <v>8.6597938144329895E-2</v>
      </c>
      <c r="F202" s="139"/>
    </row>
    <row r="203" spans="2:6" x14ac:dyDescent="0.25">
      <c r="B203" s="55" t="s">
        <v>1255</v>
      </c>
      <c r="C203" s="69">
        <v>6</v>
      </c>
      <c r="D203" s="109">
        <f>D202-C203</f>
        <v>36</v>
      </c>
      <c r="E203" s="57">
        <f>D203/C200</f>
        <v>7.422680412371134E-2</v>
      </c>
      <c r="F203" s="139"/>
    </row>
    <row r="204" spans="2:6" x14ac:dyDescent="0.25">
      <c r="B204" s="55" t="s">
        <v>16</v>
      </c>
      <c r="C204" s="100">
        <f>'RESUMEN TOTAL'!AC5</f>
        <v>15</v>
      </c>
      <c r="D204" s="109">
        <f>D203-C204</f>
        <v>21</v>
      </c>
      <c r="E204" s="57">
        <f>D204/C200</f>
        <v>4.3298969072164947E-2</v>
      </c>
      <c r="F204" s="139"/>
    </row>
    <row r="205" spans="2:6" ht="15.75" thickBot="1" x14ac:dyDescent="0.3">
      <c r="B205" s="58" t="s">
        <v>1492</v>
      </c>
      <c r="C205" s="137">
        <v>10</v>
      </c>
      <c r="D205" s="110">
        <f>D204-C205</f>
        <v>11</v>
      </c>
      <c r="E205" s="76">
        <f>D205/C200</f>
        <v>2.268041237113402E-2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v>19</v>
      </c>
      <c r="E207" s="111">
        <f>D207/C207</f>
        <v>7.2243346007604556E-2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120" zoomScaleNormal="120" workbookViewId="0">
      <selection activeCell="X6" sqref="X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19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 t="s">
        <v>1520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25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 t="s">
        <v>1521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 t="str">
        <f>'RESUMEN TOTAL'!AD121</f>
        <v>APAGADO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 t="str">
        <f>'RESUMEN TOTAL'!AD128</f>
        <v>APAGADO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 t="str">
        <f>'RESUMEN TOTAL'!AD131</f>
        <v>APAGADO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 t="str">
        <f>'RESUMEN TOTAL'!AD132</f>
        <v>APAGADO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 t="str">
        <f>'RESUMEN TOTAL'!AD159</f>
        <v>APAGADO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 t="str">
        <f>'RESUMEN TOTAL'!AD169</f>
        <v>APAGADO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 t="str">
        <f>'RESUMEN TOTAL'!AD207</f>
        <v>APAGADO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 t="str">
        <f>'RESUMEN TOTAL'!AD210</f>
        <v>APAGADO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 t="str">
        <f>'RESUMEN TOTAL'!AD249</f>
        <v>APAGADO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 t="str">
        <f>'RESUMEN TOTAL'!AD263</f>
        <v>APAGADO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 t="str">
        <f>'RESUMEN TOTAL'!AD300</f>
        <v>APAGADO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 t="str">
        <f>'RESUMEN TOTAL'!AD301</f>
        <v>APAGADO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 t="str">
        <f>'RESUMEN TOTAL'!AD317</f>
        <v>APAGADO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 t="str">
        <f>'RESUMEN TOTAL'!AD322</f>
        <v>APAGADO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 t="str">
        <f>'RESUMEN TOTAL'!AD350</f>
        <v>APAGADO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 t="str">
        <f>'RESUMEN TOTAL'!AD355</f>
        <v>APAGADO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 t="str">
        <f>'RESUMEN TOTAL'!AD358</f>
        <v>APAGADO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 t="str">
        <f>'RESUMEN TOTAL'!AD359</f>
        <v>APAGADO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 t="str">
        <f>'RESUMEN TOTAL'!AD376</f>
        <v>APAGADO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 t="str">
        <f>'RESUMEN TOTAL'!AD379</f>
        <v>APAGADO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 t="str">
        <f>'RESUMEN TOTAL'!AD389</f>
        <v>APAGADO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 t="str">
        <f>'RESUMEN TOTAL'!AD399</f>
        <v>APAGADO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 t="str">
        <f>'RESUMEN TOTAL'!AD400</f>
        <v>APAGADO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 t="str">
        <f>'RESUMEN TOTAL'!AD412</f>
        <v>APAGADO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 t="str">
        <f>'RESUMEN TOTAL'!AD413</f>
        <v>APAGADO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 t="str">
        <f>'RESUMEN TOTAL'!AD452</f>
        <v>APAGADO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 t="str">
        <f>'RESUMEN TOTAL'!AD453</f>
        <v>APAGADO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 t="str">
        <f>'RESUMEN TOTAL'!AD465</f>
        <v>APAGADO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 t="str">
        <f>'RESUMEN TOTAL'!AD467</f>
        <v>APAGADO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2025-06-19T11:21:46Z</dcterms:modified>
</cp:coreProperties>
</file>