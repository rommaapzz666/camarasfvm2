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FFB01562-AB1E-406F-A410-EB6354D474A0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0" i="2" l="1"/>
  <c r="J149" i="2"/>
  <c r="I150" i="2"/>
  <c r="I149" i="2"/>
  <c r="K149" i="2" s="1"/>
  <c r="J367" i="2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0" i="2" l="1"/>
  <c r="K366" i="2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<sst xmlns="http://schemas.openxmlformats.org/spreadsheetml/2006/main" count="5386" uniqueCount="1567">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</sst>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0.17712177121771217</c:v>
                      </c:pt>
                      <c:pt idx="16">
                        <c:v>0.18819188191881919</c:v>
                      </c:pt>
                      <c:pt idx="17">
                        <c:v>0.1918819188191882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0.19313304721030042</c:v>
                      </c:pt>
                      <c:pt idx="16">
                        <c:v>0.18454935622317598</c:v>
                      </c:pt>
                      <c:pt idx="17">
                        <c:v>0.15879828326180256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0.17712177121771217</c:v>
                </c:pt>
                <c:pt idx="16">
                  <c:v>0.18819188191881919</c:v>
                </c:pt>
                <c:pt idx="17">
                  <c:v>0.1918819188191882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0.19313304721030042</c:v>
                </c:pt>
                <c:pt idx="16">
                  <c:v>0.18454935622317598</c:v>
                </c:pt>
                <c:pt idx="17">
                  <c:v>0.15879828326180256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0.17712177121771217</c:v>
                      </c:pt>
                      <c:pt idx="16">
                        <c:v>0.18819188191881919</c:v>
                      </c:pt>
                      <c:pt idx="17">
                        <c:v>0.1918819188191882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0.19313304721030042</c:v>
                      </c:pt>
                      <c:pt idx="16">
                        <c:v>0.18454935622317598</c:v>
                      </c:pt>
                      <c:pt idx="17">
                        <c:v>0.15879828326180256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0.17712177121771217</c:v>
                </c:pt>
                <c:pt idx="16">
                  <c:v>0.18819188191881919</c:v>
                </c:pt>
                <c:pt idx="17">
                  <c:v>0.1918819188191882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0.19313304721030042</c:v>
                </c:pt>
                <c:pt idx="16">
                  <c:v>0.18454935622317598</c:v>
                </c:pt>
                <c:pt idx="17">
                  <c:v>0.15879828326180256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zoomScale="53" zoomScaleNormal="53" workbookViewId="0">
      <pane xSplit="11" ySplit="7" topLeftCell="AC301" activePane="bottomRight" state="frozen"/>
      <selection pane="topRight" activeCell="M1" sqref="M1"/>
      <selection pane="bottomLeft" activeCell="A5" sqref="A5"/>
      <selection pane="bottomRight" activeCell="D322" sqref="D322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0.1265164644714038</v>
      </c>
      <c r="T1" s="3">
        <f t="shared" si="0"/>
        <v>0.11733800350262696</v>
      </c>
      <c r="U1" s="3">
        <f t="shared" si="0"/>
        <v>0.12041884816753927</v>
      </c>
      <c r="V1" s="3">
        <f t="shared" si="0"/>
        <v>0.12347826086956522</v>
      </c>
      <c r="W1" s="3">
        <f t="shared" si="0"/>
        <v>0.11578947368421053</v>
      </c>
      <c r="X1" s="3">
        <f t="shared" si="0"/>
        <v>0.13402061855670103</v>
      </c>
      <c r="Y1" s="3"/>
      <c r="Z1" s="3">
        <f t="shared" ref="Z1:AO1" si="1">(Z3)/(Z2+Z3)</f>
        <v>0.13253012048192772</v>
      </c>
      <c r="AA1" s="3">
        <f t="shared" si="1"/>
        <v>0.15577889447236182</v>
      </c>
      <c r="AB1" s="3">
        <f t="shared" si="1"/>
        <v>0.15719063545150502</v>
      </c>
      <c r="AC1" s="3">
        <f t="shared" si="1"/>
        <v>0.15008431703204048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48</v>
      </c>
      <c r="T4" s="10">
        <f>COUNTIFS(T8:T619, "=APAGADO",F8:F619,"=Fibra Optica")</f>
        <v>42</v>
      </c>
      <c r="U4" s="10">
        <f>COUNTIFS(U8:U619, "=APAGADO",F8:F619,"=Fibra Optica")</f>
        <v>42</v>
      </c>
      <c r="V4" s="10">
        <f>COUNTIFS(V8:V619, "=APAGADO",F8:F619,"=Fibra Optica")</f>
        <v>43</v>
      </c>
      <c r="W4" s="10">
        <f>COUNTIFS(W8:W619, "=APAGADO",F8:F619,"=Fibra Optica")</f>
        <v>42</v>
      </c>
      <c r="X4" s="10">
        <f>COUNTIFS(X8:X619, "=APAGADO",F8:F619,"=Fibra Optica")</f>
        <v>49</v>
      </c>
      <c r="Y4" s="10">
        <f>COUNTIFS(Y8:Y619, "=APAGADO",F8:F619,"=Fibra Optica")</f>
        <v>71</v>
      </c>
      <c r="Z4" s="10">
        <f>COUNTIFS(Z8:Z619, "=APAGADO",F8:F619,"=Fibra Optica")</f>
        <v>50</v>
      </c>
      <c r="AA4" s="10">
        <f>COUNTIFS(AA8:AA619, "=APAGADO",F8:F619,"=Fibra Optica")</f>
        <v>64</v>
      </c>
      <c r="AB4" s="10">
        <f>COUNTIFS(AB8:AB619, "=APAGADO",F8:F619,"=Fibra Optica")</f>
        <v>62</v>
      </c>
      <c r="AC4" s="10">
        <f>COUNTIFS(AC8:AC619, "=APAGADO",F8:F619,"=Fibra Optica")</f>
        <v>58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17</v>
      </c>
      <c r="T5" s="134">
        <f>COUNTIFS(T8:T619, "=APAGADO",F8:F619,"=RADIO")</f>
        <v>16</v>
      </c>
      <c r="U5" s="134">
        <f>COUNTIFS(U8:U619, "=APAGADO",F8:F619,"=RADIO")</f>
        <v>18</v>
      </c>
      <c r="V5" s="134">
        <f>COUNTIFS(V8:V619, "=APAGADO",F8:F619,"=RADIO")</f>
        <v>20</v>
      </c>
      <c r="W5" s="134">
        <f>COUNTIFS(W8:W619, "=APAGADO",F8:F619,"=RADIO")</f>
        <v>16</v>
      </c>
      <c r="X5" s="134">
        <f>COUNTIFS(X8:X619, "=APAGADO",F8:F619,"=RADIO")</f>
        <v>17</v>
      </c>
      <c r="Y5" s="134">
        <f>COUNTIFS(Y8:Y619, "=APAGADO",F8:F619,"=RADIO")</f>
        <v>21</v>
      </c>
      <c r="Z5" s="134">
        <f>COUNTIFS(Z8:Z619, "=APAGADO",F8:F619,"=RADIO")</f>
        <v>15</v>
      </c>
      <c r="AA5" s="134">
        <f>COUNTIFS(AA8:AA619, "=APAGADO",F8:F619,"=RADIO")</f>
        <v>15</v>
      </c>
      <c r="AB5" s="134">
        <f>COUNTIFS(AB8:AB619, "=APAGADO",F8:F619,"=RADIO")</f>
        <v>16</v>
      </c>
      <c r="AC5" s="134">
        <f>COUNTIFS(AC8:AC619, "=APAGADO",F8:F619,"=RADIO")</f>
        <v>17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7</v>
      </c>
      <c r="T6" s="10">
        <f>COUNTIFS(T8:T619, "=APAGADO",F8:F619,"=PTO A FO")</f>
        <v>7</v>
      </c>
      <c r="U6" s="10">
        <f>COUNTIFS(U8:U619, "=APAGADO",F8:F619,"=PTO A FO")</f>
        <v>7</v>
      </c>
      <c r="V6" s="10">
        <f>COUNTIFS(V8:V619, "=APAGADO",F8:F619,"=PTO A FO")</f>
        <v>6</v>
      </c>
      <c r="W6" s="10">
        <f>COUNTIFS(W8:W619, "=APAGADO",F8:F619,"=PTO A FO")</f>
        <v>6</v>
      </c>
      <c r="X6" s="10">
        <f>COUNTIFS(X8:X619, "=APAGADO",F8:F619,"=PTO A FO")</f>
        <v>8</v>
      </c>
      <c r="Y6" s="10">
        <f>COUNTIFS(Y8:Y619, "=APAGADO",F8:F619,"=PTO A FO")</f>
        <v>9</v>
      </c>
      <c r="Z6" s="10">
        <f>COUNTIFS(Z8:Z619, "=APAGADO",F8:F619,"=PTO A FO")</f>
        <v>8</v>
      </c>
      <c r="AA6" s="10">
        <f>COUNTIFS(AA8:AA619, "=APAGADO",F8:F619,"=PTO A FO")</f>
        <v>8</v>
      </c>
      <c r="AB6" s="10">
        <f>COUNTIFS(AB8:AB619, "=APAGADO",F8:F619,"=PTO A FO")</f>
        <v>9</v>
      </c>
      <c r="AC6" s="10">
        <f>COUNTIFS(AC8:AC619, "=APAGADO",F8:F619,"=PTO A FO")</f>
        <v>9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1530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12</v>
      </c>
      <c r="J12" s="31">
        <f t="shared" si="5"/>
        <v>16</v>
      </c>
      <c r="K12" s="32">
        <f t="shared" si="6"/>
        <v>0.42857142857142855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 t="s">
        <v>1530</v>
      </c>
      <c r="Z12" s="70" t="s">
        <v>1530</v>
      </c>
      <c r="AA12" s="70" t="s">
        <v>1530</v>
      </c>
      <c r="AB12" s="70" t="s">
        <v>1530</v>
      </c>
      <c r="AC12" s="70" t="s">
        <v>1530</v>
      </c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11</v>
      </c>
      <c r="J17" s="31">
        <f t="shared" si="5"/>
        <v>17</v>
      </c>
      <c r="K17" s="32">
        <f t="shared" si="6"/>
        <v>0.39285714285714285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 t="s">
        <v>1530</v>
      </c>
      <c r="Z17" s="70" t="s">
        <v>1530</v>
      </c>
      <c r="AA17" s="70" t="s">
        <v>1530</v>
      </c>
      <c r="AB17" s="70" t="s">
        <v>1530</v>
      </c>
      <c r="AC17" s="70" t="s">
        <v>1530</v>
      </c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11</v>
      </c>
      <c r="J18" s="31">
        <f t="shared" si="5"/>
        <v>17</v>
      </c>
      <c r="K18" s="32">
        <f t="shared" si="6"/>
        <v>0.39285714285714285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 t="s">
        <v>1530</v>
      </c>
      <c r="Z18" s="70" t="s">
        <v>1530</v>
      </c>
      <c r="AA18" s="70" t="s">
        <v>1530</v>
      </c>
      <c r="AB18" s="70" t="s">
        <v>1530</v>
      </c>
      <c r="AC18" s="70" t="s">
        <v>1530</v>
      </c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26</v>
      </c>
      <c r="J21" s="31">
        <f t="shared" si="5"/>
        <v>2</v>
      </c>
      <c r="K21" s="32">
        <f t="shared" si="6"/>
        <v>0.9285714285714286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1530</v>
      </c>
      <c r="AC21" s="70" t="s">
        <v>1530</v>
      </c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25</v>
      </c>
      <c r="J23" s="31">
        <f t="shared" si="5"/>
        <v>3</v>
      </c>
      <c r="K23" s="32">
        <f t="shared" si="6"/>
        <v>0.8928571428571429</v>
      </c>
      <c r="L23" s="70"/>
      <c r="M23" s="70"/>
      <c r="N23" s="70"/>
      <c r="O23" s="70"/>
      <c r="P23" s="70"/>
      <c r="Q23" s="70"/>
      <c r="R23" s="70"/>
      <c r="S23" s="70"/>
      <c r="T23" s="70"/>
      <c r="U23" s="70" t="s">
        <v>1530</v>
      </c>
      <c r="V23" s="70" t="s">
        <v>1530</v>
      </c>
      <c r="W23" s="70"/>
      <c r="X23" s="70"/>
      <c r="Y23" s="70" t="s">
        <v>1530</v>
      </c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25</v>
      </c>
      <c r="J24" s="31">
        <f t="shared" si="5"/>
        <v>3</v>
      </c>
      <c r="K24" s="32">
        <f t="shared" si="6"/>
        <v>0.8928571428571429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 t="s">
        <v>1530</v>
      </c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25</v>
      </c>
      <c r="J25" s="31">
        <f t="shared" si="5"/>
        <v>3</v>
      </c>
      <c r="K25" s="32">
        <f t="shared" si="6"/>
        <v>0.8928571428571429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 t="s">
        <v>1530</v>
      </c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25</v>
      </c>
      <c r="J26" s="31">
        <f t="shared" si="5"/>
        <v>3</v>
      </c>
      <c r="K26" s="32">
        <f t="shared" si="6"/>
        <v>0.8928571428571429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 t="s">
        <v>1530</v>
      </c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27</v>
      </c>
      <c r="J27" s="31">
        <f t="shared" si="5"/>
        <v>1</v>
      </c>
      <c r="K27" s="32">
        <f t="shared" si="6"/>
        <v>0.9642857142857143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 t="s">
        <v>1530</v>
      </c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1530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11</v>
      </c>
      <c r="J30" s="138">
        <f t="shared" si="5"/>
        <v>17</v>
      </c>
      <c r="K30" s="139">
        <f t="shared" si="6"/>
        <v>0.39285714285714285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 t="s">
        <v>1530</v>
      </c>
      <c r="T30" s="140" t="s">
        <v>1530</v>
      </c>
      <c r="U30" s="140" t="s">
        <v>1530</v>
      </c>
      <c r="V30" s="140" t="s">
        <v>1530</v>
      </c>
      <c r="W30" s="140" t="s">
        <v>1530</v>
      </c>
      <c r="X30" s="140" t="s">
        <v>1530</v>
      </c>
      <c r="Y30" s="140" t="s">
        <v>1530</v>
      </c>
      <c r="Z30" s="140" t="s">
        <v>1530</v>
      </c>
      <c r="AA30" s="140" t="s">
        <v>1530</v>
      </c>
      <c r="AB30" s="140" t="s">
        <v>1530</v>
      </c>
      <c r="AC30" s="140" t="s">
        <v>1530</v>
      </c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11</v>
      </c>
      <c r="J39" s="31">
        <f t="shared" si="5"/>
        <v>17</v>
      </c>
      <c r="K39" s="32">
        <f t="shared" si="6"/>
        <v>0.39285714285714285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 t="s">
        <v>1530</v>
      </c>
      <c r="T39" s="70" t="s">
        <v>1530</v>
      </c>
      <c r="U39" s="70" t="s">
        <v>1530</v>
      </c>
      <c r="V39" s="70" t="s">
        <v>1530</v>
      </c>
      <c r="W39" s="70" t="s">
        <v>1530</v>
      </c>
      <c r="X39" s="70" t="s">
        <v>1530</v>
      </c>
      <c r="Y39" s="70" t="s">
        <v>1530</v>
      </c>
      <c r="Z39" s="70" t="s">
        <v>1530</v>
      </c>
      <c r="AA39" s="70" t="s">
        <v>1530</v>
      </c>
      <c r="AB39" s="70" t="s">
        <v>1530</v>
      </c>
      <c r="AC39" s="70" t="s">
        <v>1530</v>
      </c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11</v>
      </c>
      <c r="J40" s="31">
        <f t="shared" si="5"/>
        <v>17</v>
      </c>
      <c r="K40" s="32">
        <f t="shared" si="6"/>
        <v>0.39285714285714285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 t="s">
        <v>1530</v>
      </c>
      <c r="Z40" s="70" t="s">
        <v>1530</v>
      </c>
      <c r="AA40" s="70" t="s">
        <v>1530</v>
      </c>
      <c r="AB40" s="70" t="s">
        <v>1530</v>
      </c>
      <c r="AC40" s="70" t="s">
        <v>1530</v>
      </c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22</v>
      </c>
      <c r="J54" s="31">
        <f t="shared" si="5"/>
        <v>6</v>
      </c>
      <c r="K54" s="32">
        <f t="shared" si="6"/>
        <v>0.7857142857142857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 t="s">
        <v>1530</v>
      </c>
      <c r="Z54" s="70" t="s">
        <v>1530</v>
      </c>
      <c r="AA54" s="70" t="s">
        <v>1530</v>
      </c>
      <c r="AB54" s="70" t="s">
        <v>1530</v>
      </c>
      <c r="AC54" s="70" t="s">
        <v>1530</v>
      </c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11</v>
      </c>
      <c r="J55" s="31">
        <f t="shared" si="5"/>
        <v>17</v>
      </c>
      <c r="K55" s="32">
        <f t="shared" si="6"/>
        <v>0.39285714285714285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 t="s">
        <v>1530</v>
      </c>
      <c r="T55" s="70" t="s">
        <v>1530</v>
      </c>
      <c r="U55" s="70" t="s">
        <v>1530</v>
      </c>
      <c r="V55" s="70" t="s">
        <v>1530</v>
      </c>
      <c r="W55" s="70" t="s">
        <v>1530</v>
      </c>
      <c r="X55" s="70" t="s">
        <v>1530</v>
      </c>
      <c r="Y55" s="70" t="s">
        <v>1530</v>
      </c>
      <c r="Z55" s="70" t="s">
        <v>1530</v>
      </c>
      <c r="AA55" s="70" t="s">
        <v>1530</v>
      </c>
      <c r="AB55" s="70" t="s">
        <v>1530</v>
      </c>
      <c r="AC55" s="70" t="s">
        <v>1530</v>
      </c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16</v>
      </c>
      <c r="J56" s="31">
        <f t="shared" si="5"/>
        <v>12</v>
      </c>
      <c r="K56" s="32">
        <f t="shared" si="6"/>
        <v>0.5714285714285714</v>
      </c>
      <c r="L56" s="70"/>
      <c r="M56" s="70"/>
      <c r="N56" s="70"/>
      <c r="O56" s="70"/>
      <c r="P56" s="70"/>
      <c r="Q56" s="70"/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 t="s">
        <v>1530</v>
      </c>
      <c r="Z56" s="70" t="s">
        <v>1530</v>
      </c>
      <c r="AA56" s="70" t="s">
        <v>1530</v>
      </c>
      <c r="AB56" s="70" t="s">
        <v>1530</v>
      </c>
      <c r="AC56" s="70" t="s">
        <v>1530</v>
      </c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11</v>
      </c>
      <c r="J58" s="31">
        <f t="shared" si="5"/>
        <v>17</v>
      </c>
      <c r="K58" s="32">
        <f t="shared" si="6"/>
        <v>0.39285714285714285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 t="s">
        <v>1530</v>
      </c>
      <c r="T58" s="70" t="s">
        <v>1530</v>
      </c>
      <c r="U58" s="70" t="s">
        <v>1530</v>
      </c>
      <c r="V58" s="70" t="s">
        <v>1530</v>
      </c>
      <c r="W58" s="70" t="s">
        <v>1530</v>
      </c>
      <c r="X58" s="70" t="s">
        <v>1530</v>
      </c>
      <c r="Y58" s="70" t="s">
        <v>1530</v>
      </c>
      <c r="Z58" s="70" t="s">
        <v>1530</v>
      </c>
      <c r="AA58" s="70" t="s">
        <v>1530</v>
      </c>
      <c r="AB58" s="70" t="s">
        <v>1530</v>
      </c>
      <c r="AC58" s="70" t="s">
        <v>1530</v>
      </c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25</v>
      </c>
      <c r="J77" s="31">
        <f t="shared" si="8"/>
        <v>3</v>
      </c>
      <c r="K77" s="32">
        <f t="shared" si="9"/>
        <v>0.8928571428571429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 t="s">
        <v>1530</v>
      </c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21</v>
      </c>
      <c r="J85" s="31">
        <f t="shared" si="8"/>
        <v>7</v>
      </c>
      <c r="K85" s="32">
        <f t="shared" si="9"/>
        <v>0.75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 t="s">
        <v>1530</v>
      </c>
      <c r="Y85" s="70" t="s">
        <v>1530</v>
      </c>
      <c r="Z85" s="70" t="s">
        <v>1530</v>
      </c>
      <c r="AA85" s="70" t="s">
        <v>1530</v>
      </c>
      <c r="AB85" s="70" t="s">
        <v>1530</v>
      </c>
      <c r="AC85" s="70" t="s">
        <v>1530</v>
      </c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24</v>
      </c>
      <c r="J90" s="31">
        <f t="shared" si="8"/>
        <v>4</v>
      </c>
      <c r="K90" s="32">
        <f t="shared" si="9"/>
        <v>0.8571428571428571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 t="s">
        <v>1530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21</v>
      </c>
      <c r="J94" s="31">
        <f t="shared" si="8"/>
        <v>7</v>
      </c>
      <c r="K94" s="32">
        <f t="shared" si="9"/>
        <v>0.75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 t="s">
        <v>1530</v>
      </c>
      <c r="Y94" s="70" t="s">
        <v>1530</v>
      </c>
      <c r="Z94" s="70" t="s">
        <v>1530</v>
      </c>
      <c r="AA94" s="70" t="s">
        <v>1530</v>
      </c>
      <c r="AB94" s="70" t="s">
        <v>1530</v>
      </c>
      <c r="AC94" s="70" t="s">
        <v>1530</v>
      </c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20</v>
      </c>
      <c r="J95" s="31">
        <f t="shared" si="8"/>
        <v>8</v>
      </c>
      <c r="K95" s="32">
        <f t="shared" si="9"/>
        <v>0.7142857142857143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 t="s">
        <v>1530</v>
      </c>
      <c r="T95" s="70" t="s">
        <v>1530</v>
      </c>
      <c r="U95" s="70" t="s">
        <v>1530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20</v>
      </c>
      <c r="J105" s="31">
        <f t="shared" si="8"/>
        <v>8</v>
      </c>
      <c r="K105" s="32">
        <f t="shared" si="9"/>
        <v>0.7142857142857143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 t="s">
        <v>1530</v>
      </c>
      <c r="Z105" s="70" t="s">
        <v>1530</v>
      </c>
      <c r="AA105" s="70" t="s">
        <v>1530</v>
      </c>
      <c r="AB105" s="70" t="s">
        <v>1530</v>
      </c>
      <c r="AC105" s="70" t="s">
        <v>1530</v>
      </c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20</v>
      </c>
      <c r="J106" s="31">
        <f t="shared" si="8"/>
        <v>8</v>
      </c>
      <c r="K106" s="32">
        <f t="shared" si="9"/>
        <v>0.7142857142857143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1530</v>
      </c>
      <c r="Z106" s="70" t="s">
        <v>1530</v>
      </c>
      <c r="AA106" s="70" t="s">
        <v>1530</v>
      </c>
      <c r="AB106" s="70" t="s">
        <v>1530</v>
      </c>
      <c r="AC106" s="70" t="s">
        <v>1530</v>
      </c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21</v>
      </c>
      <c r="J107" s="31">
        <f t="shared" si="8"/>
        <v>7</v>
      </c>
      <c r="K107" s="32">
        <f t="shared" si="9"/>
        <v>0.75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 t="s">
        <v>1530</v>
      </c>
      <c r="Y107" s="70" t="s">
        <v>1530</v>
      </c>
      <c r="Z107" s="70" t="s">
        <v>1530</v>
      </c>
      <c r="AA107" s="70" t="s">
        <v>1530</v>
      </c>
      <c r="AB107" s="70" t="s">
        <v>1530</v>
      </c>
      <c r="AC107" s="70" t="s">
        <v>1530</v>
      </c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11</v>
      </c>
      <c r="J108" s="31">
        <f t="shared" si="8"/>
        <v>17</v>
      </c>
      <c r="K108" s="32">
        <f t="shared" si="9"/>
        <v>0.39285714285714285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 t="s">
        <v>1530</v>
      </c>
      <c r="T108" s="70" t="s">
        <v>1530</v>
      </c>
      <c r="U108" s="70" t="s">
        <v>1530</v>
      </c>
      <c r="V108" s="70" t="s">
        <v>1530</v>
      </c>
      <c r="W108" s="70" t="s">
        <v>1530</v>
      </c>
      <c r="X108" s="70" t="s">
        <v>1530</v>
      </c>
      <c r="Y108" s="70" t="s">
        <v>1530</v>
      </c>
      <c r="Z108" s="70" t="s">
        <v>1530</v>
      </c>
      <c r="AA108" s="70" t="s">
        <v>1530</v>
      </c>
      <c r="AB108" s="70" t="s">
        <v>1530</v>
      </c>
      <c r="AC108" s="70" t="s">
        <v>1530</v>
      </c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25</v>
      </c>
      <c r="J109" s="31">
        <f t="shared" si="8"/>
        <v>3</v>
      </c>
      <c r="K109" s="32">
        <f t="shared" si="9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 t="s">
        <v>1530</v>
      </c>
      <c r="X109" s="70"/>
      <c r="Y109" s="70" t="s">
        <v>1530</v>
      </c>
      <c r="Z109" s="70" t="s">
        <v>1530</v>
      </c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 t="s">
        <v>1530</v>
      </c>
      <c r="W126" s="70" t="s">
        <v>1530</v>
      </c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11</v>
      </c>
      <c r="J129" s="31">
        <f t="shared" si="8"/>
        <v>17</v>
      </c>
      <c r="K129" s="32">
        <f t="shared" si="9"/>
        <v>0.39285714285714285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 t="s">
        <v>1530</v>
      </c>
      <c r="T129" s="70" t="s">
        <v>1530</v>
      </c>
      <c r="U129" s="70" t="s">
        <v>1530</v>
      </c>
      <c r="V129" s="70" t="s">
        <v>1530</v>
      </c>
      <c r="W129" s="70" t="s">
        <v>1530</v>
      </c>
      <c r="X129" s="70" t="s">
        <v>1530</v>
      </c>
      <c r="Y129" s="70" t="s">
        <v>1530</v>
      </c>
      <c r="Z129" s="70" t="s">
        <v>1530</v>
      </c>
      <c r="AA129" s="70" t="s">
        <v>1530</v>
      </c>
      <c r="AB129" s="70" t="s">
        <v>1530</v>
      </c>
      <c r="AC129" s="70" t="s">
        <v>1530</v>
      </c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21</v>
      </c>
      <c r="J131" s="31">
        <f t="shared" si="8"/>
        <v>7</v>
      </c>
      <c r="K131" s="32">
        <f t="shared" si="9"/>
        <v>0.75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 t="s">
        <v>1530</v>
      </c>
      <c r="Y131" s="70" t="s">
        <v>1530</v>
      </c>
      <c r="Z131" s="70" t="s">
        <v>1530</v>
      </c>
      <c r="AA131" s="70" t="s">
        <v>1530</v>
      </c>
      <c r="AB131" s="70" t="s">
        <v>1530</v>
      </c>
      <c r="AC131" s="70" t="s">
        <v>1530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 t="s">
        <v>1530</v>
      </c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11</v>
      </c>
      <c r="J136" s="145">
        <f t="shared" si="8"/>
        <v>17</v>
      </c>
      <c r="K136" s="146">
        <f t="shared" si="9"/>
        <v>0.39285714285714285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 t="s">
        <v>1530</v>
      </c>
      <c r="T136" s="97" t="s">
        <v>1530</v>
      </c>
      <c r="U136" s="97" t="s">
        <v>1530</v>
      </c>
      <c r="V136" s="97" t="s">
        <v>1530</v>
      </c>
      <c r="W136" s="97" t="s">
        <v>1530</v>
      </c>
      <c r="X136" s="97" t="s">
        <v>1530</v>
      </c>
      <c r="Y136" s="97" t="s">
        <v>1530</v>
      </c>
      <c r="Z136" s="97" t="s">
        <v>1530</v>
      </c>
      <c r="AA136" s="97" t="s">
        <v>1530</v>
      </c>
      <c r="AB136" s="97" t="s">
        <v>1530</v>
      </c>
      <c r="AC136" s="97" t="s">
        <v>1530</v>
      </c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11</v>
      </c>
      <c r="J139" s="31">
        <f t="shared" si="8"/>
        <v>17</v>
      </c>
      <c r="K139" s="32">
        <f t="shared" si="9"/>
        <v>0.39285714285714285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 t="s">
        <v>1530</v>
      </c>
      <c r="T139" s="70" t="s">
        <v>1530</v>
      </c>
      <c r="U139" s="70" t="s">
        <v>1530</v>
      </c>
      <c r="V139" s="70" t="s">
        <v>1530</v>
      </c>
      <c r="W139" s="70" t="s">
        <v>1530</v>
      </c>
      <c r="X139" s="70" t="s">
        <v>1530</v>
      </c>
      <c r="Y139" s="70" t="s">
        <v>1530</v>
      </c>
      <c r="Z139" s="70" t="s">
        <v>1530</v>
      </c>
      <c r="AA139" s="70" t="s">
        <v>1530</v>
      </c>
      <c r="AB139" s="70" t="s">
        <v>1530</v>
      </c>
      <c r="AC139" s="70" t="s">
        <v>1530</v>
      </c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11</v>
      </c>
      <c r="J140" s="31">
        <f t="shared" si="8"/>
        <v>17</v>
      </c>
      <c r="K140" s="32">
        <f t="shared" si="9"/>
        <v>0.39285714285714285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 t="s">
        <v>1530</v>
      </c>
      <c r="T140" s="70" t="s">
        <v>1530</v>
      </c>
      <c r="U140" s="70" t="s">
        <v>1530</v>
      </c>
      <c r="V140" s="70" t="s">
        <v>1530</v>
      </c>
      <c r="W140" s="70" t="s">
        <v>1530</v>
      </c>
      <c r="X140" s="70" t="s">
        <v>1530</v>
      </c>
      <c r="Y140" s="70" t="s">
        <v>1530</v>
      </c>
      <c r="Z140" s="70" t="s">
        <v>1530</v>
      </c>
      <c r="AA140" s="70" t="s">
        <v>1530</v>
      </c>
      <c r="AB140" s="70" t="s">
        <v>1530</v>
      </c>
      <c r="AC140" s="70" t="s">
        <v>1530</v>
      </c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21</v>
      </c>
      <c r="J145" s="31">
        <f t="shared" si="11"/>
        <v>7</v>
      </c>
      <c r="K145" s="32">
        <f t="shared" si="12"/>
        <v>0.75</v>
      </c>
      <c r="L145" s="70"/>
      <c r="M145" s="70"/>
      <c r="N145" s="70"/>
      <c r="O145" s="70"/>
      <c r="P145" s="70"/>
      <c r="Q145" s="70"/>
      <c r="R145" s="70"/>
      <c r="S145" s="70" t="s">
        <v>1530</v>
      </c>
      <c r="T145" s="70" t="s">
        <v>1530</v>
      </c>
      <c r="U145" s="70" t="s">
        <v>1530</v>
      </c>
      <c r="V145" s="70" t="s">
        <v>1530</v>
      </c>
      <c r="W145" s="70"/>
      <c r="X145" s="70"/>
      <c r="Y145" s="70"/>
      <c r="Z145" s="70"/>
      <c r="AA145" s="70" t="s">
        <v>1530</v>
      </c>
      <c r="AB145" s="70" t="s">
        <v>1530</v>
      </c>
      <c r="AC145" s="70" t="s">
        <v>1530</v>
      </c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22</v>
      </c>
      <c r="J146" s="31">
        <f t="shared" si="11"/>
        <v>6</v>
      </c>
      <c r="K146" s="32">
        <f t="shared" si="12"/>
        <v>0.7857142857142857</v>
      </c>
      <c r="L146" s="70"/>
      <c r="M146" s="70"/>
      <c r="N146" s="70"/>
      <c r="O146" s="70"/>
      <c r="P146" s="70"/>
      <c r="Q146" s="70"/>
      <c r="R146" s="70"/>
      <c r="S146" s="70" t="s">
        <v>1530</v>
      </c>
      <c r="T146" s="70" t="s">
        <v>1530</v>
      </c>
      <c r="U146" s="70" t="s">
        <v>1530</v>
      </c>
      <c r="V146" s="70" t="s">
        <v>1530</v>
      </c>
      <c r="W146" s="70"/>
      <c r="X146" s="70"/>
      <c r="Y146" s="70"/>
      <c r="Z146" s="70"/>
      <c r="AA146" s="70" t="s">
        <v>1530</v>
      </c>
      <c r="AB146" s="70" t="s">
        <v>1530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26</v>
      </c>
      <c r="J147" s="31">
        <f t="shared" si="11"/>
        <v>2</v>
      </c>
      <c r="K147" s="32">
        <f t="shared" si="12"/>
        <v>0.9285714285714286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 t="s">
        <v>1530</v>
      </c>
      <c r="AB147" s="70" t="s">
        <v>1530</v>
      </c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22</v>
      </c>
      <c r="J148" s="31">
        <f t="shared" si="11"/>
        <v>6</v>
      </c>
      <c r="K148" s="32">
        <f t="shared" si="12"/>
        <v>0.7857142857142857</v>
      </c>
      <c r="L148" s="70"/>
      <c r="M148" s="70"/>
      <c r="N148" s="70"/>
      <c r="O148" s="70"/>
      <c r="P148" s="70"/>
      <c r="Q148" s="70"/>
      <c r="R148" s="70"/>
      <c r="S148" s="70" t="s">
        <v>1530</v>
      </c>
      <c r="T148" s="70" t="s">
        <v>1530</v>
      </c>
      <c r="U148" s="70" t="s">
        <v>1530</v>
      </c>
      <c r="V148" s="70" t="s">
        <v>1530</v>
      </c>
      <c r="W148" s="70"/>
      <c r="X148" s="70"/>
      <c r="Y148" s="70"/>
      <c r="Z148" s="70"/>
      <c r="AA148" s="70" t="s">
        <v>1530</v>
      </c>
      <c r="AB148" s="70" t="s">
        <v>1530</v>
      </c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>
        <f t="shared" si="10"/>
        <v>26</v>
      </c>
      <c r="J149" s="31">
        <f t="shared" si="11"/>
        <v>2</v>
      </c>
      <c r="K149" s="32">
        <f t="shared" si="12"/>
        <v>0.9285714285714286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 t="s">
        <v>1530</v>
      </c>
      <c r="AB149" s="70" t="s">
        <v>1530</v>
      </c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>
        <f t="shared" si="10"/>
        <v>26</v>
      </c>
      <c r="J150" s="31">
        <f t="shared" si="11"/>
        <v>2</v>
      </c>
      <c r="K150" s="32">
        <f t="shared" si="12"/>
        <v>0.9285714285714286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 t="s">
        <v>1530</v>
      </c>
      <c r="AB150" s="70" t="s">
        <v>1530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27</v>
      </c>
      <c r="J152" s="31">
        <f t="shared" si="11"/>
        <v>1</v>
      </c>
      <c r="K152" s="32">
        <f t="shared" si="12"/>
        <v>0.9642857142857143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 t="s">
        <v>1530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11</v>
      </c>
      <c r="J171" s="142">
        <f t="shared" si="11"/>
        <v>17</v>
      </c>
      <c r="K171" s="143">
        <f t="shared" si="12"/>
        <v>0.39285714285714285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 t="s">
        <v>1530</v>
      </c>
      <c r="T171" s="144" t="s">
        <v>1530</v>
      </c>
      <c r="U171" s="144" t="s">
        <v>1530</v>
      </c>
      <c r="V171" s="144" t="s">
        <v>1530</v>
      </c>
      <c r="W171" s="144" t="s">
        <v>1530</v>
      </c>
      <c r="X171" s="144" t="s">
        <v>1530</v>
      </c>
      <c r="Y171" s="144" t="s">
        <v>1530</v>
      </c>
      <c r="Z171" s="144" t="s">
        <v>1530</v>
      </c>
      <c r="AA171" s="144" t="s">
        <v>1530</v>
      </c>
      <c r="AB171" s="144" t="s">
        <v>1530</v>
      </c>
      <c r="AC171" s="144" t="s">
        <v>1530</v>
      </c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24</v>
      </c>
      <c r="J175" s="31">
        <f t="shared" si="11"/>
        <v>4</v>
      </c>
      <c r="K175" s="32">
        <f t="shared" si="12"/>
        <v>0.8571428571428571</v>
      </c>
      <c r="L175" s="70"/>
      <c r="M175" s="70"/>
      <c r="N175" s="70"/>
      <c r="O175" s="70"/>
      <c r="P175" s="70"/>
      <c r="Q175" s="70"/>
      <c r="R175" s="70"/>
      <c r="S175" s="70" t="s">
        <v>1530</v>
      </c>
      <c r="T175" s="70" t="s">
        <v>1530</v>
      </c>
      <c r="U175" s="70"/>
      <c r="V175" s="70"/>
      <c r="W175" s="70"/>
      <c r="X175" s="70"/>
      <c r="Y175" s="70"/>
      <c r="Z175" s="70"/>
      <c r="AA175" s="70"/>
      <c r="AB175" s="70" t="s">
        <v>1530</v>
      </c>
      <c r="AC175" s="70" t="s">
        <v>1530</v>
      </c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25</v>
      </c>
      <c r="J176" s="31">
        <f t="shared" si="11"/>
        <v>3</v>
      </c>
      <c r="K176" s="32">
        <f t="shared" si="12"/>
        <v>0.8928571428571429</v>
      </c>
      <c r="L176" s="70"/>
      <c r="M176" s="70"/>
      <c r="N176" s="70"/>
      <c r="O176" s="70"/>
      <c r="P176" s="70"/>
      <c r="Q176" s="70"/>
      <c r="R176" s="70"/>
      <c r="S176" s="70" t="s">
        <v>1530</v>
      </c>
      <c r="T176" s="70" t="s">
        <v>1530</v>
      </c>
      <c r="U176" s="70"/>
      <c r="V176" s="70"/>
      <c r="W176" s="70"/>
      <c r="X176" s="70"/>
      <c r="Y176" s="70"/>
      <c r="Z176" s="70"/>
      <c r="AA176" s="70"/>
      <c r="AB176" s="70"/>
      <c r="AC176" s="70" t="s">
        <v>1530</v>
      </c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14</v>
      </c>
      <c r="J177" s="31">
        <f t="shared" si="11"/>
        <v>14</v>
      </c>
      <c r="K177" s="32">
        <f t="shared" si="12"/>
        <v>0.5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 t="s">
        <v>1530</v>
      </c>
      <c r="T177" s="70" t="s">
        <v>1530</v>
      </c>
      <c r="U177" s="70" t="s">
        <v>1530</v>
      </c>
      <c r="V177" s="70" t="s">
        <v>1530</v>
      </c>
      <c r="W177" s="70" t="s">
        <v>1530</v>
      </c>
      <c r="X177" s="70" t="s">
        <v>1530</v>
      </c>
      <c r="Y177" s="70" t="s">
        <v>1530</v>
      </c>
      <c r="Z177" s="70" t="s">
        <v>1530</v>
      </c>
      <c r="AA177" s="70" t="s">
        <v>1530</v>
      </c>
      <c r="AB177" s="70" t="s">
        <v>1530</v>
      </c>
      <c r="AC177" s="70" t="s">
        <v>1530</v>
      </c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11</v>
      </c>
      <c r="J178" s="31">
        <f t="shared" si="11"/>
        <v>17</v>
      </c>
      <c r="K178" s="32">
        <f t="shared" si="12"/>
        <v>0.39285714285714285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 t="s">
        <v>1530</v>
      </c>
      <c r="T178" s="70" t="s">
        <v>1530</v>
      </c>
      <c r="U178" s="70" t="s">
        <v>1530</v>
      </c>
      <c r="V178" s="70" t="s">
        <v>1530</v>
      </c>
      <c r="W178" s="70" t="s">
        <v>1530</v>
      </c>
      <c r="X178" s="70" t="s">
        <v>1530</v>
      </c>
      <c r="Y178" s="70" t="s">
        <v>1530</v>
      </c>
      <c r="Z178" s="70" t="s">
        <v>1530</v>
      </c>
      <c r="AA178" s="70" t="s">
        <v>1530</v>
      </c>
      <c r="AB178" s="70" t="s">
        <v>1530</v>
      </c>
      <c r="AC178" s="70" t="s">
        <v>1530</v>
      </c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21</v>
      </c>
      <c r="J190" s="31">
        <f t="shared" si="11"/>
        <v>7</v>
      </c>
      <c r="K190" s="32">
        <f t="shared" si="12"/>
        <v>0.75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 t="s">
        <v>1530</v>
      </c>
      <c r="Y190" s="70" t="s">
        <v>1530</v>
      </c>
      <c r="Z190" s="70" t="s">
        <v>1530</v>
      </c>
      <c r="AA190" s="70" t="s">
        <v>1530</v>
      </c>
      <c r="AB190" s="70" t="s">
        <v>1530</v>
      </c>
      <c r="AC190" s="70" t="s">
        <v>1530</v>
      </c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11</v>
      </c>
      <c r="J220" s="31">
        <f t="shared" si="14"/>
        <v>17</v>
      </c>
      <c r="K220" s="32">
        <f t="shared" si="15"/>
        <v>0.39285714285714285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 t="s">
        <v>1530</v>
      </c>
      <c r="T220" s="70" t="s">
        <v>1530</v>
      </c>
      <c r="U220" s="70" t="s">
        <v>1530</v>
      </c>
      <c r="V220" s="70" t="s">
        <v>1530</v>
      </c>
      <c r="W220" s="70" t="s">
        <v>1530</v>
      </c>
      <c r="X220" s="70" t="s">
        <v>1530</v>
      </c>
      <c r="Y220" s="70" t="s">
        <v>1530</v>
      </c>
      <c r="Z220" s="70" t="s">
        <v>1530</v>
      </c>
      <c r="AA220" s="70" t="s">
        <v>1530</v>
      </c>
      <c r="AB220" s="70" t="s">
        <v>1530</v>
      </c>
      <c r="AC220" s="70" t="s">
        <v>1530</v>
      </c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25</v>
      </c>
      <c r="J221" s="31">
        <f t="shared" si="14"/>
        <v>3</v>
      </c>
      <c r="K221" s="32">
        <f t="shared" si="15"/>
        <v>0.8928571428571429</v>
      </c>
      <c r="L221" s="70"/>
      <c r="M221" s="70"/>
      <c r="N221" s="70"/>
      <c r="O221" s="70"/>
      <c r="P221" s="70"/>
      <c r="Q221" s="70"/>
      <c r="R221" s="71"/>
      <c r="S221" s="70" t="s">
        <v>1530</v>
      </c>
      <c r="T221" s="70"/>
      <c r="U221" s="70"/>
      <c r="V221" s="70"/>
      <c r="W221" s="70"/>
      <c r="X221" s="70"/>
      <c r="Y221" s="70"/>
      <c r="Z221" s="70"/>
      <c r="AA221" s="70"/>
      <c r="AB221" s="70" t="s">
        <v>1530</v>
      </c>
      <c r="AC221" s="70" t="s">
        <v>1530</v>
      </c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24</v>
      </c>
      <c r="J222" s="31">
        <f t="shared" si="14"/>
        <v>4</v>
      </c>
      <c r="K222" s="32">
        <f t="shared" si="15"/>
        <v>0.8571428571428571</v>
      </c>
      <c r="L222" s="70"/>
      <c r="M222" s="70"/>
      <c r="N222" s="70"/>
      <c r="O222" s="70"/>
      <c r="P222" s="70"/>
      <c r="Q222" s="70"/>
      <c r="R222" s="70"/>
      <c r="S222" s="70" t="s">
        <v>1530</v>
      </c>
      <c r="T222" s="70"/>
      <c r="U222" s="70"/>
      <c r="V222" s="70"/>
      <c r="W222" s="70"/>
      <c r="X222" s="70"/>
      <c r="Y222" s="70"/>
      <c r="Z222" s="70"/>
      <c r="AA222" s="70" t="s">
        <v>1530</v>
      </c>
      <c r="AB222" s="70" t="s">
        <v>1530</v>
      </c>
      <c r="AC222" s="70" t="s">
        <v>1530</v>
      </c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27</v>
      </c>
      <c r="J223" s="31">
        <f t="shared" si="14"/>
        <v>1</v>
      </c>
      <c r="K223" s="32">
        <f t="shared" si="15"/>
        <v>0.9642857142857143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 t="s">
        <v>1530</v>
      </c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27</v>
      </c>
      <c r="J224" s="31">
        <f t="shared" si="14"/>
        <v>1</v>
      </c>
      <c r="K224" s="32">
        <f t="shared" si="15"/>
        <v>0.9642857142857143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 t="s">
        <v>1530</v>
      </c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27</v>
      </c>
      <c r="J225" s="31">
        <f t="shared" si="14"/>
        <v>1</v>
      </c>
      <c r="K225" s="32">
        <f t="shared" si="15"/>
        <v>0.9642857142857143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 t="s">
        <v>1530</v>
      </c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11</v>
      </c>
      <c r="J228" s="31">
        <f t="shared" si="14"/>
        <v>17</v>
      </c>
      <c r="K228" s="32">
        <f t="shared" si="15"/>
        <v>0.39285714285714285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 t="s">
        <v>1530</v>
      </c>
      <c r="T228" s="70" t="s">
        <v>1530</v>
      </c>
      <c r="U228" s="70" t="s">
        <v>1530</v>
      </c>
      <c r="V228" s="70" t="s">
        <v>1530</v>
      </c>
      <c r="W228" s="70" t="s">
        <v>1530</v>
      </c>
      <c r="X228" s="70" t="s">
        <v>1530</v>
      </c>
      <c r="Y228" s="70" t="s">
        <v>1530</v>
      </c>
      <c r="Z228" s="70" t="s">
        <v>1530</v>
      </c>
      <c r="AA228" s="70" t="s">
        <v>1530</v>
      </c>
      <c r="AB228" s="70" t="s">
        <v>1530</v>
      </c>
      <c r="AC228" s="70" t="s">
        <v>1530</v>
      </c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12</v>
      </c>
      <c r="J231" s="31">
        <f t="shared" si="14"/>
        <v>16</v>
      </c>
      <c r="K231" s="32">
        <f t="shared" si="15"/>
        <v>0.42857142857142855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 t="s">
        <v>1530</v>
      </c>
      <c r="T231" s="70" t="s">
        <v>1530</v>
      </c>
      <c r="U231" s="70" t="s">
        <v>1530</v>
      </c>
      <c r="V231" s="70"/>
      <c r="W231" s="70" t="s">
        <v>1530</v>
      </c>
      <c r="X231" s="70" t="s">
        <v>1530</v>
      </c>
      <c r="Y231" s="70" t="s">
        <v>1530</v>
      </c>
      <c r="Z231" s="70" t="s">
        <v>1530</v>
      </c>
      <c r="AA231" s="70" t="s">
        <v>1530</v>
      </c>
      <c r="AB231" s="70" t="s">
        <v>1530</v>
      </c>
      <c r="AC231" s="70" t="s">
        <v>1530</v>
      </c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12</v>
      </c>
      <c r="J232" s="31">
        <f t="shared" si="14"/>
        <v>16</v>
      </c>
      <c r="K232" s="32">
        <f t="shared" si="15"/>
        <v>0.42857142857142855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 t="s">
        <v>1530</v>
      </c>
      <c r="T232" s="70" t="s">
        <v>1530</v>
      </c>
      <c r="U232" s="70" t="s">
        <v>1530</v>
      </c>
      <c r="V232" s="70" t="s">
        <v>1530</v>
      </c>
      <c r="W232" s="70" t="s">
        <v>1530</v>
      </c>
      <c r="X232" s="70" t="s">
        <v>1530</v>
      </c>
      <c r="Y232" s="70" t="s">
        <v>1530</v>
      </c>
      <c r="Z232" s="70" t="s">
        <v>1530</v>
      </c>
      <c r="AA232" s="70" t="s">
        <v>1530</v>
      </c>
      <c r="AB232" s="70"/>
      <c r="AC232" s="70" t="s">
        <v>1530</v>
      </c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24</v>
      </c>
      <c r="J246" s="31">
        <f t="shared" si="14"/>
        <v>4</v>
      </c>
      <c r="K246" s="32">
        <f t="shared" si="15"/>
        <v>0.8571428571428571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1530</v>
      </c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13</v>
      </c>
      <c r="J249" s="31">
        <f t="shared" si="14"/>
        <v>15</v>
      </c>
      <c r="K249" s="32">
        <f t="shared" si="15"/>
        <v>0.4642857142857143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 t="s">
        <v>1530</v>
      </c>
      <c r="T249" s="70" t="s">
        <v>1530</v>
      </c>
      <c r="U249" s="70" t="s">
        <v>1530</v>
      </c>
      <c r="V249" s="70" t="s">
        <v>1530</v>
      </c>
      <c r="W249" s="70" t="s">
        <v>1530</v>
      </c>
      <c r="X249" s="70" t="s">
        <v>1530</v>
      </c>
      <c r="Y249" s="70" t="s">
        <v>1530</v>
      </c>
      <c r="Z249" s="70" t="s">
        <v>1530</v>
      </c>
      <c r="AA249" s="70" t="s">
        <v>1530</v>
      </c>
      <c r="AB249" s="70" t="s">
        <v>1530</v>
      </c>
      <c r="AC249" s="70" t="s">
        <v>1530</v>
      </c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 t="s">
        <v>1530</v>
      </c>
      <c r="AB254" s="70" t="s">
        <v>1530</v>
      </c>
      <c r="AC254" s="70" t="s">
        <v>1530</v>
      </c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20</v>
      </c>
      <c r="J265" s="31">
        <f t="shared" si="14"/>
        <v>8</v>
      </c>
      <c r="K265" s="32">
        <f t="shared" si="15"/>
        <v>0.7142857142857143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 t="s">
        <v>1530</v>
      </c>
      <c r="T265" s="70"/>
      <c r="U265" s="70"/>
      <c r="V265" s="70"/>
      <c r="W265" s="70"/>
      <c r="X265" s="70"/>
      <c r="Y265" s="70"/>
      <c r="Z265" s="70"/>
      <c r="AA265" s="70" t="s">
        <v>1530</v>
      </c>
      <c r="AB265" s="70" t="s">
        <v>1530</v>
      </c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12</v>
      </c>
      <c r="J267" s="31">
        <f t="shared" si="14"/>
        <v>16</v>
      </c>
      <c r="K267" s="32">
        <f t="shared" si="15"/>
        <v>0.42857142857142855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 t="s">
        <v>1530</v>
      </c>
      <c r="T267" s="70" t="s">
        <v>1530</v>
      </c>
      <c r="U267" s="70" t="s">
        <v>1530</v>
      </c>
      <c r="V267" s="70" t="s">
        <v>1530</v>
      </c>
      <c r="W267" s="70" t="s">
        <v>1530</v>
      </c>
      <c r="X267" s="70" t="s">
        <v>1530</v>
      </c>
      <c r="Y267" s="70" t="s">
        <v>1530</v>
      </c>
      <c r="Z267" s="70" t="s">
        <v>1530</v>
      </c>
      <c r="AA267" s="70" t="s">
        <v>1530</v>
      </c>
      <c r="AB267" s="70" t="s">
        <v>1530</v>
      </c>
      <c r="AC267" s="70" t="s">
        <v>1530</v>
      </c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11</v>
      </c>
      <c r="J268" s="31">
        <f t="shared" si="14"/>
        <v>17</v>
      </c>
      <c r="K268" s="32">
        <f t="shared" si="15"/>
        <v>0.39285714285714285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 t="s">
        <v>1530</v>
      </c>
      <c r="T268" s="70" t="s">
        <v>1530</v>
      </c>
      <c r="U268" s="70" t="s">
        <v>1530</v>
      </c>
      <c r="V268" s="70" t="s">
        <v>1530</v>
      </c>
      <c r="W268" s="70" t="s">
        <v>1530</v>
      </c>
      <c r="X268" s="70" t="s">
        <v>1530</v>
      </c>
      <c r="Y268" s="70" t="s">
        <v>1530</v>
      </c>
      <c r="Z268" s="70" t="s">
        <v>1530</v>
      </c>
      <c r="AA268" s="70" t="s">
        <v>1530</v>
      </c>
      <c r="AB268" s="70" t="s">
        <v>1530</v>
      </c>
      <c r="AC268" s="70" t="s">
        <v>1530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26</v>
      </c>
      <c r="J269" s="31">
        <f t="shared" si="14"/>
        <v>2</v>
      </c>
      <c r="K269" s="32">
        <f t="shared" si="15"/>
        <v>0.9285714285714286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 t="s">
        <v>1530</v>
      </c>
      <c r="AB269" s="70" t="s">
        <v>1530</v>
      </c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24</v>
      </c>
      <c r="J271" s="31">
        <f t="shared" si="14"/>
        <v>4</v>
      </c>
      <c r="K271" s="32">
        <f t="shared" si="15"/>
        <v>0.8571428571428571</v>
      </c>
      <c r="L271" s="70"/>
      <c r="M271" s="70"/>
      <c r="N271" s="70"/>
      <c r="O271" s="70"/>
      <c r="P271" s="70"/>
      <c r="Q271" s="70"/>
      <c r="R271" s="70"/>
      <c r="S271" s="70" t="s">
        <v>1530</v>
      </c>
      <c r="T271" s="70"/>
      <c r="U271" s="70"/>
      <c r="V271" s="70"/>
      <c r="W271" s="70"/>
      <c r="X271" s="70"/>
      <c r="Y271" s="70"/>
      <c r="Z271" s="70"/>
      <c r="AA271" s="70" t="s">
        <v>1530</v>
      </c>
      <c r="AB271" s="70" t="s">
        <v>1530</v>
      </c>
      <c r="AC271" s="70" t="s">
        <v>1530</v>
      </c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24</v>
      </c>
      <c r="J272" s="31">
        <f t="shared" si="14"/>
        <v>4</v>
      </c>
      <c r="K272" s="32">
        <f t="shared" si="15"/>
        <v>0.8571428571428571</v>
      </c>
      <c r="L272" s="70"/>
      <c r="M272" s="70"/>
      <c r="N272" s="70"/>
      <c r="O272" s="70"/>
      <c r="P272" s="70"/>
      <c r="Q272" s="70"/>
      <c r="R272" s="70"/>
      <c r="S272" s="70" t="s">
        <v>1530</v>
      </c>
      <c r="T272" s="70"/>
      <c r="U272" s="70"/>
      <c r="V272" s="70"/>
      <c r="W272" s="70"/>
      <c r="X272" s="70"/>
      <c r="Y272" s="70"/>
      <c r="Z272" s="70"/>
      <c r="AA272" s="70" t="s">
        <v>1530</v>
      </c>
      <c r="AB272" s="70" t="s">
        <v>1530</v>
      </c>
      <c r="AC272" s="70" t="s">
        <v>1530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24</v>
      </c>
      <c r="J273" s="31">
        <f t="shared" si="14"/>
        <v>4</v>
      </c>
      <c r="K273" s="32">
        <f t="shared" si="15"/>
        <v>0.8571428571428571</v>
      </c>
      <c r="L273" s="70"/>
      <c r="M273" s="70"/>
      <c r="N273" s="70"/>
      <c r="O273" s="70"/>
      <c r="P273" s="70"/>
      <c r="Q273" s="70"/>
      <c r="R273" s="70"/>
      <c r="S273" s="70" t="s">
        <v>1530</v>
      </c>
      <c r="T273" s="70"/>
      <c r="U273" s="70"/>
      <c r="V273" s="70"/>
      <c r="W273" s="70"/>
      <c r="X273" s="70"/>
      <c r="Y273" s="70"/>
      <c r="Z273" s="70"/>
      <c r="AA273" s="70" t="s">
        <v>1530</v>
      </c>
      <c r="AB273" s="70" t="s">
        <v>1530</v>
      </c>
      <c r="AC273" s="70" t="s">
        <v>1530</v>
      </c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26</v>
      </c>
      <c r="J278" s="31">
        <f t="shared" si="14"/>
        <v>2</v>
      </c>
      <c r="K278" s="32">
        <f t="shared" si="15"/>
        <v>0.9285714285714286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 t="s">
        <v>1530</v>
      </c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11</v>
      </c>
      <c r="J279" s="142">
        <f t="shared" si="14"/>
        <v>17</v>
      </c>
      <c r="K279" s="143">
        <f t="shared" si="15"/>
        <v>0.39285714285714285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 t="s">
        <v>1530</v>
      </c>
      <c r="T279" s="144" t="s">
        <v>1530</v>
      </c>
      <c r="U279" s="144" t="s">
        <v>1530</v>
      </c>
      <c r="V279" s="144" t="s">
        <v>1530</v>
      </c>
      <c r="W279" s="144" t="s">
        <v>1530</v>
      </c>
      <c r="X279" s="144" t="s">
        <v>1530</v>
      </c>
      <c r="Y279" s="144" t="s">
        <v>1530</v>
      </c>
      <c r="Z279" s="144" t="s">
        <v>1530</v>
      </c>
      <c r="AA279" s="144" t="s">
        <v>1530</v>
      </c>
      <c r="AB279" s="144" t="s">
        <v>1530</v>
      </c>
      <c r="AC279" s="144" t="s">
        <v>1530</v>
      </c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25</v>
      </c>
      <c r="J280" s="31">
        <f t="shared" ref="J280:J343" si="17">COUNTIF(L280:AM280,"APAGADO")</f>
        <v>3</v>
      </c>
      <c r="K280" s="32">
        <f t="shared" ref="K280:K343" si="18">(I280)/(J280+I280)</f>
        <v>0.8928571428571429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 t="s">
        <v>1530</v>
      </c>
      <c r="Z280" s="70" t="s">
        <v>1530</v>
      </c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27</v>
      </c>
      <c r="J281" s="31">
        <f t="shared" si="17"/>
        <v>1</v>
      </c>
      <c r="K281" s="32">
        <f t="shared" si="18"/>
        <v>0.9642857142857143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 t="s">
        <v>1530</v>
      </c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26</v>
      </c>
      <c r="J282" s="31">
        <f t="shared" si="17"/>
        <v>2</v>
      </c>
      <c r="K282" s="32">
        <f t="shared" si="18"/>
        <v>0.9285714285714286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 t="s">
        <v>1530</v>
      </c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27</v>
      </c>
      <c r="J283" s="31">
        <f t="shared" si="17"/>
        <v>1</v>
      </c>
      <c r="K283" s="32">
        <f t="shared" si="18"/>
        <v>0.9642857142857143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 t="s">
        <v>1530</v>
      </c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12</v>
      </c>
      <c r="J284" s="31">
        <f t="shared" si="17"/>
        <v>16</v>
      </c>
      <c r="K284" s="32">
        <f t="shared" si="18"/>
        <v>0.42857142857142855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 t="s">
        <v>1530</v>
      </c>
      <c r="T284" s="70" t="s">
        <v>1530</v>
      </c>
      <c r="U284" s="70" t="s">
        <v>1530</v>
      </c>
      <c r="V284" s="70" t="s">
        <v>1530</v>
      </c>
      <c r="W284" s="70" t="s">
        <v>1530</v>
      </c>
      <c r="X284" s="70" t="s">
        <v>1530</v>
      </c>
      <c r="Y284" s="70"/>
      <c r="Z284" s="70" t="s">
        <v>1530</v>
      </c>
      <c r="AA284" s="70" t="s">
        <v>1530</v>
      </c>
      <c r="AB284" s="70" t="s">
        <v>1530</v>
      </c>
      <c r="AC284" s="70" t="s">
        <v>1530</v>
      </c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27</v>
      </c>
      <c r="J290" s="31">
        <f t="shared" si="17"/>
        <v>1</v>
      </c>
      <c r="K290" s="32">
        <f t="shared" si="18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 t="s">
        <v>1530</v>
      </c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27</v>
      </c>
      <c r="J291" s="31">
        <f t="shared" si="17"/>
        <v>1</v>
      </c>
      <c r="K291" s="32">
        <f t="shared" si="18"/>
        <v>0.9642857142857143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 t="s">
        <v>1530</v>
      </c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27</v>
      </c>
      <c r="J292" s="31">
        <f t="shared" si="17"/>
        <v>1</v>
      </c>
      <c r="K292" s="32">
        <f t="shared" si="18"/>
        <v>0.9642857142857143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 t="s">
        <v>1530</v>
      </c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27</v>
      </c>
      <c r="J293" s="31">
        <f t="shared" si="17"/>
        <v>1</v>
      </c>
      <c r="K293" s="32">
        <f t="shared" si="18"/>
        <v>0.9642857142857143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 t="s">
        <v>1530</v>
      </c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26</v>
      </c>
      <c r="J294" s="31">
        <f t="shared" si="17"/>
        <v>2</v>
      </c>
      <c r="K294" s="32">
        <f t="shared" si="18"/>
        <v>0.9285714285714286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 t="s">
        <v>1530</v>
      </c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26</v>
      </c>
      <c r="J295" s="31">
        <f t="shared" si="17"/>
        <v>2</v>
      </c>
      <c r="K295" s="32">
        <f t="shared" si="18"/>
        <v>0.9285714285714286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 t="s">
        <v>1530</v>
      </c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27</v>
      </c>
      <c r="J300" s="91">
        <f t="shared" si="17"/>
        <v>1</v>
      </c>
      <c r="K300" s="92">
        <f t="shared" si="18"/>
        <v>0.9642857142857143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 t="s">
        <v>1530</v>
      </c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11</v>
      </c>
      <c r="J301" s="31">
        <f t="shared" si="17"/>
        <v>17</v>
      </c>
      <c r="K301" s="32">
        <f t="shared" si="18"/>
        <v>0.39285714285714285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 t="s">
        <v>1530</v>
      </c>
      <c r="T301" s="70" t="s">
        <v>1530</v>
      </c>
      <c r="U301" s="70" t="s">
        <v>1530</v>
      </c>
      <c r="V301" s="70" t="s">
        <v>1530</v>
      </c>
      <c r="W301" s="70" t="s">
        <v>1530</v>
      </c>
      <c r="X301" s="70" t="s">
        <v>1530</v>
      </c>
      <c r="Y301" s="70" t="s">
        <v>1530</v>
      </c>
      <c r="Z301" s="70" t="s">
        <v>1530</v>
      </c>
      <c r="AA301" s="70" t="s">
        <v>1530</v>
      </c>
      <c r="AB301" s="70" t="s">
        <v>1530</v>
      </c>
      <c r="AC301" s="70" t="s">
        <v>1530</v>
      </c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27</v>
      </c>
      <c r="J302" s="31">
        <f t="shared" si="17"/>
        <v>1</v>
      </c>
      <c r="K302" s="32">
        <f t="shared" si="18"/>
        <v>0.9642857142857143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 t="s">
        <v>1530</v>
      </c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27</v>
      </c>
      <c r="J303" s="31">
        <f t="shared" si="17"/>
        <v>1</v>
      </c>
      <c r="K303" s="32">
        <f t="shared" si="18"/>
        <v>0.9642857142857143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 t="s">
        <v>1530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27</v>
      </c>
      <c r="J304" s="31">
        <f t="shared" si="17"/>
        <v>1</v>
      </c>
      <c r="K304" s="32">
        <f t="shared" si="18"/>
        <v>0.9642857142857143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 t="s">
        <v>1530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27</v>
      </c>
      <c r="J305" s="31">
        <f t="shared" si="17"/>
        <v>1</v>
      </c>
      <c r="K305" s="32">
        <f t="shared" si="18"/>
        <v>0.9642857142857143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 t="s">
        <v>1530</v>
      </c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27</v>
      </c>
      <c r="J306" s="31">
        <f t="shared" si="17"/>
        <v>1</v>
      </c>
      <c r="K306" s="32">
        <f t="shared" si="18"/>
        <v>0.9642857142857143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 t="s">
        <v>1530</v>
      </c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11</v>
      </c>
      <c r="J307" s="31">
        <f t="shared" si="17"/>
        <v>17</v>
      </c>
      <c r="K307" s="32">
        <f t="shared" si="18"/>
        <v>0.39285714285714285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 t="s">
        <v>1530</v>
      </c>
      <c r="Z307" s="70" t="s">
        <v>1530</v>
      </c>
      <c r="AA307" s="70" t="s">
        <v>1530</v>
      </c>
      <c r="AB307" s="14" t="s">
        <v>1530</v>
      </c>
      <c r="AC307" s="70" t="s">
        <v>1530</v>
      </c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1530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1530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1530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1530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1530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11</v>
      </c>
      <c r="J313" s="31">
        <f t="shared" si="17"/>
        <v>17</v>
      </c>
      <c r="K313" s="32">
        <f t="shared" si="18"/>
        <v>0.39285714285714285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 t="s">
        <v>1530</v>
      </c>
      <c r="Z313" s="70" t="s">
        <v>1530</v>
      </c>
      <c r="AA313" s="70" t="s">
        <v>1530</v>
      </c>
      <c r="AB313" s="70" t="s">
        <v>1530</v>
      </c>
      <c r="AC313" s="70" t="s">
        <v>1530</v>
      </c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11</v>
      </c>
      <c r="J314" s="31">
        <f t="shared" si="17"/>
        <v>17</v>
      </c>
      <c r="K314" s="32">
        <f t="shared" si="18"/>
        <v>0.39285714285714285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 t="s">
        <v>1530</v>
      </c>
      <c r="T314" s="70" t="s">
        <v>1530</v>
      </c>
      <c r="U314" s="70" t="s">
        <v>1530</v>
      </c>
      <c r="V314" s="70" t="s">
        <v>1530</v>
      </c>
      <c r="W314" s="70" t="s">
        <v>1530</v>
      </c>
      <c r="X314" s="70" t="s">
        <v>1530</v>
      </c>
      <c r="Y314" s="70" t="s">
        <v>1530</v>
      </c>
      <c r="Z314" s="70" t="s">
        <v>1530</v>
      </c>
      <c r="AA314" s="70" t="s">
        <v>1530</v>
      </c>
      <c r="AB314" s="70" t="s">
        <v>1530</v>
      </c>
      <c r="AC314" s="70" t="s">
        <v>1530</v>
      </c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11</v>
      </c>
      <c r="J315" s="31">
        <f t="shared" si="17"/>
        <v>17</v>
      </c>
      <c r="K315" s="32">
        <f t="shared" si="18"/>
        <v>0.39285714285714285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 t="s">
        <v>1530</v>
      </c>
      <c r="T315" s="70" t="s">
        <v>1530</v>
      </c>
      <c r="U315" s="70" t="s">
        <v>1530</v>
      </c>
      <c r="V315" s="70" t="s">
        <v>1530</v>
      </c>
      <c r="W315" s="70" t="s">
        <v>1530</v>
      </c>
      <c r="X315" s="70" t="s">
        <v>1530</v>
      </c>
      <c r="Y315" s="70" t="s">
        <v>1530</v>
      </c>
      <c r="Z315" s="70" t="s">
        <v>1530</v>
      </c>
      <c r="AA315" s="70" t="s">
        <v>1530</v>
      </c>
      <c r="AB315" s="70" t="s">
        <v>1530</v>
      </c>
      <c r="AC315" s="70" t="s">
        <v>1530</v>
      </c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24</v>
      </c>
      <c r="J319" s="31">
        <f t="shared" si="17"/>
        <v>4</v>
      </c>
      <c r="K319" s="32">
        <f t="shared" si="18"/>
        <v>0.8571428571428571</v>
      </c>
      <c r="L319" s="70"/>
      <c r="M319" s="70"/>
      <c r="N319" s="70" t="s">
        <v>1530</v>
      </c>
      <c r="O319" s="70"/>
      <c r="P319" s="70"/>
      <c r="Q319" s="70"/>
      <c r="R319" s="70"/>
      <c r="S319" s="70" t="s">
        <v>1530</v>
      </c>
      <c r="T319" s="70"/>
      <c r="U319" s="70"/>
      <c r="V319" s="70"/>
      <c r="W319" s="70"/>
      <c r="X319" s="70" t="s">
        <v>1530</v>
      </c>
      <c r="Y319" s="70" t="s">
        <v>1530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24</v>
      </c>
      <c r="J320" s="31">
        <f t="shared" si="17"/>
        <v>4</v>
      </c>
      <c r="K320" s="32">
        <f t="shared" si="18"/>
        <v>0.8571428571428571</v>
      </c>
      <c r="L320" s="70"/>
      <c r="M320" s="70"/>
      <c r="N320" s="70" t="s">
        <v>1530</v>
      </c>
      <c r="O320" s="70"/>
      <c r="P320" s="70"/>
      <c r="Q320" s="70"/>
      <c r="R320" s="70"/>
      <c r="S320" s="70" t="s">
        <v>1530</v>
      </c>
      <c r="T320" s="70"/>
      <c r="U320" s="70"/>
      <c r="V320" s="70"/>
      <c r="W320" s="70"/>
      <c r="X320" s="70" t="s">
        <v>1530</v>
      </c>
      <c r="Y320" s="70" t="s">
        <v>1530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17</v>
      </c>
      <c r="J322" s="31">
        <f t="shared" si="17"/>
        <v>11</v>
      </c>
      <c r="K322" s="32">
        <f t="shared" si="18"/>
        <v>0.6071428571428571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 t="s">
        <v>1530</v>
      </c>
      <c r="V322" s="70" t="s">
        <v>1530</v>
      </c>
      <c r="W322" s="70" t="s">
        <v>1530</v>
      </c>
      <c r="X322" s="70" t="s">
        <v>1530</v>
      </c>
      <c r="Y322" s="70"/>
      <c r="Z322" s="70"/>
      <c r="AA322" s="70" t="s">
        <v>1530</v>
      </c>
      <c r="AB322" s="70" t="s">
        <v>1530</v>
      </c>
      <c r="AC322" s="70" t="s">
        <v>1530</v>
      </c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11</v>
      </c>
      <c r="J338" s="31">
        <f t="shared" si="17"/>
        <v>17</v>
      </c>
      <c r="K338" s="32">
        <f t="shared" si="18"/>
        <v>0.39285714285714285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 t="s">
        <v>1530</v>
      </c>
      <c r="T338" s="70" t="s">
        <v>1530</v>
      </c>
      <c r="U338" s="70" t="s">
        <v>1530</v>
      </c>
      <c r="V338" s="70" t="s">
        <v>1530</v>
      </c>
      <c r="W338" s="70" t="s">
        <v>1530</v>
      </c>
      <c r="X338" s="70" t="s">
        <v>1530</v>
      </c>
      <c r="Y338" s="70" t="s">
        <v>1530</v>
      </c>
      <c r="Z338" s="70" t="s">
        <v>1530</v>
      </c>
      <c r="AA338" s="70" t="s">
        <v>1530</v>
      </c>
      <c r="AB338" s="70" t="s">
        <v>1530</v>
      </c>
      <c r="AC338" s="70" t="s">
        <v>1530</v>
      </c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11</v>
      </c>
      <c r="J339" s="142">
        <f t="shared" si="17"/>
        <v>17</v>
      </c>
      <c r="K339" s="143">
        <f t="shared" si="18"/>
        <v>0.39285714285714285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 t="s">
        <v>1530</v>
      </c>
      <c r="T339" s="144" t="s">
        <v>1530</v>
      </c>
      <c r="U339" s="144" t="s">
        <v>1530</v>
      </c>
      <c r="V339" s="144" t="s">
        <v>1530</v>
      </c>
      <c r="W339" s="144" t="s">
        <v>1530</v>
      </c>
      <c r="X339" s="144" t="s">
        <v>1530</v>
      </c>
      <c r="Y339" s="144" t="s">
        <v>1530</v>
      </c>
      <c r="Z339" s="144" t="s">
        <v>1530</v>
      </c>
      <c r="AA339" s="144" t="s">
        <v>1530</v>
      </c>
      <c r="AB339" s="144" t="s">
        <v>1530</v>
      </c>
      <c r="AC339" s="144" t="s">
        <v>1530</v>
      </c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15</v>
      </c>
      <c r="J341" s="31">
        <f t="shared" si="17"/>
        <v>13</v>
      </c>
      <c r="K341" s="32">
        <f t="shared" si="18"/>
        <v>0.5357142857142857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 t="s">
        <v>1530</v>
      </c>
      <c r="T341" s="70" t="s">
        <v>1530</v>
      </c>
      <c r="U341" s="70" t="s">
        <v>1530</v>
      </c>
      <c r="V341" s="70" t="s">
        <v>1530</v>
      </c>
      <c r="W341" s="70" t="s">
        <v>1530</v>
      </c>
      <c r="X341" s="70" t="s">
        <v>1530</v>
      </c>
      <c r="Y341" s="70" t="s">
        <v>1530</v>
      </c>
      <c r="Z341" s="70" t="s">
        <v>1530</v>
      </c>
      <c r="AA341" s="70" t="s">
        <v>1530</v>
      </c>
      <c r="AB341" s="70" t="s">
        <v>1530</v>
      </c>
      <c r="AC341" s="70" t="s">
        <v>1530</v>
      </c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15</v>
      </c>
      <c r="J342" s="31">
        <f t="shared" si="17"/>
        <v>13</v>
      </c>
      <c r="K342" s="32">
        <f t="shared" si="18"/>
        <v>0.5357142857142857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 t="s">
        <v>1530</v>
      </c>
      <c r="T342" s="70" t="s">
        <v>1530</v>
      </c>
      <c r="U342" s="70" t="s">
        <v>1530</v>
      </c>
      <c r="V342" s="70" t="s">
        <v>1530</v>
      </c>
      <c r="W342" s="70" t="s">
        <v>1530</v>
      </c>
      <c r="X342" s="70" t="s">
        <v>1530</v>
      </c>
      <c r="Y342" s="70" t="s">
        <v>1530</v>
      </c>
      <c r="Z342" s="70" t="s">
        <v>1530</v>
      </c>
      <c r="AA342" s="70" t="s">
        <v>1530</v>
      </c>
      <c r="AB342" s="70" t="s">
        <v>1530</v>
      </c>
      <c r="AC342" s="70" t="s">
        <v>1530</v>
      </c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15</v>
      </c>
      <c r="J343" s="31">
        <f t="shared" si="17"/>
        <v>13</v>
      </c>
      <c r="K343" s="32">
        <f t="shared" si="18"/>
        <v>0.5357142857142857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 t="s">
        <v>1530</v>
      </c>
      <c r="T343" s="70" t="s">
        <v>1530</v>
      </c>
      <c r="U343" s="70" t="s">
        <v>1530</v>
      </c>
      <c r="V343" s="70" t="s">
        <v>1530</v>
      </c>
      <c r="W343" s="70" t="s">
        <v>1530</v>
      </c>
      <c r="X343" s="70" t="s">
        <v>1530</v>
      </c>
      <c r="Y343" s="70" t="s">
        <v>1530</v>
      </c>
      <c r="Z343" s="70" t="s">
        <v>1530</v>
      </c>
      <c r="AA343" s="70" t="s">
        <v>1530</v>
      </c>
      <c r="AB343" s="70" t="s">
        <v>1530</v>
      </c>
      <c r="AC343" s="70" t="s">
        <v>1530</v>
      </c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15</v>
      </c>
      <c r="J346" s="31">
        <f t="shared" si="20"/>
        <v>13</v>
      </c>
      <c r="K346" s="32">
        <f t="shared" si="21"/>
        <v>0.5357142857142857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 t="s">
        <v>1530</v>
      </c>
      <c r="T346" s="70" t="s">
        <v>1530</v>
      </c>
      <c r="U346" s="70" t="s">
        <v>1530</v>
      </c>
      <c r="V346" s="70" t="s">
        <v>1530</v>
      </c>
      <c r="W346" s="70" t="s">
        <v>1530</v>
      </c>
      <c r="X346" s="70" t="s">
        <v>1530</v>
      </c>
      <c r="Y346" s="70" t="s">
        <v>1530</v>
      </c>
      <c r="Z346" s="70" t="s">
        <v>1530</v>
      </c>
      <c r="AA346" s="70" t="s">
        <v>1530</v>
      </c>
      <c r="AB346" s="70" t="s">
        <v>1530</v>
      </c>
      <c r="AC346" s="70" t="s">
        <v>1530</v>
      </c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15</v>
      </c>
      <c r="J347" s="31">
        <f t="shared" si="20"/>
        <v>13</v>
      </c>
      <c r="K347" s="32">
        <f t="shared" si="21"/>
        <v>0.5357142857142857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 t="s">
        <v>1530</v>
      </c>
      <c r="Z347" s="70" t="s">
        <v>1530</v>
      </c>
      <c r="AA347" s="70" t="s">
        <v>1530</v>
      </c>
      <c r="AB347" s="70" t="s">
        <v>1530</v>
      </c>
      <c r="AC347" s="70" t="s">
        <v>1530</v>
      </c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15</v>
      </c>
      <c r="J348" s="31">
        <f t="shared" si="20"/>
        <v>13</v>
      </c>
      <c r="K348" s="32">
        <f t="shared" si="21"/>
        <v>0.5357142857142857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 t="s">
        <v>1530</v>
      </c>
      <c r="T348" s="70" t="s">
        <v>1530</v>
      </c>
      <c r="U348" s="70" t="s">
        <v>1530</v>
      </c>
      <c r="V348" s="70" t="s">
        <v>1530</v>
      </c>
      <c r="W348" s="70" t="s">
        <v>1530</v>
      </c>
      <c r="X348" s="70" t="s">
        <v>1530</v>
      </c>
      <c r="Y348" s="70" t="s">
        <v>1530</v>
      </c>
      <c r="Z348" s="70" t="s">
        <v>1530</v>
      </c>
      <c r="AA348" s="70" t="s">
        <v>1530</v>
      </c>
      <c r="AB348" s="70" t="s">
        <v>1530</v>
      </c>
      <c r="AC348" s="70" t="s">
        <v>1530</v>
      </c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15</v>
      </c>
      <c r="J349" s="31">
        <f t="shared" si="20"/>
        <v>13</v>
      </c>
      <c r="K349" s="32">
        <f t="shared" si="21"/>
        <v>0.5357142857142857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 t="s">
        <v>1530</v>
      </c>
      <c r="T349" s="70" t="s">
        <v>1530</v>
      </c>
      <c r="U349" s="70" t="s">
        <v>1530</v>
      </c>
      <c r="V349" s="70" t="s">
        <v>1530</v>
      </c>
      <c r="W349" s="70" t="s">
        <v>1530</v>
      </c>
      <c r="X349" s="70" t="s">
        <v>1530</v>
      </c>
      <c r="Y349" s="70" t="s">
        <v>1530</v>
      </c>
      <c r="Z349" s="70" t="s">
        <v>1530</v>
      </c>
      <c r="AA349" s="70" t="s">
        <v>1530</v>
      </c>
      <c r="AB349" s="70" t="s">
        <v>1530</v>
      </c>
      <c r="AC349" s="70" t="s">
        <v>1530</v>
      </c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15</v>
      </c>
      <c r="J351" s="31">
        <f t="shared" si="20"/>
        <v>13</v>
      </c>
      <c r="K351" s="32">
        <f t="shared" si="21"/>
        <v>0.5357142857142857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 t="s">
        <v>1530</v>
      </c>
      <c r="Z351" s="70" t="s">
        <v>1530</v>
      </c>
      <c r="AA351" s="70" t="s">
        <v>1530</v>
      </c>
      <c r="AB351" s="70" t="s">
        <v>1530</v>
      </c>
      <c r="AC351" s="70" t="s">
        <v>1530</v>
      </c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18</v>
      </c>
      <c r="J356" s="31">
        <f t="shared" si="20"/>
        <v>10</v>
      </c>
      <c r="K356" s="32">
        <f t="shared" si="21"/>
        <v>0.6428571428571429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20</v>
      </c>
      <c r="J362" s="31">
        <f t="shared" si="20"/>
        <v>8</v>
      </c>
      <c r="K362" s="32">
        <f t="shared" si="21"/>
        <v>0.7142857142857143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 t="s">
        <v>1530</v>
      </c>
      <c r="W362" s="70" t="s">
        <v>1530</v>
      </c>
      <c r="X362" s="70" t="s">
        <v>1530</v>
      </c>
      <c r="Y362" s="70" t="s">
        <v>1530</v>
      </c>
      <c r="Z362" s="70" t="s">
        <v>1530</v>
      </c>
      <c r="AA362" s="70" t="s">
        <v>1530</v>
      </c>
      <c r="AB362" s="70" t="s">
        <v>1530</v>
      </c>
      <c r="AC362" s="70" t="s">
        <v>1530</v>
      </c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20</v>
      </c>
      <c r="J363" s="31">
        <f t="shared" si="20"/>
        <v>8</v>
      </c>
      <c r="K363" s="32">
        <f t="shared" si="21"/>
        <v>0.7142857142857143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 t="s">
        <v>1530</v>
      </c>
      <c r="W363" s="70" t="s">
        <v>1530</v>
      </c>
      <c r="X363" s="70" t="s">
        <v>1530</v>
      </c>
      <c r="Y363" s="70" t="s">
        <v>1530</v>
      </c>
      <c r="Z363" s="70" t="s">
        <v>1530</v>
      </c>
      <c r="AA363" s="70" t="s">
        <v>1530</v>
      </c>
      <c r="AB363" s="70" t="s">
        <v>1530</v>
      </c>
      <c r="AC363" s="70" t="s">
        <v>1530</v>
      </c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11</v>
      </c>
      <c r="J368" s="31">
        <f t="shared" si="20"/>
        <v>17</v>
      </c>
      <c r="K368" s="32">
        <f t="shared" si="21"/>
        <v>0.39285714285714285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 t="s">
        <v>1530</v>
      </c>
      <c r="T368" s="70" t="s">
        <v>1530</v>
      </c>
      <c r="U368" s="70" t="s">
        <v>1530</v>
      </c>
      <c r="V368" s="70" t="s">
        <v>1530</v>
      </c>
      <c r="W368" s="70" t="s">
        <v>1530</v>
      </c>
      <c r="X368" s="70" t="s">
        <v>1530</v>
      </c>
      <c r="Y368" s="70" t="s">
        <v>1530</v>
      </c>
      <c r="Z368" s="70" t="s">
        <v>1530</v>
      </c>
      <c r="AA368" s="70" t="s">
        <v>1530</v>
      </c>
      <c r="AB368" s="70" t="s">
        <v>1530</v>
      </c>
      <c r="AC368" s="70" t="s">
        <v>1530</v>
      </c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12</v>
      </c>
      <c r="J369" s="31">
        <f t="shared" si="20"/>
        <v>16</v>
      </c>
      <c r="K369" s="32">
        <f t="shared" si="21"/>
        <v>0.42857142857142855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 t="s">
        <v>1530</v>
      </c>
      <c r="U369" s="70" t="s">
        <v>1530</v>
      </c>
      <c r="V369" s="70" t="s">
        <v>1530</v>
      </c>
      <c r="W369" s="70" t="s">
        <v>1530</v>
      </c>
      <c r="X369" s="70" t="s">
        <v>1530</v>
      </c>
      <c r="Y369" s="70" t="s">
        <v>1530</v>
      </c>
      <c r="Z369" s="70" t="s">
        <v>1530</v>
      </c>
      <c r="AA369" s="70" t="s">
        <v>1530</v>
      </c>
      <c r="AB369" s="70" t="s">
        <v>1530</v>
      </c>
      <c r="AC369" s="70" t="s">
        <v>1530</v>
      </c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11</v>
      </c>
      <c r="J373" s="31">
        <f t="shared" si="20"/>
        <v>17</v>
      </c>
      <c r="K373" s="32">
        <f t="shared" si="21"/>
        <v>0.39285714285714285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 t="s">
        <v>1530</v>
      </c>
      <c r="T373" s="70" t="s">
        <v>1530</v>
      </c>
      <c r="U373" s="70" t="s">
        <v>1530</v>
      </c>
      <c r="V373" s="70" t="s">
        <v>1530</v>
      </c>
      <c r="W373" s="70" t="s">
        <v>1530</v>
      </c>
      <c r="X373" s="70" t="s">
        <v>1530</v>
      </c>
      <c r="Y373" s="70" t="s">
        <v>1530</v>
      </c>
      <c r="Z373" s="70" t="s">
        <v>1530</v>
      </c>
      <c r="AA373" s="70" t="s">
        <v>1530</v>
      </c>
      <c r="AB373" s="70" t="s">
        <v>1530</v>
      </c>
      <c r="AC373" s="70" t="s">
        <v>1530</v>
      </c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11</v>
      </c>
      <c r="J376" s="31">
        <f t="shared" si="20"/>
        <v>17</v>
      </c>
      <c r="K376" s="32">
        <f t="shared" si="21"/>
        <v>0.39285714285714285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 t="s">
        <v>1530</v>
      </c>
      <c r="T376" s="70" t="s">
        <v>1530</v>
      </c>
      <c r="U376" s="70" t="s">
        <v>1530</v>
      </c>
      <c r="V376" s="70" t="s">
        <v>1530</v>
      </c>
      <c r="W376" s="70" t="s">
        <v>1530</v>
      </c>
      <c r="X376" s="70" t="s">
        <v>1530</v>
      </c>
      <c r="Y376" s="70" t="s">
        <v>1530</v>
      </c>
      <c r="Z376" s="70" t="s">
        <v>1530</v>
      </c>
      <c r="AA376" s="70" t="s">
        <v>1530</v>
      </c>
      <c r="AB376" s="70" t="s">
        <v>1530</v>
      </c>
      <c r="AC376" s="70" t="s">
        <v>1530</v>
      </c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21</v>
      </c>
      <c r="J380" s="31">
        <f t="shared" si="20"/>
        <v>7</v>
      </c>
      <c r="K380" s="32">
        <f t="shared" si="21"/>
        <v>0.75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 t="s">
        <v>1530</v>
      </c>
      <c r="Y380" s="70" t="s">
        <v>1530</v>
      </c>
      <c r="Z380" s="70" t="s">
        <v>1530</v>
      </c>
      <c r="AA380" s="70" t="s">
        <v>1530</v>
      </c>
      <c r="AB380" s="70" t="s">
        <v>1530</v>
      </c>
      <c r="AC380" s="70" t="s">
        <v>1530</v>
      </c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21</v>
      </c>
      <c r="J381" s="31">
        <f t="shared" si="20"/>
        <v>7</v>
      </c>
      <c r="K381" s="32">
        <f t="shared" si="21"/>
        <v>0.75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 t="s">
        <v>1530</v>
      </c>
      <c r="Y381" s="70" t="s">
        <v>1530</v>
      </c>
      <c r="Z381" s="70" t="s">
        <v>1530</v>
      </c>
      <c r="AA381" s="70" t="s">
        <v>1530</v>
      </c>
      <c r="AB381" s="70" t="s">
        <v>1530</v>
      </c>
      <c r="AC381" s="70" t="s">
        <v>1530</v>
      </c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21</v>
      </c>
      <c r="J382" s="31">
        <f t="shared" si="20"/>
        <v>7</v>
      </c>
      <c r="K382" s="32">
        <f t="shared" si="21"/>
        <v>0.75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 t="s">
        <v>1530</v>
      </c>
      <c r="Y382" s="70" t="s">
        <v>1530</v>
      </c>
      <c r="Z382" s="70" t="s">
        <v>1530</v>
      </c>
      <c r="AA382" s="70" t="s">
        <v>1530</v>
      </c>
      <c r="AB382" s="70" t="s">
        <v>1530</v>
      </c>
      <c r="AC382" s="70" t="s">
        <v>1530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21</v>
      </c>
      <c r="J383" s="31">
        <f t="shared" si="20"/>
        <v>7</v>
      </c>
      <c r="K383" s="32">
        <f t="shared" si="21"/>
        <v>0.75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 t="s">
        <v>1530</v>
      </c>
      <c r="Y383" s="70" t="s">
        <v>1530</v>
      </c>
      <c r="Z383" s="70" t="s">
        <v>1530</v>
      </c>
      <c r="AA383" s="70" t="s">
        <v>1530</v>
      </c>
      <c r="AB383" s="70" t="s">
        <v>1530</v>
      </c>
      <c r="AC383" s="70" t="s">
        <v>1530</v>
      </c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20</v>
      </c>
      <c r="J384" s="31">
        <f t="shared" si="20"/>
        <v>8</v>
      </c>
      <c r="K384" s="32">
        <f t="shared" si="21"/>
        <v>0.7142857142857143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 t="s">
        <v>1530</v>
      </c>
      <c r="W384" s="70" t="s">
        <v>1530</v>
      </c>
      <c r="X384" s="70" t="s">
        <v>1530</v>
      </c>
      <c r="Y384" s="70" t="s">
        <v>1530</v>
      </c>
      <c r="Z384" s="70" t="s">
        <v>1530</v>
      </c>
      <c r="AA384" s="70" t="s">
        <v>1530</v>
      </c>
      <c r="AB384" s="70" t="s">
        <v>1530</v>
      </c>
      <c r="AC384" s="70" t="s">
        <v>1530</v>
      </c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11</v>
      </c>
      <c r="J392" s="31">
        <f t="shared" si="20"/>
        <v>17</v>
      </c>
      <c r="K392" s="32">
        <f t="shared" si="21"/>
        <v>0.39285714285714285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 t="s">
        <v>1530</v>
      </c>
      <c r="T392" s="70" t="s">
        <v>1530</v>
      </c>
      <c r="U392" s="70" t="s">
        <v>1530</v>
      </c>
      <c r="V392" s="70" t="s">
        <v>1530</v>
      </c>
      <c r="W392" s="70" t="s">
        <v>1530</v>
      </c>
      <c r="X392" s="70" t="s">
        <v>1530</v>
      </c>
      <c r="Y392" s="70" t="s">
        <v>1530</v>
      </c>
      <c r="Z392" s="70" t="s">
        <v>1530</v>
      </c>
      <c r="AA392" s="70" t="s">
        <v>1530</v>
      </c>
      <c r="AB392" s="70" t="s">
        <v>1530</v>
      </c>
      <c r="AC392" s="70" t="s">
        <v>1530</v>
      </c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12</v>
      </c>
      <c r="J393" s="31">
        <f t="shared" si="20"/>
        <v>16</v>
      </c>
      <c r="K393" s="32">
        <f t="shared" si="21"/>
        <v>0.42857142857142855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 t="s">
        <v>1530</v>
      </c>
      <c r="T393" s="70" t="s">
        <v>1530</v>
      </c>
      <c r="U393" s="70" t="s">
        <v>1530</v>
      </c>
      <c r="V393" s="70" t="s">
        <v>1530</v>
      </c>
      <c r="W393" s="70" t="s">
        <v>1530</v>
      </c>
      <c r="X393" s="70" t="s">
        <v>1530</v>
      </c>
      <c r="Y393" s="70" t="s">
        <v>1530</v>
      </c>
      <c r="Z393" s="70" t="s">
        <v>1530</v>
      </c>
      <c r="AA393" s="70" t="s">
        <v>1530</v>
      </c>
      <c r="AB393" s="70" t="s">
        <v>1530</v>
      </c>
      <c r="AC393" s="70" t="s">
        <v>1530</v>
      </c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26</v>
      </c>
      <c r="J397" s="31">
        <f t="shared" si="20"/>
        <v>2</v>
      </c>
      <c r="K397" s="32">
        <f t="shared" si="21"/>
        <v>0.9285714285714286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 t="s">
        <v>1530</v>
      </c>
      <c r="X397" s="70" t="s">
        <v>1530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11</v>
      </c>
      <c r="J398" s="31">
        <f t="shared" si="20"/>
        <v>17</v>
      </c>
      <c r="K398" s="32">
        <f t="shared" si="21"/>
        <v>0.39285714285714285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 t="s">
        <v>1530</v>
      </c>
      <c r="T398" s="70" t="s">
        <v>1530</v>
      </c>
      <c r="U398" s="70" t="s">
        <v>1530</v>
      </c>
      <c r="V398" s="70" t="s">
        <v>1530</v>
      </c>
      <c r="W398" s="70" t="s">
        <v>1530</v>
      </c>
      <c r="X398" s="70" t="s">
        <v>1530</v>
      </c>
      <c r="Y398" s="70" t="s">
        <v>1530</v>
      </c>
      <c r="Z398" s="70" t="s">
        <v>1530</v>
      </c>
      <c r="AA398" s="70" t="s">
        <v>1530</v>
      </c>
      <c r="AB398" s="70" t="s">
        <v>1530</v>
      </c>
      <c r="AC398" s="70" t="s">
        <v>1530</v>
      </c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12</v>
      </c>
      <c r="J404" s="31">
        <f t="shared" si="20"/>
        <v>16</v>
      </c>
      <c r="K404" s="32">
        <f t="shared" si="21"/>
        <v>0.42857142857142855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 t="s">
        <v>1530</v>
      </c>
      <c r="Z404" s="70" t="s">
        <v>1530</v>
      </c>
      <c r="AA404" s="70" t="s">
        <v>1530</v>
      </c>
      <c r="AB404" s="70" t="s">
        <v>1530</v>
      </c>
      <c r="AC404" s="70" t="s">
        <v>1530</v>
      </c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11</v>
      </c>
      <c r="J407" s="31">
        <f t="shared" si="20"/>
        <v>17</v>
      </c>
      <c r="K407" s="32">
        <f t="shared" si="21"/>
        <v>0.39285714285714285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 t="s">
        <v>1530</v>
      </c>
      <c r="T407" s="70" t="s">
        <v>1530</v>
      </c>
      <c r="U407" s="70" t="s">
        <v>1530</v>
      </c>
      <c r="V407" s="70" t="s">
        <v>1530</v>
      </c>
      <c r="W407" s="70" t="s">
        <v>1530</v>
      </c>
      <c r="X407" s="70" t="s">
        <v>1530</v>
      </c>
      <c r="Y407" s="70" t="s">
        <v>1530</v>
      </c>
      <c r="Z407" s="70" t="s">
        <v>1530</v>
      </c>
      <c r="AA407" s="70" t="s">
        <v>1530</v>
      </c>
      <c r="AB407" s="70" t="s">
        <v>1530</v>
      </c>
      <c r="AC407" s="70" t="s">
        <v>1530</v>
      </c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25</v>
      </c>
      <c r="J409" s="31">
        <f t="shared" si="20"/>
        <v>3</v>
      </c>
      <c r="K409" s="32">
        <f t="shared" si="21"/>
        <v>0.8928571428571429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 t="s">
        <v>1530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11</v>
      </c>
      <c r="J417" s="31">
        <f t="shared" si="23"/>
        <v>17</v>
      </c>
      <c r="K417" s="32">
        <f t="shared" si="24"/>
        <v>0.39285714285714285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 t="s">
        <v>1530</v>
      </c>
      <c r="T417" s="70" t="s">
        <v>1530</v>
      </c>
      <c r="U417" s="70" t="s">
        <v>1530</v>
      </c>
      <c r="V417" s="70" t="s">
        <v>1530</v>
      </c>
      <c r="W417" s="70" t="s">
        <v>1530</v>
      </c>
      <c r="X417" s="70" t="s">
        <v>1530</v>
      </c>
      <c r="Y417" s="70" t="s">
        <v>1530</v>
      </c>
      <c r="Z417" s="70" t="s">
        <v>1530</v>
      </c>
      <c r="AA417" s="70" t="s">
        <v>1530</v>
      </c>
      <c r="AB417" s="70" t="s">
        <v>1530</v>
      </c>
      <c r="AC417" s="70" t="s">
        <v>1530</v>
      </c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11</v>
      </c>
      <c r="J418" s="31">
        <f t="shared" si="23"/>
        <v>17</v>
      </c>
      <c r="K418" s="32">
        <f t="shared" si="24"/>
        <v>0.39285714285714285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 t="s">
        <v>1530</v>
      </c>
      <c r="Z418" s="70" t="s">
        <v>1530</v>
      </c>
      <c r="AA418" s="70" t="s">
        <v>1530</v>
      </c>
      <c r="AB418" s="70" t="s">
        <v>1530</v>
      </c>
      <c r="AC418" s="70" t="s">
        <v>1530</v>
      </c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23</v>
      </c>
      <c r="J429" s="31">
        <f t="shared" si="23"/>
        <v>5</v>
      </c>
      <c r="K429" s="32">
        <f t="shared" si="24"/>
        <v>0.8214285714285714</v>
      </c>
      <c r="L429" s="70"/>
      <c r="M429" s="70"/>
      <c r="N429" s="70"/>
      <c r="O429" s="70"/>
      <c r="P429" s="70"/>
      <c r="Q429" s="70"/>
      <c r="R429" s="70"/>
      <c r="S429" s="70" t="s">
        <v>1530</v>
      </c>
      <c r="T429" s="70" t="s">
        <v>1530</v>
      </c>
      <c r="U429" s="70"/>
      <c r="V429" s="70"/>
      <c r="W429" s="70"/>
      <c r="X429" s="70"/>
      <c r="Y429" s="70"/>
      <c r="Z429" s="70"/>
      <c r="AA429" s="70" t="s">
        <v>1530</v>
      </c>
      <c r="AB429" s="70" t="s">
        <v>1530</v>
      </c>
      <c r="AC429" s="70" t="s">
        <v>1530</v>
      </c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19</v>
      </c>
      <c r="J463" s="31">
        <f t="shared" si="23"/>
        <v>9</v>
      </c>
      <c r="K463" s="32">
        <f t="shared" si="24"/>
        <v>0.6785714285714286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 t="s">
        <v>1530</v>
      </c>
      <c r="T463" s="70" t="s">
        <v>1530</v>
      </c>
      <c r="U463" s="70" t="s">
        <v>1530</v>
      </c>
      <c r="V463" s="70" t="s">
        <v>1530</v>
      </c>
      <c r="W463" s="70" t="s">
        <v>1530</v>
      </c>
      <c r="X463" s="70" t="s">
        <v>1530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15</v>
      </c>
      <c r="J467" s="31">
        <f t="shared" si="23"/>
        <v>13</v>
      </c>
      <c r="K467" s="32">
        <f t="shared" si="24"/>
        <v>0.5357142857142857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 t="s">
        <v>1530</v>
      </c>
      <c r="T467" s="70" t="s">
        <v>1530</v>
      </c>
      <c r="U467" s="70" t="s">
        <v>1530</v>
      </c>
      <c r="V467" s="70" t="s">
        <v>1530</v>
      </c>
      <c r="W467" s="70" t="s">
        <v>1530</v>
      </c>
      <c r="X467" s="70" t="s">
        <v>1530</v>
      </c>
      <c r="Y467" s="70" t="s">
        <v>1530</v>
      </c>
      <c r="Z467" s="70" t="s">
        <v>1530</v>
      </c>
      <c r="AA467" s="70" t="s">
        <v>1530</v>
      </c>
      <c r="AB467" s="70" t="s">
        <v>1530</v>
      </c>
      <c r="AC467" s="70" t="s">
        <v>1530</v>
      </c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15</v>
      </c>
      <c r="J468" s="31">
        <f t="shared" si="23"/>
        <v>13</v>
      </c>
      <c r="K468" s="32">
        <f t="shared" si="24"/>
        <v>0.5357142857142857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 t="s">
        <v>1530</v>
      </c>
      <c r="T468" s="70" t="s">
        <v>1530</v>
      </c>
      <c r="U468" s="70" t="s">
        <v>1530</v>
      </c>
      <c r="V468" s="70" t="s">
        <v>1530</v>
      </c>
      <c r="W468" s="70" t="s">
        <v>1530</v>
      </c>
      <c r="X468" s="70" t="s">
        <v>1530</v>
      </c>
      <c r="Y468" s="70" t="s">
        <v>1530</v>
      </c>
      <c r="Z468" s="70" t="s">
        <v>1530</v>
      </c>
      <c r="AA468" s="70" t="s">
        <v>1530</v>
      </c>
      <c r="AB468" s="70" t="s">
        <v>1530</v>
      </c>
      <c r="AC468" s="70" t="s">
        <v>1530</v>
      </c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22</v>
      </c>
      <c r="J476" s="31">
        <f t="shared" si="26"/>
        <v>6</v>
      </c>
      <c r="K476" s="32">
        <f t="shared" si="27"/>
        <v>0.7857142857142857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 t="s">
        <v>1530</v>
      </c>
      <c r="Y476" s="70" t="s">
        <v>1530</v>
      </c>
      <c r="Z476" s="70" t="s">
        <v>1530</v>
      </c>
      <c r="AA476" s="70" t="s">
        <v>1530</v>
      </c>
      <c r="AB476" s="70" t="s">
        <v>1530</v>
      </c>
      <c r="AC476" s="70" t="s">
        <v>1530</v>
      </c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22</v>
      </c>
      <c r="J478" s="31">
        <f t="shared" si="26"/>
        <v>6</v>
      </c>
      <c r="K478" s="32">
        <f t="shared" si="27"/>
        <v>0.7857142857142857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 t="s">
        <v>1530</v>
      </c>
      <c r="Y478" s="70" t="s">
        <v>1530</v>
      </c>
      <c r="Z478" s="70" t="s">
        <v>1530</v>
      </c>
      <c r="AA478" s="70" t="s">
        <v>1530</v>
      </c>
      <c r="AB478" s="70" t="s">
        <v>1530</v>
      </c>
      <c r="AC478" s="70" t="s">
        <v>1530</v>
      </c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11</v>
      </c>
      <c r="J484" s="31">
        <f t="shared" si="26"/>
        <v>17</v>
      </c>
      <c r="K484" s="32">
        <f t="shared" si="27"/>
        <v>0.39285714285714285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 t="s">
        <v>1530</v>
      </c>
      <c r="T484" s="70" t="s">
        <v>1530</v>
      </c>
      <c r="U484" s="70" t="s">
        <v>1530</v>
      </c>
      <c r="V484" s="70" t="s">
        <v>1530</v>
      </c>
      <c r="W484" s="70" t="s">
        <v>1530</v>
      </c>
      <c r="X484" s="70" t="s">
        <v>1530</v>
      </c>
      <c r="Y484" s="70" t="s">
        <v>1530</v>
      </c>
      <c r="Z484" s="70" t="s">
        <v>1530</v>
      </c>
      <c r="AA484" s="70" t="s">
        <v>1530</v>
      </c>
      <c r="AB484" s="70" t="s">
        <v>1530</v>
      </c>
      <c r="AC484" s="70" t="s">
        <v>1530</v>
      </c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11</v>
      </c>
      <c r="J486" s="31">
        <f t="shared" si="26"/>
        <v>17</v>
      </c>
      <c r="K486" s="32">
        <f t="shared" si="27"/>
        <v>0.39285714285714285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 t="s">
        <v>1530</v>
      </c>
      <c r="T486" s="70" t="s">
        <v>1530</v>
      </c>
      <c r="U486" s="70" t="s">
        <v>1530</v>
      </c>
      <c r="V486" s="70" t="s">
        <v>1530</v>
      </c>
      <c r="W486" s="70" t="s">
        <v>1530</v>
      </c>
      <c r="X486" s="70" t="s">
        <v>1530</v>
      </c>
      <c r="Y486" s="70" t="s">
        <v>1530</v>
      </c>
      <c r="Z486" s="70" t="s">
        <v>1530</v>
      </c>
      <c r="AA486" s="70" t="s">
        <v>1530</v>
      </c>
      <c r="AB486" s="70" t="s">
        <v>1530</v>
      </c>
      <c r="AC486" s="70" t="s">
        <v>1530</v>
      </c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27</v>
      </c>
      <c r="J505" s="31">
        <f t="shared" si="26"/>
        <v>1</v>
      </c>
      <c r="K505" s="32">
        <f t="shared" si="27"/>
        <v>0.9642857142857143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 t="s">
        <v>1530</v>
      </c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22</v>
      </c>
      <c r="J507" s="31">
        <f t="shared" si="26"/>
        <v>6</v>
      </c>
      <c r="K507" s="32">
        <f t="shared" si="27"/>
        <v>0.7857142857142857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 t="s">
        <v>1530</v>
      </c>
      <c r="Y507" s="70" t="s">
        <v>1530</v>
      </c>
      <c r="Z507" s="70" t="s">
        <v>1530</v>
      </c>
      <c r="AA507" s="70" t="s">
        <v>1530</v>
      </c>
      <c r="AB507" s="70" t="s">
        <v>1530</v>
      </c>
      <c r="AC507" s="70" t="s">
        <v>1530</v>
      </c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12</v>
      </c>
      <c r="J508" s="31">
        <f t="shared" si="26"/>
        <v>16</v>
      </c>
      <c r="K508" s="32">
        <f t="shared" si="27"/>
        <v>0.42857142857142855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 t="s">
        <v>1530</v>
      </c>
      <c r="T508" s="70" t="s">
        <v>1530</v>
      </c>
      <c r="U508" s="70" t="s">
        <v>1530</v>
      </c>
      <c r="V508" s="70" t="s">
        <v>1530</v>
      </c>
      <c r="W508" s="70" t="s">
        <v>1530</v>
      </c>
      <c r="X508" s="70" t="s">
        <v>1530</v>
      </c>
      <c r="Y508" s="70" t="s">
        <v>1530</v>
      </c>
      <c r="Z508" s="70" t="s">
        <v>1530</v>
      </c>
      <c r="AA508" s="70" t="s">
        <v>1530</v>
      </c>
      <c r="AB508" s="70" t="s">
        <v>1530</v>
      </c>
      <c r="AC508" s="70" t="s">
        <v>1530</v>
      </c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184" zoomScale="90" zoomScaleNormal="90" workbookViewId="0">
      <selection activeCell="B188" sqref="B188:F19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0.14484126984126985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0.14087301587301587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0.12896825396825398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9.5238095238095233E-2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7.7380952380952384E-2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0.13293650793650794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-3.1746031746031744E-2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36</v>
      </c>
      <c r="E97" s="109">
        <f>D97/C97</f>
        <v>0.13284132841328414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31</v>
      </c>
      <c r="E98" s="118">
        <f>D98/C98</f>
        <v>0.13304721030042918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0.13690476190476192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0.13690476190476192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0.13690476190476192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0.10119047619047619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0.10119047619047619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34</v>
      </c>
      <c r="E108" s="109">
        <f>D108/C108</f>
        <v>0.12546125461254612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35</v>
      </c>
      <c r="E109" s="118">
        <f>D109/C109</f>
        <v>0.15021459227467812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0.14087301587301587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0.12896825396825398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0.11706349206349206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7.7380952380952384E-2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5.9523809523809521E-2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33</v>
      </c>
      <c r="E119" s="109">
        <f>D119/C119</f>
        <v>0.12177121771217712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38</v>
      </c>
      <c r="E120" s="118">
        <f>D120/C120</f>
        <v>0.1630901287553648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0.13095238095238096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0.12103174603174603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0.10912698412698413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7.7380952380952384E-2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5.9523809523809521E-2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35</v>
      </c>
      <c r="E130" s="109">
        <f>D130/C130</f>
        <v>0.12915129151291513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31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0.15476190476190477</v>
      </c>
      <c r="F135" s="148"/>
    </row>
    <row r="136" spans="2:6" x14ac:dyDescent="0.25">
      <c r="B136" s="53" t="s">
        <v>1251</v>
      </c>
      <c r="C136" s="67">
        <v>4</v>
      </c>
      <c r="D136" s="107">
        <f>C135-C136</f>
        <v>74</v>
      </c>
      <c r="E136" s="55">
        <f>D136/C134</f>
        <v>0.14682539682539683</v>
      </c>
      <c r="F136" s="148"/>
    </row>
    <row r="137" spans="2:6" x14ac:dyDescent="0.25">
      <c r="B137" s="53" t="s">
        <v>1252</v>
      </c>
      <c r="C137" s="67">
        <v>6</v>
      </c>
      <c r="D137" s="107">
        <f>D136-C137</f>
        <v>68</v>
      </c>
      <c r="E137" s="55">
        <f>D137/C134</f>
        <v>0.13492063492063491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0.10119047619047619</v>
      </c>
      <c r="F138" s="148"/>
    </row>
    <row r="139" spans="2:6" ht="15.75" thickBot="1" x14ac:dyDescent="0.3">
      <c r="B139" s="56" t="s">
        <v>1473</v>
      </c>
      <c r="C139" s="135">
        <v>9</v>
      </c>
      <c r="D139" s="108">
        <v>42</v>
      </c>
      <c r="E139" s="74">
        <f>D139/C134</f>
        <v>8.3333333333333329E-2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46</v>
      </c>
      <c r="E141" s="109">
        <f>D141/C141</f>
        <v>0.16974169741697417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32</v>
      </c>
      <c r="E142" s="118">
        <f>D142/C142</f>
        <v>0.13733905579399142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0.20833333333333334</v>
      </c>
      <c r="F146" s="148"/>
    </row>
    <row r="147" spans="2:6" x14ac:dyDescent="0.25">
      <c r="B147" s="53" t="s">
        <v>1251</v>
      </c>
      <c r="C147" s="67">
        <v>3</v>
      </c>
      <c r="D147" s="107">
        <f>C146-C147</f>
        <v>102</v>
      </c>
      <c r="E147" s="55">
        <f>D147/C145</f>
        <v>0.20238095238095238</v>
      </c>
      <c r="F147" s="148"/>
    </row>
    <row r="148" spans="2:6" x14ac:dyDescent="0.25">
      <c r="B148" s="53" t="s">
        <v>1252</v>
      </c>
      <c r="C148" s="67">
        <v>6</v>
      </c>
      <c r="D148" s="107">
        <f>D147-C148</f>
        <v>96</v>
      </c>
      <c r="E148" s="55">
        <f>D148/C145</f>
        <v>0.19047619047619047</v>
      </c>
      <c r="F148" s="148"/>
    </row>
    <row r="149" spans="2:6" x14ac:dyDescent="0.25">
      <c r="B149" s="53" t="s">
        <v>16</v>
      </c>
      <c r="C149" s="98">
        <f>'RESUMEN TOTAL'!Y5</f>
        <v>21</v>
      </c>
      <c r="D149" s="107">
        <f>D148-C149</f>
        <v>75</v>
      </c>
      <c r="E149" s="55">
        <f>D149/C145</f>
        <v>0.14880952380952381</v>
      </c>
      <c r="F149" s="148"/>
    </row>
    <row r="150" spans="2:6" ht="15.75" thickBot="1" x14ac:dyDescent="0.3">
      <c r="B150" s="56" t="s">
        <v>1473</v>
      </c>
      <c r="C150" s="135">
        <v>9</v>
      </c>
      <c r="D150" s="108">
        <f>D149-C150</f>
        <v>66</v>
      </c>
      <c r="E150" s="74">
        <f>D150/C145</f>
        <v>0.13095238095238096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v>49</v>
      </c>
      <c r="E152" s="109">
        <f>D152/C152</f>
        <v>0.18081180811808117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v>56</v>
      </c>
      <c r="E153" s="118">
        <f>D153/C153</f>
        <v>0.24034334763948498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0.15277777777777779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77</v>
      </c>
      <c r="E158" s="55">
        <f>D158/C156</f>
        <v>0.15277777777777779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77</v>
      </c>
      <c r="E159" s="55">
        <f>D159/C156</f>
        <v>0.15277777777777779</v>
      </c>
      <c r="F159" s="148"/>
    </row>
    <row r="160" spans="2:6" x14ac:dyDescent="0.25">
      <c r="B160" s="53" t="s">
        <v>16</v>
      </c>
      <c r="C160" s="98">
        <f>'RESUMEN TOTAL'!Z5</f>
        <v>15</v>
      </c>
      <c r="D160" s="107">
        <f>D159-C160</f>
        <v>62</v>
      </c>
      <c r="E160" s="55">
        <f>D160/C156</f>
        <v>0.12301587301587301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62</v>
      </c>
      <c r="E161" s="74">
        <f>D161/C156</f>
        <v>0.12301587301587301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47</v>
      </c>
      <c r="E163" s="109">
        <f>D163/C163</f>
        <v>0.17343173431734318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30</v>
      </c>
      <c r="E164" s="118">
        <f>D164/C164</f>
        <v>0.12875536480686695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0.18452380952380953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93</v>
      </c>
      <c r="E169" s="55">
        <f>D169/C167</f>
        <v>0.18452380952380953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93</v>
      </c>
      <c r="E170" s="55">
        <f>D170/C167</f>
        <v>0.18452380952380953</v>
      </c>
      <c r="F170" s="148"/>
    </row>
    <row r="171" spans="2:6" x14ac:dyDescent="0.25">
      <c r="B171" s="53" t="s">
        <v>16</v>
      </c>
      <c r="C171" s="98">
        <f>'RESUMEN TOTAL'!AA5</f>
        <v>15</v>
      </c>
      <c r="D171" s="107">
        <f>D170-C171</f>
        <v>78</v>
      </c>
      <c r="E171" s="55">
        <f>D171/C167</f>
        <v>0.15476190476190477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78</v>
      </c>
      <c r="E172" s="74">
        <f>D172/C167</f>
        <v>0.15476190476190477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45</v>
      </c>
      <c r="E175" s="118">
        <f>D175/C175</f>
        <v>0.19313304721030042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0.18650793650793651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94</v>
      </c>
      <c r="E180" s="55">
        <f>D180/C178</f>
        <v>0.18650793650793651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94</v>
      </c>
      <c r="E181" s="55">
        <f>D181/C178</f>
        <v>0.18650793650793651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0.18650793650793651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94</v>
      </c>
      <c r="E183" s="74">
        <f>D183/C178</f>
        <v>0.18650793650793651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51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43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0.1765873015873016</v>
      </c>
      <c r="F190" s="148"/>
    </row>
    <row r="191" spans="2:6" x14ac:dyDescent="0.25">
      <c r="B191" s="53" t="s">
        <v>1251</v>
      </c>
      <c r="C191" s="67">
        <v>6</v>
      </c>
      <c r="D191" s="107">
        <f>C190-C191</f>
        <v>83</v>
      </c>
      <c r="E191" s="55">
        <f>D191/C189</f>
        <v>0.16468253968253968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77</v>
      </c>
      <c r="E192" s="55">
        <f>D192/C189</f>
        <v>0.15277777777777779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0.11904761904761904</v>
      </c>
      <c r="F193" s="148"/>
    </row>
    <row r="194" spans="2:6" ht="15.75" thickBot="1" x14ac:dyDescent="0.3">
      <c r="B194" s="56" t="s">
        <v>1473</v>
      </c>
      <c r="C194" s="135">
        <v>9</v>
      </c>
      <c r="D194" s="108">
        <f>D193-C194</f>
        <v>51</v>
      </c>
      <c r="E194" s="74">
        <f>D194/C189</f>
        <v>0.10119047619047619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52</v>
      </c>
      <c r="E196" s="109">
        <f>D196/C196</f>
        <v>0.1918819188191882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37</v>
      </c>
      <c r="E197" s="118">
        <f>D197/C197</f>
        <v>0.15879828326180256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17</v>
      </c>
      <c r="D204" s="107">
        <f>D203-C204</f>
        <v>-17</v>
      </c>
      <c r="E204" s="55">
        <f>D204/C200</f>
        <v>-3.3730158730158728E-2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-17</v>
      </c>
      <c r="E205" s="74">
        <f>D205/C200</f>
        <v>-3.3730158730158728E-2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 t="str">
        <f>'RESUMEN TOTAL'!AB21</f>
        <v>APAGADO</v>
      </c>
      <c r="W17" s="70" t="str">
        <f>'RESUMEN TOTAL'!AC21</f>
        <v>APAGADO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 t="str">
        <f>'RESUMEN TOTAL'!Y23</f>
        <v>APAGADO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 t="str">
        <f>'RESUMEN TOTAL'!Y24</f>
        <v>APAGADO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 t="str">
        <f>'RESUMEN TOTAL'!Y25</f>
        <v>APAGADO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 t="str">
        <f>'RESUMEN TOTAL'!Y26</f>
        <v>APAGADO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 t="str">
        <f>'RESUMEN TOTAL'!Y27</f>
        <v>APAGADO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 t="str">
        <f>'RESUMEN TOTAL'!Y28</f>
        <v>APAGADO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 t="str">
        <f>'RESUMEN TOTAL'!S39</f>
        <v>APAGADO</v>
      </c>
      <c r="N29" s="70" t="str">
        <f>'RESUMEN TOTAL'!T39</f>
        <v>APAGADO</v>
      </c>
      <c r="O29" s="70" t="str">
        <f>'RESUMEN TOTAL'!U39</f>
        <v>APAGADO</v>
      </c>
      <c r="P29" s="70" t="str">
        <f>'RESUMEN TOTAL'!V39</f>
        <v>APAGADO</v>
      </c>
      <c r="Q29" s="70" t="str">
        <f>'RESUMEN TOTAL'!W39</f>
        <v>APAGADO</v>
      </c>
      <c r="R29" s="70" t="str">
        <f>'RESUMEN TOTAL'!X39</f>
        <v>APAGADO</v>
      </c>
      <c r="S29" s="70" t="str">
        <f>'RESUMEN TOTAL'!Y39</f>
        <v>APAGADO</v>
      </c>
      <c r="T29" s="70" t="str">
        <f>'RESUMEN TOTAL'!Z39</f>
        <v>APAGADO</v>
      </c>
      <c r="U29" s="70" t="str">
        <f>'RESUMEN TOTAL'!AA39</f>
        <v>APAGADO</v>
      </c>
      <c r="V29" s="70" t="str">
        <f>'RESUMEN TOTAL'!AB39</f>
        <v>APAGADO</v>
      </c>
      <c r="W29" s="70" t="str">
        <f>'RESUMEN TOTAL'!AC39</f>
        <v>APAGADO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 t="str">
        <f>'RESUMEN TOTAL'!AA40</f>
        <v>APAGADO</v>
      </c>
      <c r="V30" s="70" t="str">
        <f>'RESUMEN TOTAL'!AB40</f>
        <v>APAGADO</v>
      </c>
      <c r="W30" s="70" t="str">
        <f>'RESUMEN TOTAL'!AC40</f>
        <v>APAGADO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 t="str">
        <f>'RESUMEN TOTAL'!Y54</f>
        <v>APAGADO</v>
      </c>
      <c r="T44" s="70" t="str">
        <f>'RESUMEN TOTAL'!Z54</f>
        <v>APAGADO</v>
      </c>
      <c r="U44" s="70" t="str">
        <f>'RESUMEN TOTAL'!AA54</f>
        <v>APAGADO</v>
      </c>
      <c r="V44" s="70" t="str">
        <f>'RESUMEN TOTAL'!AB54</f>
        <v>APAGADO</v>
      </c>
      <c r="W44" s="70" t="str">
        <f>'RESUMEN TOTAL'!AC54</f>
        <v>APAGADO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 t="str">
        <f>'RESUMEN TOTAL'!AA55</f>
        <v>APAGADO</v>
      </c>
      <c r="V45" s="70" t="str">
        <f>'RESUMEN TOTAL'!AB55</f>
        <v>APAGADO</v>
      </c>
      <c r="W45" s="70" t="str">
        <f>'RESUMEN TOTAL'!AC55</f>
        <v>APAGADO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 t="str">
        <f>'RESUMEN TOTAL'!S56</f>
        <v>APAGADO</v>
      </c>
      <c r="N46" s="70" t="str">
        <f>'RESUMEN TOTAL'!T56</f>
        <v>APAGADO</v>
      </c>
      <c r="O46" s="70" t="str">
        <f>'RESUMEN TOTAL'!U56</f>
        <v>APAGADO</v>
      </c>
      <c r="P46" s="70" t="str">
        <f>'RESUMEN TOTAL'!V56</f>
        <v>APAGADO</v>
      </c>
      <c r="Q46" s="70" t="str">
        <f>'RESUMEN TOTAL'!W56</f>
        <v>APAGADO</v>
      </c>
      <c r="R46" s="70" t="str">
        <f>'RESUMEN TOTAL'!X56</f>
        <v>APAGADO</v>
      </c>
      <c r="S46" s="70" t="str">
        <f>'RESUMEN TOTAL'!Y56</f>
        <v>APAGADO</v>
      </c>
      <c r="T46" s="70" t="str">
        <f>'RESUMEN TOTAL'!Z56</f>
        <v>APAGADO</v>
      </c>
      <c r="U46" s="70" t="str">
        <f>'RESUMEN TOTAL'!AA56</f>
        <v>APAGADO</v>
      </c>
      <c r="V46" s="70" t="str">
        <f>'RESUMEN TOTAL'!AB56</f>
        <v>APAGADO</v>
      </c>
      <c r="W46" s="70" t="str">
        <f>'RESUMEN TOTAL'!AC56</f>
        <v>APAGADO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 t="str">
        <f>'RESUMEN TOTAL'!S58</f>
        <v>APAGADO</v>
      </c>
      <c r="N48" s="70" t="str">
        <f>'RESUMEN TOTAL'!T58</f>
        <v>APAGADO</v>
      </c>
      <c r="O48" s="70" t="str">
        <f>'RESUMEN TOTAL'!U58</f>
        <v>APAGADO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 t="str">
        <f>'RESUMEN TOTAL'!AA58</f>
        <v>APAGADO</v>
      </c>
      <c r="V48" s="70" t="str">
        <f>'RESUMEN TOTAL'!AB58</f>
        <v>APAGADO</v>
      </c>
      <c r="W48" s="70" t="str">
        <f>'RESUMEN TOTAL'!AC58</f>
        <v>APAGADO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 t="str">
        <f>'RESUMEN TOTAL'!AB77</f>
        <v>APAGADO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 t="str">
        <f>'RESUMEN TOTAL'!X85</f>
        <v>APAGADO</v>
      </c>
      <c r="S75" s="70" t="str">
        <f>'RESUMEN TOTAL'!Y85</f>
        <v>APAGADO</v>
      </c>
      <c r="T75" s="70" t="str">
        <f>'RESUMEN TOTAL'!Z85</f>
        <v>APAGADO</v>
      </c>
      <c r="U75" s="70" t="str">
        <f>'RESUMEN TOTAL'!AA85</f>
        <v>APAGADO</v>
      </c>
      <c r="V75" s="70" t="str">
        <f>'RESUMEN TOTAL'!AB85</f>
        <v>APAGADO</v>
      </c>
      <c r="W75" s="70" t="str">
        <f>'RESUMEN TOTAL'!AC85</f>
        <v>APAGADO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 t="str">
        <f>'RESUMEN TOTAL'!S90</f>
        <v>APAGADO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 t="str">
        <f>'RESUMEN TOTAL'!X94</f>
        <v>APAGADO</v>
      </c>
      <c r="S84" s="70" t="str">
        <f>'RESUMEN TOTAL'!Y94</f>
        <v>APAGADO</v>
      </c>
      <c r="T84" s="70" t="str">
        <f>'RESUMEN TOTAL'!Z94</f>
        <v>APAGADO</v>
      </c>
      <c r="U84" s="70" t="str">
        <f>'RESUMEN TOTAL'!AA94</f>
        <v>APAGADO</v>
      </c>
      <c r="V84" s="70" t="str">
        <f>'RESUMEN TOTAL'!AB94</f>
        <v>APAGADO</v>
      </c>
      <c r="W84" s="70" t="str">
        <f>'RESUMEN TOTAL'!AC94</f>
        <v>APAGADO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 t="str">
        <f>'RESUMEN TOTAL'!S95</f>
        <v>APAGADO</v>
      </c>
      <c r="N85" s="70" t="str">
        <f>'RESUMEN TOTAL'!T95</f>
        <v>APAGADO</v>
      </c>
      <c r="O85" s="70" t="str">
        <f>'RESUMEN TOTAL'!U95</f>
        <v>APAGADO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 t="str">
        <f>'RESUMEN TOTAL'!Y105</f>
        <v>APAGADO</v>
      </c>
      <c r="T95" s="70" t="str">
        <f>'RESUMEN TOTAL'!Z105</f>
        <v>APAGADO</v>
      </c>
      <c r="U95" s="70" t="str">
        <f>'RESUMEN TOTAL'!AA105</f>
        <v>APAGADO</v>
      </c>
      <c r="V95" s="70" t="str">
        <f>'RESUMEN TOTAL'!AB105</f>
        <v>APAGADO</v>
      </c>
      <c r="W95" s="70" t="str">
        <f>'RESUMEN TOTAL'!AC105</f>
        <v>APAGADO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 t="str">
        <f>'RESUMEN TOTAL'!Y106</f>
        <v>APAGADO</v>
      </c>
      <c r="T96" s="70" t="str">
        <f>'RESUMEN TOTAL'!Z106</f>
        <v>APAGADO</v>
      </c>
      <c r="U96" s="70" t="str">
        <f>'RESUMEN TOTAL'!AA106</f>
        <v>APAGADO</v>
      </c>
      <c r="V96" s="70" t="str">
        <f>'RESUMEN TOTAL'!AB106</f>
        <v>APAGADO</v>
      </c>
      <c r="W96" s="70" t="str">
        <f>'RESUMEN TOTAL'!AC106</f>
        <v>APAGADO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 t="str">
        <f>'RESUMEN TOTAL'!X107</f>
        <v>APAGADO</v>
      </c>
      <c r="S97" s="70" t="str">
        <f>'RESUMEN TOTAL'!Y107</f>
        <v>APAGADO</v>
      </c>
      <c r="T97" s="70" t="str">
        <f>'RESUMEN TOTAL'!Z107</f>
        <v>APAGADO</v>
      </c>
      <c r="U97" s="70" t="str">
        <f>'RESUMEN TOTAL'!AA107</f>
        <v>APAGADO</v>
      </c>
      <c r="V97" s="70" t="str">
        <f>'RESUMEN TOTAL'!AB107</f>
        <v>APAGADO</v>
      </c>
      <c r="W97" s="70" t="str">
        <f>'RESUMEN TOTAL'!AC107</f>
        <v>APAGADO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 t="str">
        <f>'RESUMEN TOTAL'!S108</f>
        <v>APAGADO</v>
      </c>
      <c r="N98" s="70" t="str">
        <f>'RESUMEN TOTAL'!T108</f>
        <v>APAGADO</v>
      </c>
      <c r="O98" s="70" t="str">
        <f>'RESUMEN TOTAL'!U108</f>
        <v>APAGADO</v>
      </c>
      <c r="P98" s="70" t="str">
        <f>'RESUMEN TOTAL'!V108</f>
        <v>APAGADO</v>
      </c>
      <c r="Q98" s="70" t="str">
        <f>'RESUMEN TOTAL'!W108</f>
        <v>APAGADO</v>
      </c>
      <c r="R98" s="70" t="str">
        <f>'RESUMEN TOTAL'!X108</f>
        <v>APAGADO</v>
      </c>
      <c r="S98" s="70" t="str">
        <f>'RESUMEN TOTAL'!Y108</f>
        <v>APAGADO</v>
      </c>
      <c r="T98" s="70" t="str">
        <f>'RESUMEN TOTAL'!Z108</f>
        <v>APAGADO</v>
      </c>
      <c r="U98" s="70" t="str">
        <f>'RESUMEN TOTAL'!AA108</f>
        <v>APAGADO</v>
      </c>
      <c r="V98" s="70" t="str">
        <f>'RESUMEN TOTAL'!AB108</f>
        <v>APAGADO</v>
      </c>
      <c r="W98" s="70" t="str">
        <f>'RESUMEN TOTAL'!AC108</f>
        <v>APAGADO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 t="str">
        <f>'RESUMEN TOTAL'!W109</f>
        <v>APAGADO</v>
      </c>
      <c r="R99" s="70">
        <f>'RESUMEN TOTAL'!X109</f>
        <v>0</v>
      </c>
      <c r="S99" s="70" t="str">
        <f>'RESUMEN TOTAL'!Y109</f>
        <v>APAGADO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 t="str">
        <f>'RESUMEN TOTAL'!U129</f>
        <v>APAGADO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 t="str">
        <f>'RESUMEN TOTAL'!AA129</f>
        <v>APAGADO</v>
      </c>
      <c r="V112" s="70" t="str">
        <f>'RESUMEN TOTAL'!AB129</f>
        <v>APAGADO</v>
      </c>
      <c r="W112" s="70" t="str">
        <f>'RESUMEN TOTAL'!AC129</f>
        <v>APAGADO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 t="str">
        <f>'RESUMEN TOTAL'!X131</f>
        <v>APAGADO</v>
      </c>
      <c r="S114" s="70" t="str">
        <f>'RESUMEN TOTAL'!Y131</f>
        <v>APAGADO</v>
      </c>
      <c r="T114" s="70" t="str">
        <f>'RESUMEN TOTAL'!Z131</f>
        <v>APAGADO</v>
      </c>
      <c r="U114" s="70" t="str">
        <f>'RESUMEN TOTAL'!AA131</f>
        <v>APAGADO</v>
      </c>
      <c r="V114" s="70" t="str">
        <f>'RESUMEN TOTAL'!AB131</f>
        <v>APAGADO</v>
      </c>
      <c r="W114" s="70" t="str">
        <f>'RESUMEN TOTAL'!AC131</f>
        <v>APAGADO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 t="str">
        <f>'RESUMEN TOTAL'!V133</f>
        <v>APAGADO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 t="str">
        <f>'RESUMEN TOTAL'!AA136</f>
        <v>APAGADO</v>
      </c>
      <c r="V119" s="70" t="str">
        <f>'RESUMEN TOTAL'!AB136</f>
        <v>APAGADO</v>
      </c>
      <c r="W119" s="70" t="str">
        <f>'RESUMEN TOTAL'!AC136</f>
        <v>APAGADO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 t="str">
        <f>'RESUMEN TOTAL'!AA139</f>
        <v>APAGADO</v>
      </c>
      <c r="V122" s="70" t="str">
        <f>'RESUMEN TOTAL'!AB139</f>
        <v>APAGADO</v>
      </c>
      <c r="W122" s="70" t="str">
        <f>'RESUMEN TOTAL'!AC139</f>
        <v>APAGADO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 t="str">
        <f>'RESUMEN TOTAL'!AA140</f>
        <v>APAGADO</v>
      </c>
      <c r="V123" s="70" t="str">
        <f>'RESUMEN TOTAL'!AB140</f>
        <v>APAGADO</v>
      </c>
      <c r="W123" s="70" t="str">
        <f>'RESUMEN TOTAL'!AC140</f>
        <v>APAGADO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 t="str">
        <f>'RESUMEN TOTAL'!S145</f>
        <v>APAGADO</v>
      </c>
      <c r="N126" s="70" t="str">
        <f>'RESUMEN TOTAL'!T145</f>
        <v>APAGADO</v>
      </c>
      <c r="O126" s="70" t="str">
        <f>'RESUMEN TOTAL'!U145</f>
        <v>APAGADO</v>
      </c>
      <c r="P126" s="70" t="str">
        <f>'RESUMEN TOTAL'!V145</f>
        <v>APAGADO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 t="str">
        <f>'RESUMEN TOTAL'!AA145</f>
        <v>APAGADO</v>
      </c>
      <c r="V126" s="70" t="str">
        <f>'RESUMEN TOTAL'!AB145</f>
        <v>APAGADO</v>
      </c>
      <c r="W126" s="70" t="str">
        <f>'RESUMEN TOTAL'!AC145</f>
        <v>APAGADO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 t="str">
        <f>'RESUMEN TOTAL'!S146</f>
        <v>APAGADO</v>
      </c>
      <c r="N127" s="70" t="str">
        <f>'RESUMEN TOTAL'!T146</f>
        <v>APAGADO</v>
      </c>
      <c r="O127" s="70" t="str">
        <f>'RESUMEN TOTAL'!U146</f>
        <v>APAGADO</v>
      </c>
      <c r="P127" s="70" t="str">
        <f>'RESUMEN TOTAL'!V146</f>
        <v>APAGADO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 t="str">
        <f>'RESUMEN TOTAL'!AA146</f>
        <v>APAGADO</v>
      </c>
      <c r="V127" s="70" t="str">
        <f>'RESUMEN TOTAL'!AB146</f>
        <v>APAGADO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 t="str">
        <f>'RESUMEN TOTAL'!AA147</f>
        <v>APAGADO</v>
      </c>
      <c r="V128" s="70" t="str">
        <f>'RESUMEN TOTAL'!AB147</f>
        <v>APAGADO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 t="str">
        <f>'RESUMEN TOTAL'!S148</f>
        <v>APAGADO</v>
      </c>
      <c r="N129" s="70" t="str">
        <f>'RESUMEN TOTAL'!T148</f>
        <v>APAGADO</v>
      </c>
      <c r="O129" s="70" t="str">
        <f>'RESUMEN TOTAL'!U148</f>
        <v>APAGADO</v>
      </c>
      <c r="P129" s="70" t="str">
        <f>'RESUMEN TOTAL'!V148</f>
        <v>APAGADO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 t="str">
        <f>'RESUMEN TOTAL'!AA148</f>
        <v>APAGADO</v>
      </c>
      <c r="V129" s="70" t="str">
        <f>'RESUMEN TOTAL'!AB148</f>
        <v>APAGADO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 t="str">
        <f>'RESUMEN TOTAL'!U152</f>
        <v>APAGADO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 t="str">
        <f>'RESUMEN TOTAL'!S171</f>
        <v>APAGADO</v>
      </c>
      <c r="N148" s="70" t="str">
        <f>'RESUMEN TOTAL'!T171</f>
        <v>APAGADO</v>
      </c>
      <c r="O148" s="70" t="str">
        <f>'RESUMEN TOTAL'!U171</f>
        <v>APAGADO</v>
      </c>
      <c r="P148" s="70" t="str">
        <f>'RESUMEN TOTAL'!V171</f>
        <v>APAGADO</v>
      </c>
      <c r="Q148" s="70" t="str">
        <f>'RESUMEN TOTAL'!W171</f>
        <v>APAGADO</v>
      </c>
      <c r="R148" s="70" t="str">
        <f>'RESUMEN TOTAL'!X171</f>
        <v>APAGADO</v>
      </c>
      <c r="S148" s="70" t="str">
        <f>'RESUMEN TOTAL'!Y171</f>
        <v>APAGADO</v>
      </c>
      <c r="T148" s="70" t="str">
        <f>'RESUMEN TOTAL'!Z171</f>
        <v>APAGADO</v>
      </c>
      <c r="U148" s="70" t="str">
        <f>'RESUMEN TOTAL'!AA171</f>
        <v>APAGADO</v>
      </c>
      <c r="V148" s="70" t="str">
        <f>'RESUMEN TOTAL'!AB171</f>
        <v>APAGADO</v>
      </c>
      <c r="W148" s="70" t="str">
        <f>'RESUMEN TOTAL'!AC171</f>
        <v>APAGADO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 t="str">
        <f>'RESUMEN TOTAL'!S175</f>
        <v>APAGADO</v>
      </c>
      <c r="N152" s="70" t="str">
        <f>'RESUMEN TOTAL'!T175</f>
        <v>APAGADO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 t="str">
        <f>'RESUMEN TOTAL'!AB175</f>
        <v>APAGADO</v>
      </c>
      <c r="W152" s="70" t="str">
        <f>'RESUMEN TOTAL'!AC175</f>
        <v>APAGADO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 t="str">
        <f>'RESUMEN TOTAL'!S176</f>
        <v>APAGADO</v>
      </c>
      <c r="N153" s="70" t="str">
        <f>'RESUMEN TOTAL'!T176</f>
        <v>APAGADO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 t="str">
        <f>'RESUMEN TOTAL'!AC176</f>
        <v>APAGADO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 t="str">
        <f>'RESUMEN TOTAL'!S177</f>
        <v>APAGADO</v>
      </c>
      <c r="N154" s="70" t="str">
        <f>'RESUMEN TOTAL'!T177</f>
        <v>APAGADO</v>
      </c>
      <c r="O154" s="70" t="str">
        <f>'RESUMEN TOTAL'!U177</f>
        <v>APAGADO</v>
      </c>
      <c r="P154" s="70" t="str">
        <f>'RESUMEN TOTAL'!V177</f>
        <v>APAGADO</v>
      </c>
      <c r="Q154" s="70" t="str">
        <f>'RESUMEN TOTAL'!W177</f>
        <v>APAGADO</v>
      </c>
      <c r="R154" s="70" t="str">
        <f>'RESUMEN TOTAL'!X177</f>
        <v>APAGADO</v>
      </c>
      <c r="S154" s="70" t="str">
        <f>'RESUMEN TOTAL'!Y177</f>
        <v>APAGADO</v>
      </c>
      <c r="T154" s="70" t="str">
        <f>'RESUMEN TOTAL'!Z177</f>
        <v>APAGADO</v>
      </c>
      <c r="U154" s="70" t="str">
        <f>'RESUMEN TOTAL'!AA177</f>
        <v>APAGADO</v>
      </c>
      <c r="V154" s="70" t="str">
        <f>'RESUMEN TOTAL'!AB177</f>
        <v>APAGADO</v>
      </c>
      <c r="W154" s="70" t="str">
        <f>'RESUMEN TOTAL'!AC177</f>
        <v>APAGADO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 t="str">
        <f>'RESUMEN TOTAL'!S178</f>
        <v>APAGADO</v>
      </c>
      <c r="N155" s="70" t="str">
        <f>'RESUMEN TOTAL'!T178</f>
        <v>APAGADO</v>
      </c>
      <c r="O155" s="70" t="str">
        <f>'RESUMEN TOTAL'!U178</f>
        <v>APAGADO</v>
      </c>
      <c r="P155" s="70" t="str">
        <f>'RESUMEN TOTAL'!V178</f>
        <v>APAGADO</v>
      </c>
      <c r="Q155" s="70" t="str">
        <f>'RESUMEN TOTAL'!W178</f>
        <v>APAGADO</v>
      </c>
      <c r="R155" s="70" t="str">
        <f>'RESUMEN TOTAL'!X178</f>
        <v>APAGADO</v>
      </c>
      <c r="S155" s="70" t="str">
        <f>'RESUMEN TOTAL'!Y178</f>
        <v>APAGADO</v>
      </c>
      <c r="T155" s="70" t="str">
        <f>'RESUMEN TOTAL'!Z178</f>
        <v>APAGADO</v>
      </c>
      <c r="U155" s="70" t="str">
        <f>'RESUMEN TOTAL'!AA178</f>
        <v>APAGADO</v>
      </c>
      <c r="V155" s="70" t="str">
        <f>'RESUMEN TOTAL'!AB178</f>
        <v>APAGADO</v>
      </c>
      <c r="W155" s="70" t="str">
        <f>'RESUMEN TOTAL'!AC178</f>
        <v>APAGADO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 t="str">
        <f>'RESUMEN TOTAL'!X190</f>
        <v>APAGADO</v>
      </c>
      <c r="S167" s="70" t="str">
        <f>'RESUMEN TOTAL'!Y190</f>
        <v>APAGADO</v>
      </c>
      <c r="T167" s="70" t="str">
        <f>'RESUMEN TOTAL'!Z190</f>
        <v>APAGADO</v>
      </c>
      <c r="U167" s="70" t="str">
        <f>'RESUMEN TOTAL'!AA190</f>
        <v>APAGADO</v>
      </c>
      <c r="V167" s="70" t="str">
        <f>'RESUMEN TOTAL'!AB190</f>
        <v>APAGADO</v>
      </c>
      <c r="W167" s="70" t="str">
        <f>'RESUMEN TOTAL'!AC190</f>
        <v>APAGADO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 t="str">
        <f>'RESUMEN TOTAL'!S220</f>
        <v>APAGADO</v>
      </c>
      <c r="N194" s="70" t="str">
        <f>'RESUMEN TOTAL'!T220</f>
        <v>APAGADO</v>
      </c>
      <c r="O194" s="70" t="str">
        <f>'RESUMEN TOTAL'!U220</f>
        <v>APAGADO</v>
      </c>
      <c r="P194" s="70" t="str">
        <f>'RESUMEN TOTAL'!V220</f>
        <v>APAGADO</v>
      </c>
      <c r="Q194" s="70" t="str">
        <f>'RESUMEN TOTAL'!W220</f>
        <v>APAGADO</v>
      </c>
      <c r="R194" s="70" t="str">
        <f>'RESUMEN TOTAL'!X220</f>
        <v>APAGADO</v>
      </c>
      <c r="S194" s="70" t="str">
        <f>'RESUMEN TOTAL'!Y220</f>
        <v>APAGADO</v>
      </c>
      <c r="T194" s="70" t="str">
        <f>'RESUMEN TOTAL'!Z220</f>
        <v>APAGADO</v>
      </c>
      <c r="U194" s="70" t="str">
        <f>'RESUMEN TOTAL'!AA220</f>
        <v>APAGADO</v>
      </c>
      <c r="V194" s="70" t="str">
        <f>'RESUMEN TOTAL'!AB220</f>
        <v>APAGADO</v>
      </c>
      <c r="W194" s="70" t="str">
        <f>'RESUMEN TOTAL'!AC220</f>
        <v>APAGADO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 t="str">
        <f>'RESUMEN TOTAL'!S221</f>
        <v>APAGADO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 t="str">
        <f>'RESUMEN TOTAL'!AB221</f>
        <v>APAGADO</v>
      </c>
      <c r="W195" s="70" t="str">
        <f>'RESUMEN TOTAL'!AC221</f>
        <v>APAGADO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 t="str">
        <f>'RESUMEN TOTAL'!S222</f>
        <v>APAGADO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 t="str">
        <f>'RESUMEN TOTAL'!AA222</f>
        <v>APAGADO</v>
      </c>
      <c r="V196" s="70" t="str">
        <f>'RESUMEN TOTAL'!AB222</f>
        <v>APAGADO</v>
      </c>
      <c r="W196" s="70" t="str">
        <f>'RESUMEN TOTAL'!AC222</f>
        <v>APAGADO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 t="str">
        <f>'RESUMEN TOTAL'!Y223</f>
        <v>APAGADO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 t="str">
        <f>'RESUMEN TOTAL'!Y224</f>
        <v>APAGADO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 t="str">
        <f>'RESUMEN TOTAL'!Y225</f>
        <v>APAGADO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 t="str">
        <f>'RESUMEN TOTAL'!S228</f>
        <v>APAGADO</v>
      </c>
      <c r="N202" s="70" t="str">
        <f>'RESUMEN TOTAL'!T228</f>
        <v>APAGADO</v>
      </c>
      <c r="O202" s="70" t="str">
        <f>'RESUMEN TOTAL'!U228</f>
        <v>APAGADO</v>
      </c>
      <c r="P202" s="70" t="str">
        <f>'RESUMEN TOTAL'!V228</f>
        <v>APAGADO</v>
      </c>
      <c r="Q202" s="70" t="str">
        <f>'RESUMEN TOTAL'!W228</f>
        <v>APAGADO</v>
      </c>
      <c r="R202" s="70" t="str">
        <f>'RESUMEN TOTAL'!X228</f>
        <v>APAGADO</v>
      </c>
      <c r="S202" s="70" t="str">
        <f>'RESUMEN TOTAL'!Y228</f>
        <v>APAGADO</v>
      </c>
      <c r="T202" s="70" t="str">
        <f>'RESUMEN TOTAL'!Z228</f>
        <v>APAGADO</v>
      </c>
      <c r="U202" s="70" t="str">
        <f>'RESUMEN TOTAL'!AA228</f>
        <v>APAGADO</v>
      </c>
      <c r="V202" s="70" t="str">
        <f>'RESUMEN TOTAL'!AB228</f>
        <v>APAGADO</v>
      </c>
      <c r="W202" s="70" t="str">
        <f>'RESUMEN TOTAL'!AC228</f>
        <v>APAGADO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 t="str">
        <f>'RESUMEN TOTAL'!S231</f>
        <v>APAGADO</v>
      </c>
      <c r="N205" s="70" t="str">
        <f>'RESUMEN TOTAL'!T231</f>
        <v>APAGADO</v>
      </c>
      <c r="O205" s="70" t="str">
        <f>'RESUMEN TOTAL'!U231</f>
        <v>APAGADO</v>
      </c>
      <c r="P205" s="70">
        <f>'RESUMEN TOTAL'!V231</f>
        <v>0</v>
      </c>
      <c r="Q205" s="70" t="str">
        <f>'RESUMEN TOTAL'!W231</f>
        <v>APAGADO</v>
      </c>
      <c r="R205" s="70" t="str">
        <f>'RESUMEN TOTAL'!X231</f>
        <v>APAGADO</v>
      </c>
      <c r="S205" s="70" t="str">
        <f>'RESUMEN TOTAL'!Y231</f>
        <v>APAGADO</v>
      </c>
      <c r="T205" s="70" t="str">
        <f>'RESUMEN TOTAL'!Z231</f>
        <v>APAGADO</v>
      </c>
      <c r="U205" s="70" t="str">
        <f>'RESUMEN TOTAL'!AA231</f>
        <v>APAGADO</v>
      </c>
      <c r="V205" s="70" t="str">
        <f>'RESUMEN TOTAL'!AB231</f>
        <v>APAGADO</v>
      </c>
      <c r="W205" s="70" t="str">
        <f>'RESUMEN TOTAL'!AC231</f>
        <v>APAGADO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 t="str">
        <f>'RESUMEN TOTAL'!S232</f>
        <v>APAGADO</v>
      </c>
      <c r="N206" s="70" t="str">
        <f>'RESUMEN TOTAL'!T232</f>
        <v>APAGADO</v>
      </c>
      <c r="O206" s="70" t="str">
        <f>'RESUMEN TOTAL'!U232</f>
        <v>APAGADO</v>
      </c>
      <c r="P206" s="70" t="str">
        <f>'RESUMEN TOTAL'!V232</f>
        <v>APAGADO</v>
      </c>
      <c r="Q206" s="70" t="str">
        <f>'RESUMEN TOTAL'!W232</f>
        <v>APAGADO</v>
      </c>
      <c r="R206" s="70" t="str">
        <f>'RESUMEN TOTAL'!X232</f>
        <v>APAGADO</v>
      </c>
      <c r="S206" s="70" t="str">
        <f>'RESUMEN TOTAL'!Y232</f>
        <v>APAGADO</v>
      </c>
      <c r="T206" s="70" t="str">
        <f>'RESUMEN TOTAL'!Z232</f>
        <v>APAGADO</v>
      </c>
      <c r="U206" s="70" t="str">
        <f>'RESUMEN TOTAL'!AA232</f>
        <v>APAGADO</v>
      </c>
      <c r="V206" s="70">
        <f>'RESUMEN TOTAL'!AB232</f>
        <v>0</v>
      </c>
      <c r="W206" s="70" t="str">
        <f>'RESUMEN TOTAL'!AC232</f>
        <v>APAGADO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 t="str">
        <f>'RESUMEN TOTAL'!AC246</f>
        <v>APAGADO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 t="str">
        <f>'RESUMEN TOTAL'!S249</f>
        <v>APAGADO</v>
      </c>
      <c r="N221" s="70" t="str">
        <f>'RESUMEN TOTAL'!T249</f>
        <v>APAGADO</v>
      </c>
      <c r="O221" s="70" t="str">
        <f>'RESUMEN TOTAL'!U249</f>
        <v>APAGADO</v>
      </c>
      <c r="P221" s="70" t="str">
        <f>'RESUMEN TOTAL'!V249</f>
        <v>APAGADO</v>
      </c>
      <c r="Q221" s="70" t="str">
        <f>'RESUMEN TOTAL'!W249</f>
        <v>APAGADO</v>
      </c>
      <c r="R221" s="70" t="str">
        <f>'RESUMEN TOTAL'!X249</f>
        <v>APAGADO</v>
      </c>
      <c r="S221" s="70" t="str">
        <f>'RESUMEN TOTAL'!Y249</f>
        <v>APAGADO</v>
      </c>
      <c r="T221" s="70" t="str">
        <f>'RESUMEN TOTAL'!Z249</f>
        <v>APAGADO</v>
      </c>
      <c r="U221" s="70" t="str">
        <f>'RESUMEN TOTAL'!AA249</f>
        <v>APAGADO</v>
      </c>
      <c r="V221" s="70" t="str">
        <f>'RESUMEN TOTAL'!AB249</f>
        <v>APAGADO</v>
      </c>
      <c r="W221" s="70" t="str">
        <f>'RESUMEN TOTAL'!AC249</f>
        <v>APAGADO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 t="str">
        <f>'RESUMEN TOTAL'!AA254</f>
        <v>APAGADO</v>
      </c>
      <c r="V226" s="70" t="str">
        <f>'RESUMEN TOTAL'!AB254</f>
        <v>APAGADO</v>
      </c>
      <c r="W226" s="70" t="str">
        <f>'RESUMEN TOTAL'!AC254</f>
        <v>APAGADO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 t="str">
        <f>'RESUMEN TOTAL'!S265</f>
        <v>APAGADO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 t="str">
        <f>'RESUMEN TOTAL'!AA265</f>
        <v>APAGADO</v>
      </c>
      <c r="V235" s="70" t="str">
        <f>'RESUMEN TOTAL'!AB265</f>
        <v>APAGADO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 t="str">
        <f>'RESUMEN TOTAL'!S267</f>
        <v>APAGADO</v>
      </c>
      <c r="N237" s="70" t="str">
        <f>'RESUMEN TOTAL'!T267</f>
        <v>APAGADO</v>
      </c>
      <c r="O237" s="70" t="str">
        <f>'RESUMEN TOTAL'!U267</f>
        <v>APAGADO</v>
      </c>
      <c r="P237" s="70" t="str">
        <f>'RESUMEN TOTAL'!V267</f>
        <v>APAGADO</v>
      </c>
      <c r="Q237" s="70" t="str">
        <f>'RESUMEN TOTAL'!W267</f>
        <v>APAGADO</v>
      </c>
      <c r="R237" s="70" t="str">
        <f>'RESUMEN TOTAL'!X267</f>
        <v>APAGADO</v>
      </c>
      <c r="S237" s="70" t="str">
        <f>'RESUMEN TOTAL'!Y267</f>
        <v>APAGADO</v>
      </c>
      <c r="T237" s="70" t="str">
        <f>'RESUMEN TOTAL'!Z267</f>
        <v>APAGADO</v>
      </c>
      <c r="U237" s="70" t="str">
        <f>'RESUMEN TOTAL'!AA267</f>
        <v>APAGADO</v>
      </c>
      <c r="V237" s="70" t="str">
        <f>'RESUMEN TOTAL'!AB267</f>
        <v>APAGADO</v>
      </c>
      <c r="W237" s="70" t="str">
        <f>'RESUMEN TOTAL'!AC267</f>
        <v>APAGADO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 t="str">
        <f>'RESUMEN TOTAL'!S268</f>
        <v>APAGADO</v>
      </c>
      <c r="N238" s="70" t="str">
        <f>'RESUMEN TOTAL'!T268</f>
        <v>APAGADO</v>
      </c>
      <c r="O238" s="70" t="str">
        <f>'RESUMEN TOTAL'!U268</f>
        <v>APAGADO</v>
      </c>
      <c r="P238" s="70" t="str">
        <f>'RESUMEN TOTAL'!V268</f>
        <v>APAGADO</v>
      </c>
      <c r="Q238" s="70" t="str">
        <f>'RESUMEN TOTAL'!W268</f>
        <v>APAGADO</v>
      </c>
      <c r="R238" s="70" t="str">
        <f>'RESUMEN TOTAL'!X268</f>
        <v>APAGADO</v>
      </c>
      <c r="S238" s="70" t="str">
        <f>'RESUMEN TOTAL'!Y268</f>
        <v>APAGADO</v>
      </c>
      <c r="T238" s="70" t="str">
        <f>'RESUMEN TOTAL'!Z268</f>
        <v>APAGADO</v>
      </c>
      <c r="U238" s="70" t="str">
        <f>'RESUMEN TOTAL'!AA268</f>
        <v>APAGADO</v>
      </c>
      <c r="V238" s="70" t="str">
        <f>'RESUMEN TOTAL'!AB268</f>
        <v>APAGADO</v>
      </c>
      <c r="W238" s="70" t="str">
        <f>'RESUMEN TOTAL'!AC268</f>
        <v>APAGADO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 t="str">
        <f>'RESUMEN TOTAL'!AA269</f>
        <v>APAGADO</v>
      </c>
      <c r="V239" s="70" t="str">
        <f>'RESUMEN TOTAL'!AB269</f>
        <v>APAGADO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 t="str">
        <f>'RESUMEN TOTAL'!S271</f>
        <v>APAGADO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 t="str">
        <f>'RESUMEN TOTAL'!AA271</f>
        <v>APAGADO</v>
      </c>
      <c r="V241" s="70" t="str">
        <f>'RESUMEN TOTAL'!AB271</f>
        <v>APAGADO</v>
      </c>
      <c r="W241" s="70" t="str">
        <f>'RESUMEN TOTAL'!AC271</f>
        <v>APAGADO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 t="str">
        <f>'RESUMEN TOTAL'!S272</f>
        <v>APAGADO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 t="str">
        <f>'RESUMEN TOTAL'!AA272</f>
        <v>APAGADO</v>
      </c>
      <c r="V242" s="70" t="str">
        <f>'RESUMEN TOTAL'!AB272</f>
        <v>APAGADO</v>
      </c>
      <c r="W242" s="70" t="str">
        <f>'RESUMEN TOTAL'!AC272</f>
        <v>APAGADO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 t="str">
        <f>'RESUMEN TOTAL'!S273</f>
        <v>APAGADO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 t="str">
        <f>'RESUMEN TOTAL'!AA273</f>
        <v>APAGADO</v>
      </c>
      <c r="V243" s="70" t="str">
        <f>'RESUMEN TOTAL'!AB273</f>
        <v>APAGADO</v>
      </c>
      <c r="W243" s="70" t="str">
        <f>'RESUMEN TOTAL'!AC273</f>
        <v>APAGADO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 t="str">
        <f>'RESUMEN TOTAL'!Y278</f>
        <v>APAGADO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 t="str">
        <f>'RESUMEN TOTAL'!S279</f>
        <v>APAGADO</v>
      </c>
      <c r="N249" s="70" t="str">
        <f>'RESUMEN TOTAL'!T279</f>
        <v>APAGADO</v>
      </c>
      <c r="O249" s="70" t="str">
        <f>'RESUMEN TOTAL'!U279</f>
        <v>APAGADO</v>
      </c>
      <c r="P249" s="70" t="str">
        <f>'RESUMEN TOTAL'!V279</f>
        <v>APAGADO</v>
      </c>
      <c r="Q249" s="70" t="str">
        <f>'RESUMEN TOTAL'!W279</f>
        <v>APAGADO</v>
      </c>
      <c r="R249" s="70" t="str">
        <f>'RESUMEN TOTAL'!X279</f>
        <v>APAGADO</v>
      </c>
      <c r="S249" s="70" t="str">
        <f>'RESUMEN TOTAL'!Y279</f>
        <v>APAGADO</v>
      </c>
      <c r="T249" s="70" t="str">
        <f>'RESUMEN TOTAL'!Z279</f>
        <v>APAGADO</v>
      </c>
      <c r="U249" s="70" t="str">
        <f>'RESUMEN TOTAL'!AA279</f>
        <v>APAGADO</v>
      </c>
      <c r="V249" s="70" t="str">
        <f>'RESUMEN TOTAL'!AB279</f>
        <v>APAGADO</v>
      </c>
      <c r="W249" s="70" t="str">
        <f>'RESUMEN TOTAL'!AC279</f>
        <v>APAGADO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 t="str">
        <f>'RESUMEN TOTAL'!Y280</f>
        <v>APAGADO</v>
      </c>
      <c r="T250" s="70" t="str">
        <f>'RESUMEN TOTAL'!Z280</f>
        <v>APAGADO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 t="str">
        <f>'RESUMEN TOTAL'!AA281</f>
        <v>APAGADO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 t="str">
        <f>'RESUMEN TOTAL'!AA282</f>
        <v>APAGADO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 t="str">
        <f>'RESUMEN TOTAL'!AA283</f>
        <v>APAGADO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 t="str">
        <f>'RESUMEN TOTAL'!S284</f>
        <v>APAGADO</v>
      </c>
      <c r="N254" s="70" t="str">
        <f>'RESUMEN TOTAL'!T284</f>
        <v>APAGADO</v>
      </c>
      <c r="O254" s="70" t="str">
        <f>'RESUMEN TOTAL'!U284</f>
        <v>APAGADO</v>
      </c>
      <c r="P254" s="70" t="str">
        <f>'RESUMEN TOTAL'!V284</f>
        <v>APAGADO</v>
      </c>
      <c r="Q254" s="70" t="str">
        <f>'RESUMEN TOTAL'!W284</f>
        <v>APAGADO</v>
      </c>
      <c r="R254" s="70" t="str">
        <f>'RESUMEN TOTAL'!X284</f>
        <v>APAGADO</v>
      </c>
      <c r="S254" s="70">
        <f>'RESUMEN TOTAL'!Y284</f>
        <v>0</v>
      </c>
      <c r="T254" s="70" t="str">
        <f>'RESUMEN TOTAL'!Z284</f>
        <v>APAGADO</v>
      </c>
      <c r="U254" s="70" t="str">
        <f>'RESUMEN TOTAL'!AA284</f>
        <v>APAGADO</v>
      </c>
      <c r="V254" s="70" t="str">
        <f>'RESUMEN TOTAL'!AB284</f>
        <v>APAGADO</v>
      </c>
      <c r="W254" s="70" t="str">
        <f>'RESUMEN TOTAL'!AC284</f>
        <v>APAGADO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 t="str">
        <f>'RESUMEN TOTAL'!Y290</f>
        <v>APAGADO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 t="str">
        <f>'RESUMEN TOTAL'!Y291</f>
        <v>APAGADO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 t="str">
        <f>'RESUMEN TOTAL'!Y292</f>
        <v>APAGADO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 t="str">
        <f>'RESUMEN TOTAL'!Y293</f>
        <v>APAGADO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 t="str">
        <f>'RESUMEN TOTAL'!Y294</f>
        <v>APAGADO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 t="str">
        <f>'RESUMEN TOTAL'!Y295</f>
        <v>APAGADO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 t="str">
        <f>'RESUMEN TOTAL'!Y300</f>
        <v>APAGADO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 t="str">
        <f>'RESUMEN TOTAL'!S301</f>
        <v>APAGADO</v>
      </c>
      <c r="N267" s="70" t="str">
        <f>'RESUMEN TOTAL'!T301</f>
        <v>APAGADO</v>
      </c>
      <c r="O267" s="70" t="str">
        <f>'RESUMEN TOTAL'!U301</f>
        <v>APAGADO</v>
      </c>
      <c r="P267" s="70" t="str">
        <f>'RESUMEN TOTAL'!V301</f>
        <v>APAGADO</v>
      </c>
      <c r="Q267" s="70" t="str">
        <f>'RESUMEN TOTAL'!W301</f>
        <v>APAGADO</v>
      </c>
      <c r="R267" s="70" t="str">
        <f>'RESUMEN TOTAL'!X301</f>
        <v>APAGADO</v>
      </c>
      <c r="S267" s="70" t="str">
        <f>'RESUMEN TOTAL'!Y301</f>
        <v>APAGADO</v>
      </c>
      <c r="T267" s="70" t="str">
        <f>'RESUMEN TOTAL'!Z301</f>
        <v>APAGADO</v>
      </c>
      <c r="U267" s="70" t="str">
        <f>'RESUMEN TOTAL'!AA301</f>
        <v>APAGADO</v>
      </c>
      <c r="V267" s="70" t="str">
        <f>'RESUMEN TOTAL'!AB301</f>
        <v>APAGADO</v>
      </c>
      <c r="W267" s="70" t="str">
        <f>'RESUMEN TOTAL'!AC301</f>
        <v>APAGADO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 t="str">
        <f>'RESUMEN TOTAL'!Y302</f>
        <v>APAGADO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 t="str">
        <f>'RESUMEN TOTAL'!Y303</f>
        <v>APAGADO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 t="str">
        <f>'RESUMEN TOTAL'!Y304</f>
        <v>APAGADO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 t="str">
        <f>'RESUMEN TOTAL'!Y305</f>
        <v>APAGADO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 t="str">
        <f>'RESUMEN TOTAL'!Y306</f>
        <v>APAGADO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 t="str">
        <f>'RESUMEN TOTAL'!S307</f>
        <v>APAGADO</v>
      </c>
      <c r="N273" s="70" t="str">
        <f>'RESUMEN TOTAL'!T307</f>
        <v>APAGADO</v>
      </c>
      <c r="O273" s="70" t="str">
        <f>'RESUMEN TOTAL'!U307</f>
        <v>APAGADO</v>
      </c>
      <c r="P273" s="70" t="str">
        <f>'RESUMEN TOTAL'!V307</f>
        <v>APAGADO</v>
      </c>
      <c r="Q273" s="70" t="str">
        <f>'RESUMEN TOTAL'!W307</f>
        <v>APAGADO</v>
      </c>
      <c r="R273" s="70" t="str">
        <f>'RESUMEN TOTAL'!X307</f>
        <v>APAGADO</v>
      </c>
      <c r="S273" s="70" t="str">
        <f>'RESUMEN TOTAL'!Y307</f>
        <v>APAGADO</v>
      </c>
      <c r="T273" s="70" t="str">
        <f>'RESUMEN TOTAL'!Z307</f>
        <v>APAGADO</v>
      </c>
      <c r="U273" s="70" t="str">
        <f>'RESUMEN TOTAL'!AA307</f>
        <v>APAGADO</v>
      </c>
      <c r="V273" s="70">
        <f>'RESUMEN TOTAL'!AB308</f>
        <v>0</v>
      </c>
      <c r="W273" s="70" t="str">
        <f>'RESUMEN TOTAL'!AC307</f>
        <v>APAGADO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 t="str">
        <f>'RESUMEN TOTAL'!Y308</f>
        <v>APAGADO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 t="str">
        <f>'RESUMEN TOTAL'!Y309</f>
        <v>APAGADO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 t="str">
        <f>'RESUMEN TOTAL'!Y310</f>
        <v>APAGADO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 t="str">
        <f>'RESUMEN TOTAL'!Y311</f>
        <v>APAGADO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 t="str">
        <f>'RESUMEN TOTAL'!Y312</f>
        <v>APAGADO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 t="str">
        <f>'RESUMEN TOTAL'!S319</f>
        <v>APAGADO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 t="str">
        <f>'RESUMEN TOTAL'!X319</f>
        <v>APAGADO</v>
      </c>
      <c r="S282" s="70" t="str">
        <f>'RESUMEN TOTAL'!Y319</f>
        <v>APAGADO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 t="str">
        <f>'RESUMEN TOTAL'!S320</f>
        <v>APAGADO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 t="str">
        <f>'RESUMEN TOTAL'!X320</f>
        <v>APAGADO</v>
      </c>
      <c r="S283" s="70" t="str">
        <f>'RESUMEN TOTAL'!Y320</f>
        <v>APAGADO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 t="str">
        <f>'RESUMEN TOTAL'!U322</f>
        <v>APAGADO</v>
      </c>
      <c r="P285" s="70" t="str">
        <f>'RESUMEN TOTAL'!V322</f>
        <v>APAGADO</v>
      </c>
      <c r="Q285" s="70" t="str">
        <f>'RESUMEN TOTAL'!W322</f>
        <v>APAGADO</v>
      </c>
      <c r="R285" s="70" t="str">
        <f>'RESUMEN TOTAL'!X322</f>
        <v>APAGADO</v>
      </c>
      <c r="S285" s="70">
        <f>'RESUMEN TOTAL'!Y322</f>
        <v>0</v>
      </c>
      <c r="T285" s="70">
        <f>'RESUMEN TOTAL'!Z322</f>
        <v>0</v>
      </c>
      <c r="U285" s="70" t="str">
        <f>'RESUMEN TOTAL'!AA322</f>
        <v>APAGADO</v>
      </c>
      <c r="V285" s="70" t="str">
        <f>'RESUMEN TOTAL'!AB322</f>
        <v>APAGADO</v>
      </c>
      <c r="W285" s="70" t="str">
        <f>'RESUMEN TOTAL'!AC322</f>
        <v>APAGADO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 t="str">
        <f>'RESUMEN TOTAL'!S338</f>
        <v>APAGADO</v>
      </c>
      <c r="N301" s="70" t="str">
        <f>'RESUMEN TOTAL'!T338</f>
        <v>APAGADO</v>
      </c>
      <c r="O301" s="70" t="str">
        <f>'RESUMEN TOTAL'!U338</f>
        <v>APAGADO</v>
      </c>
      <c r="P301" s="70" t="str">
        <f>'RESUMEN TOTAL'!V338</f>
        <v>APAGADO</v>
      </c>
      <c r="Q301" s="70" t="str">
        <f>'RESUMEN TOTAL'!W338</f>
        <v>APAGADO</v>
      </c>
      <c r="R301" s="70" t="str">
        <f>'RESUMEN TOTAL'!X338</f>
        <v>APAGADO</v>
      </c>
      <c r="S301" s="70" t="str">
        <f>'RESUMEN TOTAL'!Y338</f>
        <v>APAGADO</v>
      </c>
      <c r="T301" s="70" t="str">
        <f>'RESUMEN TOTAL'!Z338</f>
        <v>APAGADO</v>
      </c>
      <c r="U301" s="70" t="str">
        <f>'RESUMEN TOTAL'!AA338</f>
        <v>APAGADO</v>
      </c>
      <c r="V301" s="70" t="str">
        <f>'RESUMEN TOTAL'!AB338</f>
        <v>APAGADO</v>
      </c>
      <c r="W301" s="70" t="str">
        <f>'RESUMEN TOTAL'!AC338</f>
        <v>APAGADO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 t="str">
        <f>'RESUMEN TOTAL'!S339</f>
        <v>APAGADO</v>
      </c>
      <c r="N302" s="70" t="str">
        <f>'RESUMEN TOTAL'!T339</f>
        <v>APAGADO</v>
      </c>
      <c r="O302" s="70" t="str">
        <f>'RESUMEN TOTAL'!U339</f>
        <v>APAGADO</v>
      </c>
      <c r="P302" s="70" t="str">
        <f>'RESUMEN TOTAL'!V339</f>
        <v>APAGADO</v>
      </c>
      <c r="Q302" s="70" t="str">
        <f>'RESUMEN TOTAL'!W339</f>
        <v>APAGADO</v>
      </c>
      <c r="R302" s="70" t="str">
        <f>'RESUMEN TOTAL'!X339</f>
        <v>APAGADO</v>
      </c>
      <c r="S302" s="70" t="str">
        <f>'RESUMEN TOTAL'!Y339</f>
        <v>APAGADO</v>
      </c>
      <c r="T302" s="70" t="str">
        <f>'RESUMEN TOTAL'!Z339</f>
        <v>APAGADO</v>
      </c>
      <c r="U302" s="70" t="str">
        <f>'RESUMEN TOTAL'!AA339</f>
        <v>APAGADO</v>
      </c>
      <c r="V302" s="70" t="str">
        <f>'RESUMEN TOTAL'!AB339</f>
        <v>APAGADO</v>
      </c>
      <c r="W302" s="70" t="str">
        <f>'RESUMEN TOTAL'!AC339</f>
        <v>APAGADO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 t="str">
        <f>'RESUMEN TOTAL'!S341</f>
        <v>APAGADO</v>
      </c>
      <c r="N304" s="70" t="str">
        <f>'RESUMEN TOTAL'!T341</f>
        <v>APAGADO</v>
      </c>
      <c r="O304" s="70" t="str">
        <f>'RESUMEN TOTAL'!U341</f>
        <v>APAGADO</v>
      </c>
      <c r="P304" s="70" t="str">
        <f>'RESUMEN TOTAL'!V341</f>
        <v>APAGADO</v>
      </c>
      <c r="Q304" s="70" t="str">
        <f>'RESUMEN TOTAL'!W341</f>
        <v>APAGADO</v>
      </c>
      <c r="R304" s="70" t="str">
        <f>'RESUMEN TOTAL'!X341</f>
        <v>APAGADO</v>
      </c>
      <c r="S304" s="70" t="str">
        <f>'RESUMEN TOTAL'!Y341</f>
        <v>APAGADO</v>
      </c>
      <c r="T304" s="70" t="str">
        <f>'RESUMEN TOTAL'!Z341</f>
        <v>APAGADO</v>
      </c>
      <c r="U304" s="70" t="str">
        <f>'RESUMEN TOTAL'!AA341</f>
        <v>APAGADO</v>
      </c>
      <c r="V304" s="70" t="str">
        <f>'RESUMEN TOTAL'!AB341</f>
        <v>APAGADO</v>
      </c>
      <c r="W304" s="70" t="str">
        <f>'RESUMEN TOTAL'!AC341</f>
        <v>APAGADO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 t="str">
        <f>'RESUMEN TOTAL'!S342</f>
        <v>APAGADO</v>
      </c>
      <c r="N305" s="70" t="str">
        <f>'RESUMEN TOTAL'!T342</f>
        <v>APAGADO</v>
      </c>
      <c r="O305" s="70" t="str">
        <f>'RESUMEN TOTAL'!U342</f>
        <v>APAGADO</v>
      </c>
      <c r="P305" s="70" t="str">
        <f>'RESUMEN TOTAL'!V342</f>
        <v>APAGADO</v>
      </c>
      <c r="Q305" s="70" t="str">
        <f>'RESUMEN TOTAL'!W342</f>
        <v>APAGADO</v>
      </c>
      <c r="R305" s="70" t="str">
        <f>'RESUMEN TOTAL'!X342</f>
        <v>APAGADO</v>
      </c>
      <c r="S305" s="70" t="str">
        <f>'RESUMEN TOTAL'!Y342</f>
        <v>APAGADO</v>
      </c>
      <c r="T305" s="70" t="str">
        <f>'RESUMEN TOTAL'!Z342</f>
        <v>APAGADO</v>
      </c>
      <c r="U305" s="70" t="str">
        <f>'RESUMEN TOTAL'!AA342</f>
        <v>APAGADO</v>
      </c>
      <c r="V305" s="70" t="str">
        <f>'RESUMEN TOTAL'!AB342</f>
        <v>APAGADO</v>
      </c>
      <c r="W305" s="70" t="str">
        <f>'RESUMEN TOTAL'!AC342</f>
        <v>APAGADO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 t="str">
        <f>'RESUMEN TOTAL'!S343</f>
        <v>APAGADO</v>
      </c>
      <c r="N306" s="70" t="str">
        <f>'RESUMEN TOTAL'!T343</f>
        <v>APAGADO</v>
      </c>
      <c r="O306" s="70" t="str">
        <f>'RESUMEN TOTAL'!U343</f>
        <v>APAGADO</v>
      </c>
      <c r="P306" s="70" t="str">
        <f>'RESUMEN TOTAL'!V343</f>
        <v>APAGADO</v>
      </c>
      <c r="Q306" s="70" t="str">
        <f>'RESUMEN TOTAL'!W343</f>
        <v>APAGADO</v>
      </c>
      <c r="R306" s="70" t="str">
        <f>'RESUMEN TOTAL'!X343</f>
        <v>APAGADO</v>
      </c>
      <c r="S306" s="70" t="str">
        <f>'RESUMEN TOTAL'!Y343</f>
        <v>APAGADO</v>
      </c>
      <c r="T306" s="70" t="str">
        <f>'RESUMEN TOTAL'!Z343</f>
        <v>APAGADO</v>
      </c>
      <c r="U306" s="70" t="str">
        <f>'RESUMEN TOTAL'!AA343</f>
        <v>APAGADO</v>
      </c>
      <c r="V306" s="70" t="str">
        <f>'RESUMEN TOTAL'!AB343</f>
        <v>APAGADO</v>
      </c>
      <c r="W306" s="70" t="str">
        <f>'RESUMEN TOTAL'!AC343</f>
        <v>APAGADO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 t="str">
        <f>'RESUMEN TOTAL'!S346</f>
        <v>APAGADO</v>
      </c>
      <c r="N309" s="70" t="str">
        <f>'RESUMEN TOTAL'!T346</f>
        <v>APAGADO</v>
      </c>
      <c r="O309" s="70" t="str">
        <f>'RESUMEN TOTAL'!U346</f>
        <v>APAGADO</v>
      </c>
      <c r="P309" s="70" t="str">
        <f>'RESUMEN TOTAL'!V346</f>
        <v>APAGADO</v>
      </c>
      <c r="Q309" s="70" t="str">
        <f>'RESUMEN TOTAL'!W346</f>
        <v>APAGADO</v>
      </c>
      <c r="R309" s="70" t="str">
        <f>'RESUMEN TOTAL'!X346</f>
        <v>APAGADO</v>
      </c>
      <c r="S309" s="70" t="str">
        <f>'RESUMEN TOTAL'!Y346</f>
        <v>APAGADO</v>
      </c>
      <c r="T309" s="70" t="str">
        <f>'RESUMEN TOTAL'!Z346</f>
        <v>APAGADO</v>
      </c>
      <c r="U309" s="70" t="str">
        <f>'RESUMEN TOTAL'!AA346</f>
        <v>APAGADO</v>
      </c>
      <c r="V309" s="70" t="str">
        <f>'RESUMEN TOTAL'!AB346</f>
        <v>APAGADO</v>
      </c>
      <c r="W309" s="70" t="str">
        <f>'RESUMEN TOTAL'!AC346</f>
        <v>APAGADO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 t="str">
        <f>'RESUMEN TOTAL'!S347</f>
        <v>APAGADO</v>
      </c>
      <c r="N310" s="70" t="str">
        <f>'RESUMEN TOTAL'!T347</f>
        <v>APAGADO</v>
      </c>
      <c r="O310" s="70" t="str">
        <f>'RESUMEN TOTAL'!U347</f>
        <v>APAGADO</v>
      </c>
      <c r="P310" s="70" t="str">
        <f>'RESUMEN TOTAL'!V347</f>
        <v>APAGADO</v>
      </c>
      <c r="Q310" s="70" t="str">
        <f>'RESUMEN TOTAL'!W347</f>
        <v>APAGADO</v>
      </c>
      <c r="R310" s="70" t="str">
        <f>'RESUMEN TOTAL'!X347</f>
        <v>APAGADO</v>
      </c>
      <c r="S310" s="70" t="str">
        <f>'RESUMEN TOTAL'!Y347</f>
        <v>APAGADO</v>
      </c>
      <c r="T310" s="70" t="str">
        <f>'RESUMEN TOTAL'!Z347</f>
        <v>APAGADO</v>
      </c>
      <c r="U310" s="70" t="str">
        <f>'RESUMEN TOTAL'!AA347</f>
        <v>APAGADO</v>
      </c>
      <c r="V310" s="70" t="str">
        <f>'RESUMEN TOTAL'!AB347</f>
        <v>APAGADO</v>
      </c>
      <c r="W310" s="70" t="str">
        <f>'RESUMEN TOTAL'!AC347</f>
        <v>APAGADO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 t="str">
        <f>'RESUMEN TOTAL'!S348</f>
        <v>APAGADO</v>
      </c>
      <c r="N311" s="70" t="str">
        <f>'RESUMEN TOTAL'!T348</f>
        <v>APAGADO</v>
      </c>
      <c r="O311" s="70" t="str">
        <f>'RESUMEN TOTAL'!U348</f>
        <v>APAGADO</v>
      </c>
      <c r="P311" s="70" t="str">
        <f>'RESUMEN TOTAL'!V348</f>
        <v>APAGADO</v>
      </c>
      <c r="Q311" s="70" t="str">
        <f>'RESUMEN TOTAL'!W348</f>
        <v>APAGADO</v>
      </c>
      <c r="R311" s="70" t="str">
        <f>'RESUMEN TOTAL'!X348</f>
        <v>APAGADO</v>
      </c>
      <c r="S311" s="70" t="str">
        <f>'RESUMEN TOTAL'!Y348</f>
        <v>APAGADO</v>
      </c>
      <c r="T311" s="70" t="str">
        <f>'RESUMEN TOTAL'!Z348</f>
        <v>APAGADO</v>
      </c>
      <c r="U311" s="70" t="str">
        <f>'RESUMEN TOTAL'!AA348</f>
        <v>APAGADO</v>
      </c>
      <c r="V311" s="70" t="str">
        <f>'RESUMEN TOTAL'!AB348</f>
        <v>APAGADO</v>
      </c>
      <c r="W311" s="70" t="str">
        <f>'RESUMEN TOTAL'!AC348</f>
        <v>APAGADO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 t="str">
        <f>'RESUMEN TOTAL'!S349</f>
        <v>APAGADO</v>
      </c>
      <c r="N312" s="70" t="str">
        <f>'RESUMEN TOTAL'!T349</f>
        <v>APAGADO</v>
      </c>
      <c r="O312" s="70" t="str">
        <f>'RESUMEN TOTAL'!U349</f>
        <v>APAGADO</v>
      </c>
      <c r="P312" s="70" t="str">
        <f>'RESUMEN TOTAL'!V349</f>
        <v>APAGADO</v>
      </c>
      <c r="Q312" s="70" t="str">
        <f>'RESUMEN TOTAL'!W349</f>
        <v>APAGADO</v>
      </c>
      <c r="R312" s="70" t="str">
        <f>'RESUMEN TOTAL'!X349</f>
        <v>APAGADO</v>
      </c>
      <c r="S312" s="70" t="str">
        <f>'RESUMEN TOTAL'!Y349</f>
        <v>APAGADO</v>
      </c>
      <c r="T312" s="70" t="str">
        <f>'RESUMEN TOTAL'!Z349</f>
        <v>APAGADO</v>
      </c>
      <c r="U312" s="70" t="str">
        <f>'RESUMEN TOTAL'!AA349</f>
        <v>APAGADO</v>
      </c>
      <c r="V312" s="70" t="str">
        <f>'RESUMEN TOTAL'!AB349</f>
        <v>APAGADO</v>
      </c>
      <c r="W312" s="70" t="str">
        <f>'RESUMEN TOTAL'!AC349</f>
        <v>APAGADO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 t="str">
        <f>'RESUMEN TOTAL'!S351</f>
        <v>APAGADO</v>
      </c>
      <c r="N314" s="70" t="str">
        <f>'RESUMEN TOTAL'!T351</f>
        <v>APAGADO</v>
      </c>
      <c r="O314" s="70" t="str">
        <f>'RESUMEN TOTAL'!U351</f>
        <v>APAGADO</v>
      </c>
      <c r="P314" s="70" t="str">
        <f>'RESUMEN TOTAL'!V351</f>
        <v>APAGADO</v>
      </c>
      <c r="Q314" s="70" t="str">
        <f>'RESUMEN TOTAL'!W351</f>
        <v>APAGADO</v>
      </c>
      <c r="R314" s="70" t="str">
        <f>'RESUMEN TOTAL'!X351</f>
        <v>APAGADO</v>
      </c>
      <c r="S314" s="70" t="str">
        <f>'RESUMEN TOTAL'!Y351</f>
        <v>APAGADO</v>
      </c>
      <c r="T314" s="70" t="str">
        <f>'RESUMEN TOTAL'!Z351</f>
        <v>APAGADO</v>
      </c>
      <c r="U314" s="70" t="str">
        <f>'RESUMEN TOTAL'!AA351</f>
        <v>APAGADO</v>
      </c>
      <c r="V314" s="70" t="str">
        <f>'RESUMEN TOTAL'!AB351</f>
        <v>APAGADO</v>
      </c>
      <c r="W314" s="70" t="str">
        <f>'RESUMEN TOTAL'!AC351</f>
        <v>APAGADO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 t="str">
        <f>'RESUMEN TOTAL'!S356</f>
        <v>APAGADO</v>
      </c>
      <c r="N316" s="70" t="str">
        <f>'RESUMEN TOTAL'!T356</f>
        <v>APAGADO</v>
      </c>
      <c r="O316" s="70" t="str">
        <f>'RESUMEN TOTAL'!U356</f>
        <v>APAGADO</v>
      </c>
      <c r="P316" s="70" t="str">
        <f>'RESUMEN TOTAL'!V356</f>
        <v>APAGADO</v>
      </c>
      <c r="Q316" s="70" t="str">
        <f>'RESUMEN TOTAL'!W356</f>
        <v>APAGADO</v>
      </c>
      <c r="R316" s="70" t="str">
        <f>'RESUMEN TOTAL'!X356</f>
        <v>APAGADO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 t="str">
        <f>'RESUMEN TOTAL'!V362</f>
        <v>APAGADO</v>
      </c>
      <c r="Q322" s="70" t="str">
        <f>'RESUMEN TOTAL'!W362</f>
        <v>APAGADO</v>
      </c>
      <c r="R322" s="70" t="str">
        <f>'RESUMEN TOTAL'!X362</f>
        <v>APAGADO</v>
      </c>
      <c r="S322" s="70" t="str">
        <f>'RESUMEN TOTAL'!Y362</f>
        <v>APAGADO</v>
      </c>
      <c r="T322" s="70" t="str">
        <f>'RESUMEN TOTAL'!Z362</f>
        <v>APAGADO</v>
      </c>
      <c r="U322" s="70" t="str">
        <f>'RESUMEN TOTAL'!AA362</f>
        <v>APAGADO</v>
      </c>
      <c r="V322" s="70" t="str">
        <f>'RESUMEN TOTAL'!AB362</f>
        <v>APAGADO</v>
      </c>
      <c r="W322" s="70" t="str">
        <f>'RESUMEN TOTAL'!AC362</f>
        <v>APAGADO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 t="str">
        <f>'RESUMEN TOTAL'!V363</f>
        <v>APAGADO</v>
      </c>
      <c r="Q323" s="70" t="str">
        <f>'RESUMEN TOTAL'!W363</f>
        <v>APAGADO</v>
      </c>
      <c r="R323" s="70" t="str">
        <f>'RESUMEN TOTAL'!X363</f>
        <v>APAGADO</v>
      </c>
      <c r="S323" s="70" t="str">
        <f>'RESUMEN TOTAL'!Y363</f>
        <v>APAGADO</v>
      </c>
      <c r="T323" s="70" t="str">
        <f>'RESUMEN TOTAL'!Z363</f>
        <v>APAGADO</v>
      </c>
      <c r="U323" s="70" t="str">
        <f>'RESUMEN TOTAL'!AA363</f>
        <v>APAGADO</v>
      </c>
      <c r="V323" s="70" t="str">
        <f>'RESUMEN TOTAL'!AB363</f>
        <v>APAGADO</v>
      </c>
      <c r="W323" s="70" t="str">
        <f>'RESUMEN TOTAL'!AC363</f>
        <v>APAGADO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 t="str">
        <f>'RESUMEN TOTAL'!S368</f>
        <v>APAGADO</v>
      </c>
      <c r="N326" s="70" t="str">
        <f>'RESUMEN TOTAL'!T368</f>
        <v>APAGADO</v>
      </c>
      <c r="O326" s="70" t="str">
        <f>'RESUMEN TOTAL'!U368</f>
        <v>APAGADO</v>
      </c>
      <c r="P326" s="70" t="str">
        <f>'RESUMEN TOTAL'!V368</f>
        <v>APAGADO</v>
      </c>
      <c r="Q326" s="70" t="str">
        <f>'RESUMEN TOTAL'!W368</f>
        <v>APAGADO</v>
      </c>
      <c r="R326" s="70" t="str">
        <f>'RESUMEN TOTAL'!X368</f>
        <v>APAGADO</v>
      </c>
      <c r="S326" s="70" t="str">
        <f>'RESUMEN TOTAL'!Y368</f>
        <v>APAGADO</v>
      </c>
      <c r="T326" s="70" t="str">
        <f>'RESUMEN TOTAL'!Z368</f>
        <v>APAGADO</v>
      </c>
      <c r="U326" s="70" t="str">
        <f>'RESUMEN TOTAL'!AA368</f>
        <v>APAGADO</v>
      </c>
      <c r="V326" s="70" t="str">
        <f>'RESUMEN TOTAL'!AB368</f>
        <v>APAGADO</v>
      </c>
      <c r="W326" s="70" t="str">
        <f>'RESUMEN TOTAL'!AC368</f>
        <v>APAGADO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 t="str">
        <f>'RESUMEN TOTAL'!S373</f>
        <v>APAGADO</v>
      </c>
      <c r="N329" s="70" t="str">
        <f>'RESUMEN TOTAL'!T373</f>
        <v>APAGADO</v>
      </c>
      <c r="O329" s="70" t="str">
        <f>'RESUMEN TOTAL'!U373</f>
        <v>APAGADO</v>
      </c>
      <c r="P329" s="70" t="str">
        <f>'RESUMEN TOTAL'!V373</f>
        <v>APAGADO</v>
      </c>
      <c r="Q329" s="70" t="str">
        <f>'RESUMEN TOTAL'!W373</f>
        <v>APAGADO</v>
      </c>
      <c r="R329" s="70" t="str">
        <f>'RESUMEN TOTAL'!X373</f>
        <v>APAGADO</v>
      </c>
      <c r="S329" s="70" t="str">
        <f>'RESUMEN TOTAL'!Y373</f>
        <v>APAGADO</v>
      </c>
      <c r="T329" s="70" t="str">
        <f>'RESUMEN TOTAL'!Z373</f>
        <v>APAGADO</v>
      </c>
      <c r="U329" s="70" t="str">
        <f>'RESUMEN TOTAL'!AA373</f>
        <v>APAGADO</v>
      </c>
      <c r="V329" s="70" t="str">
        <f>'RESUMEN TOTAL'!AB373</f>
        <v>APAGADO</v>
      </c>
      <c r="W329" s="70" t="str">
        <f>'RESUMEN TOTAL'!AC373</f>
        <v>APAGADO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 t="str">
        <f>'RESUMEN TOTAL'!S376</f>
        <v>APAGADO</v>
      </c>
      <c r="N332" s="70" t="str">
        <f>'RESUMEN TOTAL'!T376</f>
        <v>APAGADO</v>
      </c>
      <c r="O332" s="70" t="str">
        <f>'RESUMEN TOTAL'!U376</f>
        <v>APAGADO</v>
      </c>
      <c r="P332" s="70" t="str">
        <f>'RESUMEN TOTAL'!V376</f>
        <v>APAGADO</v>
      </c>
      <c r="Q332" s="70" t="str">
        <f>'RESUMEN TOTAL'!W376</f>
        <v>APAGADO</v>
      </c>
      <c r="R332" s="70" t="str">
        <f>'RESUMEN TOTAL'!X376</f>
        <v>APAGADO</v>
      </c>
      <c r="S332" s="70" t="str">
        <f>'RESUMEN TOTAL'!Y376</f>
        <v>APAGADO</v>
      </c>
      <c r="T332" s="70" t="str">
        <f>'RESUMEN TOTAL'!Z376</f>
        <v>APAGADO</v>
      </c>
      <c r="U332" s="70" t="str">
        <f>'RESUMEN TOTAL'!AA376</f>
        <v>APAGADO</v>
      </c>
      <c r="V332" s="70" t="str">
        <f>'RESUMEN TOTAL'!AB376</f>
        <v>APAGADO</v>
      </c>
      <c r="W332" s="70" t="str">
        <f>'RESUMEN TOTAL'!AC376</f>
        <v>APAGADO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 t="str">
        <f>'RESUMEN TOTAL'!X380</f>
        <v>APAGADO</v>
      </c>
      <c r="S336" s="70" t="str">
        <f>'RESUMEN TOTAL'!Y380</f>
        <v>APAGADO</v>
      </c>
      <c r="T336" s="70" t="str">
        <f>'RESUMEN TOTAL'!Z380</f>
        <v>APAGADO</v>
      </c>
      <c r="U336" s="70" t="str">
        <f>'RESUMEN TOTAL'!AA380</f>
        <v>APAGADO</v>
      </c>
      <c r="V336" s="70" t="str">
        <f>'RESUMEN TOTAL'!AB380</f>
        <v>APAGADO</v>
      </c>
      <c r="W336" s="70" t="str">
        <f>'RESUMEN TOTAL'!AC380</f>
        <v>APAGADO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 t="str">
        <f>'RESUMEN TOTAL'!X381</f>
        <v>APAGADO</v>
      </c>
      <c r="S337" s="70" t="str">
        <f>'RESUMEN TOTAL'!Y381</f>
        <v>APAGADO</v>
      </c>
      <c r="T337" s="70" t="str">
        <f>'RESUMEN TOTAL'!Z381</f>
        <v>APAGADO</v>
      </c>
      <c r="U337" s="70" t="str">
        <f>'RESUMEN TOTAL'!AA381</f>
        <v>APAGADO</v>
      </c>
      <c r="V337" s="70" t="str">
        <f>'RESUMEN TOTAL'!AB381</f>
        <v>APAGADO</v>
      </c>
      <c r="W337" s="70" t="str">
        <f>'RESUMEN TOTAL'!AC381</f>
        <v>APAGADO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 t="str">
        <f>'RESUMEN TOTAL'!X382</f>
        <v>APAGADO</v>
      </c>
      <c r="S338" s="70" t="str">
        <f>'RESUMEN TOTAL'!Y382</f>
        <v>APAGADO</v>
      </c>
      <c r="T338" s="70" t="str">
        <f>'RESUMEN TOTAL'!Z382</f>
        <v>APAGADO</v>
      </c>
      <c r="U338" s="70" t="str">
        <f>'RESUMEN TOTAL'!AA382</f>
        <v>APAGADO</v>
      </c>
      <c r="V338" s="70" t="str">
        <f>'RESUMEN TOTAL'!AB382</f>
        <v>APAGADO</v>
      </c>
      <c r="W338" s="70" t="str">
        <f>'RESUMEN TOTAL'!AC382</f>
        <v>APAGADO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 t="str">
        <f>'RESUMEN TOTAL'!X383</f>
        <v>APAGADO</v>
      </c>
      <c r="S339" s="70" t="str">
        <f>'RESUMEN TOTAL'!Y383</f>
        <v>APAGADO</v>
      </c>
      <c r="T339" s="70" t="str">
        <f>'RESUMEN TOTAL'!Z383</f>
        <v>APAGADO</v>
      </c>
      <c r="U339" s="70" t="str">
        <f>'RESUMEN TOTAL'!AA383</f>
        <v>APAGADO</v>
      </c>
      <c r="V339" s="70" t="str">
        <f>'RESUMEN TOTAL'!AB383</f>
        <v>APAGADO</v>
      </c>
      <c r="W339" s="70" t="str">
        <f>'RESUMEN TOTAL'!AC383</f>
        <v>APAGADO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 t="str">
        <f>'RESUMEN TOTAL'!V384</f>
        <v>APAGADO</v>
      </c>
      <c r="Q340" s="70" t="str">
        <f>'RESUMEN TOTAL'!W384</f>
        <v>APAGADO</v>
      </c>
      <c r="R340" s="70" t="str">
        <f>'RESUMEN TOTAL'!X384</f>
        <v>APAGADO</v>
      </c>
      <c r="S340" s="70" t="str">
        <f>'RESUMEN TOTAL'!Y384</f>
        <v>APAGADO</v>
      </c>
      <c r="T340" s="70" t="str">
        <f>'RESUMEN TOTAL'!Z384</f>
        <v>APAGADO</v>
      </c>
      <c r="U340" s="70" t="str">
        <f>'RESUMEN TOTAL'!AA384</f>
        <v>APAGADO</v>
      </c>
      <c r="V340" s="70" t="str">
        <f>'RESUMEN TOTAL'!AB384</f>
        <v>APAGADO</v>
      </c>
      <c r="W340" s="70" t="str">
        <f>'RESUMEN TOTAL'!AC384</f>
        <v>APAGADO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 t="str">
        <f>'RESUMEN TOTAL'!S392</f>
        <v>APAGADO</v>
      </c>
      <c r="N348" s="70" t="str">
        <f>'RESUMEN TOTAL'!T392</f>
        <v>APAGADO</v>
      </c>
      <c r="O348" s="70" t="str">
        <f>'RESUMEN TOTAL'!U392</f>
        <v>APAGADO</v>
      </c>
      <c r="P348" s="70" t="str">
        <f>'RESUMEN TOTAL'!V392</f>
        <v>APAGADO</v>
      </c>
      <c r="Q348" s="70" t="str">
        <f>'RESUMEN TOTAL'!W392</f>
        <v>APAGADO</v>
      </c>
      <c r="R348" s="70" t="str">
        <f>'RESUMEN TOTAL'!X392</f>
        <v>APAGADO</v>
      </c>
      <c r="S348" s="70" t="str">
        <f>'RESUMEN TOTAL'!Y392</f>
        <v>APAGADO</v>
      </c>
      <c r="T348" s="70" t="str">
        <f>'RESUMEN TOTAL'!Z392</f>
        <v>APAGADO</v>
      </c>
      <c r="U348" s="70" t="str">
        <f>'RESUMEN TOTAL'!AA392</f>
        <v>APAGADO</v>
      </c>
      <c r="V348" s="70" t="str">
        <f>'RESUMEN TOTAL'!AB392</f>
        <v>APAGADO</v>
      </c>
      <c r="W348" s="70" t="str">
        <f>'RESUMEN TOTAL'!AC392</f>
        <v>APAGADO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 t="str">
        <f>'RESUMEN TOTAL'!S393</f>
        <v>APAGADO</v>
      </c>
      <c r="N349" s="70" t="str">
        <f>'RESUMEN TOTAL'!T393</f>
        <v>APAGADO</v>
      </c>
      <c r="O349" s="70" t="str">
        <f>'RESUMEN TOTAL'!U393</f>
        <v>APAGADO</v>
      </c>
      <c r="P349" s="70" t="str">
        <f>'RESUMEN TOTAL'!V393</f>
        <v>APAGADO</v>
      </c>
      <c r="Q349" s="70" t="str">
        <f>'RESUMEN TOTAL'!W393</f>
        <v>APAGADO</v>
      </c>
      <c r="R349" s="70" t="str">
        <f>'RESUMEN TOTAL'!X393</f>
        <v>APAGADO</v>
      </c>
      <c r="S349" s="70" t="str">
        <f>'RESUMEN TOTAL'!Y393</f>
        <v>APAGADO</v>
      </c>
      <c r="T349" s="70" t="str">
        <f>'RESUMEN TOTAL'!Z393</f>
        <v>APAGADO</v>
      </c>
      <c r="U349" s="70" t="str">
        <f>'RESUMEN TOTAL'!AA393</f>
        <v>APAGADO</v>
      </c>
      <c r="V349" s="70" t="str">
        <f>'RESUMEN TOTAL'!AB393</f>
        <v>APAGADO</v>
      </c>
      <c r="W349" s="70" t="str">
        <f>'RESUMEN TOTAL'!AC393</f>
        <v>APAGADO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 t="str">
        <f>'RESUMEN TOTAL'!W397</f>
        <v>APAGADO</v>
      </c>
      <c r="R353" s="70" t="str">
        <f>'RESUMEN TOTAL'!X397</f>
        <v>APAGADO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 t="str">
        <f>'RESUMEN TOTAL'!S398</f>
        <v>APAGADO</v>
      </c>
      <c r="N354" s="70" t="str">
        <f>'RESUMEN TOTAL'!T398</f>
        <v>APAGADO</v>
      </c>
      <c r="O354" s="70" t="str">
        <f>'RESUMEN TOTAL'!U398</f>
        <v>APAGADO</v>
      </c>
      <c r="P354" s="70" t="str">
        <f>'RESUMEN TOTAL'!V398</f>
        <v>APAGADO</v>
      </c>
      <c r="Q354" s="70" t="str">
        <f>'RESUMEN TOTAL'!W398</f>
        <v>APAGADO</v>
      </c>
      <c r="R354" s="70" t="str">
        <f>'RESUMEN TOTAL'!X398</f>
        <v>APAGADO</v>
      </c>
      <c r="S354" s="70" t="str">
        <f>'RESUMEN TOTAL'!Y398</f>
        <v>APAGADO</v>
      </c>
      <c r="T354" s="70" t="str">
        <f>'RESUMEN TOTAL'!Z398</f>
        <v>APAGADO</v>
      </c>
      <c r="U354" s="70" t="str">
        <f>'RESUMEN TOTAL'!AA398</f>
        <v>APAGADO</v>
      </c>
      <c r="V354" s="70" t="str">
        <f>'RESUMEN TOTAL'!AB398</f>
        <v>APAGADO</v>
      </c>
      <c r="W354" s="70" t="str">
        <f>'RESUMEN TOTAL'!AC398</f>
        <v>APAGADO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 t="str">
        <f>'RESUMEN TOTAL'!T404</f>
        <v>APAGADO</v>
      </c>
      <c r="O360" s="70" t="str">
        <f>'RESUMEN TOTAL'!U404</f>
        <v>APAGADO</v>
      </c>
      <c r="P360" s="70" t="str">
        <f>'RESUMEN TOTAL'!V404</f>
        <v>APAGADO</v>
      </c>
      <c r="Q360" s="70" t="str">
        <f>'RESUMEN TOTAL'!W404</f>
        <v>APAGADO</v>
      </c>
      <c r="R360" s="70" t="str">
        <f>'RESUMEN TOTAL'!X404</f>
        <v>APAGADO</v>
      </c>
      <c r="S360" s="70" t="str">
        <f>'RESUMEN TOTAL'!Y404</f>
        <v>APAGADO</v>
      </c>
      <c r="T360" s="70" t="str">
        <f>'RESUMEN TOTAL'!Z404</f>
        <v>APAGADO</v>
      </c>
      <c r="U360" s="70" t="str">
        <f>'RESUMEN TOTAL'!AA404</f>
        <v>APAGADO</v>
      </c>
      <c r="V360" s="70" t="str">
        <f>'RESUMEN TOTAL'!AB404</f>
        <v>APAGADO</v>
      </c>
      <c r="W360" s="70" t="str">
        <f>'RESUMEN TOTAL'!AC404</f>
        <v>APAGADO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 t="str">
        <f>'RESUMEN TOTAL'!S407</f>
        <v>APAGADO</v>
      </c>
      <c r="N363" s="70" t="str">
        <f>'RESUMEN TOTAL'!T407</f>
        <v>APAGADO</v>
      </c>
      <c r="O363" s="70" t="str">
        <f>'RESUMEN TOTAL'!U407</f>
        <v>APAGADO</v>
      </c>
      <c r="P363" s="70" t="str">
        <f>'RESUMEN TOTAL'!V407</f>
        <v>APAGADO</v>
      </c>
      <c r="Q363" s="70" t="str">
        <f>'RESUMEN TOTAL'!W407</f>
        <v>APAGADO</v>
      </c>
      <c r="R363" s="70" t="str">
        <f>'RESUMEN TOTAL'!X407</f>
        <v>APAGADO</v>
      </c>
      <c r="S363" s="70" t="str">
        <f>'RESUMEN TOTAL'!Y407</f>
        <v>APAGADO</v>
      </c>
      <c r="T363" s="70" t="str">
        <f>'RESUMEN TOTAL'!Z407</f>
        <v>APAGADO</v>
      </c>
      <c r="U363" s="70" t="str">
        <f>'RESUMEN TOTAL'!AA407</f>
        <v>APAGADO</v>
      </c>
      <c r="V363" s="70" t="str">
        <f>'RESUMEN TOTAL'!AB407</f>
        <v>APAGADO</v>
      </c>
      <c r="W363" s="70" t="str">
        <f>'RESUMEN TOTAL'!AC407</f>
        <v>APAGADO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 t="str">
        <f>'RESUMEN TOTAL'!T409</f>
        <v>APAGADO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 t="str">
        <f>'RESUMEN TOTAL'!S417</f>
        <v>APAGADO</v>
      </c>
      <c r="N373" s="70" t="str">
        <f>'RESUMEN TOTAL'!T417</f>
        <v>APAGADO</v>
      </c>
      <c r="O373" s="70" t="str">
        <f>'RESUMEN TOTAL'!U417</f>
        <v>APAGADO</v>
      </c>
      <c r="P373" s="70" t="str">
        <f>'RESUMEN TOTAL'!V417</f>
        <v>APAGADO</v>
      </c>
      <c r="Q373" s="70" t="str">
        <f>'RESUMEN TOTAL'!W417</f>
        <v>APAGADO</v>
      </c>
      <c r="R373" s="70" t="str">
        <f>'RESUMEN TOTAL'!X417</f>
        <v>APAGADO</v>
      </c>
      <c r="S373" s="70" t="str">
        <f>'RESUMEN TOTAL'!Y417</f>
        <v>APAGADO</v>
      </c>
      <c r="T373" s="70" t="str">
        <f>'RESUMEN TOTAL'!Z417</f>
        <v>APAGADO</v>
      </c>
      <c r="U373" s="70" t="str">
        <f>'RESUMEN TOTAL'!AA417</f>
        <v>APAGADO</v>
      </c>
      <c r="V373" s="70" t="str">
        <f>'RESUMEN TOTAL'!AB417</f>
        <v>APAGADO</v>
      </c>
      <c r="W373" s="70" t="str">
        <f>'RESUMEN TOTAL'!AC417</f>
        <v>APAGADO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 t="str">
        <f>'RESUMEN TOTAL'!S418</f>
        <v>APAGADO</v>
      </c>
      <c r="N374" s="70" t="str">
        <f>'RESUMEN TOTAL'!T418</f>
        <v>APAGADO</v>
      </c>
      <c r="O374" s="70" t="str">
        <f>'RESUMEN TOTAL'!U418</f>
        <v>APAGADO</v>
      </c>
      <c r="P374" s="70" t="str">
        <f>'RESUMEN TOTAL'!V418</f>
        <v>APAGADO</v>
      </c>
      <c r="Q374" s="70" t="str">
        <f>'RESUMEN TOTAL'!W418</f>
        <v>APAGADO</v>
      </c>
      <c r="R374" s="70" t="str">
        <f>'RESUMEN TOTAL'!X418</f>
        <v>APAGADO</v>
      </c>
      <c r="S374" s="70" t="str">
        <f>'RESUMEN TOTAL'!Y418</f>
        <v>APAGADO</v>
      </c>
      <c r="T374" s="70" t="str">
        <f>'RESUMEN TOTAL'!Z418</f>
        <v>APAGADO</v>
      </c>
      <c r="U374" s="70" t="str">
        <f>'RESUMEN TOTAL'!AA418</f>
        <v>APAGADO</v>
      </c>
      <c r="V374" s="70" t="str">
        <f>'RESUMEN TOTAL'!AB418</f>
        <v>APAGADO</v>
      </c>
      <c r="W374" s="70" t="str">
        <f>'RESUMEN TOTAL'!AC418</f>
        <v>APAGADO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 t="str">
        <f>'RESUMEN TOTAL'!S429</f>
        <v>APAGADO</v>
      </c>
      <c r="N383" s="70" t="str">
        <f>'RESUMEN TOTAL'!T429</f>
        <v>APAGADO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 t="str">
        <f>'RESUMEN TOTAL'!AA429</f>
        <v>APAGADO</v>
      </c>
      <c r="V383" s="70" t="str">
        <f>'RESUMEN TOTAL'!AB429</f>
        <v>APAGADO</v>
      </c>
      <c r="W383" s="70" t="str">
        <f>'RESUMEN TOTAL'!AC429</f>
        <v>APAGADO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 t="str">
        <f>'RESUMEN TOTAL'!S463</f>
        <v>APAGADO</v>
      </c>
      <c r="N417" s="70" t="str">
        <f>'RESUMEN TOTAL'!T463</f>
        <v>APAGADO</v>
      </c>
      <c r="O417" s="70" t="str">
        <f>'RESUMEN TOTAL'!U463</f>
        <v>APAGADO</v>
      </c>
      <c r="P417" s="70" t="str">
        <f>'RESUMEN TOTAL'!V463</f>
        <v>APAGADO</v>
      </c>
      <c r="Q417" s="70" t="str">
        <f>'RESUMEN TOTAL'!W463</f>
        <v>APAGADO</v>
      </c>
      <c r="R417" s="70" t="str">
        <f>'RESUMEN TOTAL'!X463</f>
        <v>APAGADO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 t="str">
        <f>'RESUMEN TOTAL'!S467</f>
        <v>APAGADO</v>
      </c>
      <c r="N420" s="70" t="str">
        <f>'RESUMEN TOTAL'!T467</f>
        <v>APAGADO</v>
      </c>
      <c r="O420" s="70" t="str">
        <f>'RESUMEN TOTAL'!U467</f>
        <v>APAGADO</v>
      </c>
      <c r="P420" s="70" t="str">
        <f>'RESUMEN TOTAL'!V467</f>
        <v>APAGADO</v>
      </c>
      <c r="Q420" s="70" t="str">
        <f>'RESUMEN TOTAL'!W467</f>
        <v>APAGADO</v>
      </c>
      <c r="R420" s="70" t="str">
        <f>'RESUMEN TOTAL'!X467</f>
        <v>APAGADO</v>
      </c>
      <c r="S420" s="70" t="str">
        <f>'RESUMEN TOTAL'!Y467</f>
        <v>APAGADO</v>
      </c>
      <c r="T420" s="70" t="str">
        <f>'RESUMEN TOTAL'!Z467</f>
        <v>APAGADO</v>
      </c>
      <c r="U420" s="70" t="str">
        <f>'RESUMEN TOTAL'!AA467</f>
        <v>APAGADO</v>
      </c>
      <c r="V420" s="70" t="str">
        <f>'RESUMEN TOTAL'!AB467</f>
        <v>APAGADO</v>
      </c>
      <c r="W420" s="70" t="str">
        <f>'RESUMEN TOTAL'!AC467</f>
        <v>APAGADO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 t="str">
        <f>'RESUMEN TOTAL'!S468</f>
        <v>APAGADO</v>
      </c>
      <c r="N421" s="70" t="str">
        <f>'RESUMEN TOTAL'!T468</f>
        <v>APAGADO</v>
      </c>
      <c r="O421" s="70" t="str">
        <f>'RESUMEN TOTAL'!U468</f>
        <v>APAGADO</v>
      </c>
      <c r="P421" s="70" t="str">
        <f>'RESUMEN TOTAL'!V468</f>
        <v>APAGADO</v>
      </c>
      <c r="Q421" s="70" t="str">
        <f>'RESUMEN TOTAL'!W468</f>
        <v>APAGADO</v>
      </c>
      <c r="R421" s="70" t="str">
        <f>'RESUMEN TOTAL'!X468</f>
        <v>APAGADO</v>
      </c>
      <c r="S421" s="70" t="str">
        <f>'RESUMEN TOTAL'!Y468</f>
        <v>APAGADO</v>
      </c>
      <c r="T421" s="70" t="str">
        <f>'RESUMEN TOTAL'!Z468</f>
        <v>APAGADO</v>
      </c>
      <c r="U421" s="70" t="str">
        <f>'RESUMEN TOTAL'!AA468</f>
        <v>APAGADO</v>
      </c>
      <c r="V421" s="70" t="str">
        <f>'RESUMEN TOTAL'!AB468</f>
        <v>APAGADO</v>
      </c>
      <c r="W421" s="70" t="str">
        <f>'RESUMEN TOTAL'!AC468</f>
        <v>APAGADO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 t="str">
        <f>'RESUMEN TOTAL'!X476</f>
        <v>APAGADO</v>
      </c>
      <c r="S428" s="70" t="str">
        <f>'RESUMEN TOTAL'!Y476</f>
        <v>APAGADO</v>
      </c>
      <c r="T428" s="70" t="str">
        <f>'RESUMEN TOTAL'!Z476</f>
        <v>APAGADO</v>
      </c>
      <c r="U428" s="70" t="str">
        <f>'RESUMEN TOTAL'!AA476</f>
        <v>APAGADO</v>
      </c>
      <c r="V428" s="70" t="str">
        <f>'RESUMEN TOTAL'!AB476</f>
        <v>APAGADO</v>
      </c>
      <c r="W428" s="70" t="str">
        <f>'RESUMEN TOTAL'!AC476</f>
        <v>APAGADO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 t="str">
        <f>'RESUMEN TOTAL'!X478</f>
        <v>APAGADO</v>
      </c>
      <c r="S430" s="70" t="str">
        <f>'RESUMEN TOTAL'!Y478</f>
        <v>APAGADO</v>
      </c>
      <c r="T430" s="70" t="str">
        <f>'RESUMEN TOTAL'!Z478</f>
        <v>APAGADO</v>
      </c>
      <c r="U430" s="70" t="str">
        <f>'RESUMEN TOTAL'!AA478</f>
        <v>APAGADO</v>
      </c>
      <c r="V430" s="70" t="str">
        <f>'RESUMEN TOTAL'!AB478</f>
        <v>APAGADO</v>
      </c>
      <c r="W430" s="70" t="str">
        <f>'RESUMEN TOTAL'!AC478</f>
        <v>APAGADO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 t="str">
        <f>'RESUMEN TOTAL'!S484</f>
        <v>APAGADO</v>
      </c>
      <c r="N436" s="70" t="str">
        <f>'RESUMEN TOTAL'!T484</f>
        <v>APAGADO</v>
      </c>
      <c r="O436" s="70" t="str">
        <f>'RESUMEN TOTAL'!U484</f>
        <v>APAGADO</v>
      </c>
      <c r="P436" s="70" t="str">
        <f>'RESUMEN TOTAL'!V484</f>
        <v>APAGADO</v>
      </c>
      <c r="Q436" s="70" t="str">
        <f>'RESUMEN TOTAL'!W484</f>
        <v>APAGADO</v>
      </c>
      <c r="R436" s="70" t="str">
        <f>'RESUMEN TOTAL'!X484</f>
        <v>APAGADO</v>
      </c>
      <c r="S436" s="70" t="str">
        <f>'RESUMEN TOTAL'!Y484</f>
        <v>APAGADO</v>
      </c>
      <c r="T436" s="70" t="str">
        <f>'RESUMEN TOTAL'!Z484</f>
        <v>APAGADO</v>
      </c>
      <c r="U436" s="70" t="str">
        <f>'RESUMEN TOTAL'!AA484</f>
        <v>APAGADO</v>
      </c>
      <c r="V436" s="70" t="str">
        <f>'RESUMEN TOTAL'!AB484</f>
        <v>APAGADO</v>
      </c>
      <c r="W436" s="70" t="str">
        <f>'RESUMEN TOTAL'!AC484</f>
        <v>APAGADO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 t="str">
        <f>'RESUMEN TOTAL'!S486</f>
        <v>APAGADO</v>
      </c>
      <c r="N438" s="70" t="str">
        <f>'RESUMEN TOTAL'!T486</f>
        <v>APAGADO</v>
      </c>
      <c r="O438" s="70" t="str">
        <f>'RESUMEN TOTAL'!U486</f>
        <v>APAGADO</v>
      </c>
      <c r="P438" s="70" t="str">
        <f>'RESUMEN TOTAL'!V486</f>
        <v>APAGADO</v>
      </c>
      <c r="Q438" s="70" t="str">
        <f>'RESUMEN TOTAL'!W486</f>
        <v>APAGADO</v>
      </c>
      <c r="R438" s="70" t="str">
        <f>'RESUMEN TOTAL'!X486</f>
        <v>APAGADO</v>
      </c>
      <c r="S438" s="70" t="str">
        <f>'RESUMEN TOTAL'!Y486</f>
        <v>APAGADO</v>
      </c>
      <c r="T438" s="70" t="str">
        <f>'RESUMEN TOTAL'!Z486</f>
        <v>APAGADO</v>
      </c>
      <c r="U438" s="70" t="str">
        <f>'RESUMEN TOTAL'!AA486</f>
        <v>APAGADO</v>
      </c>
      <c r="V438" s="70" t="str">
        <f>'RESUMEN TOTAL'!AB486</f>
        <v>APAGADO</v>
      </c>
      <c r="W438" s="70" t="str">
        <f>'RESUMEN TOTAL'!AC486</f>
        <v>APAGADO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 t="str">
        <f>'RESUMEN TOTAL'!AC505</f>
        <v>APAGADO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 t="str">
        <f>'RESUMEN TOTAL'!X507</f>
        <v>APAGADO</v>
      </c>
      <c r="S459" s="70" t="str">
        <f>'RESUMEN TOTAL'!Y507</f>
        <v>APAGADO</v>
      </c>
      <c r="T459" s="70" t="str">
        <f>'RESUMEN TOTAL'!Z507</f>
        <v>APAGADO</v>
      </c>
      <c r="U459" s="70" t="str">
        <f>'RESUMEN TOTAL'!AA507</f>
        <v>APAGADO</v>
      </c>
      <c r="V459" s="70" t="str">
        <f>'RESUMEN TOTAL'!AB507</f>
        <v>APAGADO</v>
      </c>
      <c r="W459" s="70" t="str">
        <f>'RESUMEN TOTAL'!AC507</f>
        <v>APAGADO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 t="str">
        <f>'RESUMEN TOTAL'!S508</f>
        <v>APAGADO</v>
      </c>
      <c r="N460" s="70" t="str">
        <f>'RESUMEN TOTAL'!T508</f>
        <v>APAGADO</v>
      </c>
      <c r="O460" s="70" t="str">
        <f>'RESUMEN TOTAL'!U508</f>
        <v>APAGADO</v>
      </c>
      <c r="P460" s="70" t="str">
        <f>'RESUMEN TOTAL'!V508</f>
        <v>APAGADO</v>
      </c>
      <c r="Q460" s="70" t="str">
        <f>'RESUMEN TOTAL'!W508</f>
        <v>APAGADO</v>
      </c>
      <c r="R460" s="70" t="str">
        <f>'RESUMEN TOTAL'!X508</f>
        <v>APAGADO</v>
      </c>
      <c r="S460" s="70" t="str">
        <f>'RESUMEN TOTAL'!Y508</f>
        <v>APAGADO</v>
      </c>
      <c r="T460" s="70" t="str">
        <f>'RESUMEN TOTAL'!Z508</f>
        <v>APAGADO</v>
      </c>
      <c r="U460" s="70" t="str">
        <f>'RESUMEN TOTAL'!AA508</f>
        <v>APAGADO</v>
      </c>
      <c r="V460" s="70" t="str">
        <f>'RESUMEN TOTAL'!AB508</f>
        <v>APAGADO</v>
      </c>
      <c r="W460" s="70" t="str">
        <f>'RESUMEN TOTAL'!AC508</f>
        <v>APAGADO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38</v>
      </c>
      <c r="N3" s="46">
        <f>COUNTIFS('RESUMEN TOTAL'!T8:T619,"=APAGADO",'RESUMEN TOTAL'!C8:C619,"=BONOMO")</f>
        <v>36</v>
      </c>
      <c r="O3" s="46">
        <f>COUNTIFS('RESUMEN TOTAL'!U8:U619,"=APAGADO",'RESUMEN TOTAL'!C8:C619,"=BONOMO")</f>
        <v>34</v>
      </c>
      <c r="P3" s="46">
        <f>COUNTIFS('RESUMEN TOTAL'!V8:V619,"=APAGADO",'RESUMEN TOTAL'!C8:C619,"=BONOMO")</f>
        <v>33</v>
      </c>
      <c r="Q3" s="46">
        <f>COUNTIFS('RESUMEN TOTAL'!W8:W619,"=APAGADO",'RESUMEN TOTAL'!C8:C619,"=BONOMO")</f>
        <v>35</v>
      </c>
      <c r="R3" s="46">
        <f>COUNTIFS('RESUMEN TOTAL'!X8:X619,"=APAGADO",'RESUMEN TOTAL'!C8:C619,"=BONOMO")</f>
        <v>46</v>
      </c>
      <c r="S3" s="46">
        <f>COUNTIFS('RESUMEN TOTAL'!Y8:Y619,"=APAGADO",'RESUMEN TOTAL'!C8:C619,"=BONOMO")</f>
        <v>49</v>
      </c>
      <c r="T3" s="46">
        <f>COUNTIFS('RESUMEN TOTAL'!Z8:Z619,"=APAGADO",'RESUMEN TOTAL'!C8:C619,"=BONOMO")</f>
        <v>47</v>
      </c>
      <c r="U3" s="46">
        <f>COUNTIFS('RESUMEN TOTAL'!AA8:AA619,"=APAGADO",'RESUMEN TOTAL'!C8:C619,"=BONOMO")</f>
        <v>48</v>
      </c>
      <c r="V3" s="46">
        <f>COUNTIFS('RESUMEN TOTAL'!AB8:AB619,"=APAGADO",'RESUMEN TOTAL'!C8:C619,"=BONOMO")</f>
        <v>51</v>
      </c>
      <c r="W3" s="46">
        <f>COUNTIFS('RESUMEN TOTAL'!AC8:AC619,"=APAGADO",'RESUMEN TOTAL'!C8:C619,"=BONOMO")</f>
        <v>52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0.14022140221402213</v>
      </c>
      <c r="N4" s="50">
        <f t="shared" si="0"/>
        <v>0.13284132841328414</v>
      </c>
      <c r="O4" s="50">
        <f t="shared" si="0"/>
        <v>0.12546125461254612</v>
      </c>
      <c r="P4" s="50">
        <f t="shared" si="0"/>
        <v>0.12177121771217712</v>
      </c>
      <c r="Q4" s="50">
        <f t="shared" si="0"/>
        <v>0.12915129151291513</v>
      </c>
      <c r="R4" s="50">
        <f t="shared" si="0"/>
        <v>0.16974169741697417</v>
      </c>
      <c r="S4" s="50">
        <f t="shared" si="0"/>
        <v>0.18081180811808117</v>
      </c>
      <c r="T4" s="50">
        <f t="shared" si="0"/>
        <v>0.17343173431734318</v>
      </c>
      <c r="U4" s="50">
        <f t="shared" si="0"/>
        <v>0.17712177121771217</v>
      </c>
      <c r="V4" s="50">
        <f t="shared" si="0"/>
        <v>0.18819188191881919</v>
      </c>
      <c r="W4" s="50">
        <f t="shared" si="0"/>
        <v>0.1918819188191882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35</v>
      </c>
      <c r="N5" s="46">
        <f>COUNTIFS('RESUMEN TOTAL'!T10:T621,"=APAGADO",'RESUMEN TOTAL'!C10:C621,"=COSEIDI")</f>
        <v>31</v>
      </c>
      <c r="O5" s="46">
        <f>COUNTIFS('RESUMEN TOTAL'!U10:U621,"=APAGADO",'RESUMEN TOTAL'!C10:C621,"=COSEIDI")</f>
        <v>35</v>
      </c>
      <c r="P5" s="46">
        <f>COUNTIFS('RESUMEN TOTAL'!V10:V621,"=APAGADO",'RESUMEN TOTAL'!C10:C621,"=COSEIDI")</f>
        <v>38</v>
      </c>
      <c r="Q5" s="46">
        <f>COUNTIFS('RESUMEN TOTAL'!W10:W621,"=APAGADO",'RESUMEN TOTAL'!C10:C621,"=COSEIDI")</f>
        <v>31</v>
      </c>
      <c r="R5" s="46">
        <f>COUNTIFS('RESUMEN TOTAL'!X10:X621,"=APAGADO",'RESUMEN TOTAL'!C10:C621,"=COSEIDI")</f>
        <v>32</v>
      </c>
      <c r="S5" s="46">
        <f>COUNTIFS('RESUMEN TOTAL'!Y10:Y621,"=APAGADO",'RESUMEN TOTAL'!C10:C621,"=COSEIDI")</f>
        <v>56</v>
      </c>
      <c r="T5" s="46">
        <f>COUNTIFS('RESUMEN TOTAL'!Z10:Z621,"=APAGADO",'RESUMEN TOTAL'!C10:C621,"=COSEIDI")</f>
        <v>30</v>
      </c>
      <c r="U5" s="46">
        <f>COUNTIFS('RESUMEN TOTAL'!AA10:AA621,"=APAGADO",'RESUMEN TOTAL'!C10:C621,"=COSEIDI")</f>
        <v>45</v>
      </c>
      <c r="V5" s="46">
        <f>COUNTIFS('RESUMEN TOTAL'!AB10:AB621,"=APAGADO",'RESUMEN TOTAL'!C10:C621,"=COSEIDI")</f>
        <v>43</v>
      </c>
      <c r="W5" s="46">
        <f>COUNTIFS('RESUMEN TOTAL'!AC10:AC621,"=APAGADO",'RESUMEN TOTAL'!C10:C621,"=COSEIDI")</f>
        <v>37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0.15021459227467812</v>
      </c>
      <c r="N6" s="50">
        <f t="shared" si="1"/>
        <v>0.13304721030042918</v>
      </c>
      <c r="O6" s="50">
        <f t="shared" si="1"/>
        <v>0.15021459227467812</v>
      </c>
      <c r="P6" s="50">
        <f t="shared" si="1"/>
        <v>0.1630901287553648</v>
      </c>
      <c r="Q6" s="50">
        <f t="shared" si="1"/>
        <v>0.13304721030042918</v>
      </c>
      <c r="R6" s="50">
        <f t="shared" si="1"/>
        <v>0.13733905579399142</v>
      </c>
      <c r="S6" s="50">
        <f t="shared" si="1"/>
        <v>0.24034334763948498</v>
      </c>
      <c r="T6" s="50">
        <f t="shared" si="1"/>
        <v>0.12875536480686695</v>
      </c>
      <c r="U6" s="50">
        <f t="shared" si="1"/>
        <v>0.19313304721030042</v>
      </c>
      <c r="V6" s="50">
        <f t="shared" si="1"/>
        <v>0.18454935622317598</v>
      </c>
      <c r="W6" s="50">
        <f t="shared" si="1"/>
        <v>0.15879828326180256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2025-08-18T11:50:38Z</dcterms:modified>
</cp:coreProperties>
</file>