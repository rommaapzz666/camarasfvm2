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3BF69F31-98A1-4F4D-AE2B-BC194A90E809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<sst xmlns="http://schemas.openxmlformats.org/spreadsheetml/2006/main" count="6252" uniqueCount="2289">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</sst>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Z316" activePane="bottomRight" state="frozen"/>
      <selection pane="topRight" activeCell="M1" sqref="M1"/>
      <selection pane="bottomLeft" activeCell="A5" sqref="A5"/>
      <selection pane="bottomRight" activeCell="E545" sqref="E545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15</v>
      </c>
      <c r="J8" s="147" t="s">
        <v>1667</v>
      </c>
      <c r="K8" s="31">
        <f t="shared" ref="K8:K85" si="6">COUNTIF(M8:AN8,"APAGADO")</f>
        <v>13</v>
      </c>
      <c r="L8" s="32">
        <f t="shared" ref="L8:L85" si="7">(I8)/(K8+I8)</f>
        <v>0.5357142857142857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 t="s">
        <v>2288</v>
      </c>
      <c r="S8" s="70" t="s">
        <v>2288</v>
      </c>
      <c r="T8" s="70" t="s">
        <v>2288</v>
      </c>
      <c r="U8" s="70" t="s">
        <v>2288</v>
      </c>
      <c r="V8" s="70" t="s">
        <v>2288</v>
      </c>
      <c r="W8" s="70"/>
      <c r="X8" s="70" t="s">
        <v>2288</v>
      </c>
      <c r="Y8" s="70" t="s">
        <v>2288</v>
      </c>
      <c r="Z8" s="70" t="s">
        <v>2288</v>
      </c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15</v>
      </c>
      <c r="J9" s="147" t="s">
        <v>1668</v>
      </c>
      <c r="K9" s="31">
        <f t="shared" si="6"/>
        <v>13</v>
      </c>
      <c r="L9" s="32">
        <f t="shared" si="7"/>
        <v>0.5357142857142857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 t="s">
        <v>2288</v>
      </c>
      <c r="S9" s="70" t="s">
        <v>2288</v>
      </c>
      <c r="T9" s="70" t="s">
        <v>2288</v>
      </c>
      <c r="U9" s="70" t="s">
        <v>2288</v>
      </c>
      <c r="V9" s="70" t="s">
        <v>2288</v>
      </c>
      <c r="W9" s="70"/>
      <c r="X9" s="70" t="s">
        <v>2288</v>
      </c>
      <c r="Y9" s="70" t="s">
        <v>2288</v>
      </c>
      <c r="Z9" s="70" t="s">
        <v>2288</v>
      </c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15</v>
      </c>
      <c r="J14" s="147" t="s">
        <v>1673</v>
      </c>
      <c r="K14" s="31">
        <f t="shared" si="6"/>
        <v>13</v>
      </c>
      <c r="L14" s="32">
        <f t="shared" si="7"/>
        <v>0.5357142857142857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 t="s">
        <v>2288</v>
      </c>
      <c r="S14" s="70" t="s">
        <v>2288</v>
      </c>
      <c r="T14" s="70" t="s">
        <v>2288</v>
      </c>
      <c r="U14" s="70" t="s">
        <v>2288</v>
      </c>
      <c r="V14" s="70" t="s">
        <v>2288</v>
      </c>
      <c r="W14" s="70"/>
      <c r="X14" s="70" t="s">
        <v>2288</v>
      </c>
      <c r="Y14" s="70" t="s">
        <v>2288</v>
      </c>
      <c r="Z14" s="70" t="s">
        <v>2288</v>
      </c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16</v>
      </c>
      <c r="J19" s="147" t="s">
        <v>1677</v>
      </c>
      <c r="K19" s="31">
        <f t="shared" si="6"/>
        <v>12</v>
      </c>
      <c r="L19" s="32">
        <f t="shared" si="7"/>
        <v>0.5714285714285714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 t="s">
        <v>2288</v>
      </c>
      <c r="S19" s="70" t="s">
        <v>2288</v>
      </c>
      <c r="T19" s="70"/>
      <c r="U19" s="70" t="s">
        <v>2288</v>
      </c>
      <c r="V19" s="70" t="s">
        <v>2288</v>
      </c>
      <c r="W19" s="70"/>
      <c r="X19" s="70" t="s">
        <v>2288</v>
      </c>
      <c r="Y19" s="70" t="s">
        <v>2288</v>
      </c>
      <c r="Z19" s="71" t="s">
        <v>2288</v>
      </c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16</v>
      </c>
      <c r="J20" s="147" t="s">
        <v>1678</v>
      </c>
      <c r="K20" s="31">
        <f t="shared" si="6"/>
        <v>12</v>
      </c>
      <c r="L20" s="32">
        <f t="shared" si="7"/>
        <v>0.5714285714285714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 t="s">
        <v>2288</v>
      </c>
      <c r="S20" s="70" t="s">
        <v>2288</v>
      </c>
      <c r="T20" s="70"/>
      <c r="U20" s="70" t="s">
        <v>2288</v>
      </c>
      <c r="V20" s="70" t="s">
        <v>2288</v>
      </c>
      <c r="W20" s="70"/>
      <c r="X20" s="70" t="s">
        <v>2288</v>
      </c>
      <c r="Y20" s="70" t="s">
        <v>2288</v>
      </c>
      <c r="Z20" s="71" t="s">
        <v>2288</v>
      </c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15</v>
      </c>
      <c r="J34" s="147" t="s">
        <v>1689</v>
      </c>
      <c r="K34" s="134">
        <f t="shared" si="6"/>
        <v>13</v>
      </c>
      <c r="L34" s="135">
        <f t="shared" si="7"/>
        <v>0.5357142857142857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 t="s">
        <v>2288</v>
      </c>
      <c r="S34" s="136" t="s">
        <v>2288</v>
      </c>
      <c r="T34" s="136" t="s">
        <v>2288</v>
      </c>
      <c r="U34" s="136" t="s">
        <v>2288</v>
      </c>
      <c r="V34" s="136" t="s">
        <v>2288</v>
      </c>
      <c r="W34" s="136"/>
      <c r="X34" s="136" t="s">
        <v>2288</v>
      </c>
      <c r="Y34" s="136" t="s">
        <v>2288</v>
      </c>
      <c r="Z34" s="136" t="s">
        <v>2288</v>
      </c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27</v>
      </c>
      <c r="J35" s="87" t="s">
        <v>2163</v>
      </c>
      <c r="K35" s="142">
        <f t="shared" si="6"/>
        <v>1</v>
      </c>
      <c r="L35" s="143">
        <f t="shared" si="7"/>
        <v>0.9642857142857143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2288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15</v>
      </c>
      <c r="J36" s="87" t="s">
        <v>2157</v>
      </c>
      <c r="K36" s="142">
        <f t="shared" si="6"/>
        <v>13</v>
      </c>
      <c r="L36" s="143">
        <f t="shared" si="7"/>
        <v>0.5357142857142857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 t="s">
        <v>2288</v>
      </c>
      <c r="S36" s="70" t="s">
        <v>2288</v>
      </c>
      <c r="T36" s="70" t="s">
        <v>2288</v>
      </c>
      <c r="U36" s="70" t="s">
        <v>2288</v>
      </c>
      <c r="V36" s="70" t="s">
        <v>2288</v>
      </c>
      <c r="W36" s="70"/>
      <c r="X36" s="70" t="s">
        <v>2288</v>
      </c>
      <c r="Y36" s="70" t="s">
        <v>2288</v>
      </c>
      <c r="Z36" s="70" t="s">
        <v>2288</v>
      </c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26</v>
      </c>
      <c r="J40" s="87" t="s">
        <v>2165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2288</v>
      </c>
      <c r="Y40" s="70" t="s">
        <v>2288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26</v>
      </c>
      <c r="J41" s="87" t="s">
        <v>2190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2288</v>
      </c>
      <c r="Y41" s="70" t="s">
        <v>2288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26</v>
      </c>
      <c r="J42" s="87" t="s">
        <v>2191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2288</v>
      </c>
      <c r="Y42" s="70" t="s">
        <v>2288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27</v>
      </c>
      <c r="J52" s="147" t="s">
        <v>1697</v>
      </c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 t="s">
        <v>2288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24</v>
      </c>
      <c r="J62" s="147" t="s">
        <v>1707</v>
      </c>
      <c r="K62" s="31">
        <f t="shared" si="6"/>
        <v>4</v>
      </c>
      <c r="L62" s="32">
        <f t="shared" si="7"/>
        <v>0.8571428571428571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2288</v>
      </c>
      <c r="W62" s="70"/>
      <c r="X62" s="70" t="s">
        <v>2288</v>
      </c>
      <c r="Y62" s="70" t="s">
        <v>2288</v>
      </c>
      <c r="Z62" s="70" t="s">
        <v>2288</v>
      </c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16</v>
      </c>
      <c r="J89" s="147" t="s">
        <v>1733</v>
      </c>
      <c r="K89" s="31">
        <f t="shared" si="9"/>
        <v>12</v>
      </c>
      <c r="L89" s="32">
        <f t="shared" si="10"/>
        <v>0.5714285714285714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 t="s">
        <v>2288</v>
      </c>
      <c r="S89" s="70" t="s">
        <v>2288</v>
      </c>
      <c r="T89" s="70"/>
      <c r="U89" s="70" t="s">
        <v>2288</v>
      </c>
      <c r="V89" s="70" t="s">
        <v>2288</v>
      </c>
      <c r="W89" s="70"/>
      <c r="X89" s="70" t="s">
        <v>2288</v>
      </c>
      <c r="Y89" s="70" t="s">
        <v>2288</v>
      </c>
      <c r="Z89" s="70" t="s">
        <v>2288</v>
      </c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26</v>
      </c>
      <c r="J95" s="147" t="s">
        <v>1739</v>
      </c>
      <c r="K95" s="142">
        <f t="shared" si="9"/>
        <v>2</v>
      </c>
      <c r="L95" s="143">
        <f t="shared" si="10"/>
        <v>0.9285714285714286</v>
      </c>
      <c r="M95" s="70"/>
      <c r="N95" s="70"/>
      <c r="O95" s="70"/>
      <c r="P95" s="70"/>
      <c r="Q95" s="70"/>
      <c r="R95" s="70"/>
      <c r="S95" s="70"/>
      <c r="T95" s="70" t="s">
        <v>2288</v>
      </c>
      <c r="U95" s="70"/>
      <c r="V95" s="70"/>
      <c r="W95" s="70"/>
      <c r="X95" s="70" t="s">
        <v>2288</v>
      </c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27</v>
      </c>
      <c r="J98" s="147" t="s">
        <v>1742</v>
      </c>
      <c r="K98" s="142">
        <f t="shared" si="9"/>
        <v>1</v>
      </c>
      <c r="L98" s="143">
        <f t="shared" si="10"/>
        <v>0.9642857142857143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2288</v>
      </c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16</v>
      </c>
      <c r="J99" s="147" t="s">
        <v>1743</v>
      </c>
      <c r="K99" s="142">
        <f t="shared" si="9"/>
        <v>12</v>
      </c>
      <c r="L99" s="143">
        <f t="shared" si="10"/>
        <v>0.5714285714285714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 t="s">
        <v>2288</v>
      </c>
      <c r="S99" s="70" t="s">
        <v>2288</v>
      </c>
      <c r="T99" s="70" t="s">
        <v>2288</v>
      </c>
      <c r="U99" s="70"/>
      <c r="V99" s="70" t="s">
        <v>2288</v>
      </c>
      <c r="W99" s="70"/>
      <c r="X99" s="70" t="s">
        <v>2288</v>
      </c>
      <c r="Y99" s="70" t="s">
        <v>2288</v>
      </c>
      <c r="Z99" s="70" t="s">
        <v>2288</v>
      </c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19</v>
      </c>
      <c r="J112" s="147" t="s">
        <v>1756</v>
      </c>
      <c r="K112" s="142">
        <f t="shared" si="9"/>
        <v>9</v>
      </c>
      <c r="L112" s="143">
        <f t="shared" si="10"/>
        <v>0.6785714285714286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 t="s">
        <v>2288</v>
      </c>
      <c r="S112" s="70" t="s">
        <v>2288</v>
      </c>
      <c r="T112" s="70" t="s">
        <v>2288</v>
      </c>
      <c r="U112" s="70"/>
      <c r="V112" s="70"/>
      <c r="W112" s="70"/>
      <c r="X112" s="70"/>
      <c r="Y112" s="70"/>
      <c r="Z112" s="70" t="s">
        <v>2288</v>
      </c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19</v>
      </c>
      <c r="J113" s="147" t="s">
        <v>1755</v>
      </c>
      <c r="K113" s="142">
        <f t="shared" si="9"/>
        <v>9</v>
      </c>
      <c r="L113" s="143">
        <f t="shared" si="10"/>
        <v>0.6785714285714286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 t="s">
        <v>2288</v>
      </c>
      <c r="S113" s="70" t="s">
        <v>2288</v>
      </c>
      <c r="T113" s="70" t="s">
        <v>2288</v>
      </c>
      <c r="U113" s="70"/>
      <c r="V113" s="70"/>
      <c r="W113" s="70"/>
      <c r="X113" s="70"/>
      <c r="Y113" s="70"/>
      <c r="Z113" s="70" t="s">
        <v>2288</v>
      </c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15</v>
      </c>
      <c r="J120" s="147" t="s">
        <v>1763</v>
      </c>
      <c r="K120" s="142">
        <f t="shared" si="9"/>
        <v>13</v>
      </c>
      <c r="L120" s="143">
        <f t="shared" si="10"/>
        <v>0.5357142857142857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 t="s">
        <v>2288</v>
      </c>
      <c r="S120" s="70" t="s">
        <v>2288</v>
      </c>
      <c r="T120" s="70" t="s">
        <v>2288</v>
      </c>
      <c r="U120" s="70" t="s">
        <v>2288</v>
      </c>
      <c r="V120" s="70" t="s">
        <v>2288</v>
      </c>
      <c r="W120" s="70"/>
      <c r="X120" s="70" t="s">
        <v>2288</v>
      </c>
      <c r="Y120" s="70" t="s">
        <v>2288</v>
      </c>
      <c r="Z120" s="70" t="s">
        <v>2288</v>
      </c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23</v>
      </c>
      <c r="J127" s="148" t="s">
        <v>1770</v>
      </c>
      <c r="K127" s="142">
        <f t="shared" si="9"/>
        <v>5</v>
      </c>
      <c r="L127" s="143">
        <f t="shared" si="10"/>
        <v>0.8214285714285714</v>
      </c>
      <c r="M127" s="70"/>
      <c r="N127" s="70" t="s">
        <v>2288</v>
      </c>
      <c r="O127" s="70"/>
      <c r="P127" s="70"/>
      <c r="Q127" s="70" t="s">
        <v>2288</v>
      </c>
      <c r="R127" s="70" t="s">
        <v>2288</v>
      </c>
      <c r="S127" s="70" t="s">
        <v>2288</v>
      </c>
      <c r="T127" s="70"/>
      <c r="U127" s="70"/>
      <c r="V127" s="70"/>
      <c r="W127" s="70"/>
      <c r="X127" s="70"/>
      <c r="Y127" s="70" t="s">
        <v>2288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21</v>
      </c>
      <c r="J130" s="147" t="s">
        <v>1773</v>
      </c>
      <c r="K130" s="31">
        <f t="shared" si="9"/>
        <v>7</v>
      </c>
      <c r="L130" s="32">
        <f t="shared" si="10"/>
        <v>0.75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 t="s">
        <v>2288</v>
      </c>
      <c r="S130" s="70"/>
      <c r="T130" s="70"/>
      <c r="U130" s="70" t="s">
        <v>2288</v>
      </c>
      <c r="V130" s="70" t="s">
        <v>2288</v>
      </c>
      <c r="W130" s="70"/>
      <c r="X130" s="70"/>
      <c r="Y130" s="70"/>
      <c r="Z130" s="70" t="s">
        <v>2288</v>
      </c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22</v>
      </c>
      <c r="J131" s="147" t="s">
        <v>1774</v>
      </c>
      <c r="K131" s="31">
        <f t="shared" si="9"/>
        <v>6</v>
      </c>
      <c r="L131" s="32">
        <f t="shared" si="10"/>
        <v>0.7857142857142857</v>
      </c>
      <c r="M131" s="70" t="s">
        <v>2288</v>
      </c>
      <c r="N131" s="70"/>
      <c r="O131" s="70"/>
      <c r="P131" s="70"/>
      <c r="Q131" s="70"/>
      <c r="R131" s="70"/>
      <c r="S131" s="70" t="s">
        <v>2288</v>
      </c>
      <c r="T131" s="70" t="s">
        <v>2288</v>
      </c>
      <c r="U131" s="70" t="s">
        <v>2288</v>
      </c>
      <c r="V131" s="70" t="s">
        <v>2288</v>
      </c>
      <c r="W131" s="70"/>
      <c r="X131" s="70" t="s">
        <v>2288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1784</v>
      </c>
      <c r="K145" s="31">
        <f t="shared" si="9"/>
        <v>6</v>
      </c>
      <c r="L145" s="32">
        <f t="shared" si="10"/>
        <v>0.7857142857142857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 t="s">
        <v>2288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/>
      <c r="N151" s="70"/>
      <c r="O151" s="70"/>
      <c r="P151" s="70"/>
      <c r="Q151" s="70" t="s">
        <v>2288</v>
      </c>
      <c r="R151" s="70" t="s">
        <v>2288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16</v>
      </c>
      <c r="J156" s="87"/>
      <c r="K156" s="31">
        <f t="shared" si="9"/>
        <v>12</v>
      </c>
      <c r="L156" s="32">
        <f t="shared" si="10"/>
        <v>0.5714285714285714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 t="s">
        <v>2288</v>
      </c>
      <c r="S156" s="70" t="s">
        <v>2288</v>
      </c>
      <c r="T156" s="70" t="s">
        <v>2288</v>
      </c>
      <c r="U156" s="70" t="s">
        <v>2288</v>
      </c>
      <c r="V156" s="70" t="s">
        <v>2288</v>
      </c>
      <c r="W156" s="70"/>
      <c r="X156" s="70" t="s">
        <v>2288</v>
      </c>
      <c r="Y156" s="70" t="s">
        <v>2288</v>
      </c>
      <c r="Z156" s="70" t="s">
        <v>2288</v>
      </c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16</v>
      </c>
      <c r="J157" s="87"/>
      <c r="K157" s="31">
        <f t="shared" si="9"/>
        <v>12</v>
      </c>
      <c r="L157" s="32">
        <f t="shared" si="10"/>
        <v>0.5714285714285714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 t="s">
        <v>2288</v>
      </c>
      <c r="S157" s="70" t="s">
        <v>2288</v>
      </c>
      <c r="T157" s="70" t="s">
        <v>2288</v>
      </c>
      <c r="U157" s="70" t="s">
        <v>2288</v>
      </c>
      <c r="V157" s="70" t="s">
        <v>2288</v>
      </c>
      <c r="W157" s="70"/>
      <c r="X157" s="70" t="s">
        <v>2288</v>
      </c>
      <c r="Y157" s="70" t="s">
        <v>2288</v>
      </c>
      <c r="Z157" s="70" t="s">
        <v>2288</v>
      </c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1797</v>
      </c>
      <c r="K164" s="31">
        <f t="shared" si="12"/>
        <v>6</v>
      </c>
      <c r="L164" s="32">
        <f t="shared" si="13"/>
        <v>0.7857142857142857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 t="s">
        <v>2288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1798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 t="s">
        <v>2288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1799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2288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1800</v>
      </c>
      <c r="K167" s="31">
        <f t="shared" si="12"/>
        <v>4</v>
      </c>
      <c r="L167" s="32">
        <f t="shared" si="13"/>
        <v>0.8571428571428571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 t="s">
        <v>2288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17</v>
      </c>
      <c r="J168" s="147" t="s">
        <v>1801</v>
      </c>
      <c r="K168" s="31">
        <f t="shared" si="12"/>
        <v>11</v>
      </c>
      <c r="L168" s="32">
        <f t="shared" si="13"/>
        <v>0.6071428571428571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 t="s">
        <v>2288</v>
      </c>
      <c r="S168" s="70" t="s">
        <v>2288</v>
      </c>
      <c r="T168" s="70" t="s">
        <v>2288</v>
      </c>
      <c r="U168" s="70" t="s">
        <v>2288</v>
      </c>
      <c r="V168" s="70" t="s">
        <v>2288</v>
      </c>
      <c r="W168" s="70"/>
      <c r="X168" s="70" t="s">
        <v>2288</v>
      </c>
      <c r="Y168" s="70" t="s">
        <v>2288</v>
      </c>
      <c r="Z168" s="70" t="s">
        <v>2288</v>
      </c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15</v>
      </c>
      <c r="J169" s="147" t="s">
        <v>1802</v>
      </c>
      <c r="K169" s="31">
        <f t="shared" si="12"/>
        <v>13</v>
      </c>
      <c r="L169" s="32">
        <f t="shared" si="13"/>
        <v>0.5357142857142857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 t="s">
        <v>2288</v>
      </c>
      <c r="S169" s="70" t="s">
        <v>2288</v>
      </c>
      <c r="T169" s="70" t="s">
        <v>2288</v>
      </c>
      <c r="U169" s="70" t="s">
        <v>2288</v>
      </c>
      <c r="V169" s="70" t="s">
        <v>2288</v>
      </c>
      <c r="W169" s="70"/>
      <c r="X169" s="70" t="s">
        <v>2288</v>
      </c>
      <c r="Y169" s="70" t="s">
        <v>2288</v>
      </c>
      <c r="Z169" s="70" t="s">
        <v>2288</v>
      </c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 t="s">
        <v>2288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 t="s">
        <v>2288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 t="s">
        <v>2288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 t="s">
        <v>2288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15</v>
      </c>
      <c r="J187" s="147" t="s">
        <v>1818</v>
      </c>
      <c r="K187" s="31">
        <f t="shared" si="12"/>
        <v>13</v>
      </c>
      <c r="L187" s="32">
        <f t="shared" si="13"/>
        <v>0.5357142857142857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 t="s">
        <v>2288</v>
      </c>
      <c r="S187" s="70" t="s">
        <v>2288</v>
      </c>
      <c r="T187" s="70" t="s">
        <v>2288</v>
      </c>
      <c r="U187" s="70" t="s">
        <v>2288</v>
      </c>
      <c r="V187" s="70" t="s">
        <v>2288</v>
      </c>
      <c r="W187" s="70"/>
      <c r="X187" s="70" t="s">
        <v>2288</v>
      </c>
      <c r="Y187" s="70" t="s">
        <v>2288</v>
      </c>
      <c r="Z187" s="70" t="s">
        <v>2288</v>
      </c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15</v>
      </c>
      <c r="J193" s="87"/>
      <c r="K193" s="138">
        <f t="shared" si="12"/>
        <v>13</v>
      </c>
      <c r="L193" s="139">
        <f t="shared" si="13"/>
        <v>0.5357142857142857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 t="s">
        <v>2288</v>
      </c>
      <c r="S193" s="140" t="s">
        <v>2288</v>
      </c>
      <c r="T193" s="140" t="s">
        <v>2288</v>
      </c>
      <c r="U193" s="140" t="s">
        <v>2288</v>
      </c>
      <c r="V193" s="140" t="s">
        <v>2288</v>
      </c>
      <c r="W193" s="140"/>
      <c r="X193" s="140" t="s">
        <v>2288</v>
      </c>
      <c r="Y193" s="140" t="s">
        <v>2288</v>
      </c>
      <c r="Z193" s="140" t="s">
        <v>2288</v>
      </c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15</v>
      </c>
      <c r="J194" s="147" t="s">
        <v>1822</v>
      </c>
      <c r="K194" s="142">
        <f t="shared" si="12"/>
        <v>13</v>
      </c>
      <c r="L194" s="143">
        <f t="shared" si="13"/>
        <v>0.5357142857142857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 t="s">
        <v>2288</v>
      </c>
      <c r="S194" s="70" t="s">
        <v>2288</v>
      </c>
      <c r="T194" s="70" t="s">
        <v>2288</v>
      </c>
      <c r="U194" s="70" t="s">
        <v>2288</v>
      </c>
      <c r="V194" s="70" t="s">
        <v>2288</v>
      </c>
      <c r="W194" s="70"/>
      <c r="X194" s="70" t="s">
        <v>2288</v>
      </c>
      <c r="Y194" s="70" t="s">
        <v>2288</v>
      </c>
      <c r="Z194" s="70" t="s">
        <v>2288</v>
      </c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20</v>
      </c>
      <c r="J195" s="147" t="s">
        <v>1823</v>
      </c>
      <c r="K195" s="142">
        <f t="shared" si="12"/>
        <v>8</v>
      </c>
      <c r="L195" s="143">
        <f t="shared" si="13"/>
        <v>0.7142857142857143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 t="s">
        <v>2288</v>
      </c>
      <c r="S195" s="70"/>
      <c r="T195" s="70"/>
      <c r="U195" s="70"/>
      <c r="V195" s="70"/>
      <c r="W195" s="70"/>
      <c r="X195" s="70"/>
      <c r="Y195" s="70" t="s">
        <v>2288</v>
      </c>
      <c r="Z195" s="70" t="s">
        <v>2288</v>
      </c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2288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18</v>
      </c>
      <c r="J200" s="147" t="s">
        <v>1827</v>
      </c>
      <c r="K200" s="142">
        <f t="shared" si="12"/>
        <v>10</v>
      </c>
      <c r="L200" s="143">
        <f t="shared" si="13"/>
        <v>0.6428571428571429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 t="s">
        <v>2288</v>
      </c>
      <c r="T200" s="70" t="s">
        <v>2288</v>
      </c>
      <c r="U200" s="70" t="s">
        <v>2288</v>
      </c>
      <c r="V200" s="70" t="s">
        <v>2288</v>
      </c>
      <c r="W200" s="70"/>
      <c r="X200" s="70" t="s">
        <v>2288</v>
      </c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1828</v>
      </c>
      <c r="K201" s="31">
        <f t="shared" si="12"/>
        <v>6</v>
      </c>
      <c r="L201" s="32">
        <f t="shared" si="13"/>
        <v>0.7857142857142857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 t="s">
        <v>2288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17</v>
      </c>
      <c r="J211" s="147" t="s">
        <v>1837</v>
      </c>
      <c r="K211" s="142">
        <f t="shared" si="12"/>
        <v>11</v>
      </c>
      <c r="L211" s="143">
        <f t="shared" si="13"/>
        <v>0.6071428571428571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 t="s">
        <v>2288</v>
      </c>
      <c r="S211" s="70" t="s">
        <v>2288</v>
      </c>
      <c r="T211" s="70" t="s">
        <v>2288</v>
      </c>
      <c r="U211" s="70" t="s">
        <v>2288</v>
      </c>
      <c r="V211" s="70" t="s">
        <v>2288</v>
      </c>
      <c r="W211" s="70"/>
      <c r="X211" s="70" t="s">
        <v>2288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15</v>
      </c>
      <c r="J218" s="151" t="s">
        <v>2276</v>
      </c>
      <c r="K218" s="142">
        <f t="shared" si="12"/>
        <v>13</v>
      </c>
      <c r="L218" s="143">
        <f t="shared" si="13"/>
        <v>0.5357142857142857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 t="s">
        <v>2288</v>
      </c>
      <c r="S218" s="70" t="s">
        <v>2288</v>
      </c>
      <c r="T218" s="70" t="s">
        <v>2288</v>
      </c>
      <c r="U218" s="70" t="s">
        <v>2288</v>
      </c>
      <c r="V218" s="70" t="s">
        <v>2288</v>
      </c>
      <c r="W218" s="70"/>
      <c r="X218" s="70" t="s">
        <v>2288</v>
      </c>
      <c r="Y218" s="70" t="s">
        <v>2288</v>
      </c>
      <c r="Z218" s="70" t="s">
        <v>2288</v>
      </c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 t="s">
        <v>2288</v>
      </c>
      <c r="S219" s="70" t="s">
        <v>2288</v>
      </c>
      <c r="T219" s="70" t="s">
        <v>2288</v>
      </c>
      <c r="U219" s="70" t="s">
        <v>2288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 t="s">
        <v>2288</v>
      </c>
      <c r="S220" s="70" t="s">
        <v>2288</v>
      </c>
      <c r="T220" s="70" t="s">
        <v>2288</v>
      </c>
      <c r="U220" s="70" t="s">
        <v>2288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15</v>
      </c>
      <c r="J232" s="147" t="s">
        <v>1852</v>
      </c>
      <c r="K232" s="31">
        <f t="shared" si="12"/>
        <v>13</v>
      </c>
      <c r="L232" s="32">
        <f t="shared" si="13"/>
        <v>0.5357142857142857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 t="s">
        <v>2288</v>
      </c>
      <c r="S232" s="70" t="s">
        <v>2288</v>
      </c>
      <c r="T232" s="70" t="s">
        <v>2288</v>
      </c>
      <c r="U232" s="70" t="s">
        <v>2288</v>
      </c>
      <c r="V232" s="70" t="s">
        <v>2288</v>
      </c>
      <c r="W232" s="70"/>
      <c r="X232" s="70" t="s">
        <v>2288</v>
      </c>
      <c r="Y232" s="70" t="s">
        <v>2288</v>
      </c>
      <c r="Z232" s="70" t="s">
        <v>2288</v>
      </c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 t="s">
        <v>2288</v>
      </c>
      <c r="S233" s="70" t="s">
        <v>2288</v>
      </c>
      <c r="T233" s="70" t="s">
        <v>2288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16</v>
      </c>
      <c r="J234" s="147" t="s">
        <v>1854</v>
      </c>
      <c r="K234" s="31">
        <f t="shared" si="12"/>
        <v>12</v>
      </c>
      <c r="L234" s="32">
        <f t="shared" si="13"/>
        <v>0.5714285714285714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 t="s">
        <v>2288</v>
      </c>
      <c r="S234" s="70" t="s">
        <v>2288</v>
      </c>
      <c r="T234" s="70" t="s">
        <v>2288</v>
      </c>
      <c r="U234" s="70"/>
      <c r="V234" s="70" t="s">
        <v>2288</v>
      </c>
      <c r="W234" s="70"/>
      <c r="X234" s="70" t="s">
        <v>2288</v>
      </c>
      <c r="Y234" s="70" t="s">
        <v>2288</v>
      </c>
      <c r="Z234" s="70" t="s">
        <v>2288</v>
      </c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25</v>
      </c>
      <c r="J235" s="147" t="s">
        <v>1855</v>
      </c>
      <c r="K235" s="31">
        <f t="shared" si="12"/>
        <v>3</v>
      </c>
      <c r="L235" s="32">
        <f t="shared" si="13"/>
        <v>0.8928571428571429</v>
      </c>
      <c r="M235" s="70"/>
      <c r="N235" s="70"/>
      <c r="O235" s="70"/>
      <c r="P235" s="70"/>
      <c r="Q235" s="70"/>
      <c r="R235" s="70" t="s">
        <v>2288</v>
      </c>
      <c r="S235" s="70" t="s">
        <v>2288</v>
      </c>
      <c r="T235" s="70" t="s">
        <v>2288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25</v>
      </c>
      <c r="J236" s="147" t="s">
        <v>1856</v>
      </c>
      <c r="K236" s="31">
        <f t="shared" si="12"/>
        <v>3</v>
      </c>
      <c r="L236" s="32">
        <f t="shared" si="13"/>
        <v>0.8928571428571429</v>
      </c>
      <c r="M236" s="70"/>
      <c r="N236" s="70"/>
      <c r="O236" s="70"/>
      <c r="P236" s="70"/>
      <c r="Q236" s="70"/>
      <c r="R236" s="70" t="s">
        <v>2288</v>
      </c>
      <c r="S236" s="70" t="s">
        <v>2288</v>
      </c>
      <c r="T236" s="70" t="s">
        <v>2288</v>
      </c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18</v>
      </c>
      <c r="J241" s="147" t="s">
        <v>1861</v>
      </c>
      <c r="K241" s="31">
        <f t="shared" si="15"/>
        <v>10</v>
      </c>
      <c r="L241" s="32">
        <f t="shared" si="16"/>
        <v>0.6428571428571429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 t="s">
        <v>2288</v>
      </c>
      <c r="S241" s="70" t="s">
        <v>2288</v>
      </c>
      <c r="T241" s="70" t="s">
        <v>2288</v>
      </c>
      <c r="U241" s="70" t="s">
        <v>2288</v>
      </c>
      <c r="V241" s="70" t="s">
        <v>2288</v>
      </c>
      <c r="W241" s="70"/>
      <c r="X241" s="70"/>
      <c r="Y241" s="70" t="s">
        <v>2288</v>
      </c>
      <c r="Z241" s="70" t="s">
        <v>2288</v>
      </c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 t="s">
        <v>2288</v>
      </c>
      <c r="S242" s="70" t="s">
        <v>2288</v>
      </c>
      <c r="T242" s="70" t="s">
        <v>2288</v>
      </c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 t="s">
        <v>2288</v>
      </c>
      <c r="S243" s="70" t="s">
        <v>2288</v>
      </c>
      <c r="T243" s="70" t="s">
        <v>2288</v>
      </c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1864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2288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25</v>
      </c>
      <c r="J245" s="147" t="s">
        <v>1865</v>
      </c>
      <c r="K245" s="31">
        <f t="shared" si="15"/>
        <v>3</v>
      </c>
      <c r="L245" s="32">
        <f t="shared" si="16"/>
        <v>0.8928571428571429</v>
      </c>
      <c r="M245" s="70"/>
      <c r="N245" s="70"/>
      <c r="O245" s="70"/>
      <c r="P245" s="70"/>
      <c r="Q245" s="70"/>
      <c r="R245" s="70" t="s">
        <v>2288</v>
      </c>
      <c r="S245" s="70" t="s">
        <v>2288</v>
      </c>
      <c r="T245" s="70" t="s">
        <v>2288</v>
      </c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18</v>
      </c>
      <c r="J246" s="147" t="s">
        <v>1866</v>
      </c>
      <c r="K246" s="31">
        <f t="shared" si="15"/>
        <v>10</v>
      </c>
      <c r="L246" s="32">
        <f t="shared" si="16"/>
        <v>0.6428571428571429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 t="s">
        <v>2288</v>
      </c>
      <c r="S246" s="70" t="s">
        <v>2288</v>
      </c>
      <c r="T246" s="70" t="s">
        <v>2288</v>
      </c>
      <c r="U246" s="70"/>
      <c r="V246" s="70" t="s">
        <v>2288</v>
      </c>
      <c r="W246" s="70"/>
      <c r="X246" s="70" t="s">
        <v>2288</v>
      </c>
      <c r="Y246" s="70" t="s">
        <v>2288</v>
      </c>
      <c r="Z246" s="70" t="s">
        <v>2288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27</v>
      </c>
      <c r="J249" s="147" t="s">
        <v>1867</v>
      </c>
      <c r="K249" s="31">
        <f t="shared" si="15"/>
        <v>1</v>
      </c>
      <c r="L249" s="32">
        <f t="shared" si="16"/>
        <v>0.9642857142857143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2288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1873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2288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/>
      <c r="N260" s="70"/>
      <c r="O260" s="70"/>
      <c r="P260" s="70"/>
      <c r="Q260" s="70"/>
      <c r="R260" s="70" t="s">
        <v>2288</v>
      </c>
      <c r="S260" s="70" t="s">
        <v>2288</v>
      </c>
      <c r="T260" s="70" t="s">
        <v>2288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/>
      <c r="N262" s="70"/>
      <c r="O262" s="70"/>
      <c r="P262" s="70"/>
      <c r="Q262" s="70"/>
      <c r="R262" s="70" t="s">
        <v>2288</v>
      </c>
      <c r="S262" s="70" t="s">
        <v>2288</v>
      </c>
      <c r="T262" s="70" t="s">
        <v>2288</v>
      </c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19</v>
      </c>
      <c r="J264" s="147" t="s">
        <v>1879</v>
      </c>
      <c r="K264" s="31">
        <f t="shared" si="15"/>
        <v>9</v>
      </c>
      <c r="L264" s="32">
        <f t="shared" si="16"/>
        <v>0.6785714285714286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 t="s">
        <v>2288</v>
      </c>
      <c r="S264" s="70"/>
      <c r="T264" s="70"/>
      <c r="U264" s="70"/>
      <c r="V264" s="70"/>
      <c r="W264" s="70"/>
      <c r="X264" s="70" t="s">
        <v>2288</v>
      </c>
      <c r="Y264" s="70" t="s">
        <v>2288</v>
      </c>
      <c r="Z264" s="70" t="s">
        <v>2288</v>
      </c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25</v>
      </c>
      <c r="J266" s="147" t="s">
        <v>1881</v>
      </c>
      <c r="K266" s="31">
        <f t="shared" si="15"/>
        <v>3</v>
      </c>
      <c r="L266" s="32">
        <f t="shared" si="16"/>
        <v>0.8928571428571429</v>
      </c>
      <c r="M266" s="70"/>
      <c r="N266" s="70"/>
      <c r="O266" s="70"/>
      <c r="P266" s="70"/>
      <c r="Q266" s="70"/>
      <c r="R266" s="70" t="s">
        <v>2288</v>
      </c>
      <c r="S266" s="70" t="s">
        <v>2288</v>
      </c>
      <c r="T266" s="70" t="s">
        <v>2288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15</v>
      </c>
      <c r="J281" s="147" t="s">
        <v>1893</v>
      </c>
      <c r="K281" s="31">
        <f t="shared" si="15"/>
        <v>13</v>
      </c>
      <c r="L281" s="32">
        <f t="shared" si="16"/>
        <v>0.5357142857142857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 t="s">
        <v>2288</v>
      </c>
      <c r="S281" s="70" t="s">
        <v>2288</v>
      </c>
      <c r="T281" s="70" t="s">
        <v>2288</v>
      </c>
      <c r="U281" s="70" t="s">
        <v>2288</v>
      </c>
      <c r="V281" s="70" t="s">
        <v>2288</v>
      </c>
      <c r="W281" s="70"/>
      <c r="X281" s="70" t="s">
        <v>2288</v>
      </c>
      <c r="Y281" s="70" t="s">
        <v>2288</v>
      </c>
      <c r="Z281" s="70" t="s">
        <v>2288</v>
      </c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22</v>
      </c>
      <c r="J284" s="147" t="s">
        <v>1896</v>
      </c>
      <c r="K284" s="142">
        <f t="shared" si="15"/>
        <v>6</v>
      </c>
      <c r="L284" s="143">
        <f t="shared" si="16"/>
        <v>0.7857142857142857</v>
      </c>
      <c r="M284" s="70"/>
      <c r="N284" s="70"/>
      <c r="O284" s="70"/>
      <c r="P284" s="70"/>
      <c r="Q284" s="70"/>
      <c r="R284" s="70" t="s">
        <v>2288</v>
      </c>
      <c r="S284" s="70" t="s">
        <v>2288</v>
      </c>
      <c r="T284" s="70" t="s">
        <v>2288</v>
      </c>
      <c r="U284" s="70" t="s">
        <v>2288</v>
      </c>
      <c r="V284" s="70" t="s">
        <v>2288</v>
      </c>
      <c r="W284" s="70"/>
      <c r="X284" s="70" t="s">
        <v>2288</v>
      </c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15</v>
      </c>
      <c r="J296" s="147" t="s">
        <v>1907</v>
      </c>
      <c r="K296" s="31">
        <f t="shared" si="15"/>
        <v>13</v>
      </c>
      <c r="L296" s="32">
        <f t="shared" si="16"/>
        <v>0.5357142857142857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 t="s">
        <v>2288</v>
      </c>
      <c r="S296" s="70" t="s">
        <v>2288</v>
      </c>
      <c r="T296" s="70" t="s">
        <v>2288</v>
      </c>
      <c r="U296" s="70" t="s">
        <v>2288</v>
      </c>
      <c r="V296" s="70" t="s">
        <v>2288</v>
      </c>
      <c r="W296" s="70"/>
      <c r="X296" s="70" t="s">
        <v>2288</v>
      </c>
      <c r="Y296" s="70" t="s">
        <v>2288</v>
      </c>
      <c r="Z296" s="70" t="s">
        <v>2288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2288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1910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2288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15</v>
      </c>
      <c r="J308" s="147" t="s">
        <v>1918</v>
      </c>
      <c r="K308" s="142">
        <f t="shared" si="15"/>
        <v>13</v>
      </c>
      <c r="L308" s="143">
        <f t="shared" si="16"/>
        <v>0.5357142857142857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 t="s">
        <v>2288</v>
      </c>
      <c r="S308" s="70" t="s">
        <v>2288</v>
      </c>
      <c r="T308" s="70" t="s">
        <v>2288</v>
      </c>
      <c r="U308" s="70" t="s">
        <v>2288</v>
      </c>
      <c r="V308" s="70" t="s">
        <v>2288</v>
      </c>
      <c r="W308" s="70"/>
      <c r="X308" s="70" t="s">
        <v>2288</v>
      </c>
      <c r="Y308" s="70" t="s">
        <v>2288</v>
      </c>
      <c r="Z308" s="70" t="s">
        <v>2288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15</v>
      </c>
      <c r="J310" s="147" t="s">
        <v>1919</v>
      </c>
      <c r="K310" s="31">
        <f t="shared" ref="K310:K380" si="18">COUNTIF(M310:AN310,"APAGADO")</f>
        <v>13</v>
      </c>
      <c r="L310" s="32">
        <f t="shared" ref="L310:L380" si="19">(I310)/(K310+I310)</f>
        <v>0.5357142857142857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 t="s">
        <v>2288</v>
      </c>
      <c r="S310" s="70" t="s">
        <v>2288</v>
      </c>
      <c r="T310" s="70" t="s">
        <v>2288</v>
      </c>
      <c r="U310" s="70" t="s">
        <v>2288</v>
      </c>
      <c r="V310" s="70" t="s">
        <v>2288</v>
      </c>
      <c r="W310" s="70"/>
      <c r="X310" s="70" t="s">
        <v>2288</v>
      </c>
      <c r="Y310" s="70" t="s">
        <v>2288</v>
      </c>
      <c r="Z310" s="70" t="s">
        <v>2288</v>
      </c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18</v>
      </c>
      <c r="J311" s="147" t="s">
        <v>1920</v>
      </c>
      <c r="K311" s="142">
        <f t="shared" si="18"/>
        <v>10</v>
      </c>
      <c r="L311" s="143">
        <f t="shared" si="19"/>
        <v>0.6428571428571429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 t="s">
        <v>2288</v>
      </c>
      <c r="S311" s="70" t="s">
        <v>2288</v>
      </c>
      <c r="T311" s="70"/>
      <c r="U311" s="70"/>
      <c r="V311" s="70" t="s">
        <v>2288</v>
      </c>
      <c r="W311" s="70"/>
      <c r="X311" s="70" t="s">
        <v>2288</v>
      </c>
      <c r="Y311" s="70" t="s">
        <v>2288</v>
      </c>
      <c r="Z311" s="70" t="s">
        <v>2288</v>
      </c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18</v>
      </c>
      <c r="J312" s="87" t="s">
        <v>2197</v>
      </c>
      <c r="K312" s="142">
        <f t="shared" si="18"/>
        <v>10</v>
      </c>
      <c r="L312" s="143">
        <f t="shared" si="19"/>
        <v>0.6428571428571429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 t="s">
        <v>2288</v>
      </c>
      <c r="S312" s="70" t="s">
        <v>2288</v>
      </c>
      <c r="T312" s="70"/>
      <c r="U312" s="70"/>
      <c r="V312" s="70" t="s">
        <v>2288</v>
      </c>
      <c r="W312" s="70"/>
      <c r="X312" s="70" t="s">
        <v>2288</v>
      </c>
      <c r="Y312" s="70" t="s">
        <v>2288</v>
      </c>
      <c r="Z312" s="70" t="s">
        <v>2288</v>
      </c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18</v>
      </c>
      <c r="J313" s="147" t="s">
        <v>1921</v>
      </c>
      <c r="K313" s="142">
        <f t="shared" si="18"/>
        <v>10</v>
      </c>
      <c r="L313" s="143">
        <f t="shared" si="19"/>
        <v>0.6428571428571429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 t="s">
        <v>2288</v>
      </c>
      <c r="S313" s="70" t="s">
        <v>2288</v>
      </c>
      <c r="T313" s="70"/>
      <c r="U313" s="70"/>
      <c r="V313" s="70" t="s">
        <v>2288</v>
      </c>
      <c r="W313" s="70"/>
      <c r="X313" s="70" t="s">
        <v>2288</v>
      </c>
      <c r="Y313" s="70" t="s">
        <v>2288</v>
      </c>
      <c r="Z313" s="70" t="s">
        <v>2288</v>
      </c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15</v>
      </c>
      <c r="J314" s="147" t="s">
        <v>1922</v>
      </c>
      <c r="K314" s="31">
        <f t="shared" si="18"/>
        <v>13</v>
      </c>
      <c r="L314" s="32">
        <f t="shared" si="19"/>
        <v>0.5357142857142857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 t="s">
        <v>2288</v>
      </c>
      <c r="S314" s="70" t="s">
        <v>2288</v>
      </c>
      <c r="T314" s="70" t="s">
        <v>2288</v>
      </c>
      <c r="U314" s="70" t="s">
        <v>2288</v>
      </c>
      <c r="V314" s="70" t="s">
        <v>2288</v>
      </c>
      <c r="W314" s="70"/>
      <c r="X314" s="70" t="s">
        <v>2288</v>
      </c>
      <c r="Y314" s="70" t="s">
        <v>2288</v>
      </c>
      <c r="Z314" s="70" t="s">
        <v>2288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18</v>
      </c>
      <c r="J315" s="147" t="s">
        <v>1923</v>
      </c>
      <c r="K315" s="31">
        <f t="shared" si="18"/>
        <v>10</v>
      </c>
      <c r="L315" s="32">
        <f t="shared" si="19"/>
        <v>0.6428571428571429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 t="s">
        <v>2288</v>
      </c>
      <c r="U315" s="70" t="s">
        <v>2288</v>
      </c>
      <c r="W315" s="70"/>
      <c r="X315" s="70" t="s">
        <v>2288</v>
      </c>
      <c r="Y315" s="70" t="s">
        <v>2288</v>
      </c>
      <c r="Z315" s="70" t="s">
        <v>2288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18</v>
      </c>
      <c r="J316" s="147" t="s">
        <v>1924</v>
      </c>
      <c r="K316" s="31">
        <f t="shared" si="18"/>
        <v>10</v>
      </c>
      <c r="L316" s="32">
        <f t="shared" si="19"/>
        <v>0.6428571428571429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 t="s">
        <v>2288</v>
      </c>
      <c r="U316" s="70" t="s">
        <v>2288</v>
      </c>
      <c r="V316" s="70"/>
      <c r="W316" s="70"/>
      <c r="X316" s="70" t="s">
        <v>2288</v>
      </c>
      <c r="Y316" s="70" t="s">
        <v>2288</v>
      </c>
      <c r="Z316" s="70" t="s">
        <v>2288</v>
      </c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27</v>
      </c>
      <c r="J320" s="147" t="s">
        <v>1928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2288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2288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2288</v>
      </c>
      <c r="Y348" s="70" t="s">
        <v>2288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2288</v>
      </c>
      <c r="Y349" s="70" t="s">
        <v>2288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 t="s">
        <v>2288</v>
      </c>
      <c r="S350" s="70" t="s">
        <v>2288</v>
      </c>
      <c r="T350" s="70" t="s">
        <v>2288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15</v>
      </c>
      <c r="J375" s="73"/>
      <c r="K375" s="31">
        <f t="shared" si="18"/>
        <v>13</v>
      </c>
      <c r="L375" s="32">
        <f t="shared" si="19"/>
        <v>0.5357142857142857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 t="s">
        <v>2288</v>
      </c>
      <c r="S375" s="70" t="s">
        <v>2288</v>
      </c>
      <c r="T375" s="70" t="s">
        <v>2288</v>
      </c>
      <c r="U375" s="70" t="s">
        <v>2288</v>
      </c>
      <c r="V375" s="70" t="s">
        <v>2288</v>
      </c>
      <c r="W375" s="70"/>
      <c r="X375" s="70" t="s">
        <v>2288</v>
      </c>
      <c r="Y375" s="70" t="s">
        <v>2288</v>
      </c>
      <c r="Z375" s="70" t="s">
        <v>2288</v>
      </c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20</v>
      </c>
      <c r="J378" s="147" t="s">
        <v>1975</v>
      </c>
      <c r="K378" s="31">
        <f t="shared" si="18"/>
        <v>8</v>
      </c>
      <c r="L378" s="32">
        <f t="shared" si="19"/>
        <v>0.7142857142857143</v>
      </c>
      <c r="M378" s="70" t="s">
        <v>2288</v>
      </c>
      <c r="N378" s="70" t="s">
        <v>2288</v>
      </c>
      <c r="O378" s="70"/>
      <c r="P378" s="70"/>
      <c r="Q378" s="70"/>
      <c r="R378" s="70" t="s">
        <v>2288</v>
      </c>
      <c r="S378" s="70" t="s">
        <v>2288</v>
      </c>
      <c r="T378" s="70" t="s">
        <v>2288</v>
      </c>
      <c r="U378" s="70" t="s">
        <v>2288</v>
      </c>
      <c r="V378" s="70" t="s">
        <v>2288</v>
      </c>
      <c r="W378" s="70"/>
      <c r="X378" s="70" t="s">
        <v>2288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20</v>
      </c>
      <c r="J379" s="147" t="s">
        <v>1976</v>
      </c>
      <c r="K379" s="31">
        <f t="shared" si="18"/>
        <v>8</v>
      </c>
      <c r="L379" s="32">
        <f t="shared" si="19"/>
        <v>0.7142857142857143</v>
      </c>
      <c r="M379" s="70" t="s">
        <v>2288</v>
      </c>
      <c r="N379" s="70" t="s">
        <v>2288</v>
      </c>
      <c r="O379" s="70"/>
      <c r="P379" s="70"/>
      <c r="Q379" s="70"/>
      <c r="R379" s="70" t="s">
        <v>2288</v>
      </c>
      <c r="S379" s="70" t="s">
        <v>2288</v>
      </c>
      <c r="T379" s="70" t="s">
        <v>2288</v>
      </c>
      <c r="U379" s="70" t="s">
        <v>2288</v>
      </c>
      <c r="V379" s="70" t="s">
        <v>2288</v>
      </c>
      <c r="W379" s="70"/>
      <c r="X379" s="70" t="s">
        <v>2288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20</v>
      </c>
      <c r="J380" s="147" t="s">
        <v>1977</v>
      </c>
      <c r="K380" s="31">
        <f t="shared" si="18"/>
        <v>8</v>
      </c>
      <c r="L380" s="32">
        <f t="shared" si="19"/>
        <v>0.7142857142857143</v>
      </c>
      <c r="M380" s="70" t="s">
        <v>2288</v>
      </c>
      <c r="N380" s="70" t="s">
        <v>2288</v>
      </c>
      <c r="O380" s="70"/>
      <c r="P380" s="70"/>
      <c r="Q380" s="70"/>
      <c r="R380" s="70" t="s">
        <v>2288</v>
      </c>
      <c r="S380" s="70" t="s">
        <v>2288</v>
      </c>
      <c r="T380" s="70" t="s">
        <v>2288</v>
      </c>
      <c r="U380" s="70" t="s">
        <v>2288</v>
      </c>
      <c r="V380" s="70" t="s">
        <v>2288</v>
      </c>
      <c r="W380" s="70"/>
      <c r="X380" s="70" t="s">
        <v>2288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18</v>
      </c>
      <c r="J381" s="147" t="s">
        <v>1978</v>
      </c>
      <c r="K381" s="31">
        <f t="shared" ref="K381:K462" si="21">COUNTIF(M381:AN381,"APAGADO")</f>
        <v>10</v>
      </c>
      <c r="L381" s="32">
        <f t="shared" ref="L381:L462" si="22">(I381)/(K381+I381)</f>
        <v>0.6428571428571429</v>
      </c>
      <c r="M381" s="70" t="s">
        <v>2288</v>
      </c>
      <c r="N381" s="70" t="s">
        <v>2288</v>
      </c>
      <c r="O381" s="70"/>
      <c r="P381" s="70"/>
      <c r="Q381" s="70"/>
      <c r="R381" s="70" t="s">
        <v>2288</v>
      </c>
      <c r="S381" s="70" t="s">
        <v>2288</v>
      </c>
      <c r="T381" s="70" t="s">
        <v>2288</v>
      </c>
      <c r="U381" s="70" t="s">
        <v>2288</v>
      </c>
      <c r="V381" s="70" t="s">
        <v>2288</v>
      </c>
      <c r="W381" s="70"/>
      <c r="X381" s="70" t="s">
        <v>2288</v>
      </c>
      <c r="Y381" s="70" t="s">
        <v>2288</v>
      </c>
      <c r="Z381" s="70" t="s">
        <v>2288</v>
      </c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18</v>
      </c>
      <c r="J382" s="147" t="s">
        <v>1979</v>
      </c>
      <c r="K382" s="31">
        <f t="shared" si="21"/>
        <v>10</v>
      </c>
      <c r="L382" s="32">
        <f t="shared" si="22"/>
        <v>0.6428571428571429</v>
      </c>
      <c r="M382" s="70" t="s">
        <v>2288</v>
      </c>
      <c r="N382" s="70" t="s">
        <v>2288</v>
      </c>
      <c r="O382" s="70"/>
      <c r="P382" s="70"/>
      <c r="Q382" s="70"/>
      <c r="R382" s="70" t="s">
        <v>2288</v>
      </c>
      <c r="S382" s="70" t="s">
        <v>2288</v>
      </c>
      <c r="T382" s="70" t="s">
        <v>2288</v>
      </c>
      <c r="U382" s="70" t="s">
        <v>2288</v>
      </c>
      <c r="V382" s="70" t="s">
        <v>2288</v>
      </c>
      <c r="W382" s="70"/>
      <c r="X382" s="70" t="s">
        <v>2288</v>
      </c>
      <c r="Y382" s="70" t="s">
        <v>2288</v>
      </c>
      <c r="Z382" s="70" t="s">
        <v>2288</v>
      </c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1980</v>
      </c>
      <c r="K383" s="31">
        <f t="shared" si="21"/>
        <v>8</v>
      </c>
      <c r="L383" s="32">
        <f t="shared" si="22"/>
        <v>0.7142857142857143</v>
      </c>
      <c r="M383" s="70" t="s">
        <v>2288</v>
      </c>
      <c r="N383" s="70" t="s">
        <v>2288</v>
      </c>
      <c r="O383" s="70"/>
      <c r="P383" s="70"/>
      <c r="Q383" s="70"/>
      <c r="R383" s="70" t="s">
        <v>2288</v>
      </c>
      <c r="S383" s="70" t="s">
        <v>2288</v>
      </c>
      <c r="T383" s="70" t="s">
        <v>2288</v>
      </c>
      <c r="U383" s="70" t="s">
        <v>2288</v>
      </c>
      <c r="V383" s="70" t="s">
        <v>2288</v>
      </c>
      <c r="W383" s="70"/>
      <c r="X383" s="70" t="s">
        <v>2288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1981</v>
      </c>
      <c r="K384" s="31">
        <f t="shared" si="21"/>
        <v>8</v>
      </c>
      <c r="L384" s="32">
        <f t="shared" si="22"/>
        <v>0.7142857142857143</v>
      </c>
      <c r="M384" s="70" t="s">
        <v>2288</v>
      </c>
      <c r="N384" s="70" t="s">
        <v>2288</v>
      </c>
      <c r="O384" s="70"/>
      <c r="P384" s="70"/>
      <c r="Q384" s="70"/>
      <c r="R384" s="70" t="s">
        <v>2288</v>
      </c>
      <c r="S384" s="70" t="s">
        <v>2288</v>
      </c>
      <c r="T384" s="70" t="s">
        <v>2288</v>
      </c>
      <c r="U384" s="70" t="s">
        <v>2288</v>
      </c>
      <c r="V384" s="70" t="s">
        <v>2288</v>
      </c>
      <c r="W384" s="70"/>
      <c r="X384" s="70" t="s">
        <v>2288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20</v>
      </c>
      <c r="J385" s="147" t="s">
        <v>1982</v>
      </c>
      <c r="K385" s="31">
        <f t="shared" si="21"/>
        <v>8</v>
      </c>
      <c r="L385" s="32">
        <f t="shared" si="22"/>
        <v>0.7142857142857143</v>
      </c>
      <c r="M385" s="70" t="s">
        <v>2288</v>
      </c>
      <c r="N385" s="70" t="s">
        <v>2288</v>
      </c>
      <c r="O385" s="70"/>
      <c r="P385" s="70"/>
      <c r="Q385" s="70"/>
      <c r="R385" s="70" t="s">
        <v>2288</v>
      </c>
      <c r="S385" s="70" t="s">
        <v>2288</v>
      </c>
      <c r="T385" s="70" t="s">
        <v>2288</v>
      </c>
      <c r="U385" s="70" t="s">
        <v>2288</v>
      </c>
      <c r="V385" s="70" t="s">
        <v>2288</v>
      </c>
      <c r="W385" s="70"/>
      <c r="X385" s="70" t="s">
        <v>2288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20</v>
      </c>
      <c r="J386" s="147" t="s">
        <v>1983</v>
      </c>
      <c r="K386" s="31">
        <f t="shared" si="21"/>
        <v>8</v>
      </c>
      <c r="L386" s="32">
        <f t="shared" si="22"/>
        <v>0.7142857142857143</v>
      </c>
      <c r="M386" s="70" t="s">
        <v>2288</v>
      </c>
      <c r="N386" s="70" t="s">
        <v>2288</v>
      </c>
      <c r="O386" s="70"/>
      <c r="P386" s="70"/>
      <c r="Q386" s="70"/>
      <c r="R386" s="70" t="s">
        <v>2288</v>
      </c>
      <c r="S386" s="70" t="s">
        <v>2288</v>
      </c>
      <c r="T386" s="70" t="s">
        <v>2288</v>
      </c>
      <c r="U386" s="70" t="s">
        <v>2288</v>
      </c>
      <c r="V386" s="70" t="s">
        <v>2288</v>
      </c>
      <c r="W386" s="70"/>
      <c r="X386" s="70" t="s">
        <v>2288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18</v>
      </c>
      <c r="J387" s="147" t="s">
        <v>1984</v>
      </c>
      <c r="K387" s="31">
        <f t="shared" si="21"/>
        <v>10</v>
      </c>
      <c r="L387" s="32">
        <f t="shared" si="22"/>
        <v>0.6428571428571429</v>
      </c>
      <c r="M387" s="70" t="s">
        <v>2288</v>
      </c>
      <c r="N387" s="70" t="s">
        <v>2288</v>
      </c>
      <c r="O387" s="70"/>
      <c r="P387" s="70"/>
      <c r="Q387" s="70"/>
      <c r="R387" s="70" t="s">
        <v>2288</v>
      </c>
      <c r="S387" s="70" t="s">
        <v>2288</v>
      </c>
      <c r="T387" s="70" t="s">
        <v>2288</v>
      </c>
      <c r="U387" s="70" t="s">
        <v>2288</v>
      </c>
      <c r="V387" s="70" t="s">
        <v>2288</v>
      </c>
      <c r="W387" s="70"/>
      <c r="X387" s="70" t="s">
        <v>2288</v>
      </c>
      <c r="Y387" s="70" t="s">
        <v>2288</v>
      </c>
      <c r="Z387" s="70" t="s">
        <v>2288</v>
      </c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15</v>
      </c>
      <c r="J388" s="147" t="s">
        <v>1985</v>
      </c>
      <c r="K388" s="31">
        <f t="shared" si="21"/>
        <v>13</v>
      </c>
      <c r="L388" s="32">
        <f t="shared" si="22"/>
        <v>0.5357142857142857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 t="s">
        <v>2288</v>
      </c>
      <c r="S388" s="70" t="s">
        <v>2288</v>
      </c>
      <c r="T388" s="70" t="s">
        <v>2288</v>
      </c>
      <c r="U388" s="70" t="s">
        <v>2288</v>
      </c>
      <c r="V388" s="70" t="s">
        <v>2288</v>
      </c>
      <c r="W388" s="70"/>
      <c r="X388" s="70" t="s">
        <v>2288</v>
      </c>
      <c r="Y388" s="70" t="s">
        <v>2288</v>
      </c>
      <c r="Z388" s="70" t="s">
        <v>2288</v>
      </c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15</v>
      </c>
      <c r="J389" s="147" t="s">
        <v>1986</v>
      </c>
      <c r="K389" s="31">
        <f t="shared" si="21"/>
        <v>13</v>
      </c>
      <c r="L389" s="32">
        <f t="shared" si="22"/>
        <v>0.5357142857142857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 t="s">
        <v>2288</v>
      </c>
      <c r="S389" s="70" t="s">
        <v>2288</v>
      </c>
      <c r="T389" s="70" t="s">
        <v>2288</v>
      </c>
      <c r="U389" s="70" t="s">
        <v>2288</v>
      </c>
      <c r="V389" s="70" t="s">
        <v>2288</v>
      </c>
      <c r="W389" s="70"/>
      <c r="X389" s="70" t="s">
        <v>2288</v>
      </c>
      <c r="Y389" s="70" t="s">
        <v>2288</v>
      </c>
      <c r="Z389" s="70" t="s">
        <v>2288</v>
      </c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16</v>
      </c>
      <c r="J393" s="87"/>
      <c r="K393" s="31">
        <f t="shared" si="21"/>
        <v>12</v>
      </c>
      <c r="L393" s="32">
        <f t="shared" si="22"/>
        <v>0.5714285714285714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 t="s">
        <v>2288</v>
      </c>
      <c r="S393" s="84" t="s">
        <v>2288</v>
      </c>
      <c r="T393" s="84" t="s">
        <v>2288</v>
      </c>
      <c r="U393" s="84" t="s">
        <v>2288</v>
      </c>
      <c r="V393" s="84" t="s">
        <v>2288</v>
      </c>
      <c r="W393" s="84"/>
      <c r="X393" s="84" t="s">
        <v>2288</v>
      </c>
      <c r="Y393" s="84" t="s">
        <v>2288</v>
      </c>
      <c r="Z393" s="84" t="s">
        <v>2288</v>
      </c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17</v>
      </c>
      <c r="J395" s="87"/>
      <c r="K395" s="31">
        <f t="shared" si="21"/>
        <v>11</v>
      </c>
      <c r="L395" s="32">
        <f t="shared" si="22"/>
        <v>0.6071428571428571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 t="s">
        <v>2288</v>
      </c>
      <c r="S395" s="70" t="s">
        <v>2288</v>
      </c>
      <c r="T395" s="70" t="s">
        <v>2288</v>
      </c>
      <c r="U395" s="70" t="s">
        <v>2288</v>
      </c>
      <c r="V395" s="70" t="s">
        <v>2288</v>
      </c>
      <c r="W395" s="70"/>
      <c r="X395" s="70" t="s">
        <v>2288</v>
      </c>
      <c r="Y395" s="70" t="s">
        <v>2288</v>
      </c>
      <c r="Z395" s="70" t="s">
        <v>2288</v>
      </c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26</v>
      </c>
      <c r="J396" s="147" t="s">
        <v>1990</v>
      </c>
      <c r="K396" s="142">
        <f t="shared" si="21"/>
        <v>2</v>
      </c>
      <c r="L396" s="143">
        <f t="shared" si="22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2288</v>
      </c>
      <c r="Z396" s="70" t="s">
        <v>2288</v>
      </c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2288</v>
      </c>
      <c r="S397" s="70" t="s">
        <v>2288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2288</v>
      </c>
      <c r="S398" s="70" t="s">
        <v>2288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15</v>
      </c>
      <c r="J399" s="147" t="s">
        <v>1991</v>
      </c>
      <c r="K399" s="87">
        <f t="shared" si="21"/>
        <v>13</v>
      </c>
      <c r="L399" s="88">
        <f t="shared" si="22"/>
        <v>0.5357142857142857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 t="s">
        <v>2288</v>
      </c>
      <c r="S399" s="89" t="s">
        <v>2288</v>
      </c>
      <c r="T399" s="89" t="s">
        <v>2288</v>
      </c>
      <c r="U399" s="89" t="s">
        <v>2288</v>
      </c>
      <c r="V399" s="89" t="s">
        <v>2288</v>
      </c>
      <c r="W399" s="89"/>
      <c r="X399" s="89" t="s">
        <v>2288</v>
      </c>
      <c r="Y399" s="89" t="s">
        <v>2288</v>
      </c>
      <c r="Z399" s="89" t="s">
        <v>2288</v>
      </c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2288</v>
      </c>
      <c r="P400" s="70"/>
      <c r="Q400" s="70"/>
      <c r="R400" s="70" t="s">
        <v>2288</v>
      </c>
      <c r="S400" s="70" t="s">
        <v>2288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15</v>
      </c>
      <c r="J401" s="147" t="s">
        <v>1992</v>
      </c>
      <c r="K401" s="31">
        <f t="shared" si="21"/>
        <v>13</v>
      </c>
      <c r="L401" s="32">
        <f t="shared" si="22"/>
        <v>0.5357142857142857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 t="s">
        <v>2288</v>
      </c>
      <c r="S401" s="70" t="s">
        <v>2288</v>
      </c>
      <c r="T401" s="70" t="s">
        <v>2288</v>
      </c>
      <c r="U401" s="70" t="s">
        <v>2288</v>
      </c>
      <c r="V401" s="70" t="s">
        <v>2288</v>
      </c>
      <c r="W401" s="70"/>
      <c r="X401" s="70" t="s">
        <v>2288</v>
      </c>
      <c r="Y401" s="70" t="s">
        <v>2288</v>
      </c>
      <c r="Z401" s="70" t="s">
        <v>2288</v>
      </c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15</v>
      </c>
      <c r="J402" s="147" t="s">
        <v>1993</v>
      </c>
      <c r="K402" s="31">
        <f t="shared" si="21"/>
        <v>13</v>
      </c>
      <c r="L402" s="32">
        <f t="shared" si="22"/>
        <v>0.5357142857142857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 t="s">
        <v>2288</v>
      </c>
      <c r="S402" s="70" t="s">
        <v>2288</v>
      </c>
      <c r="T402" s="70" t="s">
        <v>2288</v>
      </c>
      <c r="U402" s="70" t="s">
        <v>2288</v>
      </c>
      <c r="V402" s="70" t="s">
        <v>2288</v>
      </c>
      <c r="W402" s="70"/>
      <c r="X402" s="70" t="s">
        <v>2288</v>
      </c>
      <c r="Y402" s="70" t="s">
        <v>2288</v>
      </c>
      <c r="Z402" s="70" t="s">
        <v>2288</v>
      </c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 t="s">
        <v>2288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 t="s">
        <v>2288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15</v>
      </c>
      <c r="J415" s="87"/>
      <c r="K415" s="31">
        <f t="shared" si="21"/>
        <v>13</v>
      </c>
      <c r="L415" s="32">
        <f t="shared" si="22"/>
        <v>0.5357142857142857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 t="s">
        <v>2288</v>
      </c>
      <c r="S415" s="70" t="s">
        <v>2288</v>
      </c>
      <c r="T415" s="70" t="s">
        <v>2288</v>
      </c>
      <c r="U415" s="70" t="s">
        <v>2288</v>
      </c>
      <c r="V415" s="70" t="s">
        <v>2288</v>
      </c>
      <c r="W415" s="70"/>
      <c r="X415" s="70" t="s">
        <v>2288</v>
      </c>
      <c r="Y415" s="70" t="s">
        <v>2288</v>
      </c>
      <c r="Z415" s="70" t="s">
        <v>2288</v>
      </c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26</v>
      </c>
      <c r="J419" s="73" t="s">
        <v>2002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2288</v>
      </c>
      <c r="Y419" s="70" t="s">
        <v>2288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26</v>
      </c>
      <c r="J422" s="147" t="s">
        <v>2005</v>
      </c>
      <c r="K422" s="31">
        <f t="shared" si="21"/>
        <v>2</v>
      </c>
      <c r="L422" s="32">
        <f t="shared" si="22"/>
        <v>0.9285714285714286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2288</v>
      </c>
      <c r="Y422" s="70" t="s">
        <v>2288</v>
      </c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26</v>
      </c>
      <c r="J423" s="147" t="s">
        <v>2006</v>
      </c>
      <c r="K423" s="31">
        <f t="shared" si="21"/>
        <v>2</v>
      </c>
      <c r="L423" s="32">
        <f t="shared" si="22"/>
        <v>0.9285714285714286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2288</v>
      </c>
      <c r="Y423" s="70" t="s">
        <v>2288</v>
      </c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26</v>
      </c>
      <c r="J424" s="147"/>
      <c r="K424" s="31">
        <f t="shared" si="21"/>
        <v>2</v>
      </c>
      <c r="L424" s="32">
        <f t="shared" si="22"/>
        <v>0.9285714285714286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2288</v>
      </c>
      <c r="Y424" s="70" t="s">
        <v>2288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20</v>
      </c>
      <c r="J429" s="147" t="s">
        <v>2011</v>
      </c>
      <c r="K429" s="31">
        <f t="shared" si="21"/>
        <v>8</v>
      </c>
      <c r="L429" s="32">
        <f t="shared" si="22"/>
        <v>0.7142857142857143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 t="s">
        <v>2288</v>
      </c>
      <c r="Y429" s="70" t="s">
        <v>2288</v>
      </c>
      <c r="Z429" s="70" t="s">
        <v>2288</v>
      </c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20</v>
      </c>
      <c r="J430" s="147" t="s">
        <v>2012</v>
      </c>
      <c r="K430" s="31">
        <f t="shared" si="21"/>
        <v>8</v>
      </c>
      <c r="L430" s="32">
        <f t="shared" si="22"/>
        <v>0.7142857142857143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 t="s">
        <v>2288</v>
      </c>
      <c r="Y430" s="70" t="s">
        <v>2288</v>
      </c>
      <c r="Z430" s="70" t="s">
        <v>2288</v>
      </c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2015</v>
      </c>
      <c r="K434" s="31">
        <f t="shared" si="21"/>
        <v>8</v>
      </c>
      <c r="L434" s="32">
        <f t="shared" si="22"/>
        <v>0.7142857142857143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 t="s">
        <v>2288</v>
      </c>
      <c r="S434" s="70" t="s">
        <v>2288</v>
      </c>
      <c r="T434" s="70" t="s">
        <v>2288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15</v>
      </c>
      <c r="J436" s="147" t="s">
        <v>2017</v>
      </c>
      <c r="K436" s="31">
        <f t="shared" si="21"/>
        <v>13</v>
      </c>
      <c r="L436" s="32">
        <f t="shared" si="22"/>
        <v>0.5357142857142857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 t="s">
        <v>2288</v>
      </c>
      <c r="S436" s="70" t="s">
        <v>2288</v>
      </c>
      <c r="T436" s="70" t="s">
        <v>2288</v>
      </c>
      <c r="U436" s="70" t="s">
        <v>2288</v>
      </c>
      <c r="V436" s="70" t="s">
        <v>2288</v>
      </c>
      <c r="W436" s="70"/>
      <c r="X436" s="70" t="s">
        <v>2288</v>
      </c>
      <c r="Y436" s="70" t="s">
        <v>2288</v>
      </c>
      <c r="Z436" s="70" t="s">
        <v>2288</v>
      </c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18</v>
      </c>
      <c r="J441" s="147" t="s">
        <v>2018</v>
      </c>
      <c r="K441" s="31">
        <f t="shared" si="21"/>
        <v>10</v>
      </c>
      <c r="L441" s="32">
        <f t="shared" si="22"/>
        <v>0.6428571428571429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 t="s">
        <v>2288</v>
      </c>
      <c r="S441" s="70" t="s">
        <v>2288</v>
      </c>
      <c r="T441" s="70"/>
      <c r="U441" s="70"/>
      <c r="V441" s="70"/>
      <c r="W441" s="70"/>
      <c r="X441" s="70" t="s">
        <v>2288</v>
      </c>
      <c r="Y441" s="70" t="s">
        <v>2288</v>
      </c>
      <c r="Z441" s="70" t="s">
        <v>2288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15</v>
      </c>
      <c r="J442" s="147" t="s">
        <v>2019</v>
      </c>
      <c r="K442" s="31">
        <f t="shared" si="21"/>
        <v>13</v>
      </c>
      <c r="L442" s="32">
        <f t="shared" si="22"/>
        <v>0.5357142857142857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 t="s">
        <v>2288</v>
      </c>
      <c r="S442" s="70" t="s">
        <v>2288</v>
      </c>
      <c r="T442" s="70" t="s">
        <v>2288</v>
      </c>
      <c r="U442" s="70" t="s">
        <v>2288</v>
      </c>
      <c r="V442" s="70" t="s">
        <v>2288</v>
      </c>
      <c r="W442" s="70"/>
      <c r="X442" s="70" t="s">
        <v>2288</v>
      </c>
      <c r="Y442" s="70" t="s">
        <v>2288</v>
      </c>
      <c r="Z442" s="70" t="s">
        <v>2288</v>
      </c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20</v>
      </c>
      <c r="J446" s="147" t="s">
        <v>2023</v>
      </c>
      <c r="K446" s="31">
        <f t="shared" si="21"/>
        <v>8</v>
      </c>
      <c r="L446" s="32">
        <f t="shared" si="22"/>
        <v>0.7142857142857143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 t="s">
        <v>2288</v>
      </c>
      <c r="Y446" s="70" t="s">
        <v>2288</v>
      </c>
      <c r="Z446" s="70" t="s">
        <v>2288</v>
      </c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20</v>
      </c>
      <c r="J447" s="147" t="s">
        <v>2024</v>
      </c>
      <c r="K447" s="31">
        <f t="shared" si="21"/>
        <v>8</v>
      </c>
      <c r="L447" s="32">
        <f t="shared" si="22"/>
        <v>0.7142857142857143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 t="s">
        <v>2288</v>
      </c>
      <c r="Y447" s="70" t="s">
        <v>2288</v>
      </c>
      <c r="Z447" s="70" t="s">
        <v>2288</v>
      </c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2025</v>
      </c>
      <c r="K448" s="31">
        <f t="shared" si="21"/>
        <v>8</v>
      </c>
      <c r="L448" s="32">
        <f t="shared" si="22"/>
        <v>0.7142857142857143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 t="s">
        <v>2288</v>
      </c>
      <c r="S448" s="70" t="s">
        <v>2288</v>
      </c>
      <c r="T448" s="70" t="s">
        <v>2288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15</v>
      </c>
      <c r="J456" s="147" t="s">
        <v>2027</v>
      </c>
      <c r="K456" s="142">
        <f t="shared" si="21"/>
        <v>13</v>
      </c>
      <c r="L456" s="143">
        <f t="shared" si="22"/>
        <v>0.5357142857142857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 t="s">
        <v>2288</v>
      </c>
      <c r="S456" s="70" t="s">
        <v>2288</v>
      </c>
      <c r="T456" s="70" t="s">
        <v>2288</v>
      </c>
      <c r="U456" s="70" t="s">
        <v>2288</v>
      </c>
      <c r="V456" s="70" t="s">
        <v>2288</v>
      </c>
      <c r="W456" s="70"/>
      <c r="X456" s="70" t="s">
        <v>2288</v>
      </c>
      <c r="Y456" s="70" t="s">
        <v>2288</v>
      </c>
      <c r="Z456" s="70" t="s">
        <v>2288</v>
      </c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15</v>
      </c>
      <c r="J457" s="147" t="s">
        <v>2028</v>
      </c>
      <c r="K457" s="142">
        <f t="shared" si="21"/>
        <v>13</v>
      </c>
      <c r="L457" s="143">
        <f t="shared" si="22"/>
        <v>0.5357142857142857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 t="s">
        <v>2288</v>
      </c>
      <c r="S457" s="70" t="s">
        <v>2288</v>
      </c>
      <c r="T457" s="70" t="s">
        <v>2288</v>
      </c>
      <c r="U457" s="70" t="s">
        <v>2288</v>
      </c>
      <c r="V457" s="70" t="s">
        <v>2288</v>
      </c>
      <c r="W457" s="70"/>
      <c r="X457" s="70" t="s">
        <v>2288</v>
      </c>
      <c r="Y457" s="70" t="s">
        <v>2288</v>
      </c>
      <c r="Z457" s="70" t="s">
        <v>2288</v>
      </c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15</v>
      </c>
      <c r="J458" s="87"/>
      <c r="K458" s="142">
        <f t="shared" si="21"/>
        <v>13</v>
      </c>
      <c r="L458" s="143">
        <f t="shared" si="22"/>
        <v>0.5357142857142857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 t="s">
        <v>2288</v>
      </c>
      <c r="S458" s="70" t="s">
        <v>2288</v>
      </c>
      <c r="T458" s="70" t="s">
        <v>2288</v>
      </c>
      <c r="U458" s="70" t="s">
        <v>2288</v>
      </c>
      <c r="V458" s="70" t="s">
        <v>2288</v>
      </c>
      <c r="W458" s="70"/>
      <c r="X458" s="70" t="s">
        <v>2288</v>
      </c>
      <c r="Y458" s="70" t="s">
        <v>2288</v>
      </c>
      <c r="Z458" s="70" t="s">
        <v>2288</v>
      </c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18</v>
      </c>
      <c r="J459" s="153" t="s">
        <v>2146</v>
      </c>
      <c r="K459" s="142">
        <f t="shared" si="21"/>
        <v>10</v>
      </c>
      <c r="L459" s="143">
        <f t="shared" si="22"/>
        <v>0.6428571428571429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 t="s">
        <v>2288</v>
      </c>
      <c r="S459" s="70" t="s">
        <v>2288</v>
      </c>
      <c r="T459" s="70" t="s">
        <v>2288</v>
      </c>
      <c r="U459" s="70" t="s">
        <v>2288</v>
      </c>
      <c r="V459" s="70" t="s">
        <v>2288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15</v>
      </c>
      <c r="J460" s="153"/>
      <c r="K460" s="142">
        <f t="shared" si="21"/>
        <v>13</v>
      </c>
      <c r="L460" s="143">
        <f t="shared" si="22"/>
        <v>0.5357142857142857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 t="s">
        <v>2288</v>
      </c>
      <c r="S460" s="70" t="s">
        <v>2288</v>
      </c>
      <c r="T460" s="70" t="s">
        <v>2288</v>
      </c>
      <c r="U460" s="70" t="s">
        <v>2288</v>
      </c>
      <c r="V460" s="70" t="s">
        <v>2288</v>
      </c>
      <c r="W460" s="70"/>
      <c r="X460" s="70" t="s">
        <v>2288</v>
      </c>
      <c r="Y460" s="70" t="s">
        <v>2288</v>
      </c>
      <c r="Z460" s="70" t="s">
        <v>2288</v>
      </c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25</v>
      </c>
      <c r="J461" s="147" t="s">
        <v>2029</v>
      </c>
      <c r="K461" s="31">
        <f t="shared" si="21"/>
        <v>3</v>
      </c>
      <c r="L461" s="32">
        <f t="shared" si="22"/>
        <v>0.8928571428571429</v>
      </c>
      <c r="M461" s="70"/>
      <c r="N461" s="70"/>
      <c r="O461" s="70"/>
      <c r="P461" s="70"/>
      <c r="Q461" s="70"/>
      <c r="R461" s="70" t="s">
        <v>2288</v>
      </c>
      <c r="S461" s="70" t="s">
        <v>2288</v>
      </c>
      <c r="T461" s="70" t="s">
        <v>2288</v>
      </c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25</v>
      </c>
      <c r="J462" s="147" t="s">
        <v>2030</v>
      </c>
      <c r="K462" s="31">
        <f t="shared" si="21"/>
        <v>3</v>
      </c>
      <c r="L462" s="32">
        <f t="shared" si="22"/>
        <v>0.8928571428571429</v>
      </c>
      <c r="M462" s="70"/>
      <c r="N462" s="70"/>
      <c r="O462" s="70"/>
      <c r="P462" s="70"/>
      <c r="Q462" s="70"/>
      <c r="R462" s="70" t="s">
        <v>2288</v>
      </c>
      <c r="S462" s="70" t="s">
        <v>2288</v>
      </c>
      <c r="T462" s="70" t="s">
        <v>2288</v>
      </c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2288</v>
      </c>
      <c r="S481" s="70" t="s">
        <v>2288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2288</v>
      </c>
      <c r="S482" s="70" t="s">
        <v>2288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2288</v>
      </c>
      <c r="S483" s="70" t="s">
        <v>2288</v>
      </c>
      <c r="T483" s="70"/>
      <c r="U483" s="70"/>
      <c r="V483" s="70"/>
      <c r="W483" s="70"/>
      <c r="X483" s="70" t="s">
        <v>2288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2288</v>
      </c>
      <c r="S484" s="70" t="s">
        <v>2288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2288</v>
      </c>
      <c r="S485" s="70" t="s">
        <v>2288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20</v>
      </c>
      <c r="J496" s="147" t="s">
        <v>2055</v>
      </c>
      <c r="K496" s="31">
        <f t="shared" si="24"/>
        <v>8</v>
      </c>
      <c r="L496" s="32">
        <f t="shared" si="25"/>
        <v>0.7142857142857143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 t="s">
        <v>2288</v>
      </c>
      <c r="S496" s="70" t="s">
        <v>2288</v>
      </c>
      <c r="T496" s="70" t="s">
        <v>2288</v>
      </c>
      <c r="U496" s="70"/>
      <c r="V496" s="70"/>
      <c r="W496" s="70"/>
      <c r="X496" s="70"/>
      <c r="Y496" s="70" t="s">
        <v>2288</v>
      </c>
      <c r="Z496" s="70" t="s">
        <v>2288</v>
      </c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20</v>
      </c>
      <c r="J503" s="147" t="s">
        <v>2062</v>
      </c>
      <c r="K503" s="31">
        <f t="shared" si="24"/>
        <v>8</v>
      </c>
      <c r="L503" s="32">
        <f t="shared" si="25"/>
        <v>0.7142857142857143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 t="s">
        <v>2288</v>
      </c>
      <c r="S503" s="70" t="s">
        <v>2288</v>
      </c>
      <c r="T503" s="70" t="s">
        <v>2288</v>
      </c>
      <c r="U503" s="70"/>
      <c r="V503" s="70"/>
      <c r="W503" s="70"/>
      <c r="X503" s="70"/>
      <c r="Y503" s="70" t="s">
        <v>2288</v>
      </c>
      <c r="Z503" s="70" t="s">
        <v>2288</v>
      </c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20</v>
      </c>
      <c r="J508" s="147" t="s">
        <v>2067</v>
      </c>
      <c r="K508" s="31">
        <f t="shared" si="24"/>
        <v>8</v>
      </c>
      <c r="L508" s="32">
        <f t="shared" si="25"/>
        <v>0.7142857142857143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 t="s">
        <v>2288</v>
      </c>
      <c r="S508" s="70" t="s">
        <v>2288</v>
      </c>
      <c r="T508" s="70" t="s">
        <v>2288</v>
      </c>
      <c r="U508" s="70"/>
      <c r="V508" s="70"/>
      <c r="W508" s="70"/>
      <c r="X508" s="70"/>
      <c r="Y508" s="70" t="s">
        <v>2288</v>
      </c>
      <c r="Z508" s="70" t="s">
        <v>2288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15</v>
      </c>
      <c r="J510" s="147" t="s">
        <v>2069</v>
      </c>
      <c r="K510" s="31">
        <f t="shared" si="24"/>
        <v>13</v>
      </c>
      <c r="L510" s="32">
        <f t="shared" si="25"/>
        <v>0.5357142857142857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 t="s">
        <v>2288</v>
      </c>
      <c r="S510" s="70" t="s">
        <v>2288</v>
      </c>
      <c r="T510" s="70" t="s">
        <v>2288</v>
      </c>
      <c r="U510" s="70" t="s">
        <v>2288</v>
      </c>
      <c r="V510" s="70" t="s">
        <v>2288</v>
      </c>
      <c r="W510" s="70"/>
      <c r="X510" s="70" t="s">
        <v>2288</v>
      </c>
      <c r="Y510" s="70" t="s">
        <v>2288</v>
      </c>
      <c r="Z510" s="70" t="s">
        <v>2288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20</v>
      </c>
      <c r="J511" s="147" t="s">
        <v>2070</v>
      </c>
      <c r="K511" s="31">
        <f t="shared" si="24"/>
        <v>8</v>
      </c>
      <c r="L511" s="32">
        <f t="shared" si="25"/>
        <v>0.7142857142857143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 t="s">
        <v>2288</v>
      </c>
      <c r="S511" s="70" t="s">
        <v>2288</v>
      </c>
      <c r="T511" s="70" t="s">
        <v>2288</v>
      </c>
      <c r="U511" s="70"/>
      <c r="V511" s="70"/>
      <c r="W511" s="70"/>
      <c r="X511" s="70"/>
      <c r="Y511" s="70" t="s">
        <v>2288</v>
      </c>
      <c r="Z511" s="70" t="s">
        <v>2288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20</v>
      </c>
      <c r="J514" s="147" t="s">
        <v>2072</v>
      </c>
      <c r="K514" s="31">
        <f t="shared" si="24"/>
        <v>8</v>
      </c>
      <c r="L514" s="32">
        <f t="shared" si="25"/>
        <v>0.7142857142857143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 t="s">
        <v>2288</v>
      </c>
      <c r="S514" s="70" t="s">
        <v>2288</v>
      </c>
      <c r="T514" s="70" t="s">
        <v>2288</v>
      </c>
      <c r="U514" s="70"/>
      <c r="V514" s="70"/>
      <c r="W514" s="70"/>
      <c r="X514" s="70"/>
      <c r="Y514" s="70" t="s">
        <v>2288</v>
      </c>
      <c r="Z514" s="70" t="s">
        <v>2288</v>
      </c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21</v>
      </c>
      <c r="J515" s="147" t="s">
        <v>2073</v>
      </c>
      <c r="K515" s="31">
        <f t="shared" si="24"/>
        <v>7</v>
      </c>
      <c r="L515" s="32">
        <f t="shared" si="25"/>
        <v>0.75</v>
      </c>
      <c r="M515" s="70" t="s">
        <v>2288</v>
      </c>
      <c r="N515" s="70" t="s">
        <v>2288</v>
      </c>
      <c r="O515" s="70"/>
      <c r="P515" s="70"/>
      <c r="Q515" s="70"/>
      <c r="R515" s="70" t="s">
        <v>2288</v>
      </c>
      <c r="S515" s="70" t="s">
        <v>2288</v>
      </c>
      <c r="T515" s="70" t="s">
        <v>2288</v>
      </c>
      <c r="U515" s="70"/>
      <c r="V515" s="70"/>
      <c r="W515" s="70"/>
      <c r="X515" s="70"/>
      <c r="Y515" s="70" t="s">
        <v>2288</v>
      </c>
      <c r="Z515" s="70" t="s">
        <v>2288</v>
      </c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15</v>
      </c>
      <c r="J520" s="147" t="s">
        <v>2078</v>
      </c>
      <c r="K520" s="142">
        <f t="shared" si="24"/>
        <v>13</v>
      </c>
      <c r="L520" s="143">
        <f t="shared" si="25"/>
        <v>0.5357142857142857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 t="s">
        <v>2288</v>
      </c>
      <c r="S520" s="70" t="s">
        <v>2288</v>
      </c>
      <c r="T520" s="70" t="s">
        <v>2288</v>
      </c>
      <c r="U520" s="70" t="s">
        <v>2288</v>
      </c>
      <c r="V520" s="70" t="s">
        <v>2288</v>
      </c>
      <c r="W520" s="70"/>
      <c r="X520" s="70" t="s">
        <v>2288</v>
      </c>
      <c r="Y520" s="70" t="s">
        <v>2288</v>
      </c>
      <c r="Z520" s="70" t="s">
        <v>2288</v>
      </c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22</v>
      </c>
      <c r="J523" s="147" t="s">
        <v>2081</v>
      </c>
      <c r="K523" s="142">
        <f t="shared" si="24"/>
        <v>6</v>
      </c>
      <c r="L523" s="143">
        <f t="shared" si="25"/>
        <v>0.7857142857142857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 t="s">
        <v>2288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27</v>
      </c>
      <c r="J539" s="147" t="s">
        <v>2094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2288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15</v>
      </c>
      <c r="J540" s="147" t="s">
        <v>2200</v>
      </c>
      <c r="K540" s="31">
        <f t="shared" si="27"/>
        <v>13</v>
      </c>
      <c r="L540" s="32">
        <f t="shared" si="28"/>
        <v>0.5357142857142857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 t="s">
        <v>2288</v>
      </c>
      <c r="S540" s="70" t="s">
        <v>2288</v>
      </c>
      <c r="T540" s="70" t="s">
        <v>2288</v>
      </c>
      <c r="U540" s="70" t="s">
        <v>2288</v>
      </c>
      <c r="V540" s="70" t="s">
        <v>2288</v>
      </c>
      <c r="W540" s="70"/>
      <c r="X540" s="70" t="s">
        <v>2288</v>
      </c>
      <c r="Y540" s="70" t="s">
        <v>2288</v>
      </c>
      <c r="Z540" s="70" t="s">
        <v>2288</v>
      </c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26</v>
      </c>
      <c r="J542" s="147" t="s">
        <v>2095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2288</v>
      </c>
      <c r="Y542" s="70" t="s">
        <v>2288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26</v>
      </c>
      <c r="J543" s="147" t="s">
        <v>2096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2288</v>
      </c>
      <c r="Y543" s="70" t="s">
        <v>2288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25</v>
      </c>
      <c r="J544" s="147" t="s">
        <v>2097</v>
      </c>
      <c r="K544" s="142">
        <f t="shared" si="27"/>
        <v>3</v>
      </c>
      <c r="L544" s="143">
        <f t="shared" si="28"/>
        <v>0.8928571428571429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2288</v>
      </c>
      <c r="Y544" s="70" t="s">
        <v>2288</v>
      </c>
      <c r="Z544" s="70" t="s">
        <v>2288</v>
      </c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25</v>
      </c>
      <c r="J545" s="147" t="s">
        <v>2098</v>
      </c>
      <c r="K545" s="142">
        <f t="shared" si="27"/>
        <v>3</v>
      </c>
      <c r="L545" s="143">
        <f t="shared" si="28"/>
        <v>0.8928571428571429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2288</v>
      </c>
      <c r="Y545" s="70" t="s">
        <v>2288</v>
      </c>
      <c r="Z545" s="70" t="s">
        <v>2288</v>
      </c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26</v>
      </c>
      <c r="J546" s="87" t="s">
        <v>2188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2288</v>
      </c>
      <c r="Y546" s="70" t="s">
        <v>2288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19</v>
      </c>
      <c r="J547" s="87"/>
      <c r="K547" s="142">
        <f t="shared" si="27"/>
        <v>9</v>
      </c>
      <c r="L547" s="143">
        <f t="shared" si="28"/>
        <v>0.6785714285714286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 t="s">
        <v>2288</v>
      </c>
      <c r="S547" s="70" t="s">
        <v>2288</v>
      </c>
      <c r="T547" s="70" t="s">
        <v>2288</v>
      </c>
      <c r="U547" s="70"/>
      <c r="V547" s="70"/>
      <c r="W547" s="70"/>
      <c r="X547" s="70"/>
      <c r="Y547" s="70" t="s">
        <v>2288</v>
      </c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15</v>
      </c>
      <c r="J548" s="87" t="s">
        <v>2189</v>
      </c>
      <c r="K548" s="142">
        <f t="shared" si="27"/>
        <v>13</v>
      </c>
      <c r="L548" s="143">
        <f t="shared" si="28"/>
        <v>0.5357142857142857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 t="s">
        <v>2288</v>
      </c>
      <c r="S548" s="70" t="s">
        <v>2288</v>
      </c>
      <c r="T548" s="70" t="s">
        <v>2288</v>
      </c>
      <c r="U548" s="70" t="s">
        <v>2288</v>
      </c>
      <c r="V548" s="70" t="s">
        <v>2288</v>
      </c>
      <c r="W548" s="70"/>
      <c r="X548" s="70" t="s">
        <v>2288</v>
      </c>
      <c r="Y548" s="70" t="s">
        <v>2288</v>
      </c>
      <c r="Z548" s="70" t="s">
        <v>2288</v>
      </c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19</v>
      </c>
      <c r="J549" s="87" t="s">
        <v>2185</v>
      </c>
      <c r="K549" s="31">
        <f t="shared" si="27"/>
        <v>9</v>
      </c>
      <c r="L549" s="32">
        <f t="shared" si="28"/>
        <v>0.6785714285714286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 t="s">
        <v>2288</v>
      </c>
      <c r="S549" s="70"/>
      <c r="T549" s="70"/>
      <c r="U549" s="70"/>
      <c r="V549" s="70"/>
      <c r="W549" s="70"/>
      <c r="X549" s="70" t="s">
        <v>2288</v>
      </c>
      <c r="Y549" s="70" t="s">
        <v>2288</v>
      </c>
      <c r="Z549" s="70" t="s">
        <v>2288</v>
      </c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 t="s">
        <v>2288</v>
      </c>
      <c r="S551" s="70"/>
      <c r="T551" s="70" t="s">
        <v>2288</v>
      </c>
      <c r="U551" s="70" t="s">
        <v>2288</v>
      </c>
      <c r="V551" s="70" t="s">
        <v>2288</v>
      </c>
      <c r="W551" s="70"/>
      <c r="X551" s="70" t="s">
        <v>2288</v>
      </c>
      <c r="Y551" s="70" t="s">
        <v>2288</v>
      </c>
      <c r="Z551" s="70" t="s">
        <v>2288</v>
      </c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15</v>
      </c>
      <c r="J559" s="147" t="s">
        <v>2105</v>
      </c>
      <c r="K559" s="31">
        <f t="shared" si="27"/>
        <v>13</v>
      </c>
      <c r="L559" s="32">
        <f t="shared" si="28"/>
        <v>0.5357142857142857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 t="s">
        <v>2288</v>
      </c>
      <c r="S559" s="70" t="s">
        <v>2288</v>
      </c>
      <c r="T559" s="70" t="s">
        <v>2288</v>
      </c>
      <c r="U559" s="70" t="s">
        <v>2288</v>
      </c>
      <c r="V559" s="70" t="s">
        <v>2288</v>
      </c>
      <c r="W559" s="70"/>
      <c r="X559" s="70" t="s">
        <v>2288</v>
      </c>
      <c r="Y559" s="70" t="s">
        <v>2288</v>
      </c>
      <c r="Z559" s="70" t="s">
        <v>2288</v>
      </c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24</v>
      </c>
      <c r="J560" s="147" t="s">
        <v>2106</v>
      </c>
      <c r="K560" s="31">
        <f t="shared" si="27"/>
        <v>4</v>
      </c>
      <c r="L560" s="32">
        <f t="shared" si="28"/>
        <v>0.8571428571428571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2288</v>
      </c>
      <c r="W560" s="70"/>
      <c r="X560" s="70" t="s">
        <v>2288</v>
      </c>
      <c r="Y560" s="70" t="s">
        <v>2288</v>
      </c>
      <c r="Z560" s="70" t="s">
        <v>2288</v>
      </c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24</v>
      </c>
      <c r="J561" s="147" t="s">
        <v>2107</v>
      </c>
      <c r="K561" s="31">
        <f t="shared" si="27"/>
        <v>4</v>
      </c>
      <c r="L561" s="32">
        <f t="shared" si="28"/>
        <v>0.8571428571428571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2288</v>
      </c>
      <c r="W561" s="70"/>
      <c r="X561" s="70" t="s">
        <v>2288</v>
      </c>
      <c r="Y561" s="70" t="s">
        <v>2288</v>
      </c>
      <c r="Z561" s="70" t="s">
        <v>2288</v>
      </c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24</v>
      </c>
      <c r="J562" s="147" t="s">
        <v>2108</v>
      </c>
      <c r="K562" s="31">
        <f t="shared" si="27"/>
        <v>4</v>
      </c>
      <c r="L562" s="32">
        <f t="shared" si="28"/>
        <v>0.8571428571428571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2288</v>
      </c>
      <c r="W562" s="70"/>
      <c r="X562" s="70" t="s">
        <v>2288</v>
      </c>
      <c r="Y562" s="70" t="s">
        <v>2288</v>
      </c>
      <c r="Z562" s="70" t="s">
        <v>2288</v>
      </c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24</v>
      </c>
      <c r="J563" s="147" t="s">
        <v>2109</v>
      </c>
      <c r="K563" s="31">
        <f t="shared" si="27"/>
        <v>4</v>
      </c>
      <c r="L563" s="32">
        <f t="shared" si="28"/>
        <v>0.8571428571428571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2288</v>
      </c>
      <c r="W563" s="70"/>
      <c r="X563" s="70" t="s">
        <v>2288</v>
      </c>
      <c r="Y563" s="70" t="s">
        <v>2288</v>
      </c>
      <c r="Z563" s="70" t="s">
        <v>2288</v>
      </c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26</v>
      </c>
      <c r="J564" s="87" t="s">
        <v>2203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2288</v>
      </c>
      <c r="Y564" s="70" t="s">
        <v>2288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15</v>
      </c>
      <c r="J577" s="147" t="s">
        <v>2116</v>
      </c>
      <c r="K577" s="142">
        <f t="shared" si="27"/>
        <v>13</v>
      </c>
      <c r="L577" s="143">
        <f t="shared" si="28"/>
        <v>0.5357142857142857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 t="s">
        <v>2288</v>
      </c>
      <c r="S577" s="70" t="s">
        <v>2288</v>
      </c>
      <c r="T577" s="70" t="s">
        <v>2288</v>
      </c>
      <c r="U577" s="70" t="s">
        <v>2288</v>
      </c>
      <c r="V577" s="70" t="s">
        <v>2288</v>
      </c>
      <c r="W577" s="70"/>
      <c r="X577" s="70" t="s">
        <v>2288</v>
      </c>
      <c r="Y577" s="70" t="s">
        <v>2288</v>
      </c>
      <c r="Z577" s="70" t="s">
        <v>2288</v>
      </c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6" sqref="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126" zoomScale="84" zoomScaleNormal="84" workbookViewId="0">
      <selection activeCell="H151" sqref="H151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1243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1244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1243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1244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1243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1244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3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3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3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" thickBot="1" x14ac:dyDescent="0.35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" thickBot="1" x14ac:dyDescent="0.35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2026-01-14T11:29:52Z</dcterms:modified>
</cp:coreProperties>
</file>