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69BC32FF-197B-43F5-AF1A-8F383706E40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TOTAL'!$A$7:$D$425</definedName>
    <definedName name="_25_de_agosto_3" localSheetId="0">'RESUMEN TOTAL'!$A$7:$D$437</definedName>
    <definedName name="_30_mar">#REF!</definedName>
    <definedName name="_xlnm._FilterDatabase" localSheetId="4" hidden="1">paradas!$4:$4</definedName>
    <definedName name="_xlnm._FilterDatabase" localSheetId="0" hidden="1">'RESUMEN TOTAL'!$A$7:$AO$583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1" i="2"/>
  <c r="J502" i="2"/>
  <c r="J503" i="2"/>
  <c r="I501" i="2"/>
  <c r="I502" i="2"/>
  <c r="I503" i="2"/>
  <c r="J363" i="2"/>
  <c r="I363" i="2"/>
  <c r="J197" i="2"/>
  <c r="I197" i="2"/>
  <c r="J121" i="2"/>
  <c r="I121" i="2"/>
  <c r="J33" i="2"/>
  <c r="J32" i="2"/>
  <c r="I33" i="2"/>
  <c r="I32" i="2"/>
  <c r="J30" i="2"/>
  <c r="I30" i="2"/>
  <c r="J349" i="2"/>
  <c r="J348" i="2"/>
  <c r="J350" i="2"/>
  <c r="I348" i="2"/>
  <c r="I349" i="2"/>
  <c r="I350" i="2"/>
  <c r="J308" i="2"/>
  <c r="J309" i="2"/>
  <c r="J310" i="2"/>
  <c r="I308" i="2"/>
  <c r="I309" i="2"/>
  <c r="I310" i="2"/>
  <c r="D203" i="24" l="1"/>
  <c r="D204" i="24" s="1"/>
  <c r="D214" i="24"/>
  <c r="D194" i="24"/>
  <c r="D183" i="24"/>
  <c r="D171" i="24"/>
  <c r="D159" i="24"/>
  <c r="D149" i="24"/>
  <c r="D138" i="24"/>
  <c r="K32" i="2"/>
  <c r="K363" i="2"/>
  <c r="K501" i="2"/>
  <c r="K502" i="2"/>
  <c r="K503" i="2"/>
  <c r="K121" i="2"/>
  <c r="K197" i="2"/>
  <c r="K33" i="2"/>
  <c r="K350" i="2"/>
  <c r="K349" i="2"/>
  <c r="K308" i="2"/>
  <c r="K348" i="2"/>
  <c r="K30" i="2"/>
  <c r="K310" i="2"/>
  <c r="K309" i="2"/>
  <c r="J292" i="2"/>
  <c r="J293" i="2"/>
  <c r="J294" i="2"/>
  <c r="I294" i="2"/>
  <c r="I293" i="2"/>
  <c r="I292" i="2"/>
  <c r="R3" i="2"/>
  <c r="C69" i="24" s="1"/>
  <c r="Q3" i="2"/>
  <c r="C58" i="24" s="1"/>
  <c r="J362" i="2"/>
  <c r="I362" i="2"/>
  <c r="J415" i="2"/>
  <c r="I415" i="2"/>
  <c r="J29" i="2"/>
  <c r="I29" i="2"/>
  <c r="J28" i="2"/>
  <c r="I28" i="2"/>
  <c r="D215" i="24" l="1"/>
  <c r="D205" i="24"/>
  <c r="D172" i="24"/>
  <c r="D160" i="24"/>
  <c r="D150" i="24"/>
  <c r="D70" i="24"/>
  <c r="K293" i="2"/>
  <c r="K294" i="2"/>
  <c r="K292" i="2"/>
  <c r="K362" i="2"/>
  <c r="K415" i="2"/>
  <c r="K29" i="2"/>
  <c r="K28" i="2"/>
  <c r="J465" i="2"/>
  <c r="I465" i="2"/>
  <c r="J251" i="2"/>
  <c r="I251" i="2"/>
  <c r="J414" i="2"/>
  <c r="I41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1" i="2"/>
  <c r="I291" i="2"/>
  <c r="I295" i="2"/>
  <c r="J295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5" i="2"/>
  <c r="K251" i="2"/>
  <c r="K414" i="2"/>
  <c r="K291" i="2"/>
  <c r="K295" i="2"/>
  <c r="K143" i="2"/>
  <c r="D279" i="26"/>
  <c r="A461" i="26"/>
  <c r="I196" i="2"/>
  <c r="J196" i="2"/>
  <c r="J120" i="2"/>
  <c r="I120" i="2"/>
  <c r="D72" i="24" l="1"/>
  <c r="K120" i="2"/>
  <c r="K196" i="2"/>
  <c r="J142" i="2"/>
  <c r="I142" i="2"/>
  <c r="J227" i="2"/>
  <c r="I22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2" i="2"/>
  <c r="J332" i="2"/>
  <c r="I471" i="2"/>
  <c r="J471" i="2"/>
  <c r="D73" i="24" l="1"/>
  <c r="AI2" i="26"/>
  <c r="K142" i="2"/>
  <c r="K227" i="2"/>
  <c r="K332" i="2"/>
  <c r="K471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7" i="2"/>
  <c r="I307" i="2"/>
  <c r="I422" i="2"/>
  <c r="J283" i="2"/>
  <c r="I283" i="2"/>
  <c r="I284" i="2"/>
  <c r="J284" i="2"/>
  <c r="I397" i="2"/>
  <c r="J397" i="2"/>
  <c r="I396" i="2"/>
  <c r="J396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7" i="2"/>
  <c r="K283" i="2"/>
  <c r="K284" i="2"/>
  <c r="K396" i="2"/>
  <c r="K397" i="2"/>
  <c r="J235" i="2" l="1"/>
  <c r="I235" i="2"/>
  <c r="J21" i="2"/>
  <c r="I21" i="2"/>
  <c r="J331" i="2"/>
  <c r="I331" i="2"/>
  <c r="I234" i="2"/>
  <c r="J234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0" i="2"/>
  <c r="J170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242" i="2"/>
  <c r="J242" i="2"/>
  <c r="I250" i="2"/>
  <c r="J250" i="2"/>
  <c r="I259" i="2"/>
  <c r="J259" i="2"/>
  <c r="I326" i="2"/>
  <c r="J326" i="2"/>
  <c r="I333" i="2"/>
  <c r="J333" i="2"/>
  <c r="I403" i="2"/>
  <c r="J403" i="2"/>
  <c r="I469" i="2"/>
  <c r="J469" i="2"/>
  <c r="I470" i="2"/>
  <c r="J470" i="2"/>
  <c r="K235" i="2" l="1"/>
  <c r="K21" i="2"/>
  <c r="K331" i="2"/>
  <c r="K234" i="2"/>
  <c r="K177" i="2"/>
  <c r="K141" i="2"/>
  <c r="K137" i="2"/>
  <c r="K178" i="2"/>
  <c r="K259" i="2"/>
  <c r="K333" i="2"/>
  <c r="K242" i="2"/>
  <c r="K183" i="2"/>
  <c r="K179" i="2"/>
  <c r="K403" i="2"/>
  <c r="K326" i="2"/>
  <c r="K176" i="2"/>
  <c r="K170" i="2"/>
  <c r="K140" i="2"/>
  <c r="K138" i="2"/>
  <c r="K182" i="2"/>
  <c r="K175" i="2"/>
  <c r="K136" i="2"/>
  <c r="K184" i="2"/>
  <c r="K469" i="2"/>
  <c r="K250" i="2"/>
  <c r="K185" i="2"/>
  <c r="K180" i="2"/>
  <c r="K139" i="2"/>
  <c r="K470" i="2"/>
  <c r="K181" i="2"/>
  <c r="K127" i="2"/>
  <c r="I412" i="2" l="1"/>
  <c r="I413" i="2"/>
  <c r="J412" i="2"/>
  <c r="J413" i="2"/>
  <c r="I322" i="2"/>
  <c r="I323" i="2"/>
  <c r="J322" i="2"/>
  <c r="J323" i="2"/>
  <c r="I226" i="2"/>
  <c r="J226" i="2"/>
  <c r="J134" i="2"/>
  <c r="I134" i="2"/>
  <c r="J117" i="2"/>
  <c r="J118" i="2"/>
  <c r="I117" i="2"/>
  <c r="I118" i="2"/>
  <c r="K412" i="2" l="1"/>
  <c r="K134" i="2"/>
  <c r="K413" i="2"/>
  <c r="K323" i="2"/>
  <c r="K322" i="2"/>
  <c r="K226" i="2"/>
  <c r="K118" i="2"/>
  <c r="K117" i="2"/>
  <c r="AN1" i="2" l="1"/>
  <c r="N1" i="2"/>
  <c r="AM1" i="2"/>
  <c r="I456" i="2"/>
  <c r="J456" i="2"/>
  <c r="I215" i="2"/>
  <c r="J215" i="2"/>
  <c r="I496" i="2"/>
  <c r="J496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69" i="2"/>
  <c r="I171" i="2"/>
  <c r="I172" i="2"/>
  <c r="I173" i="2"/>
  <c r="I174" i="2"/>
  <c r="I186" i="2"/>
  <c r="I187" i="2"/>
  <c r="I188" i="2"/>
  <c r="I190" i="2"/>
  <c r="I191" i="2"/>
  <c r="I192" i="2"/>
  <c r="I193" i="2"/>
  <c r="I194" i="2"/>
  <c r="I195" i="2"/>
  <c r="I198" i="2"/>
  <c r="I199" i="2"/>
  <c r="I200" i="2"/>
  <c r="I201" i="2"/>
  <c r="I202" i="2"/>
  <c r="I203" i="2"/>
  <c r="I204" i="2"/>
  <c r="I205" i="2"/>
  <c r="I206" i="2"/>
  <c r="I208" i="2"/>
  <c r="I209" i="2"/>
  <c r="I210" i="2"/>
  <c r="I211" i="2"/>
  <c r="I212" i="2"/>
  <c r="I213" i="2"/>
  <c r="I214" i="2"/>
  <c r="I216" i="2"/>
  <c r="I217" i="2"/>
  <c r="I218" i="2"/>
  <c r="I220" i="2"/>
  <c r="I221" i="2"/>
  <c r="I222" i="2"/>
  <c r="I223" i="2"/>
  <c r="I224" i="2"/>
  <c r="I225" i="2"/>
  <c r="I228" i="2"/>
  <c r="I229" i="2"/>
  <c r="I230" i="2"/>
  <c r="I231" i="2"/>
  <c r="I232" i="2"/>
  <c r="I233" i="2"/>
  <c r="I236" i="2"/>
  <c r="I237" i="2"/>
  <c r="I238" i="2"/>
  <c r="I239" i="2"/>
  <c r="I243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58" i="2"/>
  <c r="I260" i="2"/>
  <c r="I261" i="2"/>
  <c r="I263" i="2"/>
  <c r="I264" i="2"/>
  <c r="I266" i="2"/>
  <c r="I269" i="2"/>
  <c r="I270" i="2"/>
  <c r="I272" i="2"/>
  <c r="I273" i="2"/>
  <c r="I274" i="2"/>
  <c r="I276" i="2"/>
  <c r="I277" i="2"/>
  <c r="I279" i="2"/>
  <c r="I280" i="2"/>
  <c r="I262" i="2"/>
  <c r="I265" i="2"/>
  <c r="I267" i="2"/>
  <c r="I268" i="2"/>
  <c r="I271" i="2"/>
  <c r="I275" i="2"/>
  <c r="I278" i="2"/>
  <c r="I281" i="2"/>
  <c r="I282" i="2"/>
  <c r="I285" i="2"/>
  <c r="I286" i="2"/>
  <c r="I287" i="2"/>
  <c r="I288" i="2"/>
  <c r="I289" i="2"/>
  <c r="I296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1" i="2"/>
  <c r="I324" i="2"/>
  <c r="I325" i="2"/>
  <c r="I327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8" i="2"/>
  <c r="I359" i="2"/>
  <c r="I360" i="2"/>
  <c r="I361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80" i="2"/>
  <c r="I384" i="2"/>
  <c r="I387" i="2"/>
  <c r="I389" i="2"/>
  <c r="I390" i="2"/>
  <c r="I394" i="2"/>
  <c r="I395" i="2"/>
  <c r="I377" i="2"/>
  <c r="I378" i="2"/>
  <c r="I379" i="2"/>
  <c r="I381" i="2"/>
  <c r="I382" i="2"/>
  <c r="I383" i="2"/>
  <c r="I385" i="2"/>
  <c r="I386" i="2"/>
  <c r="I388" i="2"/>
  <c r="I391" i="2"/>
  <c r="I392" i="2"/>
  <c r="I393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461" i="2"/>
  <c r="I462" i="2"/>
  <c r="I463" i="2"/>
  <c r="I464" i="2"/>
  <c r="I466" i="2"/>
  <c r="I467" i="2"/>
  <c r="I468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9" i="2"/>
  <c r="I10" i="2"/>
  <c r="I11" i="2"/>
  <c r="I12" i="2"/>
  <c r="I13" i="2"/>
  <c r="I14" i="2"/>
  <c r="I15" i="2"/>
  <c r="I8" i="2"/>
  <c r="J500" i="2"/>
  <c r="J499" i="2"/>
  <c r="J498" i="2"/>
  <c r="J497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68" i="2"/>
  <c r="J467" i="2"/>
  <c r="J466" i="2"/>
  <c r="J464" i="2"/>
  <c r="J463" i="2"/>
  <c r="J462" i="2"/>
  <c r="J461" i="2"/>
  <c r="J460" i="2"/>
  <c r="J459" i="2"/>
  <c r="J458" i="2"/>
  <c r="J457" i="2"/>
  <c r="J455" i="2"/>
  <c r="J454" i="2"/>
  <c r="J453" i="2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1" i="2"/>
  <c r="J410" i="2"/>
  <c r="J409" i="2"/>
  <c r="J408" i="2"/>
  <c r="J407" i="2"/>
  <c r="J406" i="2"/>
  <c r="J405" i="2"/>
  <c r="J404" i="2"/>
  <c r="J402" i="2"/>
  <c r="J401" i="2"/>
  <c r="J400" i="2"/>
  <c r="J399" i="2"/>
  <c r="J398" i="2"/>
  <c r="J393" i="2"/>
  <c r="J392" i="2"/>
  <c r="J391" i="2"/>
  <c r="J388" i="2"/>
  <c r="J386" i="2"/>
  <c r="J385" i="2"/>
  <c r="J383" i="2"/>
  <c r="J382" i="2"/>
  <c r="J381" i="2"/>
  <c r="J379" i="2"/>
  <c r="J378" i="2"/>
  <c r="J377" i="2"/>
  <c r="J395" i="2"/>
  <c r="J394" i="2"/>
  <c r="J390" i="2"/>
  <c r="J389" i="2"/>
  <c r="J387" i="2"/>
  <c r="J384" i="2"/>
  <c r="J380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1" i="2"/>
  <c r="J360" i="2"/>
  <c r="J359" i="2"/>
  <c r="J358" i="2"/>
  <c r="J356" i="2"/>
  <c r="J355" i="2"/>
  <c r="J354" i="2"/>
  <c r="J353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0" i="2"/>
  <c r="J329" i="2"/>
  <c r="J328" i="2"/>
  <c r="J327" i="2"/>
  <c r="J325" i="2"/>
  <c r="J324" i="2"/>
  <c r="J321" i="2"/>
  <c r="J320" i="2"/>
  <c r="J319" i="2"/>
  <c r="J318" i="2"/>
  <c r="J317" i="2"/>
  <c r="J316" i="2"/>
  <c r="J315" i="2"/>
  <c r="J314" i="2"/>
  <c r="J313" i="2"/>
  <c r="J312" i="2"/>
  <c r="J311" i="2"/>
  <c r="J305" i="2"/>
  <c r="J304" i="2"/>
  <c r="J303" i="2"/>
  <c r="J302" i="2"/>
  <c r="J301" i="2"/>
  <c r="J300" i="2"/>
  <c r="J299" i="2"/>
  <c r="J298" i="2"/>
  <c r="J297" i="2"/>
  <c r="J296" i="2"/>
  <c r="J289" i="2"/>
  <c r="J288" i="2"/>
  <c r="J287" i="2"/>
  <c r="J286" i="2"/>
  <c r="J285" i="2"/>
  <c r="J282" i="2"/>
  <c r="J281" i="2"/>
  <c r="J278" i="2"/>
  <c r="J275" i="2"/>
  <c r="J271" i="2"/>
  <c r="J268" i="2"/>
  <c r="J267" i="2"/>
  <c r="J265" i="2"/>
  <c r="J262" i="2"/>
  <c r="J280" i="2"/>
  <c r="J279" i="2"/>
  <c r="J277" i="2"/>
  <c r="J276" i="2"/>
  <c r="J274" i="2"/>
  <c r="J273" i="2"/>
  <c r="J272" i="2"/>
  <c r="J270" i="2"/>
  <c r="J269" i="2"/>
  <c r="J266" i="2"/>
  <c r="J264" i="2"/>
  <c r="J263" i="2"/>
  <c r="J261" i="2"/>
  <c r="J260" i="2"/>
  <c r="J258" i="2"/>
  <c r="J257" i="2"/>
  <c r="J256" i="2"/>
  <c r="J255" i="2"/>
  <c r="J254" i="2"/>
  <c r="J253" i="2"/>
  <c r="J252" i="2"/>
  <c r="J249" i="2"/>
  <c r="J248" i="2"/>
  <c r="J247" i="2"/>
  <c r="J246" i="2"/>
  <c r="J245" i="2"/>
  <c r="J244" i="2"/>
  <c r="J243" i="2"/>
  <c r="J239" i="2"/>
  <c r="J238" i="2"/>
  <c r="J237" i="2"/>
  <c r="J236" i="2"/>
  <c r="J233" i="2"/>
  <c r="J232" i="2"/>
  <c r="J231" i="2"/>
  <c r="J230" i="2"/>
  <c r="J229" i="2"/>
  <c r="J228" i="2"/>
  <c r="J225" i="2"/>
  <c r="J224" i="2"/>
  <c r="J223" i="2"/>
  <c r="J222" i="2"/>
  <c r="J221" i="2"/>
  <c r="J220" i="2"/>
  <c r="J218" i="2"/>
  <c r="J217" i="2"/>
  <c r="J216" i="2"/>
  <c r="J214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200" i="2"/>
  <c r="J199" i="2"/>
  <c r="J198" i="2"/>
  <c r="J195" i="2"/>
  <c r="J194" i="2"/>
  <c r="J193" i="2"/>
  <c r="J192" i="2"/>
  <c r="J191" i="2"/>
  <c r="J190" i="2"/>
  <c r="J188" i="2"/>
  <c r="J187" i="2"/>
  <c r="J186" i="2"/>
  <c r="J173" i="2"/>
  <c r="J172" i="2"/>
  <c r="J171" i="2"/>
  <c r="J169" i="2"/>
  <c r="J168" i="2"/>
  <c r="J174" i="2"/>
  <c r="J167" i="2"/>
  <c r="J166" i="2"/>
  <c r="J165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6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6" i="2" l="1"/>
  <c r="K456" i="2"/>
  <c r="K215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4" i="2"/>
  <c r="K490" i="2"/>
  <c r="K160" i="2"/>
  <c r="K205" i="2"/>
  <c r="K222" i="2"/>
  <c r="K421" i="2"/>
  <c r="K66" i="2"/>
  <c r="K86" i="2"/>
  <c r="K94" i="2"/>
  <c r="K98" i="2"/>
  <c r="K102" i="2"/>
  <c r="K106" i="2"/>
  <c r="K114" i="2"/>
  <c r="K130" i="2"/>
  <c r="K152" i="2"/>
  <c r="K157" i="2"/>
  <c r="K223" i="2"/>
  <c r="K233" i="2"/>
  <c r="K239" i="2"/>
  <c r="K264" i="2"/>
  <c r="K410" i="2"/>
  <c r="K426" i="2"/>
  <c r="K454" i="2"/>
  <c r="K481" i="2"/>
  <c r="K40" i="2"/>
  <c r="K44" i="2"/>
  <c r="K147" i="2"/>
  <c r="K150" i="2"/>
  <c r="K172" i="2"/>
  <c r="K483" i="2"/>
  <c r="K487" i="2"/>
  <c r="K449" i="2"/>
  <c r="K453" i="2"/>
  <c r="K476" i="2"/>
  <c r="K488" i="2"/>
  <c r="K274" i="2"/>
  <c r="K267" i="2"/>
  <c r="K319" i="2"/>
  <c r="K382" i="2"/>
  <c r="K270" i="2"/>
  <c r="K316" i="2"/>
  <c r="K330" i="2"/>
  <c r="K374" i="2"/>
  <c r="K273" i="2"/>
  <c r="K265" i="2"/>
  <c r="K318" i="2"/>
  <c r="K395" i="2"/>
  <c r="K386" i="2"/>
  <c r="K401" i="2"/>
  <c r="K440" i="2"/>
  <c r="K457" i="2"/>
  <c r="K492" i="2"/>
  <c r="K497" i="2"/>
  <c r="K97" i="2"/>
  <c r="K101" i="2"/>
  <c r="K321" i="2"/>
  <c r="K341" i="2"/>
  <c r="K352" i="2"/>
  <c r="K384" i="2"/>
  <c r="K379" i="2"/>
  <c r="K404" i="2"/>
  <c r="K489" i="2"/>
  <c r="K46" i="2"/>
  <c r="K50" i="2"/>
  <c r="K324" i="2"/>
  <c r="K328" i="2"/>
  <c r="K334" i="2"/>
  <c r="K338" i="2"/>
  <c r="K342" i="2"/>
  <c r="K346" i="2"/>
  <c r="K361" i="2"/>
  <c r="K367" i="2"/>
  <c r="K248" i="2"/>
  <c r="K257" i="2"/>
  <c r="K8" i="2"/>
  <c r="K26" i="2"/>
  <c r="K63" i="2"/>
  <c r="K87" i="2"/>
  <c r="K91" i="2"/>
  <c r="K107" i="2"/>
  <c r="K254" i="2"/>
  <c r="K329" i="2"/>
  <c r="K335" i="2"/>
  <c r="K339" i="2"/>
  <c r="K343" i="2"/>
  <c r="K347" i="2"/>
  <c r="K354" i="2"/>
  <c r="K368" i="2"/>
  <c r="K389" i="2"/>
  <c r="K475" i="2"/>
  <c r="K418" i="2"/>
  <c r="K425" i="2"/>
  <c r="K445" i="2"/>
  <c r="K462" i="2"/>
  <c r="K72" i="2"/>
  <c r="K76" i="2"/>
  <c r="K92" i="2"/>
  <c r="K96" i="2"/>
  <c r="K100" i="2"/>
  <c r="K153" i="2"/>
  <c r="K161" i="2"/>
  <c r="K166" i="2"/>
  <c r="K187" i="2"/>
  <c r="K198" i="2"/>
  <c r="K202" i="2"/>
  <c r="K210" i="2"/>
  <c r="K337" i="2"/>
  <c r="K360" i="2"/>
  <c r="K11" i="2"/>
  <c r="K15" i="2"/>
  <c r="K25" i="2"/>
  <c r="K34" i="2"/>
  <c r="K57" i="2"/>
  <c r="K61" i="2"/>
  <c r="K162" i="2"/>
  <c r="K167" i="2"/>
  <c r="K203" i="2"/>
  <c r="K211" i="2"/>
  <c r="K229" i="2"/>
  <c r="K433" i="2"/>
  <c r="K441" i="2"/>
  <c r="K498" i="2"/>
  <c r="K132" i="2"/>
  <c r="K144" i="2"/>
  <c r="K151" i="2"/>
  <c r="K438" i="2"/>
  <c r="K442" i="2"/>
  <c r="K358" i="2"/>
  <c r="K446" i="2"/>
  <c r="K458" i="2"/>
  <c r="K78" i="2"/>
  <c r="K79" i="2"/>
  <c r="K145" i="2"/>
  <c r="K225" i="2"/>
  <c r="K381" i="2"/>
  <c r="K405" i="2"/>
  <c r="K467" i="2"/>
  <c r="K480" i="2"/>
  <c r="K491" i="2"/>
  <c r="K495" i="2"/>
  <c r="K56" i="2"/>
  <c r="K173" i="2"/>
  <c r="K186" i="2"/>
  <c r="K277" i="2"/>
  <c r="K282" i="2"/>
  <c r="K369" i="2"/>
  <c r="K402" i="2"/>
  <c r="K463" i="2"/>
  <c r="K260" i="2"/>
  <c r="K430" i="2"/>
  <c r="K434" i="2"/>
  <c r="K452" i="2"/>
  <c r="K455" i="2"/>
  <c r="K493" i="2"/>
  <c r="K90" i="2"/>
  <c r="K209" i="2"/>
  <c r="K218" i="2"/>
  <c r="K237" i="2"/>
  <c r="K353" i="2"/>
  <c r="K366" i="2"/>
  <c r="K380" i="2"/>
  <c r="K377" i="2"/>
  <c r="K393" i="2"/>
  <c r="K416" i="2"/>
  <c r="K427" i="2"/>
  <c r="K477" i="2"/>
  <c r="K41" i="2"/>
  <c r="K45" i="2"/>
  <c r="K155" i="2"/>
  <c r="K192" i="2"/>
  <c r="K461" i="2"/>
  <c r="K464" i="2"/>
  <c r="K38" i="2"/>
  <c r="K42" i="2"/>
  <c r="K84" i="2"/>
  <c r="K103" i="2"/>
  <c r="K110" i="2"/>
  <c r="K188" i="2"/>
  <c r="K199" i="2"/>
  <c r="K214" i="2"/>
  <c r="K238" i="2"/>
  <c r="K244" i="2"/>
  <c r="K263" i="2"/>
  <c r="K288" i="2"/>
  <c r="K300" i="2"/>
  <c r="K327" i="2"/>
  <c r="K340" i="2"/>
  <c r="K370" i="2"/>
  <c r="K424" i="2"/>
  <c r="K450" i="2"/>
  <c r="K484" i="2"/>
  <c r="K499" i="2"/>
  <c r="K19" i="2"/>
  <c r="K383" i="2"/>
  <c r="K444" i="2"/>
  <c r="K447" i="2"/>
  <c r="K24" i="2"/>
  <c r="K23" i="2"/>
  <c r="K35" i="2"/>
  <c r="K54" i="2"/>
  <c r="K58" i="2"/>
  <c r="K73" i="2"/>
  <c r="K77" i="2"/>
  <c r="K133" i="2"/>
  <c r="K224" i="2"/>
  <c r="K245" i="2"/>
  <c r="K249" i="2"/>
  <c r="K258" i="2"/>
  <c r="K266" i="2"/>
  <c r="K279" i="2"/>
  <c r="K275" i="2"/>
  <c r="K301" i="2"/>
  <c r="K314" i="2"/>
  <c r="K345" i="2"/>
  <c r="K371" i="2"/>
  <c r="K375" i="2"/>
  <c r="K429" i="2"/>
  <c r="K479" i="2"/>
  <c r="K482" i="2"/>
  <c r="K47" i="2"/>
  <c r="K70" i="2"/>
  <c r="K74" i="2"/>
  <c r="K269" i="2"/>
  <c r="K280" i="2"/>
  <c r="K278" i="2"/>
  <c r="K311" i="2"/>
  <c r="K315" i="2"/>
  <c r="K356" i="2"/>
  <c r="K359" i="2"/>
  <c r="K372" i="2"/>
  <c r="K411" i="2"/>
  <c r="K459" i="2"/>
  <c r="K221" i="2"/>
  <c r="K285" i="2"/>
  <c r="K302" i="2"/>
  <c r="K303" i="2"/>
  <c r="K297" i="2"/>
  <c r="K398" i="2"/>
  <c r="K305" i="2"/>
  <c r="K298" i="2"/>
  <c r="K296" i="2"/>
  <c r="K286" i="2"/>
  <c r="K287" i="2"/>
  <c r="K473" i="2"/>
  <c r="K472" i="2"/>
  <c r="K466" i="2"/>
  <c r="K409" i="2"/>
  <c r="K232" i="2"/>
  <c r="K195" i="2"/>
  <c r="K113" i="2"/>
  <c r="K62" i="2"/>
  <c r="K485" i="2"/>
  <c r="K422" i="2"/>
  <c r="K408" i="2"/>
  <c r="K406" i="2"/>
  <c r="K213" i="2"/>
  <c r="K208" i="2"/>
  <c r="K194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1" i="2"/>
  <c r="K217" i="2"/>
  <c r="K10" i="2"/>
  <c r="K306" i="2"/>
  <c r="K49" i="2"/>
  <c r="K65" i="2"/>
  <c r="K81" i="2"/>
  <c r="K85" i="2"/>
  <c r="K105" i="2"/>
  <c r="K236" i="2"/>
  <c r="K256" i="2"/>
  <c r="K271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5" i="2"/>
  <c r="K169" i="2"/>
  <c r="K206" i="2"/>
  <c r="K231" i="2"/>
  <c r="K253" i="2"/>
  <c r="K299" i="2"/>
  <c r="K325" i="2"/>
  <c r="K364" i="2"/>
  <c r="K388" i="2"/>
  <c r="K437" i="2"/>
  <c r="K468" i="2"/>
  <c r="K88" i="2"/>
  <c r="K93" i="2"/>
  <c r="K95" i="2"/>
  <c r="K104" i="2"/>
  <c r="K109" i="2"/>
  <c r="K111" i="2"/>
  <c r="K128" i="2"/>
  <c r="K146" i="2"/>
  <c r="K156" i="2"/>
  <c r="K158" i="2"/>
  <c r="K163" i="2"/>
  <c r="K168" i="2"/>
  <c r="K171" i="2"/>
  <c r="K191" i="2"/>
  <c r="K193" i="2"/>
  <c r="K200" i="2"/>
  <c r="K212" i="2"/>
  <c r="K216" i="2"/>
  <c r="K228" i="2"/>
  <c r="K230" i="2"/>
  <c r="K247" i="2"/>
  <c r="K252" i="2"/>
  <c r="K255" i="2"/>
  <c r="K261" i="2"/>
  <c r="K272" i="2"/>
  <c r="K276" i="2"/>
  <c r="K262" i="2"/>
  <c r="K268" i="2"/>
  <c r="K289" i="2"/>
  <c r="K313" i="2"/>
  <c r="K317" i="2"/>
  <c r="K320" i="2"/>
  <c r="K387" i="2"/>
  <c r="K390" i="2"/>
  <c r="K392" i="2"/>
  <c r="K400" i="2"/>
  <c r="K417" i="2"/>
  <c r="K419" i="2"/>
  <c r="K432" i="2"/>
  <c r="K436" i="2"/>
  <c r="K439" i="2"/>
  <c r="K108" i="2"/>
  <c r="K131" i="2"/>
  <c r="K149" i="2"/>
  <c r="K154" i="2"/>
  <c r="K174" i="2"/>
  <c r="K190" i="2"/>
  <c r="K204" i="2"/>
  <c r="K220" i="2"/>
  <c r="K243" i="2"/>
  <c r="K246" i="2"/>
  <c r="K281" i="2"/>
  <c r="K304" i="2"/>
  <c r="K312" i="2"/>
  <c r="K336" i="2"/>
  <c r="K344" i="2"/>
  <c r="K355" i="2"/>
  <c r="K365" i="2"/>
  <c r="K373" i="2"/>
  <c r="K385" i="2"/>
  <c r="K391" i="2"/>
  <c r="K407" i="2"/>
  <c r="K428" i="2"/>
  <c r="K431" i="2"/>
  <c r="K443" i="2"/>
  <c r="K451" i="2"/>
  <c r="K460" i="2"/>
  <c r="K478" i="2"/>
  <c r="K486" i="2"/>
  <c r="K494" i="2"/>
  <c r="K500" i="2"/>
  <c r="K394" i="2"/>
  <c r="K378" i="2"/>
  <c r="K399" i="2"/>
  <c r="K420" i="2"/>
  <c r="K423" i="2"/>
  <c r="K435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48" i="2"/>
  <c r="K448" i="2" l="1"/>
  <c r="J290" i="2" l="1"/>
  <c r="I290" i="2"/>
  <c r="K290" i="2" l="1"/>
  <c r="I207" i="2" l="1"/>
  <c r="J207" i="2"/>
  <c r="K207" i="2" l="1"/>
  <c r="J376" i="2"/>
  <c r="I376" i="2"/>
  <c r="K376" i="2" l="1"/>
  <c r="Z1" i="2"/>
  <c r="I219" i="2" l="1"/>
  <c r="J219" i="2"/>
  <c r="K219" i="2" l="1"/>
  <c r="AC1" i="2" l="1"/>
  <c r="I357" i="2"/>
  <c r="J357" i="2"/>
  <c r="K357" i="2" l="1"/>
  <c r="AD1" i="2"/>
  <c r="I17" i="2"/>
  <c r="J17" i="2"/>
  <c r="K17" i="2" l="1"/>
  <c r="M3" i="2" l="1"/>
  <c r="C14" i="24" s="1"/>
  <c r="L3" i="2"/>
  <c r="I351" i="2"/>
  <c r="G316" i="26"/>
  <c r="G2" i="26" s="1"/>
  <c r="J351" i="2"/>
  <c r="F316" i="26"/>
  <c r="F2" i="26" s="1"/>
  <c r="L1" i="2" l="1"/>
  <c r="C3" i="24"/>
  <c r="M1" i="2"/>
  <c r="F3" i="26"/>
  <c r="G3" i="26"/>
  <c r="K351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<sst xmlns="http://schemas.openxmlformats.org/spreadsheetml/2006/main" count="5317" uniqueCount="1548">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</sst>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9.6654275092936809E-2</c:v>
                      </c:pt>
                      <c:pt idx="1">
                        <c:v>0.14869888475836432</c:v>
                      </c:pt>
                      <c:pt idx="2">
                        <c:v>0.14869888475836432</c:v>
                      </c:pt>
                      <c:pt idx="3">
                        <c:v>0.11152416356877323</c:v>
                      </c:pt>
                      <c:pt idx="4">
                        <c:v>0.14869888475836432</c:v>
                      </c:pt>
                      <c:pt idx="5">
                        <c:v>7.8066914498141265E-2</c:v>
                      </c:pt>
                      <c:pt idx="6">
                        <c:v>0.15241635687732341</c:v>
                      </c:pt>
                      <c:pt idx="7">
                        <c:v>7.8066914498141265E-2</c:v>
                      </c:pt>
                      <c:pt idx="8">
                        <c:v>0.10408921933085502</c:v>
                      </c:pt>
                      <c:pt idx="9">
                        <c:v>0.11524163568773234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9.6654275092936809E-2</c:v>
                </c:pt>
                <c:pt idx="1">
                  <c:v>0.14869888475836432</c:v>
                </c:pt>
                <c:pt idx="2">
                  <c:v>0.14869888475836432</c:v>
                </c:pt>
                <c:pt idx="3">
                  <c:v>0.11152416356877323</c:v>
                </c:pt>
                <c:pt idx="4">
                  <c:v>0.14869888475836432</c:v>
                </c:pt>
                <c:pt idx="5">
                  <c:v>7.8066914498141265E-2</c:v>
                </c:pt>
                <c:pt idx="6">
                  <c:v>0.15241635687732341</c:v>
                </c:pt>
                <c:pt idx="7">
                  <c:v>7.8066914498141265E-2</c:v>
                </c:pt>
                <c:pt idx="8">
                  <c:v>0.10408921933085502</c:v>
                </c:pt>
                <c:pt idx="9">
                  <c:v>0.11524163568773234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5"/>
  <sheetViews>
    <sheetView tabSelected="1" zoomScale="55" zoomScaleNormal="55" workbookViewId="0">
      <pane xSplit="11" ySplit="7" topLeftCell="Z252" activePane="bottomRight" state="frozen"/>
      <selection pane="topRight" activeCell="M1" sqref="M1"/>
      <selection pane="bottomLeft" activeCell="A5" sqref="A5"/>
      <selection pane="bottomRight" activeCell="AA280" sqref="AA28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COUNTA(B8:B657)</f>
        <v>496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0.12212389380530973</v>
      </c>
      <c r="M1" s="3">
        <f t="shared" si="0"/>
        <v>0.14629948364888123</v>
      </c>
      <c r="N1" s="3">
        <f t="shared" si="0"/>
        <v>0.14629948364888123</v>
      </c>
      <c r="O1" s="3">
        <f t="shared" si="0"/>
        <v>0.1705685618729097</v>
      </c>
      <c r="P1" s="3">
        <f t="shared" si="0"/>
        <v>0.18688524590163935</v>
      </c>
      <c r="Q1" s="3">
        <f t="shared" si="0"/>
        <v>0.16917922948073702</v>
      </c>
      <c r="R1" s="3">
        <f t="shared" si="0"/>
        <v>0.19741100323624594</v>
      </c>
      <c r="S1" s="3">
        <f t="shared" si="0"/>
        <v>0.16498316498316498</v>
      </c>
      <c r="T1" s="3">
        <f t="shared" si="0"/>
        <v>0.1388888888888889</v>
      </c>
      <c r="U1" s="3">
        <f t="shared" si="0"/>
        <v>0.13588850174216027</v>
      </c>
      <c r="V1" s="3">
        <f t="shared" si="0"/>
        <v>0.13438045375218149</v>
      </c>
      <c r="W1" s="3">
        <f t="shared" si="0"/>
        <v>0.11270125223613596</v>
      </c>
      <c r="X1" s="3">
        <f t="shared" si="0"/>
        <v>0.12056737588652482</v>
      </c>
      <c r="Y1" s="3"/>
      <c r="Z1" s="3">
        <f t="shared" ref="Z1:AO1" si="1">(Z3)/(Z2+Z3)</f>
        <v>0.1111111111111111</v>
      </c>
      <c r="AA1" s="3">
        <f t="shared" si="1"/>
        <v>0.12212389380530973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496</v>
      </c>
      <c r="M2" s="7">
        <f t="shared" si="3"/>
        <v>496</v>
      </c>
      <c r="N2" s="7">
        <f t="shared" si="3"/>
        <v>496</v>
      </c>
      <c r="O2" s="7">
        <f t="shared" si="3"/>
        <v>496</v>
      </c>
      <c r="P2" s="7">
        <f t="shared" si="3"/>
        <v>496</v>
      </c>
      <c r="Q2" s="7">
        <f t="shared" si="3"/>
        <v>496</v>
      </c>
      <c r="R2" s="7">
        <f t="shared" si="3"/>
        <v>496</v>
      </c>
      <c r="S2" s="7">
        <f t="shared" si="3"/>
        <v>496</v>
      </c>
      <c r="T2" s="7">
        <f t="shared" si="3"/>
        <v>496</v>
      </c>
      <c r="U2" s="7">
        <f t="shared" si="3"/>
        <v>496</v>
      </c>
      <c r="V2" s="7">
        <f t="shared" si="3"/>
        <v>496</v>
      </c>
      <c r="W2" s="7">
        <f t="shared" si="3"/>
        <v>496</v>
      </c>
      <c r="X2" s="7">
        <f t="shared" si="3"/>
        <v>496</v>
      </c>
      <c r="Y2" s="7">
        <f t="shared" si="3"/>
        <v>496</v>
      </c>
      <c r="Z2" s="7">
        <f t="shared" si="3"/>
        <v>496</v>
      </c>
      <c r="AA2" s="7">
        <f t="shared" si="3"/>
        <v>496</v>
      </c>
      <c r="AB2" s="7">
        <f t="shared" si="3"/>
        <v>496</v>
      </c>
      <c r="AC2" s="7">
        <f t="shared" si="3"/>
        <v>496</v>
      </c>
      <c r="AD2" s="7">
        <f t="shared" si="3"/>
        <v>496</v>
      </c>
      <c r="AE2" s="7">
        <f t="shared" si="3"/>
        <v>496</v>
      </c>
      <c r="AF2" s="7">
        <f t="shared" si="3"/>
        <v>496</v>
      </c>
      <c r="AG2" s="7">
        <f t="shared" si="3"/>
        <v>496</v>
      </c>
      <c r="AH2" s="7">
        <f t="shared" si="3"/>
        <v>496</v>
      </c>
      <c r="AI2" s="7">
        <f t="shared" si="3"/>
        <v>496</v>
      </c>
      <c r="AJ2" s="7">
        <f t="shared" si="3"/>
        <v>496</v>
      </c>
      <c r="AK2" s="7">
        <f t="shared" si="3"/>
        <v>496</v>
      </c>
      <c r="AL2" s="7">
        <f t="shared" si="3"/>
        <v>496</v>
      </c>
      <c r="AM2" s="7">
        <f t="shared" si="3"/>
        <v>496</v>
      </c>
      <c r="AN2" s="7">
        <f t="shared" si="3"/>
        <v>496</v>
      </c>
      <c r="AO2" s="7">
        <f t="shared" si="3"/>
        <v>496</v>
      </c>
      <c r="AP2" s="7">
        <f t="shared" si="3"/>
        <v>496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COUNTIF(L7:L657,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COUNTIFS(L8:L611, "=APAGADO",F8:F611,"=Fibra Optica")</f>
        <v>40</v>
      </c>
      <c r="M4" s="10">
        <f>COUNTIFS(M8:M611, "=APAGADO",F8:F611,"=Fibra Optica")</f>
        <v>54</v>
      </c>
      <c r="N4" s="10">
        <f>COUNTIFS(N8:N611, "=APAGADO",F8:F611,"=Fibra Optica")</f>
        <v>54</v>
      </c>
      <c r="O4" s="10">
        <f>COUNTIFS(O8:O611, "=APAGADO",F8:F611,"=Fibra Optica")</f>
        <v>64</v>
      </c>
      <c r="P4" s="10">
        <f>COUNTIFS(P8:P611, "=APAGADO",F8:F611,"=Fibra Optica")</f>
        <v>83</v>
      </c>
      <c r="Q4" s="10">
        <f>COUNTIFS(Q8:Q611, "=APAGADO",F8:F611,"=Fibra Optica")</f>
        <v>68</v>
      </c>
      <c r="R4" s="10">
        <f>COUNTIFS(R8:R611, "=APAGADO",F8:F611,"=Fibra Optica")</f>
        <v>88</v>
      </c>
      <c r="S4" s="10">
        <f>COUNTIFS(S8:S611, "=APAGADO",F8:F611,"=Fibra Optica")</f>
        <v>69</v>
      </c>
      <c r="T4" s="10">
        <f>COUNTIFS(T8:T611, "=APAGADO",F8:F611,"=Fibra Optica")</f>
        <v>43</v>
      </c>
      <c r="U4" s="10">
        <f>COUNTIFS(U8:U611, "=APAGADO",F8:F611,"=Fibra Optica")</f>
        <v>49</v>
      </c>
      <c r="V4" s="10">
        <f>COUNTIFS(V8:V611, "=APAGADO",F8:F611,"=Fibra Optica")</f>
        <v>48</v>
      </c>
      <c r="W4" s="10">
        <f>COUNTIFS(W8:W611, "=APAGADO",F8:F611,"=Fibra Optica")</f>
        <v>39</v>
      </c>
      <c r="X4" s="10">
        <f>COUNTIFS(X8:X611, "=APAGADO",F8:F611,"=Fibra Optica")</f>
        <v>44</v>
      </c>
      <c r="Y4" s="10">
        <f>COUNTIFS(Y8:Y611, "=APAGADO",F8:F611,"=Fibra Optica")</f>
        <v>32</v>
      </c>
      <c r="Z4" s="10">
        <f>COUNTIFS(Z8:Z611, "=APAGADO",F8:F611,"=Fibra Optica")</f>
        <v>39</v>
      </c>
      <c r="AA4" s="10">
        <f>COUNTIFS(AA8:AA611, "=APAGADO",F8:F611,"=Fibra Optica")</f>
        <v>48</v>
      </c>
      <c r="AB4" s="10">
        <f>COUNTIFS(AB8:AB611, "=APAGADO",F8:F611,"=Fibra Optica")</f>
        <v>0</v>
      </c>
      <c r="AC4" s="10">
        <f>COUNTIFS(AC8:AC611, "=APAGADO",F8:F611,"=Fibra Optica")</f>
        <v>0</v>
      </c>
      <c r="AD4" s="10">
        <f>COUNTIFS(AD8:AD611, "=APAGADO",F8:F611,"=Fibra Optica")</f>
        <v>0</v>
      </c>
      <c r="AE4" s="10">
        <f>COUNTIFS(AE8:AE611, "=APAGADO",F8:F611,"=Fibra Optica")</f>
        <v>0</v>
      </c>
      <c r="AF4" s="10">
        <f>COUNTIFS(AF8:AF611, "=APAGADO",F8:F611,"=Fibra Optica")</f>
        <v>0</v>
      </c>
      <c r="AG4" s="10">
        <f>COUNTIFS(AG8:AG611, "=APAGADO",F8:F611,"=Fibra Optica")</f>
        <v>0</v>
      </c>
      <c r="AH4" s="10">
        <f>COUNTIFS(AH8:AH611, "=APAGADO",F8:F611,"=Fibra Optica")</f>
        <v>0</v>
      </c>
      <c r="AI4" s="10">
        <f>COUNTIFS(AI8:AI611, "=APAGADO",F8:F611,"=Fibra Optica")</f>
        <v>0</v>
      </c>
      <c r="AJ4" s="10">
        <f>COUNTIFS(AJ8:AJ611, "=APAGADO",F8:F611,"=Fibra Optica")</f>
        <v>0</v>
      </c>
      <c r="AK4" s="10">
        <f>COUNTIFS(AK8:AK611, "=APAGADO",F8:F611,"=Fibra Optica")</f>
        <v>0</v>
      </c>
      <c r="AL4" s="10">
        <f>COUNTIFS(AL8:AL611, "=APAGADO",F8:F611,"=Fibra Optica")</f>
        <v>0</v>
      </c>
      <c r="AM4" s="10">
        <f>COUNTIFS(AM8:AM611, "=APAGADO",F8:F611,"=Fibra Optica")</f>
        <v>0</v>
      </c>
      <c r="AN4" s="10">
        <f>COUNTIFS(AN8:AN611, "=APAGADO",F8:F611,"=Fibra Optica")</f>
        <v>0</v>
      </c>
      <c r="AO4" s="10">
        <f>COUNTIFS(AO8:AO611, "=APAGADO",F8:F611,"=Fibra Optica")</f>
        <v>0</v>
      </c>
      <c r="AP4" s="10">
        <f>COUNTIFS(AP8:AP611, "=APAGADO",G8:G611,"=Fibra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COUNTIFS(L8:L611, "=APAGADO",F8:F611,"=RADIO")</f>
        <v>13</v>
      </c>
      <c r="M5" s="136">
        <f>COUNTIFS(M8:M611, "=APAGADO",F8:F611,"=RADIO")</f>
        <v>15</v>
      </c>
      <c r="N5" s="136">
        <f>COUNTIFS(N8:N611, "=APAGADO",F8:F611,"=RADIO")</f>
        <v>15</v>
      </c>
      <c r="O5" s="136">
        <f>COUNTIFS(O8:O611, "=APAGADO",F8:F611,"=RADIO")</f>
        <v>22</v>
      </c>
      <c r="P5" s="136">
        <f>COUNTIFS(P8:P611, "=APAGADO",F8:F611,"=RADIO")</f>
        <v>17</v>
      </c>
      <c r="Q5" s="136">
        <f>COUNTIFS(Q8:Q611, "=APAGADO",F8:F611,"=RADIO")</f>
        <v>21</v>
      </c>
      <c r="R5" s="136">
        <f>COUNTIFS(R8:R611, "=APAGADO",F8:F611,"=RADIO")</f>
        <v>21</v>
      </c>
      <c r="S5" s="136">
        <f>COUNTIFS(S8:S611, "=APAGADO",F8:F611,"=RADIO")</f>
        <v>17</v>
      </c>
      <c r="T5" s="136">
        <f>COUNTIFS(T8:T611, "=APAGADO",F8:F611,"=RADIO")</f>
        <v>25</v>
      </c>
      <c r="U5" s="136">
        <f>COUNTIFS(U8:U611, "=APAGADO",F8:F611,"=RADIO")</f>
        <v>17</v>
      </c>
      <c r="V5" s="136">
        <f>COUNTIFS(V8:V611, "=APAGADO",F8:F611,"=RADIO")</f>
        <v>17</v>
      </c>
      <c r="W5" s="136">
        <f>COUNTIFS(W8:W611, "=APAGADO",F8:F611,"=RADIO")</f>
        <v>13</v>
      </c>
      <c r="X5" s="136">
        <f>COUNTIFS(X8:X611, "=APAGADO",F8:F611,"=RADIO")</f>
        <v>13</v>
      </c>
      <c r="Y5" s="136">
        <f>COUNTIFS(Y8:Y611, "=APAGADO",F8:F611,"=RADIO")</f>
        <v>13</v>
      </c>
      <c r="Z5" s="136">
        <f>COUNTIFS(Z8:Z611, "=APAGADO",F8:F611,"=RADIO")</f>
        <v>11</v>
      </c>
      <c r="AA5" s="136">
        <f>COUNTIFS(AA8:AA611, "=APAGADO",F8:F611,"=RADIO")</f>
        <v>12</v>
      </c>
      <c r="AB5" s="136">
        <f>COUNTIFS(AB8:AB611, "=APAGADO",F8:F611,"=RADIO")</f>
        <v>0</v>
      </c>
      <c r="AC5" s="136">
        <f>COUNTIFS(AC8:AC611, "=APAGADO",F8:F611,"=RADIO")</f>
        <v>0</v>
      </c>
      <c r="AD5" s="136">
        <f>COUNTIFS(AD8:AD611, "=APAGADO",F8:F611,"=RADIO")</f>
        <v>0</v>
      </c>
      <c r="AE5" s="136">
        <f>COUNTIFS(AE8:AE611, "=APAGADO",F8:F611,"=RADIO")</f>
        <v>0</v>
      </c>
      <c r="AF5" s="136">
        <f>COUNTIFS(AF8:AF611, "=APAGADO",F8:F611,"=RADIO")</f>
        <v>0</v>
      </c>
      <c r="AG5" s="136">
        <f>COUNTIFS(AG8:AG611, "=APAGADO",F8:F611,"=RADIO")</f>
        <v>0</v>
      </c>
      <c r="AH5" s="136">
        <f>COUNTIFS(AH8:AH611, "=APAGADO",F8:F611,"=RADIO")</f>
        <v>0</v>
      </c>
      <c r="AI5" s="136">
        <f>COUNTIFS(AI8:AI611, "=APAGADO",F8:F611,"=RADIO")</f>
        <v>0</v>
      </c>
      <c r="AJ5" s="136">
        <f>COUNTIFS(AJ8:AJ611, "=APAGADO",F8:F611,"=RADIO")</f>
        <v>0</v>
      </c>
      <c r="AK5" s="136">
        <f>COUNTIFS(AK8:AK611, "=APAGADO",F8:F611,"=RADIO")</f>
        <v>0</v>
      </c>
      <c r="AL5" s="136">
        <f>COUNTIFS(AL8:AL611, "=APAGADO",F8:F611,"=RADIO")</f>
        <v>0</v>
      </c>
      <c r="AM5" s="136">
        <f>COUNTIFS(AM8:AM611, "=APAGADO",F8:F611,"=RADIO")</f>
        <v>0</v>
      </c>
      <c r="AN5" s="136">
        <f>COUNTIFS(AN8:AN611, "=APAGADO",F8:F611,"=RADIO")</f>
        <v>0</v>
      </c>
      <c r="AO5" s="136">
        <f>COUNTIFS(AO8:AO611, "=APAGADO",F8:F611,"=RADIO")</f>
        <v>0</v>
      </c>
      <c r="AP5" s="136">
        <f>COUNTIFS(AP8:AP611, "=APAGADO",G8:G611,"=RADIO")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COUNTIFS(L8:L611, "=APAGADO",F8:F611,"=PTO A FO")</f>
        <v>7</v>
      </c>
      <c r="M6" s="10">
        <f>COUNTIFS(M8:M611, "=APAGADO",F8:F611,"=PTO A FO")</f>
        <v>8</v>
      </c>
      <c r="N6" s="10">
        <f>COUNTIFS(N8:N611, "=APAGADO",F8:F611,"=PTO A FO")</f>
        <v>8</v>
      </c>
      <c r="O6" s="10">
        <f>COUNTIFS(O8:O611, "=APAGADO",F8:F611,"=PTO A FO")</f>
        <v>10</v>
      </c>
      <c r="P6" s="10">
        <f>COUNTIFS(P8:P611, "=APAGADO",F8:F611,"=PTO A FO")</f>
        <v>8</v>
      </c>
      <c r="Q6" s="10">
        <f>COUNTIFS(Q8:Q611, "=APAGADO",F8:F611,"=PTO A FO")</f>
        <v>6</v>
      </c>
      <c r="R6" s="10">
        <f>COUNTIFS(R8:R611, "=APAGADO",F8:F611,"=PTO A FO")</f>
        <v>7</v>
      </c>
      <c r="S6" s="10">
        <f>COUNTIFS(S8:S611, "=APAGADO",F8:F611,"=PTO A FO")</f>
        <v>6</v>
      </c>
      <c r="T6" s="10">
        <f>COUNTIFS(T8:T611, "=APAGADO",F8:F611,"=PTO A FO")</f>
        <v>6</v>
      </c>
      <c r="U6" s="10">
        <f>COUNTIFS(U8:U611, "=APAGADO",F8:F611,"=PTO A FO")</f>
        <v>6</v>
      </c>
      <c r="V6" s="10">
        <f>COUNTIFS(V8:V611, "=APAGADO",F8:F611,"=PTO A FO")</f>
        <v>7</v>
      </c>
      <c r="W6" s="10">
        <f>COUNTIFS(W8:W611, "=APAGADO",F8:F611,"=PTO A FO")</f>
        <v>6</v>
      </c>
      <c r="X6" s="10">
        <f>COUNTIFS(X8:X611, "=APAGADO",F8:F611,"=PTO A FO")</f>
        <v>6</v>
      </c>
      <c r="Y6" s="10">
        <f>COUNTIFS(Y8:Y611, "=APAGADO",F8:F611,"=PTO A FO")</f>
        <v>6</v>
      </c>
      <c r="Z6" s="10">
        <f>COUNTIFS(Z8:Z611, "=APAGADO",F8:F611,"=PTO A FO")</f>
        <v>7</v>
      </c>
      <c r="AA6" s="10">
        <f>COUNTIFS(AA8:AA611, "=APAGADO",F8:F611,"=PTO A FO")</f>
        <v>6</v>
      </c>
      <c r="AB6" s="10">
        <f>COUNTIFS(AB8:AB611, "=APAGADO",F8:F611,"=PTO A FO")</f>
        <v>0</v>
      </c>
      <c r="AC6" s="10">
        <f>COUNTIFS(AC8:AC611, "=APAGADO",F8:F611,"=PTO A FO")</f>
        <v>0</v>
      </c>
      <c r="AD6" s="10">
        <f>COUNTIFS(AD8:AD611, "=APAGADO",F8:F611,"=PTO A FO")</f>
        <v>0</v>
      </c>
      <c r="AE6" s="10">
        <f>COUNTIFS(AE8:AE611, "=APAGADO",F8:F611,"=PTO A FO")</f>
        <v>0</v>
      </c>
      <c r="AF6" s="10">
        <f>COUNTIFS(AF8:AF611, "=APAGADO",F8:F611,"=PTO A FO")</f>
        <v>0</v>
      </c>
      <c r="AG6" s="10">
        <f>COUNTIFS(AG8:AG611, "=APAGADO",F8:F611,"=PTO A FO")</f>
        <v>0</v>
      </c>
      <c r="AH6" s="10">
        <f>COUNTIFS(AH8:AH611, "=APAGADO",F8:F611,"=PTO A FO")</f>
        <v>0</v>
      </c>
      <c r="AI6" s="10">
        <f>COUNTIFS(AI8:AI611, "=APAGADO",F8:F611,"=PTO A FO")</f>
        <v>0</v>
      </c>
      <c r="AJ6" s="10">
        <f>COUNTIFS(AJ8:AJ611, "=APAGADO",F8:F611,"=PTO A FO")</f>
        <v>0</v>
      </c>
      <c r="AK6" s="10">
        <f>COUNTIFS(AK8:AK611, "=APAGADO",F8:F611,"=PTO A FO")</f>
        <v>0</v>
      </c>
      <c r="AL6" s="10">
        <f>COUNTIFS(AL8:AL611, "=APAGADO",F8:F611,"=PTO A FO")</f>
        <v>0</v>
      </c>
      <c r="AM6" s="10">
        <f>COUNTIFS(AM8:AM611, "=APAGADO",F8:F611,"=PTO A FO")</f>
        <v>0</v>
      </c>
      <c r="AN6" s="10">
        <f>COUNTIFS(AN8:AN611, "=APAGADO",F8:F611,"=PTO A FO")</f>
        <v>0</v>
      </c>
      <c r="AO6" s="10">
        <f>COUNTIFS(AO8:AO611, "=APAGADO",F8:F611,"=PTO A FO")</f>
        <v>0</v>
      </c>
      <c r="AP6" s="10">
        <f>COUNTIFS(AP8:AP611, "=APAGADO",G8:G611,"=PTO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1533</v>
      </c>
      <c r="N10" s="72" t="s">
        <v>1533</v>
      </c>
      <c r="O10" s="72" t="s">
        <v>1533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21</v>
      </c>
      <c r="J11" s="31">
        <f t="shared" si="6"/>
        <v>7</v>
      </c>
      <c r="K11" s="32">
        <f t="shared" si="7"/>
        <v>0.75</v>
      </c>
      <c r="L11" s="72"/>
      <c r="M11" s="72"/>
      <c r="N11" s="72"/>
      <c r="O11" s="72" t="s">
        <v>1533</v>
      </c>
      <c r="P11" s="72" t="s">
        <v>1533</v>
      </c>
      <c r="Q11" s="72"/>
      <c r="R11" s="72" t="s">
        <v>1533</v>
      </c>
      <c r="S11" s="72" t="s">
        <v>1533</v>
      </c>
      <c r="T11" s="72"/>
      <c r="U11" s="72" t="s">
        <v>1533</v>
      </c>
      <c r="V11" s="72" t="s">
        <v>1533</v>
      </c>
      <c r="W11" s="72"/>
      <c r="X11" s="72"/>
      <c r="Y11" s="72"/>
      <c r="Z11" s="72" t="s">
        <v>1533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23</v>
      </c>
      <c r="J12" s="31">
        <f t="shared" si="6"/>
        <v>5</v>
      </c>
      <c r="K12" s="32">
        <f t="shared" si="7"/>
        <v>0.8214285714285714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1533</v>
      </c>
      <c r="X12" s="72" t="s">
        <v>1533</v>
      </c>
      <c r="Y12" s="72" t="s">
        <v>1533</v>
      </c>
      <c r="Z12" s="72" t="s">
        <v>1533</v>
      </c>
      <c r="AA12" s="72" t="s">
        <v>1533</v>
      </c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20</v>
      </c>
      <c r="J17" s="31">
        <f t="shared" si="6"/>
        <v>8</v>
      </c>
      <c r="K17" s="32">
        <f t="shared" si="7"/>
        <v>0.7142857142857143</v>
      </c>
      <c r="L17" s="72"/>
      <c r="M17" s="72"/>
      <c r="N17" s="72"/>
      <c r="O17" s="72"/>
      <c r="P17" s="72"/>
      <c r="Q17" s="72"/>
      <c r="R17" s="72"/>
      <c r="S17" s="72"/>
      <c r="T17" s="72" t="s">
        <v>1533</v>
      </c>
      <c r="U17" s="72" t="s">
        <v>1533</v>
      </c>
      <c r="V17" s="72" t="s">
        <v>1533</v>
      </c>
      <c r="W17" s="72" t="s">
        <v>1533</v>
      </c>
      <c r="X17" s="72" t="s">
        <v>1533</v>
      </c>
      <c r="Y17" s="72" t="s">
        <v>1533</v>
      </c>
      <c r="Z17" s="72" t="s">
        <v>1533</v>
      </c>
      <c r="AA17" s="72" t="s">
        <v>1533</v>
      </c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1544</v>
      </c>
      <c r="C18" t="s">
        <v>1069</v>
      </c>
      <c r="D18" s="70" t="s">
        <v>1545</v>
      </c>
      <c r="E18" s="30" t="s">
        <v>73</v>
      </c>
      <c r="F18" s="30" t="s">
        <v>28</v>
      </c>
      <c r="G18" s="30"/>
      <c r="H18" s="30" t="s">
        <v>1546</v>
      </c>
      <c r="I18" s="31">
        <f t="shared" si="5"/>
        <v>23</v>
      </c>
      <c r="J18" s="31">
        <f t="shared" si="6"/>
        <v>5</v>
      </c>
      <c r="K18" s="32">
        <f t="shared" si="7"/>
        <v>0.8214285714285714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1533</v>
      </c>
      <c r="X18" s="72" t="s">
        <v>1533</v>
      </c>
      <c r="Y18" s="73" t="s">
        <v>1533</v>
      </c>
      <c r="Z18" s="72" t="s">
        <v>1533</v>
      </c>
      <c r="AA18" s="72" t="s">
        <v>1533</v>
      </c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1533</v>
      </c>
      <c r="X19" s="72" t="s">
        <v>1533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1533</v>
      </c>
      <c r="M22" s="72" t="s">
        <v>1533</v>
      </c>
      <c r="N22" s="72" t="s">
        <v>1533</v>
      </c>
      <c r="O22" s="72" t="s">
        <v>1533</v>
      </c>
      <c r="P22" s="72" t="s">
        <v>1533</v>
      </c>
      <c r="Q22" s="72" t="s">
        <v>1533</v>
      </c>
      <c r="R22" s="72" t="s">
        <v>1533</v>
      </c>
      <c r="S22" s="72" t="s">
        <v>1533</v>
      </c>
      <c r="T22" s="72" t="s">
        <v>1533</v>
      </c>
      <c r="U22" s="72" t="s">
        <v>1533</v>
      </c>
      <c r="V22" s="72" t="s">
        <v>1533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1533</v>
      </c>
      <c r="M23" s="72" t="s">
        <v>1533</v>
      </c>
      <c r="N23" s="72" t="s">
        <v>1533</v>
      </c>
      <c r="O23" s="72" t="s">
        <v>1533</v>
      </c>
      <c r="P23" s="72" t="s">
        <v>1533</v>
      </c>
      <c r="Q23" s="72" t="s">
        <v>1533</v>
      </c>
      <c r="R23" s="72" t="s">
        <v>1533</v>
      </c>
      <c r="S23" s="72" t="s">
        <v>1533</v>
      </c>
      <c r="T23" s="72" t="s">
        <v>1533</v>
      </c>
      <c r="U23" s="72" t="s">
        <v>1533</v>
      </c>
      <c r="V23" s="72" t="s">
        <v>1533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1533</v>
      </c>
      <c r="M24" s="72" t="s">
        <v>1533</v>
      </c>
      <c r="N24" s="72" t="s">
        <v>1533</v>
      </c>
      <c r="O24" s="72" t="s">
        <v>1533</v>
      </c>
      <c r="P24" s="72" t="s">
        <v>1533</v>
      </c>
      <c r="Q24" s="72" t="s">
        <v>1533</v>
      </c>
      <c r="R24" s="72" t="s">
        <v>1533</v>
      </c>
      <c r="S24" s="72" t="s">
        <v>1533</v>
      </c>
      <c r="T24" s="72" t="s">
        <v>1533</v>
      </c>
      <c r="U24" s="72" t="s">
        <v>1533</v>
      </c>
      <c r="V24" s="72" t="s">
        <v>1533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1533</v>
      </c>
      <c r="M25" s="72" t="s">
        <v>1533</v>
      </c>
      <c r="N25" s="72" t="s">
        <v>1533</v>
      </c>
      <c r="O25" s="72" t="s">
        <v>1533</v>
      </c>
      <c r="P25" s="72" t="s">
        <v>1533</v>
      </c>
      <c r="Q25" s="72" t="s">
        <v>1533</v>
      </c>
      <c r="R25" s="72" t="s">
        <v>1533</v>
      </c>
      <c r="S25" s="72" t="s">
        <v>1533</v>
      </c>
      <c r="T25" s="72" t="s">
        <v>1533</v>
      </c>
      <c r="U25" s="72" t="s">
        <v>1533</v>
      </c>
      <c r="V25" s="72" t="s">
        <v>1533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1533</v>
      </c>
      <c r="P26" s="72" t="s">
        <v>1533</v>
      </c>
      <c r="Q26" s="72" t="s">
        <v>1533</v>
      </c>
      <c r="R26" s="72" t="s">
        <v>1533</v>
      </c>
      <c r="S26" s="72" t="s">
        <v>1533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1533</v>
      </c>
      <c r="P27" s="72" t="s">
        <v>1533</v>
      </c>
      <c r="Q27" s="72" t="s">
        <v>1533</v>
      </c>
      <c r="R27" s="72" t="s">
        <v>1533</v>
      </c>
      <c r="S27" s="72" t="s">
        <v>1533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13</v>
      </c>
      <c r="J29" s="140">
        <f t="shared" si="6"/>
        <v>15</v>
      </c>
      <c r="K29" s="141">
        <f t="shared" si="7"/>
        <v>0.4642857142857143</v>
      </c>
      <c r="L29" s="142" t="s">
        <v>1533</v>
      </c>
      <c r="M29" s="142" t="s">
        <v>1533</v>
      </c>
      <c r="N29" s="142" t="s">
        <v>1533</v>
      </c>
      <c r="O29" s="142" t="s">
        <v>1533</v>
      </c>
      <c r="P29" s="142" t="s">
        <v>1533</v>
      </c>
      <c r="Q29" s="142" t="s">
        <v>1533</v>
      </c>
      <c r="R29" s="142" t="s">
        <v>1533</v>
      </c>
      <c r="S29" s="142" t="s">
        <v>1533</v>
      </c>
      <c r="T29" s="142" t="s">
        <v>1533</v>
      </c>
      <c r="U29" s="142" t="s">
        <v>1533</v>
      </c>
      <c r="V29" s="142" t="s">
        <v>1533</v>
      </c>
      <c r="W29" s="142" t="s">
        <v>1533</v>
      </c>
      <c r="X29" s="142" t="s">
        <v>1533</v>
      </c>
      <c r="Y29" s="142"/>
      <c r="Z29" s="142" t="s">
        <v>1533</v>
      </c>
      <c r="AA29" s="142" t="s">
        <v>1533</v>
      </c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13</v>
      </c>
      <c r="J30" s="31">
        <f t="shared" si="6"/>
        <v>15</v>
      </c>
      <c r="K30" s="32">
        <f t="shared" si="7"/>
        <v>0.4642857142857143</v>
      </c>
      <c r="L30" s="72" t="s">
        <v>1533</v>
      </c>
      <c r="M30" s="72" t="s">
        <v>1533</v>
      </c>
      <c r="N30" s="72" t="s">
        <v>1533</v>
      </c>
      <c r="O30" s="72" t="s">
        <v>1533</v>
      </c>
      <c r="P30" s="72" t="s">
        <v>1533</v>
      </c>
      <c r="Q30" s="72" t="s">
        <v>1533</v>
      </c>
      <c r="R30" s="72" t="s">
        <v>1533</v>
      </c>
      <c r="S30" s="72" t="s">
        <v>1533</v>
      </c>
      <c r="T30" s="72" t="s">
        <v>1533</v>
      </c>
      <c r="U30" s="72" t="s">
        <v>1533</v>
      </c>
      <c r="V30" s="72" t="s">
        <v>1533</v>
      </c>
      <c r="W30" s="72" t="s">
        <v>1533</v>
      </c>
      <c r="X30" s="72" t="s">
        <v>1533</v>
      </c>
      <c r="Y30" s="72"/>
      <c r="Z30" s="72" t="s">
        <v>1533</v>
      </c>
      <c r="AA30" s="72" t="s">
        <v>1533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1525</v>
      </c>
      <c r="C31" t="s">
        <v>1070</v>
      </c>
      <c r="D31" t="s">
        <v>1526</v>
      </c>
      <c r="E31" s="67"/>
      <c r="F31" s="30" t="s">
        <v>28</v>
      </c>
      <c r="G31" s="30"/>
      <c r="H31" s="89" t="s">
        <v>1527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1533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12</v>
      </c>
      <c r="J39" s="31">
        <f t="shared" si="6"/>
        <v>16</v>
      </c>
      <c r="K39" s="32">
        <f t="shared" si="7"/>
        <v>0.42857142857142855</v>
      </c>
      <c r="L39" s="72" t="s">
        <v>1533</v>
      </c>
      <c r="M39" s="72" t="s">
        <v>1533</v>
      </c>
      <c r="N39" s="72" t="s">
        <v>1533</v>
      </c>
      <c r="O39" s="72" t="s">
        <v>1533</v>
      </c>
      <c r="P39" s="72" t="s">
        <v>1533</v>
      </c>
      <c r="Q39" s="72" t="s">
        <v>1533</v>
      </c>
      <c r="R39" s="72" t="s">
        <v>1533</v>
      </c>
      <c r="S39" s="72" t="s">
        <v>1533</v>
      </c>
      <c r="T39" s="72" t="s">
        <v>1533</v>
      </c>
      <c r="U39" s="72" t="s">
        <v>1533</v>
      </c>
      <c r="V39" s="72" t="s">
        <v>1533</v>
      </c>
      <c r="W39" s="72" t="s">
        <v>1533</v>
      </c>
      <c r="X39" s="72" t="s">
        <v>1533</v>
      </c>
      <c r="Y39" s="72" t="s">
        <v>1533</v>
      </c>
      <c r="Z39" s="72" t="s">
        <v>1533</v>
      </c>
      <c r="AA39" s="72" t="s">
        <v>1533</v>
      </c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1533</v>
      </c>
      <c r="Q45" s="72"/>
      <c r="R45" s="72" t="s">
        <v>1533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1533</v>
      </c>
      <c r="Q51" s="72"/>
      <c r="R51" s="72" t="s">
        <v>1533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1533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12</v>
      </c>
      <c r="J54" s="31">
        <f t="shared" si="6"/>
        <v>16</v>
      </c>
      <c r="K54" s="32">
        <f t="shared" si="7"/>
        <v>0.42857142857142855</v>
      </c>
      <c r="L54" s="72" t="s">
        <v>1533</v>
      </c>
      <c r="M54" s="72" t="s">
        <v>1533</v>
      </c>
      <c r="N54" s="72" t="s">
        <v>1533</v>
      </c>
      <c r="O54" s="72" t="s">
        <v>1533</v>
      </c>
      <c r="P54" s="72" t="s">
        <v>1533</v>
      </c>
      <c r="Q54" s="72" t="s">
        <v>1533</v>
      </c>
      <c r="R54" s="72" t="s">
        <v>1533</v>
      </c>
      <c r="S54" s="72" t="s">
        <v>1533</v>
      </c>
      <c r="T54" s="72" t="s">
        <v>1533</v>
      </c>
      <c r="U54" s="72" t="s">
        <v>1533</v>
      </c>
      <c r="V54" s="72" t="s">
        <v>1533</v>
      </c>
      <c r="W54" s="72" t="s">
        <v>1533</v>
      </c>
      <c r="X54" s="72" t="s">
        <v>1533</v>
      </c>
      <c r="Y54" s="72" t="s">
        <v>1533</v>
      </c>
      <c r="Z54" s="72" t="s">
        <v>1533</v>
      </c>
      <c r="AA54" s="72" t="s">
        <v>1533</v>
      </c>
      <c r="AB54" s="72"/>
      <c r="AC54" s="72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1533</v>
      </c>
      <c r="M55" s="72"/>
      <c r="N55" s="72"/>
      <c r="O55" s="72"/>
      <c r="P55" s="72"/>
      <c r="Q55" s="72"/>
      <c r="R55" s="72"/>
      <c r="S55" s="72"/>
      <c r="T55" s="72" t="s">
        <v>1533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1533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 t="s">
        <v>1533</v>
      </c>
      <c r="Q57" s="72"/>
      <c r="R57" s="72" t="s">
        <v>1533</v>
      </c>
      <c r="S57" s="72"/>
      <c r="T57" s="72"/>
      <c r="U57" s="72"/>
      <c r="V57" s="72" t="s">
        <v>1533</v>
      </c>
      <c r="W57" s="72" t="s">
        <v>1533</v>
      </c>
      <c r="X57" s="72" t="s">
        <v>1533</v>
      </c>
      <c r="Y57" s="72" t="s">
        <v>1533</v>
      </c>
      <c r="Z57" s="72" t="s">
        <v>1533</v>
      </c>
      <c r="AA57" s="72" t="s">
        <v>1533</v>
      </c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12</v>
      </c>
      <c r="J58" s="31">
        <f t="shared" si="6"/>
        <v>16</v>
      </c>
      <c r="K58" s="32">
        <f t="shared" si="7"/>
        <v>0.42857142857142855</v>
      </c>
      <c r="L58" s="72" t="s">
        <v>1533</v>
      </c>
      <c r="M58" s="72" t="s">
        <v>1533</v>
      </c>
      <c r="N58" s="72" t="s">
        <v>1533</v>
      </c>
      <c r="O58" s="72" t="s">
        <v>1533</v>
      </c>
      <c r="P58" s="72" t="s">
        <v>1533</v>
      </c>
      <c r="Q58" s="72" t="s">
        <v>1533</v>
      </c>
      <c r="R58" s="72" t="s">
        <v>1533</v>
      </c>
      <c r="S58" s="72" t="s">
        <v>1533</v>
      </c>
      <c r="T58" s="72" t="s">
        <v>1533</v>
      </c>
      <c r="U58" s="72" t="s">
        <v>1533</v>
      </c>
      <c r="V58" s="72" t="s">
        <v>1533</v>
      </c>
      <c r="W58" s="72" t="s">
        <v>1533</v>
      </c>
      <c r="X58" s="72" t="s">
        <v>1533</v>
      </c>
      <c r="Y58" s="72" t="s">
        <v>1533</v>
      </c>
      <c r="Z58" s="72" t="s">
        <v>1533</v>
      </c>
      <c r="AA58" s="72" t="s">
        <v>1533</v>
      </c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1533</v>
      </c>
      <c r="Q59" s="72"/>
      <c r="R59" s="72" t="s">
        <v>1533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1533</v>
      </c>
      <c r="Q60" s="72"/>
      <c r="R60" s="72" t="s">
        <v>1533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1533</v>
      </c>
      <c r="Q61" s="72"/>
      <c r="R61" s="72" t="s">
        <v>1533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1533</v>
      </c>
      <c r="Q62" s="72"/>
      <c r="R62" s="72" t="s">
        <v>1533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1533</v>
      </c>
      <c r="Q63" s="72"/>
      <c r="R63" s="72" t="s">
        <v>1533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1533</v>
      </c>
      <c r="Q64" s="72"/>
      <c r="R64" s="72" t="s">
        <v>1533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1533</v>
      </c>
      <c r="Q65" s="72"/>
      <c r="R65" s="72" t="s">
        <v>1533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27</v>
      </c>
      <c r="J71" s="31">
        <f t="shared" si="6"/>
        <v>1</v>
      </c>
      <c r="K71" s="32">
        <f t="shared" si="7"/>
        <v>0.9642857142857143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1533</v>
      </c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1533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1537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1533</v>
      </c>
      <c r="M75" s="72" t="s">
        <v>1533</v>
      </c>
      <c r="N75" s="72" t="s">
        <v>1533</v>
      </c>
      <c r="O75" s="72"/>
      <c r="P75" s="72" t="s">
        <v>1533</v>
      </c>
      <c r="Q75" s="72" t="s">
        <v>1533</v>
      </c>
      <c r="R75" s="72" t="s">
        <v>1533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1533</v>
      </c>
      <c r="Q76" s="72"/>
      <c r="R76" s="72" t="s">
        <v>1533</v>
      </c>
      <c r="S76" s="72"/>
      <c r="T76" s="72"/>
      <c r="U76" s="72" t="s">
        <v>1533</v>
      </c>
      <c r="V76" s="72" t="s">
        <v>1533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1533</v>
      </c>
      <c r="Q77" s="72"/>
      <c r="R77" s="72" t="s">
        <v>1533</v>
      </c>
      <c r="S77" s="72"/>
      <c r="T77" s="72"/>
      <c r="U77" s="72" t="s">
        <v>1533</v>
      </c>
      <c r="V77" s="72" t="s">
        <v>1533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1533</v>
      </c>
      <c r="S80" s="72"/>
      <c r="T80" s="72"/>
      <c r="U80" s="72" t="s">
        <v>1533</v>
      </c>
      <c r="V80" s="72" t="s">
        <v>1533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1533</v>
      </c>
      <c r="M86" s="72" t="s">
        <v>1533</v>
      </c>
      <c r="N86" s="72" t="s">
        <v>1533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1533</v>
      </c>
      <c r="N87" s="72" t="s">
        <v>1533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1533</v>
      </c>
      <c r="P93" s="72" t="s">
        <v>1533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1533</v>
      </c>
      <c r="M100" s="72" t="s">
        <v>1533</v>
      </c>
      <c r="N100" s="72" t="s">
        <v>1533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1533</v>
      </c>
      <c r="M101" s="72" t="s">
        <v>1533</v>
      </c>
      <c r="N101" s="72" t="s">
        <v>1533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1533</v>
      </c>
      <c r="N106" s="72" t="s">
        <v>1533</v>
      </c>
      <c r="O106" s="72" t="s">
        <v>1533</v>
      </c>
      <c r="P106" s="72" t="s">
        <v>1533</v>
      </c>
      <c r="Q106" s="72" t="s">
        <v>1533</v>
      </c>
      <c r="R106" s="72" t="s">
        <v>1533</v>
      </c>
      <c r="S106" s="72" t="s">
        <v>1533</v>
      </c>
      <c r="T106" s="72" t="s">
        <v>1533</v>
      </c>
      <c r="U106" s="72" t="s">
        <v>1533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1533</v>
      </c>
      <c r="Y108" s="72"/>
      <c r="Z108" s="72" t="s">
        <v>1533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1511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1533</v>
      </c>
      <c r="Q109" s="72"/>
      <c r="R109" s="72" t="s">
        <v>1533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1533</v>
      </c>
      <c r="Q110" s="72"/>
      <c r="R110" s="72" t="s">
        <v>1533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1533</v>
      </c>
      <c r="Q111" s="72"/>
      <c r="R111" s="72" t="s">
        <v>1533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24</v>
      </c>
      <c r="J112" s="31">
        <f t="shared" si="9"/>
        <v>4</v>
      </c>
      <c r="K112" s="32">
        <f t="shared" si="10"/>
        <v>0.8571428571428571</v>
      </c>
      <c r="L112" s="72" t="s">
        <v>1533</v>
      </c>
      <c r="M112" s="72" t="s">
        <v>1533</v>
      </c>
      <c r="N112" s="72" t="s">
        <v>1533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1533</v>
      </c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24</v>
      </c>
      <c r="J113" s="31">
        <f t="shared" si="9"/>
        <v>4</v>
      </c>
      <c r="K113" s="32">
        <f t="shared" si="10"/>
        <v>0.8571428571428571</v>
      </c>
      <c r="L113" s="72" t="s">
        <v>1533</v>
      </c>
      <c r="M113" s="72" t="s">
        <v>1533</v>
      </c>
      <c r="N113" s="72" t="s">
        <v>1533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1533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26</v>
      </c>
      <c r="J115" s="31">
        <f t="shared" si="9"/>
        <v>2</v>
      </c>
      <c r="K115" s="32">
        <f t="shared" si="10"/>
        <v>0.9285714285714286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1533</v>
      </c>
      <c r="AA115" s="72" t="s">
        <v>1533</v>
      </c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1547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1523</v>
      </c>
      <c r="C122" s="30" t="s">
        <v>1069</v>
      </c>
      <c r="D122" t="s">
        <v>1524</v>
      </c>
      <c r="E122" s="89"/>
      <c r="F122" s="89" t="s">
        <v>28</v>
      </c>
      <c r="G122" s="89"/>
      <c r="H122" s="89" t="s">
        <v>1528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1502</v>
      </c>
      <c r="C123" s="30" t="s">
        <v>1069</v>
      </c>
      <c r="D123" t="s">
        <v>1501</v>
      </c>
      <c r="E123" s="89" t="s">
        <v>73</v>
      </c>
      <c r="F123" s="89" t="s">
        <v>28</v>
      </c>
      <c r="G123" s="89"/>
      <c r="H123" s="89" t="s">
        <v>1503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1505</v>
      </c>
      <c r="C124" s="30" t="s">
        <v>1069</v>
      </c>
      <c r="D124" t="s">
        <v>1504</v>
      </c>
      <c r="E124" s="89" t="s">
        <v>19</v>
      </c>
      <c r="F124" s="89" t="s">
        <v>28</v>
      </c>
      <c r="G124" s="89"/>
      <c r="H124" s="89" t="s">
        <v>1506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1538</v>
      </c>
      <c r="C125" s="30" t="s">
        <v>1069</v>
      </c>
      <c r="D125" t="s">
        <v>1539</v>
      </c>
      <c r="E125" s="89" t="s">
        <v>19</v>
      </c>
      <c r="F125" s="89" t="s">
        <v>28</v>
      </c>
      <c r="G125" s="89"/>
      <c r="H125" s="89" t="s">
        <v>1540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1541</v>
      </c>
      <c r="C126" s="30" t="s">
        <v>1069</v>
      </c>
      <c r="D126" t="s">
        <v>1542</v>
      </c>
      <c r="E126" s="89" t="s">
        <v>19</v>
      </c>
      <c r="F126" s="89" t="s">
        <v>28</v>
      </c>
      <c r="G126" s="89"/>
      <c r="H126" s="89" t="s">
        <v>1543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1533</v>
      </c>
      <c r="U127" s="72" t="s">
        <v>1533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13</v>
      </c>
      <c r="J128" s="31">
        <f t="shared" si="9"/>
        <v>15</v>
      </c>
      <c r="K128" s="32">
        <f t="shared" si="10"/>
        <v>0.4642857142857143</v>
      </c>
      <c r="L128" s="72" t="s">
        <v>1533</v>
      </c>
      <c r="M128" s="72" t="s">
        <v>1533</v>
      </c>
      <c r="N128" s="72" t="s">
        <v>1533</v>
      </c>
      <c r="O128" s="72" t="s">
        <v>1533</v>
      </c>
      <c r="P128" s="72" t="s">
        <v>1533</v>
      </c>
      <c r="Q128" s="72" t="s">
        <v>1533</v>
      </c>
      <c r="R128" s="72" t="s">
        <v>1533</v>
      </c>
      <c r="S128" s="72" t="s">
        <v>1533</v>
      </c>
      <c r="T128" s="72" t="s">
        <v>1533</v>
      </c>
      <c r="U128" s="72"/>
      <c r="V128" s="72" t="s">
        <v>1533</v>
      </c>
      <c r="W128" s="72" t="s">
        <v>1533</v>
      </c>
      <c r="X128" s="72" t="s">
        <v>1533</v>
      </c>
      <c r="Y128" s="72" t="s">
        <v>1533</v>
      </c>
      <c r="Z128" s="72" t="s">
        <v>1533</v>
      </c>
      <c r="AA128" s="72" t="s">
        <v>1533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1533</v>
      </c>
      <c r="N133" s="72" t="s">
        <v>1533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11</v>
      </c>
      <c r="J135" s="147">
        <f t="shared" si="9"/>
        <v>16</v>
      </c>
      <c r="K135" s="148">
        <f t="shared" si="10"/>
        <v>0.40740740740740738</v>
      </c>
      <c r="L135" s="99" t="s">
        <v>1533</v>
      </c>
      <c r="M135" s="99" t="s">
        <v>1533</v>
      </c>
      <c r="N135" s="99" t="s">
        <v>1533</v>
      </c>
      <c r="O135" s="99" t="s">
        <v>1533</v>
      </c>
      <c r="P135" s="99" t="s">
        <v>1533</v>
      </c>
      <c r="Q135" s="99" t="s">
        <v>1533</v>
      </c>
      <c r="R135" s="99" t="s">
        <v>1533</v>
      </c>
      <c r="S135" s="99" t="s">
        <v>1533</v>
      </c>
      <c r="T135" s="99" t="s">
        <v>1533</v>
      </c>
      <c r="U135" s="99" t="s">
        <v>1533</v>
      </c>
      <c r="V135" s="99" t="s">
        <v>1533</v>
      </c>
      <c r="W135" s="99" t="s">
        <v>1533</v>
      </c>
      <c r="X135" s="99" t="s">
        <v>1533</v>
      </c>
      <c r="Y135" s="99" t="s">
        <v>1533</v>
      </c>
      <c r="Z135" s="99" t="s">
        <v>1533</v>
      </c>
      <c r="AA135" s="99" t="s">
        <v>1533</v>
      </c>
      <c r="AB135" s="99"/>
      <c r="AC135" s="99"/>
      <c r="AD135" s="99"/>
      <c r="AE135" s="99" t="s">
        <v>1497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12</v>
      </c>
      <c r="J138" s="31">
        <f t="shared" si="9"/>
        <v>16</v>
      </c>
      <c r="K138" s="32">
        <f t="shared" si="10"/>
        <v>0.42857142857142855</v>
      </c>
      <c r="L138" s="72" t="s">
        <v>1533</v>
      </c>
      <c r="M138" s="72" t="s">
        <v>1533</v>
      </c>
      <c r="N138" s="72" t="s">
        <v>1533</v>
      </c>
      <c r="O138" s="72" t="s">
        <v>1533</v>
      </c>
      <c r="P138" s="72" t="s">
        <v>1533</v>
      </c>
      <c r="Q138" s="72" t="s">
        <v>1533</v>
      </c>
      <c r="R138" s="72" t="s">
        <v>1533</v>
      </c>
      <c r="S138" s="72" t="s">
        <v>1533</v>
      </c>
      <c r="T138" s="72" t="s">
        <v>1533</v>
      </c>
      <c r="U138" s="72" t="s">
        <v>1533</v>
      </c>
      <c r="V138" s="72" t="s">
        <v>1533</v>
      </c>
      <c r="W138" s="72" t="s">
        <v>1533</v>
      </c>
      <c r="X138" s="72" t="s">
        <v>1533</v>
      </c>
      <c r="Y138" s="72" t="s">
        <v>1533</v>
      </c>
      <c r="Z138" s="72" t="s">
        <v>1533</v>
      </c>
      <c r="AA138" s="72" t="s">
        <v>1533</v>
      </c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12</v>
      </c>
      <c r="J139" s="31">
        <f t="shared" si="9"/>
        <v>16</v>
      </c>
      <c r="K139" s="32">
        <f t="shared" si="10"/>
        <v>0.42857142857142855</v>
      </c>
      <c r="L139" s="72" t="s">
        <v>1533</v>
      </c>
      <c r="M139" s="72" t="s">
        <v>1533</v>
      </c>
      <c r="N139" s="72" t="s">
        <v>1533</v>
      </c>
      <c r="O139" s="72" t="s">
        <v>1533</v>
      </c>
      <c r="P139" s="72" t="s">
        <v>1533</v>
      </c>
      <c r="Q139" s="72" t="s">
        <v>1533</v>
      </c>
      <c r="R139" s="72" t="s">
        <v>1533</v>
      </c>
      <c r="S139" s="72" t="s">
        <v>1533</v>
      </c>
      <c r="T139" s="72" t="s">
        <v>1533</v>
      </c>
      <c r="U139" s="72" t="s">
        <v>1533</v>
      </c>
      <c r="V139" s="72" t="s">
        <v>1533</v>
      </c>
      <c r="W139" s="72" t="s">
        <v>1533</v>
      </c>
      <c r="X139" s="72" t="s">
        <v>1533</v>
      </c>
      <c r="Y139" s="72" t="s">
        <v>1533</v>
      </c>
      <c r="Z139" s="72" t="s">
        <v>1533</v>
      </c>
      <c r="AA139" s="72" t="s">
        <v>1533</v>
      </c>
      <c r="AB139" s="72"/>
      <c r="AC139" s="72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28</v>
      </c>
      <c r="J141" s="31">
        <f t="shared" si="9"/>
        <v>0</v>
      </c>
      <c r="K141" s="32">
        <f t="shared" si="10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1533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1512</v>
      </c>
      <c r="I143" s="31">
        <f t="shared" ref="I143:I208" si="11">COUNTIF(L143:AM143,"")</f>
        <v>27</v>
      </c>
      <c r="J143" s="31">
        <f t="shared" ref="J143:J208" si="12">COUNTIF(L143:AM143,"APAGADO")</f>
        <v>1</v>
      </c>
      <c r="K143" s="32">
        <f t="shared" ref="K143:K208" si="13">(I143)/(J143+I143)</f>
        <v>0.9642857142857143</v>
      </c>
      <c r="L143" s="72" t="s">
        <v>1533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1533</v>
      </c>
      <c r="Q144" s="72" t="s">
        <v>1533</v>
      </c>
      <c r="R144" s="72" t="s">
        <v>1533</v>
      </c>
      <c r="S144" s="72" t="s">
        <v>1533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1533</v>
      </c>
      <c r="Q145" s="72" t="s">
        <v>1533</v>
      </c>
      <c r="R145" s="72" t="s">
        <v>1533</v>
      </c>
      <c r="S145" s="72" t="s">
        <v>1533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1533</v>
      </c>
      <c r="Q146" s="72" t="s">
        <v>1533</v>
      </c>
      <c r="R146" s="72" t="s">
        <v>1533</v>
      </c>
      <c r="S146" s="72" t="s">
        <v>1533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1533</v>
      </c>
      <c r="Q147" s="72" t="s">
        <v>1533</v>
      </c>
      <c r="R147" s="72" t="s">
        <v>1533</v>
      </c>
      <c r="S147" s="72" t="s">
        <v>1533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1529</v>
      </c>
      <c r="D164" t="s">
        <v>1530</v>
      </c>
      <c r="E164" s="30"/>
      <c r="F164" s="30" t="s">
        <v>28</v>
      </c>
      <c r="G164" s="30"/>
      <c r="H164" s="30" t="s">
        <v>1531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955</v>
      </c>
      <c r="C165" t="s">
        <v>1070</v>
      </c>
      <c r="D165" t="s">
        <v>215</v>
      </c>
      <c r="E165" s="30" t="s">
        <v>15</v>
      </c>
      <c r="F165" s="30" t="s">
        <v>28</v>
      </c>
      <c r="G165" s="30"/>
      <c r="H165" s="30" t="s">
        <v>703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1533</v>
      </c>
      <c r="Q165" s="72" t="s">
        <v>1533</v>
      </c>
      <c r="R165" s="72" t="s">
        <v>1533</v>
      </c>
      <c r="S165" s="72" t="s">
        <v>1533</v>
      </c>
      <c r="T165" s="72" t="s">
        <v>1533</v>
      </c>
      <c r="U165" s="72" t="s">
        <v>1533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956</v>
      </c>
      <c r="C166" t="s">
        <v>1070</v>
      </c>
      <c r="D166" t="s">
        <v>216</v>
      </c>
      <c r="E166" s="30" t="s">
        <v>15</v>
      </c>
      <c r="F166" s="30" t="s">
        <v>28</v>
      </c>
      <c r="G166" s="30"/>
      <c r="H166" s="30" t="s">
        <v>704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1533</v>
      </c>
      <c r="Q166" s="72" t="s">
        <v>1533</v>
      </c>
      <c r="R166" s="72" t="s">
        <v>1533</v>
      </c>
      <c r="S166" s="72" t="s">
        <v>1533</v>
      </c>
      <c r="T166" s="72" t="s">
        <v>1533</v>
      </c>
      <c r="U166" s="72" t="s">
        <v>1533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s="143" customFormat="1" ht="15.75" thickBot="1" x14ac:dyDescent="0.3">
      <c r="A167" s="143" t="s">
        <v>217</v>
      </c>
      <c r="B167" s="143" t="s">
        <v>957</v>
      </c>
      <c r="C167" s="143" t="s">
        <v>1070</v>
      </c>
      <c r="D167" s="143" t="s">
        <v>218</v>
      </c>
      <c r="E167" s="91"/>
      <c r="F167" s="91" t="s">
        <v>28</v>
      </c>
      <c r="G167" s="91"/>
      <c r="H167" s="91" t="s">
        <v>705</v>
      </c>
      <c r="I167" s="144">
        <f t="shared" si="11"/>
        <v>12</v>
      </c>
      <c r="J167" s="144">
        <f t="shared" si="12"/>
        <v>16</v>
      </c>
      <c r="K167" s="145">
        <f t="shared" si="13"/>
        <v>0.42857142857142855</v>
      </c>
      <c r="L167" s="146" t="s">
        <v>1533</v>
      </c>
      <c r="M167" s="146" t="s">
        <v>1533</v>
      </c>
      <c r="N167" s="146" t="s">
        <v>1533</v>
      </c>
      <c r="O167" s="146" t="s">
        <v>1533</v>
      </c>
      <c r="P167" s="146" t="s">
        <v>1533</v>
      </c>
      <c r="Q167" s="146" t="s">
        <v>1533</v>
      </c>
      <c r="R167" s="146" t="s">
        <v>1533</v>
      </c>
      <c r="S167" s="146" t="s">
        <v>1533</v>
      </c>
      <c r="T167" s="146" t="s">
        <v>1533</v>
      </c>
      <c r="U167" s="146" t="s">
        <v>1533</v>
      </c>
      <c r="V167" s="146" t="s">
        <v>1533</v>
      </c>
      <c r="W167" s="146" t="s">
        <v>1533</v>
      </c>
      <c r="X167" s="146" t="s">
        <v>1533</v>
      </c>
      <c r="Y167" s="146" t="s">
        <v>1533</v>
      </c>
      <c r="Z167" s="146" t="s">
        <v>1533</v>
      </c>
      <c r="AA167" s="146" t="s">
        <v>1533</v>
      </c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</row>
    <row r="168" spans="1:42" ht="15.75" thickBot="1" x14ac:dyDescent="0.3">
      <c r="A168" t="s">
        <v>229</v>
      </c>
      <c r="B168" t="s">
        <v>230</v>
      </c>
      <c r="C168" t="s">
        <v>1069</v>
      </c>
      <c r="D168" t="s">
        <v>231</v>
      </c>
      <c r="E168" s="30" t="s">
        <v>15</v>
      </c>
      <c r="F168" s="30" t="s">
        <v>20</v>
      </c>
      <c r="G168" s="30"/>
      <c r="H168" s="30" t="s">
        <v>1401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168</v>
      </c>
      <c r="B169" t="s">
        <v>232</v>
      </c>
      <c r="C169" t="s">
        <v>1069</v>
      </c>
      <c r="D169" t="s">
        <v>233</v>
      </c>
      <c r="E169" s="30" t="s">
        <v>19</v>
      </c>
      <c r="F169" s="30" t="s">
        <v>1309</v>
      </c>
      <c r="G169" s="30"/>
      <c r="H169" s="30" t="s">
        <v>1436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234</v>
      </c>
      <c r="C170" t="s">
        <v>1069</v>
      </c>
      <c r="D170" t="s">
        <v>235</v>
      </c>
      <c r="E170" s="30" t="s">
        <v>19</v>
      </c>
      <c r="F170" s="30" t="s">
        <v>20</v>
      </c>
      <c r="G170" s="30"/>
      <c r="H170" s="30" t="s">
        <v>1418</v>
      </c>
      <c r="I170" s="31">
        <f t="shared" si="11"/>
        <v>27</v>
      </c>
      <c r="J170" s="31">
        <f t="shared" si="12"/>
        <v>1</v>
      </c>
      <c r="K170" s="32">
        <f t="shared" si="13"/>
        <v>0.9642857142857143</v>
      </c>
      <c r="L170" s="72"/>
      <c r="M170" s="72"/>
      <c r="N170" s="72"/>
      <c r="O170" s="72"/>
      <c r="P170" s="72"/>
      <c r="Q170" s="72"/>
      <c r="R170" s="72"/>
      <c r="S170" s="72"/>
      <c r="T170" s="72" t="s">
        <v>1533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236</v>
      </c>
      <c r="C171" t="s">
        <v>1069</v>
      </c>
      <c r="D171" t="s">
        <v>237</v>
      </c>
      <c r="E171" s="30" t="s">
        <v>19</v>
      </c>
      <c r="F171" s="30" t="s">
        <v>20</v>
      </c>
      <c r="G171" s="30"/>
      <c r="H171" s="30" t="s">
        <v>1444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238</v>
      </c>
      <c r="C172" t="s">
        <v>1069</v>
      </c>
      <c r="D172" t="s">
        <v>239</v>
      </c>
      <c r="E172" s="30" t="s">
        <v>19</v>
      </c>
      <c r="F172" s="30" t="s">
        <v>20</v>
      </c>
      <c r="G172" s="30"/>
      <c r="H172" s="30" t="s">
        <v>1445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1533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s="97" customFormat="1" ht="15.75" thickBot="1" x14ac:dyDescent="0.3">
      <c r="A173" s="97" t="s">
        <v>219</v>
      </c>
      <c r="B173" s="97" t="s">
        <v>240</v>
      </c>
      <c r="C173" s="97" t="s">
        <v>1069</v>
      </c>
      <c r="D173" s="97" t="s">
        <v>241</v>
      </c>
      <c r="E173" s="98" t="s">
        <v>15</v>
      </c>
      <c r="F173" s="98" t="s">
        <v>20</v>
      </c>
      <c r="G173" s="98"/>
      <c r="H173" s="98" t="s">
        <v>706</v>
      </c>
      <c r="I173" s="31">
        <f t="shared" si="11"/>
        <v>12</v>
      </c>
      <c r="J173" s="31">
        <f t="shared" si="12"/>
        <v>16</v>
      </c>
      <c r="K173" s="32">
        <f t="shared" si="13"/>
        <v>0.42857142857142855</v>
      </c>
      <c r="L173" s="72" t="s">
        <v>1533</v>
      </c>
      <c r="M173" s="72" t="s">
        <v>1533</v>
      </c>
      <c r="N173" s="72" t="s">
        <v>1533</v>
      </c>
      <c r="O173" s="72" t="s">
        <v>1533</v>
      </c>
      <c r="P173" s="72" t="s">
        <v>1533</v>
      </c>
      <c r="Q173" s="72" t="s">
        <v>1533</v>
      </c>
      <c r="R173" s="72" t="s">
        <v>1533</v>
      </c>
      <c r="S173" s="72" t="s">
        <v>1533</v>
      </c>
      <c r="T173" s="72" t="s">
        <v>1533</v>
      </c>
      <c r="U173" s="72" t="s">
        <v>1533</v>
      </c>
      <c r="V173" s="72" t="s">
        <v>1533</v>
      </c>
      <c r="W173" s="72" t="s">
        <v>1533</v>
      </c>
      <c r="X173" s="72" t="s">
        <v>1533</v>
      </c>
      <c r="Y173" s="72" t="s">
        <v>1533</v>
      </c>
      <c r="Z173" s="72" t="s">
        <v>1533</v>
      </c>
      <c r="AA173" s="72" t="s">
        <v>1533</v>
      </c>
      <c r="AB173" s="72"/>
      <c r="AC173" s="72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</row>
    <row r="174" spans="1:42" ht="15.75" thickBot="1" x14ac:dyDescent="0.3">
      <c r="A174" t="s">
        <v>219</v>
      </c>
      <c r="B174" t="s">
        <v>220</v>
      </c>
      <c r="C174" t="s">
        <v>1069</v>
      </c>
      <c r="D174" t="s">
        <v>221</v>
      </c>
      <c r="E174" s="30" t="s">
        <v>15</v>
      </c>
      <c r="F174" s="30" t="s">
        <v>20</v>
      </c>
      <c r="G174" s="30"/>
      <c r="H174" s="30" t="s">
        <v>707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962</v>
      </c>
      <c r="C175" t="s">
        <v>1069</v>
      </c>
      <c r="D175" t="s">
        <v>222</v>
      </c>
      <c r="E175" s="30" t="s">
        <v>15</v>
      </c>
      <c r="F175" s="30" t="s">
        <v>20</v>
      </c>
      <c r="G175" s="30"/>
      <c r="H175" s="30" t="s">
        <v>1416</v>
      </c>
      <c r="I175" s="31">
        <f t="shared" si="11"/>
        <v>27</v>
      </c>
      <c r="J175" s="31">
        <f t="shared" si="12"/>
        <v>1</v>
      </c>
      <c r="K175" s="32">
        <f t="shared" si="13"/>
        <v>0.9642857142857143</v>
      </c>
      <c r="L175" s="72"/>
      <c r="M175" s="72"/>
      <c r="N175" s="72"/>
      <c r="O175" s="72"/>
      <c r="P175" s="72"/>
      <c r="Q175" s="72"/>
      <c r="R175" s="72"/>
      <c r="S175" s="72"/>
      <c r="T175" s="72" t="s">
        <v>1533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963</v>
      </c>
      <c r="C176" t="s">
        <v>1069</v>
      </c>
      <c r="D176" t="s">
        <v>223</v>
      </c>
      <c r="E176" s="30" t="s">
        <v>15</v>
      </c>
      <c r="F176" s="30" t="s">
        <v>20</v>
      </c>
      <c r="G176" s="30"/>
      <c r="H176" s="30" t="s">
        <v>1219</v>
      </c>
      <c r="I176" s="31">
        <f t="shared" si="11"/>
        <v>26</v>
      </c>
      <c r="J176" s="31">
        <f t="shared" si="12"/>
        <v>1</v>
      </c>
      <c r="K176" s="32">
        <f t="shared" si="13"/>
        <v>0.96296296296296291</v>
      </c>
      <c r="L176" s="72"/>
      <c r="M176" s="72"/>
      <c r="N176" s="72"/>
      <c r="O176" s="72"/>
      <c r="P176" s="72"/>
      <c r="Q176" s="72"/>
      <c r="R176" s="72"/>
      <c r="S176" s="72"/>
      <c r="T176" s="72" t="s">
        <v>1533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 t="s">
        <v>1370</v>
      </c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224</v>
      </c>
      <c r="C177" t="s">
        <v>1069</v>
      </c>
      <c r="D177" t="s">
        <v>225</v>
      </c>
      <c r="E177" s="30" t="s">
        <v>15</v>
      </c>
      <c r="F177" s="30" t="s">
        <v>20</v>
      </c>
      <c r="G177" s="30"/>
      <c r="H177" s="30" t="s">
        <v>1415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242</v>
      </c>
      <c r="C178" t="s">
        <v>1069</v>
      </c>
      <c r="D178" t="s">
        <v>243</v>
      </c>
      <c r="E178" s="30" t="s">
        <v>15</v>
      </c>
      <c r="F178" s="30" t="s">
        <v>28</v>
      </c>
      <c r="G178" s="30"/>
      <c r="H178" s="30" t="s">
        <v>708</v>
      </c>
      <c r="I178" s="31">
        <f t="shared" si="11"/>
        <v>27</v>
      </c>
      <c r="J178" s="31">
        <f t="shared" si="12"/>
        <v>1</v>
      </c>
      <c r="K178" s="32">
        <f t="shared" si="13"/>
        <v>0.9642857142857143</v>
      </c>
      <c r="L178" s="72"/>
      <c r="M178" s="72"/>
      <c r="N178" s="72"/>
      <c r="O178" s="72"/>
      <c r="P178" s="72"/>
      <c r="Q178" s="72"/>
      <c r="R178" s="72"/>
      <c r="S178" s="72"/>
      <c r="T178" s="72" t="s">
        <v>1533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226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709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228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710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958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711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959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712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960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713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961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714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s="75" t="s">
        <v>219</v>
      </c>
      <c r="B185" t="s">
        <v>1238</v>
      </c>
      <c r="C185" t="s">
        <v>1069</v>
      </c>
      <c r="D185" t="s">
        <v>1237</v>
      </c>
      <c r="E185" t="s">
        <v>19</v>
      </c>
      <c r="F185" t="s">
        <v>28</v>
      </c>
      <c r="G185"/>
      <c r="H185" s="30" t="s">
        <v>1247</v>
      </c>
      <c r="I185" s="31">
        <f t="shared" si="11"/>
        <v>28</v>
      </c>
      <c r="J185" s="31">
        <f t="shared" si="12"/>
        <v>0</v>
      </c>
      <c r="K185" s="32">
        <f t="shared" si="13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246</v>
      </c>
      <c r="C186" t="s">
        <v>1069</v>
      </c>
      <c r="D186" t="s">
        <v>247</v>
      </c>
      <c r="E186" s="30" t="s">
        <v>15</v>
      </c>
      <c r="F186" s="30" t="s">
        <v>1063</v>
      </c>
      <c r="G186" s="30" t="s">
        <v>45</v>
      </c>
      <c r="H186" s="30" t="s">
        <v>715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1533</v>
      </c>
      <c r="P186" s="72" t="s">
        <v>1533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248</v>
      </c>
      <c r="C187" t="s">
        <v>1069</v>
      </c>
      <c r="D187" t="s">
        <v>249</v>
      </c>
      <c r="E187" s="30" t="s">
        <v>15</v>
      </c>
      <c r="F187" s="30" t="s">
        <v>1063</v>
      </c>
      <c r="G187" s="30" t="s">
        <v>45</v>
      </c>
      <c r="H187" s="30" t="s">
        <v>716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250</v>
      </c>
      <c r="C188" t="s">
        <v>1069</v>
      </c>
      <c r="D188" t="s">
        <v>251</v>
      </c>
      <c r="E188" s="30" t="s">
        <v>15</v>
      </c>
      <c r="F188" s="30" t="s">
        <v>1063</v>
      </c>
      <c r="G188" s="30" t="s">
        <v>45</v>
      </c>
      <c r="H188" s="30" t="s">
        <v>717</v>
      </c>
      <c r="I188" s="31">
        <f t="shared" si="11"/>
        <v>24</v>
      </c>
      <c r="J188" s="31">
        <f t="shared" si="12"/>
        <v>4</v>
      </c>
      <c r="K188" s="32">
        <f t="shared" si="13"/>
        <v>0.8571428571428571</v>
      </c>
      <c r="L188" s="72" t="s">
        <v>1533</v>
      </c>
      <c r="M188" s="72" t="s">
        <v>1533</v>
      </c>
      <c r="N188" s="72" t="s">
        <v>1533</v>
      </c>
      <c r="O188" s="72" t="s">
        <v>1533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1534</v>
      </c>
      <c r="C189" t="s">
        <v>1069</v>
      </c>
      <c r="D189" t="s">
        <v>1535</v>
      </c>
      <c r="E189" s="30" t="s">
        <v>15</v>
      </c>
      <c r="F189" s="30" t="s">
        <v>28</v>
      </c>
      <c r="G189" s="30"/>
      <c r="H189" s="30" t="s">
        <v>1536</v>
      </c>
      <c r="I189" s="31"/>
      <c r="J189" s="31"/>
      <c r="K189" s="3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1191</v>
      </c>
      <c r="C190" t="s">
        <v>1070</v>
      </c>
      <c r="D190" t="s">
        <v>1192</v>
      </c>
      <c r="E190" s="30" t="s">
        <v>73</v>
      </c>
      <c r="F190" s="30" t="s">
        <v>16</v>
      </c>
      <c r="G190" s="30"/>
      <c r="H190" s="30" t="s">
        <v>1278</v>
      </c>
      <c r="I190" s="31">
        <f t="shared" si="11"/>
        <v>18</v>
      </c>
      <c r="J190" s="31">
        <f t="shared" si="12"/>
        <v>10</v>
      </c>
      <c r="K190" s="32">
        <f t="shared" si="13"/>
        <v>0.6428571428571429</v>
      </c>
      <c r="L190" s="72"/>
      <c r="M190" s="72"/>
      <c r="N190" s="72"/>
      <c r="O190" s="72" t="s">
        <v>1533</v>
      </c>
      <c r="P190" s="72"/>
      <c r="Q190" s="72" t="s">
        <v>1533</v>
      </c>
      <c r="R190" s="72" t="s">
        <v>1533</v>
      </c>
      <c r="S190" s="72" t="s">
        <v>1533</v>
      </c>
      <c r="T190" s="72" t="s">
        <v>1533</v>
      </c>
      <c r="U190" s="72" t="s">
        <v>1533</v>
      </c>
      <c r="V190" s="72" t="s">
        <v>1533</v>
      </c>
      <c r="W190" s="72" t="s">
        <v>1533</v>
      </c>
      <c r="X190" s="72" t="s">
        <v>1533</v>
      </c>
      <c r="Y190" s="72" t="s">
        <v>1533</v>
      </c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1193</v>
      </c>
      <c r="C191" t="s">
        <v>1070</v>
      </c>
      <c r="D191" t="s">
        <v>1194</v>
      </c>
      <c r="E191" s="30" t="s">
        <v>73</v>
      </c>
      <c r="F191" s="30" t="s">
        <v>20</v>
      </c>
      <c r="G191" s="30"/>
      <c r="H191" s="30" t="s">
        <v>1279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1533</v>
      </c>
      <c r="P191" s="72"/>
      <c r="Q191" s="72" t="s">
        <v>1533</v>
      </c>
      <c r="R191" s="72" t="s">
        <v>1533</v>
      </c>
      <c r="S191" s="72" t="s">
        <v>1533</v>
      </c>
      <c r="T191" s="72" t="s">
        <v>1533</v>
      </c>
      <c r="U191" s="72" t="s">
        <v>1533</v>
      </c>
      <c r="V191" s="72" t="s">
        <v>1533</v>
      </c>
      <c r="W191" s="72" t="s">
        <v>1533</v>
      </c>
      <c r="X191" s="72" t="s">
        <v>1533</v>
      </c>
      <c r="Y191" s="72" t="s">
        <v>1533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1454</v>
      </c>
      <c r="B192" t="s">
        <v>964</v>
      </c>
      <c r="C192" t="s">
        <v>1069</v>
      </c>
      <c r="D192" t="s">
        <v>1093</v>
      </c>
      <c r="E192" s="30" t="s">
        <v>19</v>
      </c>
      <c r="F192" s="30" t="s">
        <v>20</v>
      </c>
      <c r="G192" s="30"/>
      <c r="H192" s="30" t="s">
        <v>1443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168</v>
      </c>
      <c r="B193" t="s">
        <v>252</v>
      </c>
      <c r="C193" t="s">
        <v>1069</v>
      </c>
      <c r="D193" t="s">
        <v>253</v>
      </c>
      <c r="E193" s="30" t="s">
        <v>19</v>
      </c>
      <c r="F193" s="30" t="s">
        <v>1309</v>
      </c>
      <c r="G193" s="30"/>
      <c r="H193" s="30" t="s">
        <v>1425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255</v>
      </c>
      <c r="C194" t="s">
        <v>1069</v>
      </c>
      <c r="D194" t="s">
        <v>256</v>
      </c>
      <c r="E194" s="30" t="s">
        <v>73</v>
      </c>
      <c r="F194" s="30" t="s">
        <v>28</v>
      </c>
      <c r="G194" s="30"/>
      <c r="H194" s="30" t="s">
        <v>718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257</v>
      </c>
      <c r="C195" t="s">
        <v>1069</v>
      </c>
      <c r="D195" t="s">
        <v>256</v>
      </c>
      <c r="E195" s="30" t="s">
        <v>46</v>
      </c>
      <c r="F195" s="30" t="s">
        <v>28</v>
      </c>
      <c r="G195" s="30"/>
      <c r="H195" s="30" t="s">
        <v>702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1332</v>
      </c>
      <c r="C196" t="s">
        <v>1069</v>
      </c>
      <c r="D196" t="s">
        <v>1336</v>
      </c>
      <c r="E196" s="30" t="s">
        <v>15</v>
      </c>
      <c r="F196" s="30" t="s">
        <v>1309</v>
      </c>
      <c r="G196" s="30"/>
      <c r="H196" s="30" t="s">
        <v>1337</v>
      </c>
      <c r="I196" s="31">
        <f t="shared" si="11"/>
        <v>13</v>
      </c>
      <c r="J196" s="31">
        <f t="shared" si="12"/>
        <v>15</v>
      </c>
      <c r="K196" s="32">
        <f t="shared" si="13"/>
        <v>0.4642857142857143</v>
      </c>
      <c r="L196" s="72"/>
      <c r="M196" s="72" t="s">
        <v>1533</v>
      </c>
      <c r="N196" s="72" t="s">
        <v>1533</v>
      </c>
      <c r="O196" s="72" t="s">
        <v>1533</v>
      </c>
      <c r="P196" s="72" t="s">
        <v>1533</v>
      </c>
      <c r="Q196" s="72" t="s">
        <v>1533</v>
      </c>
      <c r="R196" s="72" t="s">
        <v>1533</v>
      </c>
      <c r="S196" s="72" t="s">
        <v>1533</v>
      </c>
      <c r="T196" s="72" t="s">
        <v>1533</v>
      </c>
      <c r="U196" s="72" t="s">
        <v>1533</v>
      </c>
      <c r="V196" s="72" t="s">
        <v>1533</v>
      </c>
      <c r="W196" s="72" t="s">
        <v>1533</v>
      </c>
      <c r="X196" s="72" t="s">
        <v>1533</v>
      </c>
      <c r="Y196" s="72" t="s">
        <v>1533</v>
      </c>
      <c r="Z196" s="72" t="s">
        <v>1533</v>
      </c>
      <c r="AA196" s="72" t="s">
        <v>1533</v>
      </c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1428</v>
      </c>
      <c r="C197" t="s">
        <v>1069</v>
      </c>
      <c r="D197" t="s">
        <v>1429</v>
      </c>
      <c r="E197" s="92"/>
      <c r="F197" s="89" t="s">
        <v>28</v>
      </c>
      <c r="G197" s="89"/>
      <c r="H197" s="89" t="s">
        <v>1430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Y197" s="72"/>
    </row>
    <row r="198" spans="1:42" ht="15.75" thickBot="1" x14ac:dyDescent="0.3">
      <c r="A198" t="s">
        <v>258</v>
      </c>
      <c r="B198" t="s">
        <v>965</v>
      </c>
      <c r="C198" t="s">
        <v>1070</v>
      </c>
      <c r="D198" t="s">
        <v>259</v>
      </c>
      <c r="E198" s="30" t="s">
        <v>15</v>
      </c>
      <c r="F198" s="30" t="s">
        <v>28</v>
      </c>
      <c r="G198" s="30"/>
      <c r="H198" s="30" t="s">
        <v>719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260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262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721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966</v>
      </c>
      <c r="C201" t="s">
        <v>1069</v>
      </c>
      <c r="D201" t="s">
        <v>272</v>
      </c>
      <c r="E201" s="30" t="s">
        <v>73</v>
      </c>
      <c r="F201" s="30" t="s">
        <v>28</v>
      </c>
      <c r="G201" s="30"/>
      <c r="H201" s="30" t="s">
        <v>726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967</v>
      </c>
      <c r="C202" t="s">
        <v>1069</v>
      </c>
      <c r="D202" t="s">
        <v>1094</v>
      </c>
      <c r="E202" s="30" t="s">
        <v>19</v>
      </c>
      <c r="F202" s="30" t="s">
        <v>28</v>
      </c>
      <c r="G202" s="30"/>
      <c r="H202" s="30" t="s">
        <v>728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968</v>
      </c>
      <c r="C203" t="s">
        <v>1069</v>
      </c>
      <c r="D203" t="s">
        <v>279</v>
      </c>
      <c r="E203" s="30" t="s">
        <v>19</v>
      </c>
      <c r="F203" s="30" t="s">
        <v>28</v>
      </c>
      <c r="G203" s="30"/>
      <c r="H203" s="30" t="s">
        <v>1494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969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730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970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731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971</v>
      </c>
      <c r="C206" t="s">
        <v>1069</v>
      </c>
      <c r="D206" t="s">
        <v>263</v>
      </c>
      <c r="E206" s="30" t="s">
        <v>46</v>
      </c>
      <c r="F206" s="30" t="s">
        <v>28</v>
      </c>
      <c r="G206" s="30"/>
      <c r="H206" s="30" t="s">
        <v>722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265</v>
      </c>
      <c r="C207" t="s">
        <v>1069</v>
      </c>
      <c r="D207" t="s">
        <v>266</v>
      </c>
      <c r="E207" s="30" t="s">
        <v>19</v>
      </c>
      <c r="F207" s="30" t="s">
        <v>28</v>
      </c>
      <c r="G207" s="30"/>
      <c r="H207" s="30" t="s">
        <v>723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268</v>
      </c>
      <c r="C208" t="s">
        <v>1069</v>
      </c>
      <c r="D208" t="s">
        <v>269</v>
      </c>
      <c r="E208" s="30" t="s">
        <v>73</v>
      </c>
      <c r="F208" s="30" t="s">
        <v>28</v>
      </c>
      <c r="G208" s="30"/>
      <c r="H208" s="30" t="s">
        <v>724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270</v>
      </c>
      <c r="C209" t="s">
        <v>1069</v>
      </c>
      <c r="D209" t="s">
        <v>271</v>
      </c>
      <c r="E209" s="30" t="s">
        <v>46</v>
      </c>
      <c r="F209" s="30" t="s">
        <v>28</v>
      </c>
      <c r="G209" s="30"/>
      <c r="H209" s="30" t="s">
        <v>725</v>
      </c>
      <c r="I209" s="31">
        <f t="shared" ref="I209:I274" si="14">COUNTIF(L209:AM209,"")</f>
        <v>28</v>
      </c>
      <c r="J209" s="31">
        <f t="shared" ref="J209:J274" si="15">COUNTIF(L209:AM209,"APAGADO")</f>
        <v>0</v>
      </c>
      <c r="K209" s="32">
        <f t="shared" ref="K209:K274" si="16">(I209)/(J209+I209)</f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264</v>
      </c>
      <c r="B210" t="s">
        <v>273</v>
      </c>
      <c r="C210" t="s">
        <v>1069</v>
      </c>
      <c r="D210" t="s">
        <v>274</v>
      </c>
      <c r="E210" s="30" t="s">
        <v>19</v>
      </c>
      <c r="F210" s="30" t="s">
        <v>28</v>
      </c>
      <c r="G210" s="30"/>
      <c r="H210" s="30" t="s">
        <v>727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275</v>
      </c>
      <c r="C211" t="s">
        <v>1069</v>
      </c>
      <c r="D211" t="s">
        <v>276</v>
      </c>
      <c r="E211" s="30" t="s">
        <v>19</v>
      </c>
      <c r="F211" s="30" t="s">
        <v>28</v>
      </c>
      <c r="G211" s="30"/>
      <c r="H211" s="30" t="s">
        <v>716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277</v>
      </c>
      <c r="C212" t="s">
        <v>1069</v>
      </c>
      <c r="D212" t="s">
        <v>278</v>
      </c>
      <c r="E212" s="30" t="s">
        <v>19</v>
      </c>
      <c r="F212" s="30" t="s">
        <v>28</v>
      </c>
      <c r="G212" s="30"/>
      <c r="H212" s="30" t="s">
        <v>1452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280</v>
      </c>
      <c r="C213" t="s">
        <v>1069</v>
      </c>
      <c r="D213" t="s">
        <v>281</v>
      </c>
      <c r="E213" s="17"/>
      <c r="F213" s="30" t="s">
        <v>28</v>
      </c>
      <c r="G213" s="30"/>
      <c r="H213" s="30" t="s">
        <v>729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283</v>
      </c>
      <c r="C214" t="s">
        <v>1069</v>
      </c>
      <c r="D214" t="s">
        <v>284</v>
      </c>
      <c r="E214" s="30" t="s">
        <v>15</v>
      </c>
      <c r="F214" s="30" t="s">
        <v>28</v>
      </c>
      <c r="G214" s="30"/>
      <c r="H214" s="30" t="s">
        <v>732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s="30" t="s">
        <v>1218</v>
      </c>
      <c r="C215" s="30" t="s">
        <v>1069</v>
      </c>
      <c r="D215" t="s">
        <v>1213</v>
      </c>
      <c r="E215" s="30" t="s">
        <v>15</v>
      </c>
      <c r="F215" s="30" t="s">
        <v>28</v>
      </c>
      <c r="G215" s="30"/>
      <c r="H215" s="30" t="s">
        <v>1214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s="97" customFormat="1" ht="15.75" thickBot="1" x14ac:dyDescent="0.3">
      <c r="A216" s="97" t="s">
        <v>287</v>
      </c>
      <c r="B216" s="97" t="s">
        <v>972</v>
      </c>
      <c r="C216" s="97" t="s">
        <v>1070</v>
      </c>
      <c r="D216" s="97" t="s">
        <v>1095</v>
      </c>
      <c r="E216" s="98" t="s">
        <v>19</v>
      </c>
      <c r="F216" s="98" t="s">
        <v>20</v>
      </c>
      <c r="G216" s="98"/>
      <c r="H216" s="98" t="s">
        <v>733</v>
      </c>
      <c r="I216" s="31">
        <f t="shared" si="14"/>
        <v>12</v>
      </c>
      <c r="J216" s="31">
        <f t="shared" si="15"/>
        <v>16</v>
      </c>
      <c r="K216" s="32">
        <f t="shared" si="16"/>
        <v>0.42857142857142855</v>
      </c>
      <c r="L216" s="72" t="s">
        <v>1533</v>
      </c>
      <c r="M216" s="72" t="s">
        <v>1533</v>
      </c>
      <c r="N216" s="72" t="s">
        <v>1533</v>
      </c>
      <c r="O216" s="72" t="s">
        <v>1533</v>
      </c>
      <c r="P216" s="72" t="s">
        <v>1533</v>
      </c>
      <c r="Q216" s="72" t="s">
        <v>1533</v>
      </c>
      <c r="R216" s="72" t="s">
        <v>1533</v>
      </c>
      <c r="S216" s="72" t="s">
        <v>1533</v>
      </c>
      <c r="T216" s="72" t="s">
        <v>1533</v>
      </c>
      <c r="U216" s="72" t="s">
        <v>1533</v>
      </c>
      <c r="V216" s="72" t="s">
        <v>1533</v>
      </c>
      <c r="W216" s="72" t="s">
        <v>1533</v>
      </c>
      <c r="X216" s="72" t="s">
        <v>1533</v>
      </c>
      <c r="Y216" s="72" t="s">
        <v>1533</v>
      </c>
      <c r="Z216" s="72" t="s">
        <v>1533</v>
      </c>
      <c r="AA216" s="72" t="s">
        <v>1533</v>
      </c>
      <c r="AB216" s="72"/>
      <c r="AC216" s="72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</row>
    <row r="217" spans="1:42" ht="15.75" thickBot="1" x14ac:dyDescent="0.3">
      <c r="A217" t="s">
        <v>229</v>
      </c>
      <c r="B217" t="s">
        <v>285</v>
      </c>
      <c r="C217" t="s">
        <v>1070</v>
      </c>
      <c r="D217" t="s">
        <v>286</v>
      </c>
      <c r="E217" s="30" t="s">
        <v>15</v>
      </c>
      <c r="F217" s="30" t="s">
        <v>1063</v>
      </c>
      <c r="G217" s="30"/>
      <c r="H217" s="30" t="s">
        <v>1071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287</v>
      </c>
      <c r="B218" t="s">
        <v>288</v>
      </c>
      <c r="C218" t="s">
        <v>1070</v>
      </c>
      <c r="D218" t="s">
        <v>289</v>
      </c>
      <c r="E218" s="30" t="s">
        <v>15</v>
      </c>
      <c r="F218" s="30" t="s">
        <v>28</v>
      </c>
      <c r="G218" s="30"/>
      <c r="H218" s="30" t="s">
        <v>734</v>
      </c>
      <c r="I218" s="31">
        <f t="shared" si="14"/>
        <v>26</v>
      </c>
      <c r="J218" s="31">
        <f t="shared" si="15"/>
        <v>2</v>
      </c>
      <c r="K218" s="32">
        <f t="shared" si="16"/>
        <v>0.9285714285714286</v>
      </c>
      <c r="L218" s="72"/>
      <c r="M218" s="72"/>
      <c r="N218" s="72"/>
      <c r="O218" s="72"/>
      <c r="P218" s="72" t="s">
        <v>1533</v>
      </c>
      <c r="Q218" s="72" t="s">
        <v>1533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12</v>
      </c>
      <c r="B219" s="33" t="s">
        <v>13</v>
      </c>
      <c r="C219" t="s">
        <v>1070</v>
      </c>
      <c r="D219" t="s">
        <v>14</v>
      </c>
      <c r="E219" s="30" t="s">
        <v>15</v>
      </c>
      <c r="F219" s="30" t="s">
        <v>1063</v>
      </c>
      <c r="G219" s="30"/>
      <c r="H219" s="30" t="s">
        <v>735</v>
      </c>
      <c r="I219" s="31">
        <f t="shared" si="14"/>
        <v>12</v>
      </c>
      <c r="J219" s="31">
        <f t="shared" si="15"/>
        <v>16</v>
      </c>
      <c r="K219" s="32">
        <f t="shared" si="16"/>
        <v>0.42857142857142855</v>
      </c>
      <c r="L219" s="72" t="s">
        <v>1533</v>
      </c>
      <c r="M219" s="72" t="s">
        <v>1533</v>
      </c>
      <c r="N219" s="72" t="s">
        <v>1533</v>
      </c>
      <c r="O219" s="72" t="s">
        <v>1533</v>
      </c>
      <c r="P219" s="72" t="s">
        <v>1533</v>
      </c>
      <c r="Q219" s="72" t="s">
        <v>1533</v>
      </c>
      <c r="R219" s="72" t="s">
        <v>1533</v>
      </c>
      <c r="S219" s="72" t="s">
        <v>1533</v>
      </c>
      <c r="T219" s="72" t="s">
        <v>1533</v>
      </c>
      <c r="U219" s="72" t="s">
        <v>1533</v>
      </c>
      <c r="V219" s="72" t="s">
        <v>1533</v>
      </c>
      <c r="W219" s="72" t="s">
        <v>1533</v>
      </c>
      <c r="X219" s="72" t="s">
        <v>1533</v>
      </c>
      <c r="Y219" s="72" t="s">
        <v>1533</v>
      </c>
      <c r="Z219" s="72" t="s">
        <v>1533</v>
      </c>
      <c r="AA219" s="72" t="s">
        <v>1533</v>
      </c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375</v>
      </c>
      <c r="B220" t="s">
        <v>973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1224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1533</v>
      </c>
      <c r="P220" s="72" t="s">
        <v>1533</v>
      </c>
      <c r="Q220" s="72" t="s">
        <v>1533</v>
      </c>
      <c r="R220" s="72" t="s">
        <v>1533</v>
      </c>
      <c r="S220" s="72" t="s">
        <v>1533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975</v>
      </c>
      <c r="B221" t="s">
        <v>976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1225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1533</v>
      </c>
      <c r="P221" s="72" t="s">
        <v>1533</v>
      </c>
      <c r="Q221" s="72" t="s">
        <v>1533</v>
      </c>
      <c r="R221" s="72" t="s">
        <v>1533</v>
      </c>
      <c r="S221" s="72" t="s">
        <v>1533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18</v>
      </c>
      <c r="C222" t="s">
        <v>1070</v>
      </c>
      <c r="D222" t="s">
        <v>1096</v>
      </c>
      <c r="E222" s="30" t="s">
        <v>19</v>
      </c>
      <c r="F222" s="30" t="s">
        <v>1309</v>
      </c>
      <c r="G222" s="30"/>
      <c r="H222" s="30" t="s">
        <v>1387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21</v>
      </c>
      <c r="C223" t="s">
        <v>1070</v>
      </c>
      <c r="D223" t="s">
        <v>22</v>
      </c>
      <c r="E223" s="30" t="s">
        <v>19</v>
      </c>
      <c r="F223" s="30" t="s">
        <v>28</v>
      </c>
      <c r="G223" s="30"/>
      <c r="H223" s="30" t="s">
        <v>1388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23</v>
      </c>
      <c r="C224" t="s">
        <v>1070</v>
      </c>
      <c r="D224" t="s">
        <v>610</v>
      </c>
      <c r="E224" s="30" t="s">
        <v>15</v>
      </c>
      <c r="F224" s="30" t="s">
        <v>1063</v>
      </c>
      <c r="G224" s="30" t="s">
        <v>1262</v>
      </c>
      <c r="H224" s="30" t="s">
        <v>736</v>
      </c>
      <c r="I224" s="31">
        <f t="shared" si="14"/>
        <v>18</v>
      </c>
      <c r="J224" s="31">
        <f t="shared" si="15"/>
        <v>10</v>
      </c>
      <c r="K224" s="32">
        <f t="shared" si="16"/>
        <v>0.6428571428571429</v>
      </c>
      <c r="L224" s="72" t="s">
        <v>1533</v>
      </c>
      <c r="M224" s="72" t="s">
        <v>1533</v>
      </c>
      <c r="N224" s="72" t="s">
        <v>1533</v>
      </c>
      <c r="O224" s="72" t="s">
        <v>1533</v>
      </c>
      <c r="P224" s="72" t="s">
        <v>1533</v>
      </c>
      <c r="Q224" s="72" t="s">
        <v>1533</v>
      </c>
      <c r="R224" s="72" t="s">
        <v>1533</v>
      </c>
      <c r="S224" s="72" t="s">
        <v>1533</v>
      </c>
      <c r="T224" s="72" t="s">
        <v>1533</v>
      </c>
      <c r="U224" s="72"/>
      <c r="V224" s="72" t="s">
        <v>1533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24</v>
      </c>
      <c r="C225" t="s">
        <v>1070</v>
      </c>
      <c r="D225" t="s">
        <v>25</v>
      </c>
      <c r="E225" s="30" t="s">
        <v>15</v>
      </c>
      <c r="F225" s="30" t="s">
        <v>20</v>
      </c>
      <c r="G225" s="30"/>
      <c r="H225" s="30" t="s">
        <v>737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1239</v>
      </c>
      <c r="C226" t="s">
        <v>1069</v>
      </c>
      <c r="D226" t="s">
        <v>1240</v>
      </c>
      <c r="E226" t="s">
        <v>19</v>
      </c>
      <c r="F226" t="s">
        <v>28</v>
      </c>
      <c r="G226"/>
      <c r="H226" s="30" t="s">
        <v>1280</v>
      </c>
      <c r="I226" s="31">
        <f t="shared" si="14"/>
        <v>27</v>
      </c>
      <c r="J226" s="31">
        <f t="shared" si="15"/>
        <v>1</v>
      </c>
      <c r="K226" s="32">
        <f t="shared" si="16"/>
        <v>0.9642857142857143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 t="s">
        <v>1533</v>
      </c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1325</v>
      </c>
      <c r="C227" t="s">
        <v>1069</v>
      </c>
      <c r="D227" t="s">
        <v>1328</v>
      </c>
      <c r="E227" s="30" t="s">
        <v>15</v>
      </c>
      <c r="F227" s="30" t="s">
        <v>28</v>
      </c>
      <c r="G227"/>
      <c r="H227" s="30" t="s">
        <v>1340</v>
      </c>
      <c r="I227" s="31">
        <f t="shared" si="14"/>
        <v>12</v>
      </c>
      <c r="J227" s="31">
        <f t="shared" si="15"/>
        <v>16</v>
      </c>
      <c r="K227" s="32">
        <f t="shared" si="16"/>
        <v>0.42857142857142855</v>
      </c>
      <c r="L227" s="72" t="s">
        <v>1533</v>
      </c>
      <c r="M227" s="72" t="s">
        <v>1533</v>
      </c>
      <c r="N227" s="72" t="s">
        <v>1533</v>
      </c>
      <c r="O227" s="72" t="s">
        <v>1533</v>
      </c>
      <c r="P227" s="72" t="s">
        <v>1533</v>
      </c>
      <c r="Q227" s="72" t="s">
        <v>1533</v>
      </c>
      <c r="R227" s="72" t="s">
        <v>1533</v>
      </c>
      <c r="S227" s="72" t="s">
        <v>1533</v>
      </c>
      <c r="T227" s="72" t="s">
        <v>1533</v>
      </c>
      <c r="U227" s="72" t="s">
        <v>1533</v>
      </c>
      <c r="V227" s="72" t="s">
        <v>1533</v>
      </c>
      <c r="W227" s="72" t="s">
        <v>1533</v>
      </c>
      <c r="X227" s="72" t="s">
        <v>1533</v>
      </c>
      <c r="Y227" s="72" t="s">
        <v>1533</v>
      </c>
      <c r="Z227" s="72" t="s">
        <v>1533</v>
      </c>
      <c r="AA227" s="72" t="s">
        <v>1533</v>
      </c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977</v>
      </c>
      <c r="C228" t="s">
        <v>1069</v>
      </c>
      <c r="D228" t="s">
        <v>291</v>
      </c>
      <c r="E228" s="30" t="s">
        <v>73</v>
      </c>
      <c r="F228" s="30" t="s">
        <v>28</v>
      </c>
      <c r="G228" s="30"/>
      <c r="H228" s="30" t="s">
        <v>738</v>
      </c>
      <c r="I228" s="31">
        <f t="shared" si="14"/>
        <v>22</v>
      </c>
      <c r="J228" s="31">
        <f t="shared" si="15"/>
        <v>6</v>
      </c>
      <c r="K228" s="32">
        <f t="shared" si="16"/>
        <v>0.7857142857142857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1533</v>
      </c>
      <c r="V228" s="72" t="s">
        <v>1533</v>
      </c>
      <c r="W228" s="72" t="s">
        <v>1533</v>
      </c>
      <c r="X228" s="72" t="s">
        <v>1533</v>
      </c>
      <c r="Y228" s="72"/>
      <c r="Z228" s="72" t="s">
        <v>1533</v>
      </c>
      <c r="AA228" s="72" t="s">
        <v>1533</v>
      </c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267</v>
      </c>
      <c r="B229" t="s">
        <v>292</v>
      </c>
      <c r="C229" t="s">
        <v>1069</v>
      </c>
      <c r="D229" t="s">
        <v>293</v>
      </c>
      <c r="E229" s="30" t="s">
        <v>73</v>
      </c>
      <c r="F229" s="30" t="s">
        <v>28</v>
      </c>
      <c r="G229" s="30"/>
      <c r="H229" s="30" t="s">
        <v>1067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978</v>
      </c>
      <c r="C230" t="s">
        <v>1069</v>
      </c>
      <c r="D230" t="s">
        <v>295</v>
      </c>
      <c r="E230" s="30" t="s">
        <v>19</v>
      </c>
      <c r="F230" s="30" t="s">
        <v>28</v>
      </c>
      <c r="G230" s="30"/>
      <c r="H230" s="30" t="s">
        <v>739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296</v>
      </c>
      <c r="C231" t="s">
        <v>1069</v>
      </c>
      <c r="D231" t="s">
        <v>297</v>
      </c>
      <c r="E231" s="30" t="s">
        <v>19</v>
      </c>
      <c r="F231" s="30" t="s">
        <v>28</v>
      </c>
      <c r="G231" s="30"/>
      <c r="H231" s="30" t="s">
        <v>740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979</v>
      </c>
      <c r="C232" t="s">
        <v>1069</v>
      </c>
      <c r="D232" t="s">
        <v>298</v>
      </c>
      <c r="E232" s="30" t="s">
        <v>19</v>
      </c>
      <c r="F232" s="30" t="s">
        <v>28</v>
      </c>
      <c r="G232" s="30"/>
      <c r="H232" s="30" t="s">
        <v>741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299</v>
      </c>
      <c r="C233" t="s">
        <v>1069</v>
      </c>
      <c r="D233" t="s">
        <v>300</v>
      </c>
      <c r="E233" s="30" t="s">
        <v>15</v>
      </c>
      <c r="F233" s="30" t="s">
        <v>20</v>
      </c>
      <c r="G233" s="30"/>
      <c r="H233" s="30" t="s">
        <v>742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1253</v>
      </c>
      <c r="C234" t="s">
        <v>1069</v>
      </c>
      <c r="D234" t="s">
        <v>1254</v>
      </c>
      <c r="E234" s="30" t="s">
        <v>19</v>
      </c>
      <c r="F234" s="30" t="s">
        <v>1063</v>
      </c>
      <c r="G234" s="30"/>
      <c r="H234" s="30" t="s">
        <v>1255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1292</v>
      </c>
      <c r="C235" t="s">
        <v>1069</v>
      </c>
      <c r="D235" t="s">
        <v>1293</v>
      </c>
      <c r="E235" s="30" t="s">
        <v>19</v>
      </c>
      <c r="F235" s="30" t="s">
        <v>1063</v>
      </c>
      <c r="G235" s="30"/>
      <c r="H235" s="30" t="s">
        <v>1369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302</v>
      </c>
      <c r="C236" t="s">
        <v>1069</v>
      </c>
      <c r="D236" t="s">
        <v>303</v>
      </c>
      <c r="E236" s="30" t="s">
        <v>73</v>
      </c>
      <c r="F236" s="30" t="s">
        <v>28</v>
      </c>
      <c r="G236" s="30"/>
      <c r="H236" s="30" t="s">
        <v>743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304</v>
      </c>
      <c r="C237" t="s">
        <v>1069</v>
      </c>
      <c r="D237" t="s">
        <v>305</v>
      </c>
      <c r="E237" s="30" t="s">
        <v>19</v>
      </c>
      <c r="F237" s="30" t="s">
        <v>20</v>
      </c>
      <c r="G237" s="30"/>
      <c r="H237" s="30" t="s">
        <v>744</v>
      </c>
      <c r="I237" s="31">
        <f t="shared" si="14"/>
        <v>27</v>
      </c>
      <c r="J237" s="31">
        <f t="shared" si="15"/>
        <v>1</v>
      </c>
      <c r="K237" s="32">
        <f t="shared" si="16"/>
        <v>0.9642857142857143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 t="s">
        <v>1533</v>
      </c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306</v>
      </c>
      <c r="C238" t="s">
        <v>1069</v>
      </c>
      <c r="D238" t="s">
        <v>307</v>
      </c>
      <c r="E238" s="30" t="s">
        <v>19</v>
      </c>
      <c r="F238" s="30" t="s">
        <v>20</v>
      </c>
      <c r="G238" s="30"/>
      <c r="H238" s="30" t="s">
        <v>1513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308</v>
      </c>
      <c r="C239" t="s">
        <v>1069</v>
      </c>
      <c r="D239" t="s">
        <v>309</v>
      </c>
      <c r="E239" s="30" t="s">
        <v>19</v>
      </c>
      <c r="F239" s="30" t="s">
        <v>1309</v>
      </c>
      <c r="G239" s="30"/>
      <c r="H239" s="30" t="s">
        <v>1514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1508</v>
      </c>
      <c r="C240" t="s">
        <v>1069</v>
      </c>
      <c r="D240" t="s">
        <v>1507</v>
      </c>
      <c r="E240" s="30" t="s">
        <v>73</v>
      </c>
      <c r="F240" s="30" t="s">
        <v>28</v>
      </c>
      <c r="G240" s="30"/>
      <c r="H240" s="30" t="s">
        <v>1509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1510</v>
      </c>
      <c r="C241" t="s">
        <v>1069</v>
      </c>
      <c r="D241" t="s">
        <v>1507</v>
      </c>
      <c r="E241" s="30" t="s">
        <v>73</v>
      </c>
      <c r="F241" s="30" t="s">
        <v>28</v>
      </c>
      <c r="G241" s="30"/>
      <c r="H241" s="30" t="s">
        <v>1515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980</v>
      </c>
      <c r="C242" t="s">
        <v>1069</v>
      </c>
      <c r="D242" t="s">
        <v>313</v>
      </c>
      <c r="E242" s="30" t="s">
        <v>19</v>
      </c>
      <c r="F242" s="30" t="s">
        <v>28</v>
      </c>
      <c r="G242" s="30"/>
      <c r="H242" s="30" t="s">
        <v>745</v>
      </c>
      <c r="I242" s="31">
        <f t="shared" si="14"/>
        <v>25</v>
      </c>
      <c r="J242" s="31">
        <f t="shared" si="15"/>
        <v>3</v>
      </c>
      <c r="K242" s="32">
        <f t="shared" si="16"/>
        <v>0.8928571428571429</v>
      </c>
      <c r="L242" s="72"/>
      <c r="M242" s="72"/>
      <c r="N242" s="72"/>
      <c r="O242" s="72" t="s">
        <v>1533</v>
      </c>
      <c r="P242" s="72"/>
      <c r="Q242" s="72"/>
      <c r="R242" s="72" t="s">
        <v>1533</v>
      </c>
      <c r="S242" s="72"/>
      <c r="T242" s="72"/>
      <c r="U242" s="72" t="s">
        <v>1533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314</v>
      </c>
      <c r="C243" t="s">
        <v>1069</v>
      </c>
      <c r="D243" t="s">
        <v>315</v>
      </c>
      <c r="E243" s="30" t="s">
        <v>19</v>
      </c>
      <c r="F243" s="30" t="s">
        <v>28</v>
      </c>
      <c r="G243" s="30"/>
      <c r="H243" s="30" t="s">
        <v>1382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316</v>
      </c>
      <c r="C244" t="s">
        <v>1069</v>
      </c>
      <c r="D244" t="s">
        <v>317</v>
      </c>
      <c r="E244" s="30" t="s">
        <v>19</v>
      </c>
      <c r="F244" s="30" t="s">
        <v>1063</v>
      </c>
      <c r="G244" s="30" t="s">
        <v>1263</v>
      </c>
      <c r="H244" s="30" t="s">
        <v>746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/>
      <c r="P244" s="72"/>
      <c r="Q244" s="72"/>
      <c r="R244" s="72" t="s">
        <v>1533</v>
      </c>
      <c r="S244" s="72"/>
      <c r="T244" s="72"/>
      <c r="U244" s="72" t="s">
        <v>1533</v>
      </c>
      <c r="V244" s="72"/>
      <c r="W244" s="72"/>
      <c r="X244" s="72"/>
      <c r="Y244" s="72"/>
      <c r="Z244" s="72" t="s">
        <v>1533</v>
      </c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318</v>
      </c>
      <c r="C245" t="s">
        <v>1069</v>
      </c>
      <c r="D245" t="s">
        <v>319</v>
      </c>
      <c r="E245" s="30" t="s">
        <v>19</v>
      </c>
      <c r="F245" s="30" t="s">
        <v>28</v>
      </c>
      <c r="G245" s="30"/>
      <c r="H245" s="30" t="s">
        <v>1372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320</v>
      </c>
      <c r="B246" t="s">
        <v>321</v>
      </c>
      <c r="C246" t="s">
        <v>1069</v>
      </c>
      <c r="D246" t="s">
        <v>322</v>
      </c>
      <c r="E246" s="30" t="s">
        <v>19</v>
      </c>
      <c r="F246" s="30" t="s">
        <v>28</v>
      </c>
      <c r="G246" s="30"/>
      <c r="H246" s="79" t="s">
        <v>1373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52</v>
      </c>
      <c r="B247" t="s">
        <v>323</v>
      </c>
      <c r="C247" t="s">
        <v>1069</v>
      </c>
      <c r="D247" t="s">
        <v>324</v>
      </c>
      <c r="E247" s="30" t="s">
        <v>19</v>
      </c>
      <c r="F247" s="30" t="s">
        <v>28</v>
      </c>
      <c r="G247" s="30"/>
      <c r="H247" s="30" t="s">
        <v>747</v>
      </c>
      <c r="I247" s="31">
        <f t="shared" si="14"/>
        <v>24</v>
      </c>
      <c r="J247" s="31">
        <f t="shared" si="15"/>
        <v>4</v>
      </c>
      <c r="K247" s="32">
        <f t="shared" si="16"/>
        <v>0.8571428571428571</v>
      </c>
      <c r="L247" s="72"/>
      <c r="M247" s="72"/>
      <c r="N247" s="72"/>
      <c r="O247" s="72" t="s">
        <v>1533</v>
      </c>
      <c r="P247" s="72"/>
      <c r="Q247" s="72"/>
      <c r="R247" s="72" t="s">
        <v>1533</v>
      </c>
      <c r="S247" s="72"/>
      <c r="T247" s="72"/>
      <c r="U247" s="72" t="s">
        <v>1533</v>
      </c>
      <c r="V247" s="72"/>
      <c r="W247" s="72"/>
      <c r="X247" s="72"/>
      <c r="Y247" s="72"/>
      <c r="Z247" s="72" t="s">
        <v>1533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325</v>
      </c>
      <c r="C248" t="s">
        <v>1069</v>
      </c>
      <c r="D248" t="s">
        <v>326</v>
      </c>
      <c r="E248" s="30" t="s">
        <v>19</v>
      </c>
      <c r="F248" s="30" t="s">
        <v>28</v>
      </c>
      <c r="G248" s="30"/>
      <c r="H248" s="30" t="s">
        <v>748</v>
      </c>
      <c r="I248" s="31">
        <f t="shared" si="14"/>
        <v>14</v>
      </c>
      <c r="J248" s="31">
        <f t="shared" si="15"/>
        <v>14</v>
      </c>
      <c r="K248" s="32">
        <f t="shared" si="16"/>
        <v>0.5</v>
      </c>
      <c r="L248" s="72" t="s">
        <v>1533</v>
      </c>
      <c r="M248" s="72" t="s">
        <v>1533</v>
      </c>
      <c r="N248" s="72" t="s">
        <v>1533</v>
      </c>
      <c r="O248" s="72" t="s">
        <v>1533</v>
      </c>
      <c r="P248" s="72" t="s">
        <v>1533</v>
      </c>
      <c r="Q248" s="72" t="s">
        <v>1533</v>
      </c>
      <c r="R248" s="72" t="s">
        <v>1533</v>
      </c>
      <c r="S248" s="72" t="s">
        <v>1533</v>
      </c>
      <c r="T248" s="72" t="s">
        <v>1533</v>
      </c>
      <c r="U248" s="72" t="s">
        <v>1533</v>
      </c>
      <c r="V248" s="72" t="s">
        <v>1533</v>
      </c>
      <c r="W248" s="72" t="s">
        <v>1533</v>
      </c>
      <c r="X248" s="72" t="s">
        <v>1533</v>
      </c>
      <c r="Y248" s="72" t="s">
        <v>1533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311</v>
      </c>
      <c r="C249" t="s">
        <v>1069</v>
      </c>
      <c r="D249" t="s">
        <v>312</v>
      </c>
      <c r="E249" s="30" t="s">
        <v>15</v>
      </c>
      <c r="F249" s="30" t="s">
        <v>28</v>
      </c>
      <c r="G249" s="30"/>
      <c r="H249" s="30" t="s">
        <v>1381</v>
      </c>
      <c r="I249" s="31">
        <f t="shared" si="14"/>
        <v>26</v>
      </c>
      <c r="J249" s="31">
        <f t="shared" si="15"/>
        <v>2</v>
      </c>
      <c r="K249" s="32">
        <f t="shared" si="16"/>
        <v>0.9285714285714286</v>
      </c>
      <c r="L249" s="72"/>
      <c r="M249" s="72" t="s">
        <v>1533</v>
      </c>
      <c r="N249" s="72" t="s">
        <v>1533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327</v>
      </c>
      <c r="C250" t="s">
        <v>1069</v>
      </c>
      <c r="D250" t="s">
        <v>328</v>
      </c>
      <c r="E250" s="30" t="s">
        <v>15</v>
      </c>
      <c r="F250" s="30" t="s">
        <v>28</v>
      </c>
      <c r="G250" s="30"/>
      <c r="H250" s="30" t="s">
        <v>749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1351</v>
      </c>
      <c r="C251" t="s">
        <v>1069</v>
      </c>
      <c r="D251" t="s">
        <v>1352</v>
      </c>
      <c r="E251" s="30"/>
      <c r="F251" s="30"/>
      <c r="G251" s="30"/>
      <c r="H251" s="30" t="s">
        <v>1367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329</v>
      </c>
      <c r="C252" t="s">
        <v>1070</v>
      </c>
      <c r="D252" t="s">
        <v>330</v>
      </c>
      <c r="E252" s="30" t="s">
        <v>15</v>
      </c>
      <c r="F252" s="30" t="s">
        <v>28</v>
      </c>
      <c r="G252" s="30"/>
      <c r="H252" s="30" t="s">
        <v>750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332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751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334</v>
      </c>
      <c r="C254" t="s">
        <v>1070</v>
      </c>
      <c r="D254" t="s">
        <v>333</v>
      </c>
      <c r="E254" s="30" t="s">
        <v>73</v>
      </c>
      <c r="F254" s="30" t="s">
        <v>28</v>
      </c>
      <c r="G254" s="30"/>
      <c r="H254" s="30" t="s">
        <v>752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335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753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1533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337</v>
      </c>
      <c r="C256" t="s">
        <v>1070</v>
      </c>
      <c r="D256" t="s">
        <v>336</v>
      </c>
      <c r="E256" s="30" t="s">
        <v>73</v>
      </c>
      <c r="F256" s="30" t="s">
        <v>28</v>
      </c>
      <c r="G256" s="30"/>
      <c r="H256" s="30" t="s">
        <v>754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 t="s">
        <v>1533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339</v>
      </c>
      <c r="C257" t="s">
        <v>1069</v>
      </c>
      <c r="D257" t="s">
        <v>340</v>
      </c>
      <c r="E257" s="30" t="s">
        <v>15</v>
      </c>
      <c r="F257" s="30" t="s">
        <v>28</v>
      </c>
      <c r="G257" s="30"/>
      <c r="H257" s="30" t="s">
        <v>757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1533</v>
      </c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341</v>
      </c>
      <c r="C258" t="s">
        <v>1069</v>
      </c>
      <c r="D258" t="s">
        <v>340</v>
      </c>
      <c r="E258" s="30" t="s">
        <v>73</v>
      </c>
      <c r="F258" s="30" t="s">
        <v>28</v>
      </c>
      <c r="G258" s="30"/>
      <c r="H258" s="30" t="s">
        <v>758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 t="s">
        <v>1533</v>
      </c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982</v>
      </c>
      <c r="C259" t="s">
        <v>1069</v>
      </c>
      <c r="D259" t="s">
        <v>983</v>
      </c>
      <c r="E259" s="30" t="s">
        <v>73</v>
      </c>
      <c r="F259" s="30" t="s">
        <v>28</v>
      </c>
      <c r="G259" s="30"/>
      <c r="H259" s="30" t="s">
        <v>1281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1533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342</v>
      </c>
      <c r="C260" t="s">
        <v>1070</v>
      </c>
      <c r="D260" t="s">
        <v>343</v>
      </c>
      <c r="E260" s="30" t="s">
        <v>15</v>
      </c>
      <c r="F260" s="30" t="s">
        <v>28</v>
      </c>
      <c r="G260" s="30"/>
      <c r="H260" s="30" t="s">
        <v>759</v>
      </c>
      <c r="I260" s="31">
        <f t="shared" si="14"/>
        <v>15</v>
      </c>
      <c r="J260" s="31">
        <f t="shared" si="15"/>
        <v>13</v>
      </c>
      <c r="K260" s="32">
        <f t="shared" si="16"/>
        <v>0.5357142857142857</v>
      </c>
      <c r="L260" s="72"/>
      <c r="M260" s="72" t="s">
        <v>1533</v>
      </c>
      <c r="N260" s="72" t="s">
        <v>1533</v>
      </c>
      <c r="O260" s="72" t="s">
        <v>1533</v>
      </c>
      <c r="P260" s="72"/>
      <c r="Q260" s="72" t="s">
        <v>1533</v>
      </c>
      <c r="R260" s="72" t="s">
        <v>1533</v>
      </c>
      <c r="S260" s="72" t="s">
        <v>1533</v>
      </c>
      <c r="T260" s="72" t="s">
        <v>1533</v>
      </c>
      <c r="U260" s="72" t="s">
        <v>1533</v>
      </c>
      <c r="V260" s="72" t="s">
        <v>1533</v>
      </c>
      <c r="W260" s="72" t="s">
        <v>1533</v>
      </c>
      <c r="X260" s="72" t="s">
        <v>1533</v>
      </c>
      <c r="Y260" s="72"/>
      <c r="Z260" s="72" t="s">
        <v>1533</v>
      </c>
      <c r="AA260" s="72" t="s">
        <v>1533</v>
      </c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344</v>
      </c>
      <c r="C261" t="s">
        <v>1070</v>
      </c>
      <c r="D261" t="s">
        <v>343</v>
      </c>
      <c r="E261" s="30" t="s">
        <v>73</v>
      </c>
      <c r="F261" s="30" t="s">
        <v>28</v>
      </c>
      <c r="G261" s="30"/>
      <c r="H261" s="30" t="s">
        <v>760</v>
      </c>
      <c r="I261" s="31">
        <f t="shared" si="14"/>
        <v>15</v>
      </c>
      <c r="J261" s="31">
        <f t="shared" si="15"/>
        <v>13</v>
      </c>
      <c r="K261" s="32">
        <f t="shared" si="16"/>
        <v>0.5357142857142857</v>
      </c>
      <c r="L261" s="72"/>
      <c r="M261" s="72" t="s">
        <v>1533</v>
      </c>
      <c r="N261" s="72" t="s">
        <v>1533</v>
      </c>
      <c r="O261" s="72" t="s">
        <v>1533</v>
      </c>
      <c r="P261" s="72" t="s">
        <v>1533</v>
      </c>
      <c r="Q261" s="72" t="s">
        <v>1533</v>
      </c>
      <c r="R261" s="72" t="s">
        <v>1533</v>
      </c>
      <c r="S261" s="72" t="s">
        <v>1533</v>
      </c>
      <c r="T261" s="72"/>
      <c r="U261" s="72"/>
      <c r="V261" s="72" t="s">
        <v>1533</v>
      </c>
      <c r="W261" s="72" t="s">
        <v>1533</v>
      </c>
      <c r="X261" s="72" t="s">
        <v>1533</v>
      </c>
      <c r="Y261" s="72" t="s">
        <v>1533</v>
      </c>
      <c r="Z261" s="72" t="s">
        <v>1533</v>
      </c>
      <c r="AA261" s="72" t="s">
        <v>1533</v>
      </c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1303</v>
      </c>
      <c r="C262" t="s">
        <v>1070</v>
      </c>
      <c r="D262" t="s">
        <v>984</v>
      </c>
      <c r="E262" s="30" t="s">
        <v>73</v>
      </c>
      <c r="F262" s="30" t="s">
        <v>28</v>
      </c>
      <c r="G262" s="30"/>
      <c r="H262" s="30" t="s">
        <v>1282</v>
      </c>
      <c r="I262" s="31">
        <f t="shared" si="14"/>
        <v>22</v>
      </c>
      <c r="J262" s="31">
        <f t="shared" si="15"/>
        <v>6</v>
      </c>
      <c r="K262" s="32">
        <f t="shared" si="16"/>
        <v>0.7857142857142857</v>
      </c>
      <c r="L262" s="72"/>
      <c r="M262" s="72" t="s">
        <v>1533</v>
      </c>
      <c r="N262" s="72" t="s">
        <v>1533</v>
      </c>
      <c r="O262" s="72"/>
      <c r="P262" s="72" t="s">
        <v>1533</v>
      </c>
      <c r="Q262" s="72" t="s">
        <v>1533</v>
      </c>
      <c r="R262" s="72" t="s">
        <v>1533</v>
      </c>
      <c r="S262" s="72" t="s">
        <v>1533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345</v>
      </c>
      <c r="C263" t="s">
        <v>1070</v>
      </c>
      <c r="D263" t="s">
        <v>346</v>
      </c>
      <c r="E263" s="30" t="s">
        <v>15</v>
      </c>
      <c r="F263" s="30" t="s">
        <v>28</v>
      </c>
      <c r="G263" s="30"/>
      <c r="H263" s="30" t="s">
        <v>761</v>
      </c>
      <c r="I263" s="31">
        <f t="shared" si="14"/>
        <v>12</v>
      </c>
      <c r="J263" s="31">
        <f t="shared" si="15"/>
        <v>16</v>
      </c>
      <c r="K263" s="32">
        <f t="shared" si="16"/>
        <v>0.42857142857142855</v>
      </c>
      <c r="L263" s="72" t="s">
        <v>1533</v>
      </c>
      <c r="M263" s="72" t="s">
        <v>1533</v>
      </c>
      <c r="N263" s="72" t="s">
        <v>1533</v>
      </c>
      <c r="O263" s="72" t="s">
        <v>1533</v>
      </c>
      <c r="P263" s="72" t="s">
        <v>1533</v>
      </c>
      <c r="Q263" s="72" t="s">
        <v>1533</v>
      </c>
      <c r="R263" s="72" t="s">
        <v>1533</v>
      </c>
      <c r="S263" s="72" t="s">
        <v>1533</v>
      </c>
      <c r="T263" s="72" t="s">
        <v>1533</v>
      </c>
      <c r="U263" s="72" t="s">
        <v>1533</v>
      </c>
      <c r="V263" s="72" t="s">
        <v>1533</v>
      </c>
      <c r="W263" s="72" t="s">
        <v>1533</v>
      </c>
      <c r="X263" s="72" t="s">
        <v>1533</v>
      </c>
      <c r="Y263" s="72" t="s">
        <v>1533</v>
      </c>
      <c r="Z263" s="72" t="s">
        <v>1533</v>
      </c>
      <c r="AA263" s="72" t="s">
        <v>1533</v>
      </c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347</v>
      </c>
      <c r="C264" t="s">
        <v>1070</v>
      </c>
      <c r="D264" t="s">
        <v>346</v>
      </c>
      <c r="E264" s="30" t="s">
        <v>73</v>
      </c>
      <c r="F264" s="30" t="s">
        <v>28</v>
      </c>
      <c r="G264" s="30"/>
      <c r="H264" s="30" t="s">
        <v>762</v>
      </c>
      <c r="I264" s="31">
        <f t="shared" si="14"/>
        <v>25</v>
      </c>
      <c r="J264" s="31">
        <f t="shared" si="15"/>
        <v>3</v>
      </c>
      <c r="K264" s="32">
        <f t="shared" si="16"/>
        <v>0.8928571428571429</v>
      </c>
      <c r="L264" s="72"/>
      <c r="M264" s="72"/>
      <c r="N264" s="72"/>
      <c r="O264" s="72"/>
      <c r="P264" s="72"/>
      <c r="Q264" s="72" t="s">
        <v>1533</v>
      </c>
      <c r="R264" s="72" t="s">
        <v>1533</v>
      </c>
      <c r="S264" s="72" t="s">
        <v>1533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1302</v>
      </c>
      <c r="C265" t="s">
        <v>1070</v>
      </c>
      <c r="D265" t="s">
        <v>985</v>
      </c>
      <c r="E265" s="30" t="s">
        <v>19</v>
      </c>
      <c r="F265" s="30" t="s">
        <v>28</v>
      </c>
      <c r="G265" s="30"/>
      <c r="H265" s="30" t="s">
        <v>1283</v>
      </c>
      <c r="I265" s="31">
        <f t="shared" si="14"/>
        <v>24</v>
      </c>
      <c r="J265" s="31">
        <f t="shared" si="15"/>
        <v>4</v>
      </c>
      <c r="K265" s="32">
        <f t="shared" si="16"/>
        <v>0.8571428571428571</v>
      </c>
      <c r="L265" s="72"/>
      <c r="M265" s="72"/>
      <c r="N265" s="72"/>
      <c r="O265" s="72"/>
      <c r="P265" s="72" t="s">
        <v>1533</v>
      </c>
      <c r="Q265" s="72" t="s">
        <v>1533</v>
      </c>
      <c r="R265" s="72" t="s">
        <v>1533</v>
      </c>
      <c r="S265" s="72" t="s">
        <v>1533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348</v>
      </c>
      <c r="C266" t="s">
        <v>1070</v>
      </c>
      <c r="D266" t="s">
        <v>349</v>
      </c>
      <c r="E266" s="30" t="s">
        <v>73</v>
      </c>
      <c r="F266" s="30" t="s">
        <v>28</v>
      </c>
      <c r="G266" s="30"/>
      <c r="H266" s="30" t="s">
        <v>764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364</v>
      </c>
      <c r="C267" t="s">
        <v>1070</v>
      </c>
      <c r="D267" t="s">
        <v>349</v>
      </c>
      <c r="E267" s="30" t="s">
        <v>15</v>
      </c>
      <c r="F267" s="30" t="s">
        <v>28</v>
      </c>
      <c r="G267" s="30"/>
      <c r="H267" s="30" t="s">
        <v>765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986</v>
      </c>
      <c r="C268" t="s">
        <v>1070</v>
      </c>
      <c r="D268" t="s">
        <v>987</v>
      </c>
      <c r="E268" s="30" t="s">
        <v>73</v>
      </c>
      <c r="F268" s="30" t="s">
        <v>28</v>
      </c>
      <c r="G268" s="30"/>
      <c r="H268" s="30" t="s">
        <v>1284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351</v>
      </c>
      <c r="C269" t="s">
        <v>1070</v>
      </c>
      <c r="D269" t="s">
        <v>352</v>
      </c>
      <c r="E269" s="30" t="s">
        <v>15</v>
      </c>
      <c r="F269" s="30" t="s">
        <v>28</v>
      </c>
      <c r="G269" s="30"/>
      <c r="H269" s="30" t="s">
        <v>766</v>
      </c>
      <c r="I269" s="31">
        <f t="shared" si="14"/>
        <v>27</v>
      </c>
      <c r="J269" s="31">
        <f t="shared" si="15"/>
        <v>1</v>
      </c>
      <c r="K269" s="32">
        <f t="shared" si="16"/>
        <v>0.9642857142857143</v>
      </c>
      <c r="L269" s="72"/>
      <c r="M269" s="72"/>
      <c r="N269" s="72"/>
      <c r="O269" s="72"/>
      <c r="P269" s="72"/>
      <c r="Q269" s="72"/>
      <c r="R269" s="72" t="s">
        <v>1533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353</v>
      </c>
      <c r="C270" t="s">
        <v>1070</v>
      </c>
      <c r="D270" t="s">
        <v>352</v>
      </c>
      <c r="E270" s="30" t="s">
        <v>73</v>
      </c>
      <c r="F270" s="30" t="s">
        <v>28</v>
      </c>
      <c r="G270" s="30"/>
      <c r="H270" s="30" t="s">
        <v>767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988</v>
      </c>
      <c r="C271" t="s">
        <v>1070</v>
      </c>
      <c r="D271" t="s">
        <v>352</v>
      </c>
      <c r="E271" s="30" t="s">
        <v>19</v>
      </c>
      <c r="F271" s="30" t="s">
        <v>28</v>
      </c>
      <c r="G271" s="30"/>
      <c r="H271" s="30" t="s">
        <v>1285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354</v>
      </c>
      <c r="B272" t="s">
        <v>981</v>
      </c>
      <c r="C272" t="s">
        <v>1070</v>
      </c>
      <c r="D272" t="s">
        <v>355</v>
      </c>
      <c r="E272" s="30" t="s">
        <v>15</v>
      </c>
      <c r="F272" s="30" t="s">
        <v>28</v>
      </c>
      <c r="G272" s="30"/>
      <c r="H272" s="30" t="s">
        <v>773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196</v>
      </c>
      <c r="B273" t="s">
        <v>356</v>
      </c>
      <c r="C273" t="s">
        <v>1070</v>
      </c>
      <c r="D273" t="s">
        <v>357</v>
      </c>
      <c r="E273" s="30" t="s">
        <v>15</v>
      </c>
      <c r="F273" s="30" t="s">
        <v>28</v>
      </c>
      <c r="G273" s="30"/>
      <c r="H273" s="30" t="s">
        <v>768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s="143" customFormat="1" ht="15.75" thickBot="1" x14ac:dyDescent="0.3">
      <c r="A274" s="143" t="s">
        <v>196</v>
      </c>
      <c r="B274" s="143" t="s">
        <v>358</v>
      </c>
      <c r="C274" s="143" t="s">
        <v>1070</v>
      </c>
      <c r="D274" s="143" t="s">
        <v>357</v>
      </c>
      <c r="E274" s="91" t="s">
        <v>73</v>
      </c>
      <c r="F274" s="91" t="s">
        <v>28</v>
      </c>
      <c r="G274" s="91"/>
      <c r="H274" s="91" t="s">
        <v>769</v>
      </c>
      <c r="I274" s="144">
        <f t="shared" si="14"/>
        <v>12</v>
      </c>
      <c r="J274" s="144">
        <f t="shared" si="15"/>
        <v>16</v>
      </c>
      <c r="K274" s="145">
        <f t="shared" si="16"/>
        <v>0.42857142857142855</v>
      </c>
      <c r="L274" s="146" t="s">
        <v>1533</v>
      </c>
      <c r="M274" s="146" t="s">
        <v>1533</v>
      </c>
      <c r="N274" s="146" t="s">
        <v>1533</v>
      </c>
      <c r="O274" s="146" t="s">
        <v>1533</v>
      </c>
      <c r="P274" s="146" t="s">
        <v>1533</v>
      </c>
      <c r="Q274" s="146" t="s">
        <v>1533</v>
      </c>
      <c r="R274" s="146" t="s">
        <v>1533</v>
      </c>
      <c r="S274" s="146" t="s">
        <v>1533</v>
      </c>
      <c r="T274" s="146" t="s">
        <v>1533</v>
      </c>
      <c r="U274" s="146" t="s">
        <v>1533</v>
      </c>
      <c r="V274" s="146" t="s">
        <v>1533</v>
      </c>
      <c r="W274" s="146" t="s">
        <v>1533</v>
      </c>
      <c r="X274" s="146" t="s">
        <v>1533</v>
      </c>
      <c r="Y274" s="146" t="s">
        <v>1533</v>
      </c>
      <c r="Z274" s="146" t="s">
        <v>1533</v>
      </c>
      <c r="AA274" s="146" t="s">
        <v>1533</v>
      </c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</row>
    <row r="275" spans="1:42" ht="15.75" thickBot="1" x14ac:dyDescent="0.3">
      <c r="A275" t="s">
        <v>196</v>
      </c>
      <c r="B275" t="s">
        <v>989</v>
      </c>
      <c r="C275" t="s">
        <v>1070</v>
      </c>
      <c r="D275" t="s">
        <v>990</v>
      </c>
      <c r="E275" s="30" t="s">
        <v>73</v>
      </c>
      <c r="F275" s="30" t="s">
        <v>28</v>
      </c>
      <c r="G275" s="30"/>
      <c r="H275" s="30" t="s">
        <v>1286</v>
      </c>
      <c r="I275" s="31">
        <f t="shared" ref="I275:I338" si="17">COUNTIF(L275:AM275,"")</f>
        <v>28</v>
      </c>
      <c r="J275" s="31">
        <f t="shared" ref="J275:J338" si="18">COUNTIF(L275:AM275,"APAGADO")</f>
        <v>0</v>
      </c>
      <c r="K275" s="32">
        <f t="shared" ref="K275:K338" si="19">(I275)/(J275+I275)</f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1216</v>
      </c>
      <c r="C276" t="s">
        <v>1070</v>
      </c>
      <c r="D276" t="s">
        <v>1217</v>
      </c>
      <c r="E276" s="30" t="s">
        <v>15</v>
      </c>
      <c r="F276" s="30" t="s">
        <v>28</v>
      </c>
      <c r="G276" s="30"/>
      <c r="H276" s="30" t="s">
        <v>774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360</v>
      </c>
      <c r="C277" t="s">
        <v>1070</v>
      </c>
      <c r="D277" t="s">
        <v>1217</v>
      </c>
      <c r="E277" s="30" t="s">
        <v>73</v>
      </c>
      <c r="F277" s="30" t="s">
        <v>28</v>
      </c>
      <c r="G277" s="30"/>
      <c r="H277" s="30" t="s">
        <v>775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991</v>
      </c>
      <c r="C278" t="s">
        <v>1070</v>
      </c>
      <c r="D278" t="s">
        <v>992</v>
      </c>
      <c r="E278" s="30" t="s">
        <v>19</v>
      </c>
      <c r="F278" s="30" t="s">
        <v>28</v>
      </c>
      <c r="G278" s="30"/>
      <c r="H278" s="30" t="s">
        <v>1287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361</v>
      </c>
      <c r="C279" t="s">
        <v>1070</v>
      </c>
      <c r="D279" t="s">
        <v>362</v>
      </c>
      <c r="E279" s="30" t="s">
        <v>15</v>
      </c>
      <c r="F279" s="30" t="s">
        <v>28</v>
      </c>
      <c r="G279" s="30"/>
      <c r="H279" s="30" t="s">
        <v>771</v>
      </c>
      <c r="I279" s="31">
        <f t="shared" si="17"/>
        <v>12</v>
      </c>
      <c r="J279" s="31">
        <f t="shared" si="18"/>
        <v>16</v>
      </c>
      <c r="K279" s="32">
        <f t="shared" si="19"/>
        <v>0.42857142857142855</v>
      </c>
      <c r="L279" s="72" t="s">
        <v>1533</v>
      </c>
      <c r="M279" s="72" t="s">
        <v>1533</v>
      </c>
      <c r="N279" s="72" t="s">
        <v>1533</v>
      </c>
      <c r="O279" s="72" t="s">
        <v>1533</v>
      </c>
      <c r="P279" s="72" t="s">
        <v>1533</v>
      </c>
      <c r="Q279" s="72" t="s">
        <v>1533</v>
      </c>
      <c r="R279" s="72" t="s">
        <v>1533</v>
      </c>
      <c r="S279" s="72" t="s">
        <v>1533</v>
      </c>
      <c r="T279" s="72" t="s">
        <v>1533</v>
      </c>
      <c r="U279" s="72" t="s">
        <v>1533</v>
      </c>
      <c r="V279" s="72" t="s">
        <v>1533</v>
      </c>
      <c r="W279" s="72" t="s">
        <v>1533</v>
      </c>
      <c r="X279" s="72" t="s">
        <v>1533</v>
      </c>
      <c r="Y279" s="72" t="s">
        <v>1533</v>
      </c>
      <c r="Z279" s="72" t="s">
        <v>1533</v>
      </c>
      <c r="AA279" s="72" t="s">
        <v>1533</v>
      </c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363</v>
      </c>
      <c r="C280" t="s">
        <v>1070</v>
      </c>
      <c r="D280" t="s">
        <v>362</v>
      </c>
      <c r="E280" s="30" t="s">
        <v>73</v>
      </c>
      <c r="F280" s="30" t="s">
        <v>28</v>
      </c>
      <c r="G280" s="30"/>
      <c r="H280" s="30" t="s">
        <v>770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993</v>
      </c>
      <c r="C281" t="s">
        <v>1070</v>
      </c>
      <c r="D281" t="s">
        <v>994</v>
      </c>
      <c r="E281" s="30" t="s">
        <v>73</v>
      </c>
      <c r="F281" s="30" t="s">
        <v>28</v>
      </c>
      <c r="G281" s="30"/>
      <c r="H281" s="30" t="s">
        <v>1288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1299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772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1300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763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995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1301</v>
      </c>
      <c r="I284" s="31">
        <f t="shared" si="17"/>
        <v>25</v>
      </c>
      <c r="J284" s="31">
        <f t="shared" si="18"/>
        <v>3</v>
      </c>
      <c r="K284" s="32">
        <f t="shared" si="19"/>
        <v>0.8928571428571429</v>
      </c>
      <c r="L284" s="72"/>
      <c r="M284" s="72"/>
      <c r="N284" s="72"/>
      <c r="O284" s="72"/>
      <c r="P284" s="72" t="s">
        <v>1533</v>
      </c>
      <c r="Q284" s="72" t="s">
        <v>1533</v>
      </c>
      <c r="R284" s="72" t="s">
        <v>1533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366</v>
      </c>
      <c r="C285" t="s">
        <v>1070</v>
      </c>
      <c r="D285" t="s">
        <v>367</v>
      </c>
      <c r="E285" s="30" t="s">
        <v>15</v>
      </c>
      <c r="F285" s="30" t="s">
        <v>28</v>
      </c>
      <c r="G285" s="30"/>
      <c r="H285" s="30" t="s">
        <v>776</v>
      </c>
      <c r="I285" s="31">
        <f t="shared" si="17"/>
        <v>20</v>
      </c>
      <c r="J285" s="31">
        <f t="shared" si="18"/>
        <v>8</v>
      </c>
      <c r="K285" s="32">
        <f t="shared" si="19"/>
        <v>0.7142857142857143</v>
      </c>
      <c r="L285" s="72" t="s">
        <v>1533</v>
      </c>
      <c r="M285" s="72" t="s">
        <v>1533</v>
      </c>
      <c r="N285" s="72" t="s">
        <v>1533</v>
      </c>
      <c r="O285" s="72" t="s">
        <v>1533</v>
      </c>
      <c r="P285" s="72" t="s">
        <v>1533</v>
      </c>
      <c r="Q285" s="72" t="s">
        <v>1533</v>
      </c>
      <c r="R285" s="72" t="s">
        <v>1533</v>
      </c>
      <c r="S285" s="72" t="s">
        <v>1533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997</v>
      </c>
      <c r="C286" t="s">
        <v>1070</v>
      </c>
      <c r="D286" t="s">
        <v>368</v>
      </c>
      <c r="E286" s="30" t="s">
        <v>15</v>
      </c>
      <c r="F286" s="30" t="s">
        <v>28</v>
      </c>
      <c r="G286" s="30"/>
      <c r="H286" s="30" t="s">
        <v>777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1533</v>
      </c>
      <c r="P286" s="72" t="s">
        <v>1533</v>
      </c>
      <c r="Q286" s="72" t="s">
        <v>1533</v>
      </c>
      <c r="R286" s="72" t="s">
        <v>1533</v>
      </c>
      <c r="S286" s="72" t="s">
        <v>1533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369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778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1533</v>
      </c>
      <c r="P287" s="72" t="s">
        <v>1533</v>
      </c>
      <c r="Q287" s="72" t="s">
        <v>1533</v>
      </c>
      <c r="R287" s="72" t="s">
        <v>1533</v>
      </c>
      <c r="S287" s="72" t="s">
        <v>1533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371</v>
      </c>
      <c r="C288" t="s">
        <v>1070</v>
      </c>
      <c r="D288" t="s">
        <v>370</v>
      </c>
      <c r="E288" s="30" t="s">
        <v>73</v>
      </c>
      <c r="F288" s="30" t="s">
        <v>28</v>
      </c>
      <c r="G288" s="30"/>
      <c r="H288" s="30" t="s">
        <v>779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1533</v>
      </c>
      <c r="P288" s="72" t="s">
        <v>1533</v>
      </c>
      <c r="Q288" s="72" t="s">
        <v>1533</v>
      </c>
      <c r="R288" s="72" t="s">
        <v>1533</v>
      </c>
      <c r="S288" s="72" t="s">
        <v>1533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372</v>
      </c>
      <c r="C289" t="s">
        <v>1070</v>
      </c>
      <c r="D289" t="s">
        <v>373</v>
      </c>
      <c r="E289" s="30" t="s">
        <v>73</v>
      </c>
      <c r="F289" s="30" t="s">
        <v>28</v>
      </c>
      <c r="G289" s="30"/>
      <c r="H289" s="30" t="s">
        <v>780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1533</v>
      </c>
      <c r="M289" s="72" t="s">
        <v>1533</v>
      </c>
      <c r="N289" s="72" t="s">
        <v>1533</v>
      </c>
      <c r="O289" s="72" t="s">
        <v>1533</v>
      </c>
      <c r="P289" s="72" t="s">
        <v>1533</v>
      </c>
      <c r="Q289" s="72" t="s">
        <v>1533</v>
      </c>
      <c r="R289" s="72" t="s">
        <v>1533</v>
      </c>
      <c r="S289" s="72" t="s">
        <v>1533</v>
      </c>
      <c r="T289" s="72" t="s">
        <v>1533</v>
      </c>
      <c r="U289" s="72" t="s">
        <v>1533</v>
      </c>
      <c r="V289" s="72" t="s">
        <v>1533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374</v>
      </c>
      <c r="C290" t="s">
        <v>1070</v>
      </c>
      <c r="D290" t="s">
        <v>373</v>
      </c>
      <c r="E290" s="30" t="s">
        <v>46</v>
      </c>
      <c r="F290" s="30" t="s">
        <v>28</v>
      </c>
      <c r="G290" s="30"/>
      <c r="H290" s="30" t="s">
        <v>781</v>
      </c>
      <c r="I290" s="31">
        <f t="shared" si="17"/>
        <v>17</v>
      </c>
      <c r="J290" s="31">
        <f t="shared" si="18"/>
        <v>11</v>
      </c>
      <c r="K290" s="32">
        <f t="shared" si="19"/>
        <v>0.6071428571428571</v>
      </c>
      <c r="L290" s="72" t="s">
        <v>1533</v>
      </c>
      <c r="M290" s="72" t="s">
        <v>1533</v>
      </c>
      <c r="N290" s="72" t="s">
        <v>1533</v>
      </c>
      <c r="O290" s="72" t="s">
        <v>1533</v>
      </c>
      <c r="P290" s="72" t="s">
        <v>1533</v>
      </c>
      <c r="Q290" s="72" t="s">
        <v>1533</v>
      </c>
      <c r="R290" s="72" t="s">
        <v>1533</v>
      </c>
      <c r="S290" s="72" t="s">
        <v>1533</v>
      </c>
      <c r="T290" s="72" t="s">
        <v>1533</v>
      </c>
      <c r="U290" s="72" t="s">
        <v>1533</v>
      </c>
      <c r="V290" s="72" t="s">
        <v>1533</v>
      </c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1344</v>
      </c>
      <c r="C291" t="s">
        <v>1069</v>
      </c>
      <c r="D291" t="s">
        <v>1345</v>
      </c>
      <c r="E291" s="30"/>
      <c r="F291" s="30" t="s">
        <v>28</v>
      </c>
      <c r="G291" s="30"/>
      <c r="H291" s="30" t="s">
        <v>1355</v>
      </c>
      <c r="I291" s="31">
        <f t="shared" si="17"/>
        <v>26</v>
      </c>
      <c r="J291" s="31">
        <f t="shared" si="18"/>
        <v>2</v>
      </c>
      <c r="K291" s="32">
        <f t="shared" si="19"/>
        <v>0.9285714285714286</v>
      </c>
      <c r="L291" s="72"/>
      <c r="M291" s="72"/>
      <c r="N291" s="72"/>
      <c r="O291" s="72"/>
      <c r="P291" s="72" t="s">
        <v>1533</v>
      </c>
      <c r="Q291" s="72" t="s">
        <v>1533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1389</v>
      </c>
      <c r="C292" t="s">
        <v>1070</v>
      </c>
      <c r="D292" s="70" t="s">
        <v>1392</v>
      </c>
      <c r="E292" s="30" t="s">
        <v>19</v>
      </c>
      <c r="F292" s="30" t="s">
        <v>28</v>
      </c>
      <c r="G292" s="30"/>
      <c r="H292" s="30" t="s">
        <v>1404</v>
      </c>
      <c r="I292" s="31">
        <f t="shared" si="17"/>
        <v>16</v>
      </c>
      <c r="J292" s="31">
        <f t="shared" si="18"/>
        <v>12</v>
      </c>
      <c r="K292" s="32">
        <f t="shared" si="19"/>
        <v>0.5714285714285714</v>
      </c>
      <c r="L292" s="72" t="s">
        <v>1533</v>
      </c>
      <c r="M292" s="72"/>
      <c r="N292" s="72"/>
      <c r="O292" s="72" t="s">
        <v>1533</v>
      </c>
      <c r="P292" s="72" t="s">
        <v>1533</v>
      </c>
      <c r="Q292" s="72" t="s">
        <v>1533</v>
      </c>
      <c r="R292" s="72" t="s">
        <v>1533</v>
      </c>
      <c r="S292" s="72" t="s">
        <v>1533</v>
      </c>
      <c r="T292" s="72" t="s">
        <v>1533</v>
      </c>
      <c r="U292" s="72" t="s">
        <v>1533</v>
      </c>
      <c r="V292" s="72" t="s">
        <v>1533</v>
      </c>
      <c r="W292" s="72" t="s">
        <v>1533</v>
      </c>
      <c r="X292" s="72" t="s">
        <v>1533</v>
      </c>
      <c r="Y292" s="72"/>
      <c r="Z292" s="72" t="s">
        <v>1533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1390</v>
      </c>
      <c r="C293" t="s">
        <v>1070</v>
      </c>
      <c r="D293" s="70" t="s">
        <v>1393</v>
      </c>
      <c r="E293" s="30" t="s">
        <v>73</v>
      </c>
      <c r="F293" s="30" t="s">
        <v>28</v>
      </c>
      <c r="G293" s="30"/>
      <c r="H293" s="30" t="s">
        <v>1405</v>
      </c>
      <c r="I293" s="31">
        <f t="shared" si="17"/>
        <v>13</v>
      </c>
      <c r="J293" s="31">
        <f t="shared" si="18"/>
        <v>15</v>
      </c>
      <c r="K293" s="32">
        <f t="shared" si="19"/>
        <v>0.4642857142857143</v>
      </c>
      <c r="L293" s="72" t="s">
        <v>1533</v>
      </c>
      <c r="M293" s="72" t="s">
        <v>1533</v>
      </c>
      <c r="N293" s="72" t="s">
        <v>1533</v>
      </c>
      <c r="O293" s="72" t="s">
        <v>1533</v>
      </c>
      <c r="P293" s="72" t="s">
        <v>1533</v>
      </c>
      <c r="Q293" s="72" t="s">
        <v>1533</v>
      </c>
      <c r="R293" s="72" t="s">
        <v>1533</v>
      </c>
      <c r="S293" s="72" t="s">
        <v>1533</v>
      </c>
      <c r="T293" s="72" t="s">
        <v>1533</v>
      </c>
      <c r="U293" s="72" t="s">
        <v>1533</v>
      </c>
      <c r="V293" s="72" t="s">
        <v>1533</v>
      </c>
      <c r="W293" s="72" t="s">
        <v>1533</v>
      </c>
      <c r="X293" s="72" t="s">
        <v>1533</v>
      </c>
      <c r="Y293" s="72" t="s">
        <v>1533</v>
      </c>
      <c r="Z293" s="72" t="s">
        <v>1533</v>
      </c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1391</v>
      </c>
      <c r="C294" t="s">
        <v>1070</v>
      </c>
      <c r="D294" s="70" t="s">
        <v>1394</v>
      </c>
      <c r="E294" s="30" t="s">
        <v>73</v>
      </c>
      <c r="F294" s="30" t="s">
        <v>28</v>
      </c>
      <c r="G294" s="30"/>
      <c r="H294" s="30" t="s">
        <v>1406</v>
      </c>
      <c r="I294" s="31">
        <f t="shared" si="17"/>
        <v>13</v>
      </c>
      <c r="J294" s="31">
        <f t="shared" si="18"/>
        <v>15</v>
      </c>
      <c r="K294" s="32">
        <f t="shared" si="19"/>
        <v>0.4642857142857143</v>
      </c>
      <c r="L294" s="72" t="s">
        <v>1533</v>
      </c>
      <c r="M294" s="72" t="s">
        <v>1533</v>
      </c>
      <c r="N294" s="72" t="s">
        <v>1533</v>
      </c>
      <c r="O294" s="72" t="s">
        <v>1533</v>
      </c>
      <c r="P294" s="72" t="s">
        <v>1533</v>
      </c>
      <c r="Q294" s="72" t="s">
        <v>1533</v>
      </c>
      <c r="R294" s="72" t="s">
        <v>1533</v>
      </c>
      <c r="S294" s="72" t="s">
        <v>1533</v>
      </c>
      <c r="T294" s="72" t="s">
        <v>1533</v>
      </c>
      <c r="U294" s="72" t="s">
        <v>1533</v>
      </c>
      <c r="V294" s="72" t="s">
        <v>1533</v>
      </c>
      <c r="W294" s="72" t="s">
        <v>1533</v>
      </c>
      <c r="X294" s="72" t="s">
        <v>1533</v>
      </c>
      <c r="Y294" s="72" t="s">
        <v>1533</v>
      </c>
      <c r="Z294" s="72" t="s">
        <v>1533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s="75" customFormat="1" ht="15.75" thickBot="1" x14ac:dyDescent="0.3">
      <c r="A295" s="75" t="s">
        <v>375</v>
      </c>
      <c r="B295" s="75" t="s">
        <v>1007</v>
      </c>
      <c r="C295" s="75" t="s">
        <v>1070</v>
      </c>
      <c r="D295" s="75" t="s">
        <v>376</v>
      </c>
      <c r="E295" s="89" t="s">
        <v>15</v>
      </c>
      <c r="F295" s="89" t="s">
        <v>28</v>
      </c>
      <c r="G295" s="89"/>
      <c r="H295" s="89" t="s">
        <v>782</v>
      </c>
      <c r="I295" s="93">
        <f t="shared" si="17"/>
        <v>23</v>
      </c>
      <c r="J295" s="93">
        <f t="shared" si="18"/>
        <v>5</v>
      </c>
      <c r="K295" s="94">
        <f t="shared" si="19"/>
        <v>0.8214285714285714</v>
      </c>
      <c r="L295" s="95"/>
      <c r="M295" s="95"/>
      <c r="N295" s="95"/>
      <c r="O295" s="95" t="s">
        <v>1533</v>
      </c>
      <c r="P295" s="95" t="s">
        <v>1533</v>
      </c>
      <c r="Q295" s="95" t="s">
        <v>1533</v>
      </c>
      <c r="R295" s="95" t="s">
        <v>1533</v>
      </c>
      <c r="S295" s="95" t="s">
        <v>1533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75" thickBot="1" x14ac:dyDescent="0.3">
      <c r="A296" t="s">
        <v>375</v>
      </c>
      <c r="B296" t="s">
        <v>1008</v>
      </c>
      <c r="C296" t="s">
        <v>1070</v>
      </c>
      <c r="D296" t="s">
        <v>377</v>
      </c>
      <c r="E296" s="30" t="s">
        <v>15</v>
      </c>
      <c r="F296" s="30" t="s">
        <v>28</v>
      </c>
      <c r="G296" s="30"/>
      <c r="H296" s="30" t="s">
        <v>785</v>
      </c>
      <c r="I296" s="31">
        <f t="shared" si="17"/>
        <v>15</v>
      </c>
      <c r="J296" s="31">
        <f t="shared" si="18"/>
        <v>13</v>
      </c>
      <c r="K296" s="32">
        <f t="shared" si="19"/>
        <v>0.5357142857142857</v>
      </c>
      <c r="L296" s="72"/>
      <c r="M296" s="72"/>
      <c r="N296" s="72"/>
      <c r="O296" s="72" t="s">
        <v>1533</v>
      </c>
      <c r="P296" s="72" t="s">
        <v>1533</v>
      </c>
      <c r="Q296" s="72" t="s">
        <v>1533</v>
      </c>
      <c r="R296" s="72" t="s">
        <v>1533</v>
      </c>
      <c r="S296" s="72" t="s">
        <v>1533</v>
      </c>
      <c r="T296" s="72" t="s">
        <v>1533</v>
      </c>
      <c r="U296" s="72" t="s">
        <v>1533</v>
      </c>
      <c r="V296" s="72" t="s">
        <v>1533</v>
      </c>
      <c r="W296" s="72" t="s">
        <v>1533</v>
      </c>
      <c r="X296" s="72" t="s">
        <v>1533</v>
      </c>
      <c r="Y296" s="72" t="s">
        <v>1533</v>
      </c>
      <c r="Z296" s="72" t="s">
        <v>1533</v>
      </c>
      <c r="AA296" s="72" t="s">
        <v>1533</v>
      </c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378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783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1533</v>
      </c>
      <c r="P297" s="72" t="s">
        <v>1533</v>
      </c>
      <c r="Q297" s="72" t="s">
        <v>1533</v>
      </c>
      <c r="R297" s="72" t="s">
        <v>1533</v>
      </c>
      <c r="S297" s="72" t="s">
        <v>1533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380</v>
      </c>
      <c r="C298" t="s">
        <v>1070</v>
      </c>
      <c r="D298" t="s">
        <v>379</v>
      </c>
      <c r="E298" s="30" t="s">
        <v>73</v>
      </c>
      <c r="F298" s="30" t="s">
        <v>28</v>
      </c>
      <c r="G298" s="30"/>
      <c r="H298" s="30" t="s">
        <v>784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1533</v>
      </c>
      <c r="P298" s="72" t="s">
        <v>1533</v>
      </c>
      <c r="Q298" s="72" t="s">
        <v>1533</v>
      </c>
      <c r="R298" s="72" t="s">
        <v>1533</v>
      </c>
      <c r="S298" s="72" t="s">
        <v>1533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998</v>
      </c>
      <c r="C299" t="s">
        <v>1070</v>
      </c>
      <c r="D299" t="s">
        <v>381</v>
      </c>
      <c r="E299" s="30" t="s">
        <v>15</v>
      </c>
      <c r="F299" s="30" t="s">
        <v>28</v>
      </c>
      <c r="G299" s="30"/>
      <c r="H299" s="30" t="s">
        <v>786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1533</v>
      </c>
      <c r="P299" s="72" t="s">
        <v>1533</v>
      </c>
      <c r="Q299" s="72" t="s">
        <v>1533</v>
      </c>
      <c r="R299" s="72" t="s">
        <v>1533</v>
      </c>
      <c r="S299" s="72" t="s">
        <v>1533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999</v>
      </c>
      <c r="C300" t="s">
        <v>1070</v>
      </c>
      <c r="D300" t="s">
        <v>1000</v>
      </c>
      <c r="E300" s="30" t="s">
        <v>19</v>
      </c>
      <c r="F300" s="30" t="s">
        <v>28</v>
      </c>
      <c r="G300" s="30"/>
      <c r="H300" s="30" t="s">
        <v>912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1533</v>
      </c>
      <c r="P300" s="72" t="s">
        <v>1533</v>
      </c>
      <c r="Q300" s="72" t="s">
        <v>1533</v>
      </c>
      <c r="R300" s="72" t="s">
        <v>1533</v>
      </c>
      <c r="S300" s="72" t="s">
        <v>1533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1001</v>
      </c>
      <c r="C301" t="s">
        <v>1070</v>
      </c>
      <c r="D301" t="s">
        <v>1002</v>
      </c>
      <c r="E301" s="30" t="s">
        <v>19</v>
      </c>
      <c r="F301" s="30" t="s">
        <v>28</v>
      </c>
      <c r="G301" s="30"/>
      <c r="H301" s="30" t="s">
        <v>913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1533</v>
      </c>
      <c r="P301" s="72" t="s">
        <v>1533</v>
      </c>
      <c r="Q301" s="72" t="s">
        <v>1533</v>
      </c>
      <c r="R301" s="72" t="s">
        <v>1533</v>
      </c>
      <c r="S301" s="72" t="s">
        <v>1533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1003</v>
      </c>
      <c r="C302" t="s">
        <v>1070</v>
      </c>
      <c r="D302" t="s">
        <v>1004</v>
      </c>
      <c r="E302" s="30" t="s">
        <v>19</v>
      </c>
      <c r="F302" s="30" t="s">
        <v>28</v>
      </c>
      <c r="G302" s="30"/>
      <c r="H302" s="30" t="s">
        <v>914</v>
      </c>
      <c r="I302" s="31">
        <f t="shared" si="17"/>
        <v>16</v>
      </c>
      <c r="J302" s="31">
        <f t="shared" si="18"/>
        <v>12</v>
      </c>
      <c r="K302" s="32">
        <f t="shared" si="19"/>
        <v>0.5714285714285714</v>
      </c>
      <c r="L302" s="72" t="s">
        <v>1533</v>
      </c>
      <c r="M302" s="72" t="s">
        <v>1533</v>
      </c>
      <c r="N302" s="72" t="s">
        <v>1533</v>
      </c>
      <c r="O302" s="72" t="s">
        <v>1533</v>
      </c>
      <c r="P302" s="72" t="s">
        <v>1533</v>
      </c>
      <c r="Q302" s="72" t="s">
        <v>1533</v>
      </c>
      <c r="R302" s="72" t="s">
        <v>1533</v>
      </c>
      <c r="S302" s="72" t="s">
        <v>1533</v>
      </c>
      <c r="T302" s="72" t="s">
        <v>1533</v>
      </c>
      <c r="U302" s="72" t="s">
        <v>1533</v>
      </c>
      <c r="V302" s="72" t="s">
        <v>1533</v>
      </c>
      <c r="W302" s="72" t="s">
        <v>1533</v>
      </c>
      <c r="X302" s="72"/>
      <c r="Y302" s="72"/>
      <c r="Z302" s="72"/>
      <c r="AA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1005</v>
      </c>
      <c r="C303" t="s">
        <v>1070</v>
      </c>
      <c r="D303" t="s">
        <v>1006</v>
      </c>
      <c r="E303" s="30" t="s">
        <v>19</v>
      </c>
      <c r="F303" s="30" t="s">
        <v>28</v>
      </c>
      <c r="G303" s="30"/>
      <c r="H303" s="30" t="s">
        <v>915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/>
      <c r="N303" s="72"/>
      <c r="O303" s="72" t="s">
        <v>1533</v>
      </c>
      <c r="P303" s="72" t="s">
        <v>1533</v>
      </c>
      <c r="Q303" s="72" t="s">
        <v>1533</v>
      </c>
      <c r="R303" s="72" t="s">
        <v>1533</v>
      </c>
      <c r="S303" s="72" t="s">
        <v>1533</v>
      </c>
      <c r="T303" s="72" t="s">
        <v>1533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1181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1166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1533</v>
      </c>
      <c r="P304" s="72" t="s">
        <v>1533</v>
      </c>
      <c r="Q304" s="72" t="s">
        <v>1533</v>
      </c>
      <c r="R304" s="72" t="s">
        <v>1533</v>
      </c>
      <c r="S304" s="72" t="s">
        <v>1533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1182</v>
      </c>
      <c r="C305" t="s">
        <v>1070</v>
      </c>
      <c r="D305" t="s">
        <v>1164</v>
      </c>
      <c r="E305" s="30" t="s">
        <v>19</v>
      </c>
      <c r="F305" s="30" t="s">
        <v>28</v>
      </c>
      <c r="G305" s="30"/>
      <c r="H305" s="30" t="s">
        <v>1167</v>
      </c>
      <c r="I305" s="31">
        <f t="shared" si="17"/>
        <v>23</v>
      </c>
      <c r="J305" s="31">
        <f t="shared" si="18"/>
        <v>5</v>
      </c>
      <c r="K305" s="32">
        <f t="shared" si="19"/>
        <v>0.8214285714285714</v>
      </c>
      <c r="L305" s="72"/>
      <c r="M305" s="72"/>
      <c r="N305" s="72"/>
      <c r="O305" s="72" t="s">
        <v>1533</v>
      </c>
      <c r="P305" s="72" t="s">
        <v>1533</v>
      </c>
      <c r="Q305" s="72" t="s">
        <v>1533</v>
      </c>
      <c r="R305" s="72" t="s">
        <v>1533</v>
      </c>
      <c r="S305" s="72" t="s">
        <v>1533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86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1200</v>
      </c>
      <c r="C306" t="s">
        <v>1070</v>
      </c>
      <c r="D306" t="s">
        <v>1163</v>
      </c>
      <c r="E306" s="30" t="s">
        <v>15</v>
      </c>
      <c r="F306" s="30" t="s">
        <v>28</v>
      </c>
      <c r="G306" s="30"/>
      <c r="H306" s="30" t="s">
        <v>1165</v>
      </c>
      <c r="I306" s="31">
        <f t="shared" si="17"/>
        <v>21</v>
      </c>
      <c r="J306" s="31">
        <f t="shared" si="18"/>
        <v>7</v>
      </c>
      <c r="K306" s="32">
        <f t="shared" si="19"/>
        <v>0.75</v>
      </c>
      <c r="L306" s="72"/>
      <c r="M306" s="72" t="s">
        <v>1533</v>
      </c>
      <c r="N306" s="72" t="s">
        <v>1533</v>
      </c>
      <c r="O306" s="72" t="s">
        <v>1533</v>
      </c>
      <c r="P306" s="72" t="s">
        <v>1533</v>
      </c>
      <c r="Q306" s="72" t="s">
        <v>1533</v>
      </c>
      <c r="R306" s="72" t="s">
        <v>1533</v>
      </c>
      <c r="S306" s="72" t="s">
        <v>1533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1304</v>
      </c>
      <c r="C307" t="s">
        <v>1070</v>
      </c>
      <c r="D307" t="s">
        <v>1305</v>
      </c>
      <c r="E307" s="30" t="s">
        <v>73</v>
      </c>
      <c r="F307" s="30" t="s">
        <v>28</v>
      </c>
      <c r="G307" s="30"/>
      <c r="H307" s="30" t="s">
        <v>1500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1533</v>
      </c>
      <c r="P307" s="72" t="s">
        <v>1533</v>
      </c>
      <c r="Q307" s="72" t="s">
        <v>1533</v>
      </c>
      <c r="R307" s="72" t="s">
        <v>1533</v>
      </c>
      <c r="S307" s="72" t="s">
        <v>1533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1395</v>
      </c>
      <c r="C308" t="s">
        <v>1070</v>
      </c>
      <c r="D308" s="70" t="s">
        <v>1398</v>
      </c>
      <c r="E308" s="30" t="s">
        <v>15</v>
      </c>
      <c r="F308" s="30" t="s">
        <v>1063</v>
      </c>
      <c r="G308" s="30"/>
      <c r="H308" s="30" t="s">
        <v>1402</v>
      </c>
      <c r="I308" s="31">
        <f t="shared" si="17"/>
        <v>12</v>
      </c>
      <c r="J308" s="31">
        <f t="shared" si="18"/>
        <v>16</v>
      </c>
      <c r="K308" s="32">
        <f t="shared" si="19"/>
        <v>0.42857142857142855</v>
      </c>
      <c r="L308" s="72" t="s">
        <v>1533</v>
      </c>
      <c r="M308" s="72" t="s">
        <v>1533</v>
      </c>
      <c r="N308" s="72" t="s">
        <v>1533</v>
      </c>
      <c r="O308" s="72" t="s">
        <v>1533</v>
      </c>
      <c r="P308" s="72" t="s">
        <v>1533</v>
      </c>
      <c r="Q308" s="72" t="s">
        <v>1533</v>
      </c>
      <c r="R308" s="72" t="s">
        <v>1533</v>
      </c>
      <c r="S308" s="72" t="s">
        <v>1533</v>
      </c>
      <c r="T308" s="72" t="s">
        <v>1533</v>
      </c>
      <c r="U308" s="72" t="s">
        <v>1533</v>
      </c>
      <c r="V308" s="72" t="s">
        <v>1533</v>
      </c>
      <c r="W308" s="72" t="s">
        <v>1533</v>
      </c>
      <c r="X308" s="72" t="s">
        <v>1533</v>
      </c>
      <c r="Y308" s="72" t="s">
        <v>1533</v>
      </c>
      <c r="Z308" s="72" t="s">
        <v>1533</v>
      </c>
      <c r="AA308" s="72" t="s">
        <v>1533</v>
      </c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1396</v>
      </c>
      <c r="C309" t="s">
        <v>1070</v>
      </c>
      <c r="D309" s="70" t="s">
        <v>1399</v>
      </c>
      <c r="E309" s="30" t="s">
        <v>73</v>
      </c>
      <c r="F309" s="30" t="s">
        <v>1063</v>
      </c>
      <c r="G309" s="30"/>
      <c r="H309" s="30" t="s">
        <v>1403</v>
      </c>
      <c r="I309" s="31">
        <f t="shared" si="17"/>
        <v>12</v>
      </c>
      <c r="J309" s="31">
        <f t="shared" si="18"/>
        <v>16</v>
      </c>
      <c r="K309" s="32">
        <f t="shared" si="19"/>
        <v>0.42857142857142855</v>
      </c>
      <c r="L309" s="72" t="s">
        <v>1533</v>
      </c>
      <c r="M309" s="72" t="s">
        <v>1533</v>
      </c>
      <c r="N309" s="72" t="s">
        <v>1533</v>
      </c>
      <c r="O309" s="72" t="s">
        <v>1533</v>
      </c>
      <c r="P309" s="72" t="s">
        <v>1533</v>
      </c>
      <c r="Q309" s="72" t="s">
        <v>1533</v>
      </c>
      <c r="R309" s="72" t="s">
        <v>1533</v>
      </c>
      <c r="S309" s="72" t="s">
        <v>1533</v>
      </c>
      <c r="T309" s="72" t="s">
        <v>1533</v>
      </c>
      <c r="U309" s="72" t="s">
        <v>1533</v>
      </c>
      <c r="V309" s="72" t="s">
        <v>1533</v>
      </c>
      <c r="W309" s="72" t="s">
        <v>1533</v>
      </c>
      <c r="X309" s="72" t="s">
        <v>1533</v>
      </c>
      <c r="Y309" s="72" t="s">
        <v>1533</v>
      </c>
      <c r="Z309" s="72" t="s">
        <v>1533</v>
      </c>
      <c r="AA309" s="72" t="s">
        <v>1533</v>
      </c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1397</v>
      </c>
      <c r="C310" t="s">
        <v>1070</v>
      </c>
      <c r="D310" s="70" t="s">
        <v>1400</v>
      </c>
      <c r="E310" s="30" t="s">
        <v>15</v>
      </c>
      <c r="F310" s="30" t="s">
        <v>28</v>
      </c>
      <c r="G310" s="30"/>
      <c r="H310" s="30" t="s">
        <v>1517</v>
      </c>
      <c r="I310" s="31">
        <f t="shared" si="17"/>
        <v>12</v>
      </c>
      <c r="J310" s="31">
        <f t="shared" si="18"/>
        <v>16</v>
      </c>
      <c r="K310" s="32">
        <f t="shared" si="19"/>
        <v>0.42857142857142855</v>
      </c>
      <c r="L310" s="72" t="s">
        <v>1533</v>
      </c>
      <c r="M310" s="72" t="s">
        <v>1533</v>
      </c>
      <c r="N310" s="72" t="s">
        <v>1533</v>
      </c>
      <c r="O310" s="72" t="s">
        <v>1533</v>
      </c>
      <c r="P310" s="72" t="s">
        <v>1533</v>
      </c>
      <c r="Q310" s="72" t="s">
        <v>1533</v>
      </c>
      <c r="R310" s="72" t="s">
        <v>1533</v>
      </c>
      <c r="S310" s="72" t="s">
        <v>1533</v>
      </c>
      <c r="T310" s="72" t="s">
        <v>1533</v>
      </c>
      <c r="U310" s="72" t="s">
        <v>1533</v>
      </c>
      <c r="V310" s="72" t="s">
        <v>1533</v>
      </c>
      <c r="W310" s="72" t="s">
        <v>1533</v>
      </c>
      <c r="X310" s="72" t="s">
        <v>1533</v>
      </c>
      <c r="Y310" s="72" t="s">
        <v>1533</v>
      </c>
      <c r="Z310" s="72" t="s">
        <v>1533</v>
      </c>
      <c r="AA310" s="72" t="s">
        <v>1533</v>
      </c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1009</v>
      </c>
      <c r="C311" t="s">
        <v>1070</v>
      </c>
      <c r="D311" t="s">
        <v>1010</v>
      </c>
      <c r="E311" s="30" t="s">
        <v>1064</v>
      </c>
      <c r="F311" s="30" t="s">
        <v>1309</v>
      </c>
      <c r="G311" s="30"/>
      <c r="H311" s="30" t="s">
        <v>907</v>
      </c>
      <c r="I311" s="31">
        <f t="shared" si="17"/>
        <v>13</v>
      </c>
      <c r="J311" s="31">
        <f t="shared" si="18"/>
        <v>15</v>
      </c>
      <c r="K311" s="32">
        <f t="shared" si="19"/>
        <v>0.4642857142857143</v>
      </c>
      <c r="L311" s="72" t="s">
        <v>1533</v>
      </c>
      <c r="M311" s="72" t="s">
        <v>1533</v>
      </c>
      <c r="N311" s="72" t="s">
        <v>1533</v>
      </c>
      <c r="O311" s="72" t="s">
        <v>1533</v>
      </c>
      <c r="P311" s="72" t="s">
        <v>1533</v>
      </c>
      <c r="Q311" s="72" t="s">
        <v>1533</v>
      </c>
      <c r="R311" s="72" t="s">
        <v>1533</v>
      </c>
      <c r="S311" s="72" t="s">
        <v>1533</v>
      </c>
      <c r="T311" s="72" t="s">
        <v>1533</v>
      </c>
      <c r="U311" s="72" t="s">
        <v>1533</v>
      </c>
      <c r="V311" s="72" t="s">
        <v>1533</v>
      </c>
      <c r="W311" s="72" t="s">
        <v>1533</v>
      </c>
      <c r="X311" s="72" t="s">
        <v>1533</v>
      </c>
      <c r="Y311" s="72" t="s">
        <v>1533</v>
      </c>
      <c r="Z311" s="72" t="s">
        <v>1533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905</v>
      </c>
      <c r="B312" t="s">
        <v>904</v>
      </c>
      <c r="C312" t="s">
        <v>1070</v>
      </c>
      <c r="D312" t="s">
        <v>1010</v>
      </c>
      <c r="E312" s="30" t="s">
        <v>1065</v>
      </c>
      <c r="F312" s="30" t="s">
        <v>1309</v>
      </c>
      <c r="G312" s="30"/>
      <c r="H312" s="30" t="s">
        <v>906</v>
      </c>
      <c r="I312" s="31">
        <f t="shared" si="17"/>
        <v>13</v>
      </c>
      <c r="J312" s="31">
        <f t="shared" si="18"/>
        <v>15</v>
      </c>
      <c r="K312" s="32">
        <f t="shared" si="19"/>
        <v>0.4642857142857143</v>
      </c>
      <c r="L312" s="72" t="s">
        <v>1533</v>
      </c>
      <c r="M312" s="72" t="s">
        <v>1533</v>
      </c>
      <c r="N312" s="72" t="s">
        <v>1533</v>
      </c>
      <c r="O312" s="72" t="s">
        <v>1533</v>
      </c>
      <c r="P312" s="72" t="s">
        <v>1533</v>
      </c>
      <c r="Q312" s="72" t="s">
        <v>1533</v>
      </c>
      <c r="R312" s="72" t="s">
        <v>1533</v>
      </c>
      <c r="S312" s="72" t="s">
        <v>1533</v>
      </c>
      <c r="T312" s="72" t="s">
        <v>1533</v>
      </c>
      <c r="U312" s="72" t="s">
        <v>1533</v>
      </c>
      <c r="V312" s="72" t="s">
        <v>1533</v>
      </c>
      <c r="W312" s="72" t="s">
        <v>1533</v>
      </c>
      <c r="X312" s="72" t="s">
        <v>1533</v>
      </c>
      <c r="Y312" s="72" t="s">
        <v>1533</v>
      </c>
      <c r="Z312" s="72" t="s">
        <v>1533</v>
      </c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382</v>
      </c>
      <c r="C313" t="s">
        <v>1069</v>
      </c>
      <c r="D313" t="s">
        <v>383</v>
      </c>
      <c r="E313" s="30" t="s">
        <v>19</v>
      </c>
      <c r="F313" s="30" t="s">
        <v>28</v>
      </c>
      <c r="G313" s="30"/>
      <c r="H313" s="30" t="s">
        <v>787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1011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755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1533</v>
      </c>
      <c r="M314" s="72"/>
      <c r="N314" s="72"/>
      <c r="O314" s="72"/>
      <c r="P314" s="72"/>
      <c r="Q314" s="72"/>
      <c r="R314" s="72"/>
      <c r="S314" s="72"/>
      <c r="T314" s="72"/>
      <c r="U314" s="72" t="s">
        <v>1533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1012</v>
      </c>
      <c r="C315" t="s">
        <v>1069</v>
      </c>
      <c r="D315" t="s">
        <v>338</v>
      </c>
      <c r="E315" s="30" t="s">
        <v>73</v>
      </c>
      <c r="F315" s="30" t="s">
        <v>28</v>
      </c>
      <c r="G315" s="30"/>
      <c r="H315" s="30" t="s">
        <v>756</v>
      </c>
      <c r="I315" s="31">
        <f t="shared" si="17"/>
        <v>26</v>
      </c>
      <c r="J315" s="31">
        <f t="shared" si="18"/>
        <v>2</v>
      </c>
      <c r="K315" s="32">
        <f t="shared" si="19"/>
        <v>0.9285714285714286</v>
      </c>
      <c r="L315" s="72" t="s">
        <v>1533</v>
      </c>
      <c r="M315" s="72"/>
      <c r="N315" s="72"/>
      <c r="O315" s="72"/>
      <c r="P315" s="72"/>
      <c r="Q315" s="72"/>
      <c r="R315" s="72"/>
      <c r="S315" s="72"/>
      <c r="T315" s="72"/>
      <c r="U315" s="72" t="s">
        <v>1533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1013</v>
      </c>
      <c r="C316" t="s">
        <v>1069</v>
      </c>
      <c r="D316" t="s">
        <v>1014</v>
      </c>
      <c r="E316" s="30" t="s">
        <v>19</v>
      </c>
      <c r="F316" s="30" t="s">
        <v>28</v>
      </c>
      <c r="G316" s="30"/>
      <c r="H316" s="30" t="s">
        <v>1495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1015</v>
      </c>
      <c r="C317" t="s">
        <v>1069</v>
      </c>
      <c r="D317" t="s">
        <v>1016</v>
      </c>
      <c r="E317" s="30" t="s">
        <v>19</v>
      </c>
      <c r="F317" s="30" t="s">
        <v>28</v>
      </c>
      <c r="G317" s="30"/>
      <c r="H317" s="30" t="s">
        <v>1226</v>
      </c>
      <c r="I317" s="31">
        <f t="shared" si="17"/>
        <v>21</v>
      </c>
      <c r="J317" s="31">
        <f t="shared" si="18"/>
        <v>7</v>
      </c>
      <c r="K317" s="32">
        <f t="shared" si="19"/>
        <v>0.75</v>
      </c>
      <c r="L317" s="72"/>
      <c r="M317" s="72"/>
      <c r="N317" s="72"/>
      <c r="O317" s="72"/>
      <c r="P317" s="72"/>
      <c r="Q317" s="72"/>
      <c r="R317" s="72"/>
      <c r="S317" s="72" t="s">
        <v>1533</v>
      </c>
      <c r="T317" s="72"/>
      <c r="U317" s="72" t="s">
        <v>1533</v>
      </c>
      <c r="V317" s="72" t="s">
        <v>1533</v>
      </c>
      <c r="W317" s="72" t="s">
        <v>1533</v>
      </c>
      <c r="X317" s="72" t="s">
        <v>1533</v>
      </c>
      <c r="Y317" s="72" t="s">
        <v>1533</v>
      </c>
      <c r="Z317" s="72"/>
      <c r="AA317" s="72" t="s">
        <v>1533</v>
      </c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1137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1143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1138</v>
      </c>
      <c r="C319" t="s">
        <v>1069</v>
      </c>
      <c r="D319" t="s">
        <v>1134</v>
      </c>
      <c r="E319" s="30" t="s">
        <v>73</v>
      </c>
      <c r="F319" s="30" t="s">
        <v>28</v>
      </c>
      <c r="G319" s="30"/>
      <c r="H319" s="30" t="s">
        <v>1144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1139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1145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1140</v>
      </c>
      <c r="C321" t="s">
        <v>1069</v>
      </c>
      <c r="D321" t="s">
        <v>1135</v>
      </c>
      <c r="E321" s="30" t="s">
        <v>73</v>
      </c>
      <c r="F321" s="30" t="s">
        <v>28</v>
      </c>
      <c r="G321" s="30"/>
      <c r="H321" s="30" t="s">
        <v>1146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1241</v>
      </c>
      <c r="C322" t="s">
        <v>1069</v>
      </c>
      <c r="D322" t="s">
        <v>1242</v>
      </c>
      <c r="E322" t="s">
        <v>19</v>
      </c>
      <c r="F322" t="s">
        <v>28</v>
      </c>
      <c r="G322"/>
      <c r="H322" s="30" t="s">
        <v>1248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 t="s">
        <v>1533</v>
      </c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s="75" t="s">
        <v>1329</v>
      </c>
      <c r="B323" t="s">
        <v>1243</v>
      </c>
      <c r="C323" t="s">
        <v>1069</v>
      </c>
      <c r="D323" t="s">
        <v>1244</v>
      </c>
      <c r="E323" t="s">
        <v>19</v>
      </c>
      <c r="F323" t="s">
        <v>28</v>
      </c>
      <c r="G323"/>
      <c r="H323" s="30" t="s">
        <v>1249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 t="s">
        <v>1533</v>
      </c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385</v>
      </c>
      <c r="C324" t="s">
        <v>1069</v>
      </c>
      <c r="D324" t="s">
        <v>386</v>
      </c>
      <c r="E324" s="30" t="s">
        <v>19</v>
      </c>
      <c r="F324" s="30" t="s">
        <v>28</v>
      </c>
      <c r="G324" s="30"/>
      <c r="H324" s="30" t="s">
        <v>788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384</v>
      </c>
      <c r="B325" t="s">
        <v>387</v>
      </c>
      <c r="C325" t="s">
        <v>1069</v>
      </c>
      <c r="D325" t="s">
        <v>388</v>
      </c>
      <c r="E325" s="30" t="s">
        <v>19</v>
      </c>
      <c r="F325" s="30" t="s">
        <v>28</v>
      </c>
      <c r="G325" s="30"/>
      <c r="H325" s="30" t="s">
        <v>789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s="97" customFormat="1" ht="15.75" thickBot="1" x14ac:dyDescent="0.3">
      <c r="A326" s="143" t="s">
        <v>389</v>
      </c>
      <c r="B326" s="143" t="s">
        <v>390</v>
      </c>
      <c r="C326" s="97" t="s">
        <v>1069</v>
      </c>
      <c r="D326" s="143" t="s">
        <v>391</v>
      </c>
      <c r="E326" s="98" t="s">
        <v>19</v>
      </c>
      <c r="F326" s="98" t="s">
        <v>1309</v>
      </c>
      <c r="G326" s="91"/>
      <c r="H326" s="91" t="s">
        <v>1496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</row>
    <row r="327" spans="1:42" ht="15.75" thickBot="1" x14ac:dyDescent="0.3">
      <c r="A327" t="s">
        <v>294</v>
      </c>
      <c r="B327" t="s">
        <v>392</v>
      </c>
      <c r="C327" t="s">
        <v>1069</v>
      </c>
      <c r="D327" t="s">
        <v>393</v>
      </c>
      <c r="E327" s="30" t="s">
        <v>19</v>
      </c>
      <c r="F327" s="30" t="s">
        <v>28</v>
      </c>
      <c r="G327" s="30"/>
      <c r="H327" s="30" t="s">
        <v>792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1017</v>
      </c>
      <c r="C328" t="s">
        <v>1069</v>
      </c>
      <c r="D328" t="s">
        <v>394</v>
      </c>
      <c r="E328" s="30" t="s">
        <v>19</v>
      </c>
      <c r="F328" s="30" t="s">
        <v>28</v>
      </c>
      <c r="G328" s="30"/>
      <c r="H328" s="30" t="s">
        <v>793</v>
      </c>
      <c r="I328" s="31">
        <f t="shared" si="17"/>
        <v>12</v>
      </c>
      <c r="J328" s="31">
        <f t="shared" si="18"/>
        <v>16</v>
      </c>
      <c r="K328" s="32">
        <f t="shared" si="19"/>
        <v>0.42857142857142855</v>
      </c>
      <c r="L328" s="72" t="s">
        <v>1533</v>
      </c>
      <c r="M328" s="72" t="s">
        <v>1533</v>
      </c>
      <c r="N328" s="72" t="s">
        <v>1533</v>
      </c>
      <c r="O328" s="72" t="s">
        <v>1533</v>
      </c>
      <c r="P328" s="72" t="s">
        <v>1533</v>
      </c>
      <c r="Q328" s="72" t="s">
        <v>1533</v>
      </c>
      <c r="R328" s="72" t="s">
        <v>1533</v>
      </c>
      <c r="S328" s="72" t="s">
        <v>1533</v>
      </c>
      <c r="T328" s="72" t="s">
        <v>1533</v>
      </c>
      <c r="U328" s="72" t="s">
        <v>1533</v>
      </c>
      <c r="V328" s="72" t="s">
        <v>1533</v>
      </c>
      <c r="W328" s="72" t="s">
        <v>1533</v>
      </c>
      <c r="X328" s="72" t="s">
        <v>1533</v>
      </c>
      <c r="Y328" s="72" t="s">
        <v>1533</v>
      </c>
      <c r="Z328" s="72" t="s">
        <v>1533</v>
      </c>
      <c r="AA328" s="72" t="s">
        <v>1533</v>
      </c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395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790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397</v>
      </c>
      <c r="C330" t="s">
        <v>1069</v>
      </c>
      <c r="D330" t="s">
        <v>396</v>
      </c>
      <c r="E330" s="30" t="s">
        <v>73</v>
      </c>
      <c r="F330" s="30" t="s">
        <v>28</v>
      </c>
      <c r="G330" s="30"/>
      <c r="H330" s="30" t="s">
        <v>791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1272</v>
      </c>
      <c r="C331" t="s">
        <v>1069</v>
      </c>
      <c r="D331" t="s">
        <v>1273</v>
      </c>
      <c r="E331" s="30" t="s">
        <v>15</v>
      </c>
      <c r="F331" s="30" t="s">
        <v>1063</v>
      </c>
      <c r="G331" s="30" t="s">
        <v>1275</v>
      </c>
      <c r="H331" s="30" t="s">
        <v>1274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1322</v>
      </c>
      <c r="C332" s="87" t="s">
        <v>1070</v>
      </c>
      <c r="D332" t="s">
        <v>1323</v>
      </c>
      <c r="E332" s="30" t="s">
        <v>15</v>
      </c>
      <c r="F332" s="30" t="s">
        <v>1309</v>
      </c>
      <c r="G332" s="30"/>
      <c r="H332" s="30" t="s">
        <v>1324</v>
      </c>
      <c r="I332" s="31">
        <f t="shared" si="17"/>
        <v>27</v>
      </c>
      <c r="J332" s="31">
        <f t="shared" si="18"/>
        <v>1</v>
      </c>
      <c r="K332" s="32">
        <f t="shared" si="19"/>
        <v>0.9642857142857143</v>
      </c>
      <c r="L332" s="72" t="s">
        <v>1533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s="97" customFormat="1" ht="15.75" thickBot="1" x14ac:dyDescent="0.3">
      <c r="A333" s="97" t="s">
        <v>402</v>
      </c>
      <c r="B333" s="97" t="s">
        <v>407</v>
      </c>
      <c r="C333" s="97" t="s">
        <v>1069</v>
      </c>
      <c r="D333" s="97" t="s">
        <v>408</v>
      </c>
      <c r="E333" s="98" t="s">
        <v>15</v>
      </c>
      <c r="F333" s="98" t="s">
        <v>20</v>
      </c>
      <c r="G333" s="98"/>
      <c r="H333" s="98" t="s">
        <v>794</v>
      </c>
      <c r="I333" s="31">
        <f t="shared" si="17"/>
        <v>12</v>
      </c>
      <c r="J333" s="31">
        <f t="shared" si="18"/>
        <v>16</v>
      </c>
      <c r="K333" s="32">
        <f t="shared" si="19"/>
        <v>0.42857142857142855</v>
      </c>
      <c r="L333" s="72" t="s">
        <v>1533</v>
      </c>
      <c r="M333" s="72" t="s">
        <v>1533</v>
      </c>
      <c r="N333" s="72" t="s">
        <v>1533</v>
      </c>
      <c r="O333" s="72" t="s">
        <v>1533</v>
      </c>
      <c r="P333" s="72" t="s">
        <v>1533</v>
      </c>
      <c r="Q333" s="72" t="s">
        <v>1533</v>
      </c>
      <c r="R333" s="72" t="s">
        <v>1533</v>
      </c>
      <c r="S333" s="72" t="s">
        <v>1533</v>
      </c>
      <c r="T333" s="72" t="s">
        <v>1533</v>
      </c>
      <c r="U333" s="72" t="s">
        <v>1533</v>
      </c>
      <c r="V333" s="72" t="s">
        <v>1533</v>
      </c>
      <c r="W333" s="72" t="s">
        <v>1533</v>
      </c>
      <c r="X333" s="72" t="s">
        <v>1533</v>
      </c>
      <c r="Y333" s="72" t="s">
        <v>1533</v>
      </c>
      <c r="Z333" s="72" t="s">
        <v>1533</v>
      </c>
      <c r="AA333" s="72" t="s">
        <v>1533</v>
      </c>
      <c r="AB333" s="72"/>
      <c r="AC333" s="72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</row>
    <row r="334" spans="1:42" s="143" customFormat="1" ht="15.75" thickBot="1" x14ac:dyDescent="0.3">
      <c r="A334" s="143" t="s">
        <v>384</v>
      </c>
      <c r="B334" s="143" t="s">
        <v>398</v>
      </c>
      <c r="C334" s="143" t="s">
        <v>1069</v>
      </c>
      <c r="D334" s="143" t="s">
        <v>399</v>
      </c>
      <c r="E334" s="91" t="s">
        <v>19</v>
      </c>
      <c r="F334" s="91" t="s">
        <v>1498</v>
      </c>
      <c r="G334" s="91"/>
      <c r="H334" s="91" t="s">
        <v>1297</v>
      </c>
      <c r="I334" s="144">
        <f t="shared" si="17"/>
        <v>12</v>
      </c>
      <c r="J334" s="144">
        <f t="shared" si="18"/>
        <v>16</v>
      </c>
      <c r="K334" s="145">
        <f t="shared" si="19"/>
        <v>0.42857142857142855</v>
      </c>
      <c r="L334" s="146" t="s">
        <v>1533</v>
      </c>
      <c r="M334" s="146" t="s">
        <v>1533</v>
      </c>
      <c r="N334" s="146" t="s">
        <v>1533</v>
      </c>
      <c r="O334" s="146" t="s">
        <v>1533</v>
      </c>
      <c r="P334" s="146" t="s">
        <v>1533</v>
      </c>
      <c r="Q334" s="146" t="s">
        <v>1533</v>
      </c>
      <c r="R334" s="146" t="s">
        <v>1533</v>
      </c>
      <c r="S334" s="146" t="s">
        <v>1533</v>
      </c>
      <c r="T334" s="146" t="s">
        <v>1533</v>
      </c>
      <c r="U334" s="146" t="s">
        <v>1533</v>
      </c>
      <c r="V334" s="146" t="s">
        <v>1533</v>
      </c>
      <c r="W334" s="146" t="s">
        <v>1533</v>
      </c>
      <c r="X334" s="146" t="s">
        <v>1533</v>
      </c>
      <c r="Y334" s="146" t="s">
        <v>1533</v>
      </c>
      <c r="Z334" s="146" t="s">
        <v>1533</v>
      </c>
      <c r="AA334" s="146" t="s">
        <v>1533</v>
      </c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</row>
    <row r="335" spans="1:42" s="75" customFormat="1" ht="15.75" thickBot="1" x14ac:dyDescent="0.3">
      <c r="A335" s="75" t="s">
        <v>384</v>
      </c>
      <c r="B335" s="75" t="s">
        <v>400</v>
      </c>
      <c r="C335" s="75" t="s">
        <v>1069</v>
      </c>
      <c r="D335" s="75" t="s">
        <v>401</v>
      </c>
      <c r="E335" s="89" t="s">
        <v>15</v>
      </c>
      <c r="F335" s="89" t="s">
        <v>28</v>
      </c>
      <c r="G335" s="89"/>
      <c r="H335" s="89" t="s">
        <v>1532</v>
      </c>
      <c r="I335" s="93">
        <f t="shared" si="17"/>
        <v>27</v>
      </c>
      <c r="J335" s="93">
        <f t="shared" si="18"/>
        <v>1</v>
      </c>
      <c r="K335" s="94">
        <f t="shared" si="19"/>
        <v>0.9642857142857143</v>
      </c>
      <c r="L335" s="95"/>
      <c r="M335" s="95"/>
      <c r="N335" s="95"/>
      <c r="O335" s="95"/>
      <c r="P335" s="95" t="s">
        <v>1533</v>
      </c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75" thickBot="1" x14ac:dyDescent="0.3">
      <c r="A336" t="s">
        <v>402</v>
      </c>
      <c r="B336" t="s">
        <v>403</v>
      </c>
      <c r="C336" t="s">
        <v>1069</v>
      </c>
      <c r="D336" t="s">
        <v>404</v>
      </c>
      <c r="E336" s="30" t="s">
        <v>19</v>
      </c>
      <c r="F336" s="30" t="s">
        <v>28</v>
      </c>
      <c r="G336" s="30"/>
      <c r="H336" s="30" t="s">
        <v>795</v>
      </c>
      <c r="I336" s="31">
        <f t="shared" si="17"/>
        <v>25</v>
      </c>
      <c r="J336" s="31">
        <f t="shared" si="18"/>
        <v>3</v>
      </c>
      <c r="K336" s="32">
        <f t="shared" si="19"/>
        <v>0.8928571428571429</v>
      </c>
      <c r="L336" s="72"/>
      <c r="M336" s="72" t="s">
        <v>1533</v>
      </c>
      <c r="N336" s="72" t="s">
        <v>1533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 t="s">
        <v>1533</v>
      </c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405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796</v>
      </c>
      <c r="I337" s="31">
        <f t="shared" si="17"/>
        <v>25</v>
      </c>
      <c r="J337" s="31">
        <f t="shared" si="18"/>
        <v>3</v>
      </c>
      <c r="K337" s="32">
        <f t="shared" si="19"/>
        <v>0.8928571428571429</v>
      </c>
      <c r="L337" s="72"/>
      <c r="M337" s="72" t="s">
        <v>1533</v>
      </c>
      <c r="N337" s="72" t="s">
        <v>1533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 t="s">
        <v>1533</v>
      </c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406</v>
      </c>
      <c r="C338" t="s">
        <v>1069</v>
      </c>
      <c r="D338" t="s">
        <v>404</v>
      </c>
      <c r="E338" s="30" t="s">
        <v>73</v>
      </c>
      <c r="F338" s="30" t="s">
        <v>28</v>
      </c>
      <c r="G338" s="30"/>
      <c r="H338" s="30" t="s">
        <v>797</v>
      </c>
      <c r="I338" s="31">
        <f t="shared" si="17"/>
        <v>25</v>
      </c>
      <c r="J338" s="31">
        <f t="shared" si="18"/>
        <v>3</v>
      </c>
      <c r="K338" s="32">
        <f t="shared" si="19"/>
        <v>0.8928571428571429</v>
      </c>
      <c r="L338" s="72"/>
      <c r="M338" s="72" t="s">
        <v>1533</v>
      </c>
      <c r="N338" s="72" t="s">
        <v>1533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1533</v>
      </c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410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798</v>
      </c>
      <c r="I339" s="31">
        <f t="shared" ref="I339:I402" si="20">COUNTIF(L339:AM339,"")</f>
        <v>28</v>
      </c>
      <c r="J339" s="31">
        <f t="shared" ref="J339:J402" si="21">COUNTIF(L339:AM339,"APAGADO")</f>
        <v>0</v>
      </c>
      <c r="K339" s="32">
        <f t="shared" ref="K339:K402" si="22">(I339)/(J339+I339)</f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409</v>
      </c>
      <c r="B340" t="s">
        <v>412</v>
      </c>
      <c r="C340" t="s">
        <v>1069</v>
      </c>
      <c r="D340" t="s">
        <v>411</v>
      </c>
      <c r="E340" s="30" t="s">
        <v>73</v>
      </c>
      <c r="F340" s="30" t="s">
        <v>28</v>
      </c>
      <c r="G340" s="30"/>
      <c r="H340" s="30" t="s">
        <v>799</v>
      </c>
      <c r="I340" s="31">
        <f t="shared" si="20"/>
        <v>28</v>
      </c>
      <c r="J340" s="31">
        <f t="shared" si="21"/>
        <v>0</v>
      </c>
      <c r="K340" s="32">
        <f t="shared" si="22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413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800</v>
      </c>
      <c r="I341" s="31">
        <f t="shared" si="20"/>
        <v>25</v>
      </c>
      <c r="J341" s="31">
        <f t="shared" si="21"/>
        <v>3</v>
      </c>
      <c r="K341" s="32">
        <f t="shared" si="22"/>
        <v>0.8928571428571429</v>
      </c>
      <c r="L341" s="72"/>
      <c r="M341" s="72" t="s">
        <v>1533</v>
      </c>
      <c r="N341" s="72" t="s">
        <v>1533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 t="s">
        <v>1533</v>
      </c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415</v>
      </c>
      <c r="C342" t="s">
        <v>1069</v>
      </c>
      <c r="D342" t="s">
        <v>414</v>
      </c>
      <c r="E342" s="30" t="s">
        <v>73</v>
      </c>
      <c r="F342" s="30" t="s">
        <v>28</v>
      </c>
      <c r="G342" s="30"/>
      <c r="H342" s="30" t="s">
        <v>801</v>
      </c>
      <c r="I342" s="31">
        <f t="shared" si="20"/>
        <v>25</v>
      </c>
      <c r="J342" s="31">
        <f t="shared" si="21"/>
        <v>3</v>
      </c>
      <c r="K342" s="32">
        <f t="shared" si="22"/>
        <v>0.8928571428571429</v>
      </c>
      <c r="L342" s="72"/>
      <c r="M342" s="72" t="s">
        <v>1533</v>
      </c>
      <c r="N342" s="72" t="s">
        <v>1533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 t="s">
        <v>1533</v>
      </c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416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802</v>
      </c>
      <c r="I343" s="31">
        <f t="shared" si="20"/>
        <v>25</v>
      </c>
      <c r="J343" s="31">
        <f t="shared" si="21"/>
        <v>3</v>
      </c>
      <c r="K343" s="32">
        <f t="shared" si="22"/>
        <v>0.8928571428571429</v>
      </c>
      <c r="L343" s="72"/>
      <c r="M343" s="72" t="s">
        <v>1533</v>
      </c>
      <c r="N343" s="72" t="s">
        <v>1533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1533</v>
      </c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418</v>
      </c>
      <c r="C344" t="s">
        <v>1069</v>
      </c>
      <c r="D344" t="s">
        <v>417</v>
      </c>
      <c r="E344" s="30" t="s">
        <v>73</v>
      </c>
      <c r="F344" s="30" t="s">
        <v>28</v>
      </c>
      <c r="G344" s="30"/>
      <c r="H344" s="30" t="s">
        <v>803</v>
      </c>
      <c r="I344" s="31">
        <f t="shared" si="20"/>
        <v>25</v>
      </c>
      <c r="J344" s="31">
        <f t="shared" si="21"/>
        <v>3</v>
      </c>
      <c r="K344" s="32">
        <f t="shared" si="22"/>
        <v>0.8928571428571429</v>
      </c>
      <c r="L344" s="72"/>
      <c r="M344" s="72" t="s">
        <v>1533</v>
      </c>
      <c r="N344" s="72" t="s">
        <v>1533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1533</v>
      </c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409</v>
      </c>
      <c r="B345" t="s">
        <v>908</v>
      </c>
      <c r="C345" t="s">
        <v>1069</v>
      </c>
      <c r="D345" t="s">
        <v>909</v>
      </c>
      <c r="E345" s="30" t="s">
        <v>19</v>
      </c>
      <c r="F345" s="30" t="s">
        <v>28</v>
      </c>
      <c r="G345" s="30"/>
      <c r="H345" s="30" t="s">
        <v>916</v>
      </c>
      <c r="I345" s="31">
        <f t="shared" si="20"/>
        <v>27</v>
      </c>
      <c r="J345" s="31">
        <f t="shared" si="21"/>
        <v>1</v>
      </c>
      <c r="K345" s="32">
        <f t="shared" si="22"/>
        <v>0.9642857142857143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1533</v>
      </c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910</v>
      </c>
      <c r="C346" t="s">
        <v>1069</v>
      </c>
      <c r="D346" t="s">
        <v>911</v>
      </c>
      <c r="E346" s="30" t="s">
        <v>19</v>
      </c>
      <c r="F346" s="30" t="s">
        <v>28</v>
      </c>
      <c r="G346" s="30"/>
      <c r="H346" s="30" t="s">
        <v>917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/>
      <c r="M346" s="72" t="s">
        <v>1533</v>
      </c>
      <c r="N346" s="72" t="s">
        <v>1533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1533</v>
      </c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1018</v>
      </c>
      <c r="C347" t="s">
        <v>1069</v>
      </c>
      <c r="D347" t="s">
        <v>1019</v>
      </c>
      <c r="E347" s="30" t="s">
        <v>19</v>
      </c>
      <c r="F347" s="30" t="s">
        <v>28</v>
      </c>
      <c r="G347" s="30"/>
      <c r="H347" s="30" t="s">
        <v>1227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/>
      <c r="M347" s="72" t="s">
        <v>1533</v>
      </c>
      <c r="N347" s="72" t="s">
        <v>1533</v>
      </c>
      <c r="O347" s="72"/>
      <c r="P347" s="72" t="s">
        <v>1533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1446</v>
      </c>
      <c r="C348" t="s">
        <v>1069</v>
      </c>
      <c r="D348" t="s">
        <v>1449</v>
      </c>
      <c r="E348" s="92"/>
      <c r="F348" s="30" t="s">
        <v>28</v>
      </c>
      <c r="G348" s="30"/>
      <c r="H348" s="89" t="s">
        <v>1450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</row>
    <row r="349" spans="1:42" ht="15.75" thickBot="1" x14ac:dyDescent="0.3">
      <c r="A349" t="s">
        <v>402</v>
      </c>
      <c r="B349" t="s">
        <v>1447</v>
      </c>
      <c r="C349" t="s">
        <v>1069</v>
      </c>
      <c r="D349" t="s">
        <v>1449</v>
      </c>
      <c r="E349" s="92"/>
      <c r="F349" s="30" t="s">
        <v>28</v>
      </c>
      <c r="G349" s="30"/>
      <c r="H349" s="89" t="s">
        <v>1518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402</v>
      </c>
      <c r="B350" t="s">
        <v>1448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1516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96"/>
      <c r="AP350" s="96"/>
    </row>
    <row r="351" spans="1:42" ht="15.75" thickBot="1" x14ac:dyDescent="0.3">
      <c r="A351" t="s">
        <v>196</v>
      </c>
      <c r="B351" t="s">
        <v>419</v>
      </c>
      <c r="C351" t="s">
        <v>1070</v>
      </c>
      <c r="D351" t="s">
        <v>420</v>
      </c>
      <c r="E351" s="30" t="s">
        <v>15</v>
      </c>
      <c r="F351" s="30" t="s">
        <v>20</v>
      </c>
      <c r="G351" s="30"/>
      <c r="H351" s="30" t="s">
        <v>805</v>
      </c>
      <c r="I351" s="31">
        <f t="shared" si="20"/>
        <v>18</v>
      </c>
      <c r="J351" s="31">
        <f t="shared" si="21"/>
        <v>10</v>
      </c>
      <c r="K351" s="32">
        <f t="shared" si="22"/>
        <v>0.6428571428571429</v>
      </c>
      <c r="L351" s="72"/>
      <c r="M351" s="72"/>
      <c r="N351" s="72"/>
      <c r="O351" s="72" t="s">
        <v>1533</v>
      </c>
      <c r="P351" s="72"/>
      <c r="Q351" s="72" t="s">
        <v>1533</v>
      </c>
      <c r="R351" s="72" t="s">
        <v>1533</v>
      </c>
      <c r="S351" s="72" t="s">
        <v>1533</v>
      </c>
      <c r="T351" s="72" t="s">
        <v>1533</v>
      </c>
      <c r="U351" s="72" t="s">
        <v>1533</v>
      </c>
      <c r="V351" s="72" t="s">
        <v>1533</v>
      </c>
      <c r="W351" s="72" t="s">
        <v>1533</v>
      </c>
      <c r="X351" s="72" t="s">
        <v>1533</v>
      </c>
      <c r="Y351" s="72" t="s">
        <v>1533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421</v>
      </c>
      <c r="C352" t="s">
        <v>1070</v>
      </c>
      <c r="D352" t="s">
        <v>422</v>
      </c>
      <c r="E352" s="30" t="s">
        <v>15</v>
      </c>
      <c r="F352" s="30" t="s">
        <v>1309</v>
      </c>
      <c r="G352" s="30"/>
      <c r="H352" s="30" t="s">
        <v>1440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1020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1289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1022</v>
      </c>
      <c r="C354" t="s">
        <v>1070</v>
      </c>
      <c r="D354" t="s">
        <v>1021</v>
      </c>
      <c r="E354" s="30" t="s">
        <v>73</v>
      </c>
      <c r="F354" s="30" t="s">
        <v>20</v>
      </c>
      <c r="G354" s="30"/>
      <c r="H354" s="30" t="s">
        <v>1408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423</v>
      </c>
      <c r="C355" t="s">
        <v>1070</v>
      </c>
      <c r="D355" t="s">
        <v>424</v>
      </c>
      <c r="E355" s="30" t="s">
        <v>19</v>
      </c>
      <c r="F355" s="30" t="s">
        <v>20</v>
      </c>
      <c r="G355" s="30"/>
      <c r="H355" s="30" t="s">
        <v>1441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425</v>
      </c>
      <c r="C356" t="s">
        <v>1070</v>
      </c>
      <c r="D356" t="s">
        <v>426</v>
      </c>
      <c r="E356" s="30" t="s">
        <v>19</v>
      </c>
      <c r="F356" s="30" t="s">
        <v>20</v>
      </c>
      <c r="G356" s="30"/>
      <c r="H356" s="30" t="s">
        <v>804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427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807</v>
      </c>
      <c r="I357" s="31">
        <f t="shared" si="20"/>
        <v>24</v>
      </c>
      <c r="J357" s="31">
        <f t="shared" si="21"/>
        <v>4</v>
      </c>
      <c r="K357" s="32">
        <f t="shared" si="22"/>
        <v>0.8571428571428571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 t="s">
        <v>1533</v>
      </c>
      <c r="Y357" s="72" t="s">
        <v>1533</v>
      </c>
      <c r="Z357" s="72" t="s">
        <v>1533</v>
      </c>
      <c r="AA357" s="72" t="s">
        <v>1533</v>
      </c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429</v>
      </c>
      <c r="C358" t="s">
        <v>1070</v>
      </c>
      <c r="D358" t="s">
        <v>428</v>
      </c>
      <c r="E358" s="30" t="s">
        <v>73</v>
      </c>
      <c r="F358" s="30" t="s">
        <v>28</v>
      </c>
      <c r="G358" s="30"/>
      <c r="H358" s="30" t="s">
        <v>808</v>
      </c>
      <c r="I358" s="31">
        <f t="shared" si="20"/>
        <v>24</v>
      </c>
      <c r="J358" s="31">
        <f t="shared" si="21"/>
        <v>4</v>
      </c>
      <c r="K358" s="32">
        <f t="shared" si="22"/>
        <v>0.8571428571428571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 t="s">
        <v>1533</v>
      </c>
      <c r="Y358" s="72" t="s">
        <v>1533</v>
      </c>
      <c r="Z358" s="72" t="s">
        <v>1533</v>
      </c>
      <c r="AA358" s="72" t="s">
        <v>1533</v>
      </c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430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809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432</v>
      </c>
      <c r="C360" t="s">
        <v>1070</v>
      </c>
      <c r="D360" t="s">
        <v>431</v>
      </c>
      <c r="E360" s="30" t="s">
        <v>73</v>
      </c>
      <c r="F360" s="30" t="s">
        <v>28</v>
      </c>
      <c r="G360" s="30"/>
      <c r="H360" s="30" t="s">
        <v>810</v>
      </c>
      <c r="I360" s="31">
        <f t="shared" si="20"/>
        <v>28</v>
      </c>
      <c r="J360" s="31">
        <f t="shared" si="21"/>
        <v>0</v>
      </c>
      <c r="K360" s="32">
        <f t="shared" si="22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s="97" customFormat="1" ht="15.75" thickBot="1" x14ac:dyDescent="0.3">
      <c r="A361" s="97" t="s">
        <v>433</v>
      </c>
      <c r="B361" s="97" t="s">
        <v>434</v>
      </c>
      <c r="C361" s="97" t="s">
        <v>1070</v>
      </c>
      <c r="D361" s="97" t="s">
        <v>435</v>
      </c>
      <c r="E361" s="98" t="s">
        <v>19</v>
      </c>
      <c r="F361" s="98" t="s">
        <v>20</v>
      </c>
      <c r="G361" s="98"/>
      <c r="H361" s="98" t="s">
        <v>811</v>
      </c>
      <c r="I361" s="31">
        <f t="shared" si="20"/>
        <v>13</v>
      </c>
      <c r="J361" s="31">
        <f t="shared" si="21"/>
        <v>15</v>
      </c>
      <c r="K361" s="32">
        <f t="shared" si="22"/>
        <v>0.4642857142857143</v>
      </c>
      <c r="L361" s="72" t="s">
        <v>1533</v>
      </c>
      <c r="M361" s="72" t="s">
        <v>1533</v>
      </c>
      <c r="N361" s="72" t="s">
        <v>1533</v>
      </c>
      <c r="O361" s="72" t="s">
        <v>1533</v>
      </c>
      <c r="P361" s="72"/>
      <c r="Q361" s="72" t="s">
        <v>1533</v>
      </c>
      <c r="R361" s="72" t="s">
        <v>1533</v>
      </c>
      <c r="S361" s="72" t="s">
        <v>1533</v>
      </c>
      <c r="T361" s="72" t="s">
        <v>1533</v>
      </c>
      <c r="U361" s="72" t="s">
        <v>1533</v>
      </c>
      <c r="V361" s="72" t="s">
        <v>1533</v>
      </c>
      <c r="W361" s="72" t="s">
        <v>1533</v>
      </c>
      <c r="X361" s="72" t="s">
        <v>1533</v>
      </c>
      <c r="Y361" s="72" t="s">
        <v>1533</v>
      </c>
      <c r="Z361" s="72" t="s">
        <v>1533</v>
      </c>
      <c r="AA361" s="72" t="s">
        <v>1533</v>
      </c>
      <c r="AB361" s="72"/>
      <c r="AC361" s="72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</row>
    <row r="362" spans="1:42" ht="15.75" thickBot="1" x14ac:dyDescent="0.3">
      <c r="A362" t="s">
        <v>433</v>
      </c>
      <c r="B362" t="s">
        <v>1362</v>
      </c>
      <c r="C362" t="s">
        <v>1070</v>
      </c>
      <c r="D362" t="s">
        <v>1363</v>
      </c>
      <c r="E362" s="30"/>
      <c r="F362" s="30"/>
      <c r="G362" s="30"/>
      <c r="H362" s="30" t="s">
        <v>1424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433</v>
      </c>
      <c r="B363" t="s">
        <v>1412</v>
      </c>
      <c r="C363" t="s">
        <v>1070</v>
      </c>
      <c r="D363" t="s">
        <v>1413</v>
      </c>
      <c r="E363" s="90"/>
      <c r="F363" s="91" t="s">
        <v>28</v>
      </c>
      <c r="G363" s="91"/>
      <c r="H363" s="91" t="s">
        <v>1414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</row>
    <row r="364" spans="1:42" ht="15.75" thickBot="1" x14ac:dyDescent="0.3">
      <c r="A364" t="s">
        <v>438</v>
      </c>
      <c r="B364" t="s">
        <v>445</v>
      </c>
      <c r="C364" t="s">
        <v>1070</v>
      </c>
      <c r="D364" t="s">
        <v>446</v>
      </c>
      <c r="E364" s="30" t="s">
        <v>15</v>
      </c>
      <c r="F364" s="30" t="s">
        <v>1309</v>
      </c>
      <c r="G364" s="30"/>
      <c r="H364" s="30" t="s">
        <v>1383</v>
      </c>
      <c r="I364" s="31">
        <f t="shared" si="20"/>
        <v>25</v>
      </c>
      <c r="J364" s="31">
        <f t="shared" si="21"/>
        <v>3</v>
      </c>
      <c r="K364" s="32">
        <f t="shared" si="22"/>
        <v>0.8928571428571429</v>
      </c>
      <c r="L364" s="72"/>
      <c r="M364" s="72"/>
      <c r="N364" s="72"/>
      <c r="O364" s="72"/>
      <c r="P364" s="72"/>
      <c r="Q364" s="72"/>
      <c r="R364" s="72"/>
      <c r="S364" s="72" t="s">
        <v>1533</v>
      </c>
      <c r="T364" s="72" t="s">
        <v>1533</v>
      </c>
      <c r="U364" s="72" t="s">
        <v>1533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438</v>
      </c>
      <c r="B365" t="s">
        <v>447</v>
      </c>
      <c r="C365" t="s">
        <v>1070</v>
      </c>
      <c r="D365" t="s">
        <v>448</v>
      </c>
      <c r="E365" s="30" t="s">
        <v>19</v>
      </c>
      <c r="F365" s="30" t="s">
        <v>1309</v>
      </c>
      <c r="G365" s="30"/>
      <c r="H365" s="30" t="s">
        <v>1433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s="97" customFormat="1" ht="15.75" thickBot="1" x14ac:dyDescent="0.3">
      <c r="A366" s="97" t="s">
        <v>438</v>
      </c>
      <c r="B366" s="97" t="s">
        <v>436</v>
      </c>
      <c r="C366" s="97" t="s">
        <v>1070</v>
      </c>
      <c r="D366" s="97" t="s">
        <v>437</v>
      </c>
      <c r="E366" s="98" t="s">
        <v>19</v>
      </c>
      <c r="F366" s="98" t="s">
        <v>20</v>
      </c>
      <c r="G366" s="98"/>
      <c r="H366" s="98" t="s">
        <v>812</v>
      </c>
      <c r="I366" s="31">
        <f t="shared" si="20"/>
        <v>12</v>
      </c>
      <c r="J366" s="31">
        <f t="shared" si="21"/>
        <v>16</v>
      </c>
      <c r="K366" s="32">
        <f t="shared" si="22"/>
        <v>0.42857142857142855</v>
      </c>
      <c r="L366" s="72" t="s">
        <v>1533</v>
      </c>
      <c r="M366" s="72" t="s">
        <v>1533</v>
      </c>
      <c r="N366" s="72" t="s">
        <v>1533</v>
      </c>
      <c r="O366" s="72" t="s">
        <v>1533</v>
      </c>
      <c r="P366" s="72" t="s">
        <v>1533</v>
      </c>
      <c r="Q366" s="72" t="s">
        <v>1533</v>
      </c>
      <c r="R366" s="72" t="s">
        <v>1533</v>
      </c>
      <c r="S366" s="72" t="s">
        <v>1533</v>
      </c>
      <c r="T366" s="72" t="s">
        <v>1533</v>
      </c>
      <c r="U366" s="72" t="s">
        <v>1533</v>
      </c>
      <c r="V366" s="72" t="s">
        <v>1533</v>
      </c>
      <c r="W366" s="72" t="s">
        <v>1533</v>
      </c>
      <c r="X366" s="72" t="s">
        <v>1533</v>
      </c>
      <c r="Y366" s="72" t="s">
        <v>1533</v>
      </c>
      <c r="Z366" s="72" t="s">
        <v>1533</v>
      </c>
      <c r="AA366" s="72" t="s">
        <v>1533</v>
      </c>
      <c r="AB366" s="72"/>
      <c r="AC366" s="72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</row>
    <row r="367" spans="1:42" ht="15.75" thickBot="1" x14ac:dyDescent="0.3">
      <c r="A367" t="s">
        <v>438</v>
      </c>
      <c r="B367" t="s">
        <v>439</v>
      </c>
      <c r="C367" t="s">
        <v>1070</v>
      </c>
      <c r="D367" t="s">
        <v>440</v>
      </c>
      <c r="E367" s="30" t="s">
        <v>46</v>
      </c>
      <c r="F367" s="30" t="s">
        <v>28</v>
      </c>
      <c r="G367" s="30"/>
      <c r="H367" s="30" t="s">
        <v>1384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1533</v>
      </c>
      <c r="T367" s="72" t="s">
        <v>1533</v>
      </c>
      <c r="U367" s="72" t="s">
        <v>1533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 t="s">
        <v>1473</v>
      </c>
      <c r="AP367" s="72"/>
    </row>
    <row r="368" spans="1:42" ht="15.75" thickBot="1" x14ac:dyDescent="0.3">
      <c r="A368" t="s">
        <v>438</v>
      </c>
      <c r="B368" t="s">
        <v>449</v>
      </c>
      <c r="C368" t="s">
        <v>1070</v>
      </c>
      <c r="D368" t="s">
        <v>450</v>
      </c>
      <c r="E368" s="30" t="s">
        <v>15</v>
      </c>
      <c r="F368" s="30" t="s">
        <v>1063</v>
      </c>
      <c r="G368" s="30" t="s">
        <v>1264</v>
      </c>
      <c r="H368" s="30" t="s">
        <v>813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441</v>
      </c>
      <c r="C369" t="s">
        <v>1070</v>
      </c>
      <c r="D369" t="s">
        <v>442</v>
      </c>
      <c r="E369" s="30" t="s">
        <v>15</v>
      </c>
      <c r="F369" s="30" t="s">
        <v>28</v>
      </c>
      <c r="G369" s="30"/>
      <c r="H369" s="30" t="s">
        <v>814</v>
      </c>
      <c r="I369" s="31">
        <f t="shared" si="20"/>
        <v>12</v>
      </c>
      <c r="J369" s="31">
        <f t="shared" si="21"/>
        <v>16</v>
      </c>
      <c r="K369" s="32">
        <f t="shared" si="22"/>
        <v>0.42857142857142855</v>
      </c>
      <c r="L369" s="72" t="s">
        <v>1533</v>
      </c>
      <c r="M369" s="72" t="s">
        <v>1533</v>
      </c>
      <c r="N369" s="72" t="s">
        <v>1533</v>
      </c>
      <c r="O369" s="72" t="s">
        <v>1533</v>
      </c>
      <c r="P369" s="72" t="s">
        <v>1533</v>
      </c>
      <c r="Q369" s="72" t="s">
        <v>1533</v>
      </c>
      <c r="R369" s="72" t="s">
        <v>1533</v>
      </c>
      <c r="S369" s="72" t="s">
        <v>1533</v>
      </c>
      <c r="T369" s="72" t="s">
        <v>1533</v>
      </c>
      <c r="U369" s="72" t="s">
        <v>1533</v>
      </c>
      <c r="V369" s="72" t="s">
        <v>1533</v>
      </c>
      <c r="W369" s="72" t="s">
        <v>1533</v>
      </c>
      <c r="X369" s="72" t="s">
        <v>1533</v>
      </c>
      <c r="Y369" s="72" t="s">
        <v>1533</v>
      </c>
      <c r="Z369" s="72" t="s">
        <v>1533</v>
      </c>
      <c r="AA369" s="72" t="s">
        <v>1533</v>
      </c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438</v>
      </c>
      <c r="B370" t="s">
        <v>443</v>
      </c>
      <c r="C370" t="s">
        <v>1070</v>
      </c>
      <c r="D370" t="s">
        <v>444</v>
      </c>
      <c r="E370" s="30" t="s">
        <v>15</v>
      </c>
      <c r="F370" s="30" t="s">
        <v>28</v>
      </c>
      <c r="G370" s="30"/>
      <c r="H370" s="30" t="s">
        <v>815</v>
      </c>
      <c r="I370" s="31">
        <f t="shared" si="20"/>
        <v>12</v>
      </c>
      <c r="J370" s="31">
        <f t="shared" si="21"/>
        <v>16</v>
      </c>
      <c r="K370" s="32">
        <f t="shared" si="22"/>
        <v>0.42857142857142855</v>
      </c>
      <c r="L370" s="72" t="s">
        <v>1533</v>
      </c>
      <c r="M370" s="72" t="s">
        <v>1533</v>
      </c>
      <c r="N370" s="72" t="s">
        <v>1533</v>
      </c>
      <c r="O370" s="72" t="s">
        <v>1533</v>
      </c>
      <c r="P370" s="72" t="s">
        <v>1533</v>
      </c>
      <c r="Q370" s="72" t="s">
        <v>1533</v>
      </c>
      <c r="R370" s="72" t="s">
        <v>1533</v>
      </c>
      <c r="S370" s="72" t="s">
        <v>1533</v>
      </c>
      <c r="T370" s="72" t="s">
        <v>1533</v>
      </c>
      <c r="U370" s="72" t="s">
        <v>1533</v>
      </c>
      <c r="V370" s="72" t="s">
        <v>1533</v>
      </c>
      <c r="W370" s="72" t="s">
        <v>1533</v>
      </c>
      <c r="X370" s="72" t="s">
        <v>1533</v>
      </c>
      <c r="Y370" s="72" t="s">
        <v>1533</v>
      </c>
      <c r="Z370" s="72" t="s">
        <v>1533</v>
      </c>
      <c r="AA370" s="72" t="s">
        <v>1533</v>
      </c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1131</v>
      </c>
      <c r="B371" t="s">
        <v>1132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1147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6.899999999999999" customHeight="1" thickBot="1" x14ac:dyDescent="0.3">
      <c r="A372" t="s">
        <v>1131</v>
      </c>
      <c r="B372" t="s">
        <v>1151</v>
      </c>
      <c r="C372" t="s">
        <v>1070</v>
      </c>
      <c r="D372" t="s">
        <v>1133</v>
      </c>
      <c r="E372" s="30" t="s">
        <v>1121</v>
      </c>
      <c r="F372" s="30" t="s">
        <v>28</v>
      </c>
      <c r="G372" s="30"/>
      <c r="H372" s="30" t="s">
        <v>1148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451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816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453</v>
      </c>
      <c r="C374" t="s">
        <v>1069</v>
      </c>
      <c r="D374" t="s">
        <v>452</v>
      </c>
      <c r="E374" s="30" t="s">
        <v>73</v>
      </c>
      <c r="F374" s="30" t="s">
        <v>28</v>
      </c>
      <c r="G374" s="30"/>
      <c r="H374" s="30" t="s">
        <v>817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1023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1024</v>
      </c>
      <c r="C376" t="s">
        <v>1069</v>
      </c>
      <c r="D376" t="s">
        <v>454</v>
      </c>
      <c r="E376" s="30" t="s">
        <v>73</v>
      </c>
      <c r="F376" s="30" t="s">
        <v>28</v>
      </c>
      <c r="G376" s="30"/>
      <c r="H376" s="30" t="s">
        <v>819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464</v>
      </c>
      <c r="C377" t="s">
        <v>1070</v>
      </c>
      <c r="D377" t="s">
        <v>1031</v>
      </c>
      <c r="E377" s="30" t="s">
        <v>19</v>
      </c>
      <c r="F377" s="30" t="s">
        <v>20</v>
      </c>
      <c r="G377" s="30"/>
      <c r="H377" s="30" t="s">
        <v>1420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350</v>
      </c>
      <c r="B378" t="s">
        <v>465</v>
      </c>
      <c r="C378" t="s">
        <v>1070</v>
      </c>
      <c r="D378" t="s">
        <v>1330</v>
      </c>
      <c r="E378" s="30" t="s">
        <v>19</v>
      </c>
      <c r="F378" s="30" t="s">
        <v>20</v>
      </c>
      <c r="G378" s="30"/>
      <c r="H378" s="30" t="s">
        <v>1421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466</v>
      </c>
      <c r="C379" t="s">
        <v>1070</v>
      </c>
      <c r="D379" t="s">
        <v>467</v>
      </c>
      <c r="E379" s="30" t="s">
        <v>19</v>
      </c>
      <c r="F379" s="30" t="s">
        <v>1309</v>
      </c>
      <c r="G379" s="30"/>
      <c r="H379" s="30" t="s">
        <v>1432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1025</v>
      </c>
      <c r="C380" t="s">
        <v>1070</v>
      </c>
      <c r="D380" t="s">
        <v>468</v>
      </c>
      <c r="E380" s="30" t="s">
        <v>19</v>
      </c>
      <c r="F380" s="30" t="s">
        <v>20</v>
      </c>
      <c r="G380" s="30"/>
      <c r="H380" s="30" t="s">
        <v>1337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1032</v>
      </c>
      <c r="C381" t="s">
        <v>1070</v>
      </c>
      <c r="D381" t="s">
        <v>456</v>
      </c>
      <c r="E381" s="30" t="s">
        <v>15</v>
      </c>
      <c r="F381" s="30" t="s">
        <v>20</v>
      </c>
      <c r="G381" s="30"/>
      <c r="H381" s="30" t="s">
        <v>822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1033</v>
      </c>
      <c r="C382" t="s">
        <v>1070</v>
      </c>
      <c r="D382" t="s">
        <v>457</v>
      </c>
      <c r="E382" s="30" t="s">
        <v>19</v>
      </c>
      <c r="F382" s="30" t="s">
        <v>28</v>
      </c>
      <c r="G382" s="30"/>
      <c r="H382" s="30" t="s">
        <v>823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1034</v>
      </c>
      <c r="C383" t="s">
        <v>1070</v>
      </c>
      <c r="D383" t="s">
        <v>458</v>
      </c>
      <c r="E383" s="30" t="s">
        <v>19</v>
      </c>
      <c r="F383" s="30" t="s">
        <v>28</v>
      </c>
      <c r="G383" s="30"/>
      <c r="H383" s="30" t="s">
        <v>824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459</v>
      </c>
      <c r="C384" t="s">
        <v>1070</v>
      </c>
      <c r="D384" t="s">
        <v>460</v>
      </c>
      <c r="E384" s="30" t="s">
        <v>19</v>
      </c>
      <c r="F384" s="30" t="s">
        <v>28</v>
      </c>
      <c r="G384" s="30"/>
      <c r="H384" s="30" t="s">
        <v>825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1035</v>
      </c>
      <c r="C385" t="s">
        <v>1070</v>
      </c>
      <c r="D385" t="s">
        <v>461</v>
      </c>
      <c r="E385" s="30" t="s">
        <v>15</v>
      </c>
      <c r="F385" s="30" t="s">
        <v>20</v>
      </c>
      <c r="G385" s="30"/>
      <c r="H385" s="30" t="s">
        <v>806</v>
      </c>
      <c r="I385" s="31">
        <f t="shared" si="20"/>
        <v>21</v>
      </c>
      <c r="J385" s="31">
        <f t="shared" si="21"/>
        <v>7</v>
      </c>
      <c r="K385" s="32">
        <f t="shared" si="22"/>
        <v>0.75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 t="s">
        <v>1533</v>
      </c>
      <c r="V385" s="72" t="s">
        <v>1533</v>
      </c>
      <c r="W385" s="72" t="s">
        <v>1533</v>
      </c>
      <c r="X385" s="72" t="s">
        <v>1533</v>
      </c>
      <c r="Y385" s="72" t="s">
        <v>1533</v>
      </c>
      <c r="Z385" s="72" t="s">
        <v>1533</v>
      </c>
      <c r="AA385" s="72" t="s">
        <v>1533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1036</v>
      </c>
      <c r="C386" t="s">
        <v>1070</v>
      </c>
      <c r="D386" t="s">
        <v>462</v>
      </c>
      <c r="E386" s="30" t="s">
        <v>15</v>
      </c>
      <c r="F386" s="30" t="s">
        <v>20</v>
      </c>
      <c r="G386" s="30"/>
      <c r="H386" s="30" t="s">
        <v>826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 t="s">
        <v>1533</v>
      </c>
      <c r="N386" s="72" t="s">
        <v>1533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1026</v>
      </c>
      <c r="C387" t="s">
        <v>1070</v>
      </c>
      <c r="D387" t="s">
        <v>469</v>
      </c>
      <c r="E387" s="30" t="s">
        <v>15</v>
      </c>
      <c r="F387" s="30" t="s">
        <v>20</v>
      </c>
      <c r="G387" s="30"/>
      <c r="H387" s="30" t="s">
        <v>820</v>
      </c>
      <c r="I387" s="31">
        <f t="shared" si="20"/>
        <v>25</v>
      </c>
      <c r="J387" s="31">
        <f t="shared" si="21"/>
        <v>3</v>
      </c>
      <c r="K387" s="32">
        <f t="shared" si="22"/>
        <v>0.8928571428571429</v>
      </c>
      <c r="L387" s="72" t="s">
        <v>1533</v>
      </c>
      <c r="M387" s="72" t="s">
        <v>1533</v>
      </c>
      <c r="N387" s="72" t="s">
        <v>1533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470</v>
      </c>
      <c r="C388" t="s">
        <v>1070</v>
      </c>
      <c r="D388" t="s">
        <v>471</v>
      </c>
      <c r="E388" s="30" t="s">
        <v>15</v>
      </c>
      <c r="F388" s="30" t="s">
        <v>20</v>
      </c>
      <c r="G388" s="30"/>
      <c r="H388" s="30" t="s">
        <v>821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1027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1422</v>
      </c>
      <c r="I389" s="31">
        <f t="shared" si="20"/>
        <v>28</v>
      </c>
      <c r="J389" s="31">
        <f t="shared" si="21"/>
        <v>0</v>
      </c>
      <c r="K389" s="32">
        <f t="shared" si="22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350</v>
      </c>
      <c r="B390" t="s">
        <v>1028</v>
      </c>
      <c r="C390" t="s">
        <v>1070</v>
      </c>
      <c r="D390" t="s">
        <v>472</v>
      </c>
      <c r="E390" s="30" t="s">
        <v>73</v>
      </c>
      <c r="F390" s="30" t="s">
        <v>20</v>
      </c>
      <c r="G390" s="30"/>
      <c r="H390" s="30" t="s">
        <v>1423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2"/>
      <c r="M390" s="72"/>
      <c r="N390" s="72"/>
      <c r="O390" s="72" t="s">
        <v>1533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 t="s">
        <v>1533</v>
      </c>
      <c r="AA390" s="72" t="s">
        <v>1533</v>
      </c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473</v>
      </c>
      <c r="C391" t="s">
        <v>1070</v>
      </c>
      <c r="D391" t="s">
        <v>474</v>
      </c>
      <c r="E391" s="30" t="s">
        <v>15</v>
      </c>
      <c r="F391" s="30" t="s">
        <v>28</v>
      </c>
      <c r="G391" s="30"/>
      <c r="H391" s="30" t="s">
        <v>827</v>
      </c>
      <c r="I391" s="31">
        <f t="shared" si="20"/>
        <v>16</v>
      </c>
      <c r="J391" s="31">
        <f t="shared" si="21"/>
        <v>12</v>
      </c>
      <c r="K391" s="32">
        <f t="shared" si="22"/>
        <v>0.5714285714285714</v>
      </c>
      <c r="L391" s="72"/>
      <c r="M391" s="72"/>
      <c r="N391" s="72"/>
      <c r="O391" s="72"/>
      <c r="P391" s="72" t="s">
        <v>1533</v>
      </c>
      <c r="Q391" s="72" t="s">
        <v>1533</v>
      </c>
      <c r="R391" s="72" t="s">
        <v>1533</v>
      </c>
      <c r="S391" s="72" t="s">
        <v>1533</v>
      </c>
      <c r="T391" s="72" t="s">
        <v>1533</v>
      </c>
      <c r="U391" s="72" t="s">
        <v>1533</v>
      </c>
      <c r="V391" s="72" t="s">
        <v>1533</v>
      </c>
      <c r="W391" s="72" t="s">
        <v>1533</v>
      </c>
      <c r="X391" s="72" t="s">
        <v>1533</v>
      </c>
      <c r="Y391" s="72" t="s">
        <v>1533</v>
      </c>
      <c r="Z391" s="72" t="s">
        <v>1533</v>
      </c>
      <c r="AA391" s="72" t="s">
        <v>1533</v>
      </c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1037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828</v>
      </c>
      <c r="I392" s="31">
        <f t="shared" si="20"/>
        <v>12</v>
      </c>
      <c r="J392" s="31">
        <f t="shared" si="21"/>
        <v>16</v>
      </c>
      <c r="K392" s="32">
        <f t="shared" si="22"/>
        <v>0.42857142857142855</v>
      </c>
      <c r="L392" s="72" t="s">
        <v>1533</v>
      </c>
      <c r="M392" s="72" t="s">
        <v>1533</v>
      </c>
      <c r="N392" s="72" t="s">
        <v>1533</v>
      </c>
      <c r="O392" s="72" t="s">
        <v>1533</v>
      </c>
      <c r="P392" s="72" t="s">
        <v>1533</v>
      </c>
      <c r="Q392" s="72" t="s">
        <v>1533</v>
      </c>
      <c r="R392" s="72" t="s">
        <v>1533</v>
      </c>
      <c r="S392" s="72" t="s">
        <v>1533</v>
      </c>
      <c r="T392" s="72" t="s">
        <v>1533</v>
      </c>
      <c r="U392" s="72" t="s">
        <v>1533</v>
      </c>
      <c r="V392" s="72" t="s">
        <v>1533</v>
      </c>
      <c r="W392" s="72" t="s">
        <v>1533</v>
      </c>
      <c r="X392" s="72" t="s">
        <v>1533</v>
      </c>
      <c r="Y392" s="72" t="s">
        <v>1533</v>
      </c>
      <c r="Z392" s="72" t="s">
        <v>1533</v>
      </c>
      <c r="AA392" s="72" t="s">
        <v>1533</v>
      </c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1038</v>
      </c>
      <c r="C393" t="s">
        <v>1070</v>
      </c>
      <c r="D393" t="s">
        <v>463</v>
      </c>
      <c r="E393" s="30" t="s">
        <v>73</v>
      </c>
      <c r="F393" s="30" t="s">
        <v>28</v>
      </c>
      <c r="G393" s="30"/>
      <c r="H393" s="30" t="s">
        <v>829</v>
      </c>
      <c r="I393" s="31">
        <f t="shared" si="20"/>
        <v>12</v>
      </c>
      <c r="J393" s="31">
        <f t="shared" si="21"/>
        <v>16</v>
      </c>
      <c r="K393" s="32">
        <f t="shared" si="22"/>
        <v>0.42857142857142855</v>
      </c>
      <c r="L393" s="72" t="s">
        <v>1533</v>
      </c>
      <c r="M393" s="72" t="s">
        <v>1533</v>
      </c>
      <c r="N393" s="72" t="s">
        <v>1533</v>
      </c>
      <c r="O393" s="72" t="s">
        <v>1533</v>
      </c>
      <c r="P393" s="72" t="s">
        <v>1533</v>
      </c>
      <c r="Q393" s="72" t="s">
        <v>1533</v>
      </c>
      <c r="R393" s="72" t="s">
        <v>1533</v>
      </c>
      <c r="S393" s="72" t="s">
        <v>1533</v>
      </c>
      <c r="T393" s="72" t="s">
        <v>1533</v>
      </c>
      <c r="U393" s="72" t="s">
        <v>1533</v>
      </c>
      <c r="V393" s="72" t="s">
        <v>1533</v>
      </c>
      <c r="W393" s="72" t="s">
        <v>1533</v>
      </c>
      <c r="X393" s="72" t="s">
        <v>1533</v>
      </c>
      <c r="Y393" s="72" t="s">
        <v>1533</v>
      </c>
      <c r="Z393" s="72" t="s">
        <v>1533</v>
      </c>
      <c r="AA393" s="72" t="s">
        <v>1533</v>
      </c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1029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830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1030</v>
      </c>
      <c r="C395" t="s">
        <v>1070</v>
      </c>
      <c r="D395" t="s">
        <v>475</v>
      </c>
      <c r="E395" s="30" t="s">
        <v>73</v>
      </c>
      <c r="F395" s="30" t="s">
        <v>28</v>
      </c>
      <c r="G395" s="30"/>
      <c r="H395" s="30" t="s">
        <v>831</v>
      </c>
      <c r="I395" s="31">
        <f t="shared" si="20"/>
        <v>28</v>
      </c>
      <c r="J395" s="31">
        <f t="shared" si="21"/>
        <v>0</v>
      </c>
      <c r="K395" s="32">
        <f t="shared" si="22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s="30" t="s">
        <v>1296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1297</v>
      </c>
      <c r="I396" s="31">
        <f t="shared" si="20"/>
        <v>12</v>
      </c>
      <c r="J396" s="31">
        <f t="shared" si="21"/>
        <v>16</v>
      </c>
      <c r="K396" s="32">
        <f t="shared" si="22"/>
        <v>0.42857142857142855</v>
      </c>
      <c r="L396" s="72" t="s">
        <v>1533</v>
      </c>
      <c r="M396" s="72" t="s">
        <v>1533</v>
      </c>
      <c r="N396" s="72" t="s">
        <v>1533</v>
      </c>
      <c r="O396" s="72" t="s">
        <v>1533</v>
      </c>
      <c r="P396" s="72" t="s">
        <v>1533</v>
      </c>
      <c r="Q396" s="72" t="s">
        <v>1533</v>
      </c>
      <c r="R396" s="72" t="s">
        <v>1533</v>
      </c>
      <c r="S396" s="72" t="s">
        <v>1533</v>
      </c>
      <c r="T396" s="72" t="s">
        <v>1533</v>
      </c>
      <c r="U396" s="72" t="s">
        <v>1533</v>
      </c>
      <c r="V396" s="72" t="s">
        <v>1533</v>
      </c>
      <c r="W396" s="72" t="s">
        <v>1533</v>
      </c>
      <c r="X396" s="72" t="s">
        <v>1533</v>
      </c>
      <c r="Y396" s="72" t="s">
        <v>1533</v>
      </c>
      <c r="Z396" s="72" t="s">
        <v>1533</v>
      </c>
      <c r="AA396" s="72" t="s">
        <v>1533</v>
      </c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1294</v>
      </c>
      <c r="C397" t="s">
        <v>1070</v>
      </c>
      <c r="D397" s="70" t="s">
        <v>1295</v>
      </c>
      <c r="E397" s="30" t="s">
        <v>73</v>
      </c>
      <c r="F397" s="30" t="s">
        <v>28</v>
      </c>
      <c r="G397" s="30"/>
      <c r="H397" s="30" t="s">
        <v>1298</v>
      </c>
      <c r="I397" s="31">
        <f t="shared" si="20"/>
        <v>15</v>
      </c>
      <c r="J397" s="31">
        <f t="shared" si="21"/>
        <v>13</v>
      </c>
      <c r="K397" s="32">
        <f t="shared" si="22"/>
        <v>0.5357142857142857</v>
      </c>
      <c r="L397" s="72"/>
      <c r="M397" s="72"/>
      <c r="N397" s="72"/>
      <c r="O397" s="72" t="s">
        <v>1533</v>
      </c>
      <c r="P397" s="72" t="s">
        <v>1533</v>
      </c>
      <c r="Q397" s="72" t="s">
        <v>1533</v>
      </c>
      <c r="R397" s="72" t="s">
        <v>1533</v>
      </c>
      <c r="S397" s="72" t="s">
        <v>1533</v>
      </c>
      <c r="T397" s="72" t="s">
        <v>1533</v>
      </c>
      <c r="U397" s="72" t="s">
        <v>1533</v>
      </c>
      <c r="V397" s="72" t="s">
        <v>1533</v>
      </c>
      <c r="W397" s="72" t="s">
        <v>1533</v>
      </c>
      <c r="X397" s="72" t="s">
        <v>1533</v>
      </c>
      <c r="Y397" s="72" t="s">
        <v>1533</v>
      </c>
      <c r="Z397" s="72" t="s">
        <v>1533</v>
      </c>
      <c r="AA397" s="72" t="s">
        <v>1533</v>
      </c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476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832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t="s">
        <v>478</v>
      </c>
      <c r="C399" t="s">
        <v>1070</v>
      </c>
      <c r="D399" t="s">
        <v>477</v>
      </c>
      <c r="E399" s="30" t="s">
        <v>73</v>
      </c>
      <c r="F399" s="30" t="s">
        <v>28</v>
      </c>
      <c r="G399" s="30"/>
      <c r="H399" s="30" t="s">
        <v>833</v>
      </c>
      <c r="I399" s="31">
        <f t="shared" si="20"/>
        <v>28</v>
      </c>
      <c r="J399" s="31">
        <f t="shared" si="21"/>
        <v>0</v>
      </c>
      <c r="K399" s="32">
        <f t="shared" si="22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s="30" t="s">
        <v>1112</v>
      </c>
      <c r="C400" s="30" t="s">
        <v>1070</v>
      </c>
      <c r="D400" t="s">
        <v>1111</v>
      </c>
      <c r="E400" s="30" t="s">
        <v>15</v>
      </c>
      <c r="F400" s="30" t="s">
        <v>28</v>
      </c>
      <c r="G400" s="30"/>
      <c r="H400" s="30" t="s">
        <v>1113</v>
      </c>
      <c r="I400" s="31">
        <f t="shared" si="20"/>
        <v>14</v>
      </c>
      <c r="J400" s="31">
        <f t="shared" si="21"/>
        <v>14</v>
      </c>
      <c r="K400" s="32">
        <f t="shared" si="22"/>
        <v>0.5</v>
      </c>
      <c r="L400" s="72" t="s">
        <v>1533</v>
      </c>
      <c r="M400" s="72" t="s">
        <v>1533</v>
      </c>
      <c r="N400" s="72" t="s">
        <v>1533</v>
      </c>
      <c r="O400" s="72" t="s">
        <v>1533</v>
      </c>
      <c r="P400" s="72"/>
      <c r="Q400" s="72"/>
      <c r="R400" s="72" t="s">
        <v>1533</v>
      </c>
      <c r="S400" s="72" t="s">
        <v>1533</v>
      </c>
      <c r="T400" s="72" t="s">
        <v>1533</v>
      </c>
      <c r="U400" s="72" t="s">
        <v>1533</v>
      </c>
      <c r="V400" s="72" t="s">
        <v>1533</v>
      </c>
      <c r="W400" s="72" t="s">
        <v>1533</v>
      </c>
      <c r="X400" s="72" t="s">
        <v>1533</v>
      </c>
      <c r="Y400" s="72" t="s">
        <v>1533</v>
      </c>
      <c r="Z400" s="72" t="s">
        <v>1533</v>
      </c>
      <c r="AA400" s="72" t="s">
        <v>1533</v>
      </c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264</v>
      </c>
      <c r="B401" t="s">
        <v>1039</v>
      </c>
      <c r="C401" t="s">
        <v>1069</v>
      </c>
      <c r="D401" t="s">
        <v>497</v>
      </c>
      <c r="E401" s="30" t="s">
        <v>19</v>
      </c>
      <c r="F401" s="30" t="s">
        <v>1063</v>
      </c>
      <c r="G401" s="30" t="s">
        <v>1265</v>
      </c>
      <c r="H401" s="30" t="s">
        <v>842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480</v>
      </c>
      <c r="C402" t="s">
        <v>1069</v>
      </c>
      <c r="D402" t="s">
        <v>481</v>
      </c>
      <c r="E402" s="30" t="s">
        <v>19</v>
      </c>
      <c r="F402" s="30" t="s">
        <v>1063</v>
      </c>
      <c r="G402" s="30" t="s">
        <v>1265</v>
      </c>
      <c r="H402" s="30" t="s">
        <v>834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482</v>
      </c>
      <c r="C403" t="s">
        <v>1069</v>
      </c>
      <c r="D403" t="s">
        <v>483</v>
      </c>
      <c r="E403" s="30" t="s">
        <v>19</v>
      </c>
      <c r="F403" s="30" t="s">
        <v>28</v>
      </c>
      <c r="G403" s="30"/>
      <c r="H403" s="30" t="s">
        <v>835</v>
      </c>
      <c r="I403" s="31">
        <f t="shared" ref="I403:I466" si="23">COUNTIF(L403:AM403,"")</f>
        <v>28</v>
      </c>
      <c r="J403" s="31">
        <f t="shared" ref="J403:J466" si="24">COUNTIF(L403:AM403,"APAGADO")</f>
        <v>0</v>
      </c>
      <c r="K403" s="32">
        <f t="shared" ref="K403:K466" si="25">(I403)/(J403+I403)</f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484</v>
      </c>
      <c r="B404" t="s">
        <v>485</v>
      </c>
      <c r="C404" t="s">
        <v>1069</v>
      </c>
      <c r="D404" t="s">
        <v>486</v>
      </c>
      <c r="E404" s="30" t="s">
        <v>19</v>
      </c>
      <c r="F404" s="30" t="s">
        <v>28</v>
      </c>
      <c r="G404" s="30"/>
      <c r="H404" s="30" t="s">
        <v>836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487</v>
      </c>
      <c r="C405" t="s">
        <v>1069</v>
      </c>
      <c r="D405" t="s">
        <v>488</v>
      </c>
      <c r="E405" s="30" t="s">
        <v>15</v>
      </c>
      <c r="F405" s="30" t="s">
        <v>28</v>
      </c>
      <c r="G405" s="30"/>
      <c r="H405" s="30" t="s">
        <v>837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489</v>
      </c>
      <c r="C406" t="s">
        <v>1069</v>
      </c>
      <c r="D406" t="s">
        <v>490</v>
      </c>
      <c r="E406" s="30" t="s">
        <v>19</v>
      </c>
      <c r="F406" s="30" t="s">
        <v>28</v>
      </c>
      <c r="G406" s="30"/>
      <c r="H406" s="30" t="s">
        <v>838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1533</v>
      </c>
      <c r="N406" s="72" t="s">
        <v>1533</v>
      </c>
      <c r="O406" s="72" t="s">
        <v>1533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491</v>
      </c>
      <c r="C407" t="s">
        <v>1069</v>
      </c>
      <c r="D407" t="s">
        <v>492</v>
      </c>
      <c r="E407" s="30" t="s">
        <v>15</v>
      </c>
      <c r="F407" s="30" t="s">
        <v>1309</v>
      </c>
      <c r="G407" s="30"/>
      <c r="H407" s="30" t="s">
        <v>839</v>
      </c>
      <c r="I407" s="31">
        <f t="shared" si="23"/>
        <v>25</v>
      </c>
      <c r="J407" s="31">
        <f t="shared" si="24"/>
        <v>3</v>
      </c>
      <c r="K407" s="32">
        <f t="shared" si="25"/>
        <v>0.8928571428571429</v>
      </c>
      <c r="L407" s="72"/>
      <c r="M407" s="72" t="s">
        <v>1533</v>
      </c>
      <c r="N407" s="72" t="s">
        <v>1533</v>
      </c>
      <c r="O407" s="72" t="s">
        <v>1533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493</v>
      </c>
      <c r="C408" t="s">
        <v>1069</v>
      </c>
      <c r="D408" t="s">
        <v>494</v>
      </c>
      <c r="E408" s="30" t="s">
        <v>19</v>
      </c>
      <c r="F408" s="30" t="s">
        <v>1309</v>
      </c>
      <c r="G408" s="30"/>
      <c r="H408" s="30" t="s">
        <v>840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495</v>
      </c>
      <c r="C409" t="s">
        <v>1069</v>
      </c>
      <c r="D409" t="s">
        <v>496</v>
      </c>
      <c r="E409" s="30" t="s">
        <v>19</v>
      </c>
      <c r="F409" s="30" t="s">
        <v>1063</v>
      </c>
      <c r="G409" s="30" t="s">
        <v>1266</v>
      </c>
      <c r="H409" s="30" t="s">
        <v>841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1533</v>
      </c>
      <c r="N409" s="72" t="s">
        <v>1533</v>
      </c>
      <c r="O409" s="72" t="s">
        <v>1533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1195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1197</v>
      </c>
      <c r="I410" s="31">
        <f t="shared" si="23"/>
        <v>12</v>
      </c>
      <c r="J410" s="31">
        <f t="shared" si="24"/>
        <v>16</v>
      </c>
      <c r="K410" s="32">
        <f t="shared" si="25"/>
        <v>0.42857142857142855</v>
      </c>
      <c r="L410" s="72" t="s">
        <v>1533</v>
      </c>
      <c r="M410" s="72" t="s">
        <v>1533</v>
      </c>
      <c r="N410" s="72" t="s">
        <v>1533</v>
      </c>
      <c r="O410" s="72" t="s">
        <v>1533</v>
      </c>
      <c r="P410" s="72" t="s">
        <v>1533</v>
      </c>
      <c r="Q410" s="72" t="s">
        <v>1533</v>
      </c>
      <c r="R410" s="72" t="s">
        <v>1533</v>
      </c>
      <c r="S410" s="72" t="s">
        <v>1533</v>
      </c>
      <c r="T410" s="72" t="s">
        <v>1533</v>
      </c>
      <c r="U410" s="72" t="s">
        <v>1533</v>
      </c>
      <c r="V410" s="72" t="s">
        <v>1533</v>
      </c>
      <c r="W410" s="72" t="s">
        <v>1533</v>
      </c>
      <c r="X410" s="72" t="s">
        <v>1533</v>
      </c>
      <c r="Y410" s="72" t="s">
        <v>1533</v>
      </c>
      <c r="Z410" s="72" t="s">
        <v>1533</v>
      </c>
      <c r="AA410" s="72" t="s">
        <v>1533</v>
      </c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1198</v>
      </c>
      <c r="C411" t="s">
        <v>1069</v>
      </c>
      <c r="D411" t="s">
        <v>1196</v>
      </c>
      <c r="E411" s="30" t="s">
        <v>1121</v>
      </c>
      <c r="F411" s="30" t="s">
        <v>28</v>
      </c>
      <c r="G411" s="30"/>
      <c r="H411" s="30" t="s">
        <v>1199</v>
      </c>
      <c r="I411" s="31">
        <f t="shared" si="23"/>
        <v>12</v>
      </c>
      <c r="J411" s="31">
        <f t="shared" si="24"/>
        <v>16</v>
      </c>
      <c r="K411" s="32">
        <f t="shared" si="25"/>
        <v>0.42857142857142855</v>
      </c>
      <c r="L411" s="72" t="s">
        <v>1533</v>
      </c>
      <c r="M411" s="72" t="s">
        <v>1533</v>
      </c>
      <c r="N411" s="72" t="s">
        <v>1533</v>
      </c>
      <c r="O411" s="72" t="s">
        <v>1533</v>
      </c>
      <c r="P411" s="72" t="s">
        <v>1533</v>
      </c>
      <c r="Q411" s="72" t="s">
        <v>1533</v>
      </c>
      <c r="R411" s="72" t="s">
        <v>1533</v>
      </c>
      <c r="S411" s="72" t="s">
        <v>1533</v>
      </c>
      <c r="T411" s="72" t="s">
        <v>1533</v>
      </c>
      <c r="U411" s="72" t="s">
        <v>1533</v>
      </c>
      <c r="V411" s="72" t="s">
        <v>1533</v>
      </c>
      <c r="W411" s="72" t="s">
        <v>1533</v>
      </c>
      <c r="X411" s="72" t="s">
        <v>1533</v>
      </c>
      <c r="Y411" s="72" t="s">
        <v>1533</v>
      </c>
      <c r="Z411" s="72" t="s">
        <v>1533</v>
      </c>
      <c r="AA411" s="72" t="s">
        <v>1533</v>
      </c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1229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1290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1230</v>
      </c>
      <c r="C413" t="s">
        <v>1069</v>
      </c>
      <c r="D413" t="s">
        <v>1245</v>
      </c>
      <c r="E413" t="s">
        <v>73</v>
      </c>
      <c r="F413" t="s">
        <v>28</v>
      </c>
      <c r="G413"/>
      <c r="H413" s="30" t="s">
        <v>1291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1349</v>
      </c>
      <c r="C414" t="s">
        <v>1069</v>
      </c>
      <c r="D414" s="70" t="s">
        <v>1350</v>
      </c>
      <c r="E414"/>
      <c r="F414"/>
      <c r="G414"/>
      <c r="H414" s="30" t="s">
        <v>1173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B415" t="s">
        <v>1361</v>
      </c>
      <c r="C415" t="s">
        <v>1069</v>
      </c>
      <c r="D415" s="70" t="s">
        <v>1368</v>
      </c>
      <c r="E415"/>
      <c r="F415"/>
      <c r="G415"/>
      <c r="H415" s="30" t="s">
        <v>1431</v>
      </c>
      <c r="I415" s="31">
        <f t="shared" si="23"/>
        <v>15</v>
      </c>
      <c r="J415" s="31">
        <f t="shared" si="24"/>
        <v>13</v>
      </c>
      <c r="K415" s="32">
        <f t="shared" si="25"/>
        <v>0.5357142857142857</v>
      </c>
      <c r="L415" s="72"/>
      <c r="M415" s="72"/>
      <c r="N415" s="72"/>
      <c r="O415" s="72" t="s">
        <v>1533</v>
      </c>
      <c r="P415" s="72" t="s">
        <v>1533</v>
      </c>
      <c r="Q415" s="72" t="s">
        <v>1533</v>
      </c>
      <c r="R415" s="72" t="s">
        <v>1533</v>
      </c>
      <c r="S415" s="72" t="s">
        <v>1533</v>
      </c>
      <c r="T415" s="72" t="s">
        <v>1533</v>
      </c>
      <c r="U415" s="72" t="s">
        <v>1533</v>
      </c>
      <c r="V415" s="72" t="s">
        <v>1533</v>
      </c>
      <c r="W415" s="72" t="s">
        <v>1533</v>
      </c>
      <c r="X415" s="72" t="s">
        <v>1533</v>
      </c>
      <c r="Y415" s="72" t="s">
        <v>1533</v>
      </c>
      <c r="Z415" s="72" t="s">
        <v>1533</v>
      </c>
      <c r="AA415" s="72" t="s">
        <v>1533</v>
      </c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498</v>
      </c>
      <c r="C416" t="s">
        <v>1070</v>
      </c>
      <c r="D416" t="s">
        <v>499</v>
      </c>
      <c r="E416" s="30" t="s">
        <v>19</v>
      </c>
      <c r="F416" s="30" t="s">
        <v>1309</v>
      </c>
      <c r="G416" s="30"/>
      <c r="H416" s="30" t="s">
        <v>843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500</v>
      </c>
      <c r="C417" t="s">
        <v>1070</v>
      </c>
      <c r="D417" t="s">
        <v>501</v>
      </c>
      <c r="E417" s="30" t="s">
        <v>15</v>
      </c>
      <c r="F417" s="30" t="s">
        <v>20</v>
      </c>
      <c r="G417" s="30"/>
      <c r="H417" s="30" t="s">
        <v>844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502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845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1533</v>
      </c>
      <c r="P418" s="72" t="s">
        <v>1533</v>
      </c>
      <c r="Q418" s="72" t="s">
        <v>1533</v>
      </c>
      <c r="R418" s="72" t="s">
        <v>1533</v>
      </c>
      <c r="S418" s="72"/>
      <c r="T418" s="72" t="s">
        <v>1533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504</v>
      </c>
      <c r="C419" t="s">
        <v>1070</v>
      </c>
      <c r="D419" t="s">
        <v>503</v>
      </c>
      <c r="E419" s="30" t="s">
        <v>73</v>
      </c>
      <c r="F419" s="30" t="s">
        <v>20</v>
      </c>
      <c r="G419" s="30"/>
      <c r="H419" s="30" t="s">
        <v>846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1533</v>
      </c>
      <c r="P419" s="72" t="s">
        <v>1533</v>
      </c>
      <c r="Q419" s="72" t="s">
        <v>1533</v>
      </c>
      <c r="R419" s="72" t="s">
        <v>1533</v>
      </c>
      <c r="S419" s="72"/>
      <c r="T419" s="72" t="s">
        <v>1533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505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847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1533</v>
      </c>
      <c r="P420" s="72" t="s">
        <v>1533</v>
      </c>
      <c r="Q420" s="72" t="s">
        <v>1533</v>
      </c>
      <c r="R420" s="72" t="s">
        <v>1533</v>
      </c>
      <c r="S420" s="72"/>
      <c r="T420" s="72" t="s">
        <v>1533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507</v>
      </c>
      <c r="C421" t="s">
        <v>1070</v>
      </c>
      <c r="D421" t="s">
        <v>506</v>
      </c>
      <c r="E421" s="30" t="s">
        <v>73</v>
      </c>
      <c r="F421" s="30" t="s">
        <v>20</v>
      </c>
      <c r="G421" s="30"/>
      <c r="H421" s="30" t="s">
        <v>848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1533</v>
      </c>
      <c r="P421" s="72" t="s">
        <v>1533</v>
      </c>
      <c r="Q421" s="72" t="s">
        <v>1533</v>
      </c>
      <c r="R421" s="72" t="s">
        <v>1533</v>
      </c>
      <c r="S421" s="72"/>
      <c r="T421" s="72" t="s">
        <v>1533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508</v>
      </c>
      <c r="C422" t="s">
        <v>1070</v>
      </c>
      <c r="D422" t="s">
        <v>509</v>
      </c>
      <c r="E422" s="30" t="s">
        <v>15</v>
      </c>
      <c r="F422" s="30" t="s">
        <v>28</v>
      </c>
      <c r="G422" s="30"/>
      <c r="H422" s="30" t="s">
        <v>849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1040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1041</v>
      </c>
      <c r="C424" t="s">
        <v>1070</v>
      </c>
      <c r="D424" t="s">
        <v>510</v>
      </c>
      <c r="E424" s="30" t="s">
        <v>73</v>
      </c>
      <c r="F424" s="30" t="s">
        <v>28</v>
      </c>
      <c r="G424" s="30"/>
      <c r="H424" s="30" t="s">
        <v>851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511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852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513</v>
      </c>
      <c r="C426" t="s">
        <v>1070</v>
      </c>
      <c r="D426" t="s">
        <v>512</v>
      </c>
      <c r="E426" s="30" t="s">
        <v>73</v>
      </c>
      <c r="F426" s="30" t="s">
        <v>28</v>
      </c>
      <c r="G426" s="30"/>
      <c r="H426" s="30" t="s">
        <v>853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1102</v>
      </c>
      <c r="C427" s="30" t="s">
        <v>1070</v>
      </c>
      <c r="D427" t="s">
        <v>1103</v>
      </c>
      <c r="E427" s="30" t="s">
        <v>19</v>
      </c>
      <c r="F427" s="30" t="s">
        <v>28</v>
      </c>
      <c r="G427" s="30"/>
      <c r="H427" s="30" t="s">
        <v>1104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1107</v>
      </c>
      <c r="C428" s="30" t="s">
        <v>1070</v>
      </c>
      <c r="D428" t="s">
        <v>1105</v>
      </c>
      <c r="E428" s="30" t="s">
        <v>19</v>
      </c>
      <c r="F428" s="30" t="s">
        <v>28</v>
      </c>
      <c r="G428" s="30"/>
      <c r="H428" s="30" t="s">
        <v>1106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1108</v>
      </c>
      <c r="C429" s="30" t="s">
        <v>1070</v>
      </c>
      <c r="D429" t="s">
        <v>1109</v>
      </c>
      <c r="E429" s="30" t="s">
        <v>19</v>
      </c>
      <c r="F429" s="30" t="s">
        <v>28</v>
      </c>
      <c r="G429" s="30"/>
      <c r="H429" s="30" t="s">
        <v>1110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519</v>
      </c>
      <c r="B430" t="s">
        <v>527</v>
      </c>
      <c r="C430" t="s">
        <v>1070</v>
      </c>
      <c r="D430" t="s">
        <v>1046</v>
      </c>
      <c r="E430" s="30" t="s">
        <v>19</v>
      </c>
      <c r="F430" s="30" t="s">
        <v>28</v>
      </c>
      <c r="G430" s="30"/>
      <c r="H430" s="30" t="s">
        <v>854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 t="s">
        <v>1533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528</v>
      </c>
      <c r="C431" t="s">
        <v>1070</v>
      </c>
      <c r="D431" t="s">
        <v>1098</v>
      </c>
      <c r="E431" s="30" t="s">
        <v>19</v>
      </c>
      <c r="F431" s="30" t="s">
        <v>28</v>
      </c>
      <c r="G431" s="30"/>
      <c r="H431" s="30" t="s">
        <v>855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529</v>
      </c>
      <c r="C432" t="s">
        <v>1070</v>
      </c>
      <c r="D432" t="s">
        <v>530</v>
      </c>
      <c r="E432" s="30" t="s">
        <v>19</v>
      </c>
      <c r="F432" s="30" t="s">
        <v>28</v>
      </c>
      <c r="G432" s="30"/>
      <c r="H432" s="30" t="s">
        <v>856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s="75" t="s">
        <v>515</v>
      </c>
      <c r="B433" s="75" t="s">
        <v>531</v>
      </c>
      <c r="C433" s="75" t="s">
        <v>1070</v>
      </c>
      <c r="D433" s="75" t="s">
        <v>532</v>
      </c>
      <c r="E433" s="89" t="s">
        <v>19</v>
      </c>
      <c r="F433" s="89" t="s">
        <v>28</v>
      </c>
      <c r="G433" s="89"/>
      <c r="H433" s="89" t="s">
        <v>857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533</v>
      </c>
      <c r="C434" t="s">
        <v>1070</v>
      </c>
      <c r="D434" t="s">
        <v>534</v>
      </c>
      <c r="E434" s="30" t="s">
        <v>19</v>
      </c>
      <c r="F434" s="30" t="s">
        <v>1309</v>
      </c>
      <c r="G434" s="30"/>
      <c r="H434" s="30" t="s">
        <v>1519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535</v>
      </c>
      <c r="C435" t="s">
        <v>1070</v>
      </c>
      <c r="D435" t="s">
        <v>1076</v>
      </c>
      <c r="E435" s="30" t="s">
        <v>19</v>
      </c>
      <c r="F435" s="30" t="s">
        <v>28</v>
      </c>
      <c r="G435" s="30"/>
      <c r="H435" s="30" t="s">
        <v>858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536</v>
      </c>
      <c r="C436" t="s">
        <v>1069</v>
      </c>
      <c r="D436" t="s">
        <v>1075</v>
      </c>
      <c r="E436" s="30"/>
      <c r="F436" s="30" t="s">
        <v>28</v>
      </c>
      <c r="G436" s="30"/>
      <c r="H436" s="30" t="s">
        <v>859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537</v>
      </c>
      <c r="C437" t="s">
        <v>1070</v>
      </c>
      <c r="D437" t="s">
        <v>538</v>
      </c>
      <c r="E437" s="30" t="s">
        <v>19</v>
      </c>
      <c r="F437" s="30" t="s">
        <v>28</v>
      </c>
      <c r="G437" s="30"/>
      <c r="H437" s="30" t="s">
        <v>860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539</v>
      </c>
      <c r="C438" t="s">
        <v>1070</v>
      </c>
      <c r="D438" t="s">
        <v>540</v>
      </c>
      <c r="E438" s="30" t="s">
        <v>19</v>
      </c>
      <c r="F438" s="30" t="s">
        <v>28</v>
      </c>
      <c r="G438" s="30"/>
      <c r="H438" s="30" t="s">
        <v>861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1042</v>
      </c>
      <c r="C439" t="s">
        <v>1070</v>
      </c>
      <c r="D439" t="s">
        <v>541</v>
      </c>
      <c r="E439" s="30" t="s">
        <v>19</v>
      </c>
      <c r="F439" s="30" t="s">
        <v>28</v>
      </c>
      <c r="G439" s="30"/>
      <c r="H439" s="30" t="s">
        <v>862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542</v>
      </c>
      <c r="C440" t="s">
        <v>1070</v>
      </c>
      <c r="D440" t="s">
        <v>543</v>
      </c>
      <c r="E440" s="30" t="s">
        <v>19</v>
      </c>
      <c r="F440" s="30" t="s">
        <v>28</v>
      </c>
      <c r="G440" s="30"/>
      <c r="H440" s="30" t="s">
        <v>863</v>
      </c>
      <c r="I440" s="31">
        <f t="shared" si="23"/>
        <v>27</v>
      </c>
      <c r="J440" s="31">
        <f t="shared" si="24"/>
        <v>1</v>
      </c>
      <c r="K440" s="32">
        <f t="shared" si="25"/>
        <v>0.9642857142857143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 t="s">
        <v>1533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1047</v>
      </c>
      <c r="C441" t="s">
        <v>1070</v>
      </c>
      <c r="D441" t="s">
        <v>514</v>
      </c>
      <c r="E441" s="30" t="s">
        <v>15</v>
      </c>
      <c r="F441" s="30" t="s">
        <v>1063</v>
      </c>
      <c r="G441" s="30" t="s">
        <v>1267</v>
      </c>
      <c r="H441" s="30" t="s">
        <v>864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1048</v>
      </c>
      <c r="C442" t="s">
        <v>1070</v>
      </c>
      <c r="D442" t="s">
        <v>516</v>
      </c>
      <c r="E442" s="30" t="s">
        <v>19</v>
      </c>
      <c r="F442" s="30" t="s">
        <v>28</v>
      </c>
      <c r="G442" s="30"/>
      <c r="H442" s="30" t="s">
        <v>865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1043</v>
      </c>
      <c r="C443" t="s">
        <v>1070</v>
      </c>
      <c r="D443" t="s">
        <v>544</v>
      </c>
      <c r="E443" s="30" t="s">
        <v>15</v>
      </c>
      <c r="F443" s="30" t="s">
        <v>28</v>
      </c>
      <c r="G443" s="30"/>
      <c r="H443" s="30" t="s">
        <v>866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1533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517</v>
      </c>
      <c r="C444" t="s">
        <v>1070</v>
      </c>
      <c r="D444" t="s">
        <v>518</v>
      </c>
      <c r="E444" s="30" t="s">
        <v>15</v>
      </c>
      <c r="F444" s="30" t="s">
        <v>1063</v>
      </c>
      <c r="G444" s="30" t="s">
        <v>1268</v>
      </c>
      <c r="H444" s="30" t="s">
        <v>867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520</v>
      </c>
      <c r="C445" t="s">
        <v>1070</v>
      </c>
      <c r="D445" t="s">
        <v>521</v>
      </c>
      <c r="E445" s="30" t="s">
        <v>15</v>
      </c>
      <c r="F445" s="30" t="s">
        <v>1063</v>
      </c>
      <c r="G445" s="30" t="s">
        <v>1264</v>
      </c>
      <c r="H445" s="30" t="s">
        <v>868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522</v>
      </c>
      <c r="C446" t="s">
        <v>1070</v>
      </c>
      <c r="D446" t="s">
        <v>1097</v>
      </c>
      <c r="E446" s="30" t="s">
        <v>15</v>
      </c>
      <c r="F446" s="30" t="s">
        <v>1063</v>
      </c>
      <c r="G446" s="30" t="s">
        <v>1269</v>
      </c>
      <c r="H446" s="30" t="s">
        <v>869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1533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1049</v>
      </c>
      <c r="C447" t="s">
        <v>1070</v>
      </c>
      <c r="D447" t="s">
        <v>523</v>
      </c>
      <c r="E447" s="30" t="s">
        <v>15</v>
      </c>
      <c r="F447" s="30" t="s">
        <v>1063</v>
      </c>
      <c r="G447" s="30" t="s">
        <v>1270</v>
      </c>
      <c r="H447" s="30" t="s">
        <v>870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1050</v>
      </c>
      <c r="C448" t="s">
        <v>1070</v>
      </c>
      <c r="D448" t="s">
        <v>524</v>
      </c>
      <c r="E448" s="30" t="s">
        <v>15</v>
      </c>
      <c r="F448" s="30" t="s">
        <v>20</v>
      </c>
      <c r="G448" s="30"/>
      <c r="H448" s="30" t="s">
        <v>871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525</v>
      </c>
      <c r="C449" t="s">
        <v>1070</v>
      </c>
      <c r="D449" t="s">
        <v>526</v>
      </c>
      <c r="E449" s="30" t="s">
        <v>46</v>
      </c>
      <c r="F449" s="30" t="s">
        <v>28</v>
      </c>
      <c r="G449" s="30"/>
      <c r="H449" s="30" t="s">
        <v>1376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1044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872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1045</v>
      </c>
      <c r="C451" t="s">
        <v>1070</v>
      </c>
      <c r="D451" t="s">
        <v>545</v>
      </c>
      <c r="E451" s="30" t="s">
        <v>73</v>
      </c>
      <c r="F451" s="30" t="s">
        <v>28</v>
      </c>
      <c r="G451" s="30"/>
      <c r="H451" s="30" t="s">
        <v>873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546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672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548</v>
      </c>
      <c r="C453" t="s">
        <v>1069</v>
      </c>
      <c r="D453" t="s">
        <v>547</v>
      </c>
      <c r="E453" s="30" t="s">
        <v>73</v>
      </c>
      <c r="F453" s="30" t="s">
        <v>28</v>
      </c>
      <c r="G453" s="30"/>
      <c r="H453" s="30" t="s">
        <v>874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4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1152</v>
      </c>
      <c r="C454" t="s">
        <v>1070</v>
      </c>
      <c r="D454" t="s">
        <v>1154</v>
      </c>
      <c r="E454" s="30" t="s">
        <v>73</v>
      </c>
      <c r="F454" s="30" t="s">
        <v>28</v>
      </c>
      <c r="G454" s="30"/>
      <c r="H454" s="30" t="s">
        <v>1155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1533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1153</v>
      </c>
      <c r="C455" t="s">
        <v>1070</v>
      </c>
      <c r="D455" t="s">
        <v>1154</v>
      </c>
      <c r="E455" s="30" t="s">
        <v>1121</v>
      </c>
      <c r="F455" s="30" t="s">
        <v>28</v>
      </c>
      <c r="G455" s="30"/>
      <c r="H455" s="30" t="s">
        <v>1156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 t="s">
        <v>1533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519</v>
      </c>
      <c r="B456" s="30" t="s">
        <v>1215</v>
      </c>
      <c r="C456" s="30" t="s">
        <v>1070</v>
      </c>
      <c r="D456" t="s">
        <v>1211</v>
      </c>
      <c r="E456" s="30" t="s">
        <v>15</v>
      </c>
      <c r="F456" s="30" t="s">
        <v>28</v>
      </c>
      <c r="G456" s="30"/>
      <c r="H456" s="30" t="s">
        <v>1212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1051</v>
      </c>
      <c r="C457" t="s">
        <v>1069</v>
      </c>
      <c r="D457" t="s">
        <v>551</v>
      </c>
      <c r="E457" s="30" t="s">
        <v>19</v>
      </c>
      <c r="F457" s="30" t="s">
        <v>28</v>
      </c>
      <c r="G457" s="30"/>
      <c r="H457" s="30" t="s">
        <v>877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294</v>
      </c>
      <c r="B458" t="s">
        <v>1052</v>
      </c>
      <c r="C458" t="s">
        <v>1069</v>
      </c>
      <c r="D458" t="s">
        <v>552</v>
      </c>
      <c r="E458" s="30" t="s">
        <v>19</v>
      </c>
      <c r="F458" s="30" t="s">
        <v>28</v>
      </c>
      <c r="G458" s="30"/>
      <c r="H458" s="30" t="s">
        <v>878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553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875</v>
      </c>
      <c r="I459" s="31">
        <f t="shared" si="23"/>
        <v>25</v>
      </c>
      <c r="J459" s="31">
        <f t="shared" si="24"/>
        <v>3</v>
      </c>
      <c r="K459" s="32">
        <f t="shared" si="25"/>
        <v>0.8928571428571429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1533</v>
      </c>
      <c r="W459" s="72" t="s">
        <v>1533</v>
      </c>
      <c r="X459" s="72" t="s">
        <v>1533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555</v>
      </c>
      <c r="C460" t="s">
        <v>1069</v>
      </c>
      <c r="D460" t="s">
        <v>554</v>
      </c>
      <c r="E460" s="30" t="s">
        <v>73</v>
      </c>
      <c r="F460" s="30" t="s">
        <v>28</v>
      </c>
      <c r="G460" s="30"/>
      <c r="H460" s="30" t="s">
        <v>876</v>
      </c>
      <c r="I460" s="31">
        <f t="shared" si="23"/>
        <v>25</v>
      </c>
      <c r="J460" s="31">
        <f t="shared" si="24"/>
        <v>3</v>
      </c>
      <c r="K460" s="32">
        <f t="shared" si="25"/>
        <v>0.8928571428571429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 t="s">
        <v>1533</v>
      </c>
      <c r="W460" s="72" t="s">
        <v>1533</v>
      </c>
      <c r="X460" s="72" t="s">
        <v>1533</v>
      </c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556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879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558</v>
      </c>
      <c r="C462" t="s">
        <v>1069</v>
      </c>
      <c r="D462" t="s">
        <v>557</v>
      </c>
      <c r="E462" s="30" t="s">
        <v>73</v>
      </c>
      <c r="F462" s="30" t="s">
        <v>28</v>
      </c>
      <c r="G462" s="30"/>
      <c r="H462" s="30" t="s">
        <v>880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97" customFormat="1" ht="15.75" thickBot="1" x14ac:dyDescent="0.3">
      <c r="A463" s="97" t="s">
        <v>409</v>
      </c>
      <c r="B463" s="97" t="s">
        <v>549</v>
      </c>
      <c r="C463" s="97" t="s">
        <v>1069</v>
      </c>
      <c r="D463" s="97" t="s">
        <v>550</v>
      </c>
      <c r="E463" s="98" t="s">
        <v>19</v>
      </c>
      <c r="F463" s="98" t="s">
        <v>28</v>
      </c>
      <c r="G463" s="98"/>
      <c r="H463" s="98" t="s">
        <v>881</v>
      </c>
      <c r="I463" s="31">
        <f t="shared" si="23"/>
        <v>15</v>
      </c>
      <c r="J463" s="31">
        <f t="shared" si="24"/>
        <v>13</v>
      </c>
      <c r="K463" s="32">
        <f t="shared" si="25"/>
        <v>0.5357142857142857</v>
      </c>
      <c r="L463" s="72" t="s">
        <v>1533</v>
      </c>
      <c r="M463" s="72" t="s">
        <v>1533</v>
      </c>
      <c r="N463" s="72" t="s">
        <v>1533</v>
      </c>
      <c r="O463" s="72" t="s">
        <v>1533</v>
      </c>
      <c r="P463" s="72"/>
      <c r="Q463" s="72" t="s">
        <v>1533</v>
      </c>
      <c r="R463" s="72" t="s">
        <v>1533</v>
      </c>
      <c r="S463" s="72" t="s">
        <v>1533</v>
      </c>
      <c r="T463" s="72" t="s">
        <v>1533</v>
      </c>
      <c r="U463" s="72" t="s">
        <v>1533</v>
      </c>
      <c r="V463" s="72" t="s">
        <v>1533</v>
      </c>
      <c r="W463" s="72" t="s">
        <v>1533</v>
      </c>
      <c r="X463" s="72" t="s">
        <v>1533</v>
      </c>
      <c r="Y463" s="72" t="s">
        <v>1533</v>
      </c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s="97" customFormat="1" ht="15.75" thickBot="1" x14ac:dyDescent="0.3">
      <c r="A464" s="97" t="s">
        <v>409</v>
      </c>
      <c r="B464" s="97" t="s">
        <v>559</v>
      </c>
      <c r="C464" s="97" t="s">
        <v>1069</v>
      </c>
      <c r="D464" s="97" t="s">
        <v>560</v>
      </c>
      <c r="E464" s="98" t="s">
        <v>15</v>
      </c>
      <c r="F464" s="98" t="s">
        <v>28</v>
      </c>
      <c r="G464" s="98"/>
      <c r="H464" s="98" t="s">
        <v>1521</v>
      </c>
      <c r="I464" s="31">
        <f t="shared" si="23"/>
        <v>27</v>
      </c>
      <c r="J464" s="31">
        <f t="shared" si="24"/>
        <v>1</v>
      </c>
      <c r="K464" s="32">
        <f t="shared" si="25"/>
        <v>0.9642857142857143</v>
      </c>
      <c r="L464" s="72"/>
      <c r="M464" s="72"/>
      <c r="N464" s="72"/>
      <c r="O464" s="72" t="s">
        <v>1533</v>
      </c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</row>
    <row r="465" spans="1:42" ht="15.75" thickBot="1" x14ac:dyDescent="0.3">
      <c r="A465" t="s">
        <v>484</v>
      </c>
      <c r="B465" t="s">
        <v>1353</v>
      </c>
      <c r="C465" s="30" t="s">
        <v>1069</v>
      </c>
      <c r="D465" t="s">
        <v>1354</v>
      </c>
      <c r="E465" s="30"/>
      <c r="F465" s="30"/>
      <c r="G465" s="30"/>
      <c r="H465" s="30" t="s">
        <v>1360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561</v>
      </c>
      <c r="C466" t="s">
        <v>1069</v>
      </c>
      <c r="D466" t="s">
        <v>562</v>
      </c>
      <c r="E466" s="30" t="s">
        <v>19</v>
      </c>
      <c r="F466" s="30" t="s">
        <v>28</v>
      </c>
      <c r="G466" s="30"/>
      <c r="H466" s="30" t="s">
        <v>882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75" customFormat="1" ht="15.75" thickBot="1" x14ac:dyDescent="0.3">
      <c r="A467" s="75" t="s">
        <v>484</v>
      </c>
      <c r="B467" s="75" t="s">
        <v>563</v>
      </c>
      <c r="C467" s="75" t="s">
        <v>1069</v>
      </c>
      <c r="D467" s="75" t="s">
        <v>564</v>
      </c>
      <c r="E467" s="89" t="s">
        <v>19</v>
      </c>
      <c r="F467" s="89" t="s">
        <v>28</v>
      </c>
      <c r="G467" s="89"/>
      <c r="H467" s="89" t="s">
        <v>1379</v>
      </c>
      <c r="I467" s="93">
        <f t="shared" ref="I467:I503" si="26">COUNTIF(L467:AM467,"")</f>
        <v>28</v>
      </c>
      <c r="J467" s="93">
        <f t="shared" ref="J467:J503" si="27">COUNTIF(L467:AM467,"APAGADO")</f>
        <v>0</v>
      </c>
      <c r="K467" s="94">
        <f t="shared" ref="K467:K503" si="28">(I467)/(J467+I467)</f>
        <v>1</v>
      </c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spans="1:42" ht="15.75" thickBot="1" x14ac:dyDescent="0.3">
      <c r="A468" t="s">
        <v>484</v>
      </c>
      <c r="B468" t="s">
        <v>565</v>
      </c>
      <c r="C468" t="s">
        <v>1069</v>
      </c>
      <c r="D468" t="s">
        <v>566</v>
      </c>
      <c r="E468" s="30" t="s">
        <v>19</v>
      </c>
      <c r="F468" s="30" t="s">
        <v>20</v>
      </c>
      <c r="G468" s="30"/>
      <c r="H468" s="30" t="s">
        <v>1437</v>
      </c>
      <c r="I468" s="31">
        <f t="shared" si="26"/>
        <v>28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567</v>
      </c>
      <c r="C469" t="s">
        <v>1069</v>
      </c>
      <c r="D469" t="s">
        <v>568</v>
      </c>
      <c r="E469" s="30" t="s">
        <v>19</v>
      </c>
      <c r="F469" s="30" t="s">
        <v>1063</v>
      </c>
      <c r="G469" s="30" t="s">
        <v>1271</v>
      </c>
      <c r="H469" s="30" t="s">
        <v>883</v>
      </c>
      <c r="I469" s="31">
        <f t="shared" si="26"/>
        <v>27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 t="s">
        <v>1370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569</v>
      </c>
      <c r="C470" t="s">
        <v>1069</v>
      </c>
      <c r="D470" t="s">
        <v>570</v>
      </c>
      <c r="E470" s="30" t="s">
        <v>19</v>
      </c>
      <c r="F470" s="30" t="s">
        <v>1309</v>
      </c>
      <c r="G470" s="30"/>
      <c r="H470" s="30" t="s">
        <v>1520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479</v>
      </c>
      <c r="B471" t="s">
        <v>1320</v>
      </c>
      <c r="C471" t="s">
        <v>1069</v>
      </c>
      <c r="D471" t="s">
        <v>1321</v>
      </c>
      <c r="E471" s="30" t="s">
        <v>73</v>
      </c>
      <c r="F471" s="30" t="s">
        <v>28</v>
      </c>
      <c r="G471" s="30"/>
      <c r="H471" s="30" t="s">
        <v>1339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572</v>
      </c>
      <c r="C472" t="s">
        <v>1070</v>
      </c>
      <c r="D472" t="s">
        <v>573</v>
      </c>
      <c r="E472" s="30" t="s">
        <v>15</v>
      </c>
      <c r="F472" s="30" t="s">
        <v>28</v>
      </c>
      <c r="G472" s="30"/>
      <c r="H472" s="30" t="s">
        <v>884</v>
      </c>
      <c r="I472" s="31">
        <f t="shared" si="26"/>
        <v>20</v>
      </c>
      <c r="J472" s="31">
        <f t="shared" si="27"/>
        <v>8</v>
      </c>
      <c r="K472" s="32">
        <f t="shared" si="28"/>
        <v>0.7142857142857143</v>
      </c>
      <c r="L472" s="72" t="s">
        <v>1533</v>
      </c>
      <c r="M472" s="72" t="s">
        <v>1533</v>
      </c>
      <c r="N472" s="72" t="s">
        <v>1533</v>
      </c>
      <c r="O472" s="72" t="s">
        <v>1533</v>
      </c>
      <c r="P472" s="72" t="s">
        <v>1533</v>
      </c>
      <c r="Q472" s="72" t="s">
        <v>1533</v>
      </c>
      <c r="R472" s="72" t="s">
        <v>1533</v>
      </c>
      <c r="S472" s="72" t="s">
        <v>1533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1472</v>
      </c>
      <c r="C473" t="s">
        <v>1070</v>
      </c>
      <c r="D473" t="s">
        <v>574</v>
      </c>
      <c r="E473" s="30" t="s">
        <v>15</v>
      </c>
      <c r="F473" s="30" t="s">
        <v>28</v>
      </c>
      <c r="G473" s="30"/>
      <c r="H473" s="30" t="s">
        <v>885</v>
      </c>
      <c r="I473" s="31">
        <f t="shared" si="26"/>
        <v>23</v>
      </c>
      <c r="J473" s="31">
        <f t="shared" si="27"/>
        <v>5</v>
      </c>
      <c r="K473" s="32">
        <f t="shared" si="28"/>
        <v>0.8214285714285714</v>
      </c>
      <c r="L473" s="72"/>
      <c r="M473" s="72"/>
      <c r="N473" s="72"/>
      <c r="O473" s="72" t="s">
        <v>1533</v>
      </c>
      <c r="P473" s="72" t="s">
        <v>1533</v>
      </c>
      <c r="Q473" s="72" t="s">
        <v>1533</v>
      </c>
      <c r="R473" s="72" t="s">
        <v>1533</v>
      </c>
      <c r="S473" s="72" t="s">
        <v>1533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1053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886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1533</v>
      </c>
      <c r="M474" s="72" t="s">
        <v>1533</v>
      </c>
      <c r="N474" s="72" t="s">
        <v>1533</v>
      </c>
      <c r="O474" s="72" t="s">
        <v>1533</v>
      </c>
      <c r="P474" s="72" t="s">
        <v>1533</v>
      </c>
      <c r="Q474" s="72" t="s">
        <v>1533</v>
      </c>
      <c r="R474" s="72" t="s">
        <v>1533</v>
      </c>
      <c r="S474" s="72" t="s">
        <v>1533</v>
      </c>
      <c r="T474" s="72" t="s">
        <v>1533</v>
      </c>
      <c r="U474" s="72" t="s">
        <v>1533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1054</v>
      </c>
      <c r="C475" t="s">
        <v>1070</v>
      </c>
      <c r="D475" t="s">
        <v>575</v>
      </c>
      <c r="E475" s="30" t="s">
        <v>73</v>
      </c>
      <c r="F475" s="30" t="s">
        <v>28</v>
      </c>
      <c r="G475" s="30"/>
      <c r="H475" s="30" t="s">
        <v>887</v>
      </c>
      <c r="I475" s="31">
        <f t="shared" si="26"/>
        <v>18</v>
      </c>
      <c r="J475" s="31">
        <f t="shared" si="27"/>
        <v>10</v>
      </c>
      <c r="K475" s="32">
        <f t="shared" si="28"/>
        <v>0.6428571428571429</v>
      </c>
      <c r="L475" s="72" t="s">
        <v>1533</v>
      </c>
      <c r="M475" s="72" t="s">
        <v>1533</v>
      </c>
      <c r="N475" s="72" t="s">
        <v>1533</v>
      </c>
      <c r="O475" s="72" t="s">
        <v>1533</v>
      </c>
      <c r="P475" s="72" t="s">
        <v>1533</v>
      </c>
      <c r="Q475" s="72" t="s">
        <v>1533</v>
      </c>
      <c r="R475" s="72" t="s">
        <v>1533</v>
      </c>
      <c r="S475" s="72" t="s">
        <v>1533</v>
      </c>
      <c r="T475" s="72" t="s">
        <v>1533</v>
      </c>
      <c r="U475" s="72" t="s">
        <v>1533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1055</v>
      </c>
      <c r="C476" t="s">
        <v>1070</v>
      </c>
      <c r="D476" t="s">
        <v>577</v>
      </c>
      <c r="E476" s="30" t="s">
        <v>73</v>
      </c>
      <c r="F476" s="30" t="s">
        <v>28</v>
      </c>
      <c r="G476" s="30"/>
      <c r="H476" s="30" t="s">
        <v>888</v>
      </c>
      <c r="I476" s="31">
        <f t="shared" si="26"/>
        <v>12</v>
      </c>
      <c r="J476" s="31">
        <f t="shared" si="27"/>
        <v>16</v>
      </c>
      <c r="K476" s="32">
        <f t="shared" si="28"/>
        <v>0.42857142857142855</v>
      </c>
      <c r="L476" s="72" t="s">
        <v>1533</v>
      </c>
      <c r="M476" s="72" t="s">
        <v>1533</v>
      </c>
      <c r="N476" s="72" t="s">
        <v>1533</v>
      </c>
      <c r="O476" s="72" t="s">
        <v>1533</v>
      </c>
      <c r="P476" s="72" t="s">
        <v>1533</v>
      </c>
      <c r="Q476" s="72" t="s">
        <v>1533</v>
      </c>
      <c r="R476" s="72" t="s">
        <v>1533</v>
      </c>
      <c r="S476" s="72" t="s">
        <v>1533</v>
      </c>
      <c r="T476" s="72" t="s">
        <v>1533</v>
      </c>
      <c r="U476" s="72" t="s">
        <v>1533</v>
      </c>
      <c r="V476" s="72" t="s">
        <v>1533</v>
      </c>
      <c r="W476" s="72" t="s">
        <v>1533</v>
      </c>
      <c r="X476" s="72" t="s">
        <v>1533</v>
      </c>
      <c r="Y476" s="72" t="s">
        <v>1533</v>
      </c>
      <c r="Z476" s="72" t="s">
        <v>1533</v>
      </c>
      <c r="AA476" s="72" t="s">
        <v>1533</v>
      </c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1056</v>
      </c>
      <c r="C477" t="s">
        <v>1070</v>
      </c>
      <c r="D477" t="s">
        <v>578</v>
      </c>
      <c r="E477" s="30" t="s">
        <v>15</v>
      </c>
      <c r="F477" s="30" t="s">
        <v>28</v>
      </c>
      <c r="G477" s="30"/>
      <c r="H477" s="30" t="s">
        <v>889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579</v>
      </c>
      <c r="C478" t="s">
        <v>1070</v>
      </c>
      <c r="D478" t="s">
        <v>580</v>
      </c>
      <c r="E478" s="30" t="s">
        <v>73</v>
      </c>
      <c r="F478" s="30" t="s">
        <v>28</v>
      </c>
      <c r="G478" s="30"/>
      <c r="H478" s="30" t="s">
        <v>890</v>
      </c>
      <c r="I478" s="31">
        <f t="shared" si="26"/>
        <v>12</v>
      </c>
      <c r="J478" s="31">
        <f t="shared" si="27"/>
        <v>16</v>
      </c>
      <c r="K478" s="32">
        <f t="shared" si="28"/>
        <v>0.42857142857142855</v>
      </c>
      <c r="L478" s="72" t="s">
        <v>1533</v>
      </c>
      <c r="M478" s="72" t="s">
        <v>1533</v>
      </c>
      <c r="N478" s="72" t="s">
        <v>1533</v>
      </c>
      <c r="O478" s="72" t="s">
        <v>1533</v>
      </c>
      <c r="P478" s="72" t="s">
        <v>1533</v>
      </c>
      <c r="Q478" s="72" t="s">
        <v>1533</v>
      </c>
      <c r="R478" s="72" t="s">
        <v>1533</v>
      </c>
      <c r="S478" s="72" t="s">
        <v>1533</v>
      </c>
      <c r="T478" s="72" t="s">
        <v>1533</v>
      </c>
      <c r="U478" s="72" t="s">
        <v>1533</v>
      </c>
      <c r="V478" s="72" t="s">
        <v>1533</v>
      </c>
      <c r="W478" s="72" t="s">
        <v>1533</v>
      </c>
      <c r="X478" s="72" t="s">
        <v>1533</v>
      </c>
      <c r="Y478" s="72" t="s">
        <v>1533</v>
      </c>
      <c r="Z478" s="72" t="s">
        <v>1533</v>
      </c>
      <c r="AA478" s="72" t="s">
        <v>1533</v>
      </c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581</v>
      </c>
      <c r="C479" t="s">
        <v>1070</v>
      </c>
      <c r="D479" t="s">
        <v>582</v>
      </c>
      <c r="E479" s="30" t="s">
        <v>15</v>
      </c>
      <c r="F479" s="30" t="s">
        <v>28</v>
      </c>
      <c r="G479" s="30"/>
      <c r="H479" s="30" t="s">
        <v>891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583</v>
      </c>
      <c r="C480" t="s">
        <v>1070</v>
      </c>
      <c r="D480" t="s">
        <v>584</v>
      </c>
      <c r="E480" s="30" t="s">
        <v>15</v>
      </c>
      <c r="F480" s="30" t="s">
        <v>28</v>
      </c>
      <c r="G480" s="30"/>
      <c r="H480" s="30" t="s">
        <v>892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585</v>
      </c>
      <c r="C481" t="s">
        <v>1070</v>
      </c>
      <c r="D481" t="s">
        <v>1099</v>
      </c>
      <c r="E481" s="30" t="s">
        <v>19</v>
      </c>
      <c r="F481" s="30" t="s">
        <v>20</v>
      </c>
      <c r="G481" s="30"/>
      <c r="H481" s="30" t="s">
        <v>1407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1057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893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1058</v>
      </c>
      <c r="C483" t="s">
        <v>1070</v>
      </c>
      <c r="D483" t="s">
        <v>1100</v>
      </c>
      <c r="E483" s="30" t="s">
        <v>73</v>
      </c>
      <c r="F483" s="30" t="s">
        <v>28</v>
      </c>
      <c r="G483" s="30"/>
      <c r="H483" s="30" t="s">
        <v>894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1059</v>
      </c>
      <c r="C484" t="s">
        <v>1070</v>
      </c>
      <c r="D484" t="s">
        <v>1114</v>
      </c>
      <c r="E484" s="30" t="s">
        <v>15</v>
      </c>
      <c r="F484" s="30" t="s">
        <v>28</v>
      </c>
      <c r="G484" s="30"/>
      <c r="H484" s="30" t="s">
        <v>895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586</v>
      </c>
      <c r="C485" t="s">
        <v>1070</v>
      </c>
      <c r="D485" t="s">
        <v>1101</v>
      </c>
      <c r="E485" s="30" t="s">
        <v>15</v>
      </c>
      <c r="F485" s="30" t="s">
        <v>28</v>
      </c>
      <c r="G485" s="30"/>
      <c r="H485" s="30" t="s">
        <v>1228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588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1060</v>
      </c>
      <c r="C487" t="s">
        <v>1070</v>
      </c>
      <c r="D487" t="s">
        <v>589</v>
      </c>
      <c r="E487" s="30" t="s">
        <v>73</v>
      </c>
      <c r="F487" s="30" t="s">
        <v>28</v>
      </c>
      <c r="G487" s="30"/>
      <c r="H487" s="30" t="s">
        <v>897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1061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591</v>
      </c>
      <c r="C489" t="s">
        <v>1070</v>
      </c>
      <c r="D489" t="s">
        <v>590</v>
      </c>
      <c r="E489" s="30" t="s">
        <v>73</v>
      </c>
      <c r="F489" s="30" t="s">
        <v>28</v>
      </c>
      <c r="G489" s="30"/>
      <c r="H489" s="30" t="s">
        <v>899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592</v>
      </c>
      <c r="B490" t="s">
        <v>593</v>
      </c>
      <c r="C490" t="s">
        <v>1070</v>
      </c>
      <c r="D490" t="s">
        <v>594</v>
      </c>
      <c r="E490" s="30" t="s">
        <v>15</v>
      </c>
      <c r="F490" s="30" t="s">
        <v>28</v>
      </c>
      <c r="G490" s="30"/>
      <c r="H490" s="30" t="s">
        <v>900</v>
      </c>
      <c r="I490" s="31">
        <f t="shared" si="26"/>
        <v>21</v>
      </c>
      <c r="J490" s="31">
        <f t="shared" si="27"/>
        <v>7</v>
      </c>
      <c r="K490" s="32">
        <f t="shared" si="28"/>
        <v>0.75</v>
      </c>
      <c r="L490" s="72" t="s">
        <v>1533</v>
      </c>
      <c r="M490" s="72" t="s">
        <v>1533</v>
      </c>
      <c r="N490" s="72" t="s">
        <v>1533</v>
      </c>
      <c r="O490" s="72" t="s">
        <v>1533</v>
      </c>
      <c r="P490" s="72" t="s">
        <v>1533</v>
      </c>
      <c r="Q490" s="72" t="s">
        <v>1533</v>
      </c>
      <c r="R490" s="72" t="s">
        <v>1533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1062</v>
      </c>
      <c r="C491" t="s">
        <v>1070</v>
      </c>
      <c r="D491" t="s">
        <v>596</v>
      </c>
      <c r="E491" s="30" t="s">
        <v>15</v>
      </c>
      <c r="F491" s="30" t="s">
        <v>20</v>
      </c>
      <c r="G491" s="30"/>
      <c r="H491" s="30" t="s">
        <v>901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597</v>
      </c>
      <c r="C492" t="s">
        <v>1070</v>
      </c>
      <c r="D492" t="s">
        <v>598</v>
      </c>
      <c r="E492" s="30" t="s">
        <v>15</v>
      </c>
      <c r="F492" s="30" t="s">
        <v>20</v>
      </c>
      <c r="G492" s="30"/>
      <c r="H492" s="30" t="s">
        <v>902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t="s">
        <v>599</v>
      </c>
      <c r="C493" t="s">
        <v>1070</v>
      </c>
      <c r="D493" t="s">
        <v>600</v>
      </c>
      <c r="E493" s="30" t="s">
        <v>15</v>
      </c>
      <c r="F493" s="30" t="s">
        <v>20</v>
      </c>
      <c r="G493" s="30"/>
      <c r="H493" s="30" t="s">
        <v>903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1122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1129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1123</v>
      </c>
      <c r="C495" s="30" t="s">
        <v>1070</v>
      </c>
      <c r="D495" t="s">
        <v>1124</v>
      </c>
      <c r="E495" s="30" t="s">
        <v>1121</v>
      </c>
      <c r="F495" s="30" t="s">
        <v>28</v>
      </c>
      <c r="G495" s="30"/>
      <c r="H495" s="30" t="s">
        <v>1130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s="30" t="s">
        <v>1208</v>
      </c>
      <c r="C496" s="30" t="s">
        <v>1070</v>
      </c>
      <c r="D496" t="s">
        <v>1209</v>
      </c>
      <c r="E496" s="30" t="s">
        <v>15</v>
      </c>
      <c r="F496" s="30" t="s">
        <v>28</v>
      </c>
      <c r="G496" s="30"/>
      <c r="H496" s="30" t="s">
        <v>1210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604</v>
      </c>
      <c r="C497" t="s">
        <v>1070</v>
      </c>
      <c r="D497" t="s">
        <v>605</v>
      </c>
      <c r="E497" s="30" t="s">
        <v>19</v>
      </c>
      <c r="F497" s="30" t="s">
        <v>1309</v>
      </c>
      <c r="G497" s="30"/>
      <c r="H497" s="30" t="s">
        <v>1380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310</v>
      </c>
      <c r="B498" t="s">
        <v>606</v>
      </c>
      <c r="C498" t="s">
        <v>1070</v>
      </c>
      <c r="D498" t="s">
        <v>607</v>
      </c>
      <c r="E498" s="30" t="s">
        <v>19</v>
      </c>
      <c r="F498" s="30" t="s">
        <v>1309</v>
      </c>
      <c r="G498" s="30"/>
      <c r="H498" s="30" t="s">
        <v>1377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608</v>
      </c>
      <c r="C499" t="s">
        <v>1070</v>
      </c>
      <c r="D499" t="s">
        <v>609</v>
      </c>
      <c r="E499" s="30" t="s">
        <v>15</v>
      </c>
      <c r="F499" s="30" t="s">
        <v>1309</v>
      </c>
      <c r="G499" s="30"/>
      <c r="H499" s="30" t="s">
        <v>1522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601</v>
      </c>
      <c r="C500" t="s">
        <v>1070</v>
      </c>
      <c r="D500" t="s">
        <v>602</v>
      </c>
      <c r="E500" s="30" t="s">
        <v>19</v>
      </c>
      <c r="F500" s="30" t="s">
        <v>20</v>
      </c>
      <c r="G500" s="30"/>
      <c r="H500" s="30" t="s">
        <v>1438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1456</v>
      </c>
      <c r="C501" t="s">
        <v>1069</v>
      </c>
      <c r="D501" t="s">
        <v>1457</v>
      </c>
      <c r="E501" s="30" t="s">
        <v>46</v>
      </c>
      <c r="F501" s="30" t="s">
        <v>28</v>
      </c>
      <c r="G501" s="30"/>
      <c r="H501" s="30" t="s">
        <v>1462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1459</v>
      </c>
      <c r="C502" t="s">
        <v>1069</v>
      </c>
      <c r="D502" t="s">
        <v>1458</v>
      </c>
      <c r="E502" s="30" t="s">
        <v>73</v>
      </c>
      <c r="F502" s="30" t="s">
        <v>28</v>
      </c>
      <c r="G502" s="30"/>
      <c r="H502" s="30" t="s">
        <v>1463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1460</v>
      </c>
      <c r="C503" t="s">
        <v>1069</v>
      </c>
      <c r="D503" t="s">
        <v>1461</v>
      </c>
      <c r="E503" s="30" t="s">
        <v>73</v>
      </c>
      <c r="F503" s="30" t="s">
        <v>28</v>
      </c>
      <c r="G503" s="30"/>
      <c r="H503" s="30" t="s">
        <v>1464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E752" s="30"/>
      <c r="F752" s="30"/>
      <c r="G752" s="30"/>
      <c r="H752" s="30"/>
      <c r="K752" s="13"/>
      <c r="N752" s="72"/>
    </row>
    <row r="753" spans="11:14" x14ac:dyDescent="0.25">
      <c r="K753" s="13"/>
      <c r="N753" s="72"/>
    </row>
    <row r="754" spans="11:14" x14ac:dyDescent="0.25">
      <c r="N754" s="72"/>
    </row>
    <row r="755" spans="11:14" x14ac:dyDescent="0.25">
      <c r="N755" s="72"/>
    </row>
    <row r="756" spans="11:14" x14ac:dyDescent="0.25">
      <c r="N756" s="72"/>
    </row>
    <row r="757" spans="11:14" x14ac:dyDescent="0.25">
      <c r="N757" s="72"/>
    </row>
    <row r="758" spans="11:14" x14ac:dyDescent="0.25">
      <c r="N758" s="72"/>
    </row>
    <row r="759" spans="11:14" x14ac:dyDescent="0.25">
      <c r="N759" s="72"/>
    </row>
    <row r="760" spans="11:14" x14ac:dyDescent="0.25">
      <c r="N760" s="72"/>
    </row>
    <row r="761" spans="11:14" x14ac:dyDescent="0.25">
      <c r="N761" s="72"/>
    </row>
    <row r="762" spans="11:14" x14ac:dyDescent="0.25">
      <c r="N762" s="72"/>
    </row>
    <row r="763" spans="11:14" x14ac:dyDescent="0.25">
      <c r="N763" s="72"/>
    </row>
    <row r="764" spans="11:14" x14ac:dyDescent="0.25">
      <c r="N764" s="72"/>
    </row>
    <row r="765" spans="11:14" x14ac:dyDescent="0.25">
      <c r="N765" s="72"/>
    </row>
    <row r="766" spans="11:14" x14ac:dyDescent="0.25">
      <c r="N766" s="72"/>
    </row>
    <row r="767" spans="11:14" x14ac:dyDescent="0.25">
      <c r="N767" s="72"/>
    </row>
    <row r="768" spans="11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</sheetData>
  <autoFilter ref="A7:AO583" xr:uid="{00000000-0001-0000-0000-000000000000}"/>
  <sortState xmlns:xlrd2="http://schemas.microsoft.com/office/spreadsheetml/2017/richdata2" ref="A576:AN581">
    <sortCondition ref="B576:B581"/>
  </sortState>
  <phoneticPr fontId="6" type="noConversion"/>
  <conditionalFormatting sqref="C1:C234 D117:D126 D134 D185 D189:D191 D196:D197 D226:D227 D234 C235:D235 C236:C503 D240:D241 D251 D322:D323 D331 C332:D332 D348:D350 D363 D410:D413 D471 C586:C1048576">
    <cfRule type="cellIs" dxfId="101" priority="458" operator="equal">
      <formula>$C$237</formula>
    </cfRule>
  </conditionalFormatting>
  <conditionalFormatting sqref="C1:C234 D189:D191 C235:D235 C236:C503 D240:D241 D251 C332:D332 D348:D350 D363 C586:C1048576 D117:D126 D134 D185 D196:D197 D226:D227 D234 D322:D323 D331 D410:D413 D471">
    <cfRule type="cellIs" dxfId="100" priority="457" operator="equal">
      <formula>$C$252</formula>
    </cfRule>
  </conditionalFormatting>
  <conditionalFormatting sqref="C1:C503 D189 D240:D241 D251 D348:D350 D363 C586:C1048576">
    <cfRule type="cellIs" dxfId="99" priority="3" operator="equal">
      <formula>"IPCOMS"</formula>
    </cfRule>
  </conditionalFormatting>
  <conditionalFormatting sqref="E1:E29 E32:E196 E198:E347 E351:E362 E364:E480 E493:E503 E586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4:E503 E1:E29 E32:E196 E198:E347 E351:E362 E586:E1048576">
    <cfRule type="cellIs" dxfId="95" priority="459" operator="equal">
      <formula>$E$10</formula>
    </cfRule>
  </conditionalFormatting>
  <conditionalFormatting sqref="E482">
    <cfRule type="containsText" dxfId="94" priority="406" operator="containsText" text="Radio">
      <formula>NOT(ISERROR(SEARCH("Radio",E482)))</formula>
    </cfRule>
    <cfRule type="containsText" dxfId="93" priority="405" operator="containsText" text="domo">
      <formula>NOT(ISERROR(SEARCH("domo",E482)))</formula>
    </cfRule>
    <cfRule type="containsText" dxfId="92" priority="404" operator="containsText" text="fija">
      <formula>NOT(ISERROR(SEARCH("fija",E482)))</formula>
    </cfRule>
  </conditionalFormatting>
  <conditionalFormatting sqref="E482:E483">
    <cfRule type="containsText" dxfId="91" priority="400" operator="containsText" text="domo">
      <formula>NOT(ISERROR(SEARCH("domo",E482)))</formula>
    </cfRule>
    <cfRule type="containsText" dxfId="90" priority="399" operator="containsText" text="fija">
      <formula>NOT(ISERROR(SEARCH("fija",E482)))</formula>
    </cfRule>
  </conditionalFormatting>
  <conditionalFormatting sqref="E483">
    <cfRule type="containsText" dxfId="89" priority="398" operator="containsText" text="domo">
      <formula>NOT(ISERROR(SEARCH("domo",E483)))</formula>
    </cfRule>
    <cfRule type="containsText" dxfId="88" priority="397" operator="containsText" text="fija">
      <formula>NOT(ISERROR(SEARCH("fija",E483)))</formula>
    </cfRule>
    <cfRule type="containsText" dxfId="87" priority="401" operator="containsText" text="Radio">
      <formula>NOT(ISERROR(SEARCH("Radio",E483)))</formula>
    </cfRule>
  </conditionalFormatting>
  <conditionalFormatting sqref="E486">
    <cfRule type="containsText" dxfId="86" priority="395" operator="containsText" text="domo">
      <formula>NOT(ISERROR(SEARCH("domo",E486)))</formula>
    </cfRule>
    <cfRule type="containsText" dxfId="85" priority="396" operator="containsText" text="Radio">
      <formula>NOT(ISERROR(SEARCH("Radio",E486)))</formula>
    </cfRule>
    <cfRule type="containsText" dxfId="84" priority="394" operator="containsText" text="fija">
      <formula>NOT(ISERROR(SEARCH("fija",E486)))</formula>
    </cfRule>
  </conditionalFormatting>
  <conditionalFormatting sqref="E486:E487">
    <cfRule type="containsText" dxfId="83" priority="389" operator="containsText" text="fija">
      <formula>NOT(ISERROR(SEARCH("fija",E486)))</formula>
    </cfRule>
    <cfRule type="containsText" dxfId="82" priority="390" operator="containsText" text="domo">
      <formula>NOT(ISERROR(SEARCH("domo",E486)))</formula>
    </cfRule>
  </conditionalFormatting>
  <conditionalFormatting sqref="E487 E1:H29 F30:G33 E34:H120 E127:H196 E198:H346 E347:F347 F348:F350 E351:H362 E364:H480 E493:H503 E586:H1048576 E121:E126 H347 G347:G350">
    <cfRule type="containsText" dxfId="81" priority="391" operator="containsText" text="Radio">
      <formula>NOT(ISERROR(SEARCH("Radio",E1)))</formula>
    </cfRule>
  </conditionalFormatting>
  <conditionalFormatting sqref="E487:E488">
    <cfRule type="containsText" dxfId="80" priority="385" operator="containsText" text="domo">
      <formula>NOT(ISERROR(SEARCH("domo",E487)))</formula>
    </cfRule>
    <cfRule type="containsText" dxfId="79" priority="384" operator="containsText" text="fija">
      <formula>NOT(ISERROR(SEARCH("fija",E487)))</formula>
    </cfRule>
  </conditionalFormatting>
  <conditionalFormatting sqref="E488">
    <cfRule type="containsText" dxfId="78" priority="386" operator="containsText" text="Radio">
      <formula>NOT(ISERROR(SEARCH("Radio",E488)))</formula>
    </cfRule>
  </conditionalFormatting>
  <conditionalFormatting sqref="E488:E489">
    <cfRule type="containsText" dxfId="77" priority="380" operator="containsText" text="domo">
      <formula>NOT(ISERROR(SEARCH("domo",E488)))</formula>
    </cfRule>
    <cfRule type="containsText" dxfId="76" priority="379" operator="containsText" text="fija">
      <formula>NOT(ISERROR(SEARCH("fija",E488)))</formula>
    </cfRule>
  </conditionalFormatting>
  <conditionalFormatting sqref="E489">
    <cfRule type="containsText" dxfId="75" priority="381" operator="containsText" text="Radio">
      <formula>NOT(ISERROR(SEARCH("Radio",E489)))</formula>
    </cfRule>
    <cfRule type="containsText" dxfId="74" priority="377" operator="containsText" text="fija">
      <formula>NOT(ISERROR(SEARCH("fija",E489)))</formula>
    </cfRule>
    <cfRule type="containsText" dxfId="73" priority="378" operator="containsText" text="domo">
      <formula>NOT(ISERROR(SEARCH("domo",E489)))</formula>
    </cfRule>
  </conditionalFormatting>
  <conditionalFormatting sqref="E491">
    <cfRule type="containsText" dxfId="72" priority="675" operator="containsText" text="fija">
      <formula>NOT(ISERROR(SEARCH("fija",E491)))</formula>
    </cfRule>
    <cfRule type="containsText" dxfId="71" priority="676" operator="containsText" text="domo">
      <formula>NOT(ISERROR(SEARCH("domo",E491)))</formula>
    </cfRule>
  </conditionalFormatting>
  <conditionalFormatting sqref="E494:E496">
    <cfRule type="containsText" dxfId="70" priority="407" operator="containsText" text="fija">
      <formula>NOT(ISERROR(SEARCH("fija",E494)))</formula>
    </cfRule>
    <cfRule type="containsText" dxfId="69" priority="408" operator="containsText" text="domo">
      <formula>NOT(ISERROR(SEARCH("domo",E494)))</formula>
    </cfRule>
  </conditionalFormatting>
  <conditionalFormatting sqref="E491:H491">
    <cfRule type="containsText" dxfId="68" priority="932" operator="containsText" text="Radio">
      <formula>NOT(ISERROR(SEARCH("Radio",E491)))</formula>
    </cfRule>
  </conditionalFormatting>
  <conditionalFormatting sqref="F1:F120 F127:F196 F198:F362 F364:F503 F586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1">
    <cfRule type="cellIs" dxfId="65" priority="55" operator="equal">
      <formula>"PTP A FO"</formula>
    </cfRule>
    <cfRule type="containsText" dxfId="64" priority="54" operator="containsText" text="Radio">
      <formula>NOT(ISERROR(SEARCH("Radio",F481)))</formula>
    </cfRule>
  </conditionalFormatting>
  <conditionalFormatting sqref="F1:G120 F127:G196 F198:G362 F364:G480 F491:G491 F493:G503 F586:G1048576">
    <cfRule type="cellIs" dxfId="63" priority="656" operator="equal">
      <formula>"PTP A FO"</formula>
    </cfRule>
  </conditionalFormatting>
  <conditionalFormatting sqref="F1:G120 F127:G196 F198:G362 F364:G503 F586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3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6:AN662 V586:AG1048576">
    <cfRule type="cellIs" dxfId="58" priority="38" operator="equal">
      <formula>"apagado"</formula>
    </cfRule>
  </conditionalFormatting>
  <conditionalFormatting sqref="L586:AN1048576">
    <cfRule type="containsText" dxfId="57" priority="588" operator="containsText" text="Caida">
      <formula>NOT(ISERROR(SEARCH("Caida",L586)))</formula>
    </cfRule>
    <cfRule type="notContainsText" dxfId="56" priority="921" operator="notContains" text="Caida">
      <formula>ISERROR(SEARCH("Caida",L586))</formula>
    </cfRule>
  </conditionalFormatting>
  <conditionalFormatting sqref="L8:AO33 AP8:AP120 L34:AN80 AO34:AO120 L81:AF81 AH81:AN81 L82:AN119 AB120:AN120 L120:AA126 AB121:AP126 L127:AP196 Y197 L198:AN301 AO198:AP347 L302:AA302 AC302:AN302 L303:AN347 M348:N348 L348:L350 M349:M350 N349:N351 L351:M351 O351:AO351 AP351:AP362 L352:AO359 N360:AO362 L360:M363 L364:AP503 AH586:AN1048576">
    <cfRule type="cellIs" dxfId="55" priority="37" operator="equal">
      <formula>"APAGADO"</formula>
    </cfRule>
  </conditionalFormatting>
  <conditionalFormatting sqref="N586:N1105">
    <cfRule type="notContainsText" dxfId="54" priority="217" operator="notContains" text="Caida">
      <formula>ISERROR(SEARCH("Caida",N586))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NOT(ISERROR(SEARCH("Caida",N586)))</formula>
    </cfRule>
  </conditionalFormatting>
  <conditionalFormatting sqref="N586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1" zoomScale="90" zoomScaleNormal="90" workbookViewId="0">
      <selection activeCell="F156" sqref="B155:F16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496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0.13911290322580644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0.13508064516129031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0.12298387096774194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9.6774193548387094E-2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7.6612903225806453E-2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269</v>
      </c>
      <c r="D9" s="121">
        <f>Hoja1!F3</f>
        <v>26</v>
      </c>
      <c r="E9" s="111">
        <f>D9/C9</f>
        <v>9.6654275092936809E-2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496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0.17137096774193547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0.16733870967741934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0.15524193548387097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0.10483870967741936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269</v>
      </c>
      <c r="D20" s="121">
        <f>Hoja1!G3</f>
        <v>40</v>
      </c>
      <c r="E20" s="111">
        <f>D20/C20</f>
        <v>0.14869888475836432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496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0.17137096774193547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0.12096774193548387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0.10887096774193548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7.8629032258064516E-2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5.8467741935483868E-2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269</v>
      </c>
      <c r="D31" s="121">
        <f>Hoja1!H3</f>
        <v>40</v>
      </c>
      <c r="E31" s="111">
        <f>D31/C31</f>
        <v>0.14869888475836432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496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0.20564516129032259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0.18951612903225806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0.17741935483870969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0.13306451612903225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0.11290322580645161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269</v>
      </c>
      <c r="D42" s="121">
        <f>Hoja1!I3</f>
        <v>30</v>
      </c>
      <c r="E42" s="111">
        <f>D42/C42</f>
        <v>0.11152416356877323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496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0.22983870967741934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0.21370967741935484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0.20161290322580644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0.16733870967741934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0.14717741935483872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269</v>
      </c>
      <c r="D53" s="121">
        <f>Hoja1!J3</f>
        <v>40</v>
      </c>
      <c r="E53" s="111">
        <f>D53/C53</f>
        <v>0.14869888475836432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496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0.20362903225806453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-4.2338709677419352E-2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269</v>
      </c>
      <c r="D64" s="121">
        <f>Hoja1!K3</f>
        <v>21</v>
      </c>
      <c r="E64" s="111">
        <f>D64/C64</f>
        <v>7.8066914498141265E-2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496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0.24596774193548387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0.20766129032258066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0.19556451612903225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0.15322580645161291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0.13306451612903225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269</v>
      </c>
      <c r="D75" s="121">
        <f>Hoja1!L3</f>
        <v>41</v>
      </c>
      <c r="E75" s="111">
        <f>D75/C75</f>
        <v>0.15241635687732341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496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0.19758064516129031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0.18951612903225806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0.17741935483870969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0.14314516129032259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0.12298387096774194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269</v>
      </c>
      <c r="D86" s="121">
        <f>Hoja1!M3</f>
        <v>21</v>
      </c>
      <c r="E86" s="111">
        <f>D86/C86</f>
        <v>7.8066914498141265E-2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496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0.16129032258064516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-5.040322580645161E-2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269</v>
      </c>
      <c r="D97" s="121">
        <f>Hoja1!N3</f>
        <v>28</v>
      </c>
      <c r="E97" s="111">
        <f>D97/C97</f>
        <v>0.10408921933085502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496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0.15725806451612903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0.13911290322580644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0.12701612903225806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9.2741935483870969E-2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7.2580645161290328E-2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269</v>
      </c>
      <c r="D108" s="121">
        <f>Hoja1!O3</f>
        <v>31</v>
      </c>
      <c r="E108" s="111">
        <f>D108/C108</f>
        <v>0.11524163568773234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496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0.15524193548387097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0.14717741935483872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0.13508064516129031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0.10080645161290322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8.0645161290322578E-2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269</v>
      </c>
      <c r="D119" s="121">
        <f>Hoja1!P3</f>
        <v>28</v>
      </c>
      <c r="E119" s="111">
        <f>D119/C119</f>
        <v>0.10408921933085502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496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0.12701612903225806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0.12701612903225806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0.12701612903225806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0.10080645161290322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0.10080645161290322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269</v>
      </c>
      <c r="D130" s="121">
        <f>Hoja1!Q3</f>
        <v>27</v>
      </c>
      <c r="E130" s="111">
        <f>D130/C130</f>
        <v>0.10037174721189591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496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0.13709677419354838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0.13709677419354838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0.13709677419354838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0.13709677419354838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269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496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0.11290322580645161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0.11290322580645161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0.11290322580645161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8.669354838709678E-2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8.669354838709678E-2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269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496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0.125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0.11088709677419355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9.8790322580645157E-2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7.6612903225806453E-2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5.6451612903225805E-2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269</v>
      </c>
      <c r="D163" s="121">
        <f>Hoja1!T3</f>
        <v>27</v>
      </c>
      <c r="E163" s="111">
        <f>D163/C163</f>
        <v>0.10037174721189591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35</v>
      </c>
      <c r="E164" s="120">
        <f>D164/C164</f>
        <v>0.15486725663716813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496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0.13911290322580644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0.13911290322580644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0.13911290322580644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0.11491935483870967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0.11491935483870967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269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30</v>
      </c>
      <c r="E175" s="120">
        <f>D175/C175</f>
        <v>0.13274336283185842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496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1474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269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496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1474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269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496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269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496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269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496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1499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269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496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1499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269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496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269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496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269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496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269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496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269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496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269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496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269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496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269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496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269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496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269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TOTAL'!C8:C503,"=BONOMO")</f>
        <v>269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TOTAL'!L8:L611,"=APAGADO",'RESUMEN TOTAL'!C8:C611,"=BONOMO")</f>
        <v>26</v>
      </c>
      <c r="G3" s="47">
        <f>COUNTIFS('RESUMEN TOTAL'!M8:M611,"=APAGADO",'RESUMEN TOTAL'!C8:C611,"=BONOMO")</f>
        <v>40</v>
      </c>
      <c r="H3" s="47">
        <f>COUNTIFS('RESUMEN TOTAL'!N8:N611,"=APAGADO",'RESUMEN TOTAL'!C8:C611,"=BONOMO")</f>
        <v>40</v>
      </c>
      <c r="I3" s="47">
        <f>COUNTIFS('RESUMEN TOTAL'!O8:O611,"=APAGADO",'RESUMEN TOTAL'!C8:C611,"=BONOMO")</f>
        <v>30</v>
      </c>
      <c r="J3" s="47">
        <f>COUNTIFS('RESUMEN TOTAL'!P8:P611,"=APAGADO",'RESUMEN TOTAL'!C8:C611,"=BONOMO")</f>
        <v>40</v>
      </c>
      <c r="K3" s="47">
        <f>COUNTIFS('RESUMEN TOTAL'!Q8:Q611,"=APAGADO",'RESUMEN TOTAL'!C8:C611,"=BONOMO")</f>
        <v>21</v>
      </c>
      <c r="L3" s="47">
        <f>COUNTIFS('RESUMEN TOTAL'!R8:R611,"=APAGADO",'RESUMEN TOTAL'!C8:C611,"=BONOMO")</f>
        <v>41</v>
      </c>
      <c r="M3" s="47">
        <f>COUNTIFS('RESUMEN TOTAL'!S8:S611,"=APAGADO",'RESUMEN TOTAL'!C8:C611,"=BONOMO")</f>
        <v>21</v>
      </c>
      <c r="N3" s="47">
        <f>COUNTIFS('RESUMEN TOTAL'!T8:T611,"=APAGADO",'RESUMEN TOTAL'!C8:C611,"=BONOMO")</f>
        <v>28</v>
      </c>
      <c r="O3" s="47">
        <f>COUNTIFS('RESUMEN TOTAL'!U8:U611,"=APAGADO",'RESUMEN TOTAL'!C8:C611,"=BONOMO")</f>
        <v>31</v>
      </c>
      <c r="P3" s="47">
        <f>COUNTIFS('RESUMEN TOTAL'!V8:V611,"=APAGADO",'RESUMEN TOTAL'!C8:C611,"=BONOMO")</f>
        <v>28</v>
      </c>
      <c r="Q3" s="47">
        <f>COUNTIFS('RESUMEN TOTAL'!W8:W611,"=APAGADO",'RESUMEN TOTAL'!C8:C611,"=BONOMO")</f>
        <v>27</v>
      </c>
      <c r="R3" s="47">
        <f>COUNTIFS('RESUMEN TOTAL'!X8:X611,"=APAGADO",'RESUMEN TOTAL'!C8:C611,"=BONOMO")</f>
        <v>31</v>
      </c>
      <c r="S3" s="47">
        <f>COUNTIFS('RESUMEN TOTAL'!Y8:Y611,"=APAGADO",'RESUMEN TOTAL'!C8:C611,"=BONOMO")</f>
        <v>23</v>
      </c>
      <c r="T3" s="47">
        <f>COUNTIFS('RESUMEN TOTAL'!Z8:Z611,"=APAGADO",'RESUMEN TOTAL'!C8:C611,"=BONOMO")</f>
        <v>27</v>
      </c>
      <c r="U3" s="47">
        <v>0</v>
      </c>
      <c r="V3" s="47">
        <f>COUNTIFS('RESUMEN TOTAL'!AB8:AB611,"=APAGADO",'RESUMEN TOTAL'!C8:C611,"=BONOMO")</f>
        <v>0</v>
      </c>
      <c r="W3" s="47">
        <f>COUNTIFS('RESUMEN TOTAL'!AC8:AC611,"=APAGADO",'RESUMEN TOTAL'!C8:C611,"=BONOMO")</f>
        <v>0</v>
      </c>
      <c r="X3" s="47">
        <f>COUNTIFS('RESUMEN TOTAL'!AD8:AD611,"=APAGADO",'RESUMEN TOTAL'!C8:C611,"=BONOMO")</f>
        <v>0</v>
      </c>
      <c r="Y3" s="47">
        <f>COUNTIFS('RESUMEN TOTAL'!AE8:AE611,"=APAGADO",'RESUMEN TOTAL'!C8:C611,"=BONOMO")</f>
        <v>0</v>
      </c>
      <c r="Z3" s="47">
        <f>COUNTIFS('RESUMEN TOTAL'!AF8:AF611,"=APAGADO",'RESUMEN TOTAL'!C8:C611,"=BONOMO")</f>
        <v>0</v>
      </c>
      <c r="AA3" s="47">
        <f>COUNTIFS('RESUMEN TOTAL'!AG8:AG611,"=APAGADO",'RESUMEN TOTAL'!C8:C611,"=BONOMO")</f>
        <v>0</v>
      </c>
      <c r="AB3" s="47">
        <f>COUNTIFS('RESUMEN TOTAL'!AH8:AH611,"=APAGADO",'RESUMEN TOTAL'!C8:C611,"=BONOMO")</f>
        <v>0</v>
      </c>
      <c r="AC3" s="47">
        <f>COUNTIFS('RESUMEN TOTAL'!AI8:AI611,"=APAGADO",'RESUMEN TOTAL'!C8:C611,"=BONOMO")</f>
        <v>0</v>
      </c>
      <c r="AD3" s="47">
        <f>COUNTIFS('RESUMEN TOTAL'!AJ8:AJ611,"=APAGADO",'RESUMEN TOTAL'!C8:C611,"=BONOMO")</f>
        <v>0</v>
      </c>
      <c r="AE3" s="47">
        <v>0</v>
      </c>
      <c r="AF3" s="47">
        <f>COUNTIFS('RESUMEN TOTAL'!AL8:AL611,"=APAGADO",'RESUMEN TOTAL'!C8:C611,"=BONOMO")</f>
        <v>0</v>
      </c>
      <c r="AG3" s="47">
        <f>COUNTIFS('RESUMEN TOTAL'!AM8:AM611,"=APAGADO",'RESUMEN TOTAL'!C8:C611,"=BONOMO")</f>
        <v>0</v>
      </c>
      <c r="AH3" s="47">
        <f>COUNTIFS('RESUMEN TOTAL'!AN8:AN611,"=APAGADO",'RESUMEN TOTAL'!C8:C611,"=BONOMO")</f>
        <v>0</v>
      </c>
      <c r="AI3" s="47">
        <f>COUNTIFS('RESUMEN TOTAL'!AO8:AO611,"=APAGADO",'RESUMEN TOTAL'!C8:C611,"=BONOMO")</f>
        <v>0</v>
      </c>
      <c r="AJ3" s="47">
        <f>COUNTIFS('RESUMEN TOTAL'!AP8:AP611,"=APAGADO",'RESUMEN TOTAL'!D8:D611,"=BONOMO")</f>
        <v>0</v>
      </c>
    </row>
    <row r="4" spans="1:36" ht="16.5" thickTop="1" thickBot="1" x14ac:dyDescent="0.3">
      <c r="A4" s="49" t="s">
        <v>1070</v>
      </c>
      <c r="B4" s="42">
        <f>COUNTIFS('RESUMEN TOTAL'!C8:C503,"=COSEIDI")</f>
        <v>226</v>
      </c>
      <c r="D4" s="40"/>
      <c r="E4" s="38" t="s">
        <v>1080</v>
      </c>
      <c r="F4" s="51">
        <f t="shared" ref="F4:O4" si="0">F3/BONOMOcam</f>
        <v>9.6654275092936809E-2</v>
      </c>
      <c r="G4" s="51">
        <f t="shared" si="0"/>
        <v>0.14869888475836432</v>
      </c>
      <c r="H4" s="51">
        <f t="shared" si="0"/>
        <v>0.14869888475836432</v>
      </c>
      <c r="I4" s="51">
        <f t="shared" si="0"/>
        <v>0.11152416356877323</v>
      </c>
      <c r="J4" s="51">
        <f t="shared" si="0"/>
        <v>0.14869888475836432</v>
      </c>
      <c r="K4" s="51">
        <f t="shared" si="0"/>
        <v>7.8066914498141265E-2</v>
      </c>
      <c r="L4" s="51">
        <f t="shared" si="0"/>
        <v>0.15241635687732341</v>
      </c>
      <c r="M4" s="51">
        <f t="shared" si="0"/>
        <v>7.8066914498141265E-2</v>
      </c>
      <c r="N4" s="51">
        <f t="shared" si="0"/>
        <v>0.10408921933085502</v>
      </c>
      <c r="O4" s="51">
        <f t="shared" si="0"/>
        <v>0.11524163568773234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TOTAL'!L10:L613,"=APAGADO",'RESUMEN TOTAL'!C10:C613,"=COSEIDI")</f>
        <v>43</v>
      </c>
      <c r="G5" s="47">
        <f>COUNTIFS('RESUMEN TOTAL'!M10:M613,"=APAGADO",'RESUMEN TOTAL'!C10:C613,"=COSEIDI")</f>
        <v>45</v>
      </c>
      <c r="H5" s="47">
        <f>COUNTIFS('RESUMEN TOTAL'!N10:N613,"=APAGADO",'RESUMEN TOTAL'!C10:C613,"=COSEIDI")</f>
        <v>45</v>
      </c>
      <c r="I5" s="47">
        <f>COUNTIFS('RESUMEN TOTAL'!O10:O613,"=APAGADO",'RESUMEN TOTAL'!C10:C613,"=COSEIDI")</f>
        <v>72</v>
      </c>
      <c r="J5" s="47">
        <f>COUNTIFS('RESUMEN TOTAL'!P10:P613,"=APAGADO",'RESUMEN TOTAL'!C10:C613,"=COSEIDI")</f>
        <v>74</v>
      </c>
      <c r="K5" s="47">
        <f>COUNTIFS('RESUMEN TOTAL'!Q10:Q613,"=APAGADO",'RESUMEN TOTAL'!C10:C613,"=COSEIDI")</f>
        <v>80</v>
      </c>
      <c r="L5" s="47">
        <f>COUNTIFS('RESUMEN TOTAL'!R10:R613,"=APAGADO",'RESUMEN TOTAL'!C10:C613,"=COSEIDI")</f>
        <v>81</v>
      </c>
      <c r="M5" s="47">
        <f>COUNTIFS('RESUMEN TOTAL'!S10:S613,"=APAGADO",'RESUMEN TOTAL'!C10:C613,"=COSEIDI")</f>
        <v>77</v>
      </c>
      <c r="N5" s="47">
        <f>COUNTIFS('RESUMEN TOTAL'!T10:T613,"=APAGADO",'RESUMEN TOTAL'!C10:C613,"=COSEIDI")</f>
        <v>52</v>
      </c>
      <c r="O5" s="47">
        <f>COUNTIFS('RESUMEN TOTAL'!U10:U613,"=APAGADO",'RESUMEN TOTAL'!C10:C613,"=COSEIDI")</f>
        <v>47</v>
      </c>
      <c r="P5" s="47">
        <f>COUNTIFS('RESUMEN TOTAL'!V10:V613,"=APAGADO",'RESUMEN TOTAL'!C10:C613,"=COSEIDI")</f>
        <v>49</v>
      </c>
      <c r="Q5" s="47">
        <f>COUNTIFS('RESUMEN TOTAL'!W10:W613,"=APAGADO",'RESUMEN TOTAL'!C10:C613,"=COSEIDI")</f>
        <v>36</v>
      </c>
      <c r="R5" s="47">
        <f>COUNTIFS('RESUMEN TOTAL'!X10:X613,"=APAGADO",'RESUMEN TOTAL'!C10:C613,"=COSEIDI")</f>
        <v>37</v>
      </c>
      <c r="S5" s="47">
        <f>COUNTIFS('RESUMEN TOTAL'!Y10:Y613,"=APAGADO",'RESUMEN TOTAL'!C10:C613,"=COSEIDI")</f>
        <v>33</v>
      </c>
      <c r="T5" s="47">
        <f>COUNTIFS('RESUMEN TOTAL'!Z10:Z613,"=APAGADO",'RESUMEN TOTAL'!C10:C613,"=COSEIDI")</f>
        <v>35</v>
      </c>
      <c r="U5" s="47">
        <f>COUNTIFS('RESUMEN TOTAL'!AA10:AA613,"=APAGADO",'RESUMEN TOTAL'!C10:C613,"=COSEIDI")</f>
        <v>30</v>
      </c>
      <c r="V5" s="47">
        <f>COUNTIFS('RESUMEN TOTAL'!AB10:AB613,"=APAGADO",'RESUMEN TOTAL'!C10:C613,"=COSEIDI")</f>
        <v>0</v>
      </c>
      <c r="W5" s="47">
        <f>COUNTIFS('RESUMEN TOTAL'!AC10:AC613,"=APAGADO",'RESUMEN TOTAL'!C10:C613,"=COSEIDI")</f>
        <v>0</v>
      </c>
      <c r="X5" s="47">
        <f>COUNTIFS('RESUMEN TOTAL'!AD10:AD613,"=APAGADO",'RESUMEN TOTAL'!C10:C613,"=COSEIDI")</f>
        <v>0</v>
      </c>
      <c r="Y5" s="47">
        <f>COUNTIFS('RESUMEN TOTAL'!AE10:AE613,"=APAGADO",'RESUMEN TOTAL'!C10:C613,"=COSEIDI")</f>
        <v>0</v>
      </c>
      <c r="Z5" s="47">
        <f>COUNTIFS('RESUMEN TOTAL'!AF10:AF613,"=APAGADO",'RESUMEN TOTAL'!C10:C613,"=COSEIDI")</f>
        <v>0</v>
      </c>
      <c r="AA5" s="47">
        <f>COUNTIFS('RESUMEN TOTAL'!AG10:AG613,"=APAGADO",'RESUMEN TOTAL'!C10:C613,"=COSEIDI")</f>
        <v>0</v>
      </c>
      <c r="AB5" s="47">
        <f>COUNTIFS('RESUMEN TOTAL'!AH10:AH613,"=APAGADO",'RESUMEN TOTAL'!C10:C613,"=COSEIDI")</f>
        <v>0</v>
      </c>
      <c r="AC5" s="47">
        <f>COUNTIFS('RESUMEN TOTAL'!AI10:AI613,"=APAGADO",'RESUMEN TOTAL'!C10:C613,"=COSEIDI")</f>
        <v>0</v>
      </c>
      <c r="AD5" s="47">
        <f>COUNTIFS('RESUMEN TOTAL'!AJ10:AJ613,"=APAGADO",'RESUMEN TOTAL'!C10:C613,"=COSEIDI")</f>
        <v>0</v>
      </c>
      <c r="AE5" s="47">
        <f>COUNTIFS('RESUMEN TOTAL'!AK10:AK613,"=APAGADO",'RESUMEN TOTAL'!C10:C613,"=COSEIDI")</f>
        <v>0</v>
      </c>
      <c r="AF5" s="47">
        <f>COUNTIFS('RESUMEN TOTAL'!AL10:AL613,"=APAGADO",'RESUMEN TOTAL'!C10:C613,"=COSEIDI")</f>
        <v>0</v>
      </c>
      <c r="AG5" s="47">
        <f>COUNTIFS('RESUMEN TOTAL'!AM10:AM613,"=APAGADO",'RESUMEN TOTAL'!C10:C613,"=COSEIDI")</f>
        <v>0</v>
      </c>
      <c r="AH5" s="47">
        <f>COUNTIFS('RESUMEN TOTAL'!AN10:AN613,"=APAGADO",'RESUMEN TOTAL'!C10:C613,"=COSEIDI")</f>
        <v>0</v>
      </c>
      <c r="AI5" s="47">
        <f>COUNTIFS('RESUMEN TOTAL'!AO10:AO613,"=APAGADO",'RESUMEN TOTAL'!C10:C613,"=COSEIDI")</f>
        <v>0</v>
      </c>
      <c r="AJ5" s="47">
        <f>COUNTIFS('RESUMEN TOTAL'!AP10:AP613,"=APAGADO",'RESUMEN TOTAL'!D10:D613,"=COSEIDI")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1545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01</v>
      </c>
      <c r="C146" t="str">
        <f>'RESUMEN TOTAL'!D165</f>
        <v>1138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INGENIERO ALLAN</v>
      </c>
      <c r="B147" t="str">
        <f>'RESUMEN TOTAL'!B166</f>
        <v>INA 02</v>
      </c>
      <c r="C147" t="str">
        <f>'RESUMEN TOTAL'!D166</f>
        <v>1144 Y 1155</v>
      </c>
      <c r="D147" s="30" t="str">
        <f>'RESUMEN TOTAL'!E166</f>
        <v>DOMO</v>
      </c>
      <c r="E147" s="30" t="str">
        <f>'RESUMEN TOTAL'!F166</f>
        <v>Fibra Optica</v>
      </c>
      <c r="F147" s="72">
        <f>'RESUMEN TOTAL'!L166</f>
        <v>0</v>
      </c>
      <c r="G147" s="72">
        <f>'RESUMEN TOTAL'!M166</f>
        <v>0</v>
      </c>
      <c r="H147" s="72">
        <f>'RESUMEN TOTAL'!N166</f>
        <v>0</v>
      </c>
      <c r="I147" s="72">
        <f>'RESUMEN TOTAL'!O166</f>
        <v>0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INFICO</v>
      </c>
      <c r="B148" t="str">
        <f>'RESUMEN TOTAL'!B167</f>
        <v>INF 01</v>
      </c>
      <c r="C148" t="str">
        <f>'RESUMEN TOTAL'!D167</f>
        <v>AV. HUDSON Y CARIBONI</v>
      </c>
      <c r="D148" s="30">
        <f>'RESUMEN TOTAL'!E167</f>
        <v>0</v>
      </c>
      <c r="E148" s="30" t="str">
        <f>'RESUMEN TOTAL'!F167</f>
        <v>Fibra Optica</v>
      </c>
      <c r="F148" s="72" t="str">
        <f>'RESUMEN TOTAL'!L167</f>
        <v>APAGADO</v>
      </c>
      <c r="G148" s="72" t="str">
        <f>'RESUMEN TOTAL'!M167</f>
        <v>APAGADO</v>
      </c>
      <c r="H148" s="72" t="str">
        <f>'RESUMEN TOTAL'!N167</f>
        <v>APAGADO</v>
      </c>
      <c r="I148" s="72" t="str">
        <f>'RESUMEN TOTAL'!O167</f>
        <v>APAGADO</v>
      </c>
      <c r="J148" s="72" t="str">
        <f>'RESUMEN TOTAL'!P167</f>
        <v>APAGADO</v>
      </c>
      <c r="K148" s="72" t="str">
        <f>'RESUMEN TOTAL'!Q167</f>
        <v>APAGADO</v>
      </c>
      <c r="L148" s="72" t="str">
        <f>'RESUMEN TOTAL'!R167</f>
        <v>APAGADO</v>
      </c>
      <c r="M148" s="72" t="str">
        <f>'RESUMEN TOTAL'!S167</f>
        <v>APAGADO</v>
      </c>
      <c r="N148" s="72" t="str">
        <f>'RESUMEN TOTAL'!T167</f>
        <v>APAGADO</v>
      </c>
      <c r="O148" s="72" t="str">
        <f>'RESUMEN TOTAL'!U167</f>
        <v>APAGADO</v>
      </c>
      <c r="P148" s="72" t="str">
        <f>'RESUMEN TOTAL'!V167</f>
        <v>APAGADO</v>
      </c>
      <c r="Q148" s="72" t="str">
        <f>'RESUMEN TOTAL'!W167</f>
        <v>APAGADO</v>
      </c>
      <c r="R148" s="72" t="str">
        <f>'RESUMEN TOTAL'!X167</f>
        <v>APAGADO</v>
      </c>
      <c r="S148" s="72" t="str">
        <f>'RESUMEN TOTAL'!Y167</f>
        <v>APAGADO</v>
      </c>
      <c r="T148" s="72" t="str">
        <f>'RESUMEN TOTAL'!Z167</f>
        <v>APAGADO</v>
      </c>
      <c r="U148" s="72" t="str">
        <f>'RESUMEN TOTAL'!AA167</f>
        <v>APAGADO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VILLA ARGENTINA</v>
      </c>
      <c r="B149" t="str">
        <f>'RESUMEN TOTAL'!B168</f>
        <v>KM01</v>
      </c>
      <c r="C149" t="str">
        <f>'RESUMEN TOTAL'!D168</f>
        <v>Vias FFCC y La Pulperia</v>
      </c>
      <c r="D149" s="30" t="str">
        <f>'RESUMEN TOTAL'!E168</f>
        <v>DOMO</v>
      </c>
      <c r="E149" s="30" t="str">
        <f>'RESUMEN TOTAL'!F168</f>
        <v>Radio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CHACABUCO</v>
      </c>
      <c r="B150" t="str">
        <f>'RESUMEN TOTAL'!B169</f>
        <v>KM02</v>
      </c>
      <c r="C150" t="str">
        <f>'RESUMEN TOTAL'!D169</f>
        <v>Novak e/El Overo y el Mangrullo</v>
      </c>
      <c r="D150" s="30" t="str">
        <f>'RESUMEN TOTAL'!E169</f>
        <v>Domo</v>
      </c>
      <c r="E150" s="30" t="str">
        <f>'RESUMEN TOTAL'!F169</f>
        <v>GPON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KM03</v>
      </c>
      <c r="C151" t="str">
        <f>'RESUMEN TOTAL'!D170</f>
        <v>Novak y La Pulperia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 t="str">
        <f>'RESUMEN TOTAL'!T170</f>
        <v>APAGADO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KM04</v>
      </c>
      <c r="C152" t="str">
        <f>'RESUMEN TOTAL'!D171</f>
        <v>El Ombu y El Zonda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KM05</v>
      </c>
      <c r="C153" t="str">
        <f>'RESUMEN TOTAL'!D172</f>
        <v>El Ombu y Los Charruas</v>
      </c>
      <c r="D153" s="30" t="str">
        <f>'RESUMEN TOTAL'!E172</f>
        <v>Domo</v>
      </c>
      <c r="E153" s="30" t="str">
        <f>'RESUMEN TOTAL'!F172</f>
        <v>Radio</v>
      </c>
      <c r="F153" s="72">
        <f>'RESUMEN TOTAL'!L172</f>
        <v>0</v>
      </c>
      <c r="G153" s="72">
        <f>'RESUMEN TOTAL'!M172</f>
        <v>0</v>
      </c>
      <c r="H153" s="72">
        <f>'RESUMEN TOTAL'!N172</f>
        <v>0</v>
      </c>
      <c r="I153" s="72">
        <f>'RESUMEN TOTAL'!O172</f>
        <v>0</v>
      </c>
      <c r="J153" s="72">
        <f>'RESUMEN TOTAL'!P172</f>
        <v>0</v>
      </c>
      <c r="K153" s="72">
        <f>'RESUMEN TOTAL'!Q172</f>
        <v>0</v>
      </c>
      <c r="L153" s="72">
        <f>'RESUMEN TOTAL'!R172</f>
        <v>0</v>
      </c>
      <c r="M153" s="72">
        <f>'RESUMEN TOTAL'!S172</f>
        <v>0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KM06</v>
      </c>
      <c r="C154" t="str">
        <f>'RESUMEN TOTAL'!D173</f>
        <v>El Ombu y La Cautiva</v>
      </c>
      <c r="D154" s="30" t="str">
        <f>'RESUMEN TOTAL'!E173</f>
        <v>DOMO</v>
      </c>
      <c r="E154" s="30" t="str">
        <f>'RESUMEN TOTAL'!F173</f>
        <v>Radio</v>
      </c>
      <c r="F154" s="72" t="str">
        <f>'RESUMEN TOTAL'!L173</f>
        <v>APAGADO</v>
      </c>
      <c r="G154" s="72" t="str">
        <f>'RESUMEN TOTAL'!M173</f>
        <v>APAGADO</v>
      </c>
      <c r="H154" s="72" t="str">
        <f>'RESUMEN TOTAL'!N173</f>
        <v>APAGADO</v>
      </c>
      <c r="I154" s="72" t="str">
        <f>'RESUMEN TOTAL'!O173</f>
        <v>APAGADO</v>
      </c>
      <c r="J154" s="72" t="str">
        <f>'RESUMEN TOTAL'!P173</f>
        <v>APAGADO</v>
      </c>
      <c r="K154" s="72" t="str">
        <f>'RESUMEN TOTAL'!Q173</f>
        <v>APAGADO</v>
      </c>
      <c r="L154" s="72" t="str">
        <f>'RESUMEN TOTAL'!R173</f>
        <v>APAGADO</v>
      </c>
      <c r="M154" s="72" t="str">
        <f>'RESUMEN TOTAL'!S173</f>
        <v>APAGADO</v>
      </c>
      <c r="N154" s="72" t="str">
        <f>'RESUMEN TOTAL'!T173</f>
        <v>APAGADO</v>
      </c>
      <c r="O154" s="72" t="str">
        <f>'RESUMEN TOTAL'!U173</f>
        <v>APAGADO</v>
      </c>
      <c r="P154" s="72" t="str">
        <f>'RESUMEN TOTAL'!V173</f>
        <v>APAGADO</v>
      </c>
      <c r="Q154" s="72" t="str">
        <f>'RESUMEN TOTAL'!W173</f>
        <v>APAGADO</v>
      </c>
      <c r="R154" s="72" t="str">
        <f>'RESUMEN TOTAL'!X173</f>
        <v>APAGADO</v>
      </c>
      <c r="S154" s="72" t="str">
        <f>'RESUMEN TOTAL'!Y173</f>
        <v>APAGADO</v>
      </c>
      <c r="T154" s="72" t="str">
        <f>'RESUMEN TOTAL'!Z173</f>
        <v>APAGADO</v>
      </c>
      <c r="U154" s="72" t="str">
        <f>'RESUMEN TOTAL'!AA173</f>
        <v>APAGADO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 07</v>
      </c>
      <c r="C155" t="str">
        <f>'RESUMEN TOTAL'!D174</f>
        <v>EL ALJIBE E/ EL ZONDA Y DON SEGUNDO SOMBRA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KM08 / UPA 03</v>
      </c>
      <c r="C156" t="str">
        <f>'RESUMEN TOTAL'!D175</f>
        <v>LOS CHARRUAS Y BLANDENGUES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>
        <f>'RESUMEN TOTAL'!AK175</f>
        <v>0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KM09 / UPA 1</v>
      </c>
      <c r="C157" t="str">
        <f>'RESUMEN TOTAL'!D176</f>
        <v>NOVAK Y LA POSTA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 t="str">
        <f>'RESUMEN TOTAL'!T176</f>
        <v>APAGADO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 t="str">
        <f>'RESUMEN TOTAL'!AK176</f>
        <v xml:space="preserve"> 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 10 / UPA 2</v>
      </c>
      <c r="C158" t="str">
        <f>'RESUMEN TOTAL'!D177</f>
        <v>PLAYA DE ESTACIONAMIENTO INTERNA E/ HOSP. MODULAR Y UPA 11.</v>
      </c>
      <c r="D158" s="30" t="str">
        <f>'RESUMEN TOTAL'!E177</f>
        <v>DOMO</v>
      </c>
      <c r="E158" s="30" t="str">
        <f>'RESUMEN TOTAL'!F177</f>
        <v>Radio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KM11</v>
      </c>
      <c r="C159" t="str">
        <f>'RESUMEN TOTAL'!D178</f>
        <v>NOVAK Y EL OVERO</v>
      </c>
      <c r="D159" s="30" t="str">
        <f>'RESUMEN TOTAL'!E178</f>
        <v>DOMO</v>
      </c>
      <c r="E159" s="30" t="str">
        <f>'RESUMEN TOTAL'!F178</f>
        <v>Fibra Optica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 t="str">
        <f>'RESUMEN TOTAL'!T178</f>
        <v>APAGADO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12 FIJA 1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13 FIJA 2</v>
      </c>
      <c r="C161" t="str">
        <f>'RESUMEN TOTAL'!D180</f>
        <v>BLANDENGUES Y LA ZAMBA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14 (fija 1)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15 (fija 2)</v>
      </c>
      <c r="C163" t="str">
        <f>'RESUMEN TOTAL'!D182</f>
        <v>EL GAUCHO Y EL ZONDA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16 (fija 1)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17 (fija 2)</v>
      </c>
      <c r="C165" t="str">
        <f>'RESUMEN TOTAL'!D184</f>
        <v>EL GAUCHO Y MARTIN FIERRO</v>
      </c>
      <c r="D165" s="30" t="str">
        <f>'RESUMEN TOTAL'!E184</f>
        <v>Fija</v>
      </c>
      <c r="E165" s="30" t="str">
        <f>'RESUMEN TOTAL'!F184</f>
        <v>PTO A FO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KM 26700 (JULIO A. COSTA)</v>
      </c>
      <c r="B166" t="str">
        <f>'RESUMEN TOTAL'!B185</f>
        <v>KM 18</v>
      </c>
      <c r="C166" t="str">
        <f>'RESUMEN TOTAL'!D185</f>
        <v>PULPERIA Y EL ALJIBE</v>
      </c>
      <c r="D166" s="30" t="str">
        <f>'RESUMEN TOTAL'!E185</f>
        <v>Domo</v>
      </c>
      <c r="E166" s="30" t="str">
        <f>'RESUMEN TOTAL'!F185</f>
        <v>Fibra Optica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>
        <f>'RESUMEN TOTAL'!O185</f>
        <v>0</v>
      </c>
      <c r="J166" s="72">
        <f>'RESUMEN TOTAL'!P185</f>
        <v>0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01</v>
      </c>
      <c r="C167" t="str">
        <f>'RESUMEN TOTAL'!D186</f>
        <v>ILLIA Y BOUREL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 t="str">
        <f>'RESUMEN TOTAL'!O186</f>
        <v>APAGADO</v>
      </c>
      <c r="J167" s="72" t="str">
        <f>'RESUMEN TOTAL'!P186</f>
        <v>APAGADO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02</v>
      </c>
      <c r="C168" t="str">
        <f>'RESUMEN TOTAL'!D187</f>
        <v>LAS HERAS Y EDISON</v>
      </c>
      <c r="D168" s="30" t="str">
        <f>'RESUMEN TOTAL'!E187</f>
        <v>DOMO</v>
      </c>
      <c r="E168" s="30" t="str">
        <f>'RESUMEN TOTAL'!F187</f>
        <v>PTO A FO</v>
      </c>
      <c r="F168" s="72">
        <f>'RESUMEN TOTAL'!L187</f>
        <v>0</v>
      </c>
      <c r="G168" s="72">
        <f>'RESUMEN TOTAL'!M187</f>
        <v>0</v>
      </c>
      <c r="H168" s="72">
        <f>'RESUMEN TOTAL'!N187</f>
        <v>0</v>
      </c>
      <c r="I168" s="72">
        <f>'RESUMEN TOTAL'!O187</f>
        <v>0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TOTAL'!A188</f>
        <v>LOMAS DE MONTEVERDE</v>
      </c>
      <c r="B169" t="str">
        <f>'RESUMEN TOTAL'!B188</f>
        <v>LDM 03</v>
      </c>
      <c r="C169" t="str">
        <f>'RESUMEN TOTAL'!D188</f>
        <v>LAS HERAS Y FRANKLIN</v>
      </c>
      <c r="D169" s="30" t="str">
        <f>'RESUMEN TOTAL'!E188</f>
        <v>DOMO</v>
      </c>
      <c r="E169" s="30" t="str">
        <f>'RESUMEN TOTAL'!F188</f>
        <v>PTO A FO</v>
      </c>
      <c r="F169" s="72" t="str">
        <f>'RESUMEN TOTAL'!L188</f>
        <v>APAGADO</v>
      </c>
      <c r="G169" s="72" t="str">
        <f>'RESUMEN TOTAL'!M188</f>
        <v>APAGADO</v>
      </c>
      <c r="H169" s="72" t="str">
        <f>'RESUMEN TOTAL'!N188</f>
        <v>APAGADO</v>
      </c>
      <c r="I169" s="72" t="str">
        <f>'RESUMEN TOTAL'!O188</f>
        <v>APAGADO</v>
      </c>
      <c r="J169" s="72">
        <f>'RESUMEN TOTAL'!P188</f>
        <v>0</v>
      </c>
      <c r="K169" s="72">
        <f>'RESUMEN TOTAL'!Q188</f>
        <v>0</v>
      </c>
      <c r="L169" s="72">
        <f>'RESUMEN TOTAL'!R188</f>
        <v>0</v>
      </c>
      <c r="M169" s="72">
        <f>'RESUMEN TOTAL'!S188</f>
        <v>0</v>
      </c>
      <c r="N169" s="72">
        <f>'RESUMEN TOTAL'!T188</f>
        <v>0</v>
      </c>
      <c r="O169" s="72">
        <f>'RESUMEN TOTAL'!U188</f>
        <v>0</v>
      </c>
      <c r="P169" s="72">
        <f>'RESUMEN TOTAL'!V188</f>
        <v>0</v>
      </c>
      <c r="Q169" s="72">
        <f>'RESUMEN TOTAL'!W188</f>
        <v>0</v>
      </c>
      <c r="R169" s="72">
        <f>'RESUMEN TOTAL'!X188</f>
        <v>0</v>
      </c>
      <c r="S169" s="72">
        <f>'RESUMEN TOTAL'!Y188</f>
        <v>0</v>
      </c>
      <c r="T169" s="72">
        <f>'RESUMEN TOTAL'!Z188</f>
        <v>0</v>
      </c>
      <c r="U169" s="72">
        <f>'RESUMEN TOTAL'!AA188</f>
        <v>0</v>
      </c>
      <c r="V169" s="72">
        <f>'RESUMEN TOTAL'!AB188</f>
        <v>0</v>
      </c>
      <c r="W169" s="72">
        <f>'RESUMEN TOTAL'!AC188</f>
        <v>0</v>
      </c>
      <c r="X169" s="72">
        <f>'RESUMEN TOTAL'!AD188</f>
        <v>0</v>
      </c>
      <c r="Y169" s="72">
        <f>'RESUMEN TOTAL'!AE188</f>
        <v>0</v>
      </c>
      <c r="Z169" s="72">
        <f>'RESUMEN TOTAL'!AF188</f>
        <v>0</v>
      </c>
      <c r="AA169" s="72">
        <f>'RESUMEN TOTAL'!AG188</f>
        <v>0</v>
      </c>
      <c r="AB169" s="72">
        <f>'RESUMEN TOTAL'!AH188</f>
        <v>0</v>
      </c>
      <c r="AC169" s="72">
        <f>'RESUMEN TOTAL'!AI188</f>
        <v>0</v>
      </c>
      <c r="AD169" s="72">
        <f>'RESUMEN TOTAL'!AJ188</f>
        <v>0</v>
      </c>
      <c r="AE169" s="72">
        <f>'RESUMEN TOTAL'!AK188</f>
        <v>0</v>
      </c>
      <c r="AF169" s="72">
        <f>'RESUMEN TOTAL'!AL188</f>
        <v>0</v>
      </c>
      <c r="AG169" s="72">
        <f>'RESUMEN TOTAL'!AM188</f>
        <v>0</v>
      </c>
      <c r="AH169" s="72">
        <f>'RESUMEN TOTAL'!AN188</f>
        <v>0</v>
      </c>
      <c r="AI169" s="72">
        <f>'RESUMEN TOTAL'!AO188</f>
        <v>0</v>
      </c>
      <c r="AJ169" s="72">
        <f>'RESUMEN TOTAL'!AP188</f>
        <v>0</v>
      </c>
    </row>
    <row r="170" spans="1:36" x14ac:dyDescent="0.25">
      <c r="A170" t="str">
        <f>'RESUMEN TOTAL'!A190</f>
        <v>LIBERTAD</v>
      </c>
      <c r="B170" t="str">
        <f>'RESUMEN TOTAL'!B190</f>
        <v>LIBER 01</v>
      </c>
      <c r="C170" t="str">
        <f>'RESUMEN TOTAL'!D190</f>
        <v>511 Y 574 FIJA 01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 t="str">
        <f>'RESUMEN TOTAL'!X190</f>
        <v>APAGADO</v>
      </c>
      <c r="S170" s="72" t="str">
        <f>'RESUMEN TOTAL'!Y190</f>
        <v>APAGADO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LIBERTAD</v>
      </c>
      <c r="B171" t="str">
        <f>'RESUMEN TOTAL'!B191</f>
        <v>LIBER 02</v>
      </c>
      <c r="C171" t="str">
        <f>'RESUMEN TOTAL'!D191</f>
        <v>511 Y 574 FIJA 02</v>
      </c>
      <c r="D171" s="30" t="str">
        <f>'RESUMEN TOTAL'!E191</f>
        <v>Fija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 t="str">
        <f>'RESUMEN TOTAL'!O191</f>
        <v>APAGADO</v>
      </c>
      <c r="J171" s="72">
        <f>'RESUMEN TOTAL'!P191</f>
        <v>0</v>
      </c>
      <c r="K171" s="72" t="str">
        <f>'RESUMEN TOTAL'!Q191</f>
        <v>APAGADO</v>
      </c>
      <c r="L171" s="72" t="str">
        <f>'RESUMEN TOTAL'!R191</f>
        <v>APAGADO</v>
      </c>
      <c r="M171" s="72" t="str">
        <f>'RESUMEN TOTAL'!S191</f>
        <v>APAGADO</v>
      </c>
      <c r="N171" s="72" t="str">
        <f>'RESUMEN TOTAL'!T191</f>
        <v>APAGADO</v>
      </c>
      <c r="O171" s="72" t="str">
        <f>'RESUMEN TOTAL'!U191</f>
        <v>APAGADO</v>
      </c>
      <c r="P171" s="72" t="str">
        <f>'RESUMEN TOTAL'!V191</f>
        <v>APAGADO</v>
      </c>
      <c r="Q171" s="72" t="str">
        <f>'RESUMEN TOTAL'!W191</f>
        <v>APAGADO</v>
      </c>
      <c r="R171" s="72" t="str">
        <f>'RESUMEN TOTAL'!X191</f>
        <v>APAGADO</v>
      </c>
      <c r="S171" s="72" t="str">
        <f>'RESUMEN TOTAL'!Y191</f>
        <v>APAGADO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z</v>
      </c>
      <c r="B172" t="str">
        <f>'RESUMEN TOTAL'!B192</f>
        <v>LPI 01</v>
      </c>
      <c r="C172" t="str">
        <f>'RESUMEN TOTAL'!D192</f>
        <v>Maipu y Posadas</v>
      </c>
      <c r="D172" s="30" t="str">
        <f>'RESUMEN TOTAL'!E192</f>
        <v>Domo</v>
      </c>
      <c r="E172" s="30" t="str">
        <f>'RESUMEN TOTAL'!F192</f>
        <v>Radio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CHACABUCO</v>
      </c>
      <c r="B173" t="str">
        <f>'RESUMEN TOTAL'!B193</f>
        <v>LPI02</v>
      </c>
      <c r="C173" t="str">
        <f>'RESUMEN TOTAL'!D193</f>
        <v>EE.UU y Ayacucho</v>
      </c>
      <c r="D173" s="30" t="str">
        <f>'RESUMEN TOTAL'!E193</f>
        <v>Domo</v>
      </c>
      <c r="E173" s="30" t="str">
        <f>'RESUMEN TOTAL'!F193</f>
        <v>GPON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LPI03 (fija 2)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TOTAL'!A195</f>
        <v>LA PILETA</v>
      </c>
      <c r="B175" t="str">
        <f>'RESUMEN TOTAL'!B195</f>
        <v>LPI04 (fija 1)</v>
      </c>
      <c r="C175" t="str">
        <f>'RESUMEN TOTAL'!D195</f>
        <v>MAIPU Y POSADAS</v>
      </c>
      <c r="D175" s="30" t="str">
        <f>'RESUMEN TOTAL'!E195</f>
        <v>FIJA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TOTAL'!A198</f>
        <v>LOS PILARES</v>
      </c>
      <c r="B176" t="str">
        <f>'RESUMEN TOTAL'!B198</f>
        <v>LPR 01</v>
      </c>
      <c r="C176" t="str">
        <f>'RESUMEN TOTAL'!D198</f>
        <v>EVA PERON E/ CACHEUTA Y 1406</v>
      </c>
      <c r="D176" s="30" t="str">
        <f>'RESUMEN TOTAL'!E198</f>
        <v>DOMO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LPR02 (fija 1)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LOS PILARES</v>
      </c>
      <c r="B178" t="str">
        <f>'RESUMEN TOTAL'!B200</f>
        <v>LPR03 (fija 2)</v>
      </c>
      <c r="C178" t="str">
        <f>'RESUMEN TOTAL'!D200</f>
        <v>EVA PERON Y CACHEUTA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05</v>
      </c>
      <c r="C179" t="str">
        <f>'RESUMEN TOTAL'!D201</f>
        <v>Calchaqui y Las Americas</v>
      </c>
      <c r="D179" s="30" t="str">
        <f>'RESUMEN TOTAL'!E201</f>
        <v>Fija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09</v>
      </c>
      <c r="C180" t="str">
        <f>'RESUMEN TOTAL'!D202</f>
        <v>Las Americas y Braile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10</v>
      </c>
      <c r="C181" t="str">
        <f>'RESUMEN TOTAL'!D203</f>
        <v>Con. Gral. Belgrano y Balcarce</v>
      </c>
      <c r="D181" s="30" t="str">
        <f>'RESUMEN TOTAL'!E203</f>
        <v>Domo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12 (fija 1)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 13 (fija 2)</v>
      </c>
      <c r="C183" t="str">
        <f>'RESUMEN TOTAL'!D205</f>
        <v>LAS AMERICAS E/ BRAILLE Y ALVARADO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LOPEZ ROMERO</v>
      </c>
      <c r="B184" t="str">
        <f>'RESUMEN TOTAL'!B206</f>
        <v>LRO01</v>
      </c>
      <c r="C184" t="str">
        <f>'RESUMEN TOTAL'!D206</f>
        <v>H. IRIGOYEN Y BRAILE</v>
      </c>
      <c r="D184" s="30" t="str">
        <f>'RESUMEN TOTAL'!E206</f>
        <v>FIJA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PRESIDENTE SARMIENTO</v>
      </c>
      <c r="B185" t="str">
        <f>'RESUMEN TOTAL'!B207</f>
        <v>LRO02</v>
      </c>
      <c r="C185" t="str">
        <f>'RESUMEN TOTAL'!D207</f>
        <v>H. Irigoyen e Islas Orcadas</v>
      </c>
      <c r="D185" s="30" t="str">
        <f>'RESUMEN TOTAL'!E207</f>
        <v>Domo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LRO03</v>
      </c>
      <c r="C186" t="str">
        <f>'RESUMEN TOTAL'!D208</f>
        <v>H. Irigoyen y Parravicini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LOPEZ ROMERO</v>
      </c>
      <c r="B187" t="str">
        <f>'RESUMEN TOTAL'!B209</f>
        <v>LRO04</v>
      </c>
      <c r="C187" t="str">
        <f>'RESUMEN TOTAL'!D209</f>
        <v>H. Irigoyen y Alvarado</v>
      </c>
      <c r="D187" s="30" t="str">
        <f>'RESUMEN TOTAL'!E209</f>
        <v>FIJA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PRESIDENTE SARMIENTO</v>
      </c>
      <c r="B188" t="str">
        <f>'RESUMEN TOTAL'!B210</f>
        <v>LRO06</v>
      </c>
      <c r="C188" t="str">
        <f>'RESUMEN TOTAL'!D210</f>
        <v>H. Irigoyen y Belgrano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LRO07</v>
      </c>
      <c r="C189" t="str">
        <f>'RESUMEN TOTAL'!D211</f>
        <v>H. Irigoyen y Remedios de Escalada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LRO08</v>
      </c>
      <c r="C190" t="str">
        <f>'RESUMEN TOTAL'!D212</f>
        <v>Remedios de Escalada y Finochieto</v>
      </c>
      <c r="D190" s="30" t="str">
        <f>'RESUMEN TOTAL'!E212</f>
        <v>Domo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LRO11</v>
      </c>
      <c r="C191" t="str">
        <f>'RESUMEN TOTAL'!D213</f>
        <v>Av. Yrigoyen y Braile</v>
      </c>
      <c r="D191" s="30">
        <f>'RESUMEN TOTAL'!E213</f>
        <v>0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LRO14</v>
      </c>
      <c r="C192" t="str">
        <f>'RESUMEN TOTAL'!D214</f>
        <v>YRIGOYEN Y STORNI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LOPEZ ROMERO</v>
      </c>
      <c r="B193" t="str">
        <f>'RESUMEN TOTAL'!B215</f>
        <v>LRO15</v>
      </c>
      <c r="C193" t="str">
        <f>'RESUMEN TOTAL'!D215</f>
        <v>BRAILE Y FINOCCHIETTO</v>
      </c>
      <c r="D193" s="30" t="str">
        <f>'RESUMEN TOTAL'!E215</f>
        <v>DOMO</v>
      </c>
      <c r="E193" s="30" t="str">
        <f>'RESUMEN TOTAL'!F215</f>
        <v>Fibra Optica</v>
      </c>
      <c r="F193" s="72">
        <f>'RESUMEN TOTAL'!L215</f>
        <v>0</v>
      </c>
      <c r="G193" s="72">
        <f>'RESUMEN TOTAL'!M215</f>
        <v>0</v>
      </c>
      <c r="H193" s="72">
        <f>'RESUMEN TOTAL'!N215</f>
        <v>0</v>
      </c>
      <c r="I193" s="72">
        <f>'RESUMEN TOTAL'!O215</f>
        <v>0</v>
      </c>
      <c r="J193" s="72">
        <f>'RESUMEN TOTAL'!P215</f>
        <v>0</v>
      </c>
      <c r="K193" s="72">
        <f>'RESUMEN TOTAL'!Q215</f>
        <v>0</v>
      </c>
      <c r="L193" s="72">
        <f>'RESUMEN TOTAL'!R215</f>
        <v>0</v>
      </c>
      <c r="M193" s="72">
        <f>'RESUMEN TOTAL'!S215</f>
        <v>0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LUJAN</v>
      </c>
      <c r="B194" t="str">
        <f>'RESUMEN TOTAL'!B216</f>
        <v>LUJ 01</v>
      </c>
      <c r="C194" t="str">
        <f>'RESUMEN TOTAL'!D216</f>
        <v>ñandu y Los Pinos</v>
      </c>
      <c r="D194" s="30" t="str">
        <f>'RESUMEN TOTAL'!E216</f>
        <v>Domo</v>
      </c>
      <c r="E194" s="30" t="str">
        <f>'RESUMEN TOTAL'!F216</f>
        <v>Radio</v>
      </c>
      <c r="F194" s="72" t="str">
        <f>'RESUMEN TOTAL'!L216</f>
        <v>APAGADO</v>
      </c>
      <c r="G194" s="72" t="str">
        <f>'RESUMEN TOTAL'!M216</f>
        <v>APAGADO</v>
      </c>
      <c r="H194" s="72" t="str">
        <f>'RESUMEN TOTAL'!N216</f>
        <v>APAGADO</v>
      </c>
      <c r="I194" s="72" t="str">
        <f>'RESUMEN TOTAL'!O216</f>
        <v>APAGADO</v>
      </c>
      <c r="J194" s="72" t="str">
        <f>'RESUMEN TOTAL'!P216</f>
        <v>APAGADO</v>
      </c>
      <c r="K194" s="72" t="str">
        <f>'RESUMEN TOTAL'!Q216</f>
        <v>APAGADO</v>
      </c>
      <c r="L194" s="72" t="str">
        <f>'RESUMEN TOTAL'!R216</f>
        <v>APAGADO</v>
      </c>
      <c r="M194" s="72" t="str">
        <f>'RESUMEN TOTAL'!S216</f>
        <v>APAGADO</v>
      </c>
      <c r="N194" s="72" t="str">
        <f>'RESUMEN TOTAL'!T216</f>
        <v>APAGADO</v>
      </c>
      <c r="O194" s="72" t="str">
        <f>'RESUMEN TOTAL'!U216</f>
        <v>APAGADO</v>
      </c>
      <c r="P194" s="72" t="str">
        <f>'RESUMEN TOTAL'!V216</f>
        <v>APAGADO</v>
      </c>
      <c r="Q194" s="72" t="str">
        <f>'RESUMEN TOTAL'!W216</f>
        <v>APAGADO</v>
      </c>
      <c r="R194" s="72" t="str">
        <f>'RESUMEN TOTAL'!X216</f>
        <v>APAGADO</v>
      </c>
      <c r="S194" s="72" t="str">
        <f>'RESUMEN TOTAL'!Y216</f>
        <v>APAGADO</v>
      </c>
      <c r="T194" s="72" t="str">
        <f>'RESUMEN TOTAL'!Z216</f>
        <v>APAGADO</v>
      </c>
      <c r="U194" s="72" t="str">
        <f>'RESUMEN TOTAL'!AA216</f>
        <v>APAGADO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VILLA ARGENTINA</v>
      </c>
      <c r="B195" t="str">
        <f>'RESUMEN TOTAL'!B217</f>
        <v>LUJ 02</v>
      </c>
      <c r="C195" t="str">
        <f>'RESUMEN TOTAL'!D217</f>
        <v>DIAG. LOS TILOS Y 527</v>
      </c>
      <c r="D195" s="30" t="str">
        <f>'RESUMEN TOTAL'!E217</f>
        <v>DOMO</v>
      </c>
      <c r="E195" s="30" t="str">
        <f>'RESUMEN TOTAL'!F217</f>
        <v>PTO A FO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>
        <f>'RESUMEN TOTAL'!P217</f>
        <v>0</v>
      </c>
      <c r="K195" s="72">
        <f>'RESUMEN TOTAL'!Q217</f>
        <v>0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LUJAN</v>
      </c>
      <c r="B196" t="str">
        <f>'RESUMEN TOTAL'!B218</f>
        <v>LUJ03</v>
      </c>
      <c r="C196" t="str">
        <f>'RESUMEN TOTAL'!D218</f>
        <v>LOS PINOS Y LOS TILOS</v>
      </c>
      <c r="D196" s="30" t="str">
        <f>'RESUMEN TOTAL'!E218</f>
        <v>DOMO</v>
      </c>
      <c r="E196" s="30" t="str">
        <f>'RESUMEN TOTAL'!F218</f>
        <v>Fibra Optica</v>
      </c>
      <c r="F196" s="72">
        <f>'RESUMEN TOTAL'!L218</f>
        <v>0</v>
      </c>
      <c r="G196" s="72">
        <f>'RESUMEN TOTAL'!M218</f>
        <v>0</v>
      </c>
      <c r="H196" s="72">
        <f>'RESUMEN TOTAL'!N218</f>
        <v>0</v>
      </c>
      <c r="I196" s="72">
        <f>'RESUMEN TOTAL'!O218</f>
        <v>0</v>
      </c>
      <c r="J196" s="72" t="str">
        <f>'RESUMEN TOTAL'!P218</f>
        <v>APAGADO</v>
      </c>
      <c r="K196" s="72" t="str">
        <f>'RESUMEN TOTAL'!Q218</f>
        <v>APAGADO</v>
      </c>
      <c r="L196" s="72">
        <f>'RESUMEN TOTAL'!R218</f>
        <v>0</v>
      </c>
      <c r="M196" s="72">
        <f>'RESUMEN TOTAL'!S218</f>
        <v>0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PRESIDENTE PERON (PEPSI)</v>
      </c>
      <c r="B197" t="str">
        <f>'RESUMEN TOTAL'!B219</f>
        <v>MAR 01</v>
      </c>
      <c r="C197" t="str">
        <f>'RESUMEN TOTAL'!D219</f>
        <v>RP36 Y LA ESMERALDA</v>
      </c>
      <c r="D197" s="30" t="str">
        <f>'RESUMEN TOTAL'!E219</f>
        <v>DOMO</v>
      </c>
      <c r="E197" s="30" t="str">
        <f>'RESUMEN TOTAL'!F219</f>
        <v>PTO A FO</v>
      </c>
      <c r="F197" s="72" t="str">
        <f>'RESUMEN TOTAL'!L219</f>
        <v>APAGADO</v>
      </c>
      <c r="G197" s="72" t="str">
        <f>'RESUMEN TOTAL'!M219</f>
        <v>APAGADO</v>
      </c>
      <c r="H197" s="72" t="str">
        <f>'RESUMEN TOTAL'!N219</f>
        <v>APAGADO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 t="str">
        <f>'RESUMEN TOTAL'!T219</f>
        <v>APAGADO</v>
      </c>
      <c r="O197" s="72" t="str">
        <f>'RESUMEN TOTAL'!U219</f>
        <v>APAGADO</v>
      </c>
      <c r="P197" s="72" t="str">
        <f>'RESUMEN TOTAL'!V219</f>
        <v>APAGADO</v>
      </c>
      <c r="Q197" s="72" t="str">
        <f>'RESUMEN TOTAL'!W219</f>
        <v>APAGADO</v>
      </c>
      <c r="R197" s="72" t="str">
        <f>'RESUMEN TOTAL'!X219</f>
        <v>APAGADO</v>
      </c>
      <c r="S197" s="72" t="str">
        <f>'RESUMEN TOTAL'!Y219</f>
        <v>APAGADO</v>
      </c>
      <c r="T197" s="72" t="str">
        <f>'RESUMEN TOTAL'!Z219</f>
        <v>APAGADO</v>
      </c>
      <c r="U197" s="72" t="str">
        <f>'RESUMEN TOTAL'!AA219</f>
        <v>APAGADO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RICARDO ROJAS</v>
      </c>
      <c r="B198" t="str">
        <f>'RESUMEN TOTAL'!B220</f>
        <v>MAR 02 (FIJA1)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LAS MARGARITAS</v>
      </c>
      <c r="B199" t="str">
        <f>'RESUMEN TOTAL'!B221</f>
        <v>MAR 03(FIJA 2)</v>
      </c>
      <c r="C199" t="str">
        <f>'RESUMEN TOTAL'!D221</f>
        <v>LUJAN Y PATAGONES</v>
      </c>
      <c r="D199" s="30" t="str">
        <f>'RESUMEN TOTAL'!E221</f>
        <v>Fija</v>
      </c>
      <c r="E199" s="30" t="str">
        <f>'RESUMEN TOTAL'!F221</f>
        <v>Fibra Optica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 t="str">
        <f>'RESUMEN TOTAL'!O221</f>
        <v>APAGADO</v>
      </c>
      <c r="J199" s="72" t="str">
        <f>'RESUMEN TOTAL'!P221</f>
        <v>APAGADO</v>
      </c>
      <c r="K199" s="72" t="str">
        <f>'RESUMEN TOTAL'!Q221</f>
        <v>APAGADO</v>
      </c>
      <c r="L199" s="72" t="str">
        <f>'RESUMEN TOTAL'!R221</f>
        <v>APAGADO</v>
      </c>
      <c r="M199" s="72" t="str">
        <f>'RESUMEN TOTAL'!S221</f>
        <v>APAGADO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01</v>
      </c>
      <c r="C200" t="str">
        <f>'RESUMEN TOTAL'!D222</f>
        <v>Eva Peron y Cabildo</v>
      </c>
      <c r="D200" s="30" t="str">
        <f>'RESUMEN TOTAL'!E222</f>
        <v>Domo</v>
      </c>
      <c r="E200" s="30" t="str">
        <f>'RESUMEN TOTAL'!F222</f>
        <v>GPON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02</v>
      </c>
      <c r="C201" t="str">
        <f>'RESUMEN TOTAL'!D223</f>
        <v>EVA PERON Y MONTEVIDEO</v>
      </c>
      <c r="D201" s="30" t="str">
        <f>'RESUMEN TOTAL'!E223</f>
        <v>Domo</v>
      </c>
      <c r="E201" s="30" t="str">
        <f>'RESUMEN TOTAL'!F223</f>
        <v>Fibra Optica</v>
      </c>
      <c r="F201" s="72">
        <f>'RESUMEN TOTAL'!L223</f>
        <v>0</v>
      </c>
      <c r="G201" s="72">
        <f>'RESUMEN TOTAL'!M223</f>
        <v>0</v>
      </c>
      <c r="H201" s="72">
        <f>'RESUMEN TOTAL'!N223</f>
        <v>0</v>
      </c>
      <c r="I201" s="72">
        <f>'RESUMEN TOTAL'!O223</f>
        <v>0</v>
      </c>
      <c r="J201" s="72">
        <f>'RESUMEN TOTAL'!P223</f>
        <v>0</v>
      </c>
      <c r="K201" s="72">
        <f>'RESUMEN TOTAL'!Q223</f>
        <v>0</v>
      </c>
      <c r="L201" s="72">
        <f>'RESUMEN TOTAL'!R223</f>
        <v>0</v>
      </c>
      <c r="M201" s="72">
        <f>'RESUMEN TOTAL'!S223</f>
        <v>0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03</v>
      </c>
      <c r="C202" t="str">
        <f>'RESUMEN TOTAL'!D224</f>
        <v>CHAÑAR Y SAN NICOLAS</v>
      </c>
      <c r="D202" s="30" t="str">
        <f>'RESUMEN TOTAL'!E224</f>
        <v>DOMO</v>
      </c>
      <c r="E202" s="30" t="str">
        <f>'RESUMEN TOTAL'!F224</f>
        <v>PTO A FO</v>
      </c>
      <c r="F202" s="72" t="str">
        <f>'RESUMEN TOTAL'!L224</f>
        <v>APAGADO</v>
      </c>
      <c r="G202" s="72" t="str">
        <f>'RESUMEN TOTAL'!M224</f>
        <v>APAGADO</v>
      </c>
      <c r="H202" s="72" t="str">
        <f>'RESUMEN TOTAL'!N224</f>
        <v>APAGADO</v>
      </c>
      <c r="I202" s="72" t="str">
        <f>'RESUMEN TOTAL'!O224</f>
        <v>APAGADO</v>
      </c>
      <c r="J202" s="72" t="str">
        <f>'RESUMEN TOTAL'!P224</f>
        <v>APAGADO</v>
      </c>
      <c r="K202" s="72" t="str">
        <f>'RESUMEN TOTAL'!Q224</f>
        <v>APAGADO</v>
      </c>
      <c r="L202" s="72" t="str">
        <f>'RESUMEN TOTAL'!R224</f>
        <v>APAGADO</v>
      </c>
      <c r="M202" s="72" t="str">
        <f>'RESUMEN TOTAL'!S224</f>
        <v>APAGADO</v>
      </c>
      <c r="N202" s="72" t="str">
        <f>'RESUMEN TOTAL'!T224</f>
        <v>APAGADO</v>
      </c>
      <c r="O202" s="72">
        <f>'RESUMEN TOTAL'!U224</f>
        <v>0</v>
      </c>
      <c r="P202" s="72" t="str">
        <f>'RESUMEN TOTAL'!V224</f>
        <v>APAGADO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 t="str">
        <f>'RESUMEN TOTAL'!A225</f>
        <v>MAYOL</v>
      </c>
      <c r="B203" t="str">
        <f>'RESUMEN TOTAL'!B225</f>
        <v>MAY 04</v>
      </c>
      <c r="C203" t="str">
        <f>'RESUMEN TOTAL'!D225</f>
        <v>MAR CHIQUITA Y RIO JACHAL</v>
      </c>
      <c r="D203" s="30" t="str">
        <f>'RESUMEN TOTAL'!E225</f>
        <v>DOMO</v>
      </c>
      <c r="E203" s="30" t="str">
        <f>'RESUMEN TOTAL'!F225</f>
        <v>Radio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01</v>
      </c>
      <c r="C204" t="str">
        <f>'RESUMEN TOTAL'!D226</f>
        <v>TINOGASTA Y SAN LORENZO</v>
      </c>
      <c r="D204" s="30" t="str">
        <f>'RESUMEN TOTAL'!E226</f>
        <v>Domo</v>
      </c>
      <c r="E204" s="30" t="str">
        <f>'RESUMEN TOTAL'!F226</f>
        <v>Fibra Optica</v>
      </c>
      <c r="F204" s="72">
        <f>'RESUMEN TOTAL'!L226</f>
        <v>0</v>
      </c>
      <c r="G204" s="72">
        <f>'RESUMEN TOTAL'!M226</f>
        <v>0</v>
      </c>
      <c r="H204" s="72">
        <f>'RESUMEN TOTAL'!N226</f>
        <v>0</v>
      </c>
      <c r="I204" s="72">
        <f>'RESUMEN TOTAL'!O226</f>
        <v>0</v>
      </c>
      <c r="J204" s="72">
        <f>'RESUMEN TOTAL'!P226</f>
        <v>0</v>
      </c>
      <c r="K204" s="72">
        <f>'RESUMEN TOTAL'!Q226</f>
        <v>0</v>
      </c>
      <c r="L204" s="72">
        <f>'RESUMEN TOTAL'!R226</f>
        <v>0</v>
      </c>
      <c r="M204" s="72">
        <f>'RESUMEN TOTAL'!S226</f>
        <v>0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 t="str">
        <f>'RESUMEN TOTAL'!AA226</f>
        <v>APAGADO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>
        <f>'RESUMEN TOTAL'!A227</f>
        <v>0</v>
      </c>
      <c r="B205" t="str">
        <f>'RESUMEN TOTAL'!B227</f>
        <v>MCUD 02</v>
      </c>
      <c r="C205" t="str">
        <f>'RESUMEN TOTAL'!D227</f>
        <v>CALLE 115 A Y 158</v>
      </c>
      <c r="D205" s="30" t="str">
        <f>'RESUMEN TOTAL'!E227</f>
        <v>DOMO</v>
      </c>
      <c r="E205" s="30" t="str">
        <f>'RESUMEN TOTAL'!F227</f>
        <v>Fibra Optica</v>
      </c>
      <c r="F205" s="72" t="str">
        <f>'RESUMEN TOTAL'!L227</f>
        <v>APAGADO</v>
      </c>
      <c r="G205" s="72" t="str">
        <f>'RESUMEN TOTAL'!M227</f>
        <v>APAGADO</v>
      </c>
      <c r="H205" s="72" t="str">
        <f>'RESUMEN TOTAL'!N227</f>
        <v>APAGADO</v>
      </c>
      <c r="I205" s="72" t="str">
        <f>'RESUMEN TOTAL'!O227</f>
        <v>APAGADO</v>
      </c>
      <c r="J205" s="72" t="str">
        <f>'RESUMEN TOTAL'!P227</f>
        <v>APAGADO</v>
      </c>
      <c r="K205" s="72" t="str">
        <f>'RESUMEN TOTAL'!Q227</f>
        <v>APAGADO</v>
      </c>
      <c r="L205" s="72" t="str">
        <f>'RESUMEN TOTAL'!R227</f>
        <v>APAGADO</v>
      </c>
      <c r="M205" s="72" t="str">
        <f>'RESUMEN TOTAL'!S227</f>
        <v>APAGADO</v>
      </c>
      <c r="N205" s="72" t="str">
        <f>'RESUMEN TOTAL'!T227</f>
        <v>APAGADO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 t="str">
        <f>'RESUMEN TOTAL'!X227</f>
        <v>APAGADO</v>
      </c>
      <c r="S205" s="72" t="str">
        <f>'RESUMEN TOTAL'!Y227</f>
        <v>APAGADO</v>
      </c>
      <c r="T205" s="72" t="str">
        <f>'RESUMEN TOTAL'!Z227</f>
        <v>APAGADO</v>
      </c>
      <c r="U205" s="72" t="str">
        <f>'RESUMEN TOTAL'!AA227</f>
        <v>APAGADO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MARTIN FIERRO</v>
      </c>
      <c r="B206" t="str">
        <f>'RESUMEN TOTAL'!B228</f>
        <v>MFI 01</v>
      </c>
      <c r="C206" t="str">
        <f>'RESUMEN TOTAL'!D228</f>
        <v>Belgrano y Sgto. Cabral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 t="str">
        <f>'RESUMEN TOTAL'!U228</f>
        <v>APAGADO</v>
      </c>
      <c r="P206" s="72" t="str">
        <f>'RESUMEN TOTAL'!V228</f>
        <v>APAGADO</v>
      </c>
      <c r="Q206" s="72" t="str">
        <f>'RESUMEN TOTAL'!W228</f>
        <v>APAGADO</v>
      </c>
      <c r="R206" s="72" t="str">
        <f>'RESUMEN TOTAL'!X228</f>
        <v>APAGADO</v>
      </c>
      <c r="S206" s="72">
        <f>'RESUMEN TOTAL'!Y228</f>
        <v>0</v>
      </c>
      <c r="T206" s="72" t="str">
        <f>'RESUMEN TOTAL'!Z228</f>
        <v>APAGADO</v>
      </c>
      <c r="U206" s="72" t="str">
        <f>'RESUMEN TOTAL'!AA228</f>
        <v>APAGADO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LOPEZ ROMERO</v>
      </c>
      <c r="B207" t="str">
        <f>'RESUMEN TOTAL'!B229</f>
        <v>MFI02</v>
      </c>
      <c r="C207" t="str">
        <f>'RESUMEN TOTAL'!D229</f>
        <v>Calchaqui y Balcarce</v>
      </c>
      <c r="D207" s="30" t="str">
        <f>'RESUMEN TOTAL'!E229</f>
        <v>Fija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SAN EMILIO</v>
      </c>
      <c r="B208" t="str">
        <f>'RESUMEN TOTAL'!B230</f>
        <v>MFI 03</v>
      </c>
      <c r="C208" t="str">
        <f>'RESUMEN TOTAL'!D230</f>
        <v>Cno. Gral. Belgrano y Av. del Trabajo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MARTIN FIERRO</v>
      </c>
      <c r="B209" t="str">
        <f>'RESUMEN TOTAL'!B231</f>
        <v>MFI04</v>
      </c>
      <c r="C209" t="str">
        <f>'RESUMEN TOTAL'!D231</f>
        <v>Calchaqui y balcarce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 05</v>
      </c>
      <c r="C210" t="str">
        <f>'RESUMEN TOTAL'!D232</f>
        <v>Cno. Gral. Belgrano y Guayaquil</v>
      </c>
      <c r="D210" s="30" t="str">
        <f>'RESUMEN TOTAL'!E232</f>
        <v>Domo</v>
      </c>
      <c r="E210" s="30" t="str">
        <f>'RESUMEN TOTAL'!F232</f>
        <v>Fibra Optica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SAN EMILIO</v>
      </c>
      <c r="B211" t="str">
        <f>'RESUMEN TOTAL'!B233</f>
        <v>MFI06</v>
      </c>
      <c r="C211" t="str">
        <f>'RESUMEN TOTAL'!D233</f>
        <v>Con. Gral. Belgrano y Bombero Galarza</v>
      </c>
      <c r="D211" s="30" t="str">
        <f>'RESUMEN TOTAL'!E233</f>
        <v>DOMO</v>
      </c>
      <c r="E211" s="30" t="str">
        <f>'RESUMEN TOTAL'!F233</f>
        <v>Radio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07</v>
      </c>
      <c r="C212" t="str">
        <f>'RESUMEN TOTAL'!D234</f>
        <v>Sargento Cabral y Carlos Gardel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MARTIN FIERRO</v>
      </c>
      <c r="B213" t="str">
        <f>'RESUMEN TOTAL'!B235</f>
        <v>MFI 08</v>
      </c>
      <c r="C213" t="str">
        <f>'RESUMEN TOTAL'!D235</f>
        <v>Braile y Batalla de Callao</v>
      </c>
      <c r="D213" s="30" t="str">
        <f>'RESUMEN TOTAL'!E235</f>
        <v>Domo</v>
      </c>
      <c r="E213" s="30" t="str">
        <f>'RESUMEN TOTAL'!F235</f>
        <v>PTO A FO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MON01</v>
      </c>
      <c r="C214" t="str">
        <f>'RESUMEN TOTAL'!D236</f>
        <v>San Martin y Patricias Argentinas</v>
      </c>
      <c r="D214" s="30" t="str">
        <f>'RESUMEN TOTAL'!E236</f>
        <v>Fija</v>
      </c>
      <c r="E214" s="30" t="str">
        <f>'RESUMEN TOTAL'!F236</f>
        <v>Fibra Optica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MON02</v>
      </c>
      <c r="C215" t="str">
        <f>'RESUMEN TOTAL'!D237</f>
        <v>Senzabello y Famatina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 t="str">
        <f>'RESUMEN TOTAL'!AA237</f>
        <v>APAGADO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MON03</v>
      </c>
      <c r="C216" t="str">
        <f>'RESUMEN TOTAL'!D238</f>
        <v>Senzabello y Guemes</v>
      </c>
      <c r="D216" s="30" t="str">
        <f>'RESUMEN TOTAL'!E238</f>
        <v>Domo</v>
      </c>
      <c r="E216" s="30" t="str">
        <f>'RESUMEN TOTAL'!F238</f>
        <v>Radio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TOTAL'!A239</f>
        <v>GOBERNADOR MONTEVERDE</v>
      </c>
      <c r="B217" t="str">
        <f>'RESUMEN TOTAL'!B239</f>
        <v>MON04</v>
      </c>
      <c r="C217" t="str">
        <f>'RESUMEN TOTAL'!D239</f>
        <v>Av. Yrigoyen y San Lorenzo</v>
      </c>
      <c r="D217" s="30" t="str">
        <f>'RESUMEN TOTAL'!E239</f>
        <v>Domo</v>
      </c>
      <c r="E217" s="30" t="str">
        <f>'RESUMEN TOTAL'!F239</f>
        <v>GPON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>
        <f>'RESUMEN TOTAL'!O239</f>
        <v>0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TOTAL'!A242</f>
        <v>9 DE JULIO</v>
      </c>
      <c r="B218" t="str">
        <f>'RESUMEN TOTAL'!B242</f>
        <v>NJU 01</v>
      </c>
      <c r="C218" t="str">
        <f>'RESUMEN TOTAL'!D242</f>
        <v>Sallares y Parrillo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 t="str">
        <f>'RESUMEN TOTAL'!O242</f>
        <v>APAGADO</v>
      </c>
      <c r="J218" s="72">
        <f>'RESUMEN TOTAL'!P242</f>
        <v>0</v>
      </c>
      <c r="K218" s="72">
        <f>'RESUMEN TOTAL'!Q242</f>
        <v>0</v>
      </c>
      <c r="L218" s="72" t="str">
        <f>'RESUMEN TOTAL'!R242</f>
        <v>APAGADO</v>
      </c>
      <c r="M218" s="72">
        <f>'RESUMEN TOTAL'!S242</f>
        <v>0</v>
      </c>
      <c r="N218" s="72">
        <f>'RESUMEN TOTAL'!T242</f>
        <v>0</v>
      </c>
      <c r="O218" s="72" t="str">
        <f>'RESUMEN TOTAL'!U242</f>
        <v>APAGADO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NJU02</v>
      </c>
      <c r="C219" t="str">
        <f>'RESUMEN TOTAL'!D243</f>
        <v>Ituzaingo y Boccuzzi</v>
      </c>
      <c r="D219" s="30" t="str">
        <f>'RESUMEN TOTAL'!E243</f>
        <v>Domo</v>
      </c>
      <c r="E219" s="30" t="str">
        <f>'RESUMEN TOTAL'!F243</f>
        <v>Fibra Optica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>
        <f>'RESUMEN TOTAL'!R243</f>
        <v>0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NJU03</v>
      </c>
      <c r="C220" t="str">
        <f>'RESUMEN TOTAL'!D244</f>
        <v>San Juan y Parrillo</v>
      </c>
      <c r="D220" s="30" t="str">
        <f>'RESUMEN TOTAL'!E244</f>
        <v>Domo</v>
      </c>
      <c r="E220" s="30" t="str">
        <f>'RESUMEN TOTAL'!F244</f>
        <v>PTO A FO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 t="str">
        <f>'RESUMEN TOTAL'!R244</f>
        <v>APAGADO</v>
      </c>
      <c r="M220" s="72">
        <f>'RESUMEN TOTAL'!S244</f>
        <v>0</v>
      </c>
      <c r="N220" s="72">
        <f>'RESUMEN TOTAL'!T244</f>
        <v>0</v>
      </c>
      <c r="O220" s="72" t="str">
        <f>'RESUMEN TOTAL'!U244</f>
        <v>APAGADO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 t="str">
        <f>'RESUMEN TOTAL'!Z244</f>
        <v>APAGADO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9 DE JULIO</v>
      </c>
      <c r="B221" t="str">
        <f>'RESUMEN TOTAL'!B245</f>
        <v>NJU04</v>
      </c>
      <c r="C221" t="str">
        <f>'RESUMEN TOTAL'!D245</f>
        <v>Ituzaingo y 214 A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ZEBALLOS CENTRO</v>
      </c>
      <c r="B222" t="str">
        <f>'RESUMEN TOTAL'!B246</f>
        <v>NJU05</v>
      </c>
      <c r="C222" t="str">
        <f>'RESUMEN TOTAL'!D246</f>
        <v>Ituzaingo y Alem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>
        <f>'RESUMEN TOTAL'!O246</f>
        <v>0</v>
      </c>
      <c r="J222" s="72">
        <f>'RESUMEN TOTAL'!P246</f>
        <v>0</v>
      </c>
      <c r="K222" s="72">
        <f>'RESUMEN TOTAL'!Q246</f>
        <v>0</v>
      </c>
      <c r="L222" s="72">
        <f>'RESUMEN TOTAL'!R246</f>
        <v>0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CENTRO</v>
      </c>
      <c r="B223" t="str">
        <f>'RESUMEN TOTAL'!B247</f>
        <v>NJU06</v>
      </c>
      <c r="C223" t="str">
        <f>'RESUMEN TOTAL'!D247</f>
        <v>Sallares y Rodo</v>
      </c>
      <c r="D223" s="30" t="str">
        <f>'RESUMEN TOTAL'!E247</f>
        <v>Domo</v>
      </c>
      <c r="E223" s="30" t="str">
        <f>'RESUMEN TOTAL'!F247</f>
        <v>Fibra Optica</v>
      </c>
      <c r="F223" s="72">
        <f>'RESUMEN TOTAL'!L247</f>
        <v>0</v>
      </c>
      <c r="G223" s="72">
        <f>'RESUMEN TOTAL'!M247</f>
        <v>0</v>
      </c>
      <c r="H223" s="72">
        <f>'RESUMEN TOTAL'!N247</f>
        <v>0</v>
      </c>
      <c r="I223" s="72" t="str">
        <f>'RESUMEN TOTAL'!O247</f>
        <v>APAGADO</v>
      </c>
      <c r="J223" s="72">
        <f>'RESUMEN TOTAL'!P247</f>
        <v>0</v>
      </c>
      <c r="K223" s="72">
        <f>'RESUMEN TOTAL'!Q247</f>
        <v>0</v>
      </c>
      <c r="L223" s="72" t="str">
        <f>'RESUMEN TOTAL'!R247</f>
        <v>APAGADO</v>
      </c>
      <c r="M223" s="72">
        <f>'RESUMEN TOTAL'!S247</f>
        <v>0</v>
      </c>
      <c r="N223" s="72">
        <f>'RESUMEN TOTAL'!T247</f>
        <v>0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 t="str">
        <f>'RESUMEN TOTAL'!Z247</f>
        <v>APAGADO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NJU07</v>
      </c>
      <c r="C224" t="str">
        <f>'RESUMEN TOTAL'!D248</f>
        <v>Gral. Juan Domingo Peron y Parrillo</v>
      </c>
      <c r="D224" s="30" t="str">
        <f>'RESUMEN TOTAL'!E248</f>
        <v>Domo</v>
      </c>
      <c r="E224" s="30" t="str">
        <f>'RESUMEN TOTAL'!F248</f>
        <v>Fibra Optica</v>
      </c>
      <c r="F224" s="72" t="str">
        <f>'RESUMEN TOTAL'!L248</f>
        <v>APAGADO</v>
      </c>
      <c r="G224" s="72" t="str">
        <f>'RESUMEN TOTAL'!M248</f>
        <v>APAGADO</v>
      </c>
      <c r="H224" s="72" t="str">
        <f>'RESUMEN TOTAL'!N248</f>
        <v>APAGADO</v>
      </c>
      <c r="I224" s="72" t="str">
        <f>'RESUMEN TOTAL'!O248</f>
        <v>APAGADO</v>
      </c>
      <c r="J224" s="72" t="str">
        <f>'RESUMEN TOTAL'!P248</f>
        <v>APAGADO</v>
      </c>
      <c r="K224" s="72" t="str">
        <f>'RESUMEN TOTAL'!Q248</f>
        <v>APAGADO</v>
      </c>
      <c r="L224" s="72" t="str">
        <f>'RESUMEN TOTAL'!R248</f>
        <v>APAGADO</v>
      </c>
      <c r="M224" s="72" t="str">
        <f>'RESUMEN TOTAL'!S248</f>
        <v>APAGADO</v>
      </c>
      <c r="N224" s="72" t="str">
        <f>'RESUMEN TOTAL'!T248</f>
        <v>APAGADO</v>
      </c>
      <c r="O224" s="72" t="str">
        <f>'RESUMEN TOTAL'!U248</f>
        <v>APAGADO</v>
      </c>
      <c r="P224" s="72" t="str">
        <f>'RESUMEN TOTAL'!V248</f>
        <v>APAGADO</v>
      </c>
      <c r="Q224" s="72" t="str">
        <f>'RESUMEN TOTAL'!W248</f>
        <v>APAGADO</v>
      </c>
      <c r="R224" s="72" t="str">
        <f>'RESUMEN TOTAL'!X248</f>
        <v>APAGADO</v>
      </c>
      <c r="S224" s="72" t="str">
        <f>'RESUMEN TOTAL'!Y248</f>
        <v>APAGADO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 08</v>
      </c>
      <c r="C225" t="str">
        <f>'RESUMEN TOTAL'!D249</f>
        <v>BOCCUZZI Y O HIGGINS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 t="str">
        <f>'RESUMEN TOTAL'!M249</f>
        <v>APAGADO</v>
      </c>
      <c r="H225" s="72" t="str">
        <f>'RESUMEN TOTAL'!N249</f>
        <v>APAGADO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TOTAL'!A250</f>
        <v>9 DE JULIO</v>
      </c>
      <c r="B226" t="str">
        <f>'RESUMEN TOTAL'!B250</f>
        <v>NJU09</v>
      </c>
      <c r="C226" t="str">
        <f>'RESUMEN TOTAL'!D250</f>
        <v>PARRILLO Y CONTRERAS</v>
      </c>
      <c r="D226" s="30" t="str">
        <f>'RESUMEN TOTAL'!E250</f>
        <v>DOMO</v>
      </c>
      <c r="E226" s="30" t="str">
        <f>'RESUMEN TOTAL'!F250</f>
        <v>Fibra Optica</v>
      </c>
      <c r="F226" s="72">
        <f>'RESUMEN TOTAL'!L250</f>
        <v>0</v>
      </c>
      <c r="G226" s="72">
        <f>'RESUMEN TOTAL'!M250</f>
        <v>0</v>
      </c>
      <c r="H226" s="72">
        <f>'RESUMEN TOTAL'!N250</f>
        <v>0</v>
      </c>
      <c r="I226" s="72">
        <f>'RESUMEN TOTAL'!O250</f>
        <v>0</v>
      </c>
      <c r="J226" s="72">
        <f>'RESUMEN TOTAL'!P250</f>
        <v>0</v>
      </c>
      <c r="K226" s="72">
        <f>'RESUMEN TOTAL'!Q250</f>
        <v>0</v>
      </c>
      <c r="L226" s="72">
        <f>'RESUMEN TOTAL'!R250</f>
        <v>0</v>
      </c>
      <c r="M226" s="72">
        <f>'RESUMEN TOTAL'!S250</f>
        <v>0</v>
      </c>
      <c r="N226" s="72">
        <f>'RESUMEN TOTAL'!T250</f>
        <v>0</v>
      </c>
      <c r="O226" s="72">
        <f>'RESUMEN TOTAL'!U250</f>
        <v>0</v>
      </c>
      <c r="P226" s="72">
        <f>'RESUMEN TOTAL'!V250</f>
        <v>0</v>
      </c>
      <c r="Q226" s="72">
        <f>'RESUMEN TOTAL'!W250</f>
        <v>0</v>
      </c>
      <c r="R226" s="72">
        <f>'RESUMEN TOTAL'!X250</f>
        <v>0</v>
      </c>
      <c r="S226" s="72">
        <f>'RESUMEN TOTAL'!Y250</f>
        <v>0</v>
      </c>
      <c r="T226" s="72">
        <f>'RESUMEN TOTAL'!Z250</f>
        <v>0</v>
      </c>
      <c r="U226" s="72">
        <f>'RESUMEN TOTAL'!AA250</f>
        <v>0</v>
      </c>
      <c r="V226" s="72">
        <f>'RESUMEN TOTAL'!AB250</f>
        <v>0</v>
      </c>
      <c r="W226" s="72">
        <f>'RESUMEN TOTAL'!AC250</f>
        <v>0</v>
      </c>
      <c r="X226" s="72">
        <f>'RESUMEN TOTAL'!AD250</f>
        <v>0</v>
      </c>
      <c r="Y226" s="72">
        <f>'RESUMEN TOTAL'!AE250</f>
        <v>0</v>
      </c>
      <c r="Z226" s="72">
        <f>'RESUMEN TOTAL'!AF250</f>
        <v>0</v>
      </c>
      <c r="AA226" s="72">
        <f>'RESUMEN TOTAL'!AG250</f>
        <v>0</v>
      </c>
      <c r="AB226" s="72">
        <f>'RESUMEN TOTAL'!AH250</f>
        <v>0</v>
      </c>
      <c r="AC226" s="72">
        <f>'RESUMEN TOTAL'!AI250</f>
        <v>0</v>
      </c>
      <c r="AD226" s="72">
        <f>'RESUMEN TOTAL'!AJ250</f>
        <v>0</v>
      </c>
      <c r="AE226" s="72">
        <f>'RESUMEN TOTAL'!AK250</f>
        <v>0</v>
      </c>
      <c r="AF226" s="72">
        <f>'RESUMEN TOTAL'!AL250</f>
        <v>0</v>
      </c>
      <c r="AG226" s="72">
        <f>'RESUMEN TOTAL'!AM250</f>
        <v>0</v>
      </c>
      <c r="AH226" s="72">
        <f>'RESUMEN TOTAL'!AN250</f>
        <v>0</v>
      </c>
      <c r="AI226" s="72">
        <f>'RESUMEN TOTAL'!AO250</f>
        <v>0</v>
      </c>
      <c r="AJ226" s="72">
        <f>'RESUMEN TOTAL'!AP250</f>
        <v>0</v>
      </c>
    </row>
    <row r="227" spans="1:36" x14ac:dyDescent="0.25">
      <c r="A227" t="str">
        <f>'RESUMEN TOTAL'!A252</f>
        <v>PICO DE ORO</v>
      </c>
      <c r="B227" t="str">
        <f>'RESUMEN TOTAL'!B252</f>
        <v>PCO 01</v>
      </c>
      <c r="C227" t="str">
        <f>'RESUMEN TOTAL'!D252</f>
        <v>CEMENTERIO</v>
      </c>
      <c r="D227" s="30" t="str">
        <f>'RESUMEN TOTAL'!E252</f>
        <v>DOMO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PCO02 (fija 1)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PCO03 (fija 2)</v>
      </c>
      <c r="C229" t="str">
        <f>'RESUMEN TOTAL'!D254</f>
        <v>SICILIA E/ VIENA Y VARSOVIA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>
        <f>'RESUMEN TOTAL'!O254</f>
        <v>0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PCO04 (fija 1)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PICO DE ORO</v>
      </c>
      <c r="B231" t="str">
        <f>'RESUMEN TOTAL'!B256</f>
        <v>PCO05 (fija 2)</v>
      </c>
      <c r="C231" t="str">
        <f>'RESUMEN TOTAL'!D256</f>
        <v>BERNA Y POLONIA</v>
      </c>
      <c r="D231" s="30" t="str">
        <f>'RESUMEN TOTAL'!E256</f>
        <v>Fija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 t="str">
        <f>'RESUMEN TOTAL'!O256</f>
        <v>APAGADO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(domo)</v>
      </c>
      <c r="C232" t="str">
        <f>'RESUMEN TOTAL'!D257</f>
        <v>EL MALAMBO Y LA TRANQUERA</v>
      </c>
      <c r="D232" s="30" t="str">
        <f>'RESUMEN TOTAL'!E257</f>
        <v>DOMO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 t="str">
        <f>'RESUMEN TOTAL'!X257</f>
        <v>APAGADO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- AGUSTIN RAMIREZ (fija)</v>
      </c>
      <c r="C233" t="str">
        <f>'RESUMEN TOTAL'!D258</f>
        <v>EL 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 t="str">
        <f>'RESUMEN TOTAL'!X258</f>
        <v>APAGADO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AGUSTIN RAMIREZ</v>
      </c>
      <c r="B234" t="str">
        <f>'RESUMEN TOTAL'!B259</f>
        <v>PUNTO SEGURO AGUSTIN RAMIREZ INTERCOMUNICADOR</v>
      </c>
      <c r="C234" t="str">
        <f>'RESUMEN TOTAL'!D259</f>
        <v>MALAMBO Y LA TRANQUERA</v>
      </c>
      <c r="D234" s="30" t="str">
        <f>'RESUMEN TOTAL'!E259</f>
        <v>Fija</v>
      </c>
      <c r="E234" s="30" t="str">
        <f>'RESUMEN TOTAL'!F259</f>
        <v>Fibra Optica</v>
      </c>
      <c r="F234" s="72">
        <f>'RESUMEN TOTAL'!L259</f>
        <v>0</v>
      </c>
      <c r="G234" s="72">
        <f>'RESUMEN TOTAL'!M259</f>
        <v>0</v>
      </c>
      <c r="H234" s="72">
        <f>'RESUMEN TOTAL'!N259</f>
        <v>0</v>
      </c>
      <c r="I234" s="72">
        <f>'RESUMEN TOTAL'!O259</f>
        <v>0</v>
      </c>
      <c r="J234" s="72">
        <f>'RESUMEN TOTAL'!P259</f>
        <v>0</v>
      </c>
      <c r="K234" s="72">
        <f>'RESUMEN TOTAL'!Q259</f>
        <v>0</v>
      </c>
      <c r="L234" s="72">
        <f>'RESUMEN TOTAL'!R259</f>
        <v>0</v>
      </c>
      <c r="M234" s="72">
        <f>'RESUMEN TOTAL'!S259</f>
        <v>0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 t="str">
        <f>'RESUMEN TOTAL'!X259</f>
        <v>APAGADO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(domo)</v>
      </c>
      <c r="C235" t="str">
        <f>'RESUMEN TOTAL'!D260</f>
        <v>CALLE 1282 Y 1201</v>
      </c>
      <c r="D235" s="30" t="str">
        <f>'RESUMEN TOTAL'!E260</f>
        <v>DOMO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>
        <f>'RESUMEN TOTAL'!P260</f>
        <v>0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 t="str">
        <f>'RESUMEN TOTAL'!T260</f>
        <v>APAGADO</v>
      </c>
      <c r="O235" s="72" t="str">
        <f>'RESUMEN TOTAL'!U260</f>
        <v>APAGADO</v>
      </c>
      <c r="P235" s="72" t="str">
        <f>'RESUMEN TOTAL'!V260</f>
        <v>APAGADO</v>
      </c>
      <c r="Q235" s="72" t="str">
        <f>'RESUMEN TOTAL'!W260</f>
        <v>APAGADO</v>
      </c>
      <c r="R235" s="72" t="str">
        <f>'RESUMEN TOTAL'!X260</f>
        <v>APAGADO</v>
      </c>
      <c r="S235" s="72">
        <f>'RESUMEN TOTAL'!Y260</f>
        <v>0</v>
      </c>
      <c r="T235" s="72" t="str">
        <f>'RESUMEN TOTAL'!Z260</f>
        <v>APAGADO</v>
      </c>
      <c r="U235" s="72" t="str">
        <f>'RESUMEN TOTAL'!AA260</f>
        <v>APAGADO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(fija)</v>
      </c>
      <c r="C236" t="str">
        <f>'RESUMEN TOTAL'!D261</f>
        <v>CALLE 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 t="str">
        <f>'RESUMEN TOTAL'!O261</f>
        <v>APAGADO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 t="str">
        <f>'RESUMEN TOTAL'!V261</f>
        <v>APAGADO</v>
      </c>
      <c r="Q236" s="72" t="str">
        <f>'RESUMEN TOTAL'!W261</f>
        <v>APAGADO</v>
      </c>
      <c r="R236" s="72" t="str">
        <f>'RESUMEN TOTAL'!X261</f>
        <v>APAGADO</v>
      </c>
      <c r="S236" s="72" t="str">
        <f>'RESUMEN TOTAL'!Y261</f>
        <v>APAGADO</v>
      </c>
      <c r="T236" s="72" t="str">
        <f>'RESUMEN TOTAL'!Z261</f>
        <v>APAGADO</v>
      </c>
      <c r="U236" s="72" t="str">
        <f>'RESUMEN TOTAL'!AA261</f>
        <v>APAGADO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EL PARQUE</v>
      </c>
      <c r="B237" t="str">
        <f>'RESUMEN TOTAL'!B262</f>
        <v>PUNTO SEGURO - EL PARQUE INTERCOMUNICADOR</v>
      </c>
      <c r="C237" t="str">
        <f>'RESUMEN TOTAL'!D262</f>
        <v>1282 Y 1201</v>
      </c>
      <c r="D237" s="30" t="str">
        <f>'RESUMEN TOTAL'!E262</f>
        <v>Fija</v>
      </c>
      <c r="E237" s="30" t="str">
        <f>'RESUMEN TOTAL'!F262</f>
        <v>Fibra Optica</v>
      </c>
      <c r="F237" s="72">
        <f>'RESUMEN TOTAL'!L262</f>
        <v>0</v>
      </c>
      <c r="G237" s="72" t="str">
        <f>'RESUMEN TOTAL'!M262</f>
        <v>APAGADO</v>
      </c>
      <c r="H237" s="72" t="str">
        <f>'RESUMEN TOTAL'!N262</f>
        <v>APAGADO</v>
      </c>
      <c r="I237" s="72">
        <f>'RESUMEN TOTAL'!O262</f>
        <v>0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(domo)</v>
      </c>
      <c r="C238" t="str">
        <f>'RESUMEN TOTAL'!D263</f>
        <v>DIAG. LOS YAGANES Y 1148</v>
      </c>
      <c r="D238" s="30" t="str">
        <f>'RESUMEN TOTAL'!E263</f>
        <v>DOMO</v>
      </c>
      <c r="E238" s="30" t="str">
        <f>'RESUMEN TOTAL'!F263</f>
        <v>Fibra Optica</v>
      </c>
      <c r="F238" s="72" t="str">
        <f>'RESUMEN TOTAL'!L263</f>
        <v>APAGADO</v>
      </c>
      <c r="G238" s="72" t="str">
        <f>'RESUMEN TOTAL'!M263</f>
        <v>APAGADO</v>
      </c>
      <c r="H238" s="72" t="str">
        <f>'RESUMEN TOTAL'!N263</f>
        <v>APAGADO</v>
      </c>
      <c r="I238" s="72" t="str">
        <f>'RESUMEN TOTAL'!O263</f>
        <v>APAGADO</v>
      </c>
      <c r="J238" s="72" t="str">
        <f>'RESUMEN TOTAL'!P263</f>
        <v>APAGADO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 t="str">
        <f>'RESUMEN TOTAL'!T263</f>
        <v>APAGADO</v>
      </c>
      <c r="O238" s="72" t="str">
        <f>'RESUMEN TOTAL'!U263</f>
        <v>APAGADO</v>
      </c>
      <c r="P238" s="72" t="str">
        <f>'RESUMEN TOTAL'!V263</f>
        <v>APAGADO</v>
      </c>
      <c r="Q238" s="72" t="str">
        <f>'RESUMEN TOTAL'!W263</f>
        <v>APAGADO</v>
      </c>
      <c r="R238" s="72" t="str">
        <f>'RESUMEN TOTAL'!X263</f>
        <v>APAGADO</v>
      </c>
      <c r="S238" s="72" t="str">
        <f>'RESUMEN TOTAL'!Y263</f>
        <v>APAGADO</v>
      </c>
      <c r="T238" s="72" t="str">
        <f>'RESUMEN TOTAL'!Z263</f>
        <v>APAGADO</v>
      </c>
      <c r="U238" s="72" t="str">
        <f>'RESUMEN TOTAL'!AA263</f>
        <v>APAGADO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ING. ALLAN (fija)</v>
      </c>
      <c r="C239" t="str">
        <f>'RESUMEN TOTAL'!D264</f>
        <v>DIAG. LOS YAGANES Y 1148</v>
      </c>
      <c r="D239" s="30" t="str">
        <f>'RESUMEN TOTAL'!E264</f>
        <v>Fija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>
        <f>'RESUMEN TOTAL'!P264</f>
        <v>0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INGENIERO ALLAN</v>
      </c>
      <c r="B240" t="str">
        <f>'RESUMEN TOTAL'!B265</f>
        <v>PUNTO SEGURO - ING ALLAN INTERCOMUNICADOR</v>
      </c>
      <c r="C240" t="str">
        <f>'RESUMEN TOTAL'!D265</f>
        <v>DIAG LOS YAGANES Y 1148</v>
      </c>
      <c r="D240" s="30" t="str">
        <f>'RESUMEN TOTAL'!E265</f>
        <v>Domo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 t="str">
        <f>'RESUMEN TOTAL'!P265</f>
        <v>APAGADO</v>
      </c>
      <c r="K240" s="72" t="str">
        <f>'RESUMEN TOTAL'!Q265</f>
        <v>APAGADO</v>
      </c>
      <c r="L240" s="72" t="str">
        <f>'RESUMEN TOTAL'!R265</f>
        <v>APAGADO</v>
      </c>
      <c r="M240" s="72" t="str">
        <f>'RESUMEN TOTAL'!S265</f>
        <v>APAGADO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- LUJAN (fija)</v>
      </c>
      <c r="C241" t="str">
        <f>'RESUMEN TOTAL'!D266</f>
        <v>DIAG. LOS TILOS Y LOS ALGARROBOS</v>
      </c>
      <c r="D241" s="30" t="str">
        <f>'RESUMEN TOTAL'!E266</f>
        <v>Fija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(domo)</v>
      </c>
      <c r="C242" t="str">
        <f>'RESUMEN TOTAL'!D267</f>
        <v>DIAG. LOS TILOS Y LOS ALGARROBOS</v>
      </c>
      <c r="D242" s="30" t="str">
        <f>'RESUMEN TOTAL'!E267</f>
        <v>DOMO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LUJAN</v>
      </c>
      <c r="B243" t="str">
        <f>'RESUMEN TOTAL'!B268</f>
        <v>PUNTO SEGURO LUJAN INTERCOMUNICADOR</v>
      </c>
      <c r="C243" t="str">
        <f>'RESUMEN TOTAL'!D268</f>
        <v>DIAG LOS TILOS Y LOS ALGARROBOS</v>
      </c>
      <c r="D243" s="30" t="str">
        <f>'RESUMEN TOTAL'!E268</f>
        <v>Fija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>
        <f>'RESUMEN TOTAL'!R268</f>
        <v>0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(domo)</v>
      </c>
      <c r="C244" t="str">
        <f>'RESUMEN TOTAL'!D269</f>
        <v>PISANI Y BULGARIA</v>
      </c>
      <c r="D244" s="30" t="str">
        <f>'RESUMEN TOTAL'!E269</f>
        <v>DOMO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 t="str">
        <f>'RESUMEN TOTAL'!R269</f>
        <v>APAGADO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- PICO DE ORO (fija)</v>
      </c>
      <c r="C245" t="str">
        <f>'RESUMEN TOTAL'!D270</f>
        <v>PISANI Y BULGARIA</v>
      </c>
      <c r="D245" s="30" t="str">
        <f>'RESUMEN TOTAL'!E270</f>
        <v>Fija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ZONA RURAL SANTA ROSA</v>
      </c>
      <c r="B246" t="str">
        <f>'RESUMEN TOTAL'!B271</f>
        <v>PUNTO SEGURO PICO DE ORO INTERCOMUNICADOR</v>
      </c>
      <c r="C246" t="str">
        <f>'RESUMEN TOTAL'!D271</f>
        <v>PISANI Y BULGARIA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FRANCISCO ESTE (CHICO)</v>
      </c>
      <c r="B247" t="str">
        <f>'RESUMEN TOTAL'!B272</f>
        <v>PUNTO SEGURO - SAN FRANCISCO (domo)</v>
      </c>
      <c r="C247" t="str">
        <f>'RESUMEN TOTAL'!D272</f>
        <v>RP 53 Y 1332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(Domo)</v>
      </c>
      <c r="C248" t="str">
        <f>'RESUMEN TOTAL'!D273</f>
        <v>CALLE 523 E/ 554 Y 556</v>
      </c>
      <c r="D248" s="30" t="str">
        <f>'RESUMEN TOTAL'!E273</f>
        <v>DOMO</v>
      </c>
      <c r="E248" s="30" t="str">
        <f>'RESUMEN TOTAL'!F273</f>
        <v>Fibra Optica</v>
      </c>
      <c r="F248" s="72">
        <f>'RESUMEN TOTAL'!L273</f>
        <v>0</v>
      </c>
      <c r="G248" s="72">
        <f>'RESUMEN TOTAL'!M273</f>
        <v>0</v>
      </c>
      <c r="H248" s="72">
        <f>'RESUMEN TOTAL'!N273</f>
        <v>0</v>
      </c>
      <c r="I248" s="72">
        <f>'RESUMEN TOTAL'!O273</f>
        <v>0</v>
      </c>
      <c r="J248" s="72">
        <f>'RESUMEN TOTAL'!P273</f>
        <v>0</v>
      </c>
      <c r="K248" s="72">
        <f>'RESUMEN TOTAL'!Q273</f>
        <v>0</v>
      </c>
      <c r="L248" s="72">
        <f>'RESUMEN TOTAL'!R273</f>
        <v>0</v>
      </c>
      <c r="M248" s="72">
        <f>'RESUMEN TOTAL'!S273</f>
        <v>0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- San Jorge (Fija)</v>
      </c>
      <c r="C249" t="str">
        <f>'RESUMEN TOTAL'!D274</f>
        <v>CALLE 523 E/ 554 Y 556</v>
      </c>
      <c r="D249" s="30" t="str">
        <f>'RESUMEN TOTAL'!E274</f>
        <v>Fija</v>
      </c>
      <c r="E249" s="30" t="str">
        <f>'RESUMEN TOTAL'!F274</f>
        <v>Fibra Optica</v>
      </c>
      <c r="F249" s="72" t="str">
        <f>'RESUMEN TOTAL'!L274</f>
        <v>APAGADO</v>
      </c>
      <c r="G249" s="72" t="str">
        <f>'RESUMEN TOTAL'!M274</f>
        <v>APAGADO</v>
      </c>
      <c r="H249" s="72" t="str">
        <f>'RESUMEN TOTAL'!N274</f>
        <v>APAGADO</v>
      </c>
      <c r="I249" s="72" t="str">
        <f>'RESUMEN TOTAL'!O274</f>
        <v>APAGADO</v>
      </c>
      <c r="J249" s="72" t="str">
        <f>'RESUMEN TOTAL'!P274</f>
        <v>APAGADO</v>
      </c>
      <c r="K249" s="72" t="str">
        <f>'RESUMEN TOTAL'!Q274</f>
        <v>APAGADO</v>
      </c>
      <c r="L249" s="72" t="str">
        <f>'RESUMEN TOTAL'!R274</f>
        <v>APAGADO</v>
      </c>
      <c r="M249" s="72" t="str">
        <f>'RESUMEN TOTAL'!S274</f>
        <v>APAGADO</v>
      </c>
      <c r="N249" s="72" t="str">
        <f>'RESUMEN TOTAL'!T274</f>
        <v>APAGADO</v>
      </c>
      <c r="O249" s="72" t="str">
        <f>'RESUMEN TOTAL'!U274</f>
        <v>APAGADO</v>
      </c>
      <c r="P249" s="72" t="str">
        <f>'RESUMEN TOTAL'!V274</f>
        <v>APAGADO</v>
      </c>
      <c r="Q249" s="72" t="str">
        <f>'RESUMEN TOTAL'!W274</f>
        <v>APAGADO</v>
      </c>
      <c r="R249" s="72" t="str">
        <f>'RESUMEN TOTAL'!X274</f>
        <v>APAGADO</v>
      </c>
      <c r="S249" s="72" t="str">
        <f>'RESUMEN TOTAL'!Y274</f>
        <v>APAGADO</v>
      </c>
      <c r="T249" s="72" t="str">
        <f>'RESUMEN TOTAL'!Z274</f>
        <v>APAGADO</v>
      </c>
      <c r="U249" s="72" t="str">
        <f>'RESUMEN TOTAL'!AA274</f>
        <v>APAGADO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JORGE</v>
      </c>
      <c r="B250" t="str">
        <f>'RESUMEN TOTAL'!B275</f>
        <v>PUNTO SEGURO SAN JORGE INTERCOMUNICADOR</v>
      </c>
      <c r="C250" t="str">
        <f>'RESUMEN TOTAL'!D275</f>
        <v>CALLE 554 Y 523</v>
      </c>
      <c r="D250" s="30" t="str">
        <f>'RESUMEN TOTAL'!E275</f>
        <v>Fija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SEGURO- SAN RUDECINDO (domo)</v>
      </c>
      <c r="C251" t="str">
        <f>'RESUMEN TOTAL'!D276</f>
        <v>SANTA SOFIA Y ALVAR NUÑEZ</v>
      </c>
      <c r="D251" s="30" t="str">
        <f>'RESUMEN TOTAL'!E276</f>
        <v>DOMO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- SAN RUDECINDO (fija)</v>
      </c>
      <c r="C252" t="str">
        <f>'RESUMEN TOTAL'!D277</f>
        <v>SANTA SOFIA Y ALVAR NUÑEZ</v>
      </c>
      <c r="D252" s="30" t="str">
        <f>'RESUMEN TOTAL'!E277</f>
        <v>Fija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SAN RUDECINDO</v>
      </c>
      <c r="B253" t="str">
        <f>'RESUMEN TOTAL'!B278</f>
        <v>PUNTO SEGURO SAN RUDECINDO INTERCOMUNICADOR</v>
      </c>
      <c r="C253" t="str">
        <f>'RESUMEN TOTAL'!D278</f>
        <v>SABTA SOFIA Y ALVAR NUÃ‘EZ</v>
      </c>
      <c r="D253" s="30" t="str">
        <f>'RESUMEN TOTAL'!E278</f>
        <v>Domo</v>
      </c>
      <c r="E253" s="30" t="str">
        <f>'RESUMEN TOTAL'!F278</f>
        <v>Fibra Optica</v>
      </c>
      <c r="F253" s="72">
        <f>'RESUMEN TOTAL'!L278</f>
        <v>0</v>
      </c>
      <c r="G253" s="72">
        <f>'RESUMEN TOTAL'!M278</f>
        <v>0</v>
      </c>
      <c r="H253" s="72">
        <f>'RESUMEN TOTAL'!N278</f>
        <v>0</v>
      </c>
      <c r="I253" s="72">
        <f>'RESUMEN TOTAL'!O278</f>
        <v>0</v>
      </c>
      <c r="J253" s="72">
        <f>'RESUMEN TOTAL'!P278</f>
        <v>0</v>
      </c>
      <c r="K253" s="72">
        <f>'RESUMEN TOTAL'!Q278</f>
        <v>0</v>
      </c>
      <c r="L253" s="72">
        <f>'RESUMEN TOTAL'!R278</f>
        <v>0</v>
      </c>
      <c r="M253" s="72">
        <f>'RESUMEN TOTAL'!S278</f>
        <v>0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(domo)</v>
      </c>
      <c r="C254" t="str">
        <f>'RESUMEN TOTAL'!D279</f>
        <v>BRUSELAS Y SICILIA</v>
      </c>
      <c r="D254" s="30" t="str">
        <f>'RESUMEN TOTAL'!E279</f>
        <v>DOMO</v>
      </c>
      <c r="E254" s="30" t="str">
        <f>'RESUMEN TOTAL'!F279</f>
        <v>Fibra Optica</v>
      </c>
      <c r="F254" s="72" t="str">
        <f>'RESUMEN TOTAL'!L279</f>
        <v>APAGADO</v>
      </c>
      <c r="G254" s="72" t="str">
        <f>'RESUMEN TOTAL'!M279</f>
        <v>APAGADO</v>
      </c>
      <c r="H254" s="72" t="str">
        <f>'RESUMEN TOTAL'!N279</f>
        <v>APAGADO</v>
      </c>
      <c r="I254" s="72" t="str">
        <f>'RESUMEN TOTAL'!O279</f>
        <v>APAGADO</v>
      </c>
      <c r="J254" s="72" t="str">
        <f>'RESUMEN TOTAL'!P279</f>
        <v>APAGADO</v>
      </c>
      <c r="K254" s="72" t="str">
        <f>'RESUMEN TOTAL'!Q279</f>
        <v>APAGADO</v>
      </c>
      <c r="L254" s="72" t="str">
        <f>'RESUMEN TOTAL'!R279</f>
        <v>APAGADO</v>
      </c>
      <c r="M254" s="72" t="str">
        <f>'RESUMEN TOTAL'!S279</f>
        <v>APAGADO</v>
      </c>
      <c r="N254" s="72" t="str">
        <f>'RESUMEN TOTAL'!T279</f>
        <v>APAGADO</v>
      </c>
      <c r="O254" s="72" t="str">
        <f>'RESUMEN TOTAL'!U279</f>
        <v>APAGADO</v>
      </c>
      <c r="P254" s="72" t="str">
        <f>'RESUMEN TOTAL'!V279</f>
        <v>APAGADO</v>
      </c>
      <c r="Q254" s="72" t="str">
        <f>'RESUMEN TOTAL'!W279</f>
        <v>APAGADO</v>
      </c>
      <c r="R254" s="72" t="str">
        <f>'RESUMEN TOTAL'!X279</f>
        <v>APAGADO</v>
      </c>
      <c r="S254" s="72" t="str">
        <f>'RESUMEN TOTAL'!Y279</f>
        <v>APAGADO</v>
      </c>
      <c r="T254" s="72" t="str">
        <f>'RESUMEN TOTAL'!Z279</f>
        <v>APAGADO</v>
      </c>
      <c r="U254" s="72" t="str">
        <f>'RESUMEN TOTAL'!AA279</f>
        <v>APAGADO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- SANTA ROSA (fija)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ZONA RURAL SANTA ROSA</v>
      </c>
      <c r="B256" t="str">
        <f>'RESUMEN TOTAL'!B281</f>
        <v>PUNTO SEGURO SANTA ROSA INTERCOMUNICADOR</v>
      </c>
      <c r="C256" t="str">
        <f>'RESUMEN TOTAL'!D281</f>
        <v>Bruselas y sicilia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domo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fija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>
        <f>'RESUMEN TOTAL'!P283</f>
        <v>0</v>
      </c>
      <c r="K258" s="72">
        <f>'RESUMEN TOTAL'!Q283</f>
        <v>0</v>
      </c>
      <c r="L258" s="72">
        <f>'RESUMEN TOTAL'!R283</f>
        <v>0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VILLA ARGENTINA</v>
      </c>
      <c r="B259" t="str">
        <f>'RESUMEN TOTAL'!B284</f>
        <v>PUNTO SEGURO VILLA ARGENTINA INTERCOMUNICADOR</v>
      </c>
      <c r="C259" t="str">
        <f>'RESUMEN TOTAL'!D284</f>
        <v>CALLE 513 Y DIAG PORTELA</v>
      </c>
      <c r="D259" s="30" t="str">
        <f>'RESUMEN TOTAL'!E284</f>
        <v>Fija</v>
      </c>
      <c r="E259" s="30" t="str">
        <f>'RESUMEN TOTAL'!F284</f>
        <v>Fibra Optica</v>
      </c>
      <c r="F259" s="72">
        <f>'RESUMEN TOTAL'!L284</f>
        <v>0</v>
      </c>
      <c r="G259" s="72">
        <f>'RESUMEN TOTAL'!M284</f>
        <v>0</v>
      </c>
      <c r="H259" s="72">
        <f>'RESUMEN TOTAL'!N284</f>
        <v>0</v>
      </c>
      <c r="I259" s="72">
        <f>'RESUMEN TOTAL'!O284</f>
        <v>0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>
        <f>'RESUMEN TOTAL'!S284</f>
        <v>0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 01</v>
      </c>
      <c r="C260" t="str">
        <f>'RESUMEN TOTAL'!D285</f>
        <v>AV. LUJAN Y LOBOS</v>
      </c>
      <c r="D260" s="30" t="str">
        <f>'RESUMEN TOTAL'!E285</f>
        <v>DOMO</v>
      </c>
      <c r="E260" s="30" t="str">
        <f>'RESUMEN TOTAL'!F285</f>
        <v>Fibra Optica</v>
      </c>
      <c r="F260" s="72" t="str">
        <f>'RESUMEN TOTAL'!L285</f>
        <v>APAGADO</v>
      </c>
      <c r="G260" s="72" t="str">
        <f>'RESUMEN TOTAL'!M285</f>
        <v>APAGADO</v>
      </c>
      <c r="H260" s="72" t="str">
        <f>'RESUMEN TOTAL'!N285</f>
        <v>APAGADO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RCO02</v>
      </c>
      <c r="C261" t="str">
        <f>'RESUMEN TOTAL'!D286</f>
        <v>AV. LUJAN Y BRANDSEN</v>
      </c>
      <c r="D261" s="30" t="str">
        <f>'RESUMEN TOTAL'!E286</f>
        <v>DOMO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RCO03 (fija 1)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RCO04 (fija 2)</v>
      </c>
      <c r="C263" t="str">
        <f>'RESUMEN TOTAL'!D288</f>
        <v>OLAVARRIA Y CONCORDIA</v>
      </c>
      <c r="D263" s="30" t="str">
        <f>'RESUMEN TOTAL'!E288</f>
        <v>Fija</v>
      </c>
      <c r="E263" s="30" t="str">
        <f>'RESUMEN TOTAL'!F288</f>
        <v>Fibra Optica</v>
      </c>
      <c r="F263" s="72">
        <f>'RESUMEN TOTAL'!L288</f>
        <v>0</v>
      </c>
      <c r="G263" s="72">
        <f>'RESUMEN TOTAL'!M288</f>
        <v>0</v>
      </c>
      <c r="H263" s="72">
        <f>'RESUMEN TOTAL'!N288</f>
        <v>0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TOTAL'!A289</f>
        <v>EL ROCIO</v>
      </c>
      <c r="B264" t="str">
        <f>'RESUMEN TOTAL'!B289</f>
        <v>RCO05 (fija 1)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TOTAL'!A292</f>
        <v>EL ROCIO</v>
      </c>
      <c r="B265" t="str">
        <f>'RESUMEN TOTAL'!B290</f>
        <v>RCO06 (fija 2)</v>
      </c>
      <c r="C265" t="str">
        <f>'RESUMEN TOTAL'!D290</f>
        <v>LOBOS Y CHASCOMUS</v>
      </c>
      <c r="D265" s="30" t="str">
        <f>'RESUMEN TOTAL'!E290</f>
        <v>FIJA</v>
      </c>
      <c r="E265" s="30" t="str">
        <f>'RESUMEN TOTAL'!F290</f>
        <v>Fibra Optica</v>
      </c>
      <c r="F265" s="72" t="str">
        <f>'RESUMEN TOTAL'!L290</f>
        <v>APAGADO</v>
      </c>
      <c r="G265" s="72" t="str">
        <f>'RESUMEN TOTAL'!M290</f>
        <v>APAGADO</v>
      </c>
      <c r="H265" s="72" t="str">
        <f>'RESUMEN TOTAL'!N290</f>
        <v>APAGADO</v>
      </c>
      <c r="I265" s="72" t="str">
        <f>'RESUMEN TOTAL'!O290</f>
        <v>APAGADO</v>
      </c>
      <c r="J265" s="72" t="str">
        <f>'RESUMEN TOTAL'!P290</f>
        <v>APAGADO</v>
      </c>
      <c r="K265" s="72" t="str">
        <f>'RESUMEN TOTAL'!Q290</f>
        <v>APAGADO</v>
      </c>
      <c r="L265" s="72" t="str">
        <f>'RESUMEN TOTAL'!R290</f>
        <v>APAGADO</v>
      </c>
      <c r="M265" s="72" t="str">
        <f>'RESUMEN TOTAL'!S290</f>
        <v>APAGADO</v>
      </c>
      <c r="N265" s="72" t="str">
        <f>'RESUMEN TOTAL'!T290</f>
        <v>APAGADO</v>
      </c>
      <c r="O265" s="72" t="str">
        <f>'RESUMEN TOTAL'!U290</f>
        <v>APAGADO</v>
      </c>
      <c r="P265" s="72" t="str">
        <f>'RESUMEN TOTAL'!V290</f>
        <v>APAGADO</v>
      </c>
      <c r="Q265" s="72">
        <f>'RESUMEN TOTAL'!W290</f>
        <v>0</v>
      </c>
      <c r="R265" s="72">
        <f>'RESUMEN TOTAL'!X290</f>
        <v>0</v>
      </c>
      <c r="S265" s="72">
        <f>'RESUMEN TOTAL'!Y290</f>
        <v>0</v>
      </c>
      <c r="T265" s="72">
        <f>'RESUMEN TOTAL'!Z290</f>
        <v>0</v>
      </c>
      <c r="U265" s="72">
        <f>'RESUMEN TOTAL'!AA290</f>
        <v>0</v>
      </c>
      <c r="V265" s="72">
        <f>'RESUMEN TOTAL'!AB290</f>
        <v>0</v>
      </c>
      <c r="W265" s="72">
        <f>'RESUMEN TOTAL'!AC290</f>
        <v>0</v>
      </c>
      <c r="X265" s="72">
        <f>'RESUMEN TOTAL'!AD290</f>
        <v>0</v>
      </c>
      <c r="Y265" s="72">
        <f>'RESUMEN TOTAL'!AE290</f>
        <v>0</v>
      </c>
      <c r="Z265" s="72">
        <f>'RESUMEN TOTAL'!AF290</f>
        <v>0</v>
      </c>
      <c r="AA265" s="72">
        <f>'RESUMEN TOTAL'!AG290</f>
        <v>0</v>
      </c>
      <c r="AB265" s="72">
        <f>'RESUMEN TOTAL'!AH290</f>
        <v>0</v>
      </c>
      <c r="AC265" s="72">
        <f>'RESUMEN TOTAL'!AI290</f>
        <v>0</v>
      </c>
      <c r="AD265" s="72">
        <f>'RESUMEN TOTAL'!AJ290</f>
        <v>0</v>
      </c>
      <c r="AE265" s="72">
        <f>'RESUMEN TOTAL'!AK290</f>
        <v>0</v>
      </c>
      <c r="AF265" s="72">
        <f>'RESUMEN TOTAL'!AL290</f>
        <v>0</v>
      </c>
      <c r="AG265" s="72">
        <f>'RESUMEN TOTAL'!AM290</f>
        <v>0</v>
      </c>
      <c r="AH265" s="72">
        <f>'RESUMEN TOTAL'!AN290</f>
        <v>0</v>
      </c>
      <c r="AI265" s="72">
        <f>'RESUMEN TOTAL'!AO290</f>
        <v>0</v>
      </c>
      <c r="AJ265" s="72">
        <f>'RESUMEN TOTAL'!AP290</f>
        <v>0</v>
      </c>
    </row>
    <row r="266" spans="1:36" x14ac:dyDescent="0.25">
      <c r="A266" t="str">
        <f>'RESUMEN TOTAL'!A295</f>
        <v>RICARDO ROJAS</v>
      </c>
      <c r="B266" t="str">
        <f>'RESUMEN TOTAL'!B295</f>
        <v>RRJ01</v>
      </c>
      <c r="C266" t="str">
        <f>'RESUMEN TOTAL'!D295</f>
        <v>AV. LUJAN Y BRAGADO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RRJ02</v>
      </c>
      <c r="C267" t="str">
        <f>'RESUMEN TOTAL'!D296</f>
        <v>AV. LUJAN Y DIAG. LOS POETAS</v>
      </c>
      <c r="D267" s="30" t="str">
        <f>'RESUMEN TOTAL'!E296</f>
        <v>DOMO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 t="str">
        <f>'RESUMEN TOTAL'!T296</f>
        <v>APAGADO</v>
      </c>
      <c r="O267" s="72" t="str">
        <f>'RESUMEN TOTAL'!U296</f>
        <v>APAGADO</v>
      </c>
      <c r="P267" s="72" t="str">
        <f>'RESUMEN TOTAL'!V296</f>
        <v>APAGADO</v>
      </c>
      <c r="Q267" s="72" t="str">
        <f>'RESUMEN TOTAL'!W296</f>
        <v>APAGADO</v>
      </c>
      <c r="R267" s="72" t="str">
        <f>'RESUMEN TOTAL'!X296</f>
        <v>APAGADO</v>
      </c>
      <c r="S267" s="72" t="str">
        <f>'RESUMEN TOTAL'!Y296</f>
        <v>APAGADO</v>
      </c>
      <c r="T267" s="72" t="str">
        <f>'RESUMEN TOTAL'!Z296</f>
        <v>APAGADO</v>
      </c>
      <c r="U267" s="72" t="str">
        <f>'RESUMEN TOTAL'!AA296</f>
        <v>APAGADO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RRJ03 (fija 1)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RRJ04 (fija 2)</v>
      </c>
      <c r="C269" t="str">
        <f>'RESUMEN TOTAL'!D298</f>
        <v>RUBEN DARIO E/ FADER Y DIAG. LOS POETAS</v>
      </c>
      <c r="D269" s="30" t="str">
        <f>'RESUMEN TOTAL'!E298</f>
        <v>Fija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05</v>
      </c>
      <c r="C270" t="str">
        <f>'RESUMEN TOTAL'!D299</f>
        <v>LUJAN Y RUTA 36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06</v>
      </c>
      <c r="C271" t="str">
        <f>'RESUMEN TOTAL'!D300</f>
        <v>Constancio Vigil y Pablo Groussac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07</v>
      </c>
      <c r="C272" t="str">
        <f>'RESUMEN TOTAL'!D301</f>
        <v>Constancio Vigil y Estanislao del Campo</v>
      </c>
      <c r="D272" s="30" t="str">
        <f>'RESUMEN TOTAL'!E301</f>
        <v>Domo</v>
      </c>
      <c r="E272" s="30" t="str">
        <f>'RESUMEN TOTAL'!F301</f>
        <v>Fibra Optica</v>
      </c>
      <c r="F272" s="72">
        <f>'RESUMEN TOTAL'!L301</f>
        <v>0</v>
      </c>
      <c r="G272" s="72">
        <f>'RESUMEN TOTAL'!M301</f>
        <v>0</v>
      </c>
      <c r="H272" s="72">
        <f>'RESUMEN TOTAL'!N301</f>
        <v>0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TOTAL'!AB301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08</v>
      </c>
      <c r="C273" t="str">
        <f>'RESUMEN TOTAL'!D302</f>
        <v>Constancio Vigil y Pablo Podesta</v>
      </c>
      <c r="D273" s="30" t="str">
        <f>'RESUMEN TOTAL'!E302</f>
        <v>Domo</v>
      </c>
      <c r="E273" s="30" t="str">
        <f>'RESUMEN TOTAL'!F302</f>
        <v>Fibra Optica</v>
      </c>
      <c r="F273" s="72" t="str">
        <f>'RESUMEN TOTAL'!L302</f>
        <v>APAGADO</v>
      </c>
      <c r="G273" s="72" t="str">
        <f>'RESUMEN TOTAL'!M302</f>
        <v>APAGADO</v>
      </c>
      <c r="H273" s="72" t="str">
        <f>'RESUMEN TOTAL'!N302</f>
        <v>APAGADO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 t="str">
        <f>'RESUMEN TOTAL'!U302</f>
        <v>APAGADO</v>
      </c>
      <c r="P273" s="72" t="str">
        <f>'RESUMEN TOTAL'!V302</f>
        <v>APAGADO</v>
      </c>
      <c r="Q273" s="72" t="str">
        <f>'RESUMEN TOTAL'!W302</f>
        <v>APAGADO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>
        <f>'RESUMEN TOTAL'!AB303</f>
        <v>0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09</v>
      </c>
      <c r="C274" t="str">
        <f>'RESUMEN TOTAL'!D303</f>
        <v>Constancio Vigil y Jose Ingeniero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 t="str">
        <f>'RESUMEN TOTAL'!T303</f>
        <v>APAGADO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 t="e">
        <f>'RESUMEN TOTAL'!#REF!</f>
        <v>#REF!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10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11</v>
      </c>
      <c r="C276" t="str">
        <f>'RESUMEN TOTAL'!D305</f>
        <v>LUGONES Y OBLIGADO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>
        <f>'RESUMEN TOTAL'!M305</f>
        <v>0</v>
      </c>
      <c r="H276" s="72">
        <f>'RESUMEN TOTAL'!N305</f>
        <v>0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12</v>
      </c>
      <c r="C277" t="str">
        <f>'RESUMEN TOTAL'!D306</f>
        <v>FADER Y DIAGONAL LOS POETAS</v>
      </c>
      <c r="D277" s="30" t="str">
        <f>'RESUMEN TOTAL'!E306</f>
        <v>DOMO</v>
      </c>
      <c r="E277" s="30" t="str">
        <f>'RESUMEN TOTAL'!F306</f>
        <v>Fibra Optica</v>
      </c>
      <c r="F277" s="72">
        <f>'RESUMEN TOTAL'!L306</f>
        <v>0</v>
      </c>
      <c r="G277" s="72" t="str">
        <f>'RESUMEN TOTAL'!M306</f>
        <v>APAGADO</v>
      </c>
      <c r="H277" s="72" t="str">
        <f>'RESUMEN TOTAL'!N306</f>
        <v>APAGADO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TOTAL'!A307</f>
        <v>RICARDO ROJAS</v>
      </c>
      <c r="B278" t="str">
        <f>'RESUMEN TOTAL'!B307</f>
        <v>RRJ 13</v>
      </c>
      <c r="C278" t="str">
        <f>'RESUMEN TOTAL'!D307</f>
        <v>LUJAN Y DIAGONAL LOS POETAS</v>
      </c>
      <c r="D278" s="30" t="str">
        <f>'RESUMEN TOTAL'!E307</f>
        <v>Fija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 t="str">
        <f>'RESUMEN TOTAL'!O307</f>
        <v>APAGADO</v>
      </c>
      <c r="J278" s="72" t="str">
        <f>'RESUMEN TOTAL'!P307</f>
        <v>APAGADO</v>
      </c>
      <c r="K278" s="72" t="str">
        <f>'RESUMEN TOTAL'!Q307</f>
        <v>APAGADO</v>
      </c>
      <c r="L278" s="72" t="str">
        <f>'RESUMEN TOTAL'!R307</f>
        <v>APAGADO</v>
      </c>
      <c r="M278" s="72" t="str">
        <f>'RESUMEN TOTAL'!S307</f>
        <v>APAGADO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TOTAL'!A311</f>
        <v>SANTA ANA</v>
      </c>
      <c r="B279" t="str">
        <f>'RESUMEN TOTAL'!B311</f>
        <v>SAN 02</v>
      </c>
      <c r="C279" t="str">
        <f>'RESUMEN TOTAL'!D311</f>
        <v>HUDSON Y SUIPACHA</v>
      </c>
      <c r="D279" s="30" t="str">
        <f>'RESUMEN TOTAL'!E311</f>
        <v>Fija 2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 t="str">
        <f>'RESUMEN TOTAL'!X311</f>
        <v>APAGADO</v>
      </c>
      <c r="S279" s="72" t="str">
        <f>'RESUMEN TOTAL'!Y311</f>
        <v>APAGADO</v>
      </c>
      <c r="T279" s="72" t="str">
        <f>'RESUMEN TOTAL'!Z311</f>
        <v>APAGADO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SANTA ANA</v>
      </c>
      <c r="B280" t="str">
        <f>'RESUMEN TOTAL'!B312</f>
        <v>SAN01</v>
      </c>
      <c r="C280" t="str">
        <f>'RESUMEN TOTAL'!D312</f>
        <v>HUDSON Y SUIPACHA</v>
      </c>
      <c r="D280" s="30" t="str">
        <f>'RESUMEN TOTAL'!E312</f>
        <v>Fija 1</v>
      </c>
      <c r="E280" s="30" t="str">
        <f>'RESUMEN TOTAL'!F312</f>
        <v>GPON</v>
      </c>
      <c r="F280" s="72" t="str">
        <f>'RESUMEN TOTAL'!L312</f>
        <v>APAGADO</v>
      </c>
      <c r="G280" s="72" t="str">
        <f>'RESUMEN TOTAL'!M312</f>
        <v>APAGADO</v>
      </c>
      <c r="H280" s="72" t="str">
        <f>'RESUMEN TOTAL'!N312</f>
        <v>APAGADO</v>
      </c>
      <c r="I280" s="72" t="str">
        <f>'RESUMEN TOTAL'!O312</f>
        <v>APAGADO</v>
      </c>
      <c r="J280" s="72" t="str">
        <f>'RESUMEN TOTAL'!P312</f>
        <v>APAGADO</v>
      </c>
      <c r="K280" s="72" t="str">
        <f>'RESUMEN TOTAL'!Q312</f>
        <v>APAGADO</v>
      </c>
      <c r="L280" s="72" t="str">
        <f>'RESUMEN TOTAL'!R312</f>
        <v>APAGADO</v>
      </c>
      <c r="M280" s="72" t="str">
        <f>'RESUMEN TOTAL'!S312</f>
        <v>APAGADO</v>
      </c>
      <c r="N280" s="72" t="str">
        <f>'RESUMEN TOTAL'!T312</f>
        <v>APAGADO</v>
      </c>
      <c r="O280" s="72" t="str">
        <f>'RESUMEN TOTAL'!U312</f>
        <v>APAGADO</v>
      </c>
      <c r="P280" s="72" t="str">
        <f>'RESUMEN TOTAL'!V312</f>
        <v>APAGADO</v>
      </c>
      <c r="Q280" s="72" t="str">
        <f>'RESUMEN TOTAL'!W312</f>
        <v>APAGADO</v>
      </c>
      <c r="R280" s="72" t="str">
        <f>'RESUMEN TOTAL'!X312</f>
        <v>APAGADO</v>
      </c>
      <c r="S280" s="72" t="str">
        <f>'RESUMEN TOTAL'!Y312</f>
        <v>APAGADO</v>
      </c>
      <c r="T280" s="72" t="str">
        <f>'RESUMEN TOTAL'!Z312</f>
        <v>APAGADO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SAR01</v>
      </c>
      <c r="C281" t="str">
        <f>'RESUMEN TOTAL'!D313</f>
        <v>Storni Y Sanchez de Loria</v>
      </c>
      <c r="D281" s="30" t="str">
        <f>'RESUMEN TOTAL'!E313</f>
        <v>Domo</v>
      </c>
      <c r="E281" s="30" t="str">
        <f>'RESUMEN TOTAL'!F313</f>
        <v>Fibra Optica</v>
      </c>
      <c r="F281" s="72">
        <f>'RESUMEN TOTAL'!L313</f>
        <v>0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02 (fija 1)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03 (fija 2)</v>
      </c>
      <c r="C283" t="str">
        <f>'RESUMEN TOTAL'!D315</f>
        <v>DARDO ROCHA Y GABRIELA MISTRAL</v>
      </c>
      <c r="D283" s="30" t="str">
        <f>'RESUMEN TOTAL'!E315</f>
        <v>Fija</v>
      </c>
      <c r="E283" s="30" t="str">
        <f>'RESUMEN TOTAL'!F315</f>
        <v>Fibra Optica</v>
      </c>
      <c r="F283" s="72" t="str">
        <f>'RESUMEN TOTAL'!L315</f>
        <v>APAGADO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 t="str">
        <f>'RESUMEN TOTAL'!U315</f>
        <v>APAGADO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04</v>
      </c>
      <c r="C284" t="str">
        <f>'RESUMEN TOTAL'!D316</f>
        <v>MONTES DE OCA Y ALVARADO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>
        <f>'RESUMEN TOTAL'!S316</f>
        <v>0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05</v>
      </c>
      <c r="C285" t="str">
        <f>'RESUMEN TOTAL'!D317</f>
        <v>ALVARADO Y ROCHA</v>
      </c>
      <c r="D285" s="30" t="str">
        <f>'RESUMEN TOTAL'!E317</f>
        <v>Domo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 t="str">
        <f>'RESUMEN TOTAL'!S317</f>
        <v>APAGADO</v>
      </c>
      <c r="N285" s="72">
        <f>'RESUMEN TOTAL'!T317</f>
        <v>0</v>
      </c>
      <c r="O285" s="72" t="str">
        <f>'RESUMEN TOTAL'!U317</f>
        <v>APAGADO</v>
      </c>
      <c r="P285" s="72" t="str">
        <f>'RESUMEN TOTAL'!V317</f>
        <v>APAGADO</v>
      </c>
      <c r="Q285" s="72" t="str">
        <f>'RESUMEN TOTAL'!W317</f>
        <v>APAGADO</v>
      </c>
      <c r="R285" s="72" t="str">
        <f>'RESUMEN TOTAL'!X317</f>
        <v>APAGADO</v>
      </c>
      <c r="S285" s="72" t="str">
        <f>'RESUMEN TOTAL'!Y317</f>
        <v>APAGADO</v>
      </c>
      <c r="T285" s="72">
        <f>'RESUMEN TOTAL'!Z317</f>
        <v>0</v>
      </c>
      <c r="U285" s="72" t="str">
        <f>'RESUMEN TOTAL'!AA317</f>
        <v>APAGADO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06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07</v>
      </c>
      <c r="C287" t="str">
        <f>'RESUMEN TOTAL'!D319</f>
        <v>Necochea y Lorenzini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08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PRESIDENTE SARMIENTO</v>
      </c>
      <c r="B289" t="str">
        <f>'RESUMEN TOTAL'!B321</f>
        <v>SAR 09</v>
      </c>
      <c r="C289" t="str">
        <f>'RESUMEN TOTAL'!D321</f>
        <v>Necochea y Montes de Oca</v>
      </c>
      <c r="D289" s="30" t="str">
        <f>'RESUMEN TOTAL'!E321</f>
        <v>Fija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10</v>
      </c>
      <c r="C290" t="str">
        <f>'RESUMEN TOTAL'!D322</f>
        <v>SENZABELLO Y TINOGASTA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 t="str">
        <f>'RESUMEN TOTAL'!AA322</f>
        <v>APAGADO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MONTE CUDINE</v>
      </c>
      <c r="B291" t="str">
        <f>'RESUMEN TOTAL'!B323</f>
        <v>SAR 11</v>
      </c>
      <c r="C291" t="str">
        <f>'RESUMEN TOTAL'!D323</f>
        <v>SENSABELLO Y BRAILLE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 t="str">
        <f>'RESUMEN TOTAL'!AA323</f>
        <v>APAGADO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SEDU01</v>
      </c>
      <c r="C292" t="str">
        <f>'RESUMEN TOTAL'!D324</f>
        <v>San Martin y Sperandio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SAN EDUARDO</v>
      </c>
      <c r="B293" t="str">
        <f>'RESUMEN TOTAL'!B325</f>
        <v>SEDU02</v>
      </c>
      <c r="C293" t="str">
        <f>'RESUMEN TOTAL'!D325</f>
        <v>Curva de Berraymundo</v>
      </c>
      <c r="D293" s="30" t="str">
        <f>'RESUMEN TOTAL'!E325</f>
        <v>Domo</v>
      </c>
      <c r="E293" s="30" t="str">
        <f>'RESUMEN TOTAL'!F325</f>
        <v>Fibra Optica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VILLA CIRIO</v>
      </c>
      <c r="B294" t="str">
        <f>'RESUMEN TOTAL'!B326</f>
        <v>SEDU03</v>
      </c>
      <c r="C294" t="str">
        <f>'RESUMEN TOTAL'!D326</f>
        <v>Av. San Martin y Las Americas</v>
      </c>
      <c r="D294" s="30" t="str">
        <f>'RESUMEN TOTAL'!E326</f>
        <v>Domo</v>
      </c>
      <c r="E294" s="30" t="str">
        <f>'RESUMEN TOTAL'!F326</f>
        <v>GPON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SEMI01</v>
      </c>
      <c r="C295" t="str">
        <f>'RESUMEN TOTAL'!D327</f>
        <v>San Martin y Av. del Trabajo</v>
      </c>
      <c r="D295" s="30" t="str">
        <f>'RESUMEN TOTAL'!E327</f>
        <v>Domo</v>
      </c>
      <c r="E295" s="30" t="str">
        <f>'RESUMEN TOTAL'!F327</f>
        <v>Fibra Optica</v>
      </c>
      <c r="F295" s="72">
        <f>'RESUMEN TOTAL'!L327</f>
        <v>0</v>
      </c>
      <c r="G295" s="72">
        <f>'RESUMEN TOTAL'!M327</f>
        <v>0</v>
      </c>
      <c r="H295" s="72">
        <f>'RESUMEN TOTAL'!N327</f>
        <v>0</v>
      </c>
      <c r="I295" s="72">
        <f>'RESUMEN TOTAL'!O327</f>
        <v>0</v>
      </c>
      <c r="J295" s="72">
        <f>'RESUMEN TOTAL'!P327</f>
        <v>0</v>
      </c>
      <c r="K295" s="72">
        <f>'RESUMEN TOTAL'!Q327</f>
        <v>0</v>
      </c>
      <c r="L295" s="72">
        <f>'RESUMEN TOTAL'!R327</f>
        <v>0</v>
      </c>
      <c r="M295" s="72">
        <f>'RESUMEN TOTAL'!S327</f>
        <v>0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 02</v>
      </c>
      <c r="C296" t="str">
        <f>'RESUMEN TOTAL'!D328</f>
        <v>Cno. Gral. Belgrano y Francia</v>
      </c>
      <c r="D296" s="30" t="str">
        <f>'RESUMEN TOTAL'!E328</f>
        <v>Domo</v>
      </c>
      <c r="E296" s="30" t="str">
        <f>'RESUMEN TOTAL'!F328</f>
        <v>Fibra Optica</v>
      </c>
      <c r="F296" s="72" t="str">
        <f>'RESUMEN TOTAL'!L328</f>
        <v>APAGADO</v>
      </c>
      <c r="G296" s="72" t="str">
        <f>'RESUMEN TOTAL'!M328</f>
        <v>APAGADO</v>
      </c>
      <c r="H296" s="72" t="str">
        <f>'RESUMEN TOTAL'!N328</f>
        <v>APAGADO</v>
      </c>
      <c r="I296" s="72" t="str">
        <f>'RESUMEN TOTAL'!O328</f>
        <v>APAGADO</v>
      </c>
      <c r="J296" s="72" t="str">
        <f>'RESUMEN TOTAL'!P328</f>
        <v>APAGADO</v>
      </c>
      <c r="K296" s="72" t="str">
        <f>'RESUMEN TOTAL'!Q328</f>
        <v>APAGADO</v>
      </c>
      <c r="L296" s="72" t="str">
        <f>'RESUMEN TOTAL'!R328</f>
        <v>APAGADO</v>
      </c>
      <c r="M296" s="72" t="str">
        <f>'RESUMEN TOTAL'!S328</f>
        <v>APAGADO</v>
      </c>
      <c r="N296" s="72" t="str">
        <f>'RESUMEN TOTAL'!T328</f>
        <v>APAGADO</v>
      </c>
      <c r="O296" s="72" t="str">
        <f>'RESUMEN TOTAL'!U328</f>
        <v>APAGADO</v>
      </c>
      <c r="P296" s="72" t="str">
        <f>'RESUMEN TOTAL'!V328</f>
        <v>APAGADO</v>
      </c>
      <c r="Q296" s="72" t="str">
        <f>'RESUMEN TOTAL'!W328</f>
        <v>APAGADO</v>
      </c>
      <c r="R296" s="72" t="str">
        <f>'RESUMEN TOTAL'!X328</f>
        <v>APAGADO</v>
      </c>
      <c r="S296" s="72" t="str">
        <f>'RESUMEN TOTAL'!Y328</f>
        <v>APAGADO</v>
      </c>
      <c r="T296" s="72" t="str">
        <f>'RESUMEN TOTAL'!Z328</f>
        <v>APAGADO</v>
      </c>
      <c r="U296" s="72" t="str">
        <f>'RESUMEN TOTAL'!AA328</f>
        <v>APAGADO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SEMI03 (fija 1)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>SEMI04 (fija 2)</v>
      </c>
      <c r="C298" t="str">
        <f>'RESUMEN TOTAL'!D330</f>
        <v>GORRITI E/ GALARZA Y LOPE DE VEGA</v>
      </c>
      <c r="D298" s="30" t="str">
        <f>'RESUMEN TOTAL'!E330</f>
        <v>Fija</v>
      </c>
      <c r="E298" s="30" t="str">
        <f>'RESUMEN TOTAL'!F330</f>
        <v>Fibra Optica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 xml:space="preserve">SEMI05 </v>
      </c>
      <c r="C299" t="str">
        <f>'RESUMEN TOTAL'!D331</f>
        <v xml:space="preserve">Av Del Trabajo y Carlos Gardel </v>
      </c>
      <c r="D299" s="30" t="str">
        <f>'RESUMEN TOTAL'!E331</f>
        <v>DOMO</v>
      </c>
      <c r="E299" s="30" t="str">
        <f>'RESUMEN TOTAL'!F331</f>
        <v>PTO A FO</v>
      </c>
      <c r="F299" s="72">
        <f>'RESUMEN TOTAL'!L331</f>
        <v>0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SAN EMILIO</v>
      </c>
      <c r="B300" t="str">
        <f>'RESUMEN TOTAL'!B332</f>
        <v>SMAT01</v>
      </c>
      <c r="C300" t="str">
        <f>'RESUMEN TOTAL'!D332</f>
        <v xml:space="preserve">AV BOSQUES Y CANTU </v>
      </c>
      <c r="D300" s="30" t="str">
        <f>'RESUMEN TOTAL'!E332</f>
        <v>DOMO</v>
      </c>
      <c r="E300" s="30" t="str">
        <f>'RESUMEN TOTAL'!F332</f>
        <v>GPON</v>
      </c>
      <c r="F300" s="72" t="str">
        <f>'RESUMEN TOTAL'!L332</f>
        <v>APAGADO</v>
      </c>
      <c r="G300" s="72">
        <f>'RESUMEN TOTAL'!M332</f>
        <v>0</v>
      </c>
      <c r="H300" s="72">
        <f>'RESUMEN TOTAL'!N332</f>
        <v>0</v>
      </c>
      <c r="I300" s="72">
        <f>'RESUMEN TOTAL'!O332</f>
        <v>0</v>
      </c>
      <c r="J300" s="72">
        <f>'RESUMEN TOTAL'!P332</f>
        <v>0</v>
      </c>
      <c r="K300" s="72">
        <f>'RESUMEN TOTAL'!Q332</f>
        <v>0</v>
      </c>
      <c r="L300" s="72">
        <f>'RESUMEN TOTAL'!R332</f>
        <v>0</v>
      </c>
      <c r="M300" s="72">
        <f>'RESUMEN TOTAL'!S332</f>
        <v>0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LA SIRENA</v>
      </c>
      <c r="B301" t="str">
        <f>'RESUMEN TOTAL'!B333</f>
        <v>SIR01</v>
      </c>
      <c r="C301" t="str">
        <f>'RESUMEN TOTAL'!D333</f>
        <v>Moran y Calle 14</v>
      </c>
      <c r="D301" s="30" t="str">
        <f>'RESUMEN TOTAL'!E333</f>
        <v>DOMO</v>
      </c>
      <c r="E301" s="30" t="str">
        <f>'RESUMEN TOTAL'!F333</f>
        <v>Radio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 t="str">
        <f>'RESUMEN TOTAL'!X333</f>
        <v>APAGADO</v>
      </c>
      <c r="S301" s="72" t="str">
        <f>'RESUMEN TOTAL'!Y333</f>
        <v>APAGADO</v>
      </c>
      <c r="T301" s="72" t="str">
        <f>'RESUMEN TOTAL'!Z333</f>
        <v>APAGADO</v>
      </c>
      <c r="U301" s="72" t="str">
        <f>'RESUMEN TOTAL'!AA333</f>
        <v>APAGADO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02</v>
      </c>
      <c r="C302" t="str">
        <f>'RESUMEN TOTAL'!D334</f>
        <v>Victorino de la Plaza y Argentina</v>
      </c>
      <c r="D302" s="30" t="str">
        <f>'RESUMEN TOTAL'!E334</f>
        <v>Domo</v>
      </c>
      <c r="E302" s="30" t="str">
        <f>'RESUMEN TOTAL'!F334</f>
        <v>-</v>
      </c>
      <c r="F302" s="72" t="str">
        <f>'RESUMEN TOTAL'!L334</f>
        <v>APAGADO</v>
      </c>
      <c r="G302" s="72" t="str">
        <f>'RESUMEN TOTAL'!M334</f>
        <v>APAGADO</v>
      </c>
      <c r="H302" s="72" t="str">
        <f>'RESUMEN TOTAL'!N334</f>
        <v>APAGADO</v>
      </c>
      <c r="I302" s="72" t="str">
        <f>'RESUMEN TOTAL'!O334</f>
        <v>APAGADO</v>
      </c>
      <c r="J302" s="72" t="str">
        <f>'RESUMEN TOTAL'!P334</f>
        <v>APAGADO</v>
      </c>
      <c r="K302" s="72" t="str">
        <f>'RESUMEN TOTAL'!Q334</f>
        <v>APAGADO</v>
      </c>
      <c r="L302" s="72" t="str">
        <f>'RESUMEN TOTAL'!R334</f>
        <v>APAGADO</v>
      </c>
      <c r="M302" s="72" t="str">
        <f>'RESUMEN TOTAL'!S334</f>
        <v>APAGADO</v>
      </c>
      <c r="N302" s="72" t="str">
        <f>'RESUMEN TOTAL'!T334</f>
        <v>APAGADO</v>
      </c>
      <c r="O302" s="72" t="str">
        <f>'RESUMEN TOTAL'!U334</f>
        <v>APAGADO</v>
      </c>
      <c r="P302" s="72" t="str">
        <f>'RESUMEN TOTAL'!V334</f>
        <v>APAGADO</v>
      </c>
      <c r="Q302" s="72" t="str">
        <f>'RESUMEN TOTAL'!W334</f>
        <v>APAGADO</v>
      </c>
      <c r="R302" s="72" t="str">
        <f>'RESUMEN TOTAL'!X334</f>
        <v>APAGADO</v>
      </c>
      <c r="S302" s="72" t="str">
        <f>'RESUMEN TOTAL'!Y334</f>
        <v>APAGADO</v>
      </c>
      <c r="T302" s="72" t="str">
        <f>'RESUMEN TOTAL'!Z334</f>
        <v>APAGADO</v>
      </c>
      <c r="U302" s="72" t="str">
        <f>'RESUMEN TOTAL'!AA334</f>
        <v>APAGADO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SAN EDUARDO</v>
      </c>
      <c r="B303" t="str">
        <f>'RESUMEN TOTAL'!B335</f>
        <v>SIR 03</v>
      </c>
      <c r="C303" t="str">
        <f>'RESUMEN TOTAL'!D335</f>
        <v>MONTES Y LONARDI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>
        <f>'RESUMEN TOTAL'!M335</f>
        <v>0</v>
      </c>
      <c r="H303" s="72">
        <f>'RESUMEN TOTAL'!N335</f>
        <v>0</v>
      </c>
      <c r="I303" s="72">
        <f>'RESUMEN TOTAL'!O335</f>
        <v>0</v>
      </c>
      <c r="J303" s="72" t="str">
        <f>'RESUMEN TOTAL'!P335</f>
        <v>APAGADO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04</v>
      </c>
      <c r="C304" t="str">
        <f>'RESUMEN TOTAL'!D336</f>
        <v>AV. MONTEVERDE Y MORAN</v>
      </c>
      <c r="D304" s="30" t="str">
        <f>'RESUMEN TOTAL'!E336</f>
        <v>Domo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 t="str">
        <f>'RESUMEN TOTAL'!AA336</f>
        <v>APAGADO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05 (FIJA 01)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 t="str">
        <f>'RESUMEN TOTAL'!AA337</f>
        <v>APAGADO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LA SIRENA</v>
      </c>
      <c r="B306" t="str">
        <f>'RESUMEN TOTAL'!B338</f>
        <v>SIR 06 (FIJA 02)</v>
      </c>
      <c r="C306" t="str">
        <f>'RESUMEN TOTAL'!D338</f>
        <v>AV. MONTEVERDE Y MORAN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 t="str">
        <f>'RESUMEN TOTAL'!M338</f>
        <v>APAGADO</v>
      </c>
      <c r="H306" s="72" t="str">
        <f>'RESUMEN TOTAL'!N338</f>
        <v>APAGADO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 t="str">
        <f>'RESUMEN TOTAL'!AA338</f>
        <v>APAGADO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SIR07 (fija 1)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VILLA AURORA</v>
      </c>
      <c r="B308" t="str">
        <f>'RESUMEN TOTAL'!B340</f>
        <v>SIR08 (fija 2)</v>
      </c>
      <c r="C308" t="str">
        <f>'RESUMEN TOTAL'!D340</f>
        <v>MONTEVERDE Y URIBURU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>
        <f>'RESUMEN TOTAL'!M340</f>
        <v>0</v>
      </c>
      <c r="H308" s="72">
        <f>'RESUMEN TOTAL'!N340</f>
        <v>0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SIR09 (fija 1)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 t="str">
        <f>'RESUMEN TOTAL'!AA341</f>
        <v>APAGADO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SIR10 (fija 2)</v>
      </c>
      <c r="C310" t="str">
        <f>'RESUMEN TOTAL'!D342</f>
        <v>GUIDO SPANO Y MORAN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 t="str">
        <f>'RESUMEN TOTAL'!AA342</f>
        <v>APAGADO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SIR11 (fija 1)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 t="str">
        <f>'RESUMEN TOTAL'!AA343</f>
        <v>APAGADO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LA SIRENA</v>
      </c>
      <c r="B312" t="str">
        <f>'RESUMEN TOTAL'!B344</f>
        <v>SIR12 (fija 2)</v>
      </c>
      <c r="C312" t="str">
        <f>'RESUMEN TOTAL'!D344</f>
        <v>LARREA Y GUARDIA NACIONAL</v>
      </c>
      <c r="D312" s="30" t="str">
        <f>'RESUMEN TOTAL'!E344</f>
        <v>Fija</v>
      </c>
      <c r="E312" s="30" t="str">
        <f>'RESUMEN TOTAL'!F344</f>
        <v>Fibra Optica</v>
      </c>
      <c r="F312" s="72">
        <f>'RESUMEN TOTAL'!L344</f>
        <v>0</v>
      </c>
      <c r="G312" s="72" t="str">
        <f>'RESUMEN TOTAL'!M344</f>
        <v>APAGADO</v>
      </c>
      <c r="H312" s="72" t="str">
        <f>'RESUMEN TOTAL'!N344</f>
        <v>APAGADO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 t="str">
        <f>'RESUMEN TOTAL'!AA344</f>
        <v>APAGADO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VILLA AURORA</v>
      </c>
      <c r="B313" t="str">
        <f>'RESUMEN TOTAL'!B345</f>
        <v>SIR 13</v>
      </c>
      <c r="C313" t="str">
        <f>'RESUMEN TOTAL'!D345</f>
        <v>AV MONTEVERDE Y URIBURU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>
        <f>'RESUMEN TOTAL'!M345</f>
        <v>0</v>
      </c>
      <c r="H313" s="72">
        <f>'RESUMEN TOTAL'!N345</f>
        <v>0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 t="str">
        <f>'RESUMEN TOTAL'!AA345</f>
        <v>APAGADO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14</v>
      </c>
      <c r="C314" t="str">
        <f>'RESUMEN TOTAL'!D346</f>
        <v>MANUEL IGLESIAS Y PEDRAZA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>
        <f>'RESUMEN TOTAL'!P346</f>
        <v>0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 t="str">
        <f>'RESUMEN TOTAL'!AA346</f>
        <v>APAGADO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TOTAL'!A347</f>
        <v>LA SIRENA</v>
      </c>
      <c r="B315" t="str">
        <f>'RESUMEN TOTAL'!B347</f>
        <v>SIR 15</v>
      </c>
      <c r="C315" t="str">
        <f>'RESUMEN TOTAL'!D347</f>
        <v>Monteverde y Azara</v>
      </c>
      <c r="D315" s="30" t="str">
        <f>'RESUMEN TOTAL'!E347</f>
        <v>Domo</v>
      </c>
      <c r="E315" s="30" t="str">
        <f>'RESUMEN TOTAL'!F347</f>
        <v>Fibra Optica</v>
      </c>
      <c r="F315" s="72">
        <f>'RESUMEN TOTAL'!L347</f>
        <v>0</v>
      </c>
      <c r="G315" s="72" t="str">
        <f>'RESUMEN TOTAL'!M347</f>
        <v>APAGADO</v>
      </c>
      <c r="H315" s="72" t="str">
        <f>'RESUMEN TOTAL'!N347</f>
        <v>APAGADO</v>
      </c>
      <c r="I315" s="72">
        <f>'RESUMEN TOTAL'!O347</f>
        <v>0</v>
      </c>
      <c r="J315" s="72" t="str">
        <f>'RESUMEN TOTAL'!P347</f>
        <v>APAGADO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TOTAL'!A351</f>
        <v>SAN JORGE</v>
      </c>
      <c r="B316" t="str">
        <f>'RESUMEN TOTAL'!B351</f>
        <v>SJO 03</v>
      </c>
      <c r="C316" t="str">
        <f>'RESUMEN TOTAL'!D351</f>
        <v>517 Y 580</v>
      </c>
      <c r="D316" s="30" t="str">
        <f>'RESUMEN TOTAL'!E351</f>
        <v>DOMO</v>
      </c>
      <c r="E316" s="30" t="str">
        <f>'RESUMEN TOTAL'!F351</f>
        <v>Radio</v>
      </c>
      <c r="F316" s="72">
        <f>'RESUMEN TOTAL'!L351</f>
        <v>0</v>
      </c>
      <c r="G316" s="72">
        <f>'RESUMEN TOTAL'!M351</f>
        <v>0</v>
      </c>
      <c r="H316" s="72">
        <f>'RESUMEN TOTAL'!N351</f>
        <v>0</v>
      </c>
      <c r="I316" s="72" t="str">
        <f>'RESUMEN TOTAL'!O351</f>
        <v>APAGADO</v>
      </c>
      <c r="J316" s="72">
        <f>'RESUMEN TOTAL'!P351</f>
        <v>0</v>
      </c>
      <c r="K316" s="72" t="str">
        <f>'RESUMEN TOTAL'!Q351</f>
        <v>APAGADO</v>
      </c>
      <c r="L316" s="72" t="str">
        <f>'RESUMEN TOTAL'!R351</f>
        <v>APAGADO</v>
      </c>
      <c r="M316" s="72" t="str">
        <f>'RESUMEN TOTAL'!S351</f>
        <v>APAGADO</v>
      </c>
      <c r="N316" s="72" t="str">
        <f>'RESUMEN TOTAL'!T351</f>
        <v>APAGADO</v>
      </c>
      <c r="O316" s="72" t="str">
        <f>'RESUMEN TOTAL'!U351</f>
        <v>APAGADO</v>
      </c>
      <c r="P316" s="72" t="str">
        <f>'RESUMEN TOTAL'!V351</f>
        <v>APAGADO</v>
      </c>
      <c r="Q316" s="72" t="str">
        <f>'RESUMEN TOTAL'!W351</f>
        <v>APAGADO</v>
      </c>
      <c r="R316" s="72" t="str">
        <f>'RESUMEN TOTAL'!X351</f>
        <v>APAGADO</v>
      </c>
      <c r="S316" s="72" t="str">
        <f>'RESUMEN TOTAL'!Y351</f>
        <v>APAGADO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04</v>
      </c>
      <c r="C317" t="str">
        <f>'RESUMEN TOTAL'!D352</f>
        <v>552 Y 519</v>
      </c>
      <c r="D317" s="30" t="str">
        <f>'RESUMEN TOTAL'!E352</f>
        <v>DOMO</v>
      </c>
      <c r="E317" s="30" t="str">
        <f>'RESUMEN TOTAL'!F352</f>
        <v>GPON</v>
      </c>
      <c r="F317" s="72">
        <f>'RESUMEN TOTAL'!L352</f>
        <v>0</v>
      </c>
      <c r="G317" s="72">
        <f>'RESUMEN TOTAL'!M352</f>
        <v>0</v>
      </c>
      <c r="H317" s="72">
        <f>'RESUMEN TOTAL'!O352</f>
        <v>0</v>
      </c>
      <c r="I317" s="72" t="e">
        <f>'RESUMEN TOTAL'!#REF!</f>
        <v>#REF!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09 (FIJA 1)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 10 (FIJA 2)</v>
      </c>
      <c r="C319" t="str">
        <f>'RESUMEN TOTAL'!D354</f>
        <v>515 Y 566</v>
      </c>
      <c r="D319" s="30" t="str">
        <f>'RESUMEN TOTAL'!E354</f>
        <v>Fija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SJO01</v>
      </c>
      <c r="C320" t="str">
        <f>'RESUMEN TOTAL'!D355</f>
        <v>Calle 554 y 527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TOTAL'!N355</f>
        <v>0</v>
      </c>
      <c r="I320" s="72">
        <f>'RESUMEN TOTAL'!O355</f>
        <v>0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SJO02</v>
      </c>
      <c r="C321" t="str">
        <f>'RESUMEN TOTAL'!D356</f>
        <v>Calle 554 y 511</v>
      </c>
      <c r="D321" s="30" t="str">
        <f>'RESUMEN TOTAL'!E356</f>
        <v>Domo</v>
      </c>
      <c r="E321" s="30" t="str">
        <f>'RESUMEN TOTAL'!F356</f>
        <v>Radio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SJO05 (fija 1)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 t="str">
        <f>'RESUMEN TOTAL'!X357</f>
        <v>APAGADO</v>
      </c>
      <c r="S322" s="72" t="str">
        <f>'RESUMEN TOTAL'!Y357</f>
        <v>APAGADO</v>
      </c>
      <c r="T322" s="72" t="str">
        <f>'RESUMEN TOTAL'!Z357</f>
        <v>APAGADO</v>
      </c>
      <c r="U322" s="72" t="str">
        <f>'RESUMEN TOTAL'!AA357</f>
        <v>APAGADO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SJO06 (fija 2)</v>
      </c>
      <c r="C323" t="str">
        <f>'RESUMEN TOTAL'!D358</f>
        <v>511 Y 560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 t="str">
        <f>'RESUMEN TOTAL'!X358</f>
        <v>APAGADO</v>
      </c>
      <c r="S323" s="72" t="str">
        <f>'RESUMEN TOTAL'!Y358</f>
        <v>APAGADO</v>
      </c>
      <c r="T323" s="72" t="str">
        <f>'RESUMEN TOTAL'!Z358</f>
        <v>APAGADO</v>
      </c>
      <c r="U323" s="72" t="str">
        <f>'RESUMEN TOTAL'!AA358</f>
        <v>APAGADO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SJO07 (fija 1)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 JORGE</v>
      </c>
      <c r="B325" t="str">
        <f>'RESUMEN TOTAL'!B360</f>
        <v>SJO08 (fija 2)</v>
      </c>
      <c r="C325" t="str">
        <f>'RESUMEN TOTAL'!D360</f>
        <v>503 Y 556</v>
      </c>
      <c r="D325" s="30" t="str">
        <f>'RESUMEN TOTAL'!E360</f>
        <v>Fija</v>
      </c>
      <c r="E325" s="30" t="str">
        <f>'RESUMEN TOTAL'!F360</f>
        <v>Fibra Optica</v>
      </c>
      <c r="F325" s="72">
        <f>'RESUMEN TOTAL'!L360</f>
        <v>0</v>
      </c>
      <c r="G325" s="72">
        <f>'RESUMEN TOTAL'!M360</f>
        <v>0</v>
      </c>
      <c r="H325" s="72">
        <f>'RESUMEN TOTAL'!O360</f>
        <v>0</v>
      </c>
      <c r="I325" s="72" t="e">
        <f>'RESUMEN TOTAL'!#REF!</f>
        <v>#REF!</v>
      </c>
      <c r="J325" s="72">
        <f>'RESUMEN TOTAL'!P360</f>
        <v>0</v>
      </c>
      <c r="K325" s="72">
        <f>'RESUMEN TOTAL'!Q360</f>
        <v>0</v>
      </c>
      <c r="L325" s="72">
        <f>'RESUMEN TOTAL'!R360</f>
        <v>0</v>
      </c>
      <c r="M325" s="72">
        <f>'RESUMEN TOTAL'!S360</f>
        <v>0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TOTAL'!A361</f>
        <v>SANTO TOMAS</v>
      </c>
      <c r="B326" t="str">
        <f>'RESUMEN TOTAL'!B361</f>
        <v>SJU01</v>
      </c>
      <c r="C326" t="str">
        <f>'RESUMEN TOTAL'!D361</f>
        <v>Ruta 36 y Pte.Peron</v>
      </c>
      <c r="D326" s="30" t="str">
        <f>'RESUMEN TOTAL'!E361</f>
        <v>Domo</v>
      </c>
      <c r="E326" s="30" t="str">
        <f>'RESUMEN TOTAL'!F361</f>
        <v>Radio</v>
      </c>
      <c r="F326" s="72" t="str">
        <f>'RESUMEN TOTAL'!L361</f>
        <v>APAGADO</v>
      </c>
      <c r="G326" s="72" t="str">
        <f>'RESUMEN TOTAL'!M361</f>
        <v>APAGADO</v>
      </c>
      <c r="H326" s="72" t="str">
        <f>'RESUMEN TOTAL'!N361</f>
        <v>APAGADO</v>
      </c>
      <c r="I326" s="72" t="str">
        <f>'RESUMEN TOTAL'!O361</f>
        <v>APAGADO</v>
      </c>
      <c r="J326" s="72">
        <f>'RESUMEN TOTAL'!P361</f>
        <v>0</v>
      </c>
      <c r="K326" s="72" t="str">
        <f>'RESUMEN TOTAL'!Q361</f>
        <v>APAGADO</v>
      </c>
      <c r="L326" s="72" t="str">
        <f>'RESUMEN TOTAL'!R361</f>
        <v>APAGADO</v>
      </c>
      <c r="M326" s="72" t="str">
        <f>'RESUMEN TOTAL'!S361</f>
        <v>APAGADO</v>
      </c>
      <c r="N326" s="72" t="str">
        <f>'RESUMEN TOTAL'!T361</f>
        <v>APAGADO</v>
      </c>
      <c r="O326" s="72" t="str">
        <f>'RESUMEN TOTAL'!U361</f>
        <v>APAGADO</v>
      </c>
      <c r="P326" s="72" t="str">
        <f>'RESUMEN TOTAL'!V361</f>
        <v>APAGADO</v>
      </c>
      <c r="Q326" s="72" t="str">
        <f>'RESUMEN TOTAL'!W361</f>
        <v>APAGADO</v>
      </c>
      <c r="R326" s="72" t="str">
        <f>'RESUMEN TOTAL'!X361</f>
        <v>APAGADO</v>
      </c>
      <c r="S326" s="72" t="str">
        <f>'RESUMEN TOTAL'!Y361</f>
        <v>APAGADO</v>
      </c>
      <c r="T326" s="72" t="str">
        <f>'RESUMEN TOTAL'!Z361</f>
        <v>APAGADO</v>
      </c>
      <c r="U326" s="72" t="str">
        <f>'RESUMEN TOTAL'!AA361</f>
        <v>APAGADO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SMA01</v>
      </c>
      <c r="C327" t="str">
        <f>'RESUMEN TOTAL'!D364</f>
        <v>Hudson y Montevideo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 t="str">
        <f>'RESUMEN TOTAL'!S364</f>
        <v>APAGADO</v>
      </c>
      <c r="N327" s="72" t="str">
        <f>'RESUMEN TOTAL'!T364</f>
        <v>APAGADO</v>
      </c>
      <c r="O327" s="72" t="str">
        <f>'RESUMEN TOTAL'!U364</f>
        <v>APAGADO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SMA02</v>
      </c>
      <c r="C328" t="str">
        <f>'RESUMEN TOTAL'!D365</f>
        <v>Hudson y San Nicolas</v>
      </c>
      <c r="D328" s="30" t="str">
        <f>'RESUMEN TOTAL'!E365</f>
        <v>Domo</v>
      </c>
      <c r="E328" s="30" t="str">
        <f>'RESUMEN TOTAL'!F365</f>
        <v>GPON</v>
      </c>
      <c r="F328" s="72">
        <f>'RESUMEN TOTAL'!L365</f>
        <v>0</v>
      </c>
      <c r="G328" s="72">
        <f>'RESUMEN TOTAL'!M365</f>
        <v>0</v>
      </c>
      <c r="H328" s="72">
        <f>'RESUMEN TOTAL'!N365</f>
        <v>0</v>
      </c>
      <c r="I328" s="72">
        <f>'RESUMEN TOTAL'!O365</f>
        <v>0</v>
      </c>
      <c r="J328" s="72">
        <f>'RESUMEN TOTAL'!P365</f>
        <v>0</v>
      </c>
      <c r="K328" s="72">
        <f>'RESUMEN TOTAL'!Q365</f>
        <v>0</v>
      </c>
      <c r="L328" s="72">
        <f>'RESUMEN TOTAL'!R365</f>
        <v>0</v>
      </c>
      <c r="M328" s="72">
        <f>'RESUMEN TOTAL'!S365</f>
        <v>0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03</v>
      </c>
      <c r="C329" t="str">
        <f>'RESUMEN TOTAL'!D366</f>
        <v>ROSARIO Y SAN NICOLAS</v>
      </c>
      <c r="D329" s="30" t="str">
        <f>'RESUMEN TOTAL'!E366</f>
        <v>Domo</v>
      </c>
      <c r="E329" s="30" t="str">
        <f>'RESUMEN TOTAL'!F366</f>
        <v>Radio</v>
      </c>
      <c r="F329" s="72" t="str">
        <f>'RESUMEN TOTAL'!L366</f>
        <v>APAGADO</v>
      </c>
      <c r="G329" s="72" t="str">
        <f>'RESUMEN TOTAL'!M366</f>
        <v>APAGADO</v>
      </c>
      <c r="H329" s="72" t="str">
        <f>'RESUMEN TOTAL'!N366</f>
        <v>APAGADO</v>
      </c>
      <c r="I329" s="72" t="str">
        <f>'RESUMEN TOTAL'!O366</f>
        <v>APAGADO</v>
      </c>
      <c r="J329" s="72" t="str">
        <f>'RESUMEN TOTAL'!P366</f>
        <v>APAGADO</v>
      </c>
      <c r="K329" s="72" t="str">
        <f>'RESUMEN TOTAL'!Q366</f>
        <v>APAGADO</v>
      </c>
      <c r="L329" s="72" t="str">
        <f>'RESUMEN TOTAL'!R366</f>
        <v>APAGADO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 t="str">
        <f>'RESUMEN TOTAL'!V366</f>
        <v>APAGADO</v>
      </c>
      <c r="Q329" s="72" t="str">
        <f>'RESUMEN TOTAL'!W366</f>
        <v>APAGADO</v>
      </c>
      <c r="R329" s="72" t="str">
        <f>'RESUMEN TOTAL'!X366</f>
        <v>APAGADO</v>
      </c>
      <c r="S329" s="72" t="str">
        <f>'RESUMEN TOTAL'!Y366</f>
        <v>APAGADO</v>
      </c>
      <c r="T329" s="72" t="str">
        <f>'RESUMEN TOTAL'!Z366</f>
        <v>APAGADO</v>
      </c>
      <c r="U329" s="72" t="str">
        <f>'RESUMEN TOTAL'!AA366</f>
        <v>APAGADO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>
        <f>'RESUMEN TOTAL'!AO366</f>
        <v>0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 04</v>
      </c>
      <c r="C330" t="str">
        <f>'RESUMEN TOTAL'!D367</f>
        <v>HUDSON Y MONTEVIDEO</v>
      </c>
      <c r="D330" s="30" t="str">
        <f>'RESUMEN TOTAL'!E367</f>
        <v>FIJA</v>
      </c>
      <c r="E330" s="30" t="str">
        <f>'RESUMEN TOTAL'!F367</f>
        <v>Fibra Optica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 t="str">
        <f>'RESUMEN TOTAL'!S367</f>
        <v>APAGADO</v>
      </c>
      <c r="N330" s="72" t="str">
        <f>'RESUMEN TOTAL'!T367</f>
        <v>APAGADO</v>
      </c>
      <c r="O330" s="72" t="str">
        <f>'RESUMEN TOTAL'!U367</f>
        <v>APAGADO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 t="str">
        <f>'RESUMEN TOTAL'!AO367</f>
        <v>}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SMA05</v>
      </c>
      <c r="C331" t="str">
        <f>'RESUMEN TOTAL'!D368</f>
        <v>MONTEVIDEO Y VILLEGAS</v>
      </c>
      <c r="D331" s="30" t="str">
        <f>'RESUMEN TOTAL'!E368</f>
        <v>DOMO</v>
      </c>
      <c r="E331" s="30" t="str">
        <f>'RESUMEN TOTAL'!F368</f>
        <v>PTO A FO</v>
      </c>
      <c r="F331" s="72">
        <f>'RESUMEN TOTAL'!L368</f>
        <v>0</v>
      </c>
      <c r="G331" s="72">
        <f>'RESUMEN TOTAL'!M368</f>
        <v>0</v>
      </c>
      <c r="H331" s="72">
        <f>'RESUMEN TOTAL'!N368</f>
        <v>0</v>
      </c>
      <c r="I331" s="72">
        <f>'RESUMEN TOTAL'!O368</f>
        <v>0</v>
      </c>
      <c r="J331" s="72">
        <f>'RESUMEN TOTAL'!P368</f>
        <v>0</v>
      </c>
      <c r="K331" s="72">
        <f>'RESUMEN TOTAL'!Q368</f>
        <v>0</v>
      </c>
      <c r="L331" s="72">
        <f>'RESUMEN TOTAL'!R368</f>
        <v>0</v>
      </c>
      <c r="M331" s="72">
        <f>'RESUMEN TOTAL'!S368</f>
        <v>0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06</v>
      </c>
      <c r="C332" t="str">
        <f>'RESUMEN TOTAL'!D369</f>
        <v>AV. HUDSON Y RIO IGUAZU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 t="str">
        <f>'RESUMEN TOTAL'!X369</f>
        <v>APAGADO</v>
      </c>
      <c r="S332" s="72" t="str">
        <f>'RESUMEN TOTAL'!Y369</f>
        <v>APAGADO</v>
      </c>
      <c r="T332" s="72" t="str">
        <f>'RESUMEN TOTAL'!Z369</f>
        <v>APAGADO</v>
      </c>
      <c r="U332" s="72" t="str">
        <f>'RESUMEN TOTAL'!AA369</f>
        <v>APAGADO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VILLA GENERAL SAN MARTIN</v>
      </c>
      <c r="B333" t="str">
        <f>'RESUMEN TOTAL'!B370</f>
        <v>SMA 07</v>
      </c>
      <c r="C333" t="str">
        <f>'RESUMEN TOTAL'!D370</f>
        <v>AV. HUDSON Y RIO TURBIO</v>
      </c>
      <c r="D333" s="30" t="str">
        <f>'RESUMEN TOTAL'!E370</f>
        <v>DOMO</v>
      </c>
      <c r="E333" s="30" t="str">
        <f>'RESUMEN TOTAL'!F370</f>
        <v>Fibra Optica</v>
      </c>
      <c r="F333" s="72" t="str">
        <f>'RESUMEN TOTAL'!L370</f>
        <v>APAGADO</v>
      </c>
      <c r="G333" s="72" t="str">
        <f>'RESUMEN TOTAL'!M370</f>
        <v>APAGADO</v>
      </c>
      <c r="H333" s="72" t="str">
        <f>'RESUMEN TOTAL'!N370</f>
        <v>APAGADO</v>
      </c>
      <c r="I333" s="72" t="str">
        <f>'RESUMEN TOTAL'!O370</f>
        <v>APAGADO</v>
      </c>
      <c r="J333" s="72" t="str">
        <f>'RESUMEN TOTAL'!P370</f>
        <v>APAGADO</v>
      </c>
      <c r="K333" s="72" t="str">
        <f>'RESUMEN TOTAL'!Q370</f>
        <v>APAGADO</v>
      </c>
      <c r="L333" s="72" t="str">
        <f>'RESUMEN TOTAL'!R370</f>
        <v>APAGADO</v>
      </c>
      <c r="M333" s="72" t="str">
        <f>'RESUMEN TOTAL'!S370</f>
        <v>APAGADO</v>
      </c>
      <c r="N333" s="72" t="str">
        <f>'RESUMEN TOTAL'!T370</f>
        <v>APAGADO</v>
      </c>
      <c r="O333" s="72" t="str">
        <f>'RESUMEN TOTAL'!U370</f>
        <v>APAGADO</v>
      </c>
      <c r="P333" s="72" t="str">
        <f>'RESUMEN TOTAL'!V370</f>
        <v>APAGADO</v>
      </c>
      <c r="Q333" s="72" t="str">
        <f>'RESUMEN TOTAL'!W370</f>
        <v>APAGADO</v>
      </c>
      <c r="R333" s="72" t="str">
        <f>'RESUMEN TOTAL'!X370</f>
        <v>APAGADO</v>
      </c>
      <c r="S333" s="72" t="str">
        <f>'RESUMEN TOTAL'!Y370</f>
        <v>APAGADO</v>
      </c>
      <c r="T333" s="72" t="str">
        <f>'RESUMEN TOTAL'!Z370</f>
        <v>APAGADO</v>
      </c>
      <c r="U333" s="72" t="str">
        <f>'RESUMEN TOTAL'!AA370</f>
        <v>APAGADO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08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MARTIN</v>
      </c>
      <c r="B335" t="str">
        <f>'RESUMEN TOTAL'!B372</f>
        <v>SMA 09</v>
      </c>
      <c r="C335" t="str">
        <f>'RESUMEN TOTAL'!D372</f>
        <v>12 De Octubre y H. Lagos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TOTAL'!O372</f>
        <v>0</v>
      </c>
      <c r="I335" s="72" t="e">
        <f>'RESUMEN TOTAL'!#REF!</f>
        <v>#REF!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SNI01 (fija 1)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SNI02 (fija 2)</v>
      </c>
      <c r="C337" t="str">
        <f>'RESUMEN TOTAL'!D374</f>
        <v>SARRATEA E/ EEUU DE A. Y AGRELO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03 (fija 1)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 NICOLAS</v>
      </c>
      <c r="B339" t="str">
        <f>'RESUMEN TOTAL'!B376</f>
        <v>SNI 04 (fija 2)</v>
      </c>
      <c r="C339" t="str">
        <f>'RESUMEN TOTAL'!D376</f>
        <v>SARRATEA Y LOS TREBOLES</v>
      </c>
      <c r="D339" s="30" t="str">
        <f>'RESUMEN TOTAL'!E376</f>
        <v>Fija</v>
      </c>
      <c r="E339" s="30" t="str">
        <f>'RESUMEN TOTAL'!F376</f>
        <v>Fibra Optica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SANTA ROSA</v>
      </c>
      <c r="B340" t="str">
        <f>'RESUMEN TOTAL'!B377</f>
        <v>SRO01</v>
      </c>
      <c r="C340" t="str">
        <f>'RESUMEN TOTAL'!D377</f>
        <v>Yugoslavia y MilÃ¡n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ZONA RURAL SANTA ROSA</v>
      </c>
      <c r="B341" t="str">
        <f>'RESUMEN TOTAL'!B378</f>
        <v>SRO02</v>
      </c>
      <c r="C341" t="str">
        <f>'RESUMEN TOTAL'!D378</f>
        <v>Bruselas y Calle 647</v>
      </c>
      <c r="D341" s="30" t="str">
        <f>'RESUMEN TOTAL'!E378</f>
        <v>Domo</v>
      </c>
      <c r="E341" s="30" t="str">
        <f>'RESUMEN TOTAL'!F378</f>
        <v>Radio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SRO03</v>
      </c>
      <c r="C342" t="str">
        <f>'RESUMEN TOTAL'!D379</f>
        <v>Eva Peron y Paysandu</v>
      </c>
      <c r="D342" s="30" t="str">
        <f>'RESUMEN TOTAL'!E379</f>
        <v>Domo</v>
      </c>
      <c r="E342" s="30" t="str">
        <f>'RESUMEN TOTAL'!F379</f>
        <v>GPON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 04</v>
      </c>
      <c r="C343" t="str">
        <f>'RESUMEN TOTAL'!D380</f>
        <v>Belgica y Andorra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SRO05</v>
      </c>
      <c r="C344" t="str">
        <f>'RESUMEN TOTAL'!D381</f>
        <v>CAFFERATA Y BONN</v>
      </c>
      <c r="D344" s="30" t="str">
        <f>'RESUMEN TOTAL'!E381</f>
        <v>DOMO</v>
      </c>
      <c r="E344" s="30" t="str">
        <f>'RESUMEN TOTAL'!F381</f>
        <v>Radio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SRO06</v>
      </c>
      <c r="C345" t="str">
        <f>'RESUMEN TOTAL'!D382</f>
        <v>Novak y Bonn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SRO07</v>
      </c>
      <c r="C346" t="str">
        <f>'RESUMEN TOTAL'!D383</f>
        <v>NOVAK Y BELGICA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 08</v>
      </c>
      <c r="C347" t="str">
        <f>'RESUMEN TOTAL'!D384</f>
        <v>NOVAK E/ DESSY Y BELGICA (POLIDEPORTIVO LA PATRIADA)</v>
      </c>
      <c r="D347" s="30" t="str">
        <f>'RESUMEN TOTAL'!E384</f>
        <v>Domo</v>
      </c>
      <c r="E347" s="30" t="str">
        <f>'RESUMEN TOTAL'!F384</f>
        <v>Fibra Optica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SRO09</v>
      </c>
      <c r="C348" t="str">
        <f>'RESUMEN TOTAL'!D385</f>
        <v>BUCAREST E/ ALEMANIA Y CAFFERATA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>
        <f>'RESUMEN TOTAL'!M385</f>
        <v>0</v>
      </c>
      <c r="H348" s="72">
        <f>'RESUMEN TOTAL'!N385</f>
        <v>0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 t="str">
        <f>'RESUMEN TOTAL'!U385</f>
        <v>APAGADO</v>
      </c>
      <c r="P348" s="72" t="str">
        <f>'RESUMEN TOTAL'!V385</f>
        <v>APAGADO</v>
      </c>
      <c r="Q348" s="72" t="str">
        <f>'RESUMEN TOTAL'!W385</f>
        <v>APAGADO</v>
      </c>
      <c r="R348" s="72" t="str">
        <f>'RESUMEN TOTAL'!X385</f>
        <v>APAGADO</v>
      </c>
      <c r="S348" s="72" t="str">
        <f>'RESUMEN TOTAL'!Y385</f>
        <v>APAGADO</v>
      </c>
      <c r="T348" s="72" t="str">
        <f>'RESUMEN TOTAL'!Z385</f>
        <v>APAGADO</v>
      </c>
      <c r="U348" s="72" t="str">
        <f>'RESUMEN TOTAL'!AA385</f>
        <v>APAGADO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SRO10</v>
      </c>
      <c r="C349" t="str">
        <f>'RESUMEN TOTAL'!D386</f>
        <v>DINAMARCA Y MILAN</v>
      </c>
      <c r="D349" s="30" t="str">
        <f>'RESUMEN TOTAL'!E386</f>
        <v>DOMO</v>
      </c>
      <c r="E349" s="30" t="str">
        <f>'RESUMEN TOTAL'!F386</f>
        <v>Radio</v>
      </c>
      <c r="F349" s="72">
        <f>'RESUMEN TOTAL'!L386</f>
        <v>0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 11</v>
      </c>
      <c r="C350" t="str">
        <f>'RESUMEN TOTAL'!D387</f>
        <v>MILAN Y MALLORCA</v>
      </c>
      <c r="D350" s="30" t="str">
        <f>'RESUMEN TOTAL'!E387</f>
        <v>DOMO</v>
      </c>
      <c r="E350" s="30" t="str">
        <f>'RESUMEN TOTAL'!F387</f>
        <v>Radio</v>
      </c>
      <c r="F350" s="72" t="str">
        <f>'RESUMEN TOTAL'!L387</f>
        <v>APAGADO</v>
      </c>
      <c r="G350" s="72" t="str">
        <f>'RESUMEN TOTAL'!M387</f>
        <v>APAGADO</v>
      </c>
      <c r="H350" s="72" t="str">
        <f>'RESUMEN TOTAL'!N387</f>
        <v>APAGADO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SANTA ROSA</v>
      </c>
      <c r="B351" t="str">
        <f>'RESUMEN TOTAL'!B388</f>
        <v>SRO12</v>
      </c>
      <c r="C351" t="str">
        <f>'RESUMEN TOTAL'!D388</f>
        <v>YUGOSLAVIA Y PAYSANDU</v>
      </c>
      <c r="D351" s="30" t="str">
        <f>'RESUMEN TOTAL'!E388</f>
        <v>DOMO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13 (fija 1)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>
        <f>'RESUMEN TOTAL'!O389</f>
        <v>0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ZONA RURAL SANTA ROSA</v>
      </c>
      <c r="B353" t="str">
        <f>'RESUMEN TOTAL'!B390</f>
        <v>SRO 14 (fija 2)</v>
      </c>
      <c r="C353" t="str">
        <f>'RESUMEN TOTAL'!D390</f>
        <v>BRUSELAS E/ GRECIA Y CHECOSLOVAQUIA</v>
      </c>
      <c r="D353" s="30" t="str">
        <f>'RESUMEN TOTAL'!E390</f>
        <v>Fija</v>
      </c>
      <c r="E353" s="30" t="str">
        <f>'RESUMEN TOTAL'!F390</f>
        <v>Radio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 t="str">
        <f>'RESUMEN TOTAL'!O390</f>
        <v>APAGADO</v>
      </c>
      <c r="J353" s="72">
        <f>'RESUMEN TOTAL'!P390</f>
        <v>0</v>
      </c>
      <c r="K353" s="72">
        <f>'RESUMEN TOTAL'!Q390</f>
        <v>0</v>
      </c>
      <c r="L353" s="72">
        <f>'RESUMEN TOTAL'!R390</f>
        <v>0</v>
      </c>
      <c r="M353" s="72">
        <f>'RESUMEN TOTAL'!S390</f>
        <v>0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 t="str">
        <f>'RESUMEN TOTAL'!Z390</f>
        <v>APAGADO</v>
      </c>
      <c r="U353" s="72" t="str">
        <f>'RESUMEN TOTAL'!AA390</f>
        <v>APAGADO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SRO15</v>
      </c>
      <c r="C354" t="str">
        <f>'RESUMEN TOTAL'!D391</f>
        <v>NOVAK Y TIRANA (614)</v>
      </c>
      <c r="D354" s="30" t="str">
        <f>'RESUMEN TOTAL'!E391</f>
        <v>DOMO</v>
      </c>
      <c r="E354" s="30" t="str">
        <f>'RESUMEN TOTAL'!F391</f>
        <v>Fibra Optica</v>
      </c>
      <c r="F354" s="72">
        <f>'RESUMEN TOTAL'!L391</f>
        <v>0</v>
      </c>
      <c r="G354" s="72">
        <f>'RESUMEN TOTAL'!M391</f>
        <v>0</v>
      </c>
      <c r="H354" s="72">
        <f>'RESUMEN TOTAL'!N391</f>
        <v>0</v>
      </c>
      <c r="I354" s="72">
        <f>'RESUMEN TOTAL'!O391</f>
        <v>0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 t="str">
        <f>'RESUMEN TOTAL'!X391</f>
        <v>APAGADO</v>
      </c>
      <c r="S354" s="72" t="str">
        <f>'RESUMEN TOTAL'!Y391</f>
        <v>APAGADO</v>
      </c>
      <c r="T354" s="72" t="str">
        <f>'RESUMEN TOTAL'!Z391</f>
        <v>APAGADO</v>
      </c>
      <c r="U354" s="72" t="str">
        <f>'RESUMEN TOTAL'!AA391</f>
        <v>APAGADO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SRO16 (fija 1)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 t="str">
        <f>'RESUMEN TOTAL'!X392</f>
        <v>APAGADO</v>
      </c>
      <c r="S355" s="72" t="str">
        <f>'RESUMEN TOTAL'!Y392</f>
        <v>APAGADO</v>
      </c>
      <c r="T355" s="72" t="str">
        <f>'RESUMEN TOTAL'!Z392</f>
        <v>APAGADO</v>
      </c>
      <c r="U355" s="72" t="str">
        <f>'RESUMEN TOTAL'!AA392</f>
        <v>APAGADO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SRO17 (fija 2)</v>
      </c>
      <c r="C356" t="str">
        <f>'RESUMEN TOTAL'!D393</f>
        <v>ANDORRA E/ BELGICA Y SAN MARINO</v>
      </c>
      <c r="D356" s="30" t="str">
        <f>'RESUMEN TOTAL'!E393</f>
        <v>Fija</v>
      </c>
      <c r="E356" s="30" t="str">
        <f>'RESUMEN TOTAL'!F393</f>
        <v>Fibra Optica</v>
      </c>
      <c r="F356" s="72" t="str">
        <f>'RESUMEN TOTAL'!L393</f>
        <v>APAGADO</v>
      </c>
      <c r="G356" s="72" t="str">
        <f>'RESUMEN TOTAL'!M393</f>
        <v>APAGADO</v>
      </c>
      <c r="H356" s="72" t="str">
        <f>'RESUMEN TOTAL'!N393</f>
        <v>APAGADO</v>
      </c>
      <c r="I356" s="72" t="str">
        <f>'RESUMEN TOTAL'!O393</f>
        <v>APAGADO</v>
      </c>
      <c r="J356" s="72" t="str">
        <f>'RESUMEN TOTAL'!P393</f>
        <v>APAGADO</v>
      </c>
      <c r="K356" s="72" t="str">
        <f>'RESUMEN TOTAL'!Q393</f>
        <v>APAGADO</v>
      </c>
      <c r="L356" s="72" t="str">
        <f>'RESUMEN TOTAL'!R393</f>
        <v>APAGADO</v>
      </c>
      <c r="M356" s="72" t="str">
        <f>'RESUMEN TOTAL'!S393</f>
        <v>APAGADO</v>
      </c>
      <c r="N356" s="72" t="str">
        <f>'RESUMEN TOTAL'!T393</f>
        <v>APAGADO</v>
      </c>
      <c r="O356" s="72" t="str">
        <f>'RESUMEN TOTAL'!U393</f>
        <v>APAGADO</v>
      </c>
      <c r="P356" s="72" t="str">
        <f>'RESUMEN TOTAL'!V393</f>
        <v>APAGADO</v>
      </c>
      <c r="Q356" s="72" t="str">
        <f>'RESUMEN TOTAL'!W393</f>
        <v>APAGADO</v>
      </c>
      <c r="R356" s="72" t="str">
        <f>'RESUMEN TOTAL'!X393</f>
        <v>APAGADO</v>
      </c>
      <c r="S356" s="72" t="str">
        <f>'RESUMEN TOTAL'!Y393</f>
        <v>APAGADO</v>
      </c>
      <c r="T356" s="72" t="str">
        <f>'RESUMEN TOTAL'!Z393</f>
        <v>APAGADO</v>
      </c>
      <c r="U356" s="72" t="str">
        <f>'RESUMEN TOTAL'!AA393</f>
        <v>APAGADO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18 (fija 1)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 19 (fija 2)</v>
      </c>
      <c r="C358" t="str">
        <f>'RESUMEN TOTAL'!D395</f>
        <v>GRAN CANARIA Y BUDAPEST</v>
      </c>
      <c r="D358" s="30" t="str">
        <f>'RESUMEN TOTAL'!E395</f>
        <v>Fija</v>
      </c>
      <c r="E358" s="30" t="str">
        <f>'RESUMEN TOTAL'!F395</f>
        <v>Fibra Optica</v>
      </c>
      <c r="F358" s="72">
        <f>'RESUMEN TOTAL'!L395</f>
        <v>0</v>
      </c>
      <c r="G358" s="72">
        <f>'RESUMEN TOTAL'!M395</f>
        <v>0</v>
      </c>
      <c r="H358" s="72">
        <f>'RESUMEN TOTAL'!N395</f>
        <v>0</v>
      </c>
      <c r="I358" s="72">
        <f>'RESUMEN TOTAL'!O395</f>
        <v>0</v>
      </c>
      <c r="J358" s="72">
        <f>'RESUMEN TOTAL'!P395</f>
        <v>0</v>
      </c>
      <c r="K358" s="72">
        <f>'RESUMEN TOTAL'!Q395</f>
        <v>0</v>
      </c>
      <c r="L358" s="72">
        <f>'RESUMEN TOTAL'!R395</f>
        <v>0</v>
      </c>
      <c r="M358" s="72">
        <f>'RESUMEN TOTAL'!S395</f>
        <v>0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SRO20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 t="str">
        <f>'RESUMEN TOTAL'!L396</f>
        <v>APAGADO</v>
      </c>
      <c r="G359" s="72" t="str">
        <f>'RESUMEN TOTAL'!M396</f>
        <v>APAGADO</v>
      </c>
      <c r="H359" s="72" t="str">
        <f>'RESUMEN TOTAL'!N396</f>
        <v>APAGADO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 t="str">
        <f>'RESUMEN TOTAL'!X396</f>
        <v>APAGADO</v>
      </c>
      <c r="S359" s="72" t="str">
        <f>'RESUMEN TOTAL'!Y396</f>
        <v>APAGADO</v>
      </c>
      <c r="T359" s="72" t="str">
        <f>'RESUMEN TOTAL'!Z396</f>
        <v>APAGADO</v>
      </c>
      <c r="U359" s="72" t="str">
        <f>'RESUMEN TOTAL'!AA396</f>
        <v>APAGADO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SANTA ROSA</v>
      </c>
      <c r="B360" t="str">
        <f>'RESUMEN TOTAL'!B397</f>
        <v>SRO21</v>
      </c>
      <c r="C360" t="str">
        <f>'RESUMEN TOTAL'!D397</f>
        <v>NOVAK Y BONN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 t="str">
        <f>'RESUMEN TOTAL'!O397</f>
        <v>APAGADO</v>
      </c>
      <c r="J360" s="72" t="str">
        <f>'RESUMEN TOTAL'!P397</f>
        <v>APAGADO</v>
      </c>
      <c r="K360" s="72" t="str">
        <f>'RESUMEN TOTAL'!Q397</f>
        <v>APAGADO</v>
      </c>
      <c r="L360" s="72" t="str">
        <f>'RESUMEN TOTAL'!R397</f>
        <v>APAGADO</v>
      </c>
      <c r="M360" s="72" t="str">
        <f>'RESUMEN TOTAL'!S397</f>
        <v>APAGADO</v>
      </c>
      <c r="N360" s="72" t="str">
        <f>'RESUMEN TOTAL'!T397</f>
        <v>APAGADO</v>
      </c>
      <c r="O360" s="72" t="str">
        <f>'RESUMEN TOTAL'!U397</f>
        <v>APAGADO</v>
      </c>
      <c r="P360" s="72" t="str">
        <f>'RESUMEN TOTAL'!V397</f>
        <v>APAGADO</v>
      </c>
      <c r="Q360" s="72" t="str">
        <f>'RESUMEN TOTAL'!W397</f>
        <v>APAGADO</v>
      </c>
      <c r="R360" s="72" t="str">
        <f>'RESUMEN TOTAL'!X397</f>
        <v>APAGADO</v>
      </c>
      <c r="S360" s="72" t="str">
        <f>'RESUMEN TOTAL'!Y397</f>
        <v>APAGADO</v>
      </c>
      <c r="T360" s="72" t="str">
        <f>'RESUMEN TOTAL'!Z397</f>
        <v>APAGADO</v>
      </c>
      <c r="U360" s="72" t="str">
        <f>'RESUMEN TOTAL'!AA397</f>
        <v>APAGADO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SRU01 (fija 1)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SRU02 (fija 2)</v>
      </c>
      <c r="C362" t="str">
        <f>'RESUMEN TOTAL'!D399</f>
        <v>HERNANDARIAS Y AMBATO</v>
      </c>
      <c r="D362" s="30" t="str">
        <f>'RESUMEN TOTAL'!E399</f>
        <v>Fija</v>
      </c>
      <c r="E362" s="30" t="str">
        <f>'RESUMEN TOTAL'!F399</f>
        <v>Fibra Optica</v>
      </c>
      <c r="F362" s="72">
        <f>'RESUMEN TOTAL'!L399</f>
        <v>0</v>
      </c>
      <c r="G362" s="72">
        <f>'RESUMEN TOTAL'!M399</f>
        <v>0</v>
      </c>
      <c r="H362" s="72">
        <f>'RESUMEN TOTAL'!N399</f>
        <v>0</v>
      </c>
      <c r="I362" s="72">
        <f>'RESUMEN TOTAL'!O399</f>
        <v>0</v>
      </c>
      <c r="J362" s="72">
        <f>'RESUMEN TOTAL'!P399</f>
        <v>0</v>
      </c>
      <c r="K362" s="72">
        <f>'RESUMEN TOTAL'!Q399</f>
        <v>0</v>
      </c>
      <c r="L362" s="72">
        <f>'RESUMEN TOTAL'!R399</f>
        <v>0</v>
      </c>
      <c r="M362" s="72">
        <f>'RESUMEN TOTAL'!S399</f>
        <v>0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SAN RUDECINDO</v>
      </c>
      <c r="B363" t="str">
        <f>'RESUMEN TOTAL'!B400</f>
        <v>SRU03</v>
      </c>
      <c r="C363" t="str">
        <f>'RESUMEN TOTAL'!D400</f>
        <v>SANTA SOFIA Y LUIS AGOTE</v>
      </c>
      <c r="D363" s="30" t="str">
        <f>'RESUMEN TOTAL'!E400</f>
        <v>DOMO</v>
      </c>
      <c r="E363" s="30" t="str">
        <f>'RESUMEN TOTAL'!F400</f>
        <v>Fibra Optica</v>
      </c>
      <c r="F363" s="72" t="str">
        <f>'RESUMEN TOTAL'!L400</f>
        <v>APAGADO</v>
      </c>
      <c r="G363" s="72" t="str">
        <f>'RESUMEN TOTAL'!M400</f>
        <v>APAGADO</v>
      </c>
      <c r="H363" s="72" t="str">
        <f>'RESUMEN TOTAL'!N400</f>
        <v>APAGADO</v>
      </c>
      <c r="I363" s="72" t="str">
        <f>'RESUMEN TOTAL'!O400</f>
        <v>APAGADO</v>
      </c>
      <c r="J363" s="72">
        <f>'RESUMEN TOTAL'!P400</f>
        <v>0</v>
      </c>
      <c r="K363" s="72">
        <f>'RESUMEN TOTAL'!Q400</f>
        <v>0</v>
      </c>
      <c r="L363" s="72" t="str">
        <f>'RESUMEN TOTAL'!R400</f>
        <v>APAGADO</v>
      </c>
      <c r="M363" s="72" t="str">
        <f>'RESUMEN TOTAL'!S400</f>
        <v>APAGADO</v>
      </c>
      <c r="N363" s="72" t="str">
        <f>'RESUMEN TOTAL'!T400</f>
        <v>APAGADO</v>
      </c>
      <c r="O363" s="72" t="str">
        <f>'RESUMEN TOTAL'!U400</f>
        <v>APAGADO</v>
      </c>
      <c r="P363" s="72" t="str">
        <f>'RESUMEN TOTAL'!V400</f>
        <v>APAGADO</v>
      </c>
      <c r="Q363" s="72" t="str">
        <f>'RESUMEN TOTAL'!W400</f>
        <v>APAGADO</v>
      </c>
      <c r="R363" s="72" t="str">
        <f>'RESUMEN TOTAL'!X400</f>
        <v>APAGADO</v>
      </c>
      <c r="S363" s="72" t="str">
        <f>'RESUMEN TOTAL'!Y400</f>
        <v>APAGADO</v>
      </c>
      <c r="T363" s="72" t="str">
        <f>'RESUMEN TOTAL'!Z400</f>
        <v>APAGADO</v>
      </c>
      <c r="U363" s="72" t="str">
        <f>'RESUMEN TOTAL'!AA400</f>
        <v>APAGADO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PRESIDENTE SARMIENTO</v>
      </c>
      <c r="B364" t="str">
        <f>'RESUMEN TOTAL'!B401</f>
        <v>VANG 09</v>
      </c>
      <c r="C364" t="str">
        <f>'RESUMEN TOTAL'!D401</f>
        <v>Ruta 36 y Senzabello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VANG01</v>
      </c>
      <c r="C365" t="str">
        <f>'RESUMEN TOTAL'!D402</f>
        <v>Senzabello y Necochea</v>
      </c>
      <c r="D365" s="30" t="str">
        <f>'RESUMEN TOTAL'!E402</f>
        <v>Domo</v>
      </c>
      <c r="E365" s="30" t="str">
        <f>'RESUMEN TOTAL'!F402</f>
        <v>PTO A FO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ANGELICA</v>
      </c>
      <c r="B366" t="str">
        <f>'RESUMEN TOTAL'!B403</f>
        <v>VANG02</v>
      </c>
      <c r="C366" t="str">
        <f>'RESUMEN TOTAL'!D403</f>
        <v>Thevenet y Ruta 36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DEL PLATA</v>
      </c>
      <c r="B367" t="str">
        <f>'RESUMEN TOTAL'!B404</f>
        <v>VANG03</v>
      </c>
      <c r="C367" t="str">
        <f>'RESUMEN TOTAL'!D404</f>
        <v>Thevenet 1950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VANG04</v>
      </c>
      <c r="C368" t="str">
        <f>'RESUMEN TOTAL'!D405</f>
        <v>Storni e/Thevenet y Calle 158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>
        <f>'RESUMEN TOTAL'!M405</f>
        <v>0</v>
      </c>
      <c r="H368" s="72">
        <f>'RESUMEN TOTAL'!N405</f>
        <v>0</v>
      </c>
      <c r="I368" s="72">
        <f>'RESUMEN TOTAL'!O405</f>
        <v>0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VANG05</v>
      </c>
      <c r="C369" t="str">
        <f>'RESUMEN TOTAL'!D406</f>
        <v>Storni y Thevenet</v>
      </c>
      <c r="D369" s="30" t="str">
        <f>'RESUMEN TOTAL'!E406</f>
        <v>Domo</v>
      </c>
      <c r="E369" s="30" t="str">
        <f>'RESUMEN TOTAL'!F406</f>
        <v>Fibra Optica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VANG06</v>
      </c>
      <c r="C370" t="str">
        <f>'RESUMEN TOTAL'!D407</f>
        <v>Arenales e/Thevenet y Calle 158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 t="str">
        <f>'RESUMEN TOTAL'!M407</f>
        <v>APAGADO</v>
      </c>
      <c r="H370" s="72" t="str">
        <f>'RESUMEN TOTAL'!N407</f>
        <v>APAGADO</v>
      </c>
      <c r="I370" s="72" t="str">
        <f>'RESUMEN TOTAL'!O407</f>
        <v>APAGADO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VANG07</v>
      </c>
      <c r="C371" t="str">
        <f>'RESUMEN TOTAL'!D408</f>
        <v>Arenales y Thevenet</v>
      </c>
      <c r="D371" s="30" t="str">
        <f>'RESUMEN TOTAL'!E408</f>
        <v>Domo</v>
      </c>
      <c r="E371" s="30" t="str">
        <f>'RESUMEN TOTAL'!F408</f>
        <v>GPON</v>
      </c>
      <c r="F371" s="72">
        <f>'RESUMEN TOTAL'!L408</f>
        <v>0</v>
      </c>
      <c r="G371" s="72">
        <f>'RESUMEN TOTAL'!M408</f>
        <v>0</v>
      </c>
      <c r="H371" s="72">
        <f>'RESUMEN TOTAL'!N408</f>
        <v>0</v>
      </c>
      <c r="I371" s="72">
        <f>'RESUMEN TOTAL'!O408</f>
        <v>0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VANG08</v>
      </c>
      <c r="C372" t="str">
        <f>'RESUMEN TOTAL'!D409</f>
        <v>Calle 158 al 2200</v>
      </c>
      <c r="D372" s="30" t="str">
        <f>'RESUMEN TOTAL'!E409</f>
        <v>Domo</v>
      </c>
      <c r="E372" s="30" t="str">
        <f>'RESUMEN TOTAL'!F409</f>
        <v>PTO A FO</v>
      </c>
      <c r="F372" s="72">
        <f>'RESUMEN TOTAL'!L409</f>
        <v>0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>
        <f>'RESUMEN TOTAL'!P409</f>
        <v>0</v>
      </c>
      <c r="K372" s="72">
        <f>'RESUMEN TOTAL'!Q409</f>
        <v>0</v>
      </c>
      <c r="L372" s="72">
        <f>'RESUMEN TOTAL'!R409</f>
        <v>0</v>
      </c>
      <c r="M372" s="72">
        <f>'RESUMEN TOTAL'!S409</f>
        <v>0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VANG10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 t="str">
        <f>'RESUMEN TOTAL'!X410</f>
        <v>APAGADO</v>
      </c>
      <c r="S373" s="72" t="str">
        <f>'RESUMEN TOTAL'!Y410</f>
        <v>APAGADO</v>
      </c>
      <c r="T373" s="72" t="str">
        <f>'RESUMEN TOTAL'!Z410</f>
        <v>APAGADO</v>
      </c>
      <c r="U373" s="72" t="str">
        <f>'RESUMEN TOTAL'!AA410</f>
        <v>APAGADO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VANG11</v>
      </c>
      <c r="C374" t="str">
        <f>'RESUMEN TOTAL'!D411</f>
        <v>Senzabello y Braile</v>
      </c>
      <c r="D374" s="30" t="str">
        <f>'RESUMEN TOTAL'!E411</f>
        <v>fija</v>
      </c>
      <c r="E374" s="30" t="str">
        <f>'RESUMEN TOTAL'!F411</f>
        <v>Fibra Optica</v>
      </c>
      <c r="F374" s="72" t="str">
        <f>'RESUMEN TOTAL'!L411</f>
        <v>APAGADO</v>
      </c>
      <c r="G374" s="72" t="str">
        <f>'RESUMEN TOTAL'!M411</f>
        <v>APAGADO</v>
      </c>
      <c r="H374" s="72" t="str">
        <f>'RESUMEN TOTAL'!N411</f>
        <v>APAGADO</v>
      </c>
      <c r="I374" s="72" t="str">
        <f>'RESUMEN TOTAL'!O411</f>
        <v>APAGADO</v>
      </c>
      <c r="J374" s="72" t="str">
        <f>'RESUMEN TOTAL'!P411</f>
        <v>APAGADO</v>
      </c>
      <c r="K374" s="72" t="str">
        <f>'RESUMEN TOTAL'!Q411</f>
        <v>APAGADO</v>
      </c>
      <c r="L374" s="72" t="str">
        <f>'RESUMEN TOTAL'!R411</f>
        <v>APAGADO</v>
      </c>
      <c r="M374" s="72" t="str">
        <f>'RESUMEN TOTAL'!S411</f>
        <v>APAGADO</v>
      </c>
      <c r="N374" s="72" t="str">
        <f>'RESUMEN TOTAL'!T411</f>
        <v>APAGADO</v>
      </c>
      <c r="O374" s="72" t="str">
        <f>'RESUMEN TOTAL'!U411</f>
        <v>APAGADO</v>
      </c>
      <c r="P374" s="72" t="str">
        <f>'RESUMEN TOTAL'!V411</f>
        <v>APAGADO</v>
      </c>
      <c r="Q374" s="72" t="str">
        <f>'RESUMEN TOTAL'!W411</f>
        <v>APAGADO</v>
      </c>
      <c r="R374" s="72" t="str">
        <f>'RESUMEN TOTAL'!X411</f>
        <v>APAGADO</v>
      </c>
      <c r="S374" s="72" t="str">
        <f>'RESUMEN TOTAL'!Y411</f>
        <v>APAGADO</v>
      </c>
      <c r="T374" s="72" t="str">
        <f>'RESUMEN TOTAL'!Z411</f>
        <v>APAGADO</v>
      </c>
      <c r="U374" s="72" t="str">
        <f>'RESUMEN TOTAL'!AA411</f>
        <v>APAGADO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VANG12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TOTAL'!A413</f>
        <v>VILLA ANGELICA</v>
      </c>
      <c r="B376" t="str">
        <f>'RESUMEN TOTAL'!B413</f>
        <v>VANG13</v>
      </c>
      <c r="C376" t="str">
        <f>'RESUMEN TOTAL'!D413</f>
        <v>TAPALQUE E/ BOLIVAR Y GORRITI</v>
      </c>
      <c r="D376" s="30" t="str">
        <f>'RESUMEN TOTAL'!E413</f>
        <v>Fija</v>
      </c>
      <c r="E376" s="30" t="str">
        <f>'RESUMEN TOTAL'!F413</f>
        <v>Fibra Optica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01</v>
      </c>
      <c r="C377" t="str">
        <f>'RESUMEN TOTAL'!D416</f>
        <v>Calle 519 y 546</v>
      </c>
      <c r="D377" s="30" t="str">
        <f>'RESUMEN TOTAL'!E416</f>
        <v>Domo</v>
      </c>
      <c r="E377" s="30" t="str">
        <f>'RESUMEN TOTAL'!F416</f>
        <v>GPON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 02</v>
      </c>
      <c r="C378" t="str">
        <f>'RESUMEN TOTAL'!D417</f>
        <v>DIAGONAL LOS TILOS Y 542</v>
      </c>
      <c r="D378" s="30" t="str">
        <f>'RESUMEN TOTAL'!E417</f>
        <v>DOMO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>
        <f>'RESUMEN TOTAL'!O417</f>
        <v>0</v>
      </c>
      <c r="J378" s="72">
        <f>'RESUMEN TOTAL'!P417</f>
        <v>0</v>
      </c>
      <c r="K378" s="72">
        <f>'RESUMEN TOTAL'!Q417</f>
        <v>0</v>
      </c>
      <c r="L378" s="72">
        <f>'RESUMEN TOTAL'!R417</f>
        <v>0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VAR03 (fija 1)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VAR04 (fija 2)</v>
      </c>
      <c r="C380" t="str">
        <f>'RESUMEN TOTAL'!D419</f>
        <v>509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VAR05 (fija 1)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VAR06 (fija 2)</v>
      </c>
      <c r="C382" t="str">
        <f>'RESUMEN TOTAL'!D421</f>
        <v>511 E/ 544 Y 546</v>
      </c>
      <c r="D382" s="30" t="str">
        <f>'RESUMEN TOTAL'!E421</f>
        <v>Fija</v>
      </c>
      <c r="E382" s="30" t="str">
        <f>'RESUMEN TOTAL'!F421</f>
        <v>Radio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 t="str">
        <f>'RESUMEN TOTAL'!O421</f>
        <v>APAGADO</v>
      </c>
      <c r="J382" s="72" t="str">
        <f>'RESUMEN TOTAL'!P421</f>
        <v>APAGADO</v>
      </c>
      <c r="K382" s="72" t="str">
        <f>'RESUMEN TOTAL'!Q421</f>
        <v>APAGADO</v>
      </c>
      <c r="L382" s="72" t="str">
        <f>'RESUMEN TOTAL'!R421</f>
        <v>APAGADO</v>
      </c>
      <c r="M382" s="72">
        <f>'RESUMEN TOTAL'!S421</f>
        <v>0</v>
      </c>
      <c r="N382" s="72" t="str">
        <f>'RESUMEN TOTAL'!T421</f>
        <v>APAGADO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VAR07</v>
      </c>
      <c r="C383" t="str">
        <f>'RESUMEN TOTAL'!D422</f>
        <v>DIAG. LOS TILOS Y 517</v>
      </c>
      <c r="D383" s="30" t="str">
        <f>'RESUMEN TOTAL'!E422</f>
        <v>DOMO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08 (fija 1)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 09 (fija 2)</v>
      </c>
      <c r="C385" t="str">
        <f>'RESUMEN TOTAL'!D424</f>
        <v>534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VAR10 (fija 1)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VAR11 (fija 2)</v>
      </c>
      <c r="C387" t="str">
        <f>'RESUMEN TOTAL'!D426</f>
        <v>532 A Y 523</v>
      </c>
      <c r="D387" s="30" t="str">
        <f>'RESUMEN TOTAL'!E426</f>
        <v>Fija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VAR12</v>
      </c>
      <c r="C388" t="str">
        <f>'RESUMEN TOTAL'!D427</f>
        <v>Calle 527 y Portela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VAR13</v>
      </c>
      <c r="C389" t="str">
        <f>'RESUMEN TOTAL'!D428</f>
        <v>Calle 527 y 532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ARGENTINA</v>
      </c>
      <c r="B390" t="str">
        <f>'RESUMEN TOTAL'!B429</f>
        <v>VAR14</v>
      </c>
      <c r="C390" t="str">
        <f>'RESUMEN TOTAL'!D429</f>
        <v>Pportela y 517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</v>
      </c>
      <c r="B391" t="str">
        <f>'RESUMEN TOTAL'!B430</f>
        <v>VAT01</v>
      </c>
      <c r="C391" t="str">
        <f>'RESUMEN TOTAL'!D430</f>
        <v>Montevideo y El ChaÃ±ar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 t="str">
        <f>'RESUMEN TOTAL'!V430</f>
        <v>APAGADO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VAT02</v>
      </c>
      <c r="C392" t="str">
        <f>'RESUMEN TOTAL'!D431</f>
        <v>Eva Peron y 12 de Octubre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VAT03</v>
      </c>
      <c r="C393" t="str">
        <f>'RESUMEN TOTAL'!D432</f>
        <v>Lavalle y Belgrano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VAT04</v>
      </c>
      <c r="C394" t="str">
        <f>'RESUMEN TOTAL'!D433</f>
        <v>Lavalle y Entre Rios</v>
      </c>
      <c r="D394" s="30" t="str">
        <f>'RESUMEN TOTAL'!E433</f>
        <v>Domo</v>
      </c>
      <c r="E394" s="30" t="str">
        <f>'RESUMEN TOTAL'!F433</f>
        <v>Fibra Optica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VAT05</v>
      </c>
      <c r="C395" t="str">
        <f>'RESUMEN TOTAL'!D434</f>
        <v>Lavalle y Colombia</v>
      </c>
      <c r="D395" s="30" t="str">
        <f>'RESUMEN TOTAL'!E434</f>
        <v>Domo</v>
      </c>
      <c r="E395" s="30" t="str">
        <f>'RESUMEN TOTAL'!F434</f>
        <v>GPON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VAT06</v>
      </c>
      <c r="C396" t="str">
        <f>'RESUMEN TOTAL'!D435</f>
        <v>Eva Peron y Pueyrredon</v>
      </c>
      <c r="D396" s="30" t="str">
        <f>'RESUMEN TOTAL'!E435</f>
        <v>Domo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 CENTRO</v>
      </c>
      <c r="B397" t="str">
        <f>'RESUMEN TOTAL'!B436</f>
        <v>VAT07</v>
      </c>
      <c r="C397" t="str">
        <f>'RESUMEN TOTAL'!D436</f>
        <v>Eva Peron y Lavalle</v>
      </c>
      <c r="D397" s="30">
        <f>'RESUMEN TOTAL'!E436</f>
        <v>0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VAT08</v>
      </c>
      <c r="C398" t="str">
        <f>'RESUMEN TOTAL'!D437</f>
        <v>12 de Octubre y Florida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</v>
      </c>
      <c r="B399" t="str">
        <f>'RESUMEN TOTAL'!B438</f>
        <v>VAT09</v>
      </c>
      <c r="C399" t="str">
        <f>'RESUMEN TOTAL'!D438</f>
        <v>Montevideo y Alsina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 CENTRO</v>
      </c>
      <c r="B400" t="str">
        <f>'RESUMEN TOTAL'!B439</f>
        <v>VAT 10</v>
      </c>
      <c r="C400" t="str">
        <f>'RESUMEN TOTAL'!D439</f>
        <v>Belgrano y Quintana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VAT11</v>
      </c>
      <c r="C401" t="str">
        <f>'RESUMEN TOTAL'!D440</f>
        <v>Mainini y Montevideo</v>
      </c>
      <c r="D401" s="30" t="str">
        <f>'RESUMEN TOTAL'!E440</f>
        <v>Domo</v>
      </c>
      <c r="E401" s="30" t="str">
        <f>'RESUMEN TOTAL'!F440</f>
        <v>Fibra Optica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 t="str">
        <f>'RESUMEN TOTAL'!V440</f>
        <v>APAGADO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</v>
      </c>
      <c r="B402" t="str">
        <f>'RESUMEN TOTAL'!B441</f>
        <v>VAT12</v>
      </c>
      <c r="C402" t="str">
        <f>'RESUMEN TOTAL'!D441</f>
        <v>12 DE OCTUBRE Y CHACO</v>
      </c>
      <c r="D402" s="30" t="str">
        <f>'RESUMEN TOTAL'!E441</f>
        <v>DOMO</v>
      </c>
      <c r="E402" s="30" t="str">
        <f>'RESUMEN TOTAL'!F441</f>
        <v>PTO A FO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 CENTRO</v>
      </c>
      <c r="B403" t="str">
        <f>'RESUMEN TOTAL'!B442</f>
        <v>VAT13</v>
      </c>
      <c r="C403" t="str">
        <f>'RESUMEN TOTAL'!D442</f>
        <v>Av.12 de Octubre y Belgrano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14</v>
      </c>
      <c r="C404" t="str">
        <f>'RESUMEN TOTAL'!D443</f>
        <v>FLORIDA Y MONTEVIDEO</v>
      </c>
      <c r="D404" s="30" t="str">
        <f>'RESUMEN TOTAL'!E443</f>
        <v>DOMO</v>
      </c>
      <c r="E404" s="30" t="str">
        <f>'RESUMEN TOTAL'!F443</f>
        <v>Fibra Optica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 t="str">
        <f>'RESUMEN TOTAL'!V443</f>
        <v>APAGADO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15</v>
      </c>
      <c r="C405" t="str">
        <f>'RESUMEN TOTAL'!D444</f>
        <v>CORRIENTES Y VICENTE LOPEZ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16</v>
      </c>
      <c r="C406" t="str">
        <f>'RESUMEN TOTAL'!D445</f>
        <v>MONTEVIDEO Y CHACO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</v>
      </c>
      <c r="B407" t="str">
        <f>'RESUMEN TOTAL'!B446</f>
        <v>VAT 17</v>
      </c>
      <c r="C407" t="str">
        <f>'RESUMEN TOTAL'!D446</f>
        <v>CHAÑAR Y URUGUAY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 t="str">
        <f>'RESUMEN TOTAL'!V446</f>
        <v>APAGADO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VAT18</v>
      </c>
      <c r="C408" t="str">
        <f>'RESUMEN TOTAL'!D447</f>
        <v>LAVALLE Y FONROUGE</v>
      </c>
      <c r="D408" s="30" t="str">
        <f>'RESUMEN TOTAL'!E447</f>
        <v>DOMO</v>
      </c>
      <c r="E408" s="30" t="str">
        <f>'RESUMEN TOTAL'!F447</f>
        <v>PTO A FO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 CENTRO</v>
      </c>
      <c r="B409" t="str">
        <f>'RESUMEN TOTAL'!B448</f>
        <v>VAT19</v>
      </c>
      <c r="C409" t="str">
        <f>'RESUMEN TOTAL'!D448</f>
        <v>QUINTANA Y FONROUGE ( TUCUMAN )</v>
      </c>
      <c r="D409" s="30" t="str">
        <f>'RESUMEN TOTAL'!E448</f>
        <v>DOMO</v>
      </c>
      <c r="E409" s="30" t="str">
        <f>'RESUMEN TOTAL'!F448</f>
        <v>Radio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</v>
      </c>
      <c r="B410" t="str">
        <f>'RESUMEN TOTAL'!B449</f>
        <v>VAT 20</v>
      </c>
      <c r="C410" t="str">
        <f>'RESUMEN TOTAL'!D449</f>
        <v>URUGUAY Y PILCOMAYO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21 (fija 1)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 22 (fija 2)</v>
      </c>
      <c r="C412" t="str">
        <f>'RESUMEN TOTAL'!D451</f>
        <v>QUINTANA E/ BELGRANO Y FONROUGE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VAT23 (fija 1)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VAT24 (fija 2)</v>
      </c>
      <c r="C414" t="str">
        <f>'RESUMEN TOTAL'!D453</f>
        <v>EVA PERON Y "EL TUNEL" (BAJO NIVEL)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25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 CENTRO</v>
      </c>
      <c r="B416" t="str">
        <f>'RESUMEN TOTAL'!B455</f>
        <v>VAT 26</v>
      </c>
      <c r="C416" t="str">
        <f>'RESUMEN TOTAL'!D455</f>
        <v>Mainini y Uruguay</v>
      </c>
      <c r="D416" s="30" t="str">
        <f>'RESUMEN TOTAL'!E455</f>
        <v>fija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 t="str">
        <f>'RESUMEN TOTAL'!V455</f>
        <v>APAGADO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VATTEONE</v>
      </c>
      <c r="B417" t="str">
        <f>'RESUMEN TOTAL'!B456</f>
        <v>VAT 27</v>
      </c>
      <c r="C417" t="str">
        <f>'RESUMEN TOTAL'!D456</f>
        <v>12 DE OCTUBRE Y ROSARIO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VILLA AURORA</v>
      </c>
      <c r="B418" t="str">
        <f>'RESUMEN TOTAL'!B457</f>
        <v>VAU 01</v>
      </c>
      <c r="C418" t="str">
        <f>'RESUMEN TOTAL'!D457</f>
        <v>San Martin y Monteverde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SAN EMILIO</v>
      </c>
      <c r="B419" t="str">
        <f>'RESUMEN TOTAL'!B458</f>
        <v>VAU 02</v>
      </c>
      <c r="C419" t="str">
        <f>'RESUMEN TOTAL'!D458</f>
        <v>San Martin y Lope de Vega</v>
      </c>
      <c r="D419" s="30" t="str">
        <f>'RESUMEN TOTAL'!E458</f>
        <v>Domo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VAU03 (fija 1)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 t="str">
        <f>'RESUMEN TOTAL'!X459</f>
        <v>APAGADO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VAU04 (fija 2)</v>
      </c>
      <c r="C421" t="str">
        <f>'RESUMEN TOTAL'!D460</f>
        <v>PIZZURNO Y NUESTRAS MALVINAS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 t="str">
        <f>'RESUMEN TOTAL'!V460</f>
        <v>APAGADO</v>
      </c>
      <c r="Q421" s="72" t="str">
        <f>'RESUMEN TOTAL'!W460</f>
        <v>APAGADO</v>
      </c>
      <c r="R421" s="72" t="str">
        <f>'RESUMEN TOTAL'!X460</f>
        <v>APAGADO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VAU05 (fija 1)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VAU06 (fija 2)</v>
      </c>
      <c r="C423" t="str">
        <f>'RESUMEN TOTAL'!D462</f>
        <v>GUIDO SPANO Y VICTORINO DE LA PLAZA</v>
      </c>
      <c r="D423" s="30" t="str">
        <f>'RESUMEN TOTAL'!E462</f>
        <v>Fija</v>
      </c>
      <c r="E423" s="30" t="str">
        <f>'RESUMEN TOTAL'!F462</f>
        <v>Fibra Optica</v>
      </c>
      <c r="F423" s="72">
        <f>'RESUMEN TOTAL'!L462</f>
        <v>0</v>
      </c>
      <c r="G423" s="72">
        <f>'RESUMEN TOTAL'!M462</f>
        <v>0</v>
      </c>
      <c r="H423" s="72">
        <f>'RESUMEN TOTAL'!N462</f>
        <v>0</v>
      </c>
      <c r="I423" s="72">
        <f>'RESUMEN TOTAL'!O462</f>
        <v>0</v>
      </c>
      <c r="J423" s="72">
        <f>'RESUMEN TOTAL'!P462</f>
        <v>0</v>
      </c>
      <c r="K423" s="72">
        <f>'RESUMEN TOTAL'!Q462</f>
        <v>0</v>
      </c>
      <c r="L423" s="72">
        <f>'RESUMEN TOTAL'!R462</f>
        <v>0</v>
      </c>
      <c r="M423" s="72">
        <f>'RESUMEN TOTAL'!S462</f>
        <v>0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 07</v>
      </c>
      <c r="C424" t="str">
        <f>'RESUMEN TOTAL'!D463</f>
        <v>VICTORINO DE LA PLAZA Y MONTEVERDE</v>
      </c>
      <c r="D424" s="30" t="str">
        <f>'RESUMEN TOTAL'!E463</f>
        <v>Domo</v>
      </c>
      <c r="E424" s="30" t="str">
        <f>'RESUMEN TOTAL'!F463</f>
        <v>Fibra Optica</v>
      </c>
      <c r="F424" s="72" t="str">
        <f>'RESUMEN TOTAL'!L463</f>
        <v>APAGADO</v>
      </c>
      <c r="G424" s="72" t="str">
        <f>'RESUMEN TOTAL'!M463</f>
        <v>APAGADO</v>
      </c>
      <c r="H424" s="72" t="str">
        <f>'RESUMEN TOTAL'!N463</f>
        <v>APAGADO</v>
      </c>
      <c r="I424" s="72" t="str">
        <f>'RESUMEN TOTAL'!O463</f>
        <v>APAGADO</v>
      </c>
      <c r="J424" s="72">
        <f>'RESUMEN TOTAL'!P463</f>
        <v>0</v>
      </c>
      <c r="K424" s="72" t="str">
        <f>'RESUMEN TOTAL'!Q463</f>
        <v>APAGADO</v>
      </c>
      <c r="L424" s="72" t="str">
        <f>'RESUMEN TOTAL'!R463</f>
        <v>APAGADO</v>
      </c>
      <c r="M424" s="72" t="str">
        <f>'RESUMEN TOTAL'!S463</f>
        <v>APAGADO</v>
      </c>
      <c r="N424" s="72" t="str">
        <f>'RESUMEN TOTAL'!T463</f>
        <v>APAGADO</v>
      </c>
      <c r="O424" s="72" t="str">
        <f>'RESUMEN TOTAL'!U463</f>
        <v>APAGADO</v>
      </c>
      <c r="P424" s="72" t="str">
        <f>'RESUMEN TOTAL'!V463</f>
        <v>APAGADO</v>
      </c>
      <c r="Q424" s="72" t="str">
        <f>'RESUMEN TOTAL'!W463</f>
        <v>APAGADO</v>
      </c>
      <c r="R424" s="72" t="str">
        <f>'RESUMEN TOTAL'!X463</f>
        <v>APAGADO</v>
      </c>
      <c r="S424" s="72" t="str">
        <f>'RESUMEN TOTAL'!Y463</f>
        <v>APAGADO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TOTAL'!A464</f>
        <v>VILLA AURORA</v>
      </c>
      <c r="B425" t="str">
        <f>'RESUMEN TOTAL'!B464</f>
        <v>VAU08</v>
      </c>
      <c r="C425" t="str">
        <f>'RESUMEN TOTAL'!D464</f>
        <v>MONTEVERDE Y WASHINGTON</v>
      </c>
      <c r="D425" s="30" t="str">
        <f>'RESUMEN TOTAL'!E464</f>
        <v>DOMO</v>
      </c>
      <c r="E425" s="30" t="str">
        <f>'RESUMEN TOTAL'!F464</f>
        <v>Fibra Optica</v>
      </c>
      <c r="F425" s="72">
        <f>'RESUMEN TOTAL'!L464</f>
        <v>0</v>
      </c>
      <c r="G425" s="72">
        <f>'RESUMEN TOTAL'!M464</f>
        <v>0</v>
      </c>
      <c r="H425" s="72">
        <f>'RESUMEN TOTAL'!N464</f>
        <v>0</v>
      </c>
      <c r="I425" s="72" t="str">
        <f>'RESUMEN TOTAL'!O464</f>
        <v>APAGADO</v>
      </c>
      <c r="J425" s="72">
        <f>'RESUMEN TOTAL'!P464</f>
        <v>0</v>
      </c>
      <c r="K425" s="72">
        <f>'RESUMEN TOTAL'!Q464</f>
        <v>0</v>
      </c>
      <c r="L425" s="72">
        <f>'RESUMEN TOTAL'!R464</f>
        <v>0</v>
      </c>
      <c r="M425" s="72">
        <f>'RESUMEN TOTAL'!S464</f>
        <v>0</v>
      </c>
      <c r="N425" s="72">
        <f>'RESUMEN TOTAL'!T464</f>
        <v>0</v>
      </c>
      <c r="O425" s="72">
        <f>'RESUMEN TOTAL'!U464</f>
        <v>0</v>
      </c>
      <c r="P425" s="72">
        <f>'RESUMEN TOTAL'!V464</f>
        <v>0</v>
      </c>
      <c r="Q425" s="72">
        <f>'RESUMEN TOTAL'!W464</f>
        <v>0</v>
      </c>
      <c r="R425" s="72">
        <f>'RESUMEN TOTAL'!X464</f>
        <v>0</v>
      </c>
      <c r="S425" s="72">
        <f>'RESUMEN TOTAL'!Y464</f>
        <v>0</v>
      </c>
      <c r="T425" s="72">
        <f>'RESUMEN TOTAL'!Z464</f>
        <v>0</v>
      </c>
      <c r="U425" s="72">
        <f>'RESUMEN TOTAL'!AA464</f>
        <v>0</v>
      </c>
      <c r="V425" s="72">
        <f>'RESUMEN TOTAL'!AB464</f>
        <v>0</v>
      </c>
      <c r="W425" s="72">
        <f>'RESUMEN TOTAL'!AC464</f>
        <v>0</v>
      </c>
      <c r="X425" s="72">
        <f>'RESUMEN TOTAL'!AD464</f>
        <v>0</v>
      </c>
      <c r="Y425" s="72">
        <f>'RESUMEN TOTAL'!AE464</f>
        <v>0</v>
      </c>
      <c r="Z425" s="72">
        <f>'RESUMEN TOTAL'!AF464</f>
        <v>0</v>
      </c>
      <c r="AA425" s="72">
        <f>'RESUMEN TOTAL'!AG464</f>
        <v>0</v>
      </c>
      <c r="AB425" s="72">
        <f>'RESUMEN TOTAL'!AH464</f>
        <v>0</v>
      </c>
      <c r="AC425" s="72">
        <f>'RESUMEN TOTAL'!AI464</f>
        <v>0</v>
      </c>
      <c r="AD425" s="72">
        <f>'RESUMEN TOTAL'!AJ464</f>
        <v>0</v>
      </c>
      <c r="AE425" s="72">
        <f>'RESUMEN TOTAL'!AK464</f>
        <v>0</v>
      </c>
      <c r="AF425" s="72">
        <f>'RESUMEN TOTAL'!AL464</f>
        <v>0</v>
      </c>
      <c r="AG425" s="72">
        <f>'RESUMEN TOTAL'!AM464</f>
        <v>0</v>
      </c>
      <c r="AH425" s="72">
        <f>'RESUMEN TOTAL'!AN464</f>
        <v>0</v>
      </c>
      <c r="AI425" s="72">
        <f>'RESUMEN TOTAL'!AO464</f>
        <v>0</v>
      </c>
      <c r="AJ425" s="72">
        <f>'RESUMEN TOTAL'!AP464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VDPL02</v>
      </c>
      <c r="C426" t="str">
        <f>'RESUMEN TOTAL'!D466</f>
        <v>Thevenet y Berutti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VDPL03</v>
      </c>
      <c r="C427" t="str">
        <f>'RESUMEN TOTAL'!D467</f>
        <v>Neuquen y Alvarado</v>
      </c>
      <c r="D427" s="30" t="str">
        <f>'RESUMEN TOTAL'!E467</f>
        <v>Domo</v>
      </c>
      <c r="E427" s="30" t="str">
        <f>'RESUMEN TOTAL'!F467</f>
        <v>Fibra Optica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VDPL04</v>
      </c>
      <c r="C428" t="str">
        <f>'RESUMEN TOTAL'!D468</f>
        <v>Neuquen y Diagonal Guemes</v>
      </c>
      <c r="D428" s="30" t="str">
        <f>'RESUMEN TOTAL'!E468</f>
        <v>Domo</v>
      </c>
      <c r="E428" s="30" t="str">
        <f>'RESUMEN TOTAL'!F468</f>
        <v>Radio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>
        <f>'RESUMEN TOTAL'!AB468</f>
        <v>0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DEL PLATA</v>
      </c>
      <c r="B429" t="str">
        <f>'RESUMEN TOTAL'!B469</f>
        <v>VDPL05</v>
      </c>
      <c r="C429" t="str">
        <f>'RESUMEN TOTAL'!D469</f>
        <v>Ruta 36 y Abraham</v>
      </c>
      <c r="D429" s="30" t="str">
        <f>'RESUMEN TOTAL'!E469</f>
        <v>Domo</v>
      </c>
      <c r="E429" s="30" t="str">
        <f>'RESUMEN TOTAL'!F469</f>
        <v>PTO A FO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 t="str">
        <f>'RESUMEN TOTAL'!AB469</f>
        <v xml:space="preserve"> 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VDPL06</v>
      </c>
      <c r="C430" t="str">
        <f>'RESUMEN TOTAL'!D470</f>
        <v>Thevenet e/ Islas Orcadas y Gardel</v>
      </c>
      <c r="D430" s="30" t="str">
        <f>'RESUMEN TOTAL'!E470</f>
        <v>Domo</v>
      </c>
      <c r="E430" s="30" t="str">
        <f>'RESUMEN TOTAL'!F470</f>
        <v>GPON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ANGELICA</v>
      </c>
      <c r="B431" t="str">
        <f>'RESUMEN TOTAL'!B471</f>
        <v>VDPL07</v>
      </c>
      <c r="C431" t="str">
        <f>'RESUMEN TOTAL'!D471</f>
        <v>THEVENET 2290</v>
      </c>
      <c r="D431" s="30" t="str">
        <f>'RESUMEN TOTAL'!E471</f>
        <v>Fija</v>
      </c>
      <c r="E431" s="30" t="str">
        <f>'RESUMEN TOTAL'!F471</f>
        <v>Fibra Optica</v>
      </c>
      <c r="F431" s="72">
        <f>'RESUMEN TOTAL'!L471</f>
        <v>0</v>
      </c>
      <c r="G431" s="72">
        <f>'RESUMEN TOTAL'!M471</f>
        <v>0</v>
      </c>
      <c r="H431" s="72">
        <f>'RESUMEN TOTAL'!N471</f>
        <v>0</v>
      </c>
      <c r="I431" s="72">
        <f>'RESUMEN TOTAL'!O471</f>
        <v>0</v>
      </c>
      <c r="J431" s="72">
        <f>'RESUMEN TOTAL'!P471</f>
        <v>0</v>
      </c>
      <c r="K431" s="72">
        <f>'RESUMEN TOTAL'!Q471</f>
        <v>0</v>
      </c>
      <c r="L431" s="72">
        <f>'RESUMEN TOTAL'!R471</f>
        <v>0</v>
      </c>
      <c r="M431" s="72">
        <f>'RESUMEN TOTAL'!S471</f>
        <v>0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01</v>
      </c>
      <c r="C432" t="str">
        <f>'RESUMEN TOTAL'!D472</f>
        <v>AV. HUDSON Y AV. LUJAN</v>
      </c>
      <c r="D432" s="30" t="str">
        <f>'RESUMEN TOTAL'!E472</f>
        <v>DOMO</v>
      </c>
      <c r="E432" s="30" t="str">
        <f>'RESUMEN TOTAL'!F472</f>
        <v>Fibra Optica</v>
      </c>
      <c r="F432" s="72" t="str">
        <f>'RESUMEN TOTAL'!L472</f>
        <v>APAGADO</v>
      </c>
      <c r="G432" s="72" t="str">
        <f>'RESUMEN TOTAL'!M472</f>
        <v>APAGADO</v>
      </c>
      <c r="H432" s="72" t="str">
        <f>'RESUMEN TOTAL'!N472</f>
        <v>APAGADO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02</v>
      </c>
      <c r="C433" t="str">
        <f>'RESUMEN TOTAL'!D473</f>
        <v>AV. LUJAN Y CALLE 909 A</v>
      </c>
      <c r="D433" s="30" t="str">
        <f>'RESUMEN TOTAL'!E473</f>
        <v>DOMO</v>
      </c>
      <c r="E433" s="30" t="str">
        <f>'RESUMEN TOTAL'!F473</f>
        <v>Fibra Optica</v>
      </c>
      <c r="F433" s="72">
        <f>'RESUMEN TOTAL'!L473</f>
        <v>0</v>
      </c>
      <c r="G433" s="72">
        <f>'RESUMEN TOTAL'!M473</f>
        <v>0</v>
      </c>
      <c r="H433" s="72">
        <f>'RESUMEN TOTAL'!N473</f>
        <v>0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03 (fija 1)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HUDSON</v>
      </c>
      <c r="B435" t="str">
        <f>'RESUMEN TOTAL'!B475</f>
        <v>VHS 04 (fija 2)</v>
      </c>
      <c r="C435" t="str">
        <f>'RESUMEN TOTAL'!D475</f>
        <v>AV. HUDSON Y LOS INMIGRANTES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01 (fija 1)</v>
      </c>
      <c r="C436" t="str">
        <f>'RESUMEN TOTAL'!D476</f>
        <v>820 Y SOLER</v>
      </c>
      <c r="D436" s="30" t="str">
        <f>'RESUMEN TOTAL'!E476</f>
        <v>Fija</v>
      </c>
      <c r="E436" s="30" t="str">
        <f>'RESUMEN TOTAL'!F476</f>
        <v>Fibra Optica</v>
      </c>
      <c r="F436" s="72" t="str">
        <f>'RESUMEN TOTAL'!L476</f>
        <v>APAGADO</v>
      </c>
      <c r="G436" s="72" t="str">
        <f>'RESUMEN TOTAL'!M476</f>
        <v>APAGADO</v>
      </c>
      <c r="H436" s="72" t="str">
        <f>'RESUMEN TOTAL'!N476</f>
        <v>APAGADO</v>
      </c>
      <c r="I436" s="72" t="str">
        <f>'RESUMEN TOTAL'!O476</f>
        <v>APAGADO</v>
      </c>
      <c r="J436" s="72" t="str">
        <f>'RESUMEN TOTAL'!P476</f>
        <v>APAGADO</v>
      </c>
      <c r="K436" s="72" t="str">
        <f>'RESUMEN TOTAL'!Q476</f>
        <v>APAGADO</v>
      </c>
      <c r="L436" s="72" t="str">
        <f>'RESUMEN TOTAL'!R476</f>
        <v>APAGADO</v>
      </c>
      <c r="M436" s="72" t="str">
        <f>'RESUMEN TOTAL'!S476</f>
        <v>APAGADO</v>
      </c>
      <c r="N436" s="72" t="str">
        <f>'RESUMEN TOTAL'!T476</f>
        <v>APAGADO</v>
      </c>
      <c r="O436" s="72" t="str">
        <f>'RESUMEN TOTAL'!U476</f>
        <v>APAGADO</v>
      </c>
      <c r="P436" s="72" t="str">
        <f>'RESUMEN TOTAL'!V476</f>
        <v>APAGADO</v>
      </c>
      <c r="Q436" s="72" t="str">
        <f>'RESUMEN TOTAL'!W476</f>
        <v>APAGADO</v>
      </c>
      <c r="R436" s="72" t="str">
        <f>'RESUMEN TOTAL'!X476</f>
        <v>APAGADO</v>
      </c>
      <c r="S436" s="72" t="str">
        <f>'RESUMEN TOTAL'!Y476</f>
        <v>APAGADO</v>
      </c>
      <c r="T436" s="72" t="str">
        <f>'RESUMEN TOTAL'!Z476</f>
        <v>APAGADO</v>
      </c>
      <c r="U436" s="72" t="str">
        <f>'RESUMEN TOTAL'!AA476</f>
        <v>APAGADO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 02</v>
      </c>
      <c r="C437" t="str">
        <f>'RESUMEN TOTAL'!D477</f>
        <v>ESPORA Y HUDSON</v>
      </c>
      <c r="D437" s="30" t="str">
        <f>'RESUMEN TOTAL'!E477</f>
        <v>DOMO</v>
      </c>
      <c r="E437" s="30" t="str">
        <f>'RESUMEN TOTAL'!F477</f>
        <v>Fibra Optica</v>
      </c>
      <c r="F437" s="72">
        <f>'RESUMEN TOTAL'!L477</f>
        <v>0</v>
      </c>
      <c r="G437" s="72">
        <f>'RESUMEN TOTAL'!M477</f>
        <v>0</v>
      </c>
      <c r="H437" s="72">
        <f>'RESUMEN TOTAL'!N477</f>
        <v>0</v>
      </c>
      <c r="I437" s="72">
        <f>'RESUMEN TOTAL'!O477</f>
        <v>0</v>
      </c>
      <c r="J437" s="72">
        <f>'RESUMEN TOTAL'!P477</f>
        <v>0</v>
      </c>
      <c r="K437" s="72">
        <f>'RESUMEN TOTAL'!Q477</f>
        <v>0</v>
      </c>
      <c r="L437" s="72">
        <f>'RESUMEN TOTAL'!R477</f>
        <v>0</v>
      </c>
      <c r="M437" s="72">
        <f>'RESUMEN TOTAL'!S477</f>
        <v>0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VLA03 (fija 2)</v>
      </c>
      <c r="C438" t="str">
        <f>'RESUMEN TOTAL'!D478</f>
        <v>820 y SOLER</v>
      </c>
      <c r="D438" s="30" t="str">
        <f>'RESUMEN TOTAL'!E478</f>
        <v>Fija</v>
      </c>
      <c r="E438" s="30" t="str">
        <f>'RESUMEN TOTAL'!F478</f>
        <v>Fibra Optica</v>
      </c>
      <c r="F438" s="72" t="str">
        <f>'RESUMEN TOTAL'!L478</f>
        <v>APAGADO</v>
      </c>
      <c r="G438" s="72" t="str">
        <f>'RESUMEN TOTAL'!M478</f>
        <v>APAGADO</v>
      </c>
      <c r="H438" s="72" t="str">
        <f>'RESUMEN TOTAL'!N478</f>
        <v>APAGADO</v>
      </c>
      <c r="I438" s="72" t="str">
        <f>'RESUMEN TOTAL'!O478</f>
        <v>APAGADO</v>
      </c>
      <c r="J438" s="72" t="str">
        <f>'RESUMEN TOTAL'!P478</f>
        <v>APAGADO</v>
      </c>
      <c r="K438" s="72" t="str">
        <f>'RESUMEN TOTAL'!Q478</f>
        <v>APAGADO</v>
      </c>
      <c r="L438" s="72" t="str">
        <f>'RESUMEN TOTAL'!R478</f>
        <v>APAGADO</v>
      </c>
      <c r="M438" s="72" t="str">
        <f>'RESUMEN TOTAL'!S478</f>
        <v>APAGADO</v>
      </c>
      <c r="N438" s="72" t="str">
        <f>'RESUMEN TOTAL'!T478</f>
        <v>APAGADO</v>
      </c>
      <c r="O438" s="72" t="str">
        <f>'RESUMEN TOTAL'!U478</f>
        <v>APAGADO</v>
      </c>
      <c r="P438" s="72" t="str">
        <f>'RESUMEN TOTAL'!V478</f>
        <v>APAGADO</v>
      </c>
      <c r="Q438" s="72" t="str">
        <f>'RESUMEN TOTAL'!W478</f>
        <v>APAGADO</v>
      </c>
      <c r="R438" s="72" t="str">
        <f>'RESUMEN TOTAL'!X478</f>
        <v>APAGADO</v>
      </c>
      <c r="S438" s="72" t="str">
        <f>'RESUMEN TOTAL'!Y478</f>
        <v>APAGADO</v>
      </c>
      <c r="T438" s="72" t="str">
        <f>'RESUMEN TOTAL'!Z478</f>
        <v>APAGADO</v>
      </c>
      <c r="U438" s="72" t="str">
        <f>'RESUMEN TOTAL'!AA478</f>
        <v>APAGADO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VLA04</v>
      </c>
      <c r="C439" t="str">
        <f>'RESUMEN TOTAL'!D479</f>
        <v>ESPORA Y MARTIN GRASS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ARIAS</v>
      </c>
      <c r="B440" t="str">
        <f>'RESUMEN TOTAL'!B480</f>
        <v>VLA05</v>
      </c>
      <c r="C440" t="str">
        <f>'RESUMEN TOTAL'!D480</f>
        <v>ESPORA Y 802</v>
      </c>
      <c r="D440" s="30" t="str">
        <f>'RESUMEN TOTAL'!E480</f>
        <v>DOMO</v>
      </c>
      <c r="E440" s="30" t="str">
        <f>'RESUMEN TOTAL'!F480</f>
        <v>Fibra Optica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02</v>
      </c>
      <c r="C441" t="str">
        <f>'RESUMEN TOTAL'!D481</f>
        <v>Rio Carapachay y Oroño</v>
      </c>
      <c r="D441" s="30" t="str">
        <f>'RESUMEN TOTAL'!E481</f>
        <v>Domo</v>
      </c>
      <c r="E441" s="30" t="str">
        <f>'RESUMEN TOTAL'!F481</f>
        <v>Radio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03 (fija 1)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04 (fija 2)</v>
      </c>
      <c r="C443" t="str">
        <f>'RESUMEN TOTAL'!D483</f>
        <v>EVA PERON E/ OROÑO Y 734 A</v>
      </c>
      <c r="D443" s="30" t="str">
        <f>'RESUMEN TOTAL'!E483</f>
        <v>Fija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 05</v>
      </c>
      <c r="C444" t="str">
        <f>'RESUMEN TOTAL'!D484</f>
        <v>OROÑO Y EVA PERON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NUEVA</v>
      </c>
      <c r="B445" t="str">
        <f>'RESUMEN TOTAL'!B485</f>
        <v>VMO01</v>
      </c>
      <c r="C445" t="str">
        <f>'RESUMEN TOTAL'!D485</f>
        <v>Eva Peron y Monseñor de las Casas</v>
      </c>
      <c r="D445" s="30" t="str">
        <f>'RESUMEN TOTAL'!E485</f>
        <v>DOMO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VMOV01 (fija 1)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02 (fija 2)</v>
      </c>
      <c r="C447" t="str">
        <f>'RESUMEN TOTAL'!D487</f>
        <v>ATENAS E/ CAFFERATA Y ALEMANIA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 03 (fija 1)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MONICA VIEJA</v>
      </c>
      <c r="B449" t="str">
        <f>'RESUMEN TOTAL'!B489</f>
        <v>VMOV04 (fija 2)</v>
      </c>
      <c r="C449" t="str">
        <f>'RESUMEN TOTAL'!D489</f>
        <v>ROMA E/ HOLANDA Y CAFFERATA</v>
      </c>
      <c r="D449" s="30" t="str">
        <f>'RESUMEN TOTAL'!E489</f>
        <v>Fija</v>
      </c>
      <c r="E449" s="30" t="str">
        <f>'RESUMEN TOTAL'!F489</f>
        <v>Fibra Optica</v>
      </c>
      <c r="F449" s="72">
        <f>'RESUMEN TOTAL'!L489</f>
        <v>0</v>
      </c>
      <c r="G449" s="72">
        <f>'RESUMEN TOTAL'!M489</f>
        <v>0</v>
      </c>
      <c r="H449" s="72">
        <f>'RESUMEN TOTAL'!N489</f>
        <v>0</v>
      </c>
      <c r="I449" s="72">
        <f>'RESUMEN TOTAL'!O489</f>
        <v>0</v>
      </c>
      <c r="J449" s="72">
        <f>'RESUMEN TOTAL'!P489</f>
        <v>0</v>
      </c>
      <c r="K449" s="72">
        <f>'RESUMEN TOTAL'!Q489</f>
        <v>0</v>
      </c>
      <c r="L449" s="72">
        <f>'RESUMEN TOTAL'!R489</f>
        <v>0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SAN LUIS</v>
      </c>
      <c r="B450" t="str">
        <f>'RESUMEN TOTAL'!B490</f>
        <v>VSL 01</v>
      </c>
      <c r="C450" t="str">
        <f>'RESUMEN TOTAL'!D490</f>
        <v>AV. HUDSON Y CACHEUTA</v>
      </c>
      <c r="D450" s="30" t="str">
        <f>'RESUMEN TOTAL'!E490</f>
        <v>DOMO</v>
      </c>
      <c r="E450" s="30" t="str">
        <f>'RESUMEN TOTAL'!F490</f>
        <v>Fibra Optica</v>
      </c>
      <c r="F450" s="72" t="str">
        <f>'RESUMEN TOTAL'!L490</f>
        <v>APAGADO</v>
      </c>
      <c r="G450" s="72" t="str">
        <f>'RESUMEN TOTAL'!M490</f>
        <v>APAGADO</v>
      </c>
      <c r="H450" s="72" t="str">
        <f>'RESUMEN TOTAL'!N490</f>
        <v>APAGADO</v>
      </c>
      <c r="I450" s="72" t="str">
        <f>'RESUMEN TOTAL'!O490</f>
        <v>APAGADO</v>
      </c>
      <c r="J450" s="72" t="str">
        <f>'RESUMEN TOTAL'!P490</f>
        <v>APAGADO</v>
      </c>
      <c r="K450" s="72" t="str">
        <f>'RESUMEN TOTAL'!Q490</f>
        <v>APAGADO</v>
      </c>
      <c r="L450" s="72" t="str">
        <f>'RESUMEN TOTAL'!R490</f>
        <v>APAGADO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VSU01</v>
      </c>
      <c r="C451" t="str">
        <f>'RESUMEN TOTAL'!D491</f>
        <v>CJAL. JUAN BROWN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02</v>
      </c>
      <c r="C452" t="str">
        <f>'RESUMEN TOTAL'!D492</f>
        <v>CABELLO Y SANTA FE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03</v>
      </c>
      <c r="C453" t="str">
        <f>'RESUMEN TOTAL'!D493</f>
        <v>EE.UU Y SERRANO</v>
      </c>
      <c r="D453" s="30" t="str">
        <f>'RESUMEN TOTAL'!E493</f>
        <v>DOMO</v>
      </c>
      <c r="E453" s="30" t="str">
        <f>'RESUMEN TOTAL'!F493</f>
        <v>Radio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04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05</v>
      </c>
      <c r="C455" t="str">
        <f>'RESUMEN TOTAL'!D495</f>
        <v>Aniceto Diaz y Cordoba</v>
      </c>
      <c r="D455" s="30" t="str">
        <f>'RESUMEN TOTAL'!E495</f>
        <v>fija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VILLA SUSANA</v>
      </c>
      <c r="B456" t="str">
        <f>'RESUMEN TOTAL'!B496</f>
        <v>VSU 06</v>
      </c>
      <c r="C456" t="str">
        <f>'RESUMEN TOTAL'!D496</f>
        <v>EE.UU Y BROWN</v>
      </c>
      <c r="D456" s="30" t="str">
        <f>'RESUMEN TOTAL'!E496</f>
        <v>DOMO</v>
      </c>
      <c r="E456" s="30" t="str">
        <f>'RESUMEN TOTAL'!F496</f>
        <v>Fibra Optica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ZEBALLOS</v>
      </c>
      <c r="B457" t="str">
        <f>'RESUMEN TOTAL'!B497</f>
        <v>ZEB02</v>
      </c>
      <c r="C457" t="str">
        <f>'RESUMEN TOTAL'!D497</f>
        <v>Quinquela Martin y Sgo. del Estero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9 DE JULIO</v>
      </c>
      <c r="B458" t="str">
        <f>'RESUMEN TOTAL'!B498</f>
        <v>ZEB03</v>
      </c>
      <c r="C458" t="str">
        <f>'RESUMEN TOTAL'!D498</f>
        <v>Quinquela Martin y Pte. Peron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ZEB04</v>
      </c>
      <c r="C459" t="str">
        <f>'RESUMEN TOTAL'!D499</f>
        <v>THEVENET Y DIAGONAL GRANADEROS</v>
      </c>
      <c r="D459" s="30" t="str">
        <f>'RESUMEN TOTAL'!E499</f>
        <v>DOMO</v>
      </c>
      <c r="E459" s="30" t="str">
        <f>'RESUMEN TOTAL'!F499</f>
        <v>GPON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'RESUMEN TOTAL'!A500</f>
        <v>ZEBALLOS</v>
      </c>
      <c r="B460" t="str">
        <f>'RESUMEN TOTAL'!B500</f>
        <v>ZEB 05</v>
      </c>
      <c r="C460" t="str">
        <f>'RESUMEN TOTAL'!D500</f>
        <v>DIAG. GRANADEROS Y 214 BIS</v>
      </c>
      <c r="D460" s="30" t="str">
        <f>'RESUMEN TOTAL'!E500</f>
        <v>Domo</v>
      </c>
      <c r="E460" s="30" t="str">
        <f>'RESUMEN TOTAL'!F500</f>
        <v>Radio</v>
      </c>
      <c r="F460" s="72">
        <f>'RESUMEN TOTAL'!L500</f>
        <v>0</v>
      </c>
      <c r="G460" s="72">
        <f>'RESUMEN TOTAL'!M500</f>
        <v>0</v>
      </c>
      <c r="H460" s="72">
        <f>'RESUMEN TOTAL'!N500</f>
        <v>0</v>
      </c>
      <c r="I460" s="72">
        <f>'RESUMEN TOTAL'!O500</f>
        <v>0</v>
      </c>
      <c r="J460" s="72">
        <f>'RESUMEN TOTAL'!P500</f>
        <v>0</v>
      </c>
      <c r="K460" s="72">
        <f>'RESUMEN TOTAL'!Q500</f>
        <v>0</v>
      </c>
      <c r="L460" s="72">
        <f>'RESUMEN TOTAL'!R500</f>
        <v>0</v>
      </c>
      <c r="M460" s="72">
        <f>'RESUMEN TOTAL'!S500</f>
        <v>0</v>
      </c>
      <c r="N460" s="72">
        <f>'RESUMEN TOTAL'!T500</f>
        <v>0</v>
      </c>
      <c r="O460" s="72">
        <f>'RESUMEN TOTAL'!U500</f>
        <v>0</v>
      </c>
      <c r="P460" s="72">
        <f>'RESUMEN TOTAL'!V500</f>
        <v>0</v>
      </c>
      <c r="Q460" s="72">
        <f>'RESUMEN TOTAL'!W500</f>
        <v>0</v>
      </c>
      <c r="R460" s="72">
        <f>'RESUMEN TOTAL'!X500</f>
        <v>0</v>
      </c>
      <c r="S460" s="72">
        <f>'RESUMEN TOTAL'!Y500</f>
        <v>0</v>
      </c>
      <c r="T460" s="72">
        <f>'RESUMEN TOTAL'!Z500</f>
        <v>0</v>
      </c>
      <c r="U460" s="72">
        <f>'RESUMEN TOTAL'!AA500</f>
        <v>0</v>
      </c>
      <c r="V460" s="72">
        <f>'RESUMEN TOTAL'!AB500</f>
        <v>0</v>
      </c>
      <c r="W460" s="72">
        <f>'RESUMEN TOTAL'!AC500</f>
        <v>0</v>
      </c>
      <c r="X460" s="72">
        <f>'RESUMEN TOTAL'!AD500</f>
        <v>0</v>
      </c>
      <c r="Y460" s="72">
        <f>'RESUMEN TOTAL'!AE500</f>
        <v>0</v>
      </c>
      <c r="Z460" s="72">
        <f>'RESUMEN TOTAL'!AF500</f>
        <v>0</v>
      </c>
      <c r="AA460" s="72">
        <f>'RESUMEN TOTAL'!AG500</f>
        <v>0</v>
      </c>
      <c r="AB460" s="72">
        <f>'RESUMEN TOTAL'!AH500</f>
        <v>0</v>
      </c>
      <c r="AC460" s="72">
        <f>'RESUMEN TOTAL'!AI500</f>
        <v>0</v>
      </c>
      <c r="AD460" s="72">
        <f>'RESUMEN TOTAL'!AJ500</f>
        <v>0</v>
      </c>
      <c r="AE460" s="72">
        <f>'RESUMEN TOTAL'!AK500</f>
        <v>0</v>
      </c>
      <c r="AF460" s="72">
        <f>'RESUMEN TOTAL'!AL500</f>
        <v>0</v>
      </c>
      <c r="AG460" s="72">
        <f>'RESUMEN TOTAL'!AM500</f>
        <v>0</v>
      </c>
      <c r="AH460" s="72">
        <f>'RESUMEN TOTAL'!AN500</f>
        <v>0</v>
      </c>
      <c r="AI460" s="72">
        <f>'RESUMEN TOTAL'!AO500</f>
        <v>0</v>
      </c>
      <c r="AJ460" s="72">
        <f>'RESUMEN TOTAL'!AP500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 s="30">
        <f>'RESUMEN TOTAL'!E678</f>
        <v>0</v>
      </c>
      <c r="E641" s="30">
        <f>'RESUMEN TOTAL'!F678</f>
        <v>0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TOTAL'!L680</f>
        <v>0</v>
      </c>
      <c r="G643" s="72">
        <f>'RESUMEN TOTAL'!M680</f>
        <v>0</v>
      </c>
      <c r="H643" s="72">
        <f>'RESUMEN TOTAL'!N680</f>
        <v>0</v>
      </c>
      <c r="I643" s="72">
        <f>'RESUMEN TOTAL'!O680</f>
        <v>0</v>
      </c>
      <c r="J643" s="72">
        <f>'RESUMEN TOTAL'!P680</f>
        <v>0</v>
      </c>
      <c r="K643" s="72">
        <f>'RESUMEN TOTAL'!Q680</f>
        <v>0</v>
      </c>
      <c r="L643" s="72">
        <f>'RESUMEN TOTAL'!R680</f>
        <v>0</v>
      </c>
      <c r="M643" s="72">
        <f>'RESUMEN TOTAL'!S680</f>
        <v>0</v>
      </c>
      <c r="N643" s="72">
        <f>'RESUMEN TOTAL'!T680</f>
        <v>0</v>
      </c>
      <c r="O643" s="72">
        <f>'RESUMEN TOTAL'!U680</f>
        <v>0</v>
      </c>
      <c r="P643" s="72">
        <f>'RESUMEN TOTAL'!V680</f>
        <v>0</v>
      </c>
      <c r="Q643" s="72">
        <f>'RESUMEN TOTAL'!W680</f>
        <v>0</v>
      </c>
      <c r="R643" s="72">
        <f>'RESUMEN TOTAL'!X680</f>
        <v>0</v>
      </c>
      <c r="S643" s="72">
        <f>'RESUMEN TOTAL'!Y680</f>
        <v>0</v>
      </c>
      <c r="T643" s="72">
        <f>'RESUMEN TOTAL'!Z680</f>
        <v>0</v>
      </c>
      <c r="U643" s="72">
        <f>'RESUMEN TOTAL'!AA680</f>
        <v>0</v>
      </c>
      <c r="V643" s="72">
        <f>'RESUMEN TOTAL'!AB680</f>
        <v>0</v>
      </c>
      <c r="W643" s="72">
        <f>'RESUMEN TOTAL'!AC680</f>
        <v>0</v>
      </c>
      <c r="X643" s="72">
        <f>'RESUMEN TOTAL'!AD680</f>
        <v>0</v>
      </c>
      <c r="Y643" s="72">
        <f>'RESUMEN TOTAL'!AE680</f>
        <v>0</v>
      </c>
      <c r="Z643" s="72">
        <f>'RESUMEN TOTAL'!AF680</f>
        <v>0</v>
      </c>
      <c r="AA643" s="72">
        <f>'RESUMEN TOTAL'!AG680</f>
        <v>0</v>
      </c>
      <c r="AB643" s="72">
        <f>'RESUMEN TOTAL'!AH680</f>
        <v>0</v>
      </c>
      <c r="AC643" s="72">
        <f>'RESUMEN TOTAL'!AI680</f>
        <v>0</v>
      </c>
      <c r="AD643" s="72">
        <f>'RESUMEN TOTAL'!AJ680</f>
        <v>0</v>
      </c>
      <c r="AE643" s="72">
        <f>'RESUMEN TOTAL'!AK680</f>
        <v>0</v>
      </c>
      <c r="AF643" s="72">
        <f>'RESUMEN TOTAL'!AL680</f>
        <v>0</v>
      </c>
      <c r="AG643" s="72">
        <f>'RESUMEN TOTAL'!AM680</f>
        <v>0</v>
      </c>
      <c r="AH643" s="72">
        <f>'RESUMEN TOTAL'!AN680</f>
        <v>0</v>
      </c>
      <c r="AI643" s="72">
        <f>'RESUMEN TOTAL'!AO680</f>
        <v>0</v>
      </c>
      <c r="AJ643" s="72">
        <f>'RESUMEN TOTAL'!AP680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9">
    <cfRule type="containsText" dxfId="40" priority="69" operator="containsText" text="Radio">
      <formula>NOT(ISERROR(SEARCH("Radio",D439)))</formula>
    </cfRule>
    <cfRule type="containsText" dxfId="39" priority="68" operator="containsText" text="domo">
      <formula>NOT(ISERROR(SEARCH("domo",D439)))</formula>
    </cfRule>
    <cfRule type="containsText" dxfId="38" priority="67" operator="containsText" text="fija">
      <formula>NOT(ISERROR(SEARCH("fija",D439)))</formula>
    </cfRule>
  </conditionalFormatting>
  <conditionalFormatting sqref="D439:D440">
    <cfRule type="containsText" dxfId="37" priority="65" operator="containsText" text="domo">
      <formula>NOT(ISERROR(SEARCH("domo",D439)))</formula>
    </cfRule>
    <cfRule type="containsText" dxfId="36" priority="64" operator="containsText" text="fija">
      <formula>NOT(ISERROR(SEARCH("fija",D439)))</formula>
    </cfRule>
  </conditionalFormatting>
  <conditionalFormatting sqref="D440">
    <cfRule type="containsText" dxfId="35" priority="66" operator="containsText" text="Radio">
      <formula>NOT(ISERROR(SEARCH("Radio",D440)))</formula>
    </cfRule>
    <cfRule type="containsText" dxfId="34" priority="63" operator="containsText" text="domo">
      <formula>NOT(ISERROR(SEARCH("domo",D440)))</formula>
    </cfRule>
    <cfRule type="containsText" dxfId="33" priority="62" operator="containsText" text="fija">
      <formula>NOT(ISERROR(SEARCH("fija",D440)))</formula>
    </cfRule>
  </conditionalFormatting>
  <conditionalFormatting sqref="D443">
    <cfRule type="containsText" dxfId="32" priority="59" operator="containsText" text="fija">
      <formula>NOT(ISERROR(SEARCH("fija",D443)))</formula>
    </cfRule>
    <cfRule type="containsText" dxfId="31" priority="61" operator="containsText" text="Radio">
      <formula>NOT(ISERROR(SEARCH("Radio",D443)))</formula>
    </cfRule>
    <cfRule type="containsText" dxfId="30" priority="60" operator="containsText" text="domo">
      <formula>NOT(ISERROR(SEARCH("domo",D443)))</formula>
    </cfRule>
  </conditionalFormatting>
  <conditionalFormatting sqref="D443:D444">
    <cfRule type="containsText" dxfId="29" priority="56" operator="containsText" text="fija">
      <formula>NOT(ISERROR(SEARCH("fija",D443)))</formula>
    </cfRule>
    <cfRule type="containsText" dxfId="28" priority="57" operator="containsText" text="domo">
      <formula>NOT(ISERROR(SEARCH("domo",D443)))</formula>
    </cfRule>
  </conditionalFormatting>
  <conditionalFormatting sqref="D444:D445">
    <cfRule type="containsText" dxfId="27" priority="54" operator="containsText" text="domo">
      <formula>NOT(ISERROR(SEARCH("domo",D444)))</formula>
    </cfRule>
    <cfRule type="containsText" dxfId="26" priority="53" operator="containsText" text="fija">
      <formula>NOT(ISERROR(SEARCH("fija",D444)))</formula>
    </cfRule>
  </conditionalFormatting>
  <conditionalFormatting sqref="D445">
    <cfRule type="containsText" dxfId="25" priority="55" operator="containsText" text="Radio">
      <formula>NOT(ISERROR(SEARCH("Radio",D445)))</formula>
    </cfRule>
  </conditionalFormatting>
  <conditionalFormatting sqref="D445:D446">
    <cfRule type="containsText" dxfId="24" priority="50" operator="containsText" text="fija">
      <formula>NOT(ISERROR(SEARCH("fija",D445)))</formula>
    </cfRule>
    <cfRule type="containsText" dxfId="23" priority="51" operator="containsText" text="domo">
      <formula>NOT(ISERROR(SEARCH("domo",D445)))</formula>
    </cfRule>
  </conditionalFormatting>
  <conditionalFormatting sqref="D446">
    <cfRule type="containsText" dxfId="22" priority="48" operator="containsText" text="fija">
      <formula>NOT(ISERROR(SEARCH("fija",D446)))</formula>
    </cfRule>
    <cfRule type="containsText" dxfId="21" priority="49" operator="containsText" text="domo">
      <formula>NOT(ISERROR(SEARCH("domo",D446)))</formula>
    </cfRule>
    <cfRule type="containsText" dxfId="20" priority="52" operator="containsText" text="Radio">
      <formula>NOT(ISERROR(SEARCH("Radio",D446)))</formula>
    </cfRule>
  </conditionalFormatting>
  <conditionalFormatting sqref="D448">
    <cfRule type="containsText" dxfId="19" priority="171" operator="containsText" text="fija">
      <formula>NOT(ISERROR(SEARCH("fija",D448)))</formula>
    </cfRule>
    <cfRule type="containsText" dxfId="18" priority="172" operator="containsText" text="domo">
      <formula>NOT(ISERROR(SEARCH("domo",D448)))</formula>
    </cfRule>
  </conditionalFormatting>
  <conditionalFormatting sqref="D451:D453">
    <cfRule type="containsText" dxfId="17" priority="70" operator="containsText" text="fija">
      <formula>NOT(ISERROR(SEARCH("fija",D451)))</formula>
    </cfRule>
    <cfRule type="containsText" dxfId="16" priority="71" operator="containsText" text="domo">
      <formula>NOT(ISERROR(SEARCH("domo",D451)))</formula>
    </cfRule>
  </conditionalFormatting>
  <conditionalFormatting sqref="D642">
    <cfRule type="containsText" dxfId="15" priority="1" operator="containsText" text="Radio">
      <formula>NOT(ISERROR(SEARCH("Radio",D642)))</formula>
    </cfRule>
  </conditionalFormatting>
  <conditionalFormatting sqref="D4:E641">
    <cfRule type="containsText" dxfId="14" priority="58" operator="containsText" text="Radio">
      <formula>NOT(ISERROR(SEARCH("Radio",D4)))</formula>
    </cfRule>
  </conditionalFormatting>
  <conditionalFormatting sqref="D448:E448 D458:E641">
    <cfRule type="containsText" dxfId="13" priority="193" operator="containsText" text="Radio">
      <formula>NOT(ISERROR(SEARCH("Radio",D448)))</formula>
    </cfRule>
  </conditionalFormatting>
  <conditionalFormatting sqref="E4:E665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8">
    <cfRule type="cellIs" dxfId="9" priority="11" operator="equal">
      <formula>"PTP A FO"</formula>
    </cfRule>
    <cfRule type="containsText" dxfId="8" priority="10" operator="containsText" text="Radio">
      <formula>NOT(ISERROR(SEARCH("Radio",E438)))</formula>
    </cfRule>
  </conditionalFormatting>
  <conditionalFormatting sqref="E642:E665">
    <cfRule type="containsText" dxfId="7" priority="3" operator="containsText" text="Radio">
      <formula>NOT(ISERROR(SEARCH("Radio",E642)))</formula>
    </cfRule>
  </conditionalFormatting>
  <conditionalFormatting sqref="F5:AJ643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2025-07-17T10:17:02Z</dcterms:modified>
</cp:coreProperties>
</file>