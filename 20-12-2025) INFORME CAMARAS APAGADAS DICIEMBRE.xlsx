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7304A927-5318-47EC-88AB-0F8E160FA33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1" i="24" l="1"/>
  <c r="J192" i="24" s="1"/>
  <c r="K231" i="2"/>
  <c r="I231" i="2"/>
  <c r="K394" i="2"/>
  <c r="I394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J193" i="24" l="1"/>
  <c r="L565" i="2"/>
  <c r="L394" i="2"/>
  <c r="L231" i="2"/>
  <c r="L412" i="2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<sst xmlns="http://schemas.openxmlformats.org/spreadsheetml/2006/main" count="6828" uniqueCount="2288">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</sst>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7.6158940397350994E-2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7.6158940397350994E-2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7.6158940397350994E-2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7.6158940397350994E-2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2"/>
  <sheetViews>
    <sheetView tabSelected="1" zoomScale="60" zoomScaleNormal="60" workbookViewId="0">
      <pane xSplit="12" ySplit="7" topLeftCell="AE292" activePane="bottomRight" state="frozen"/>
      <selection pane="topRight" activeCell="M1" sqref="M1"/>
      <selection pane="bottomLeft" activeCell="A5" sqref="A5"/>
      <selection pane="bottomRight" activeCell="AF315" sqref="AF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0.14732142857142858</v>
      </c>
      <c r="AD1" s="3">
        <f t="shared" si="1"/>
        <v>0.16472303206997085</v>
      </c>
      <c r="AE1" s="3">
        <f t="shared" si="1"/>
        <v>0.12652439024390244</v>
      </c>
      <c r="AF1" s="3">
        <f t="shared" si="1"/>
        <v>0.11162790697674418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61</v>
      </c>
      <c r="AD4" s="10">
        <f>COUNTIFS(AD8:AD688, "=APAGADO",F8:F688,"=Fibra Optica")</f>
        <v>72</v>
      </c>
      <c r="AE4" s="10">
        <f>COUNTIFS(AE8:AE688, "=APAGADO",F8:F688,"=Fibra Optica")</f>
        <v>44</v>
      </c>
      <c r="AF4" s="10">
        <f>COUNTIFS(AF8:AF688, "=APAGADO",F8:F688,"=Fibra Optica")</f>
        <v>36</v>
      </c>
      <c r="AG4" s="10">
        <f>COUNTIFS(AG8:AG688, "=APAGADO",F8:F688,"=Fibra Optica")</f>
        <v>0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4</v>
      </c>
      <c r="AD5" s="130">
        <f>COUNTIFS(AD8:AD688, "=APAGADO",F8:F688,"=RADIO")</f>
        <v>2</v>
      </c>
      <c r="AE5" s="130">
        <f>COUNTIFS(AE8:AE688, "=APAGADO",F8:F688,"=RADIO")</f>
        <v>5</v>
      </c>
      <c r="AF5" s="130">
        <f>COUNTIFS(AF8:AF688, "=APAGADO",F8:F688,"=RADIO")</f>
        <v>4</v>
      </c>
      <c r="AG5" s="130">
        <f>COUNTIFS(AG8:AG688, "=APAGADO",F8:F688,"=RADIO")</f>
        <v>0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8</v>
      </c>
      <c r="AD6" s="10">
        <f>COUNTIFS(AD8:AD688, "=APAGADO",F8:F688,"=PTO A FO")</f>
        <v>11</v>
      </c>
      <c r="AE6" s="10">
        <f>COUNTIFS(AE8:AE688, "=APAGADO",F8:F688,"=PTO A FO")</f>
        <v>3</v>
      </c>
      <c r="AF6" s="10">
        <f>COUNTIFS(AF8:AF688, "=APAGADO",F8:F688,"=PTO A FO")</f>
        <v>4</v>
      </c>
      <c r="AG6" s="10">
        <f>COUNTIFS(AG8:AG688, "=APAGADO",F8:F688,"=PTO A FO")</f>
        <v>0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8</v>
      </c>
      <c r="J17" s="150" t="s">
        <v>1676</v>
      </c>
      <c r="K17" s="142">
        <f t="shared" si="6"/>
        <v>20</v>
      </c>
      <c r="L17" s="143">
        <f t="shared" si="7"/>
        <v>0.2857142857142857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8</v>
      </c>
      <c r="J19" s="147" t="s">
        <v>1677</v>
      </c>
      <c r="K19" s="31">
        <f t="shared" si="6"/>
        <v>20</v>
      </c>
      <c r="L19" s="32">
        <f t="shared" si="7"/>
        <v>0.2857142857142857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8</v>
      </c>
      <c r="J20" s="147" t="s">
        <v>1678</v>
      </c>
      <c r="K20" s="31">
        <f t="shared" si="6"/>
        <v>20</v>
      </c>
      <c r="L20" s="32">
        <f t="shared" si="7"/>
        <v>0.2857142857142857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8</v>
      </c>
      <c r="J34" s="147" t="s">
        <v>1689</v>
      </c>
      <c r="K34" s="134">
        <f t="shared" si="6"/>
        <v>20</v>
      </c>
      <c r="L34" s="135">
        <f t="shared" si="7"/>
        <v>0.2857142857142857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8</v>
      </c>
      <c r="J36" s="87" t="s">
        <v>2157</v>
      </c>
      <c r="K36" s="142">
        <f t="shared" si="6"/>
        <v>20</v>
      </c>
      <c r="L36" s="143">
        <f t="shared" si="7"/>
        <v>0.2857142857142857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24</v>
      </c>
      <c r="J38" s="147" t="s">
        <v>1690</v>
      </c>
      <c r="K38" s="31">
        <f t="shared" si="6"/>
        <v>4</v>
      </c>
      <c r="L38" s="32">
        <f t="shared" si="7"/>
        <v>0.8571428571428571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24</v>
      </c>
      <c r="J39" s="147" t="s">
        <v>1691</v>
      </c>
      <c r="K39" s="31">
        <f t="shared" si="6"/>
        <v>4</v>
      </c>
      <c r="L39" s="32">
        <f t="shared" si="7"/>
        <v>0.8571428571428571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23</v>
      </c>
      <c r="J43" s="87" t="s">
        <v>2192</v>
      </c>
      <c r="K43" s="31">
        <f t="shared" si="6"/>
        <v>5</v>
      </c>
      <c r="L43" s="32">
        <f t="shared" si="7"/>
        <v>0.8214285714285714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9</v>
      </c>
      <c r="J89" s="147" t="s">
        <v>1733</v>
      </c>
      <c r="K89" s="31">
        <f t="shared" si="9"/>
        <v>19</v>
      </c>
      <c r="L89" s="32">
        <f t="shared" si="10"/>
        <v>0.32142857142857145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8</v>
      </c>
      <c r="J99" s="147" t="s">
        <v>1743</v>
      </c>
      <c r="K99" s="142">
        <f t="shared" si="9"/>
        <v>20</v>
      </c>
      <c r="L99" s="143">
        <f t="shared" si="10"/>
        <v>0.2857142857142857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8</v>
      </c>
      <c r="J168" s="147" t="s">
        <v>1801</v>
      </c>
      <c r="K168" s="31">
        <f t="shared" si="12"/>
        <v>20</v>
      </c>
      <c r="L168" s="32">
        <f t="shared" si="13"/>
        <v>0.2857142857142857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25</v>
      </c>
      <c r="J169" s="147" t="s">
        <v>1802</v>
      </c>
      <c r="K169" s="31">
        <f t="shared" si="12"/>
        <v>3</v>
      </c>
      <c r="L169" s="32">
        <f t="shared" si="13"/>
        <v>0.8928571428571429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24</v>
      </c>
      <c r="J180" s="147" t="s">
        <v>1812</v>
      </c>
      <c r="K180" s="31">
        <f t="shared" si="12"/>
        <v>4</v>
      </c>
      <c r="L180" s="32">
        <f t="shared" si="13"/>
        <v>0.8571428571428571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24</v>
      </c>
      <c r="J181" s="147" t="s">
        <v>1813</v>
      </c>
      <c r="K181" s="31">
        <f t="shared" si="12"/>
        <v>4</v>
      </c>
      <c r="L181" s="32">
        <f t="shared" si="13"/>
        <v>0.8571428571428571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24</v>
      </c>
      <c r="J182" s="147" t="s">
        <v>1814</v>
      </c>
      <c r="K182" s="31">
        <f t="shared" si="12"/>
        <v>4</v>
      </c>
      <c r="L182" s="32">
        <f t="shared" si="13"/>
        <v>0.8571428571428571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9</v>
      </c>
      <c r="J193" s="87"/>
      <c r="K193" s="138">
        <f t="shared" si="12"/>
        <v>19</v>
      </c>
      <c r="L193" s="139">
        <f t="shared" si="13"/>
        <v>0.32142857142857145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19</v>
      </c>
      <c r="J194" s="147" t="s">
        <v>1822</v>
      </c>
      <c r="K194" s="142">
        <f t="shared" si="12"/>
        <v>9</v>
      </c>
      <c r="L194" s="143">
        <f t="shared" si="13"/>
        <v>0.6785714285714286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15</v>
      </c>
      <c r="J195" s="147" t="s">
        <v>1823</v>
      </c>
      <c r="K195" s="142">
        <f t="shared" si="12"/>
        <v>13</v>
      </c>
      <c r="L195" s="143">
        <f t="shared" si="13"/>
        <v>0.5357142857142857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8</v>
      </c>
      <c r="J201" s="147" t="s">
        <v>1828</v>
      </c>
      <c r="K201" s="31">
        <f t="shared" si="12"/>
        <v>20</v>
      </c>
      <c r="L201" s="32">
        <f t="shared" si="13"/>
        <v>0.2857142857142857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18</v>
      </c>
      <c r="J211" s="147" t="s">
        <v>1837</v>
      </c>
      <c r="K211" s="142">
        <f t="shared" si="12"/>
        <v>10</v>
      </c>
      <c r="L211" s="143">
        <f t="shared" si="13"/>
        <v>0.6428571428571429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9</v>
      </c>
      <c r="J217" s="147" t="s">
        <v>1842</v>
      </c>
      <c r="K217" s="142">
        <f t="shared" si="12"/>
        <v>19</v>
      </c>
      <c r="L217" s="143">
        <f t="shared" si="13"/>
        <v>0.32142857142857145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16</v>
      </c>
      <c r="J219" s="87"/>
      <c r="K219" s="31">
        <f t="shared" si="12"/>
        <v>12</v>
      </c>
      <c r="L219" s="32">
        <f t="shared" si="13"/>
        <v>0.5714285714285714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16</v>
      </c>
      <c r="J220" s="87"/>
      <c r="K220" s="31">
        <f t="shared" si="12"/>
        <v>12</v>
      </c>
      <c r="L220" s="32">
        <f t="shared" si="13"/>
        <v>0.5714285714285714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9</v>
      </c>
      <c r="J234" s="147" t="s">
        <v>1854</v>
      </c>
      <c r="K234" s="31">
        <f t="shared" si="12"/>
        <v>19</v>
      </c>
      <c r="L234" s="32">
        <f t="shared" si="13"/>
        <v>0.32142857142857145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9</v>
      </c>
      <c r="J281" s="147" t="s">
        <v>1893</v>
      </c>
      <c r="K281" s="31">
        <f t="shared" si="15"/>
        <v>19</v>
      </c>
      <c r="L281" s="32">
        <f t="shared" si="16"/>
        <v>0.32142857142857145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18</v>
      </c>
      <c r="J290" s="147" t="s">
        <v>1901</v>
      </c>
      <c r="K290" s="31">
        <f t="shared" si="15"/>
        <v>10</v>
      </c>
      <c r="L290" s="32">
        <f t="shared" si="16"/>
        <v>0.6428571428571429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18</v>
      </c>
      <c r="J291" s="147" t="s">
        <v>1902</v>
      </c>
      <c r="K291" s="31">
        <f t="shared" si="15"/>
        <v>10</v>
      </c>
      <c r="L291" s="32">
        <f t="shared" si="16"/>
        <v>0.6428571428571429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8</v>
      </c>
      <c r="J296" s="147" t="s">
        <v>1907</v>
      </c>
      <c r="K296" s="31">
        <f t="shared" si="15"/>
        <v>20</v>
      </c>
      <c r="L296" s="32">
        <f t="shared" si="16"/>
        <v>0.2857142857142857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8</v>
      </c>
      <c r="J308" s="147" t="s">
        <v>1918</v>
      </c>
      <c r="K308" s="142">
        <f t="shared" si="15"/>
        <v>20</v>
      </c>
      <c r="L308" s="143">
        <f t="shared" si="16"/>
        <v>0.2857142857142857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8</v>
      </c>
      <c r="J310" s="147" t="s">
        <v>1919</v>
      </c>
      <c r="K310" s="31">
        <f t="shared" ref="K310:K380" si="18">COUNTIF(M310:AN310,"APAGADO")</f>
        <v>20</v>
      </c>
      <c r="L310" s="32">
        <f t="shared" ref="L310:L380" si="19">(I310)/(K310+I310)</f>
        <v>0.2857142857142857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8</v>
      </c>
      <c r="J311" s="147" t="s">
        <v>1920</v>
      </c>
      <c r="K311" s="142">
        <f t="shared" si="18"/>
        <v>20</v>
      </c>
      <c r="L311" s="143">
        <f t="shared" si="19"/>
        <v>0.2857142857142857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8</v>
      </c>
      <c r="J312" s="87" t="s">
        <v>2197</v>
      </c>
      <c r="K312" s="142">
        <f t="shared" si="18"/>
        <v>20</v>
      </c>
      <c r="L312" s="143">
        <f t="shared" si="19"/>
        <v>0.2857142857142857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8</v>
      </c>
      <c r="J313" s="147" t="s">
        <v>1921</v>
      </c>
      <c r="K313" s="142">
        <f t="shared" si="18"/>
        <v>20</v>
      </c>
      <c r="L313" s="143">
        <f t="shared" si="19"/>
        <v>0.2857142857142857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10</v>
      </c>
      <c r="J314" s="147" t="s">
        <v>1922</v>
      </c>
      <c r="K314" s="31">
        <f t="shared" si="18"/>
        <v>18</v>
      </c>
      <c r="L314" s="32">
        <f t="shared" si="19"/>
        <v>0.35714285714285715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23</v>
      </c>
      <c r="J326" s="147" t="s">
        <v>1934</v>
      </c>
      <c r="K326" s="31">
        <f t="shared" si="18"/>
        <v>5</v>
      </c>
      <c r="L326" s="32">
        <f t="shared" si="19"/>
        <v>0.8214285714285714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23</v>
      </c>
      <c r="J327" s="147" t="s">
        <v>1935</v>
      </c>
      <c r="K327" s="31">
        <f t="shared" si="18"/>
        <v>5</v>
      </c>
      <c r="L327" s="32">
        <f t="shared" si="19"/>
        <v>0.8214285714285714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23</v>
      </c>
      <c r="J328" s="147" t="s">
        <v>1936</v>
      </c>
      <c r="K328" s="31">
        <f t="shared" si="18"/>
        <v>5</v>
      </c>
      <c r="L328" s="32">
        <f t="shared" si="19"/>
        <v>0.8214285714285714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23</v>
      </c>
      <c r="J329" s="147" t="s">
        <v>1937</v>
      </c>
      <c r="K329" s="31">
        <f t="shared" si="18"/>
        <v>5</v>
      </c>
      <c r="L329" s="32">
        <f t="shared" si="19"/>
        <v>0.8214285714285714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23</v>
      </c>
      <c r="J330" s="153" t="s">
        <v>2241</v>
      </c>
      <c r="K330" s="31">
        <f t="shared" si="18"/>
        <v>5</v>
      </c>
      <c r="L330" s="32">
        <f t="shared" si="19"/>
        <v>0.8214285714285714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23</v>
      </c>
      <c r="J331" s="147" t="s">
        <v>2245</v>
      </c>
      <c r="K331" s="31">
        <f t="shared" si="18"/>
        <v>5</v>
      </c>
      <c r="L331" s="32">
        <f t="shared" si="19"/>
        <v>0.8214285714285714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8</v>
      </c>
      <c r="J351" s="147" t="s">
        <v>1953</v>
      </c>
      <c r="K351" s="142">
        <f t="shared" si="18"/>
        <v>20</v>
      </c>
      <c r="L351" s="143">
        <f t="shared" si="19"/>
        <v>0.2857142857142857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8</v>
      </c>
      <c r="J352" s="147" t="s">
        <v>1954</v>
      </c>
      <c r="K352" s="142">
        <f t="shared" si="18"/>
        <v>20</v>
      </c>
      <c r="L352" s="143">
        <f t="shared" si="19"/>
        <v>0.2857142857142857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9</v>
      </c>
      <c r="J375" s="73"/>
      <c r="K375" s="31">
        <f t="shared" si="18"/>
        <v>19</v>
      </c>
      <c r="L375" s="32">
        <f t="shared" si="19"/>
        <v>0.32142857142857145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8</v>
      </c>
      <c r="J388" s="147" t="s">
        <v>1985</v>
      </c>
      <c r="K388" s="31">
        <f t="shared" si="21"/>
        <v>20</v>
      </c>
      <c r="L388" s="32">
        <f t="shared" si="22"/>
        <v>0.2857142857142857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8</v>
      </c>
      <c r="J389" s="147" t="s">
        <v>1986</v>
      </c>
      <c r="K389" s="31">
        <f t="shared" si="21"/>
        <v>20</v>
      </c>
      <c r="L389" s="32">
        <f t="shared" si="22"/>
        <v>0.2857142857142857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8</v>
      </c>
      <c r="J393" s="87"/>
      <c r="K393" s="31">
        <f t="shared" si="21"/>
        <v>20</v>
      </c>
      <c r="L393" s="32">
        <f t="shared" si="22"/>
        <v>0.2857142857142857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18</v>
      </c>
      <c r="J395" s="87"/>
      <c r="K395" s="31">
        <f t="shared" si="21"/>
        <v>10</v>
      </c>
      <c r="L395" s="32">
        <f t="shared" si="22"/>
        <v>0.6428571428571429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8</v>
      </c>
      <c r="J399" s="147" t="s">
        <v>1991</v>
      </c>
      <c r="K399" s="87">
        <f t="shared" si="21"/>
        <v>20</v>
      </c>
      <c r="L399" s="88">
        <f t="shared" si="22"/>
        <v>0.2857142857142857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8</v>
      </c>
      <c r="J401" s="147" t="s">
        <v>1992</v>
      </c>
      <c r="K401" s="31">
        <f t="shared" si="21"/>
        <v>20</v>
      </c>
      <c r="L401" s="32">
        <f t="shared" si="22"/>
        <v>0.2857142857142857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8</v>
      </c>
      <c r="J402" s="147" t="s">
        <v>1993</v>
      </c>
      <c r="K402" s="31">
        <f t="shared" si="21"/>
        <v>20</v>
      </c>
      <c r="L402" s="32">
        <f t="shared" si="22"/>
        <v>0.2857142857142857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15</v>
      </c>
      <c r="J407" s="87" t="s">
        <v>2152</v>
      </c>
      <c r="K407" s="142">
        <f t="shared" si="21"/>
        <v>13</v>
      </c>
      <c r="L407" s="143">
        <f t="shared" si="22"/>
        <v>0.5357142857142857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11</v>
      </c>
      <c r="J413" s="147" t="s">
        <v>1998</v>
      </c>
      <c r="K413" s="142">
        <f t="shared" si="21"/>
        <v>17</v>
      </c>
      <c r="L413" s="143">
        <f t="shared" si="22"/>
        <v>0.39285714285714285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8</v>
      </c>
      <c r="J415" s="87"/>
      <c r="K415" s="31">
        <f t="shared" si="21"/>
        <v>20</v>
      </c>
      <c r="L415" s="32">
        <f t="shared" si="22"/>
        <v>0.2857142857142857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13</v>
      </c>
      <c r="J416" s="147" t="s">
        <v>2000</v>
      </c>
      <c r="K416" s="142">
        <f t="shared" si="21"/>
        <v>15</v>
      </c>
      <c r="L416" s="143">
        <f t="shared" si="22"/>
        <v>0.4642857142857143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10</v>
      </c>
      <c r="J420" s="147" t="s">
        <v>2003</v>
      </c>
      <c r="K420" s="31">
        <f t="shared" si="21"/>
        <v>18</v>
      </c>
      <c r="L420" s="32">
        <f t="shared" si="22"/>
        <v>0.35714285714285715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10</v>
      </c>
      <c r="J421" s="147" t="s">
        <v>2004</v>
      </c>
      <c r="K421" s="31">
        <f t="shared" si="21"/>
        <v>18</v>
      </c>
      <c r="L421" s="32">
        <f t="shared" si="22"/>
        <v>0.35714285714285715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16</v>
      </c>
      <c r="J430" s="147" t="s">
        <v>2012</v>
      </c>
      <c r="K430" s="31">
        <f t="shared" si="21"/>
        <v>12</v>
      </c>
      <c r="L430" s="32">
        <f t="shared" si="22"/>
        <v>0.5714285714285714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10</v>
      </c>
      <c r="J436" s="147" t="s">
        <v>2017</v>
      </c>
      <c r="K436" s="31">
        <f t="shared" si="21"/>
        <v>18</v>
      </c>
      <c r="L436" s="32">
        <f t="shared" si="22"/>
        <v>0.35714285714285715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8</v>
      </c>
      <c r="J442" s="147" t="s">
        <v>2019</v>
      </c>
      <c r="K442" s="31">
        <f t="shared" si="21"/>
        <v>20</v>
      </c>
      <c r="L442" s="32">
        <f t="shared" si="22"/>
        <v>0.2857142857142857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2023</v>
      </c>
      <c r="K446" s="31">
        <f t="shared" si="21"/>
        <v>9</v>
      </c>
      <c r="L446" s="32">
        <f t="shared" si="22"/>
        <v>0.6785714285714286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2024</v>
      </c>
      <c r="K447" s="31">
        <f t="shared" si="21"/>
        <v>10</v>
      </c>
      <c r="L447" s="32">
        <f t="shared" si="22"/>
        <v>0.6428571428571429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26</v>
      </c>
      <c r="J451" s="87"/>
      <c r="K451" s="31">
        <f t="shared" si="21"/>
        <v>2</v>
      </c>
      <c r="L451" s="32">
        <f t="shared" si="22"/>
        <v>0.9285714285714286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26</v>
      </c>
      <c r="J452" s="87"/>
      <c r="K452" s="31">
        <f t="shared" si="21"/>
        <v>2</v>
      </c>
      <c r="L452" s="32">
        <f t="shared" si="22"/>
        <v>0.9285714285714286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8</v>
      </c>
      <c r="J456" s="147" t="s">
        <v>2027</v>
      </c>
      <c r="K456" s="142">
        <f t="shared" si="21"/>
        <v>20</v>
      </c>
      <c r="L456" s="143">
        <f t="shared" si="22"/>
        <v>0.2857142857142857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8</v>
      </c>
      <c r="J457" s="147" t="s">
        <v>2028</v>
      </c>
      <c r="K457" s="142">
        <f t="shared" si="21"/>
        <v>20</v>
      </c>
      <c r="L457" s="143">
        <f t="shared" si="22"/>
        <v>0.2857142857142857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8</v>
      </c>
      <c r="J458" s="87"/>
      <c r="K458" s="142">
        <f t="shared" si="21"/>
        <v>20</v>
      </c>
      <c r="L458" s="143">
        <f t="shared" si="22"/>
        <v>0.2857142857142857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24</v>
      </c>
      <c r="J460" s="147" t="s">
        <v>2029</v>
      </c>
      <c r="K460" s="31">
        <f t="shared" si="21"/>
        <v>4</v>
      </c>
      <c r="L460" s="32">
        <f t="shared" si="22"/>
        <v>0.8571428571428571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 t="s">
        <v>2213</v>
      </c>
      <c r="AD460" s="70" t="s">
        <v>2213</v>
      </c>
      <c r="AE460" s="70"/>
      <c r="AF460" s="70" t="s">
        <v>2213</v>
      </c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26</v>
      </c>
      <c r="J461" s="147" t="s">
        <v>2030</v>
      </c>
      <c r="K461" s="31">
        <f t="shared" si="21"/>
        <v>2</v>
      </c>
      <c r="L461" s="32">
        <f t="shared" si="22"/>
        <v>0.9285714285714286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 t="s">
        <v>2213</v>
      </c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27</v>
      </c>
      <c r="J493" s="147" t="s">
        <v>2053</v>
      </c>
      <c r="K493" s="31">
        <f t="shared" si="24"/>
        <v>1</v>
      </c>
      <c r="L493" s="32">
        <f t="shared" si="25"/>
        <v>0.9642857142857143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 t="s">
        <v>2213</v>
      </c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26</v>
      </c>
      <c r="J505" s="147" t="s">
        <v>2065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2213</v>
      </c>
      <c r="AE505" s="70" t="s">
        <v>2213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8</v>
      </c>
      <c r="J509" s="147" t="s">
        <v>2069</v>
      </c>
      <c r="K509" s="31">
        <f t="shared" si="24"/>
        <v>20</v>
      </c>
      <c r="L509" s="32">
        <f t="shared" si="25"/>
        <v>0.2857142857142857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 t="s">
        <v>2213</v>
      </c>
      <c r="AD509" s="70" t="s">
        <v>2213</v>
      </c>
      <c r="AE509" s="70" t="s">
        <v>2213</v>
      </c>
      <c r="AF509" s="70" t="s">
        <v>2213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27</v>
      </c>
      <c r="J517" s="147" t="s">
        <v>2076</v>
      </c>
      <c r="K517" s="31">
        <f t="shared" si="24"/>
        <v>1</v>
      </c>
      <c r="L517" s="32">
        <f t="shared" si="25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 t="s">
        <v>2213</v>
      </c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27</v>
      </c>
      <c r="J518" s="147" t="s">
        <v>2077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9</v>
      </c>
      <c r="J519" s="147" t="s">
        <v>2078</v>
      </c>
      <c r="K519" s="142">
        <f t="shared" si="24"/>
        <v>19</v>
      </c>
      <c r="L519" s="143">
        <f t="shared" si="25"/>
        <v>0.32142857142857145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 t="s">
        <v>2213</v>
      </c>
      <c r="AD519" s="70" t="s">
        <v>2213</v>
      </c>
      <c r="AE519" s="70" t="s">
        <v>2213</v>
      </c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27</v>
      </c>
      <c r="J520" s="147" t="s">
        <v>2079</v>
      </c>
      <c r="K520" s="142">
        <f t="shared" si="24"/>
        <v>1</v>
      </c>
      <c r="L520" s="143">
        <f t="shared" si="25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 t="s">
        <v>2213</v>
      </c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18</v>
      </c>
      <c r="J524" s="147" t="s">
        <v>2234</v>
      </c>
      <c r="K524" s="142">
        <f t="shared" si="24"/>
        <v>10</v>
      </c>
      <c r="L524" s="143">
        <f t="shared" si="25"/>
        <v>0.6428571428571429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 t="s">
        <v>2213</v>
      </c>
      <c r="AD524" s="70" t="s">
        <v>2213</v>
      </c>
      <c r="AE524" s="70" t="s">
        <v>2213</v>
      </c>
      <c r="AF524" s="70" t="s">
        <v>2213</v>
      </c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8</v>
      </c>
      <c r="J538" s="147" t="s">
        <v>2094</v>
      </c>
      <c r="K538" s="142">
        <f t="shared" si="27"/>
        <v>20</v>
      </c>
      <c r="L538" s="143">
        <f t="shared" si="28"/>
        <v>0.2857142857142857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 t="s">
        <v>2213</v>
      </c>
      <c r="AD538" s="70" t="s">
        <v>2213</v>
      </c>
      <c r="AE538" s="70" t="s">
        <v>2213</v>
      </c>
      <c r="AF538" s="70" t="s">
        <v>2213</v>
      </c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12</v>
      </c>
      <c r="J543" s="147" t="s">
        <v>2097</v>
      </c>
      <c r="K543" s="142">
        <f t="shared" si="27"/>
        <v>16</v>
      </c>
      <c r="L543" s="143">
        <f t="shared" si="28"/>
        <v>0.42857142857142855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 t="s">
        <v>2213</v>
      </c>
      <c r="AD543" s="70" t="s">
        <v>2213</v>
      </c>
      <c r="AE543" s="70" t="s">
        <v>2213</v>
      </c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8</v>
      </c>
      <c r="J547" s="87" t="s">
        <v>2189</v>
      </c>
      <c r="K547" s="142">
        <f t="shared" si="27"/>
        <v>20</v>
      </c>
      <c r="L547" s="143">
        <f t="shared" si="28"/>
        <v>0.2857142857142857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 t="s">
        <v>2213</v>
      </c>
      <c r="AD547" s="70" t="s">
        <v>2213</v>
      </c>
      <c r="AE547" s="70" t="s">
        <v>2213</v>
      </c>
      <c r="AF547" s="70" t="s">
        <v>2213</v>
      </c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11</v>
      </c>
      <c r="J549" s="147" t="s">
        <v>2099</v>
      </c>
      <c r="K549" s="31">
        <f t="shared" si="27"/>
        <v>17</v>
      </c>
      <c r="L549" s="32">
        <f t="shared" si="28"/>
        <v>0.39285714285714285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 t="s">
        <v>2213</v>
      </c>
      <c r="AD549" s="70" t="s">
        <v>2213</v>
      </c>
      <c r="AE549" s="70" t="s">
        <v>2213</v>
      </c>
      <c r="AF549" s="70" t="s">
        <v>2213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11</v>
      </c>
      <c r="J551" s="147" t="s">
        <v>2100</v>
      </c>
      <c r="K551" s="31">
        <f t="shared" si="27"/>
        <v>17</v>
      </c>
      <c r="L551" s="32">
        <f t="shared" si="28"/>
        <v>0.39285714285714285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 t="s">
        <v>2213</v>
      </c>
      <c r="AD551" s="70" t="s">
        <v>2213</v>
      </c>
      <c r="AE551" s="70" t="s">
        <v>2213</v>
      </c>
      <c r="AF551" s="70" t="s">
        <v>2213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11</v>
      </c>
      <c r="J552" s="147" t="s">
        <v>2101</v>
      </c>
      <c r="K552" s="142">
        <f t="shared" si="27"/>
        <v>17</v>
      </c>
      <c r="L552" s="143">
        <f t="shared" si="28"/>
        <v>0.39285714285714285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8</v>
      </c>
      <c r="J558" s="147" t="s">
        <v>2105</v>
      </c>
      <c r="K558" s="31">
        <f t="shared" si="27"/>
        <v>20</v>
      </c>
      <c r="L558" s="32">
        <f t="shared" si="28"/>
        <v>0.2857142857142857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 t="s">
        <v>2213</v>
      </c>
      <c r="AD558" s="70" t="s">
        <v>2213</v>
      </c>
      <c r="AE558" s="70" t="s">
        <v>2213</v>
      </c>
      <c r="AF558" s="70" t="s">
        <v>2213</v>
      </c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8</v>
      </c>
      <c r="J576" s="147" t="s">
        <v>2116</v>
      </c>
      <c r="K576" s="142">
        <f t="shared" si="27"/>
        <v>20</v>
      </c>
      <c r="L576" s="143">
        <f t="shared" si="28"/>
        <v>0.2857142857142857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 t="s">
        <v>2213</v>
      </c>
      <c r="AD576" s="70" t="s">
        <v>2213</v>
      </c>
      <c r="AE576" s="70" t="s">
        <v>2213</v>
      </c>
      <c r="AF576" s="70" t="s">
        <v>2213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/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228:H388 E389:F389 F390:F394 E395:H410 E411:F412 E413:H553 E568:H580 E663:H1048576 H389 G389:G394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158:F580 F663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228:G410 F411:F412 F413:G553 F566:G566 F567 F568:G580 F663:G1048576">
    <cfRule type="cellIs" dxfId="72" priority="725" operator="equal">
      <formula>"PTP A FO"</formula>
    </cfRule>
  </conditionalFormatting>
  <conditionalFormatting sqref="F1:G132 F133:F134 F158:G225 F228:G410 F411:F412 F413:G580 F663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186" zoomScale="84" zoomScaleNormal="84" workbookViewId="0">
      <selection activeCell="B199" sqref="B19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0.17277486910994763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0.17277486910994763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0.16753926701570682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0.16055846422338568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302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  <c r="H189" s="52" t="s">
        <v>1242</v>
      </c>
      <c r="I189" s="100">
        <f>CANTIDAD_DE_CAMARAS</f>
        <v>573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0.19720767888307156</v>
      </c>
      <c r="F190" s="155"/>
      <c r="H190" s="53" t="s">
        <v>6</v>
      </c>
      <c r="I190" s="66">
        <v>85</v>
      </c>
      <c r="J190" s="54"/>
      <c r="K190" s="55">
        <f>I190/I189</f>
        <v>0.14834205933682373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0.19546247818499127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0.14659685863874344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0.19022687609075042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0.14136125654450263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0.18673647469458987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0.13787085514834205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302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0.14485165794066318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0.13089005235602094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0.1256544502617801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0.1169284467713787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 t="str">
        <f>'RESUMEN TOTAL'!AC460</f>
        <v>APAGADO</v>
      </c>
      <c r="W364" s="70" t="str">
        <f>'RESUMEN TOTAL'!AD460</f>
        <v>APAGADO</v>
      </c>
      <c r="X364" s="70">
        <f>'RESUMEN TOTAL'!AE460</f>
        <v>0</v>
      </c>
      <c r="Y364" s="70" t="str">
        <f>'RESUMEN TOTAL'!AF460</f>
        <v>APAGADO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 t="str">
        <f>'RESUMEN TOTAL'!AD461</f>
        <v>APAGADO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 t="str">
        <f>'RESUMEN TOTAL'!AD493</f>
        <v>APAGADO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 t="str">
        <f>'RESUMEN TOTAL'!AD505</f>
        <v>APAGADO</v>
      </c>
      <c r="X403" s="70" t="str">
        <f>'RESUMEN TOTAL'!AE505</f>
        <v>APAGADO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 t="str">
        <f>'RESUMEN TOTAL'!AC509</f>
        <v>APAGADO</v>
      </c>
      <c r="W407" s="70" t="str">
        <f>'RESUMEN TOTAL'!AD509</f>
        <v>APAGADO</v>
      </c>
      <c r="X407" s="70" t="str">
        <f>'RESUMEN TOTAL'!AE509</f>
        <v>APAGADO</v>
      </c>
      <c r="Y407" s="70" t="str">
        <f>'RESUMEN TOTAL'!AF509</f>
        <v>APAGADO</v>
      </c>
      <c r="Z407" s="70">
        <f>'RESUMEN TOTAL'!AG509</f>
        <v>0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 t="str">
        <f>'RESUMEN TOTAL'!AD517</f>
        <v>APAGADO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 t="str">
        <f>'RESUMEN TOTAL'!AD518</f>
        <v>APAGADO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 t="str">
        <f>'RESUMEN TOTAL'!AC519</f>
        <v>APAGADO</v>
      </c>
      <c r="W417" s="70" t="str">
        <f>'RESUMEN TOTAL'!AD519</f>
        <v>APAGADO</v>
      </c>
      <c r="X417" s="70" t="str">
        <f>'RESUMEN TOTAL'!AE519</f>
        <v>APAGADO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 t="str">
        <f>'RESUMEN TOTAL'!AC538</f>
        <v>APAGADO</v>
      </c>
      <c r="W430" s="70" t="str">
        <f>'RESUMEN TOTAL'!AD538</f>
        <v>APAGADO</v>
      </c>
      <c r="X430" s="70" t="str">
        <f>'RESUMEN TOTAL'!AE538</f>
        <v>APAGADO</v>
      </c>
      <c r="Y430" s="70" t="str">
        <f>'RESUMEN TOTAL'!AF538</f>
        <v>APAGADO</v>
      </c>
      <c r="Z430" s="70">
        <f>'RESUMEN TOTAL'!AG538</f>
        <v>0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 t="str">
        <f>'RESUMEN TOTAL'!AC543</f>
        <v>APAGADO</v>
      </c>
      <c r="W434" s="70" t="str">
        <f>'RESUMEN TOTAL'!AD543</f>
        <v>APAGADO</v>
      </c>
      <c r="X434" s="70" t="str">
        <f>'RESUMEN TOTAL'!AE543</f>
        <v>APAGADO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 t="str">
        <f>'RESUMEN TOTAL'!AC549</f>
        <v>APAGADO</v>
      </c>
      <c r="W437" s="70" t="str">
        <f>'RESUMEN TOTAL'!AD549</f>
        <v>APAGADO</v>
      </c>
      <c r="X437" s="70" t="str">
        <f>'RESUMEN TOTAL'!AE549</f>
        <v>APAGADO</v>
      </c>
      <c r="Y437" s="70" t="str">
        <f>'RESUMEN TOTAL'!AF549</f>
        <v>APAGADO</v>
      </c>
      <c r="Z437" s="70">
        <f>'RESUMEN TOTAL'!AG549</f>
        <v>0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 t="str">
        <f>'RESUMEN TOTAL'!AC551</f>
        <v>APAGADO</v>
      </c>
      <c r="W439" s="70" t="str">
        <f>'RESUMEN TOTAL'!AD551</f>
        <v>APAGADO</v>
      </c>
      <c r="X439" s="70" t="str">
        <f>'RESUMEN TOTAL'!AE551</f>
        <v>APAGADO</v>
      </c>
      <c r="Y439" s="70" t="str">
        <f>'RESUMEN TOTAL'!AF551</f>
        <v>APAGADO</v>
      </c>
      <c r="Z439" s="70">
        <f>'RESUMEN TOTAL'!AG551</f>
        <v>0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 t="str">
        <f>'RESUMEN TOTAL'!AC552</f>
        <v>APAGADO</v>
      </c>
      <c r="W440" s="70" t="str">
        <f>'RESUMEN TOTAL'!AD552</f>
        <v>APAGADO</v>
      </c>
      <c r="X440" s="70" t="str">
        <f>'RESUMEN TOTAL'!AE552</f>
        <v>APAGADO</v>
      </c>
      <c r="Y440" s="70" t="str">
        <f>'RESUMEN TOTAL'!AF552</f>
        <v>APAGADO</v>
      </c>
      <c r="Z440" s="70">
        <f>'RESUMEN TOTAL'!AG552</f>
        <v>0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 t="str">
        <f>'RESUMEN TOTAL'!AC558</f>
        <v>APAGADO</v>
      </c>
      <c r="W445" s="70" t="str">
        <f>'RESUMEN TOTAL'!AD558</f>
        <v>APAGADO</v>
      </c>
      <c r="X445" s="70" t="str">
        <f>'RESUMEN TOTAL'!AE558</f>
        <v>APAGADO</v>
      </c>
      <c r="Y445" s="70" t="str">
        <f>'RESUMEN TOTAL'!AF558</f>
        <v>APAGADO</v>
      </c>
      <c r="Z445" s="70">
        <f>'RESUMEN TOTAL'!AG558</f>
        <v>0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 t="str">
        <f>'RESUMEN TOTAL'!AC576</f>
        <v>APAGADO</v>
      </c>
      <c r="W460" s="70" t="str">
        <f>'RESUMEN TOTAL'!AD576</f>
        <v>APAGADO</v>
      </c>
      <c r="X460" s="70" t="str">
        <f>'RESUMEN TOTAL'!AE576</f>
        <v>APAGADO</v>
      </c>
      <c r="Y460" s="70" t="str">
        <f>'RESUMEN TOTAL'!AF576</f>
        <v>APAGADO</v>
      </c>
      <c r="Z460" s="70">
        <f>'RESUMEN TOTAL'!AG576</f>
        <v>0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46</v>
      </c>
      <c r="W3" s="46">
        <v>24</v>
      </c>
      <c r="X3" s="46">
        <f>COUNTIFS('RESUMEN TOTAL'!AE8:AE688,"=APAGADO",'RESUMEN TOTAL'!C8:C688,"=BONOMO")</f>
        <v>26</v>
      </c>
      <c r="Y3" s="46">
        <f>COUNTIFS('RESUMEN TOTAL'!AF8:AF688,"=APAGADO",'RESUMEN TOTAL'!C8:C688,"=BONOMO")</f>
        <v>23</v>
      </c>
      <c r="Z3" s="46">
        <f>COUNTIFS('RESUMEN TOTAL'!AG8:AG688,"=APAGADO",'RESUMEN TOTAL'!C8:C688,"=BONOMO")</f>
        <v>0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0.15231788079470199</v>
      </c>
      <c r="W4" s="50">
        <f t="shared" si="0"/>
        <v>7.9470198675496692E-2</v>
      </c>
      <c r="X4" s="50">
        <f t="shared" si="0"/>
        <v>8.6092715231788075E-2</v>
      </c>
      <c r="Y4" s="50">
        <f t="shared" si="0"/>
        <v>7.6158940397350994E-2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53</v>
      </c>
      <c r="W5" s="46">
        <f>COUNTIFS('RESUMEN TOTAL'!AD10:AD690,"=APAGADO",'RESUMEN TOTAL'!C10:C690,"=COSEIDI")</f>
        <v>61</v>
      </c>
      <c r="X5" s="46">
        <f>COUNTIFS('RESUMEN TOTAL'!AE10:AE690,"=APAGADO",'RESUMEN TOTAL'!C10:C690,"=COSEIDI")</f>
        <v>57</v>
      </c>
      <c r="Y5" s="46">
        <f>COUNTIFS('RESUMEN TOTAL'!AF10:AF690,"=APAGADO",'RESUMEN TOTAL'!C10:C690,"=COSEIDI")</f>
        <v>49</v>
      </c>
      <c r="Z5" s="46">
        <f>COUNTIFS('RESUMEN TOTAL'!AG10:AG690,"=APAGADO",'RESUMEN TOTAL'!C10:C690,"=COSEIDI")</f>
        <v>0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2025-12-22T10:15:56Z</dcterms:modified>
</cp:coreProperties>
</file>