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DC559C30-F87A-4807-B1F3-72CB56C6838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TOTAL'!$A$7:$AV$606</definedName>
    <definedName name="_xlnm.Print_Area" localSheetId="0">'RESUMEN TOTAL'!$F$2:$AV$1200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0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6" i="2"/>
  <c r="Q566" i="2"/>
  <c r="O567" i="2"/>
  <c r="Q567" i="2"/>
  <c r="O568" i="2"/>
  <c r="Q568" i="2"/>
  <c r="O569" i="2"/>
  <c r="Q569" i="2"/>
  <c r="O570" i="2"/>
  <c r="Q570" i="2"/>
  <c r="O557" i="2"/>
  <c r="Q557" i="2"/>
  <c r="O571" i="2"/>
  <c r="Q571" i="2"/>
  <c r="O572" i="2"/>
  <c r="Q572" i="2"/>
  <c r="O573" i="2"/>
  <c r="Q573" i="2"/>
  <c r="O574" i="2"/>
  <c r="Q574" i="2"/>
  <c r="O575" i="2"/>
  <c r="Q575" i="2"/>
  <c r="O578" i="2"/>
  <c r="Q578" i="2"/>
  <c r="O576" i="2"/>
  <c r="Q576" i="2"/>
  <c r="O577" i="2"/>
  <c r="Q577" i="2"/>
  <c r="O579" i="2"/>
  <c r="Q579" i="2"/>
  <c r="O581" i="2"/>
  <c r="Q581" i="2"/>
  <c r="O582" i="2"/>
  <c r="Q582" i="2"/>
  <c r="O583" i="2"/>
  <c r="Q583" i="2"/>
  <c r="O589" i="2"/>
  <c r="Q589" i="2"/>
  <c r="O584" i="2"/>
  <c r="Q584" i="2"/>
  <c r="O585" i="2"/>
  <c r="Q585" i="2"/>
  <c r="O586" i="2"/>
  <c r="Q586" i="2"/>
  <c r="O587" i="2"/>
  <c r="Q587" i="2"/>
  <c r="O588" i="2"/>
  <c r="Q588" i="2"/>
  <c r="O548" i="2"/>
  <c r="Q548" i="2"/>
  <c r="O596" i="2"/>
  <c r="Q596" i="2"/>
  <c r="O597" i="2"/>
  <c r="Q597" i="2"/>
  <c r="O598" i="2"/>
  <c r="Q598" i="2"/>
  <c r="O590" i="2"/>
  <c r="Q590" i="2"/>
  <c r="O591" i="2"/>
  <c r="Q591" i="2"/>
  <c r="O592" i="2"/>
  <c r="Q592" i="2"/>
  <c r="O593" i="2"/>
  <c r="Q593" i="2"/>
  <c r="O594" i="2"/>
  <c r="Q594" i="2"/>
  <c r="O595" i="2"/>
  <c r="Q595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0" i="2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3" i="2"/>
  <c r="R581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5" i="2"/>
  <c r="R237" i="2"/>
  <c r="R579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4" i="2"/>
  <c r="R567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1" i="2"/>
  <c r="R568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4" i="2"/>
  <c r="R592" i="2"/>
  <c r="R597" i="2"/>
  <c r="R481" i="2"/>
  <c r="R477" i="2"/>
  <c r="R470" i="2"/>
  <c r="R467" i="2"/>
  <c r="R465" i="2"/>
  <c r="R461" i="2"/>
  <c r="R591" i="2"/>
  <c r="R586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7" i="2"/>
  <c r="R572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3" i="2"/>
  <c r="R575" i="2"/>
  <c r="R569" i="2"/>
  <c r="R566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7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9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6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8" i="2"/>
  <c r="R578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4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8" i="2"/>
  <c r="R557" i="2"/>
  <c r="R520" i="2"/>
  <c r="R504" i="2"/>
  <c r="R472" i="2"/>
  <c r="R449" i="2"/>
  <c r="R216" i="2"/>
  <c r="R286" i="2"/>
  <c r="R332" i="2"/>
  <c r="R424" i="2"/>
  <c r="R391" i="2"/>
  <c r="R361" i="2"/>
  <c r="R573" i="2"/>
  <c r="R539" i="2"/>
  <c r="R507" i="2"/>
  <c r="R475" i="2"/>
  <c r="R450" i="2"/>
  <c r="R223" i="2"/>
  <c r="R303" i="2"/>
  <c r="R270" i="2"/>
  <c r="R339" i="2"/>
  <c r="R393" i="2"/>
  <c r="R368" i="2"/>
  <c r="R582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90" i="2"/>
  <c r="R585" i="2"/>
  <c r="R576" i="2"/>
  <c r="R570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<sst xmlns="http://schemas.openxmlformats.org/spreadsheetml/2006/main" count="7555" uniqueCount="2482">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</sst>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0" borderId="0" xfId="0" applyFill="1"/>
    <xf numFmtId="0" fontId="0" fillId="0" borderId="0" xfId="0" applyFill="1" applyAlignment="1">
      <alignment horizontal="left"/>
    </xf>
    <xf numFmtId="0" fontId="8" fillId="0" borderId="14" xfId="0" applyFont="1" applyFill="1" applyBorder="1"/>
    <xf numFmtId="0" fontId="0" fillId="0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8"/>
  <sheetViews>
    <sheetView tabSelected="1" zoomScale="90" zoomScaleNormal="90" zoomScaleSheetLayoutView="100" workbookViewId="0">
      <pane xSplit="18" ySplit="7" topLeftCell="AR8" activePane="bottomRight" state="frozen"/>
      <selection activeCell="G1" sqref="G1"/>
      <selection pane="topRight" activeCell="S1" sqref="S1"/>
      <selection pane="bottomLeft" activeCell="G8" sqref="G8"/>
      <selection pane="bottomRight" activeCell="P598" sqref="G8:P598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2.85546875" style="30" customWidth="1"/>
    <col min="8" max="8" width="16.28515625" style="30" customWidth="1"/>
    <col min="9" max="9" width="32.85546875" customWidth="1"/>
    <col min="10" max="10" width="21.85546875" style="61" customWidth="1"/>
    <col min="11" max="11" width="17.5703125" style="65" customWidth="1"/>
    <col min="12" max="12" width="21.85546875" style="65" hidden="1" customWidth="1"/>
    <col min="13" max="13" width="15" style="65" customWidth="1"/>
    <col min="14" max="14" width="21.85546875" style="65" hidden="1" customWidth="1"/>
    <col min="15" max="15" width="21.85546875" hidden="1" customWidth="1"/>
    <col min="16" max="16" width="21.85546875" customWidth="1"/>
    <col min="17" max="17" width="21.85546875" hidden="1" customWidth="1"/>
    <col min="18" max="18" width="21.85546875" style="4" hidden="1" customWidth="1"/>
    <col min="19" max="19" width="21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8.7109375" style="14" customWidth="1"/>
    <col min="45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2349</v>
      </c>
      <c r="F1" s="1" t="s">
        <v>0</v>
      </c>
      <c r="G1" s="23">
        <f>COUNTA(G8:G752)</f>
        <v>591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2356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0.16288951841359772</v>
      </c>
      <c r="W1" s="3">
        <f t="shared" si="0"/>
        <v>0.15811965811965811</v>
      </c>
      <c r="X1" s="3">
        <f t="shared" si="0"/>
        <v>0.15691868758915833</v>
      </c>
      <c r="Y1" s="3">
        <f t="shared" si="0"/>
        <v>0.16407355021216408</v>
      </c>
      <c r="Z1" s="3">
        <f t="shared" si="0"/>
        <v>0.14223512336719885</v>
      </c>
      <c r="AA1" s="3">
        <f t="shared" si="0"/>
        <v>0</v>
      </c>
      <c r="AB1" s="3">
        <f t="shared" si="0"/>
        <v>0</v>
      </c>
      <c r="AC1" s="3">
        <f t="shared" si="0"/>
        <v>0.14964028776978416</v>
      </c>
      <c r="AD1" s="3">
        <f t="shared" si="0"/>
        <v>0.15329512893982808</v>
      </c>
      <c r="AE1" s="3">
        <f t="shared" si="0"/>
        <v>0.16407355021216408</v>
      </c>
      <c r="AF1" s="3"/>
      <c r="AG1" s="3">
        <f t="shared" ref="AG1:AT1" si="1">(AG3)/(AG2+AG3)</f>
        <v>0.1699438202247191</v>
      </c>
      <c r="AH1" s="3">
        <f t="shared" si="1"/>
        <v>0</v>
      </c>
      <c r="AI1" s="3">
        <f t="shared" si="1"/>
        <v>0</v>
      </c>
      <c r="AJ1" s="3">
        <f t="shared" si="1"/>
        <v>0.15691868758915833</v>
      </c>
      <c r="AK1" s="3">
        <f t="shared" si="1"/>
        <v>0.15450643776824036</v>
      </c>
      <c r="AL1" s="3">
        <f t="shared" si="1"/>
        <v>0.14471780028943559</v>
      </c>
      <c r="AM1" s="3">
        <f t="shared" si="1"/>
        <v>0.12314540059347182</v>
      </c>
      <c r="AN1" s="3">
        <f t="shared" si="1"/>
        <v>0.11922503725782414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0.12703101920236337</v>
      </c>
      <c r="AS1" s="3">
        <f t="shared" si="1"/>
        <v>0.12444444444444444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591</v>
      </c>
      <c r="T2" s="7">
        <f t="shared" si="2"/>
        <v>591</v>
      </c>
      <c r="U2" s="7">
        <f t="shared" si="2"/>
        <v>591</v>
      </c>
      <c r="V2" s="7">
        <f t="shared" si="2"/>
        <v>591</v>
      </c>
      <c r="W2" s="7">
        <f t="shared" si="2"/>
        <v>591</v>
      </c>
      <c r="X2" s="7">
        <f t="shared" si="2"/>
        <v>591</v>
      </c>
      <c r="Y2" s="7">
        <f t="shared" si="2"/>
        <v>591</v>
      </c>
      <c r="Z2" s="7">
        <f t="shared" si="2"/>
        <v>591</v>
      </c>
      <c r="AA2" s="7">
        <f t="shared" si="2"/>
        <v>591</v>
      </c>
      <c r="AB2" s="7">
        <f t="shared" si="2"/>
        <v>591</v>
      </c>
      <c r="AC2" s="7">
        <f t="shared" si="2"/>
        <v>591</v>
      </c>
      <c r="AD2" s="7">
        <f t="shared" si="2"/>
        <v>591</v>
      </c>
      <c r="AE2" s="7">
        <f t="shared" si="2"/>
        <v>591</v>
      </c>
      <c r="AF2" s="7">
        <f t="shared" si="2"/>
        <v>591</v>
      </c>
      <c r="AG2" s="7">
        <f t="shared" si="2"/>
        <v>591</v>
      </c>
      <c r="AH2" s="7">
        <f t="shared" si="2"/>
        <v>591</v>
      </c>
      <c r="AI2" s="7">
        <f t="shared" si="2"/>
        <v>591</v>
      </c>
      <c r="AJ2" s="7">
        <f t="shared" si="2"/>
        <v>591</v>
      </c>
      <c r="AK2" s="7">
        <f t="shared" si="2"/>
        <v>591</v>
      </c>
      <c r="AL2" s="7">
        <f t="shared" si="2"/>
        <v>591</v>
      </c>
      <c r="AM2" s="7">
        <f t="shared" si="2"/>
        <v>591</v>
      </c>
      <c r="AN2" s="7">
        <f t="shared" si="2"/>
        <v>591</v>
      </c>
      <c r="AO2" s="7">
        <f t="shared" si="2"/>
        <v>591</v>
      </c>
      <c r="AP2" s="7">
        <f t="shared" si="2"/>
        <v>591</v>
      </c>
      <c r="AQ2" s="7">
        <f t="shared" si="2"/>
        <v>591</v>
      </c>
      <c r="AR2" s="7">
        <f t="shared" si="2"/>
        <v>591</v>
      </c>
      <c r="AS2" s="7">
        <f t="shared" si="2"/>
        <v>591</v>
      </c>
      <c r="AT2" s="7">
        <f t="shared" si="2"/>
        <v>591</v>
      </c>
      <c r="AU2" s="7">
        <f t="shared" si="2"/>
        <v>591</v>
      </c>
      <c r="AV2" s="7">
        <f t="shared" si="2"/>
        <v>591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COUNTIF(S7:S752,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 t="shared" si="3"/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107</v>
      </c>
      <c r="AE3" s="123">
        <f t="shared" si="3"/>
        <v>116</v>
      </c>
      <c r="AF3" s="123">
        <f t="shared" si="3"/>
        <v>119</v>
      </c>
      <c r="AG3" s="123">
        <f t="shared" si="3"/>
        <v>121</v>
      </c>
      <c r="AH3" s="123">
        <f t="shared" si="3"/>
        <v>0</v>
      </c>
      <c r="AI3" s="123">
        <f t="shared" si="3"/>
        <v>0</v>
      </c>
      <c r="AJ3" s="123">
        <f t="shared" si="3"/>
        <v>110</v>
      </c>
      <c r="AK3" s="123">
        <f t="shared" si="3"/>
        <v>108</v>
      </c>
      <c r="AL3" s="123">
        <f t="shared" si="3"/>
        <v>100</v>
      </c>
      <c r="AM3" s="123">
        <f t="shared" si="3"/>
        <v>83</v>
      </c>
      <c r="AN3" s="123">
        <f t="shared" si="3"/>
        <v>80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86</v>
      </c>
      <c r="AS3" s="123">
        <f t="shared" si="3"/>
        <v>84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COUNTIFS(S8:S706, "=APAGADO",K8:K706,"=Fibra Optica")</f>
        <v>0</v>
      </c>
      <c r="T4" s="10">
        <f>COUNTIFS(T8:T706, "=APAGADO",K8:K706,"=Fibra Optica")</f>
        <v>0</v>
      </c>
      <c r="U4" s="10">
        <f>COUNTIFS(U8:U706, "=APAGADO",K8:K706,"=Fibra Optica")</f>
        <v>0</v>
      </c>
      <c r="V4" s="10">
        <f>COUNTIFS(V8:V706, "=APAGADO",K8:K706,"=Fibra Optica")</f>
        <v>40</v>
      </c>
      <c r="W4" s="10">
        <f>COUNTIFS(W8:W706, "=APAGADO",K8:K706,"=Fibra Optica")</f>
        <v>39</v>
      </c>
      <c r="X4" s="10">
        <f>COUNTIFS(X8:X706, "=APAGADO",K8:K706,"=Fibra Optica")</f>
        <v>40</v>
      </c>
      <c r="Y4" s="10">
        <f>COUNTIFS(Y8:Y706, "=APAGADO",K8:K706,"=Fibra Optica")</f>
        <v>47</v>
      </c>
      <c r="Z4" s="10">
        <f>COUNTIFS(Z8:Z706, "=APAGADO",K8:K706,"=Fibra Optica")</f>
        <v>39</v>
      </c>
      <c r="AA4" s="10">
        <f>COUNTIFS(AA8:AA706, "=APAGADO",K8:K706,"=Fibra Optica")</f>
        <v>0</v>
      </c>
      <c r="AB4" s="10">
        <f>COUNTIFS(AB8:AB706, "=APAGADO",K8:K706,"=Fibra Optica")</f>
        <v>0</v>
      </c>
      <c r="AC4" s="10">
        <f>COUNTIFS(AC8:AC706, "=APAGADO",K8:K706,"=Fibra Optica")</f>
        <v>43</v>
      </c>
      <c r="AD4" s="10">
        <f>COUNTIFS(AD8:AD706, "=APAGADO",K8:K706,"=Fibra Optica")</f>
        <v>38</v>
      </c>
      <c r="AE4" s="10">
        <f>COUNTIFS(AE8:AE706, "=APAGADO",K8:K706,"=Fibra Optica")</f>
        <v>44</v>
      </c>
      <c r="AF4" s="10">
        <f>COUNTIFS(AF8:AF706, "=APAGADO",K8:K706,"=Fibra Optica")</f>
        <v>42</v>
      </c>
      <c r="AG4" s="10">
        <f>COUNTIFS(AG8:AG706, "=APAGADO",K8:K706,"=Fibra Optica")</f>
        <v>46</v>
      </c>
      <c r="AH4" s="10">
        <f>COUNTIFS(AH8:AH706, "=APAGADO",K8:K706,"=Fibra Optica")</f>
        <v>0</v>
      </c>
      <c r="AI4" s="10">
        <f>COUNTIFS(AI8:AI706, "=APAGADO",K8:K706,"=Fibra Optica")</f>
        <v>0</v>
      </c>
      <c r="AJ4" s="10">
        <f>COUNTIFS(AJ8:AJ706, "=APAGADO",K8:K706,"=Fibra Optica")</f>
        <v>38</v>
      </c>
      <c r="AK4" s="10">
        <f>COUNTIFS(AK8:AK706, "=APAGADO",K8:K706,"=Fibra Optica")</f>
        <v>34</v>
      </c>
      <c r="AL4" s="10">
        <f>COUNTIFS(AL8:AL706, "=APAGADO",K8:K706,"=Fibra Optica")</f>
        <v>29</v>
      </c>
      <c r="AM4" s="10">
        <f>COUNTIFS(AM8:AM706, "=APAGADO",K8:K706,"=Fibra Optica")</f>
        <v>25</v>
      </c>
      <c r="AN4" s="10">
        <f>COUNTIFS(AN8:AN706, "=APAGADO",K8:K706,"=Fibra Optica")</f>
        <v>28</v>
      </c>
      <c r="AO4" s="10">
        <f>COUNTIFS(AO8:AO706, "=APAGADO",K8:K706,"=Fibra Optica")</f>
        <v>0</v>
      </c>
      <c r="AP4" s="10">
        <f>COUNTIFS(AP8:AP706, "=APAGADO",K8:K706,"=Fibra Optica")</f>
        <v>0</v>
      </c>
      <c r="AQ4" s="10">
        <f>COUNTIFS(AQ8:AQ706, "=APAGADO",K8:K706,"=Fibra Optica")</f>
        <v>0</v>
      </c>
      <c r="AR4" s="10">
        <f>COUNTIFS(AR8:AR706, "=APAGADO",K8:K706,"=Fibra Optica")</f>
        <v>33</v>
      </c>
      <c r="AS4" s="10">
        <f>COUNTIFS(AS8:AS706, "=APAGADO",K8:K706,"=Fibra Optica")</f>
        <v>32</v>
      </c>
      <c r="AT4" s="10">
        <f>COUNTIFS(AT8:AT706, "=APAGADO",K8:K706,"=Fibra Optica")</f>
        <v>0</v>
      </c>
      <c r="AU4" s="10">
        <f>COUNTIFS(AU8:AU706, "=APAGADO",L8:L706,"=Fibra Optica")</f>
        <v>0</v>
      </c>
      <c r="AV4" s="10">
        <f>COUNTIFS(AV8:AV706, "=APAGADO",M8:M706,"=Fibra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COUNTIFS(S8:S706, "=APAGADO",K8:K706,"=RADIO")</f>
        <v>0</v>
      </c>
      <c r="T5" s="127">
        <f>COUNTIFS(T8:T706, "=APAGADO",K8:K706,"=RADIO")</f>
        <v>0</v>
      </c>
      <c r="U5" s="127">
        <f>COUNTIFS(U8:U706, "=APAGADO",K8:K706,"=RADIO")</f>
        <v>0</v>
      </c>
      <c r="V5" s="127">
        <f>COUNTIFS(V8:V706, "=APAGADO",K8:K706,"=RADIO")</f>
        <v>5</v>
      </c>
      <c r="W5" s="127">
        <f>COUNTIFS(W8:W706, "=APAGADO",K8:K706,"=RADIO")</f>
        <v>5</v>
      </c>
      <c r="X5" s="127">
        <f>COUNTIFS(X8:X706, "=APAGADO",K8:K706,"=RADIO")</f>
        <v>6</v>
      </c>
      <c r="Y5" s="127">
        <f>COUNTIFS(Y8:Y706, "=APAGADO",K8:K706,"=RADIO")</f>
        <v>6</v>
      </c>
      <c r="Z5" s="127">
        <f>COUNTIFS(Z8:Z706, "=APAGADO",K8:K706,"=RADIO")</f>
        <v>5</v>
      </c>
      <c r="AA5" s="127">
        <f>COUNTIFS(AA8:AA706, "=APAGADO",K8:K706,"=RADIO")</f>
        <v>0</v>
      </c>
      <c r="AB5" s="127">
        <f>COUNTIFS(AB8:AB706, "=APAGADO",K8:K706,"=RADIO")</f>
        <v>0</v>
      </c>
      <c r="AC5" s="127">
        <f>COUNTIFS(AC8:AC706, "=APAGADO",K8:K706,"=RADIO")</f>
        <v>6</v>
      </c>
      <c r="AD5" s="127">
        <f>COUNTIFS(AD8:AD706, "=APAGADO",K8:K706,"=RADIO")</f>
        <v>5</v>
      </c>
      <c r="AE5" s="127">
        <f>COUNTIFS(AE8:AE706, "=APAGADO",K8:K706,"=RADIO")</f>
        <v>6</v>
      </c>
      <c r="AF5" s="127">
        <f>COUNTIFS(AF8:AF706, "=APAGADO",K8:K706,"=RADIO")</f>
        <v>5</v>
      </c>
      <c r="AG5" s="127">
        <f>COUNTIFS(AG8:AG706, "=APAGADO",K8:K706,"=RADIO")</f>
        <v>5</v>
      </c>
      <c r="AH5" s="127">
        <f>COUNTIFS(AH8:AH706, "=APAGADO",K8:K706,"=RADIO")</f>
        <v>0</v>
      </c>
      <c r="AI5" s="127">
        <f>COUNTIFS(AI8:AI706, "=APAGADO",K8:K706,"=RADIO")</f>
        <v>0</v>
      </c>
      <c r="AJ5" s="127">
        <f>COUNTIFS(AJ8:AJ706, "=APAGADO",K8:K706,"=RADIO")</f>
        <v>6</v>
      </c>
      <c r="AK5" s="127">
        <f>COUNTIFS(AK8:AK706, "=APAGADO",K8:K706,"=RADIO")</f>
        <v>6</v>
      </c>
      <c r="AL5" s="127">
        <f>COUNTIFS(AL8:AL706, "=APAGADO",K8:K706,"=RADIO")</f>
        <v>6</v>
      </c>
      <c r="AM5" s="127">
        <f>COUNTIFS(AM8:AM706, "=APAGADO",K8:K706,"=RADIO")</f>
        <v>5</v>
      </c>
      <c r="AN5" s="127">
        <f>COUNTIFS(AN8:AN706, "=APAGADO",K8:K706,"=RADIO")</f>
        <v>5</v>
      </c>
      <c r="AO5" s="127">
        <f>COUNTIFS(AO8:AO706, "=APAGADO",K8:K706,"=RADIO")</f>
        <v>0</v>
      </c>
      <c r="AP5" s="127">
        <f>COUNTIFS(AP8:AP706, "=APAGADO",K8:K706,"=RADIO")</f>
        <v>0</v>
      </c>
      <c r="AQ5" s="127">
        <f>COUNTIFS(AQ8:AQ706, "=APAGADO",K8:K706,"=RADIO")</f>
        <v>0</v>
      </c>
      <c r="AR5" s="127">
        <f>COUNTIFS(AR8:AR706, "=APAGADO",K8:K706,"=RADIO")</f>
        <v>5</v>
      </c>
      <c r="AS5" s="127">
        <f>COUNTIFS(AS8:AS706, "=APAGADO",K8:K706,"=RADIO")</f>
        <v>5</v>
      </c>
      <c r="AT5" s="127">
        <f>COUNTIFS(AT8:AT706, "=APAGADO",K8:K706,"=RADIO")</f>
        <v>0</v>
      </c>
      <c r="AU5" s="127">
        <f>COUNTIFS(AU8:AU706, "=APAGADO",L8:L706,"=RADIO")</f>
        <v>0</v>
      </c>
      <c r="AV5" s="127">
        <f>COUNTIFS(AV8:AV706, "=APAGADO",M8:M706,"=RADIO")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COUNTIFS(S8:S706, "=APAGADO",K8:K706,"=PTO A FO")</f>
        <v>0</v>
      </c>
      <c r="T6" s="10">
        <f>COUNTIFS(T8:T706, "=APAGADO",K8:K706,"=PTO A FO")</f>
        <v>0</v>
      </c>
      <c r="U6" s="10">
        <f>COUNTIFS(U8:U706, "=APAGADO",K8:K706,"=PTO A FO")</f>
        <v>0</v>
      </c>
      <c r="V6" s="10">
        <f>COUNTIFS(V8:V706, "=APAGADO",K8:K706,"=PTO A FO")</f>
        <v>12</v>
      </c>
      <c r="W6" s="10">
        <f>COUNTIFS(W8:W706, "=APAGADO",K8:K706,"=PTO A FO")</f>
        <v>12</v>
      </c>
      <c r="X6" s="10">
        <f>COUNTIFS(X8:X706, "=APAGADO",K8:K706,"=PTO A FO")</f>
        <v>11</v>
      </c>
      <c r="Y6" s="10">
        <f>COUNTIFS(Y8:Y706, "=APAGADO",K8:K706,"=PTO A FO")</f>
        <v>14</v>
      </c>
      <c r="Z6" s="10">
        <f>COUNTIFS(Z8:Z706, "=APAGADO",K8:K706,"=PTO A FO")</f>
        <v>10</v>
      </c>
      <c r="AA6" s="10">
        <f>COUNTIFS(AA8:AA706, "=APAGADO",K8:K706,"=PTO A FO")</f>
        <v>0</v>
      </c>
      <c r="AB6" s="10">
        <f>COUNTIFS(AB8:AB706, "=APAGADO",K8:K706,"=PTO A FO")</f>
        <v>0</v>
      </c>
      <c r="AC6" s="10">
        <f>COUNTIFS(AC8:AC706, "=APAGADO",K8:K706,"=PTO A FO")</f>
        <v>8</v>
      </c>
      <c r="AD6" s="10">
        <f>COUNTIFS(AD8:AD706, "=APAGADO",K8:K706,"=PTO A FO")</f>
        <v>9</v>
      </c>
      <c r="AE6" s="10">
        <f>COUNTIFS(AE8:AE706, "=APAGADO",K8:K706,"=PTO A FO")</f>
        <v>9</v>
      </c>
      <c r="AF6" s="10">
        <f>COUNTIFS(AF8:AF706, "=APAGADO",K8:K706,"=PTO A FO")</f>
        <v>11</v>
      </c>
      <c r="AG6" s="10">
        <f>COUNTIFS(AG8:AG706, "=APAGADO",K8:K706,"=PTO A FO")</f>
        <v>11</v>
      </c>
      <c r="AH6" s="10">
        <f>COUNTIFS(AH8:AH706, "=APAGADO",K8:K706,"=PTO A FO")</f>
        <v>0</v>
      </c>
      <c r="AI6" s="10">
        <f>COUNTIFS(AI8:AI706, "=APAGADO",K8:K706,"=PTO A FO")</f>
        <v>0</v>
      </c>
      <c r="AJ6" s="10">
        <f>COUNTIFS(AJ8:AJ706, "=APAGADO",K8:K706,"=PTO A FO")</f>
        <v>10</v>
      </c>
      <c r="AK6" s="10">
        <f>COUNTIFS(AK8:AK706, "=APAGADO",K8:K706,"=PTO A FO")</f>
        <v>13</v>
      </c>
      <c r="AL6" s="10">
        <f>COUNTIFS(AL8:AL706, "=APAGADO",K8:K706,"=PTO A FO")</f>
        <v>12</v>
      </c>
      <c r="AM6" s="10">
        <f>COUNTIFS(AM8:AM706, "=APAGADO",K8:K706,"=PTO A FO")</f>
        <v>7</v>
      </c>
      <c r="AN6" s="10">
        <f>COUNTIFS(AN8:AN706, "=APAGADO",K8:K706,"=PTO A FO")</f>
        <v>9</v>
      </c>
      <c r="AO6" s="10">
        <f>COUNTIFS(AO8:AO706, "=APAGADO",K8:K706,"=PTO A FO")</f>
        <v>0</v>
      </c>
      <c r="AP6" s="10">
        <f>COUNTIFS(AP8:AP706, "=APAGADO",K8:K706,"=PTO A FO")</f>
        <v>0</v>
      </c>
      <c r="AQ6" s="10">
        <f>COUNTIFS(AQ8:AQ706, "=APAGADO",K8:K706,"=PTO A FO")</f>
        <v>0</v>
      </c>
      <c r="AR6" s="10">
        <f>COUNTIFS(AR8:AR706, "=APAGADO",K8:K706,"=PTO A FO")</f>
        <v>13</v>
      </c>
      <c r="AS6" s="10">
        <f>COUNTIFS(AS8:AS706, "=APAGADO",K8:K706,"=PTO A FO")</f>
        <v>13</v>
      </c>
      <c r="AT6" s="10">
        <f>COUNTIFS(AT8:AT706, "=APAGADO",K8:K706,"=PTO A FO")</f>
        <v>0</v>
      </c>
      <c r="AU6" s="10">
        <f>COUNTIFS(AU8:AU706, "=APAGADO",L8:L706,"=PTO A FO")</f>
        <v>0</v>
      </c>
      <c r="AV6" s="10">
        <f>COUNTIFS(AV8:AV706, "=APAGADO",M8:M706,"=PTO A FO")</f>
        <v>0</v>
      </c>
    </row>
    <row r="7" spans="1:49" s="117" customFormat="1" ht="19.5" customHeight="1" thickTop="1" thickBot="1" x14ac:dyDescent="0.35">
      <c r="A7" s="144" t="s">
        <v>2324</v>
      </c>
      <c r="B7" s="144" t="s">
        <v>2325</v>
      </c>
      <c r="C7" s="144" t="s">
        <v>2326</v>
      </c>
      <c r="D7" s="144" t="s">
        <v>2327</v>
      </c>
      <c r="E7" s="144" t="s">
        <v>2329</v>
      </c>
      <c r="F7" s="35" t="s">
        <v>7</v>
      </c>
      <c r="G7" s="114" t="s">
        <v>2269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2323</v>
      </c>
      <c r="N7" s="114" t="s">
        <v>2265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customHeight="1" thickBot="1" x14ac:dyDescent="0.3">
      <c r="E8" s="151" t="s">
        <v>2439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1" t="s">
        <v>2439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1" t="s">
        <v>2439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1" t="s">
        <v>2439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2365</v>
      </c>
      <c r="L11" s="30"/>
      <c r="M11" s="30" t="s">
        <v>605</v>
      </c>
      <c r="N11" s="30"/>
      <c r="O11" s="31">
        <f t="shared" si="4"/>
        <v>26</v>
      </c>
      <c r="P11" s="136" t="s">
        <v>1637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2222</v>
      </c>
      <c r="W11" s="70" t="s">
        <v>2222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1" t="s">
        <v>2439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2365</v>
      </c>
      <c r="L12" s="30"/>
      <c r="M12" s="30" t="s">
        <v>606</v>
      </c>
      <c r="N12" s="30"/>
      <c r="O12" s="31">
        <f t="shared" si="4"/>
        <v>26</v>
      </c>
      <c r="P12" s="136" t="s">
        <v>1638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2222</v>
      </c>
      <c r="W12" s="70" t="s">
        <v>2222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2439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28</v>
      </c>
      <c r="P13" s="136" t="s">
        <v>1639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1" t="s">
        <v>2439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2110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2328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2328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1" t="s">
        <v>2439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2328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1" t="s">
        <v>2438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1" t="s">
        <v>2438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1" t="s">
        <v>2438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2364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2266</v>
      </c>
      <c r="O22" s="31">
        <f t="shared" si="4"/>
        <v>18</v>
      </c>
      <c r="P22" s="136" t="s">
        <v>2268</v>
      </c>
      <c r="Q22" s="31">
        <f t="shared" si="5"/>
        <v>10</v>
      </c>
      <c r="R22" s="32">
        <f t="shared" si="6"/>
        <v>0.6428571428571429</v>
      </c>
      <c r="S22" s="70"/>
      <c r="T22" s="70"/>
      <c r="U22" s="70"/>
      <c r="V22" s="70"/>
      <c r="W22" s="70"/>
      <c r="X22" s="70" t="s">
        <v>2222</v>
      </c>
      <c r="Y22" s="70" t="s">
        <v>2222</v>
      </c>
      <c r="Z22" s="70" t="s">
        <v>2222</v>
      </c>
      <c r="AA22" s="70"/>
      <c r="AB22" s="70"/>
      <c r="AC22" s="70" t="s">
        <v>2222</v>
      </c>
      <c r="AD22" s="70" t="s">
        <v>2222</v>
      </c>
      <c r="AE22" s="70" t="s">
        <v>2222</v>
      </c>
      <c r="AF22" s="70" t="s">
        <v>2222</v>
      </c>
      <c r="AG22" s="70" t="s">
        <v>2222</v>
      </c>
      <c r="AH22" s="70"/>
      <c r="AI22" s="70"/>
      <c r="AJ22" s="70" t="s">
        <v>2222</v>
      </c>
      <c r="AK22" s="70" t="s">
        <v>2222</v>
      </c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2364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18</v>
      </c>
      <c r="P23" s="136" t="s">
        <v>1643</v>
      </c>
      <c r="Q23" s="31">
        <f t="shared" si="5"/>
        <v>10</v>
      </c>
      <c r="R23" s="32">
        <f t="shared" si="6"/>
        <v>0.6428571428571429</v>
      </c>
      <c r="S23" s="70"/>
      <c r="T23" s="70"/>
      <c r="U23" s="70"/>
      <c r="V23" s="70"/>
      <c r="W23" s="70"/>
      <c r="X23" s="70" t="s">
        <v>2222</v>
      </c>
      <c r="Y23" s="70" t="s">
        <v>2222</v>
      </c>
      <c r="Z23" s="70" t="s">
        <v>2222</v>
      </c>
      <c r="AA23" s="70"/>
      <c r="AB23" s="70"/>
      <c r="AC23" s="70" t="s">
        <v>2222</v>
      </c>
      <c r="AD23" s="70" t="s">
        <v>2222</v>
      </c>
      <c r="AE23" s="70" t="s">
        <v>2222</v>
      </c>
      <c r="AF23" s="70" t="s">
        <v>2222</v>
      </c>
      <c r="AG23" s="70" t="s">
        <v>2222</v>
      </c>
      <c r="AH23" s="70"/>
      <c r="AI23" s="70"/>
      <c r="AJ23" s="70" t="s">
        <v>2222</v>
      </c>
      <c r="AK23" s="70" t="s">
        <v>2222</v>
      </c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1" t="s">
        <v>2457</v>
      </c>
      <c r="F24" s="73" t="s">
        <v>1171</v>
      </c>
      <c r="G24" s="84" t="s">
        <v>2258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1" t="s">
        <v>2457</v>
      </c>
      <c r="F25" s="73" t="s">
        <v>1171</v>
      </c>
      <c r="G25" s="84" t="s">
        <v>2259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2111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1" t="s">
        <v>2457</v>
      </c>
      <c r="F26" s="73" t="s">
        <v>1171</v>
      </c>
      <c r="G26" s="84" t="s">
        <v>2260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2112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1" t="s">
        <v>2457</v>
      </c>
      <c r="F27" s="73" t="s">
        <v>1171</v>
      </c>
      <c r="G27" s="84" t="s">
        <v>2261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2113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1" t="s">
        <v>2457</v>
      </c>
      <c r="F28" s="73" t="s">
        <v>1171</v>
      </c>
      <c r="G28" s="84" t="s">
        <v>2262</v>
      </c>
      <c r="H28" s="84" t="s">
        <v>1042</v>
      </c>
      <c r="I28" s="73" t="s">
        <v>2241</v>
      </c>
      <c r="J28" s="84" t="s">
        <v>18</v>
      </c>
      <c r="K28" s="84" t="s">
        <v>1278</v>
      </c>
      <c r="L28" s="84"/>
      <c r="M28" s="84" t="s">
        <v>2242</v>
      </c>
      <c r="N28" s="84"/>
      <c r="O28" s="131">
        <f t="shared" si="4"/>
        <v>28</v>
      </c>
      <c r="P28" s="136" t="s">
        <v>2243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2348</v>
      </c>
      <c r="F29" s="73" t="s">
        <v>1171</v>
      </c>
      <c r="G29" s="84" t="s">
        <v>2358</v>
      </c>
      <c r="H29" s="84" t="s">
        <v>1042</v>
      </c>
      <c r="I29" s="73" t="s">
        <v>2359</v>
      </c>
      <c r="J29" s="84"/>
      <c r="K29" s="84" t="s">
        <v>27</v>
      </c>
      <c r="L29" s="84"/>
      <c r="M29" s="84" t="s">
        <v>2360</v>
      </c>
      <c r="N29" s="84"/>
      <c r="O29" s="131"/>
      <c r="P29" s="136" t="s">
        <v>2393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 t="s">
        <v>2222</v>
      </c>
      <c r="AS29" s="70" t="s">
        <v>2222</v>
      </c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2348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23</v>
      </c>
      <c r="P30" s="136" t="s">
        <v>1644</v>
      </c>
      <c r="Q30" s="31">
        <f t="shared" ref="Q30:Q61" si="8">COUNTIF(S30:AT30,"APAGADO")</f>
        <v>5</v>
      </c>
      <c r="R30" s="32">
        <f t="shared" ref="R30:R61" si="9">(O30)/(Q30+O30)</f>
        <v>0.8214285714285714</v>
      </c>
      <c r="S30" s="70"/>
      <c r="T30" s="70"/>
      <c r="U30" s="70"/>
      <c r="V30" s="70"/>
      <c r="W30" s="70"/>
      <c r="X30" s="70"/>
      <c r="Y30" s="70" t="s">
        <v>2222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 t="s">
        <v>2222</v>
      </c>
      <c r="AL30" s="70" t="s">
        <v>2222</v>
      </c>
      <c r="AM30" s="70"/>
      <c r="AN30" s="70"/>
      <c r="AO30" s="70"/>
      <c r="AP30" s="70"/>
      <c r="AQ30" s="70"/>
      <c r="AR30" s="70" t="s">
        <v>2222</v>
      </c>
      <c r="AS30" s="70" t="s">
        <v>2222</v>
      </c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2348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23</v>
      </c>
      <c r="P31" s="136" t="s">
        <v>1645</v>
      </c>
      <c r="Q31" s="31">
        <f t="shared" si="8"/>
        <v>5</v>
      </c>
      <c r="R31" s="32">
        <f t="shared" si="9"/>
        <v>0.8214285714285714</v>
      </c>
      <c r="S31" s="70"/>
      <c r="T31" s="70"/>
      <c r="U31" s="70"/>
      <c r="V31" s="70"/>
      <c r="W31" s="70"/>
      <c r="X31" s="70"/>
      <c r="Y31" s="70" t="s">
        <v>2222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 t="s">
        <v>2222</v>
      </c>
      <c r="AL31" s="70" t="s">
        <v>2222</v>
      </c>
      <c r="AM31" s="70"/>
      <c r="AN31" s="70"/>
      <c r="AO31" s="70"/>
      <c r="AP31" s="70"/>
      <c r="AQ31" s="70"/>
      <c r="AR31" s="70" t="s">
        <v>2222</v>
      </c>
      <c r="AS31" s="70" t="s">
        <v>2222</v>
      </c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2348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11</v>
      </c>
      <c r="P32" s="136" t="s">
        <v>1646</v>
      </c>
      <c r="Q32" s="31">
        <f t="shared" si="8"/>
        <v>17</v>
      </c>
      <c r="R32" s="32">
        <f t="shared" si="9"/>
        <v>0.39285714285714285</v>
      </c>
      <c r="S32" s="70"/>
      <c r="T32" s="70"/>
      <c r="U32" s="70"/>
      <c r="V32" s="70" t="s">
        <v>2222</v>
      </c>
      <c r="W32" s="70" t="s">
        <v>2222</v>
      </c>
      <c r="X32" s="70" t="s">
        <v>2222</v>
      </c>
      <c r="Y32" s="70" t="s">
        <v>2222</v>
      </c>
      <c r="Z32" s="70" t="s">
        <v>2222</v>
      </c>
      <c r="AA32" s="70"/>
      <c r="AB32" s="70"/>
      <c r="AC32" s="70" t="s">
        <v>2222</v>
      </c>
      <c r="AD32" s="70" t="s">
        <v>2222</v>
      </c>
      <c r="AE32" s="70" t="s">
        <v>2222</v>
      </c>
      <c r="AF32" s="70" t="s">
        <v>2222</v>
      </c>
      <c r="AG32" s="70" t="s">
        <v>2222</v>
      </c>
      <c r="AH32" s="70"/>
      <c r="AI32" s="70"/>
      <c r="AJ32" s="70" t="s">
        <v>2222</v>
      </c>
      <c r="AK32" s="70" t="s">
        <v>2222</v>
      </c>
      <c r="AL32" s="70" t="s">
        <v>2222</v>
      </c>
      <c r="AM32" s="70" t="s">
        <v>2222</v>
      </c>
      <c r="AN32" s="70" t="s">
        <v>2222</v>
      </c>
      <c r="AO32" s="70"/>
      <c r="AP32" s="70"/>
      <c r="AQ32" s="70"/>
      <c r="AR32" s="70" t="s">
        <v>2222</v>
      </c>
      <c r="AS32" s="70" t="s">
        <v>2222</v>
      </c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2348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22</v>
      </c>
      <c r="P33" s="136" t="s">
        <v>1647</v>
      </c>
      <c r="Q33" s="31">
        <f t="shared" si="8"/>
        <v>6</v>
      </c>
      <c r="R33" s="32">
        <f t="shared" si="9"/>
        <v>0.7857142857142857</v>
      </c>
      <c r="S33" s="70"/>
      <c r="T33" s="70"/>
      <c r="U33" s="70"/>
      <c r="V33" s="70"/>
      <c r="W33" s="70"/>
      <c r="X33" s="70"/>
      <c r="Y33" s="70" t="s">
        <v>2222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 t="s">
        <v>2222</v>
      </c>
      <c r="AL33" s="70" t="s">
        <v>2222</v>
      </c>
      <c r="AM33" s="70"/>
      <c r="AN33" s="70" t="s">
        <v>2222</v>
      </c>
      <c r="AO33" s="70"/>
      <c r="AP33" s="70"/>
      <c r="AQ33" s="70"/>
      <c r="AR33" s="70" t="s">
        <v>2222</v>
      </c>
      <c r="AS33" s="70" t="s">
        <v>2222</v>
      </c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2348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26</v>
      </c>
      <c r="P34" s="136" t="s">
        <v>1648</v>
      </c>
      <c r="Q34" s="31">
        <f t="shared" si="8"/>
        <v>2</v>
      </c>
      <c r="R34" s="32">
        <f t="shared" si="9"/>
        <v>0.9285714285714286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 t="s">
        <v>2222</v>
      </c>
      <c r="AS34" s="70" t="s">
        <v>2222</v>
      </c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2348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26</v>
      </c>
      <c r="P35" s="136" t="s">
        <v>1649</v>
      </c>
      <c r="Q35" s="31">
        <f t="shared" si="8"/>
        <v>2</v>
      </c>
      <c r="R35" s="32">
        <f t="shared" si="9"/>
        <v>0.9285714285714286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 t="s">
        <v>2222</v>
      </c>
      <c r="AS35" s="70" t="s">
        <v>2222</v>
      </c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2362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2362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1" t="s">
        <v>2456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2116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1" t="s">
        <v>2456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2140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1" t="s">
        <v>2456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2141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2362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2142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2348</v>
      </c>
      <c r="F42" t="s">
        <v>1428</v>
      </c>
      <c r="G42" s="30" t="s">
        <v>2185</v>
      </c>
      <c r="H42" t="s">
        <v>1042</v>
      </c>
      <c r="I42" t="s">
        <v>2189</v>
      </c>
      <c r="J42" s="30" t="s">
        <v>71</v>
      </c>
      <c r="K42" s="30" t="s">
        <v>27</v>
      </c>
      <c r="L42" s="30"/>
      <c r="M42" s="84" t="s">
        <v>2274</v>
      </c>
      <c r="N42" s="84"/>
      <c r="O42" s="31">
        <f t="shared" si="7"/>
        <v>28</v>
      </c>
      <c r="P42" s="136" t="s">
        <v>2186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2348</v>
      </c>
      <c r="F43" t="s">
        <v>1428</v>
      </c>
      <c r="G43" s="30" t="s">
        <v>2187</v>
      </c>
      <c r="H43" t="s">
        <v>1042</v>
      </c>
      <c r="I43" t="s">
        <v>2188</v>
      </c>
      <c r="J43" s="30" t="s">
        <v>71</v>
      </c>
      <c r="K43" s="30" t="s">
        <v>27</v>
      </c>
      <c r="L43" s="30"/>
      <c r="M43" s="84" t="s">
        <v>2275</v>
      </c>
      <c r="N43" s="84"/>
      <c r="O43" s="31">
        <f t="shared" si="7"/>
        <v>28</v>
      </c>
      <c r="P43" s="136" t="s">
        <v>2190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2331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25</v>
      </c>
      <c r="P44" s="136" t="s">
        <v>1658</v>
      </c>
      <c r="Q44" s="31">
        <f t="shared" si="8"/>
        <v>3</v>
      </c>
      <c r="R44" s="32">
        <f t="shared" si="9"/>
        <v>0.8928571428571429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2222</v>
      </c>
      <c r="AD44" s="70"/>
      <c r="AE44" s="70" t="s">
        <v>2222</v>
      </c>
      <c r="AF44" s="70" t="s">
        <v>2222</v>
      </c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2332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1" t="s">
        <v>2458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2367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1" t="s">
        <v>2458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15</v>
      </c>
      <c r="P48" s="136" t="s">
        <v>1700</v>
      </c>
      <c r="Q48" s="131">
        <f t="shared" si="8"/>
        <v>13</v>
      </c>
      <c r="R48" s="132">
        <f t="shared" si="9"/>
        <v>0.5357142857142857</v>
      </c>
      <c r="S48" s="70"/>
      <c r="T48" s="70"/>
      <c r="U48" s="70"/>
      <c r="V48" s="70" t="s">
        <v>2222</v>
      </c>
      <c r="W48" s="70" t="s">
        <v>2222</v>
      </c>
      <c r="X48" s="70" t="s">
        <v>2222</v>
      </c>
      <c r="Y48" s="70" t="s">
        <v>2222</v>
      </c>
      <c r="Z48" s="70" t="s">
        <v>2222</v>
      </c>
      <c r="AA48" s="70"/>
      <c r="AB48" s="70"/>
      <c r="AC48" s="70" t="s">
        <v>2222</v>
      </c>
      <c r="AD48" s="70" t="s">
        <v>2222</v>
      </c>
      <c r="AE48" s="70" t="s">
        <v>2222</v>
      </c>
      <c r="AF48" s="70" t="s">
        <v>2222</v>
      </c>
      <c r="AG48" s="70" t="s">
        <v>2222</v>
      </c>
      <c r="AH48" s="70"/>
      <c r="AI48" s="70"/>
      <c r="AJ48" s="70" t="s">
        <v>2222</v>
      </c>
      <c r="AK48" s="70" t="s">
        <v>2222</v>
      </c>
      <c r="AL48" s="70" t="s">
        <v>2222</v>
      </c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11</v>
      </c>
      <c r="P51" s="136" t="s">
        <v>1704</v>
      </c>
      <c r="Q51" s="131">
        <f t="shared" si="8"/>
        <v>17</v>
      </c>
      <c r="R51" s="132">
        <f t="shared" si="9"/>
        <v>0.39285714285714285</v>
      </c>
      <c r="S51" s="70"/>
      <c r="T51" s="70"/>
      <c r="U51" s="70"/>
      <c r="V51" s="70" t="s">
        <v>2222</v>
      </c>
      <c r="W51" s="70" t="s">
        <v>2222</v>
      </c>
      <c r="X51" s="70" t="s">
        <v>2222</v>
      </c>
      <c r="Y51" s="70" t="s">
        <v>2222</v>
      </c>
      <c r="Z51" s="70" t="s">
        <v>2222</v>
      </c>
      <c r="AA51" s="70"/>
      <c r="AB51" s="70"/>
      <c r="AC51" s="70" t="s">
        <v>2222</v>
      </c>
      <c r="AD51" s="70" t="s">
        <v>2222</v>
      </c>
      <c r="AE51" s="70" t="s">
        <v>2222</v>
      </c>
      <c r="AF51" s="70" t="s">
        <v>2222</v>
      </c>
      <c r="AG51" s="70" t="s">
        <v>2222</v>
      </c>
      <c r="AH51" s="70"/>
      <c r="AI51" s="70"/>
      <c r="AJ51" s="70" t="s">
        <v>2222</v>
      </c>
      <c r="AK51" s="70" t="s">
        <v>2222</v>
      </c>
      <c r="AL51" s="70" t="s">
        <v>2222</v>
      </c>
      <c r="AM51" s="70" t="s">
        <v>2222</v>
      </c>
      <c r="AN51" s="70" t="s">
        <v>2222</v>
      </c>
      <c r="AO51" s="70"/>
      <c r="AP51" s="70"/>
      <c r="AQ51" s="70"/>
      <c r="AR51" s="70" t="s">
        <v>2222</v>
      </c>
      <c r="AS51" s="70" t="s">
        <v>2222</v>
      </c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2333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25</v>
      </c>
      <c r="P55" s="136" t="s">
        <v>1708</v>
      </c>
      <c r="Q55" s="31">
        <f t="shared" si="8"/>
        <v>3</v>
      </c>
      <c r="R55" s="32">
        <f t="shared" si="9"/>
        <v>0.8928571428571429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 t="s">
        <v>2222</v>
      </c>
      <c r="AO55" s="70"/>
      <c r="AP55" s="70"/>
      <c r="AQ55" s="70"/>
      <c r="AR55" s="70" t="s">
        <v>2222</v>
      </c>
      <c r="AS55" s="70" t="s">
        <v>2222</v>
      </c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2366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1" t="s">
        <v>2460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2343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26</v>
      </c>
      <c r="P62" s="136" t="s">
        <v>1724</v>
      </c>
      <c r="Q62" s="131">
        <f t="shared" ref="Q62:Q93" si="11">COUNTIF(S62:AT62,"APAGADO")</f>
        <v>2</v>
      </c>
      <c r="R62" s="132">
        <f t="shared" ref="R62:R93" si="12">(O62)/(Q62+O62)</f>
        <v>0.9285714285714286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 t="s">
        <v>2222</v>
      </c>
      <c r="AG62" s="70"/>
      <c r="AH62" s="70"/>
      <c r="AI62" s="70"/>
      <c r="AJ62" s="70" t="s">
        <v>2222</v>
      </c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2332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2332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2332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2367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2367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2437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23</v>
      </c>
      <c r="P69" s="136" t="s">
        <v>1731</v>
      </c>
      <c r="Q69" s="131">
        <f t="shared" si="11"/>
        <v>5</v>
      </c>
      <c r="R69" s="132">
        <f t="shared" si="12"/>
        <v>0.8214285714285714</v>
      </c>
      <c r="S69" s="70"/>
      <c r="T69" s="70"/>
      <c r="U69" s="70"/>
      <c r="V69" s="70" t="s">
        <v>2222</v>
      </c>
      <c r="W69" s="70" t="s">
        <v>2222</v>
      </c>
      <c r="X69" s="70"/>
      <c r="Y69" s="70"/>
      <c r="Z69" s="70"/>
      <c r="AA69" s="70"/>
      <c r="AB69" s="70"/>
      <c r="AC69" s="70"/>
      <c r="AD69" s="70" t="s">
        <v>2222</v>
      </c>
      <c r="AE69" s="70"/>
      <c r="AF69" s="70"/>
      <c r="AG69" s="70" t="s">
        <v>2222</v>
      </c>
      <c r="AH69" s="70"/>
      <c r="AI69" s="70"/>
      <c r="AJ69" s="70" t="s">
        <v>2222</v>
      </c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27</v>
      </c>
      <c r="P70" s="136" t="s">
        <v>1733</v>
      </c>
      <c r="Q70" s="131">
        <f t="shared" si="11"/>
        <v>1</v>
      </c>
      <c r="R70" s="132">
        <f t="shared" si="12"/>
        <v>0.9642857142857143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 t="s">
        <v>2222</v>
      </c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2332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22</v>
      </c>
      <c r="P71" s="136" t="s">
        <v>1734</v>
      </c>
      <c r="Q71" s="31">
        <f t="shared" si="11"/>
        <v>6</v>
      </c>
      <c r="R71" s="32">
        <f t="shared" si="12"/>
        <v>0.7857142857142857</v>
      </c>
      <c r="S71" s="70"/>
      <c r="T71" s="70"/>
      <c r="U71" s="70"/>
      <c r="V71" s="70"/>
      <c r="W71" s="70" t="s">
        <v>2222</v>
      </c>
      <c r="X71" s="70" t="s">
        <v>2222</v>
      </c>
      <c r="Y71" s="70" t="s">
        <v>2222</v>
      </c>
      <c r="Z71" s="70" t="s">
        <v>2222</v>
      </c>
      <c r="AA71" s="70"/>
      <c r="AB71" s="70"/>
      <c r="AC71" s="70" t="s">
        <v>2222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 t="s">
        <v>2222</v>
      </c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2332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1" t="s">
        <v>2459</v>
      </c>
      <c r="F73" t="s">
        <v>51</v>
      </c>
      <c r="G73" t="s">
        <v>2382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1" t="s">
        <v>2459</v>
      </c>
      <c r="F74" t="s">
        <v>51</v>
      </c>
      <c r="G74" t="s">
        <v>2383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2363</v>
      </c>
      <c r="C75"/>
      <c r="D75"/>
      <c r="E75" t="s">
        <v>2331</v>
      </c>
      <c r="F75" t="s">
        <v>51</v>
      </c>
      <c r="G75" t="s">
        <v>2384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16</v>
      </c>
      <c r="P75" s="136" t="s">
        <v>2481</v>
      </c>
      <c r="Q75" s="31">
        <f t="shared" si="11"/>
        <v>12</v>
      </c>
      <c r="R75" s="32">
        <f t="shared" si="12"/>
        <v>0.5714285714285714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2222</v>
      </c>
      <c r="AD75" s="70" t="s">
        <v>2222</v>
      </c>
      <c r="AE75" s="70" t="s">
        <v>2222</v>
      </c>
      <c r="AF75" s="70" t="s">
        <v>2222</v>
      </c>
      <c r="AG75" s="70" t="s">
        <v>2222</v>
      </c>
      <c r="AH75" s="70"/>
      <c r="AI75" s="70"/>
      <c r="AJ75" s="70" t="s">
        <v>2222</v>
      </c>
      <c r="AK75" s="70" t="s">
        <v>2222</v>
      </c>
      <c r="AL75" s="70" t="s">
        <v>2222</v>
      </c>
      <c r="AM75" s="70" t="s">
        <v>2222</v>
      </c>
      <c r="AN75" s="70" t="s">
        <v>2222</v>
      </c>
      <c r="AO75" s="70"/>
      <c r="AP75" s="70"/>
      <c r="AQ75" s="70"/>
      <c r="AR75" s="70" t="s">
        <v>2222</v>
      </c>
      <c r="AS75" s="70" t="s">
        <v>2222</v>
      </c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2330</v>
      </c>
      <c r="F76" t="s">
        <v>51</v>
      </c>
      <c r="G76" t="s">
        <v>2385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2331</v>
      </c>
      <c r="F77" t="s">
        <v>51</v>
      </c>
      <c r="G77" t="s">
        <v>2386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14</v>
      </c>
      <c r="P77" s="136" t="s">
        <v>2434</v>
      </c>
      <c r="Q77" s="31">
        <f t="shared" si="11"/>
        <v>14</v>
      </c>
      <c r="R77" s="32">
        <f t="shared" si="12"/>
        <v>0.5</v>
      </c>
      <c r="S77" s="70"/>
      <c r="T77" s="70"/>
      <c r="U77" s="70"/>
      <c r="V77" s="70" t="s">
        <v>2222</v>
      </c>
      <c r="W77" s="70"/>
      <c r="X77" s="70"/>
      <c r="Y77" s="70" t="s">
        <v>2222</v>
      </c>
      <c r="Z77" s="70" t="s">
        <v>2222</v>
      </c>
      <c r="AA77" s="70"/>
      <c r="AB77" s="70"/>
      <c r="AC77" s="70" t="s">
        <v>2222</v>
      </c>
      <c r="AD77" s="70"/>
      <c r="AE77" s="70" t="s">
        <v>2222</v>
      </c>
      <c r="AF77" s="70" t="s">
        <v>2222</v>
      </c>
      <c r="AG77" s="70" t="s">
        <v>2222</v>
      </c>
      <c r="AH77" s="70"/>
      <c r="AI77" s="70"/>
      <c r="AJ77" s="70" t="s">
        <v>2222</v>
      </c>
      <c r="AK77" s="70" t="s">
        <v>2222</v>
      </c>
      <c r="AL77" s="70" t="s">
        <v>2222</v>
      </c>
      <c r="AM77" s="70" t="s">
        <v>2222</v>
      </c>
      <c r="AN77" s="70" t="s">
        <v>2222</v>
      </c>
      <c r="AO77" s="70"/>
      <c r="AP77" s="70"/>
      <c r="AQ77" s="70"/>
      <c r="AR77" s="70" t="s">
        <v>2222</v>
      </c>
      <c r="AS77" s="70" t="s">
        <v>2222</v>
      </c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2364</v>
      </c>
      <c r="F78" t="s">
        <v>51</v>
      </c>
      <c r="G78" t="s">
        <v>2387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2331</v>
      </c>
      <c r="F79" t="s">
        <v>51</v>
      </c>
      <c r="G79" t="s">
        <v>2388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2340</v>
      </c>
      <c r="F80" t="s">
        <v>51</v>
      </c>
      <c r="G80" t="s">
        <v>2389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2332</v>
      </c>
      <c r="F81" t="s">
        <v>51</v>
      </c>
      <c r="G81" t="s">
        <v>2390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2367</v>
      </c>
      <c r="F82" s="73" t="s">
        <v>51</v>
      </c>
      <c r="G82" s="84" t="s">
        <v>2250</v>
      </c>
      <c r="H82" s="84" t="s">
        <v>1041</v>
      </c>
      <c r="I82" s="73" t="s">
        <v>2251</v>
      </c>
      <c r="J82" s="84" t="s">
        <v>18</v>
      </c>
      <c r="K82" s="30" t="s">
        <v>27</v>
      </c>
      <c r="L82" s="84"/>
      <c r="M82" s="84" t="s">
        <v>2252</v>
      </c>
      <c r="N82" s="84"/>
      <c r="O82" s="131">
        <f t="shared" si="10"/>
        <v>23</v>
      </c>
      <c r="P82" s="136" t="s">
        <v>2253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2222</v>
      </c>
      <c r="W82" s="70" t="s">
        <v>2222</v>
      </c>
      <c r="X82" s="70" t="s">
        <v>2222</v>
      </c>
      <c r="Y82" s="70" t="s">
        <v>2222</v>
      </c>
      <c r="Z82" s="70" t="s">
        <v>2222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2332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2332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2331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2331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21</v>
      </c>
      <c r="P87" s="136" t="s">
        <v>1669</v>
      </c>
      <c r="Q87" s="31">
        <f t="shared" si="11"/>
        <v>7</v>
      </c>
      <c r="R87" s="32">
        <f t="shared" si="12"/>
        <v>0.75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2222</v>
      </c>
      <c r="AD87" s="70" t="s">
        <v>2222</v>
      </c>
      <c r="AE87" s="70" t="s">
        <v>2222</v>
      </c>
      <c r="AF87" s="70" t="s">
        <v>2222</v>
      </c>
      <c r="AG87" s="70" t="s">
        <v>2222</v>
      </c>
      <c r="AH87" s="70"/>
      <c r="AI87" s="70"/>
      <c r="AJ87" s="70" t="s">
        <v>2222</v>
      </c>
      <c r="AK87" s="70" t="s">
        <v>2222</v>
      </c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2332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2340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2257</v>
      </c>
      <c r="N91" s="89"/>
      <c r="O91" s="31">
        <f t="shared" si="10"/>
        <v>28</v>
      </c>
      <c r="P91" s="136" t="s">
        <v>2306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11</v>
      </c>
      <c r="P92" s="136" t="s">
        <v>1673</v>
      </c>
      <c r="Q92" s="131">
        <f t="shared" si="11"/>
        <v>17</v>
      </c>
      <c r="R92" s="132">
        <f t="shared" si="12"/>
        <v>0.39285714285714285</v>
      </c>
      <c r="S92" s="70"/>
      <c r="T92" s="70"/>
      <c r="U92" s="70"/>
      <c r="V92" s="70" t="s">
        <v>2222</v>
      </c>
      <c r="W92" s="70" t="s">
        <v>2222</v>
      </c>
      <c r="X92" s="70" t="s">
        <v>2222</v>
      </c>
      <c r="Y92" s="70" t="s">
        <v>2222</v>
      </c>
      <c r="Z92" s="70" t="s">
        <v>2222</v>
      </c>
      <c r="AA92" s="70"/>
      <c r="AB92" s="70"/>
      <c r="AC92" s="70" t="s">
        <v>2222</v>
      </c>
      <c r="AD92" s="70" t="s">
        <v>2222</v>
      </c>
      <c r="AE92" s="70" t="s">
        <v>2222</v>
      </c>
      <c r="AF92" s="70" t="s">
        <v>2222</v>
      </c>
      <c r="AG92" s="70" t="s">
        <v>2222</v>
      </c>
      <c r="AH92" s="70"/>
      <c r="AI92" s="70"/>
      <c r="AJ92" s="70" t="s">
        <v>2222</v>
      </c>
      <c r="AK92" s="70" t="s">
        <v>2222</v>
      </c>
      <c r="AL92" s="70" t="s">
        <v>2222</v>
      </c>
      <c r="AM92" s="70" t="s">
        <v>2222</v>
      </c>
      <c r="AN92" s="70" t="s">
        <v>2222</v>
      </c>
      <c r="AO92" s="70"/>
      <c r="AP92" s="70"/>
      <c r="AQ92" s="70"/>
      <c r="AR92" s="70" t="s">
        <v>2222</v>
      </c>
      <c r="AS92" s="70" t="s">
        <v>2222</v>
      </c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2332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2315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1" t="s">
        <v>2459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2331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2391</v>
      </c>
      <c r="N96" s="30"/>
      <c r="O96" s="31">
        <f t="shared" si="13"/>
        <v>28</v>
      </c>
      <c r="P96" s="136" t="s">
        <v>2392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2331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2331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2331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2332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2332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2332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2332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2331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2367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1685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 t="s">
        <v>2222</v>
      </c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2367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2330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2330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2330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16</v>
      </c>
      <c r="P110" s="136" t="s">
        <v>1691</v>
      </c>
      <c r="Q110" s="31">
        <f t="shared" si="14"/>
        <v>12</v>
      </c>
      <c r="R110" s="32">
        <f t="shared" si="15"/>
        <v>0.5714285714285714</v>
      </c>
      <c r="S110" s="70"/>
      <c r="T110" s="70"/>
      <c r="U110" s="70"/>
      <c r="V110" s="70"/>
      <c r="W110" s="70"/>
      <c r="X110" s="70" t="s">
        <v>2222</v>
      </c>
      <c r="Y110" s="70"/>
      <c r="Z110" s="70"/>
      <c r="AA110" s="70"/>
      <c r="AB110" s="70"/>
      <c r="AC110" s="70"/>
      <c r="AD110" s="70" t="s">
        <v>2222</v>
      </c>
      <c r="AE110" s="70" t="s">
        <v>2222</v>
      </c>
      <c r="AF110" s="70" t="s">
        <v>2222</v>
      </c>
      <c r="AG110" s="70" t="s">
        <v>2222</v>
      </c>
      <c r="AH110" s="70"/>
      <c r="AI110" s="70"/>
      <c r="AJ110" s="70" t="s">
        <v>2222</v>
      </c>
      <c r="AK110" s="70" t="s">
        <v>2222</v>
      </c>
      <c r="AL110" s="70" t="s">
        <v>2222</v>
      </c>
      <c r="AM110" s="70" t="s">
        <v>2222</v>
      </c>
      <c r="AN110" s="70" t="s">
        <v>2222</v>
      </c>
      <c r="AO110" s="70"/>
      <c r="AP110" s="70"/>
      <c r="AQ110" s="70"/>
      <c r="AR110" s="70" t="s">
        <v>2222</v>
      </c>
      <c r="AS110" s="70" t="s">
        <v>2222</v>
      </c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2332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25</v>
      </c>
      <c r="P112" s="136" t="s">
        <v>1693</v>
      </c>
      <c r="Q112" s="31">
        <f t="shared" si="14"/>
        <v>3</v>
      </c>
      <c r="R112" s="32">
        <f t="shared" si="15"/>
        <v>0.8928571428571429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 t="s">
        <v>2222</v>
      </c>
      <c r="AF112" s="70"/>
      <c r="AG112" s="70"/>
      <c r="AH112" s="70"/>
      <c r="AI112" s="70"/>
      <c r="AJ112" s="70"/>
      <c r="AK112" s="70" t="s">
        <v>2222</v>
      </c>
      <c r="AL112" s="70" t="s">
        <v>2222</v>
      </c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2332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27</v>
      </c>
      <c r="P113" s="136" t="s">
        <v>1694</v>
      </c>
      <c r="Q113" s="31">
        <f t="shared" si="14"/>
        <v>1</v>
      </c>
      <c r="R113" s="32">
        <f t="shared" si="15"/>
        <v>0.9642857142857143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 t="s">
        <v>2222</v>
      </c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2333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25</v>
      </c>
      <c r="P114" s="136" t="s">
        <v>1695</v>
      </c>
      <c r="Q114" s="31">
        <f t="shared" si="14"/>
        <v>3</v>
      </c>
      <c r="R114" s="32">
        <f t="shared" si="15"/>
        <v>0.8928571428571429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 t="s">
        <v>2222</v>
      </c>
      <c r="AO114" s="70"/>
      <c r="AP114" s="70"/>
      <c r="AQ114" s="70"/>
      <c r="AR114" s="70" t="s">
        <v>2222</v>
      </c>
      <c r="AS114" s="70" t="s">
        <v>2222</v>
      </c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2333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25</v>
      </c>
      <c r="P115" s="136" t="s">
        <v>1696</v>
      </c>
      <c r="Q115" s="31">
        <f t="shared" si="14"/>
        <v>3</v>
      </c>
      <c r="R115" s="32">
        <f t="shared" si="15"/>
        <v>0.8928571428571429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 t="s">
        <v>2222</v>
      </c>
      <c r="AO115" s="70"/>
      <c r="AP115" s="70"/>
      <c r="AQ115" s="70"/>
      <c r="AR115" s="70" t="s">
        <v>2222</v>
      </c>
      <c r="AS115" s="70" t="s">
        <v>2222</v>
      </c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2332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25</v>
      </c>
      <c r="P116" s="136" t="s">
        <v>1697</v>
      </c>
      <c r="Q116" s="31">
        <f t="shared" si="14"/>
        <v>3</v>
      </c>
      <c r="R116" s="32">
        <f t="shared" si="15"/>
        <v>0.8928571428571429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 t="s">
        <v>2222</v>
      </c>
      <c r="AK116" s="70"/>
      <c r="AL116" s="70"/>
      <c r="AM116" s="70"/>
      <c r="AN116" s="70"/>
      <c r="AO116" s="70"/>
      <c r="AP116" s="70"/>
      <c r="AQ116" s="70"/>
      <c r="AR116" s="70" t="s">
        <v>2222</v>
      </c>
      <c r="AS116" s="70" t="s">
        <v>2222</v>
      </c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2367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11</v>
      </c>
      <c r="P118" s="136" t="s">
        <v>1699</v>
      </c>
      <c r="Q118" s="31">
        <f t="shared" si="14"/>
        <v>17</v>
      </c>
      <c r="R118" s="32">
        <f t="shared" si="15"/>
        <v>0.39285714285714285</v>
      </c>
      <c r="S118" s="70"/>
      <c r="T118" s="70"/>
      <c r="U118" s="70"/>
      <c r="V118" s="70" t="s">
        <v>2222</v>
      </c>
      <c r="W118" s="70" t="s">
        <v>2222</v>
      </c>
      <c r="X118" s="70" t="s">
        <v>2222</v>
      </c>
      <c r="Y118" s="70" t="s">
        <v>2222</v>
      </c>
      <c r="Z118" s="70" t="s">
        <v>2222</v>
      </c>
      <c r="AA118" s="70"/>
      <c r="AB118" s="70"/>
      <c r="AC118" s="70" t="s">
        <v>2222</v>
      </c>
      <c r="AD118" s="70" t="s">
        <v>2222</v>
      </c>
      <c r="AE118" s="70" t="s">
        <v>2222</v>
      </c>
      <c r="AF118" s="70" t="s">
        <v>2222</v>
      </c>
      <c r="AG118" s="70" t="s">
        <v>2222</v>
      </c>
      <c r="AH118" s="70"/>
      <c r="AI118" s="70"/>
      <c r="AJ118" s="70" t="s">
        <v>2222</v>
      </c>
      <c r="AK118" s="70" t="s">
        <v>2222</v>
      </c>
      <c r="AL118" s="70" t="s">
        <v>2222</v>
      </c>
      <c r="AM118" s="70" t="s">
        <v>2222</v>
      </c>
      <c r="AN118" s="70" t="s">
        <v>2222</v>
      </c>
      <c r="AO118" s="70"/>
      <c r="AP118" s="70"/>
      <c r="AQ118" s="70"/>
      <c r="AR118" s="70" t="s">
        <v>2222</v>
      </c>
      <c r="AS118" s="70" t="s">
        <v>2222</v>
      </c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1" t="s">
        <v>2459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2330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1" t="s">
        <v>2459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2331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1" t="s">
        <v>2460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2343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2458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2368</v>
      </c>
      <c r="L129" s="30"/>
      <c r="M129" s="30" t="s">
        <v>667</v>
      </c>
      <c r="N129" s="30"/>
      <c r="O129" s="31">
        <f t="shared" si="16"/>
        <v>11</v>
      </c>
      <c r="P129" s="136" t="s">
        <v>1723</v>
      </c>
      <c r="Q129" s="31">
        <f t="shared" si="17"/>
        <v>17</v>
      </c>
      <c r="R129" s="32">
        <f t="shared" si="18"/>
        <v>0.39285714285714285</v>
      </c>
      <c r="S129" s="70"/>
      <c r="T129" s="70"/>
      <c r="U129" s="70"/>
      <c r="V129" s="70" t="s">
        <v>2222</v>
      </c>
      <c r="W129" s="70" t="s">
        <v>2222</v>
      </c>
      <c r="X129" s="70" t="s">
        <v>2222</v>
      </c>
      <c r="Y129" s="70" t="s">
        <v>2222</v>
      </c>
      <c r="Z129" s="70" t="s">
        <v>2222</v>
      </c>
      <c r="AA129" s="70"/>
      <c r="AB129" s="138"/>
      <c r="AC129" s="70" t="s">
        <v>2222</v>
      </c>
      <c r="AD129" s="70" t="s">
        <v>2222</v>
      </c>
      <c r="AE129" s="70" t="s">
        <v>2222</v>
      </c>
      <c r="AF129" s="70" t="s">
        <v>2222</v>
      </c>
      <c r="AG129" s="70" t="s">
        <v>2222</v>
      </c>
      <c r="AH129" s="70"/>
      <c r="AI129" s="70"/>
      <c r="AJ129" s="70" t="s">
        <v>2222</v>
      </c>
      <c r="AK129" s="70" t="s">
        <v>2222</v>
      </c>
      <c r="AL129" s="70" t="s">
        <v>2222</v>
      </c>
      <c r="AM129" s="70" t="s">
        <v>2222</v>
      </c>
      <c r="AN129" s="70" t="s">
        <v>2222</v>
      </c>
      <c r="AO129" s="70"/>
      <c r="AP129" s="70"/>
      <c r="AQ129" s="70"/>
      <c r="AR129" s="70" t="s">
        <v>2222</v>
      </c>
      <c r="AS129" s="70" t="s">
        <v>2222</v>
      </c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12</v>
      </c>
      <c r="P131" s="136" t="s">
        <v>1736</v>
      </c>
      <c r="Q131" s="131">
        <f t="shared" si="17"/>
        <v>16</v>
      </c>
      <c r="R131" s="132">
        <f t="shared" si="18"/>
        <v>0.42857142857142855</v>
      </c>
      <c r="S131" s="70"/>
      <c r="T131" s="70"/>
      <c r="U131" s="70"/>
      <c r="V131" s="70" t="s">
        <v>2222</v>
      </c>
      <c r="W131" s="70" t="s">
        <v>2222</v>
      </c>
      <c r="X131" s="70" t="s">
        <v>2222</v>
      </c>
      <c r="Y131" s="70" t="s">
        <v>2222</v>
      </c>
      <c r="Z131" s="70" t="s">
        <v>2222</v>
      </c>
      <c r="AA131" s="70"/>
      <c r="AB131" s="70"/>
      <c r="AC131" s="70" t="s">
        <v>2222</v>
      </c>
      <c r="AD131" s="70" t="s">
        <v>2222</v>
      </c>
      <c r="AE131" s="70" t="s">
        <v>2222</v>
      </c>
      <c r="AF131" s="70" t="s">
        <v>2222</v>
      </c>
      <c r="AG131" s="70" t="s">
        <v>2222</v>
      </c>
      <c r="AH131" s="70"/>
      <c r="AI131" s="70"/>
      <c r="AJ131" s="70" t="s">
        <v>2222</v>
      </c>
      <c r="AK131" s="70" t="s">
        <v>2222</v>
      </c>
      <c r="AL131" s="70" t="s">
        <v>2222</v>
      </c>
      <c r="AM131" s="70" t="s">
        <v>2222</v>
      </c>
      <c r="AN131" s="70" t="s">
        <v>2222</v>
      </c>
      <c r="AO131" s="70"/>
      <c r="AP131" s="70"/>
      <c r="AQ131" s="70"/>
      <c r="AR131" s="70" t="s">
        <v>2222</v>
      </c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2364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2266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2364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2266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2331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2332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2143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2367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2330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2088</v>
      </c>
      <c r="H141" s="84" t="s">
        <v>1041</v>
      </c>
      <c r="I141" s="73" t="s">
        <v>2089</v>
      </c>
      <c r="J141" s="84" t="s">
        <v>18</v>
      </c>
      <c r="K141" s="84" t="s">
        <v>1278</v>
      </c>
      <c r="L141" s="84"/>
      <c r="M141" s="84" t="s">
        <v>2144</v>
      </c>
      <c r="N141" s="84"/>
      <c r="O141" s="131">
        <f t="shared" si="16"/>
        <v>28</v>
      </c>
      <c r="P141" s="136" t="s">
        <v>2145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2168</v>
      </c>
      <c r="H142" s="84" t="s">
        <v>1041</v>
      </c>
      <c r="I142" s="73" t="s">
        <v>2169</v>
      </c>
      <c r="J142" s="84" t="s">
        <v>18</v>
      </c>
      <c r="K142" s="84" t="s">
        <v>1278</v>
      </c>
      <c r="L142" s="84"/>
      <c r="M142" s="84" t="s">
        <v>2270</v>
      </c>
      <c r="N142" s="84"/>
      <c r="O142" s="131">
        <f t="shared" si="16"/>
        <v>28</v>
      </c>
      <c r="P142" s="136" t="s">
        <v>2170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2458</v>
      </c>
      <c r="F143" s="73" t="s">
        <v>51</v>
      </c>
      <c r="G143" s="84" t="s">
        <v>2197</v>
      </c>
      <c r="H143" s="84" t="s">
        <v>1041</v>
      </c>
      <c r="I143" s="73" t="s">
        <v>2198</v>
      </c>
      <c r="J143" s="84" t="s">
        <v>18</v>
      </c>
      <c r="K143" s="30" t="s">
        <v>2368</v>
      </c>
      <c r="L143" s="84"/>
      <c r="M143" s="84" t="s">
        <v>2199</v>
      </c>
      <c r="N143" s="84"/>
      <c r="O143" s="131">
        <f t="shared" si="16"/>
        <v>11</v>
      </c>
      <c r="P143" s="136" t="s">
        <v>2200</v>
      </c>
      <c r="Q143" s="131">
        <f t="shared" si="17"/>
        <v>17</v>
      </c>
      <c r="R143" s="132">
        <f t="shared" si="18"/>
        <v>0.39285714285714285</v>
      </c>
      <c r="S143" s="70"/>
      <c r="T143" s="70"/>
      <c r="U143" s="70"/>
      <c r="V143" s="70" t="s">
        <v>2222</v>
      </c>
      <c r="W143" s="70" t="s">
        <v>2222</v>
      </c>
      <c r="X143" s="70" t="s">
        <v>2222</v>
      </c>
      <c r="Y143" s="70" t="s">
        <v>2222</v>
      </c>
      <c r="Z143" s="70" t="s">
        <v>2222</v>
      </c>
      <c r="AA143" s="70"/>
      <c r="AB143" s="70"/>
      <c r="AC143" s="70" t="s">
        <v>2222</v>
      </c>
      <c r="AD143" s="70" t="s">
        <v>2222</v>
      </c>
      <c r="AE143" s="70" t="s">
        <v>2222</v>
      </c>
      <c r="AF143" s="70" t="s">
        <v>2222</v>
      </c>
      <c r="AG143" s="70" t="s">
        <v>2222</v>
      </c>
      <c r="AH143" s="70"/>
      <c r="AI143" s="70"/>
      <c r="AJ143" s="70" t="s">
        <v>2222</v>
      </c>
      <c r="AK143" s="70" t="s">
        <v>2222</v>
      </c>
      <c r="AL143" s="70" t="s">
        <v>2222</v>
      </c>
      <c r="AM143" s="70" t="s">
        <v>2222</v>
      </c>
      <c r="AN143" s="70" t="s">
        <v>2222</v>
      </c>
      <c r="AO143" s="70"/>
      <c r="AP143" s="70"/>
      <c r="AQ143" s="70"/>
      <c r="AR143" s="70" t="s">
        <v>2222</v>
      </c>
      <c r="AS143" s="70" t="s">
        <v>2222</v>
      </c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26</v>
      </c>
      <c r="P144" s="136" t="s">
        <v>1745</v>
      </c>
      <c r="Q144" s="31">
        <f t="shared" si="17"/>
        <v>2</v>
      </c>
      <c r="R144" s="32">
        <f t="shared" si="18"/>
        <v>0.9285714285714286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 t="s">
        <v>2222</v>
      </c>
      <c r="AG144" s="70" t="s">
        <v>2222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23</v>
      </c>
      <c r="P145" s="136"/>
      <c r="Q145" s="31">
        <f t="shared" si="17"/>
        <v>5</v>
      </c>
      <c r="R145" s="32">
        <f t="shared" si="18"/>
        <v>0.8214285714285714</v>
      </c>
      <c r="S145" s="70"/>
      <c r="T145" s="70"/>
      <c r="U145" s="70"/>
      <c r="V145" s="70"/>
      <c r="W145" s="70"/>
      <c r="X145" s="70" t="s">
        <v>2222</v>
      </c>
      <c r="Y145" s="70"/>
      <c r="Z145" s="70" t="s">
        <v>2222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 t="s">
        <v>2222</v>
      </c>
      <c r="AK145" s="70"/>
      <c r="AL145" s="70"/>
      <c r="AM145" s="70"/>
      <c r="AN145" s="70" t="s">
        <v>2222</v>
      </c>
      <c r="AO145" s="70"/>
      <c r="AP145" s="70"/>
      <c r="AQ145" s="70"/>
      <c r="AR145" s="70" t="s">
        <v>2222</v>
      </c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2341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2335</v>
      </c>
      <c r="F148" t="s">
        <v>165</v>
      </c>
      <c r="G148" t="s">
        <v>2354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2160</v>
      </c>
      <c r="N148" s="30"/>
      <c r="O148" s="31">
        <f t="shared" si="16"/>
        <v>18</v>
      </c>
      <c r="P148" s="136" t="s">
        <v>1748</v>
      </c>
      <c r="Q148" s="31">
        <f t="shared" si="17"/>
        <v>10</v>
      </c>
      <c r="R148" s="32">
        <f t="shared" si="18"/>
        <v>0.6428571428571429</v>
      </c>
      <c r="S148" s="70"/>
      <c r="T148" s="70"/>
      <c r="U148" s="70"/>
      <c r="V148" s="70" t="s">
        <v>2222</v>
      </c>
      <c r="W148" s="70" t="s">
        <v>2222</v>
      </c>
      <c r="X148" s="70" t="s">
        <v>2222</v>
      </c>
      <c r="Y148" s="70" t="s">
        <v>2222</v>
      </c>
      <c r="Z148" s="70" t="s">
        <v>2222</v>
      </c>
      <c r="AA148" s="70"/>
      <c r="AB148" s="70"/>
      <c r="AC148" s="70" t="s">
        <v>2222</v>
      </c>
      <c r="AD148" s="70" t="s">
        <v>2222</v>
      </c>
      <c r="AE148" s="70" t="s">
        <v>2222</v>
      </c>
      <c r="AF148" s="70" t="s">
        <v>2222</v>
      </c>
      <c r="AG148" s="70" t="s">
        <v>2222</v>
      </c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2335</v>
      </c>
      <c r="F149" t="s">
        <v>167</v>
      </c>
      <c r="G149" t="s">
        <v>2355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14</v>
      </c>
      <c r="P149" s="136" t="s">
        <v>1749</v>
      </c>
      <c r="Q149" s="31">
        <f t="shared" si="17"/>
        <v>14</v>
      </c>
      <c r="R149" s="32">
        <f t="shared" si="18"/>
        <v>0.5</v>
      </c>
      <c r="S149" s="70"/>
      <c r="T149" s="70"/>
      <c r="U149" s="70"/>
      <c r="V149" s="70" t="s">
        <v>2222</v>
      </c>
      <c r="W149" s="70" t="s">
        <v>2222</v>
      </c>
      <c r="X149" s="70" t="s">
        <v>2222</v>
      </c>
      <c r="Y149" s="70" t="s">
        <v>2222</v>
      </c>
      <c r="Z149" s="70" t="s">
        <v>2222</v>
      </c>
      <c r="AA149" s="70"/>
      <c r="AB149" s="70"/>
      <c r="AC149" s="70" t="s">
        <v>2222</v>
      </c>
      <c r="AD149" s="70" t="s">
        <v>2222</v>
      </c>
      <c r="AE149" s="70" t="s">
        <v>2222</v>
      </c>
      <c r="AF149" s="70" t="s">
        <v>2222</v>
      </c>
      <c r="AG149" s="70" t="s">
        <v>2222</v>
      </c>
      <c r="AH149" s="70"/>
      <c r="AI149" s="70"/>
      <c r="AJ149" s="70"/>
      <c r="AK149" s="70" t="s">
        <v>2222</v>
      </c>
      <c r="AL149" s="70" t="s">
        <v>2222</v>
      </c>
      <c r="AM149" s="70"/>
      <c r="AN149" s="70"/>
      <c r="AO149" s="70"/>
      <c r="AP149" s="70"/>
      <c r="AQ149" s="70"/>
      <c r="AR149" s="70" t="s">
        <v>2222</v>
      </c>
      <c r="AS149" s="70" t="s">
        <v>2222</v>
      </c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2357</v>
      </c>
      <c r="N150" s="30"/>
      <c r="O150" s="31">
        <f t="shared" si="16"/>
        <v>24</v>
      </c>
      <c r="P150" s="136" t="s">
        <v>1748</v>
      </c>
      <c r="Q150" s="31">
        <f t="shared" si="17"/>
        <v>4</v>
      </c>
      <c r="R150" s="32">
        <f t="shared" si="18"/>
        <v>0.8571428571428571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2222</v>
      </c>
      <c r="AD150" s="70"/>
      <c r="AE150" s="70"/>
      <c r="AF150" s="70"/>
      <c r="AG150" s="70"/>
      <c r="AH150" s="70"/>
      <c r="AI150" s="70"/>
      <c r="AJ150" s="70" t="s">
        <v>2222</v>
      </c>
      <c r="AK150" s="70" t="s">
        <v>2222</v>
      </c>
      <c r="AL150" s="70" t="s">
        <v>2222</v>
      </c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2335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18</v>
      </c>
      <c r="P151" s="136" t="s">
        <v>1750</v>
      </c>
      <c r="Q151" s="31">
        <f t="shared" si="17"/>
        <v>10</v>
      </c>
      <c r="R151" s="32">
        <f t="shared" si="18"/>
        <v>0.6428571428571429</v>
      </c>
      <c r="S151" s="70"/>
      <c r="T151" s="70"/>
      <c r="U151" s="70"/>
      <c r="V151" s="70" t="s">
        <v>2222</v>
      </c>
      <c r="W151" s="70" t="s">
        <v>2222</v>
      </c>
      <c r="X151" s="70" t="s">
        <v>2222</v>
      </c>
      <c r="Y151" s="70" t="s">
        <v>2222</v>
      </c>
      <c r="Z151" s="70" t="s">
        <v>2222</v>
      </c>
      <c r="AA151" s="70"/>
      <c r="AB151" s="70"/>
      <c r="AC151" s="70" t="s">
        <v>2222</v>
      </c>
      <c r="AD151" s="70" t="s">
        <v>2222</v>
      </c>
      <c r="AE151" s="70" t="s">
        <v>2222</v>
      </c>
      <c r="AF151" s="70" t="s">
        <v>2222</v>
      </c>
      <c r="AG151" s="70" t="s">
        <v>2222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2344</v>
      </c>
      <c r="H152" t="s">
        <v>1042</v>
      </c>
      <c r="I152" t="s">
        <v>2345</v>
      </c>
      <c r="J152" s="30" t="s">
        <v>14</v>
      </c>
      <c r="K152" s="30" t="s">
        <v>1278</v>
      </c>
      <c r="L152"/>
      <c r="M152" s="30" t="s">
        <v>2346</v>
      </c>
      <c r="N152" s="30"/>
      <c r="O152" s="31"/>
      <c r="P152" s="136" t="s">
        <v>2347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9">COUNTIF(S153:AT153,"")</f>
        <v>28</v>
      </c>
      <c r="P153" s="136" t="s">
        <v>2115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2445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2444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2311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2443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2086</v>
      </c>
      <c r="N156" s="84"/>
      <c r="O156" s="31">
        <f t="shared" si="19"/>
        <v>28</v>
      </c>
      <c r="P156" s="136" t="s">
        <v>2312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2442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2335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2335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2309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2310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2441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2307</v>
      </c>
      <c r="N162" s="84"/>
      <c r="O162" s="85">
        <f t="shared" si="19"/>
        <v>28</v>
      </c>
      <c r="P162" s="136" t="s">
        <v>2308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1306</v>
      </c>
      <c r="G164" s="73" t="s">
        <v>2244</v>
      </c>
      <c r="H164" s="73" t="s">
        <v>1042</v>
      </c>
      <c r="I164" s="73" t="s">
        <v>2245</v>
      </c>
      <c r="J164" s="84" t="s">
        <v>14</v>
      </c>
      <c r="K164" s="84" t="s">
        <v>1278</v>
      </c>
      <c r="L164" s="84"/>
      <c r="M164" s="84" t="s">
        <v>2246</v>
      </c>
      <c r="N164" s="84"/>
      <c r="O164" s="131">
        <f t="shared" si="19"/>
        <v>28</v>
      </c>
      <c r="P164" s="136" t="s">
        <v>2313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2314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2348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11</v>
      </c>
      <c r="P166" s="136" t="s">
        <v>1757</v>
      </c>
      <c r="Q166" s="31">
        <f t="shared" si="20"/>
        <v>17</v>
      </c>
      <c r="R166" s="32">
        <f t="shared" si="21"/>
        <v>0.39285714285714285</v>
      </c>
      <c r="S166" s="70"/>
      <c r="T166" s="70"/>
      <c r="U166" s="70"/>
      <c r="V166" s="70" t="s">
        <v>2222</v>
      </c>
      <c r="W166" s="70" t="s">
        <v>2222</v>
      </c>
      <c r="X166" s="70" t="s">
        <v>2222</v>
      </c>
      <c r="Y166" s="70" t="s">
        <v>2222</v>
      </c>
      <c r="Z166" s="70" t="s">
        <v>2222</v>
      </c>
      <c r="AA166" s="70"/>
      <c r="AB166" s="70"/>
      <c r="AC166" s="70" t="s">
        <v>2222</v>
      </c>
      <c r="AD166" s="70" t="s">
        <v>2222</v>
      </c>
      <c r="AE166" s="70" t="s">
        <v>2222</v>
      </c>
      <c r="AF166" s="70" t="s">
        <v>2222</v>
      </c>
      <c r="AG166" s="70" t="s">
        <v>2222</v>
      </c>
      <c r="AH166" s="70"/>
      <c r="AI166" s="70"/>
      <c r="AJ166" s="70" t="s">
        <v>2222</v>
      </c>
      <c r="AK166" s="70" t="s">
        <v>2222</v>
      </c>
      <c r="AL166" s="70" t="s">
        <v>2222</v>
      </c>
      <c r="AM166" s="70" t="s">
        <v>2222</v>
      </c>
      <c r="AN166" s="70" t="s">
        <v>2222</v>
      </c>
      <c r="AO166" s="70"/>
      <c r="AP166" s="70"/>
      <c r="AQ166" s="70"/>
      <c r="AR166" s="70" t="s">
        <v>2222</v>
      </c>
      <c r="AS166" s="70" t="s">
        <v>2222</v>
      </c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2348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28</v>
      </c>
      <c r="P167" s="136" t="s">
        <v>1758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2348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28</v>
      </c>
      <c r="P168" s="136" t="s">
        <v>1759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2348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28</v>
      </c>
      <c r="P169" s="136" t="s">
        <v>1760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2348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28</v>
      </c>
      <c r="P170" s="136" t="s">
        <v>1761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2348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11</v>
      </c>
      <c r="P171" s="140" t="s">
        <v>1762</v>
      </c>
      <c r="Q171" s="139">
        <f t="shared" si="20"/>
        <v>17</v>
      </c>
      <c r="R171" s="141">
        <f t="shared" si="21"/>
        <v>0.39285714285714285</v>
      </c>
      <c r="S171" s="142"/>
      <c r="T171" s="142"/>
      <c r="U171" s="142"/>
      <c r="V171" s="70" t="s">
        <v>2222</v>
      </c>
      <c r="W171" s="70" t="s">
        <v>2222</v>
      </c>
      <c r="X171" s="70" t="s">
        <v>2222</v>
      </c>
      <c r="Y171" s="70" t="s">
        <v>2222</v>
      </c>
      <c r="Z171" s="70" t="s">
        <v>2222</v>
      </c>
      <c r="AA171" s="142"/>
      <c r="AB171" s="142"/>
      <c r="AC171" s="70" t="s">
        <v>2222</v>
      </c>
      <c r="AD171" s="70" t="s">
        <v>2222</v>
      </c>
      <c r="AE171" s="70" t="s">
        <v>2222</v>
      </c>
      <c r="AF171" s="70" t="s">
        <v>2222</v>
      </c>
      <c r="AG171" s="70" t="s">
        <v>2222</v>
      </c>
      <c r="AH171" s="70"/>
      <c r="AI171" s="70"/>
      <c r="AJ171" s="70" t="s">
        <v>2222</v>
      </c>
      <c r="AK171" s="70" t="s">
        <v>2222</v>
      </c>
      <c r="AL171" s="70" t="s">
        <v>2222</v>
      </c>
      <c r="AM171" s="70" t="s">
        <v>2222</v>
      </c>
      <c r="AN171" s="70" t="s">
        <v>2222</v>
      </c>
      <c r="AO171" s="70"/>
      <c r="AP171" s="70"/>
      <c r="AQ171" s="142"/>
      <c r="AR171" s="70" t="s">
        <v>2222</v>
      </c>
      <c r="AS171" s="70" t="s">
        <v>2222</v>
      </c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2376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1" t="s">
        <v>2454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2368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1" t="s">
        <v>2454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2368</v>
      </c>
      <c r="L174" s="30"/>
      <c r="M174" s="30" t="s">
        <v>1132</v>
      </c>
      <c r="N174" s="30"/>
      <c r="O174" s="31">
        <f t="shared" si="19"/>
        <v>28</v>
      </c>
      <c r="P174" s="136" t="s">
        <v>2453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9"/>
        <v>11</v>
      </c>
      <c r="P175" s="136" t="s">
        <v>1775</v>
      </c>
      <c r="Q175" s="31">
        <f t="shared" si="20"/>
        <v>17</v>
      </c>
      <c r="R175" s="32">
        <f t="shared" si="21"/>
        <v>0.39285714285714285</v>
      </c>
      <c r="S175" s="70"/>
      <c r="T175" s="70"/>
      <c r="U175" s="70"/>
      <c r="V175" s="70" t="s">
        <v>2222</v>
      </c>
      <c r="W175" s="70" t="s">
        <v>2222</v>
      </c>
      <c r="X175" s="70" t="s">
        <v>2222</v>
      </c>
      <c r="Y175" s="70" t="s">
        <v>2222</v>
      </c>
      <c r="Z175" s="70" t="s">
        <v>2222</v>
      </c>
      <c r="AA175" s="70"/>
      <c r="AB175" s="70"/>
      <c r="AC175" s="70" t="s">
        <v>2222</v>
      </c>
      <c r="AD175" s="70" t="s">
        <v>2222</v>
      </c>
      <c r="AE175" s="70" t="s">
        <v>2222</v>
      </c>
      <c r="AF175" s="70" t="s">
        <v>2222</v>
      </c>
      <c r="AG175" s="70" t="s">
        <v>2222</v>
      </c>
      <c r="AH175" s="70"/>
      <c r="AI175" s="70"/>
      <c r="AJ175" s="70" t="s">
        <v>2222</v>
      </c>
      <c r="AK175" s="70" t="s">
        <v>2222</v>
      </c>
      <c r="AL175" s="70" t="s">
        <v>2222</v>
      </c>
      <c r="AM175" s="70" t="s">
        <v>2222</v>
      </c>
      <c r="AN175" s="70" t="s">
        <v>2222</v>
      </c>
      <c r="AO175" s="70"/>
      <c r="AP175" s="70"/>
      <c r="AQ175" s="70"/>
      <c r="AR175" s="70" t="s">
        <v>2222</v>
      </c>
      <c r="AS175" s="70" t="s">
        <v>2222</v>
      </c>
      <c r="AT175" s="70"/>
      <c r="AU175" s="70"/>
      <c r="AV175" s="70"/>
      <c r="AW175" s="73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9"/>
        <v>11</v>
      </c>
      <c r="P176" s="136" t="s">
        <v>1776</v>
      </c>
      <c r="Q176" s="31">
        <f t="shared" si="20"/>
        <v>17</v>
      </c>
      <c r="R176" s="32">
        <f t="shared" si="21"/>
        <v>0.39285714285714285</v>
      </c>
      <c r="S176" s="70"/>
      <c r="T176" s="70"/>
      <c r="U176" s="70"/>
      <c r="V176" s="70" t="s">
        <v>2222</v>
      </c>
      <c r="W176" s="70" t="s">
        <v>2222</v>
      </c>
      <c r="X176" s="70" t="s">
        <v>2222</v>
      </c>
      <c r="Y176" s="70" t="s">
        <v>2222</v>
      </c>
      <c r="Z176" s="70" t="s">
        <v>2222</v>
      </c>
      <c r="AA176" s="70"/>
      <c r="AB176" s="70"/>
      <c r="AC176" s="70" t="s">
        <v>2222</v>
      </c>
      <c r="AD176" s="70" t="s">
        <v>2222</v>
      </c>
      <c r="AE176" s="70" t="s">
        <v>2222</v>
      </c>
      <c r="AF176" s="70" t="s">
        <v>2222</v>
      </c>
      <c r="AG176" s="70" t="s">
        <v>2222</v>
      </c>
      <c r="AH176" s="70"/>
      <c r="AI176" s="70"/>
      <c r="AJ176" s="70" t="s">
        <v>2222</v>
      </c>
      <c r="AK176" s="70" t="s">
        <v>2222</v>
      </c>
      <c r="AL176" s="70" t="s">
        <v>2222</v>
      </c>
      <c r="AM176" s="70" t="s">
        <v>2222</v>
      </c>
      <c r="AN176" s="70" t="s">
        <v>2222</v>
      </c>
      <c r="AO176" s="70"/>
      <c r="AP176" s="70"/>
      <c r="AQ176" s="70"/>
      <c r="AR176" s="70" t="s">
        <v>2222</v>
      </c>
      <c r="AS176" s="70" t="s">
        <v>2222</v>
      </c>
      <c r="AT176" s="70"/>
      <c r="AU176" s="70"/>
      <c r="AV176" s="70"/>
      <c r="AW176" s="88"/>
    </row>
    <row r="177" spans="1:49" ht="15.75" thickBot="1" x14ac:dyDescent="0.3">
      <c r="A177">
        <v>5</v>
      </c>
      <c r="B177">
        <v>23</v>
      </c>
      <c r="C177"/>
      <c r="D177"/>
      <c r="E177" t="s">
        <v>2336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9"/>
        <v>22</v>
      </c>
      <c r="P177" s="136" t="s">
        <v>2377</v>
      </c>
      <c r="Q177" s="31">
        <f t="shared" si="20"/>
        <v>6</v>
      </c>
      <c r="R177" s="32">
        <f t="shared" si="21"/>
        <v>0.7857142857142857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 t="s">
        <v>2222</v>
      </c>
      <c r="AK177" s="70" t="s">
        <v>2222</v>
      </c>
      <c r="AL177" s="70" t="s">
        <v>2222</v>
      </c>
      <c r="AM177" s="70" t="s">
        <v>2222</v>
      </c>
      <c r="AN177" s="70" t="s">
        <v>2222</v>
      </c>
      <c r="AO177" s="70"/>
      <c r="AP177" s="70"/>
      <c r="AQ177" s="70"/>
      <c r="AR177" s="70" t="s">
        <v>2222</v>
      </c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s="73" t="s">
        <v>178</v>
      </c>
      <c r="G178" s="84" t="s">
        <v>1522</v>
      </c>
      <c r="H178" s="84" t="s">
        <v>1042</v>
      </c>
      <c r="I178" s="73" t="s">
        <v>1523</v>
      </c>
      <c r="J178" s="84" t="s">
        <v>18</v>
      </c>
      <c r="K178" s="84" t="s">
        <v>1278</v>
      </c>
      <c r="L178" s="84"/>
      <c r="M178" s="84" t="s">
        <v>1524</v>
      </c>
      <c r="N178" s="84"/>
      <c r="O178" s="31">
        <f t="shared" si="19"/>
        <v>27</v>
      </c>
      <c r="P178" s="136" t="s">
        <v>1777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 t="s">
        <v>2222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2247</v>
      </c>
      <c r="H179" s="84" t="s">
        <v>1042</v>
      </c>
      <c r="I179" s="73" t="s">
        <v>2248</v>
      </c>
      <c r="J179" s="84" t="s">
        <v>1093</v>
      </c>
      <c r="K179" s="84" t="s">
        <v>1278</v>
      </c>
      <c r="L179" s="84"/>
      <c r="M179" s="84" t="s">
        <v>2249</v>
      </c>
      <c r="N179" s="84"/>
      <c r="O179" s="31">
        <f t="shared" si="19"/>
        <v>28</v>
      </c>
      <c r="P179" s="136" t="s">
        <v>2378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thickBot="1" x14ac:dyDescent="0.3">
      <c r="A180">
        <v>4</v>
      </c>
      <c r="B180">
        <v>12</v>
      </c>
      <c r="C180"/>
      <c r="D180"/>
      <c r="E180" t="s">
        <v>2333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9"/>
        <v>28</v>
      </c>
      <c r="P180" s="136" t="s">
        <v>1763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thickBot="1" x14ac:dyDescent="0.3">
      <c r="A181"/>
      <c r="B181"/>
      <c r="C181"/>
      <c r="D181"/>
      <c r="E181" s="151" t="s">
        <v>2454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9"/>
        <v>28</v>
      </c>
      <c r="P181" s="136" t="s">
        <v>1764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9"/>
        <v>28</v>
      </c>
      <c r="P182" s="136" t="s">
        <v>1765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thickBot="1" x14ac:dyDescent="0.3">
      <c r="A183">
        <v>5</v>
      </c>
      <c r="B183">
        <v>23</v>
      </c>
      <c r="C183"/>
      <c r="D183"/>
      <c r="E183" t="s">
        <v>2336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9"/>
        <v>27</v>
      </c>
      <c r="P183" s="136" t="s">
        <v>1766</v>
      </c>
      <c r="Q183" s="31">
        <f t="shared" si="20"/>
        <v>1</v>
      </c>
      <c r="R183" s="32">
        <f t="shared" si="21"/>
        <v>0.9642857142857143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 t="s">
        <v>2222</v>
      </c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thickBot="1" x14ac:dyDescent="0.3">
      <c r="A184">
        <v>5</v>
      </c>
      <c r="B184">
        <v>23</v>
      </c>
      <c r="C184"/>
      <c r="D184"/>
      <c r="E184" t="s">
        <v>2336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9"/>
        <v>28</v>
      </c>
      <c r="P184" s="136" t="s">
        <v>1767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2">COUNTIF(S185:AT185,"")</f>
        <v>27</v>
      </c>
      <c r="P185" s="136" t="s">
        <v>1768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2222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 s="151" t="s">
        <v>2454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2"/>
        <v>28</v>
      </c>
      <c r="P186" s="136" t="s">
        <v>1769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>
        <v>4</v>
      </c>
      <c r="B187">
        <v>12</v>
      </c>
      <c r="C187"/>
      <c r="D187"/>
      <c r="E187" t="s">
        <v>2333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2"/>
        <v>28</v>
      </c>
      <c r="P187" s="136" t="s">
        <v>1770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2333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2"/>
        <v>28</v>
      </c>
      <c r="P188" s="136" t="s">
        <v>1771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/>
      <c r="B189"/>
      <c r="C189"/>
      <c r="D189"/>
      <c r="E189" s="151" t="s">
        <v>2454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2368</v>
      </c>
      <c r="L189" s="30"/>
      <c r="M189" s="30" t="s">
        <v>658</v>
      </c>
      <c r="N189" s="30"/>
      <c r="O189" s="31">
        <f t="shared" si="22"/>
        <v>28</v>
      </c>
      <c r="P189" s="136" t="s">
        <v>1772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thickBot="1" x14ac:dyDescent="0.3">
      <c r="A190"/>
      <c r="B190"/>
      <c r="C190"/>
      <c r="D190"/>
      <c r="E190" s="151" t="s">
        <v>2454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2368</v>
      </c>
      <c r="L190" s="30"/>
      <c r="M190" s="30" t="s">
        <v>659</v>
      </c>
      <c r="N190" s="30"/>
      <c r="O190" s="31">
        <f t="shared" si="22"/>
        <v>28</v>
      </c>
      <c r="P190" s="136" t="s">
        <v>1773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/>
      <c r="F191" s="73" t="s">
        <v>178</v>
      </c>
      <c r="G191" s="84" t="s">
        <v>2121</v>
      </c>
      <c r="H191" s="84" t="s">
        <v>1042</v>
      </c>
      <c r="I191" s="73" t="s">
        <v>2122</v>
      </c>
      <c r="J191" s="84" t="s">
        <v>18</v>
      </c>
      <c r="K191" s="84" t="s">
        <v>1278</v>
      </c>
      <c r="L191" s="84"/>
      <c r="M191" s="84" t="s">
        <v>2123</v>
      </c>
      <c r="N191" s="84"/>
      <c r="O191" s="31">
        <f t="shared" si="22"/>
        <v>28</v>
      </c>
      <c r="P191" s="136" t="s">
        <v>2124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thickBot="1" x14ac:dyDescent="0.3">
      <c r="A192">
        <v>4</v>
      </c>
      <c r="B192">
        <v>12</v>
      </c>
      <c r="C192"/>
      <c r="D192"/>
      <c r="E192" t="s">
        <v>2333</v>
      </c>
      <c r="F192" s="73" t="s">
        <v>178</v>
      </c>
      <c r="G192" s="84" t="s">
        <v>2178</v>
      </c>
      <c r="H192" s="84" t="s">
        <v>1042</v>
      </c>
      <c r="I192" s="73" t="s">
        <v>2179</v>
      </c>
      <c r="J192" s="84" t="s">
        <v>18</v>
      </c>
      <c r="K192" s="84" t="s">
        <v>27</v>
      </c>
      <c r="L192" s="84"/>
      <c r="M192" s="84" t="s">
        <v>2276</v>
      </c>
      <c r="N192" s="84"/>
      <c r="O192" s="31">
        <f t="shared" si="22"/>
        <v>28</v>
      </c>
      <c r="P192" s="136" t="s">
        <v>2124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/>
      <c r="B193"/>
      <c r="C193"/>
      <c r="D193"/>
      <c r="E193"/>
      <c r="G193" s="84" t="s">
        <v>2223</v>
      </c>
      <c r="H193" s="84" t="s">
        <v>1042</v>
      </c>
      <c r="I193" s="73" t="s">
        <v>1505</v>
      </c>
      <c r="J193" s="84" t="s">
        <v>1093</v>
      </c>
      <c r="K193" s="84" t="s">
        <v>1278</v>
      </c>
      <c r="L193" s="84"/>
      <c r="M193" s="84" t="s">
        <v>1506</v>
      </c>
      <c r="N193" s="84"/>
      <c r="O193" s="31">
        <f t="shared" si="22"/>
        <v>28</v>
      </c>
      <c r="P193" s="136" t="s">
        <v>1778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thickBot="1" x14ac:dyDescent="0.3">
      <c r="A194"/>
      <c r="B194"/>
      <c r="C194"/>
      <c r="D194"/>
      <c r="E194" t="s">
        <v>2348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2"/>
        <v>28</v>
      </c>
      <c r="P194" s="136" t="s">
        <v>1779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2348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2"/>
        <v>28</v>
      </c>
      <c r="P195" s="136" t="s">
        <v>1780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thickBot="1" x14ac:dyDescent="0.3">
      <c r="A196" s="69"/>
      <c r="B196" s="69"/>
      <c r="C196" s="69"/>
      <c r="D196" s="69"/>
      <c r="E196" s="152" t="s">
        <v>2461</v>
      </c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1278</v>
      </c>
      <c r="L196" s="137"/>
      <c r="M196" s="137" t="s">
        <v>687</v>
      </c>
      <c r="N196" s="137"/>
      <c r="O196" s="139">
        <f t="shared" si="22"/>
        <v>11</v>
      </c>
      <c r="P196" s="140"/>
      <c r="Q196" s="139">
        <f t="shared" si="23"/>
        <v>17</v>
      </c>
      <c r="R196" s="141">
        <f t="shared" si="24"/>
        <v>0.39285714285714285</v>
      </c>
      <c r="S196" s="142"/>
      <c r="T196" s="142"/>
      <c r="U196" s="142"/>
      <c r="V196" s="70" t="s">
        <v>2222</v>
      </c>
      <c r="W196" s="70" t="s">
        <v>2222</v>
      </c>
      <c r="X196" s="70" t="s">
        <v>2222</v>
      </c>
      <c r="Y196" s="70" t="s">
        <v>2222</v>
      </c>
      <c r="Z196" s="70" t="s">
        <v>2222</v>
      </c>
      <c r="AA196" s="142"/>
      <c r="AB196" s="142"/>
      <c r="AC196" s="70" t="s">
        <v>2222</v>
      </c>
      <c r="AD196" s="70" t="s">
        <v>2222</v>
      </c>
      <c r="AE196" s="70" t="s">
        <v>2222</v>
      </c>
      <c r="AF196" s="70" t="s">
        <v>2222</v>
      </c>
      <c r="AG196" s="70" t="s">
        <v>2222</v>
      </c>
      <c r="AH196" s="70"/>
      <c r="AI196" s="70"/>
      <c r="AJ196" s="70" t="s">
        <v>2222</v>
      </c>
      <c r="AK196" s="70" t="s">
        <v>2222</v>
      </c>
      <c r="AL196" s="70" t="s">
        <v>2222</v>
      </c>
      <c r="AM196" s="70" t="s">
        <v>2222</v>
      </c>
      <c r="AN196" s="70" t="s">
        <v>2222</v>
      </c>
      <c r="AO196" s="70"/>
      <c r="AP196" s="70"/>
      <c r="AQ196" s="142"/>
      <c r="AR196" s="70" t="s">
        <v>2222</v>
      </c>
      <c r="AS196" s="70" t="s">
        <v>2222</v>
      </c>
      <c r="AT196" s="70"/>
      <c r="AU196" s="70"/>
      <c r="AV196" s="70"/>
      <c r="AW196" s="69"/>
    </row>
    <row r="197" spans="1:49" ht="15.75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1560</v>
      </c>
      <c r="N197" s="84"/>
      <c r="O197" s="131">
        <f t="shared" si="22"/>
        <v>26</v>
      </c>
      <c r="P197" s="136" t="s">
        <v>1786</v>
      </c>
      <c r="Q197" s="131">
        <f t="shared" si="23"/>
        <v>2</v>
      </c>
      <c r="R197" s="132">
        <f t="shared" si="24"/>
        <v>0.9285714285714286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2222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 t="s">
        <v>2222</v>
      </c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2"/>
        <v>28</v>
      </c>
      <c r="P198" s="136" t="s">
        <v>1789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2"/>
        <v>28</v>
      </c>
      <c r="P199" s="136" t="s">
        <v>1791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2"/>
        <v>28</v>
      </c>
      <c r="P200" s="136" t="s">
        <v>1792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2"/>
        <v>28</v>
      </c>
      <c r="P201" s="136" t="s">
        <v>1793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2"/>
        <v>28</v>
      </c>
      <c r="P202" s="136" t="s">
        <v>1794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2"/>
        <v>28</v>
      </c>
      <c r="P203" s="136" t="s">
        <v>1795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2"/>
        <v>28</v>
      </c>
      <c r="P204" s="136" t="s">
        <v>1655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/>
      <c r="B205"/>
      <c r="C205"/>
      <c r="D205"/>
      <c r="E205" s="151" t="s">
        <v>2438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2"/>
        <v>11</v>
      </c>
      <c r="P205" s="136" t="s">
        <v>1796</v>
      </c>
      <c r="Q205" s="131">
        <f t="shared" si="23"/>
        <v>17</v>
      </c>
      <c r="R205" s="132">
        <f t="shared" si="24"/>
        <v>0.39285714285714285</v>
      </c>
      <c r="S205" s="70"/>
      <c r="T205" s="70"/>
      <c r="U205" s="70"/>
      <c r="V205" s="70" t="s">
        <v>2222</v>
      </c>
      <c r="W205" s="70" t="s">
        <v>2222</v>
      </c>
      <c r="X205" s="70" t="s">
        <v>2222</v>
      </c>
      <c r="Y205" s="70" t="s">
        <v>2222</v>
      </c>
      <c r="Z205" s="70" t="s">
        <v>2222</v>
      </c>
      <c r="AA205" s="70"/>
      <c r="AB205" s="70"/>
      <c r="AC205" s="70" t="s">
        <v>2222</v>
      </c>
      <c r="AD205" s="70" t="s">
        <v>2222</v>
      </c>
      <c r="AE205" s="70" t="s">
        <v>2222</v>
      </c>
      <c r="AF205" s="70" t="s">
        <v>2222</v>
      </c>
      <c r="AG205" s="70" t="s">
        <v>2222</v>
      </c>
      <c r="AH205" s="70"/>
      <c r="AI205" s="70"/>
      <c r="AJ205" s="70" t="s">
        <v>2222</v>
      </c>
      <c r="AK205" s="70" t="s">
        <v>2222</v>
      </c>
      <c r="AL205" s="70" t="s">
        <v>2222</v>
      </c>
      <c r="AM205" s="70" t="s">
        <v>2222</v>
      </c>
      <c r="AN205" s="70" t="s">
        <v>2222</v>
      </c>
      <c r="AO205" s="70"/>
      <c r="AP205" s="70"/>
      <c r="AQ205" s="70"/>
      <c r="AR205" s="70" t="s">
        <v>2222</v>
      </c>
      <c r="AS205" s="70" t="s">
        <v>2222</v>
      </c>
      <c r="AT205" s="70"/>
      <c r="AU205" s="70"/>
      <c r="AV205" s="70"/>
    </row>
    <row r="206" spans="1:49" s="73" customFormat="1" ht="15.75" thickBot="1" x14ac:dyDescent="0.3">
      <c r="A206"/>
      <c r="B206"/>
      <c r="C206"/>
      <c r="D206"/>
      <c r="E206" s="151" t="s">
        <v>2438</v>
      </c>
      <c r="G206" s="73" t="s">
        <v>2350</v>
      </c>
      <c r="H206" s="73" t="s">
        <v>1041</v>
      </c>
      <c r="I206" s="73" t="s">
        <v>2352</v>
      </c>
      <c r="J206" s="84"/>
      <c r="K206" s="84" t="s">
        <v>1278</v>
      </c>
      <c r="M206" s="84" t="s">
        <v>2351</v>
      </c>
      <c r="N206" s="84"/>
      <c r="O206" s="131"/>
      <c r="P206" s="136" t="s">
        <v>2353</v>
      </c>
      <c r="Q206" s="131"/>
      <c r="R206" s="132"/>
      <c r="S206" s="70"/>
      <c r="T206" s="70"/>
      <c r="U206" s="70"/>
      <c r="V206" s="70" t="s">
        <v>2222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thickBot="1" x14ac:dyDescent="0.3">
      <c r="A207"/>
      <c r="B207"/>
      <c r="C207"/>
      <c r="D207"/>
      <c r="E207" s="151" t="s">
        <v>2438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5">COUNTIF(S207:AT207,"")</f>
        <v>28</v>
      </c>
      <c r="P207" s="136" t="s">
        <v>1781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thickBot="1" x14ac:dyDescent="0.3">
      <c r="A208"/>
      <c r="B208"/>
      <c r="C208"/>
      <c r="D208"/>
      <c r="E208" s="151" t="s">
        <v>2438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5"/>
        <v>28</v>
      </c>
      <c r="P208" s="136" t="s">
        <v>1782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thickBot="1" x14ac:dyDescent="0.3">
      <c r="A209"/>
      <c r="B209"/>
      <c r="C209"/>
      <c r="D209"/>
      <c r="E209" s="151" t="s">
        <v>2438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5"/>
        <v>26</v>
      </c>
      <c r="P209" s="136" t="s">
        <v>1783</v>
      </c>
      <c r="Q209" s="31">
        <f t="shared" si="26"/>
        <v>2</v>
      </c>
      <c r="R209" s="32">
        <f t="shared" si="27"/>
        <v>0.9285714285714286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 t="s">
        <v>2222</v>
      </c>
      <c r="AG209" s="70" t="s">
        <v>2222</v>
      </c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thickBot="1" x14ac:dyDescent="0.3">
      <c r="A210">
        <v>12</v>
      </c>
      <c r="B210" t="s">
        <v>2375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2277</v>
      </c>
      <c r="N210" s="30"/>
      <c r="O210" s="31">
        <f t="shared" si="25"/>
        <v>28</v>
      </c>
      <c r="P210" s="136" t="s">
        <v>1784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thickBot="1" x14ac:dyDescent="0.3">
      <c r="A211">
        <v>12</v>
      </c>
      <c r="B211" t="s">
        <v>2374</v>
      </c>
      <c r="C211"/>
      <c r="D211"/>
      <c r="E211" t="s">
        <v>2373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2278</v>
      </c>
      <c r="N211" s="30"/>
      <c r="O211" s="31">
        <f t="shared" si="25"/>
        <v>23</v>
      </c>
      <c r="P211" s="136" t="s">
        <v>1785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2222</v>
      </c>
      <c r="W211" s="70" t="s">
        <v>2222</v>
      </c>
      <c r="X211" s="70" t="s">
        <v>2222</v>
      </c>
      <c r="Y211" s="70" t="s">
        <v>2222</v>
      </c>
      <c r="Z211" s="70" t="s">
        <v>2222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thickBot="1" x14ac:dyDescent="0.3">
      <c r="A212"/>
      <c r="B212"/>
      <c r="C212"/>
      <c r="D212"/>
      <c r="E212" s="151" t="s">
        <v>2438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2263</v>
      </c>
      <c r="N212" s="30"/>
      <c r="O212" s="31">
        <f t="shared" si="25"/>
        <v>28</v>
      </c>
      <c r="P212" s="136" t="s">
        <v>2379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thickBot="1" x14ac:dyDescent="0.3">
      <c r="E213" s="151" t="s">
        <v>2438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5"/>
        <v>17</v>
      </c>
      <c r="P213" s="136" t="s">
        <v>1787</v>
      </c>
      <c r="Q213" s="31">
        <f t="shared" si="26"/>
        <v>11</v>
      </c>
      <c r="R213" s="32">
        <f t="shared" si="27"/>
        <v>0.6071428571428571</v>
      </c>
      <c r="S213" s="70"/>
      <c r="T213" s="70"/>
      <c r="U213" s="70"/>
      <c r="V213" s="70" t="s">
        <v>2222</v>
      </c>
      <c r="W213" s="70" t="s">
        <v>2222</v>
      </c>
      <c r="X213" s="70" t="s">
        <v>2222</v>
      </c>
      <c r="Y213" s="70" t="s">
        <v>2222</v>
      </c>
      <c r="Z213" s="70" t="s">
        <v>2222</v>
      </c>
      <c r="AA213" s="70"/>
      <c r="AB213" s="70"/>
      <c r="AC213" s="70" t="s">
        <v>2222</v>
      </c>
      <c r="AD213" s="70" t="s">
        <v>2222</v>
      </c>
      <c r="AE213" s="70" t="s">
        <v>2222</v>
      </c>
      <c r="AF213" s="70" t="s">
        <v>2222</v>
      </c>
      <c r="AG213" s="70" t="s">
        <v>2222</v>
      </c>
      <c r="AH213" s="70"/>
      <c r="AI213" s="70"/>
      <c r="AJ213" s="70"/>
      <c r="AK213" s="70"/>
      <c r="AL213" s="70"/>
      <c r="AM213" s="70" t="s">
        <v>2222</v>
      </c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1" t="s">
        <v>2438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5"/>
        <v>28</v>
      </c>
      <c r="P214" s="136" t="s">
        <v>1788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thickBot="1" x14ac:dyDescent="0.3">
      <c r="A215"/>
      <c r="B215"/>
      <c r="C215"/>
      <c r="D215"/>
      <c r="E215" s="151" t="s">
        <v>2438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5"/>
        <v>26</v>
      </c>
      <c r="P215" s="136" t="s">
        <v>1790</v>
      </c>
      <c r="Q215" s="31">
        <f t="shared" si="26"/>
        <v>2</v>
      </c>
      <c r="R215" s="32">
        <f t="shared" si="27"/>
        <v>0.9285714285714286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 t="s">
        <v>2222</v>
      </c>
      <c r="AG215" s="70" t="s">
        <v>2222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1" t="s">
        <v>2438</v>
      </c>
      <c r="F216" s="73" t="s">
        <v>206</v>
      </c>
      <c r="G216" s="73" t="s">
        <v>1557</v>
      </c>
      <c r="H216" s="73" t="s">
        <v>1041</v>
      </c>
      <c r="I216" s="73" t="s">
        <v>1558</v>
      </c>
      <c r="J216" s="84" t="s">
        <v>71</v>
      </c>
      <c r="K216" s="84" t="s">
        <v>1278</v>
      </c>
      <c r="L216" s="73"/>
      <c r="M216" s="84" t="s">
        <v>1559</v>
      </c>
      <c r="N216" s="84"/>
      <c r="O216" s="131">
        <f t="shared" si="25"/>
        <v>28</v>
      </c>
      <c r="P216" s="136" t="s">
        <v>1797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thickBot="1" x14ac:dyDescent="0.3">
      <c r="A217"/>
      <c r="B217"/>
      <c r="C217"/>
      <c r="D217"/>
      <c r="E217" s="151" t="s">
        <v>2438</v>
      </c>
      <c r="F217" s="73" t="s">
        <v>206</v>
      </c>
      <c r="G217" s="73" t="s">
        <v>2156</v>
      </c>
      <c r="H217" s="73" t="s">
        <v>1041</v>
      </c>
      <c r="I217" s="73" t="s">
        <v>2157</v>
      </c>
      <c r="J217" s="84" t="s">
        <v>71</v>
      </c>
      <c r="K217" s="84" t="s">
        <v>1278</v>
      </c>
      <c r="M217" s="84" t="s">
        <v>2158</v>
      </c>
      <c r="N217" s="84"/>
      <c r="O217" s="131">
        <f t="shared" si="25"/>
        <v>28</v>
      </c>
      <c r="P217" s="136" t="s">
        <v>2159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5"/>
        <v>28</v>
      </c>
      <c r="P218" s="136" t="s">
        <v>1798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5"/>
        <v>25</v>
      </c>
      <c r="P219" s="136" t="s">
        <v>1799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2222</v>
      </c>
      <c r="W219" s="70" t="s">
        <v>2222</v>
      </c>
      <c r="X219" s="70" t="s">
        <v>2222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2271</v>
      </c>
      <c r="N220" s="84"/>
      <c r="O220" s="131">
        <f t="shared" si="25"/>
        <v>25</v>
      </c>
      <c r="P220" s="136" t="s">
        <v>1800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2222</v>
      </c>
      <c r="W220" s="70" t="s">
        <v>2222</v>
      </c>
      <c r="X220" s="70" t="s">
        <v>2222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2368</v>
      </c>
      <c r="L221" s="30" t="s">
        <v>2369</v>
      </c>
      <c r="M221" s="30" t="s">
        <v>1490</v>
      </c>
      <c r="N221" s="30"/>
      <c r="O221" s="131">
        <f t="shared" si="25"/>
        <v>25</v>
      </c>
      <c r="P221" s="136" t="s">
        <v>1801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2222</v>
      </c>
      <c r="W221" s="70" t="s">
        <v>2222</v>
      </c>
      <c r="X221" s="70" t="s">
        <v>2222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thickBot="1" x14ac:dyDescent="0.3">
      <c r="A222"/>
      <c r="B222"/>
      <c r="C222"/>
      <c r="D222"/>
      <c r="E222"/>
      <c r="F222" t="s">
        <v>91</v>
      </c>
      <c r="G222" t="s">
        <v>2210</v>
      </c>
      <c r="H222" t="s">
        <v>1041</v>
      </c>
      <c r="I222" t="s">
        <v>2211</v>
      </c>
      <c r="J222" s="30" t="s">
        <v>14</v>
      </c>
      <c r="K222" s="84" t="s">
        <v>1278</v>
      </c>
      <c r="L222" s="30"/>
      <c r="M222" s="30" t="s">
        <v>2212</v>
      </c>
      <c r="N222" s="30"/>
      <c r="O222" s="131">
        <f t="shared" si="25"/>
        <v>28</v>
      </c>
      <c r="P222" s="136" t="s">
        <v>2213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5"/>
        <v>28</v>
      </c>
      <c r="P223" s="136" t="s">
        <v>2380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5"/>
        <v>28</v>
      </c>
      <c r="P224" s="136" t="s">
        <v>2381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thickBot="1" x14ac:dyDescent="0.3">
      <c r="A225">
        <v>10</v>
      </c>
      <c r="B225">
        <v>14</v>
      </c>
      <c r="C225"/>
      <c r="D225"/>
      <c r="E225" t="s">
        <v>2342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2279</v>
      </c>
      <c r="N225" s="30"/>
      <c r="O225" s="31">
        <f t="shared" si="25"/>
        <v>28</v>
      </c>
      <c r="P225" s="136" t="s">
        <v>1802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5"/>
        <v>24</v>
      </c>
      <c r="P226" s="136" t="s">
        <v>1803</v>
      </c>
      <c r="Q226" s="131">
        <f t="shared" si="26"/>
        <v>4</v>
      </c>
      <c r="R226" s="132">
        <f t="shared" si="27"/>
        <v>0.8571428571428571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2222</v>
      </c>
      <c r="AE226" s="70" t="s">
        <v>2222</v>
      </c>
      <c r="AF226" s="70" t="s">
        <v>2222</v>
      </c>
      <c r="AG226" s="70" t="s">
        <v>2222</v>
      </c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>
        <v>10</v>
      </c>
      <c r="B227">
        <v>14</v>
      </c>
      <c r="C227"/>
      <c r="D227"/>
      <c r="E227" t="s">
        <v>2342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5"/>
        <v>28</v>
      </c>
      <c r="P227" s="136" t="s">
        <v>1804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thickBot="1" x14ac:dyDescent="0.3">
      <c r="A228">
        <v>10</v>
      </c>
      <c r="B228">
        <v>14</v>
      </c>
      <c r="C228"/>
      <c r="D228"/>
      <c r="E228" t="s">
        <v>2342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5"/>
        <v>28</v>
      </c>
      <c r="P228" s="136" t="s">
        <v>1805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5"/>
        <v>28</v>
      </c>
      <c r="P229" s="136" t="s">
        <v>1806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5"/>
        <v>28</v>
      </c>
      <c r="P230" s="136" t="s">
        <v>1807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1561</v>
      </c>
      <c r="H231" s="73" t="s">
        <v>1041</v>
      </c>
      <c r="I231" s="73" t="s">
        <v>1562</v>
      </c>
      <c r="J231" s="84" t="s">
        <v>14</v>
      </c>
      <c r="K231" s="84" t="s">
        <v>1278</v>
      </c>
      <c r="L231" s="84"/>
      <c r="M231" s="84" t="s">
        <v>1563</v>
      </c>
      <c r="N231" s="84"/>
      <c r="O231" s="131">
        <f t="shared" si="25"/>
        <v>22</v>
      </c>
      <c r="P231" s="136" t="s">
        <v>2435</v>
      </c>
      <c r="Q231" s="131">
        <f t="shared" si="26"/>
        <v>6</v>
      </c>
      <c r="R231" s="132">
        <f t="shared" si="27"/>
        <v>0.7857142857142857</v>
      </c>
      <c r="S231" s="70"/>
      <c r="T231" s="70"/>
      <c r="U231" s="70"/>
      <c r="V231" s="70" t="s">
        <v>2222</v>
      </c>
      <c r="W231" s="70" t="s">
        <v>2222</v>
      </c>
      <c r="X231" s="70" t="s">
        <v>2222</v>
      </c>
      <c r="Y231" s="70" t="s">
        <v>2222</v>
      </c>
      <c r="Z231" s="70" t="s">
        <v>2222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 t="s">
        <v>2222</v>
      </c>
      <c r="AT231" s="70"/>
      <c r="AU231" s="70"/>
      <c r="AV231" s="70"/>
    </row>
    <row r="232" spans="1:49" s="73" customFormat="1" ht="15.75" thickBot="1" x14ac:dyDescent="0.3">
      <c r="A232"/>
      <c r="B232"/>
      <c r="C232"/>
      <c r="D232"/>
      <c r="E232"/>
      <c r="F232" s="73" t="s">
        <v>241</v>
      </c>
      <c r="G232" s="73" t="s">
        <v>2224</v>
      </c>
      <c r="H232" s="73" t="s">
        <v>1041</v>
      </c>
      <c r="I232" s="73" t="s">
        <v>2225</v>
      </c>
      <c r="J232" s="84" t="s">
        <v>14</v>
      </c>
      <c r="K232" s="84" t="s">
        <v>1278</v>
      </c>
      <c r="L232" s="84"/>
      <c r="M232" s="84" t="s">
        <v>2280</v>
      </c>
      <c r="N232" s="84"/>
      <c r="O232" s="131">
        <f t="shared" si="25"/>
        <v>28</v>
      </c>
      <c r="P232" s="136" t="s">
        <v>2226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5"/>
        <v>28</v>
      </c>
      <c r="P233" s="136" t="s">
        <v>1808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5"/>
        <v>28</v>
      </c>
      <c r="P234" s="136" t="s">
        <v>1809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5"/>
        <v>28</v>
      </c>
      <c r="P235" s="136" t="s">
        <v>1810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2218</v>
      </c>
      <c r="H236" s="73" t="s">
        <v>1042</v>
      </c>
      <c r="I236" s="73" t="s">
        <v>2219</v>
      </c>
      <c r="J236" s="84" t="s">
        <v>14</v>
      </c>
      <c r="K236" s="84" t="s">
        <v>1278</v>
      </c>
      <c r="L236" s="84"/>
      <c r="M236" s="84" t="s">
        <v>2281</v>
      </c>
      <c r="N236" s="84"/>
      <c r="O236" s="131">
        <f t="shared" si="25"/>
        <v>28</v>
      </c>
      <c r="P236" s="136" t="s">
        <v>2220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>
        <v>1</v>
      </c>
      <c r="B237">
        <v>19</v>
      </c>
      <c r="C237"/>
      <c r="D237"/>
      <c r="E237" t="s">
        <v>2328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5"/>
        <v>28</v>
      </c>
      <c r="P237" s="136" t="s">
        <v>1811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2328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5"/>
        <v>28</v>
      </c>
      <c r="P238" s="136" t="s">
        <v>1812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2328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8">COUNTIF(S239:AT239,"")</f>
        <v>28</v>
      </c>
      <c r="P239" s="136" t="s">
        <v>1813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thickBot="1" x14ac:dyDescent="0.3">
      <c r="A240">
        <v>1</v>
      </c>
      <c r="B240">
        <v>19</v>
      </c>
      <c r="C240"/>
      <c r="D240"/>
      <c r="E240" t="s">
        <v>2328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8"/>
        <v>28</v>
      </c>
      <c r="P240" s="136" t="s">
        <v>1814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thickBot="1" x14ac:dyDescent="0.3">
      <c r="A241">
        <v>1</v>
      </c>
      <c r="B241">
        <v>19</v>
      </c>
      <c r="C241"/>
      <c r="D241"/>
      <c r="E241" t="s">
        <v>2328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8"/>
        <v>28</v>
      </c>
      <c r="P241" s="136" t="s">
        <v>1815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2328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8"/>
        <v>28</v>
      </c>
      <c r="P242" s="136" t="s">
        <v>1816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2328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8"/>
        <v>28</v>
      </c>
      <c r="P243" s="136" t="s">
        <v>1817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2328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8"/>
        <v>28</v>
      </c>
      <c r="P244" s="136" t="s">
        <v>1818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thickBot="1" x14ac:dyDescent="0.3">
      <c r="A245">
        <v>1</v>
      </c>
      <c r="B245">
        <v>19</v>
      </c>
      <c r="C245"/>
      <c r="D245"/>
      <c r="E245" t="s">
        <v>2328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8"/>
        <v>28</v>
      </c>
      <c r="P245" s="136" t="s">
        <v>1819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2328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8"/>
        <v>27</v>
      </c>
      <c r="P246" s="136" t="s">
        <v>1820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 t="s">
        <v>2222</v>
      </c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2328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2272</v>
      </c>
      <c r="N247" s="30"/>
      <c r="O247" s="31">
        <f t="shared" si="28"/>
        <v>28</v>
      </c>
      <c r="P247" s="136" t="s">
        <v>1821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2328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8"/>
        <v>26</v>
      </c>
      <c r="P248" s="136" t="s">
        <v>1822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2222</v>
      </c>
      <c r="W248" s="70" t="s">
        <v>2222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2328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8"/>
        <v>27</v>
      </c>
      <c r="P249" s="136" t="s">
        <v>1823</v>
      </c>
      <c r="Q249" s="31">
        <f t="shared" si="29"/>
        <v>1</v>
      </c>
      <c r="R249" s="32">
        <f t="shared" si="30"/>
        <v>0.9642857142857143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2222</v>
      </c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2455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8"/>
        <v>11</v>
      </c>
      <c r="P250" s="136" t="s">
        <v>1824</v>
      </c>
      <c r="Q250" s="31">
        <f t="shared" si="29"/>
        <v>17</v>
      </c>
      <c r="R250" s="32">
        <f t="shared" si="30"/>
        <v>0.39285714285714285</v>
      </c>
      <c r="S250" s="70"/>
      <c r="T250" s="70"/>
      <c r="U250" s="70"/>
      <c r="V250" s="70" t="s">
        <v>2222</v>
      </c>
      <c r="W250" s="70" t="s">
        <v>2222</v>
      </c>
      <c r="X250" s="70" t="s">
        <v>2222</v>
      </c>
      <c r="Y250" s="70" t="s">
        <v>2222</v>
      </c>
      <c r="Z250" s="70" t="s">
        <v>2222</v>
      </c>
      <c r="AA250" s="70"/>
      <c r="AB250" s="70"/>
      <c r="AC250" s="70" t="s">
        <v>2222</v>
      </c>
      <c r="AD250" s="70" t="s">
        <v>2222</v>
      </c>
      <c r="AE250" s="70" t="s">
        <v>2222</v>
      </c>
      <c r="AF250" s="70" t="s">
        <v>2222</v>
      </c>
      <c r="AG250" s="70" t="s">
        <v>2222</v>
      </c>
      <c r="AH250" s="70"/>
      <c r="AI250" s="70"/>
      <c r="AJ250" s="70" t="s">
        <v>2222</v>
      </c>
      <c r="AK250" s="70" t="s">
        <v>2222</v>
      </c>
      <c r="AL250" s="70" t="s">
        <v>2222</v>
      </c>
      <c r="AM250" s="70" t="s">
        <v>2222</v>
      </c>
      <c r="AN250" s="70" t="s">
        <v>2222</v>
      </c>
      <c r="AO250" s="70"/>
      <c r="AP250" s="70"/>
      <c r="AQ250" s="70"/>
      <c r="AR250" s="70" t="s">
        <v>2222</v>
      </c>
      <c r="AS250" s="70" t="s">
        <v>2222</v>
      </c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2328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8"/>
        <v>21</v>
      </c>
      <c r="P251" s="136" t="s">
        <v>1825</v>
      </c>
      <c r="Q251" s="31">
        <f t="shared" si="29"/>
        <v>7</v>
      </c>
      <c r="R251" s="32">
        <f t="shared" si="30"/>
        <v>0.75</v>
      </c>
      <c r="S251" s="70"/>
      <c r="T251" s="70"/>
      <c r="U251" s="70"/>
      <c r="V251" s="70" t="s">
        <v>2222</v>
      </c>
      <c r="W251" s="70" t="s">
        <v>2222</v>
      </c>
      <c r="X251" s="70" t="s">
        <v>2222</v>
      </c>
      <c r="Y251" s="70" t="s">
        <v>2222</v>
      </c>
      <c r="Z251" s="70"/>
      <c r="AA251" s="70"/>
      <c r="AB251" s="70"/>
      <c r="AC251" s="70"/>
      <c r="AD251" s="70"/>
      <c r="AE251" s="70"/>
      <c r="AF251" s="70"/>
      <c r="AG251" s="70" t="s">
        <v>2222</v>
      </c>
      <c r="AH251" s="70"/>
      <c r="AI251" s="70"/>
      <c r="AJ251" s="70" t="s">
        <v>2222</v>
      </c>
      <c r="AK251" s="70"/>
      <c r="AL251" s="70"/>
      <c r="AM251" s="70"/>
      <c r="AN251" s="70" t="s">
        <v>2222</v>
      </c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2196</v>
      </c>
      <c r="N252" s="84"/>
      <c r="O252" s="31">
        <f t="shared" si="28"/>
        <v>28</v>
      </c>
      <c r="P252" s="136" t="s">
        <v>2305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8"/>
        <v>23</v>
      </c>
      <c r="P253" s="136" t="s">
        <v>1781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2222</v>
      </c>
      <c r="W253" s="70" t="s">
        <v>2222</v>
      </c>
      <c r="X253" s="70" t="s">
        <v>2222</v>
      </c>
      <c r="Y253" s="70" t="s">
        <v>2222</v>
      </c>
      <c r="Z253" s="70" t="s">
        <v>2222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thickBot="1" x14ac:dyDescent="0.3">
      <c r="A254" s="69"/>
      <c r="B254" s="69"/>
      <c r="C254" s="69"/>
      <c r="D254" s="69"/>
      <c r="E254" s="152" t="s">
        <v>2464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8"/>
        <v>11</v>
      </c>
      <c r="P254" s="140" t="s">
        <v>1826</v>
      </c>
      <c r="Q254" s="139">
        <f t="shared" si="29"/>
        <v>17</v>
      </c>
      <c r="R254" s="141">
        <f t="shared" si="30"/>
        <v>0.39285714285714285</v>
      </c>
      <c r="S254" s="142"/>
      <c r="T254" s="142"/>
      <c r="U254" s="142"/>
      <c r="V254" s="70" t="s">
        <v>2222</v>
      </c>
      <c r="W254" s="70" t="s">
        <v>2222</v>
      </c>
      <c r="X254" s="70" t="s">
        <v>2222</v>
      </c>
      <c r="Y254" s="70" t="s">
        <v>2222</v>
      </c>
      <c r="Z254" s="70" t="s">
        <v>2222</v>
      </c>
      <c r="AA254" s="142"/>
      <c r="AB254" s="142"/>
      <c r="AC254" s="70" t="s">
        <v>2222</v>
      </c>
      <c r="AD254" s="70" t="s">
        <v>2222</v>
      </c>
      <c r="AE254" s="70" t="s">
        <v>2222</v>
      </c>
      <c r="AF254" s="70" t="s">
        <v>2222</v>
      </c>
      <c r="AG254" s="70" t="s">
        <v>2222</v>
      </c>
      <c r="AH254" s="70"/>
      <c r="AI254" s="70"/>
      <c r="AJ254" s="70" t="s">
        <v>2222</v>
      </c>
      <c r="AK254" s="70" t="s">
        <v>2222</v>
      </c>
      <c r="AL254" s="70" t="s">
        <v>2222</v>
      </c>
      <c r="AM254" s="70" t="s">
        <v>2222</v>
      </c>
      <c r="AN254" s="70" t="s">
        <v>2222</v>
      </c>
      <c r="AO254" s="70"/>
      <c r="AP254" s="70"/>
      <c r="AQ254" s="142"/>
      <c r="AR254" s="70" t="s">
        <v>2222</v>
      </c>
      <c r="AS254" s="70" t="s">
        <v>2222</v>
      </c>
      <c r="AT254" s="70"/>
      <c r="AU254" s="70"/>
      <c r="AV254" s="70"/>
    </row>
    <row r="255" spans="1:49" s="88" customFormat="1" ht="15.75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2233</v>
      </c>
      <c r="H255" s="69" t="s">
        <v>1042</v>
      </c>
      <c r="I255" s="69" t="s">
        <v>2234</v>
      </c>
      <c r="J255" s="137" t="s">
        <v>71</v>
      </c>
      <c r="K255" s="137" t="s">
        <v>1278</v>
      </c>
      <c r="L255" s="137"/>
      <c r="M255" s="137" t="s">
        <v>2235</v>
      </c>
      <c r="N255" s="137"/>
      <c r="O255" s="139">
        <f t="shared" si="28"/>
        <v>11</v>
      </c>
      <c r="P255" s="140" t="s">
        <v>2236</v>
      </c>
      <c r="Q255" s="139">
        <f t="shared" si="29"/>
        <v>17</v>
      </c>
      <c r="R255" s="141">
        <f t="shared" si="30"/>
        <v>0.39285714285714285</v>
      </c>
      <c r="S255" s="142"/>
      <c r="T255" s="142"/>
      <c r="U255" s="142"/>
      <c r="V255" s="70" t="s">
        <v>2222</v>
      </c>
      <c r="W255" s="70" t="s">
        <v>2222</v>
      </c>
      <c r="X255" s="70" t="s">
        <v>2222</v>
      </c>
      <c r="Y255" s="70" t="s">
        <v>2222</v>
      </c>
      <c r="Z255" s="70" t="s">
        <v>2222</v>
      </c>
      <c r="AA255" s="142"/>
      <c r="AB255" s="142"/>
      <c r="AC255" s="70" t="s">
        <v>2222</v>
      </c>
      <c r="AD255" s="70" t="s">
        <v>2222</v>
      </c>
      <c r="AE255" s="70" t="s">
        <v>2222</v>
      </c>
      <c r="AF255" s="70" t="s">
        <v>2222</v>
      </c>
      <c r="AG255" s="70" t="s">
        <v>2222</v>
      </c>
      <c r="AH255" s="70"/>
      <c r="AI255" s="70"/>
      <c r="AJ255" s="70" t="s">
        <v>2222</v>
      </c>
      <c r="AK255" s="70" t="s">
        <v>2222</v>
      </c>
      <c r="AL255" s="70" t="s">
        <v>2222</v>
      </c>
      <c r="AM255" s="70" t="s">
        <v>2222</v>
      </c>
      <c r="AN255" s="70" t="s">
        <v>2222</v>
      </c>
      <c r="AO255" s="70"/>
      <c r="AP255" s="70"/>
      <c r="AQ255" s="142"/>
      <c r="AR255" s="70" t="s">
        <v>2222</v>
      </c>
      <c r="AS255" s="70" t="s">
        <v>2222</v>
      </c>
      <c r="AT255" s="70"/>
      <c r="AU255" s="70"/>
      <c r="AV255" s="70"/>
      <c r="AW255"/>
    </row>
    <row r="256" spans="1:49" ht="15.75" thickBot="1" x14ac:dyDescent="0.3">
      <c r="A256"/>
      <c r="B256"/>
      <c r="C256"/>
      <c r="D256"/>
      <c r="E256"/>
      <c r="F256" t="s">
        <v>274</v>
      </c>
      <c r="G256" t="s">
        <v>2237</v>
      </c>
      <c r="H256" t="s">
        <v>1042</v>
      </c>
      <c r="I256" t="s">
        <v>2234</v>
      </c>
      <c r="J256" s="30" t="s">
        <v>14</v>
      </c>
      <c r="K256" s="84" t="s">
        <v>1278</v>
      </c>
      <c r="L256" s="30"/>
      <c r="M256" s="30" t="s">
        <v>2282</v>
      </c>
      <c r="N256" s="30"/>
      <c r="O256" s="31">
        <f t="shared" si="28"/>
        <v>27</v>
      </c>
      <c r="P256" s="136" t="s">
        <v>2394</v>
      </c>
      <c r="Q256" s="31">
        <f t="shared" si="29"/>
        <v>1</v>
      </c>
      <c r="R256" s="32">
        <f t="shared" si="30"/>
        <v>0.9642857142857143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 t="s">
        <v>2222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thickBot="1" x14ac:dyDescent="0.3">
      <c r="A257"/>
      <c r="B257"/>
      <c r="C257"/>
      <c r="D257"/>
      <c r="E257"/>
      <c r="F257" t="s">
        <v>274</v>
      </c>
      <c r="G257" t="s">
        <v>2238</v>
      </c>
      <c r="H257" t="s">
        <v>1042</v>
      </c>
      <c r="I257" t="s">
        <v>2239</v>
      </c>
      <c r="J257" s="30" t="s">
        <v>14</v>
      </c>
      <c r="K257" s="84" t="s">
        <v>1278</v>
      </c>
      <c r="L257" s="30"/>
      <c r="M257" s="30" t="s">
        <v>2322</v>
      </c>
      <c r="N257" s="30"/>
      <c r="O257" s="31">
        <f t="shared" si="28"/>
        <v>28</v>
      </c>
      <c r="P257" s="136" t="s">
        <v>2395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thickBot="1" x14ac:dyDescent="0.3">
      <c r="A258"/>
      <c r="B258"/>
      <c r="C258"/>
      <c r="D258"/>
      <c r="E258"/>
      <c r="F258" t="s">
        <v>2161</v>
      </c>
      <c r="G258" t="s">
        <v>2162</v>
      </c>
      <c r="H258" t="s">
        <v>1042</v>
      </c>
      <c r="I258" t="s">
        <v>2163</v>
      </c>
      <c r="J258" s="30" t="s">
        <v>18</v>
      </c>
      <c r="K258" s="84" t="s">
        <v>1278</v>
      </c>
      <c r="L258" s="30"/>
      <c r="M258" s="30" t="s">
        <v>2283</v>
      </c>
      <c r="N258" s="30"/>
      <c r="O258" s="131">
        <f t="shared" si="28"/>
        <v>28</v>
      </c>
      <c r="P258" s="136" t="s">
        <v>2164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thickBot="1" x14ac:dyDescent="0.3">
      <c r="A259"/>
      <c r="B259"/>
      <c r="C259"/>
      <c r="D259"/>
      <c r="E259"/>
      <c r="F259" t="s">
        <v>2161</v>
      </c>
      <c r="G259" t="s">
        <v>2165</v>
      </c>
      <c r="H259" t="s">
        <v>1042</v>
      </c>
      <c r="I259" t="s">
        <v>2166</v>
      </c>
      <c r="J259" s="30" t="s">
        <v>18</v>
      </c>
      <c r="K259" s="84" t="s">
        <v>1278</v>
      </c>
      <c r="L259" s="30"/>
      <c r="M259" s="30" t="s">
        <v>2284</v>
      </c>
      <c r="N259" s="30"/>
      <c r="O259" s="131">
        <f t="shared" si="28"/>
        <v>28</v>
      </c>
      <c r="P259" s="136" t="s">
        <v>2167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8"/>
        <v>16</v>
      </c>
      <c r="P260" s="136" t="s">
        <v>2396</v>
      </c>
      <c r="Q260" s="31">
        <f t="shared" si="29"/>
        <v>12</v>
      </c>
      <c r="R260" s="32">
        <f t="shared" si="30"/>
        <v>0.5714285714285714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2222</v>
      </c>
      <c r="AD260" s="70" t="s">
        <v>2222</v>
      </c>
      <c r="AE260" s="70" t="s">
        <v>2222</v>
      </c>
      <c r="AF260" s="70" t="s">
        <v>2222</v>
      </c>
      <c r="AG260" s="70" t="s">
        <v>2222</v>
      </c>
      <c r="AH260" s="70"/>
      <c r="AI260" s="70"/>
      <c r="AJ260" s="70" t="s">
        <v>2222</v>
      </c>
      <c r="AK260" s="70" t="s">
        <v>2222</v>
      </c>
      <c r="AL260" s="70" t="s">
        <v>2222</v>
      </c>
      <c r="AM260" s="70" t="s">
        <v>2222</v>
      </c>
      <c r="AN260" s="70" t="s">
        <v>2222</v>
      </c>
      <c r="AO260" s="70"/>
      <c r="AP260" s="70"/>
      <c r="AQ260" s="70"/>
      <c r="AR260" s="70" t="s">
        <v>2222</v>
      </c>
      <c r="AS260" s="70" t="s">
        <v>2222</v>
      </c>
      <c r="AT260" s="70"/>
      <c r="AU260" s="70"/>
      <c r="AV260" s="70"/>
    </row>
    <row r="261" spans="1:49" ht="15.75" thickBot="1" x14ac:dyDescent="0.3">
      <c r="A261"/>
      <c r="B261"/>
      <c r="C261"/>
      <c r="D261"/>
      <c r="E261" t="s">
        <v>2348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8"/>
        <v>28</v>
      </c>
      <c r="P261" s="136" t="s">
        <v>1827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2348</v>
      </c>
      <c r="F262" t="s">
        <v>950</v>
      </c>
      <c r="G262" t="s">
        <v>2317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8"/>
        <v>28</v>
      </c>
      <c r="P262" s="136" t="s">
        <v>1828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/>
      <c r="G263" t="s">
        <v>2316</v>
      </c>
      <c r="H263" t="s">
        <v>1042</v>
      </c>
      <c r="I263" t="s">
        <v>2319</v>
      </c>
      <c r="J263" s="30" t="s">
        <v>45</v>
      </c>
      <c r="K263" s="30" t="s">
        <v>1278</v>
      </c>
      <c r="L263" s="30"/>
      <c r="M263" s="30" t="s">
        <v>2320</v>
      </c>
      <c r="N263" s="30"/>
      <c r="O263" s="31"/>
      <c r="P263" s="136" t="s">
        <v>2421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2318</v>
      </c>
      <c r="H264" t="s">
        <v>1042</v>
      </c>
      <c r="I264" t="s">
        <v>2319</v>
      </c>
      <c r="J264" s="30" t="s">
        <v>14</v>
      </c>
      <c r="K264" s="30" t="s">
        <v>1278</v>
      </c>
      <c r="L264" s="30"/>
      <c r="M264" s="30" t="s">
        <v>2321</v>
      </c>
      <c r="N264" s="30"/>
      <c r="O264" s="31"/>
      <c r="P264" s="136" t="s">
        <v>2397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1">COUNTIF(S265:AT265,"")</f>
        <v>28</v>
      </c>
      <c r="P265" s="136" t="s">
        <v>1829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1"/>
        <v>28</v>
      </c>
      <c r="P266" s="136" t="s">
        <v>1830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1"/>
        <v>28</v>
      </c>
      <c r="P267" s="136" t="s">
        <v>1831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1"/>
        <v>28</v>
      </c>
      <c r="P268" s="136" t="s">
        <v>2398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customHeight="1" thickBot="1" x14ac:dyDescent="0.3">
      <c r="A269">
        <v>1</v>
      </c>
      <c r="B269">
        <v>14</v>
      </c>
      <c r="C269"/>
      <c r="D269"/>
      <c r="E269" t="s">
        <v>2367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1"/>
        <v>28</v>
      </c>
      <c r="P269" s="136" t="s">
        <v>1832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customHeight="1" thickBot="1" x14ac:dyDescent="0.3">
      <c r="A270">
        <v>1</v>
      </c>
      <c r="B270">
        <v>14</v>
      </c>
      <c r="C270"/>
      <c r="D270"/>
      <c r="E270" t="s">
        <v>2367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1"/>
        <v>12</v>
      </c>
      <c r="P270" s="136" t="s">
        <v>1833</v>
      </c>
      <c r="Q270" s="31">
        <f t="shared" si="32"/>
        <v>16</v>
      </c>
      <c r="R270" s="32">
        <f t="shared" si="33"/>
        <v>0.42857142857142855</v>
      </c>
      <c r="S270" s="70"/>
      <c r="T270" s="70"/>
      <c r="U270" s="70"/>
      <c r="V270" s="70" t="s">
        <v>2222</v>
      </c>
      <c r="W270" s="70" t="s">
        <v>2222</v>
      </c>
      <c r="X270" s="70" t="s">
        <v>2222</v>
      </c>
      <c r="Y270" s="70" t="s">
        <v>2222</v>
      </c>
      <c r="Z270" s="70" t="s">
        <v>2222</v>
      </c>
      <c r="AA270" s="70"/>
      <c r="AB270" s="70"/>
      <c r="AC270" s="70" t="s">
        <v>2222</v>
      </c>
      <c r="AD270" s="70" t="s">
        <v>2222</v>
      </c>
      <c r="AE270" s="70" t="s">
        <v>2222</v>
      </c>
      <c r="AF270" s="70" t="s">
        <v>2222</v>
      </c>
      <c r="AG270" s="70" t="s">
        <v>2222</v>
      </c>
      <c r="AH270" s="70"/>
      <c r="AI270" s="70"/>
      <c r="AJ270" s="70" t="s">
        <v>2222</v>
      </c>
      <c r="AK270" s="70" t="s">
        <v>2222</v>
      </c>
      <c r="AL270" s="70" t="s">
        <v>2222</v>
      </c>
      <c r="AM270" s="70" t="s">
        <v>2222</v>
      </c>
      <c r="AN270" s="70" t="s">
        <v>2222</v>
      </c>
      <c r="AO270" s="70"/>
      <c r="AP270" s="70"/>
      <c r="AQ270" s="70"/>
      <c r="AR270" s="70" t="s">
        <v>2222</v>
      </c>
      <c r="AS270" s="70"/>
      <c r="AT270" s="70"/>
      <c r="AU270" s="70"/>
      <c r="AV270" s="70"/>
    </row>
    <row r="271" spans="1:49" ht="15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1"/>
        <v>28</v>
      </c>
      <c r="P271" s="136" t="s">
        <v>1834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thickBot="1" x14ac:dyDescent="0.3">
      <c r="A272"/>
      <c r="B272"/>
      <c r="C272"/>
      <c r="D272"/>
      <c r="E272" s="151" t="s">
        <v>2439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1"/>
        <v>28</v>
      </c>
      <c r="P272" s="136" t="s">
        <v>1836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thickBot="1" x14ac:dyDescent="0.3">
      <c r="A273"/>
      <c r="B273"/>
      <c r="C273"/>
      <c r="D273"/>
      <c r="E273" s="151" t="s">
        <v>2439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2440</v>
      </c>
      <c r="L273" s="30"/>
      <c r="M273" s="30" t="s">
        <v>719</v>
      </c>
      <c r="N273" s="30"/>
      <c r="O273" s="31">
        <f t="shared" si="31"/>
        <v>28</v>
      </c>
      <c r="P273" s="136" t="s">
        <v>1837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2266</v>
      </c>
      <c r="O274" s="131">
        <f t="shared" si="31"/>
        <v>23</v>
      </c>
      <c r="P274" s="136" t="s">
        <v>1839</v>
      </c>
      <c r="Q274" s="131">
        <f t="shared" si="32"/>
        <v>5</v>
      </c>
      <c r="R274" s="132">
        <f t="shared" si="33"/>
        <v>0.8214285714285714</v>
      </c>
      <c r="S274" s="70"/>
      <c r="T274" s="70"/>
      <c r="U274" s="70"/>
      <c r="V274" s="70" t="s">
        <v>2222</v>
      </c>
      <c r="W274" s="70" t="s">
        <v>2222</v>
      </c>
      <c r="X274" s="70" t="s">
        <v>2222</v>
      </c>
      <c r="Y274" s="70" t="s">
        <v>2222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 t="s">
        <v>2222</v>
      </c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>
        <v>1</v>
      </c>
      <c r="B275">
        <v>19</v>
      </c>
      <c r="C275"/>
      <c r="D275"/>
      <c r="E275" t="s">
        <v>2328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1"/>
        <v>12</v>
      </c>
      <c r="P275" s="136" t="s">
        <v>1840</v>
      </c>
      <c r="Q275" s="31">
        <f t="shared" si="32"/>
        <v>16</v>
      </c>
      <c r="R275" s="32">
        <f t="shared" si="33"/>
        <v>0.42857142857142855</v>
      </c>
      <c r="S275" s="70"/>
      <c r="T275" s="70"/>
      <c r="U275" s="70"/>
      <c r="V275" s="70"/>
      <c r="W275" s="70" t="s">
        <v>2222</v>
      </c>
      <c r="X275" s="70" t="s">
        <v>2222</v>
      </c>
      <c r="Y275" s="70" t="s">
        <v>2222</v>
      </c>
      <c r="Z275" s="70" t="s">
        <v>2222</v>
      </c>
      <c r="AA275" s="70"/>
      <c r="AB275" s="70"/>
      <c r="AC275" s="70" t="s">
        <v>2222</v>
      </c>
      <c r="AD275" s="70" t="s">
        <v>2222</v>
      </c>
      <c r="AE275" s="70" t="s">
        <v>2222</v>
      </c>
      <c r="AF275" s="70" t="s">
        <v>2222</v>
      </c>
      <c r="AG275" s="70" t="s">
        <v>2222</v>
      </c>
      <c r="AH275" s="70"/>
      <c r="AI275" s="70"/>
      <c r="AJ275" s="70" t="s">
        <v>2222</v>
      </c>
      <c r="AK275" s="70" t="s">
        <v>2222</v>
      </c>
      <c r="AL275" s="70" t="s">
        <v>2222</v>
      </c>
      <c r="AM275" s="70" t="s">
        <v>2222</v>
      </c>
      <c r="AN275" s="70" t="s">
        <v>2222</v>
      </c>
      <c r="AO275" s="70"/>
      <c r="AP275" s="70"/>
      <c r="AQ275" s="70"/>
      <c r="AR275" s="70" t="s">
        <v>2222</v>
      </c>
      <c r="AS275" s="70" t="s">
        <v>2222</v>
      </c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2328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1"/>
        <v>28</v>
      </c>
      <c r="P276" s="136" t="s">
        <v>1835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2328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1"/>
        <v>28</v>
      </c>
      <c r="P277" s="136" t="s">
        <v>1823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1"/>
        <v>28</v>
      </c>
      <c r="P278" s="136" t="s">
        <v>1838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18</v>
      </c>
      <c r="C279"/>
      <c r="D279"/>
      <c r="E279" t="s">
        <v>2361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2266</v>
      </c>
      <c r="O279" s="31">
        <f t="shared" si="31"/>
        <v>28</v>
      </c>
      <c r="P279" s="136" t="s">
        <v>1841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thickBot="1" x14ac:dyDescent="0.3">
      <c r="A280">
        <v>1</v>
      </c>
      <c r="B280">
        <v>14</v>
      </c>
      <c r="C280"/>
      <c r="D280"/>
      <c r="E280" t="s">
        <v>2367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2264</v>
      </c>
      <c r="N280" s="30"/>
      <c r="O280" s="31">
        <f t="shared" si="31"/>
        <v>28</v>
      </c>
      <c r="P280" s="136" t="s">
        <v>1842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1"/>
        <v>28</v>
      </c>
      <c r="P281" s="136" t="s">
        <v>1843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1"/>
        <v>28</v>
      </c>
      <c r="P282" s="136" t="s">
        <v>1844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thickBot="1" x14ac:dyDescent="0.3">
      <c r="A283">
        <v>1</v>
      </c>
      <c r="B283">
        <v>14</v>
      </c>
      <c r="C283"/>
      <c r="D283"/>
      <c r="E283" t="s">
        <v>2367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2266</v>
      </c>
      <c r="O283" s="131">
        <f t="shared" si="31"/>
        <v>28</v>
      </c>
      <c r="P283" s="136" t="s">
        <v>1845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thickBot="1" x14ac:dyDescent="0.3">
      <c r="A284">
        <v>1</v>
      </c>
      <c r="B284">
        <v>14</v>
      </c>
      <c r="C284"/>
      <c r="D284"/>
      <c r="E284" t="s">
        <v>2367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2266</v>
      </c>
      <c r="O284" s="131">
        <f t="shared" si="31"/>
        <v>28</v>
      </c>
      <c r="P284" s="136" t="s">
        <v>1846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thickBot="1" x14ac:dyDescent="0.3">
      <c r="A285">
        <v>3</v>
      </c>
      <c r="B285">
        <v>1</v>
      </c>
      <c r="C285"/>
      <c r="D285"/>
      <c r="E285" t="s">
        <v>2332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1"/>
        <v>26</v>
      </c>
      <c r="P285" s="136" t="s">
        <v>1847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2222</v>
      </c>
      <c r="W285" s="70" t="s">
        <v>2222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1"/>
        <v>28</v>
      </c>
      <c r="P286" s="136" t="s">
        <v>1853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1"/>
        <v>28</v>
      </c>
      <c r="P287" s="136" t="s">
        <v>1848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1"/>
        <v>27</v>
      </c>
      <c r="P288" s="136" t="s">
        <v>1849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2222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1"/>
        <v>24</v>
      </c>
      <c r="P289" s="136" t="s">
        <v>1850</v>
      </c>
      <c r="Q289" s="131">
        <f t="shared" si="32"/>
        <v>4</v>
      </c>
      <c r="R289" s="132">
        <f t="shared" si="33"/>
        <v>0.8571428571428571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 t="s">
        <v>2222</v>
      </c>
      <c r="AF289" s="70" t="s">
        <v>2222</v>
      </c>
      <c r="AG289" s="70" t="s">
        <v>2222</v>
      </c>
      <c r="AH289" s="70"/>
      <c r="AI289" s="70"/>
      <c r="AJ289" s="70" t="s">
        <v>2222</v>
      </c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1"/>
        <v>27</v>
      </c>
      <c r="P290" s="136" t="s">
        <v>1851</v>
      </c>
      <c r="Q290" s="131">
        <f t="shared" si="32"/>
        <v>1</v>
      </c>
      <c r="R290" s="1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2222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thickBot="1" x14ac:dyDescent="0.3">
      <c r="A291">
        <v>3</v>
      </c>
      <c r="B291">
        <v>1</v>
      </c>
      <c r="C291"/>
      <c r="D291"/>
      <c r="E291" t="s">
        <v>2332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1"/>
        <v>27</v>
      </c>
      <c r="P291" s="136" t="s">
        <v>1656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2222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2332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1"/>
        <v>27</v>
      </c>
      <c r="P292" s="136" t="s">
        <v>1852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 t="s">
        <v>2222</v>
      </c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1"/>
        <v>21</v>
      </c>
      <c r="P293" s="136" t="s">
        <v>1854</v>
      </c>
      <c r="Q293" s="131">
        <f t="shared" si="32"/>
        <v>7</v>
      </c>
      <c r="R293" s="132">
        <f t="shared" si="33"/>
        <v>0.75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2222</v>
      </c>
      <c r="AD293" s="70" t="s">
        <v>2222</v>
      </c>
      <c r="AE293" s="70" t="s">
        <v>2222</v>
      </c>
      <c r="AF293" s="70" t="s">
        <v>2222</v>
      </c>
      <c r="AG293" s="70"/>
      <c r="AH293" s="70"/>
      <c r="AI293" s="70"/>
      <c r="AJ293" s="70" t="s">
        <v>2222</v>
      </c>
      <c r="AK293" s="70" t="s">
        <v>2222</v>
      </c>
      <c r="AL293" s="70" t="s">
        <v>2222</v>
      </c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1"/>
        <v>20</v>
      </c>
      <c r="P294" s="136" t="s">
        <v>1855</v>
      </c>
      <c r="Q294" s="131">
        <f t="shared" si="32"/>
        <v>8</v>
      </c>
      <c r="R294" s="132">
        <f t="shared" si="33"/>
        <v>0.7142857142857143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2222</v>
      </c>
      <c r="AD294" s="70"/>
      <c r="AE294" s="70" t="s">
        <v>2222</v>
      </c>
      <c r="AF294" s="70" t="s">
        <v>2222</v>
      </c>
      <c r="AG294" s="70" t="s">
        <v>2222</v>
      </c>
      <c r="AH294" s="70"/>
      <c r="AI294" s="70"/>
      <c r="AJ294" s="70" t="s">
        <v>2222</v>
      </c>
      <c r="AK294" s="70" t="s">
        <v>2222</v>
      </c>
      <c r="AL294" s="70" t="s">
        <v>2222</v>
      </c>
      <c r="AM294" s="70" t="s">
        <v>2222</v>
      </c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/>
      <c r="B295"/>
      <c r="C295"/>
      <c r="D295"/>
      <c r="E295"/>
      <c r="F295" s="73" t="s">
        <v>1508</v>
      </c>
      <c r="G295" s="73" t="s">
        <v>1507</v>
      </c>
      <c r="H295" s="73" t="s">
        <v>1041</v>
      </c>
      <c r="I295" s="73" t="s">
        <v>1509</v>
      </c>
      <c r="J295" s="84" t="s">
        <v>18</v>
      </c>
      <c r="K295" s="84" t="s">
        <v>1278</v>
      </c>
      <c r="L295" s="84"/>
      <c r="M295" s="84" t="s">
        <v>1510</v>
      </c>
      <c r="N295" s="84"/>
      <c r="O295" s="131">
        <f t="shared" si="31"/>
        <v>28</v>
      </c>
      <c r="P295" s="136" t="s">
        <v>1856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2332</v>
      </c>
      <c r="F296" s="73" t="s">
        <v>1508</v>
      </c>
      <c r="G296" s="73" t="s">
        <v>1617</v>
      </c>
      <c r="H296" s="73" t="s">
        <v>1041</v>
      </c>
      <c r="I296" s="73" t="s">
        <v>1618</v>
      </c>
      <c r="J296" s="84" t="s">
        <v>18</v>
      </c>
      <c r="K296" s="84" t="s">
        <v>27</v>
      </c>
      <c r="L296" s="84"/>
      <c r="M296" s="84" t="s">
        <v>1619</v>
      </c>
      <c r="N296" s="84"/>
      <c r="O296" s="131">
        <f t="shared" si="31"/>
        <v>28</v>
      </c>
      <c r="P296" s="136" t="s">
        <v>2146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customHeight="1" thickBot="1" x14ac:dyDescent="0.3">
      <c r="A297" s="8"/>
      <c r="B297" s="8"/>
      <c r="C297" s="8"/>
      <c r="D297" s="8"/>
      <c r="E297" s="151" t="s">
        <v>2457</v>
      </c>
      <c r="F297" s="69" t="s">
        <v>2109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1"/>
        <v>28</v>
      </c>
      <c r="P297" s="143" t="s">
        <v>1651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thickBot="1" x14ac:dyDescent="0.3">
      <c r="A298" s="8"/>
      <c r="B298" s="8"/>
      <c r="C298" s="8"/>
      <c r="D298" s="8"/>
      <c r="E298" s="8"/>
      <c r="F298" s="73" t="s">
        <v>2109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1"/>
        <v>11</v>
      </c>
      <c r="P298" s="136" t="s">
        <v>2114</v>
      </c>
      <c r="Q298" s="131">
        <f t="shared" si="32"/>
        <v>17</v>
      </c>
      <c r="R298" s="132">
        <f t="shared" si="33"/>
        <v>0.39285714285714285</v>
      </c>
      <c r="S298" s="70"/>
      <c r="T298" s="70"/>
      <c r="U298" s="70"/>
      <c r="V298" s="70" t="s">
        <v>2222</v>
      </c>
      <c r="W298" s="70" t="s">
        <v>2222</v>
      </c>
      <c r="X298" s="70" t="s">
        <v>2222</v>
      </c>
      <c r="Y298" s="70" t="s">
        <v>2222</v>
      </c>
      <c r="Z298" s="70" t="s">
        <v>2222</v>
      </c>
      <c r="AA298" s="70"/>
      <c r="AB298" s="70"/>
      <c r="AC298" s="70" t="s">
        <v>2222</v>
      </c>
      <c r="AD298" s="70" t="s">
        <v>2222</v>
      </c>
      <c r="AE298" s="70" t="s">
        <v>2222</v>
      </c>
      <c r="AF298" s="70" t="s">
        <v>2222</v>
      </c>
      <c r="AG298" s="70" t="s">
        <v>2222</v>
      </c>
      <c r="AH298" s="70"/>
      <c r="AI298" s="70"/>
      <c r="AJ298" s="70" t="s">
        <v>2222</v>
      </c>
      <c r="AK298" s="70" t="s">
        <v>2222</v>
      </c>
      <c r="AL298" s="70" t="s">
        <v>2222</v>
      </c>
      <c r="AM298" s="70" t="s">
        <v>2222</v>
      </c>
      <c r="AN298" s="70" t="s">
        <v>2222</v>
      </c>
      <c r="AO298" s="70"/>
      <c r="AP298" s="70"/>
      <c r="AQ298" s="70"/>
      <c r="AR298" s="70" t="s">
        <v>2222</v>
      </c>
      <c r="AS298" s="70" t="s">
        <v>2222</v>
      </c>
      <c r="AT298" s="70"/>
      <c r="AU298" s="70"/>
      <c r="AV298" s="70"/>
      <c r="AW298"/>
    </row>
    <row r="299" spans="1:49" s="73" customFormat="1" ht="15.75" thickBot="1" x14ac:dyDescent="0.3">
      <c r="A299"/>
      <c r="B299"/>
      <c r="C299"/>
      <c r="D299"/>
      <c r="E299"/>
      <c r="F299" s="73" t="s">
        <v>2109</v>
      </c>
      <c r="G299" s="84" t="s">
        <v>2106</v>
      </c>
      <c r="H299" s="73" t="s">
        <v>1042</v>
      </c>
      <c r="I299" s="73" t="s">
        <v>2107</v>
      </c>
      <c r="J299" s="84" t="s">
        <v>18</v>
      </c>
      <c r="K299" s="84" t="s">
        <v>1278</v>
      </c>
      <c r="L299" s="84"/>
      <c r="M299" s="84" t="s">
        <v>2273</v>
      </c>
      <c r="N299" s="84"/>
      <c r="O299" s="131">
        <f t="shared" si="31"/>
        <v>11</v>
      </c>
      <c r="P299" s="136" t="s">
        <v>2108</v>
      </c>
      <c r="Q299" s="131">
        <f t="shared" si="32"/>
        <v>17</v>
      </c>
      <c r="R299" s="132">
        <f t="shared" si="33"/>
        <v>0.39285714285714285</v>
      </c>
      <c r="S299" s="70"/>
      <c r="T299" s="70"/>
      <c r="U299" s="70"/>
      <c r="V299" s="70" t="s">
        <v>2222</v>
      </c>
      <c r="W299" s="70" t="s">
        <v>2222</v>
      </c>
      <c r="X299" s="70" t="s">
        <v>2222</v>
      </c>
      <c r="Y299" s="70" t="s">
        <v>2222</v>
      </c>
      <c r="Z299" s="70" t="s">
        <v>2222</v>
      </c>
      <c r="AA299" s="70"/>
      <c r="AB299" s="70"/>
      <c r="AC299" s="70" t="s">
        <v>2222</v>
      </c>
      <c r="AD299" s="70" t="s">
        <v>2222</v>
      </c>
      <c r="AE299" s="70" t="s">
        <v>2222</v>
      </c>
      <c r="AF299" s="70" t="s">
        <v>2222</v>
      </c>
      <c r="AG299" s="70" t="s">
        <v>2222</v>
      </c>
      <c r="AH299" s="70"/>
      <c r="AI299" s="70"/>
      <c r="AJ299" s="70" t="s">
        <v>2222</v>
      </c>
      <c r="AK299" s="70" t="s">
        <v>2222</v>
      </c>
      <c r="AL299" s="70" t="s">
        <v>2222</v>
      </c>
      <c r="AM299" s="70" t="s">
        <v>2222</v>
      </c>
      <c r="AN299" s="70" t="s">
        <v>2222</v>
      </c>
      <c r="AO299" s="70"/>
      <c r="AP299" s="70"/>
      <c r="AQ299" s="70"/>
      <c r="AR299" s="70" t="s">
        <v>2222</v>
      </c>
      <c r="AS299" s="70" t="s">
        <v>2222</v>
      </c>
      <c r="AT299" s="70"/>
      <c r="AU299" s="70"/>
      <c r="AV299" s="70"/>
      <c r="AW299"/>
    </row>
    <row r="300" spans="1:49" ht="15.75" thickBot="1" x14ac:dyDescent="0.3">
      <c r="A300">
        <v>6</v>
      </c>
      <c r="B300">
        <v>12</v>
      </c>
      <c r="C300"/>
      <c r="D300"/>
      <c r="E300" t="s">
        <v>2335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1"/>
        <v>20</v>
      </c>
      <c r="P300" s="136" t="s">
        <v>1857</v>
      </c>
      <c r="Q300" s="31">
        <f t="shared" si="32"/>
        <v>8</v>
      </c>
      <c r="R300" s="32">
        <f t="shared" si="33"/>
        <v>0.7142857142857143</v>
      </c>
      <c r="S300" s="70"/>
      <c r="T300" s="70"/>
      <c r="U300" s="70"/>
      <c r="V300" s="70" t="s">
        <v>2222</v>
      </c>
      <c r="W300" s="70" t="s">
        <v>2222</v>
      </c>
      <c r="X300" s="70" t="s">
        <v>2222</v>
      </c>
      <c r="Y300" s="70" t="s">
        <v>2222</v>
      </c>
      <c r="Z300" s="70" t="s">
        <v>2222</v>
      </c>
      <c r="AA300" s="70"/>
      <c r="AB300" s="70"/>
      <c r="AC300" s="70"/>
      <c r="AD300" s="70"/>
      <c r="AE300" s="70" t="s">
        <v>2222</v>
      </c>
      <c r="AF300" s="70" t="s">
        <v>2222</v>
      </c>
      <c r="AG300" s="70" t="s">
        <v>2222</v>
      </c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thickBot="1" x14ac:dyDescent="0.3">
      <c r="A301">
        <v>6</v>
      </c>
      <c r="B301">
        <v>12</v>
      </c>
      <c r="C301"/>
      <c r="D301"/>
      <c r="E301" t="s">
        <v>2335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1"/>
        <v>20</v>
      </c>
      <c r="P301" s="136" t="s">
        <v>1858</v>
      </c>
      <c r="Q301" s="31">
        <f t="shared" si="32"/>
        <v>8</v>
      </c>
      <c r="R301" s="32">
        <f t="shared" si="33"/>
        <v>0.7142857142857143</v>
      </c>
      <c r="S301" s="70"/>
      <c r="T301" s="70"/>
      <c r="U301" s="70"/>
      <c r="V301" s="70" t="s">
        <v>2222</v>
      </c>
      <c r="W301" s="70" t="s">
        <v>2222</v>
      </c>
      <c r="X301" s="70" t="s">
        <v>2222</v>
      </c>
      <c r="Y301" s="70" t="s">
        <v>2222</v>
      </c>
      <c r="Z301" s="70" t="s">
        <v>2222</v>
      </c>
      <c r="AA301" s="70"/>
      <c r="AB301" s="70"/>
      <c r="AC301" s="70"/>
      <c r="AD301" s="70"/>
      <c r="AE301" s="70" t="s">
        <v>2222</v>
      </c>
      <c r="AF301" s="70" t="s">
        <v>2222</v>
      </c>
      <c r="AG301" s="70" t="s">
        <v>2222</v>
      </c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2335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1"/>
        <v>20</v>
      </c>
      <c r="P302" s="136" t="s">
        <v>1859</v>
      </c>
      <c r="Q302" s="31">
        <f t="shared" si="32"/>
        <v>8</v>
      </c>
      <c r="R302" s="32">
        <f t="shared" si="33"/>
        <v>0.7142857142857143</v>
      </c>
      <c r="S302" s="70"/>
      <c r="T302" s="70"/>
      <c r="U302" s="70"/>
      <c r="V302" s="70" t="s">
        <v>2222</v>
      </c>
      <c r="W302" s="70" t="s">
        <v>2222</v>
      </c>
      <c r="X302" s="70" t="s">
        <v>2222</v>
      </c>
      <c r="Y302" s="70" t="s">
        <v>2222</v>
      </c>
      <c r="Z302" s="70" t="s">
        <v>2222</v>
      </c>
      <c r="AA302" s="70"/>
      <c r="AB302" s="70"/>
      <c r="AC302" s="70"/>
      <c r="AD302" s="70"/>
      <c r="AE302" s="70" t="s">
        <v>2222</v>
      </c>
      <c r="AF302" s="70" t="s">
        <v>2222</v>
      </c>
      <c r="AG302" s="70" t="s">
        <v>2222</v>
      </c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2335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1"/>
        <v>18</v>
      </c>
      <c r="P303" s="136" t="s">
        <v>1860</v>
      </c>
      <c r="Q303" s="31">
        <f t="shared" si="32"/>
        <v>10</v>
      </c>
      <c r="R303" s="32">
        <f t="shared" si="33"/>
        <v>0.6428571428571429</v>
      </c>
      <c r="S303" s="70"/>
      <c r="T303" s="70"/>
      <c r="U303" s="70"/>
      <c r="V303" s="70" t="s">
        <v>2222</v>
      </c>
      <c r="W303" s="70" t="s">
        <v>2222</v>
      </c>
      <c r="X303" s="70" t="s">
        <v>2222</v>
      </c>
      <c r="Y303" s="70" t="s">
        <v>2222</v>
      </c>
      <c r="Z303" s="70" t="s">
        <v>2222</v>
      </c>
      <c r="AA303" s="70"/>
      <c r="AB303" s="70"/>
      <c r="AC303" s="70" t="s">
        <v>2222</v>
      </c>
      <c r="AD303" s="70" t="s">
        <v>2222</v>
      </c>
      <c r="AE303" s="70" t="s">
        <v>2222</v>
      </c>
      <c r="AF303" s="70" t="s">
        <v>2222</v>
      </c>
      <c r="AG303" s="70" t="s">
        <v>2222</v>
      </c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2335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1"/>
        <v>18</v>
      </c>
      <c r="P304" s="136" t="s">
        <v>1861</v>
      </c>
      <c r="Q304" s="31">
        <f t="shared" si="32"/>
        <v>10</v>
      </c>
      <c r="R304" s="32">
        <f t="shared" si="33"/>
        <v>0.6428571428571429</v>
      </c>
      <c r="S304" s="70"/>
      <c r="T304" s="70"/>
      <c r="U304" s="70"/>
      <c r="V304" s="70" t="s">
        <v>2222</v>
      </c>
      <c r="W304" s="70" t="s">
        <v>2222</v>
      </c>
      <c r="X304" s="70" t="s">
        <v>2222</v>
      </c>
      <c r="Y304" s="70" t="s">
        <v>2222</v>
      </c>
      <c r="Z304" s="70" t="s">
        <v>2222</v>
      </c>
      <c r="AA304" s="70"/>
      <c r="AB304" s="70"/>
      <c r="AC304" s="70" t="s">
        <v>2222</v>
      </c>
      <c r="AD304" s="70" t="s">
        <v>2222</v>
      </c>
      <c r="AE304" s="70" t="s">
        <v>2222</v>
      </c>
      <c r="AF304" s="70" t="s">
        <v>2222</v>
      </c>
      <c r="AG304" s="70" t="s">
        <v>2222</v>
      </c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10</v>
      </c>
      <c r="B305">
        <v>10</v>
      </c>
      <c r="C305"/>
      <c r="D305"/>
      <c r="E305" t="s">
        <v>2334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1"/>
        <v>28</v>
      </c>
      <c r="P305" s="136" t="s">
        <v>1862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thickBot="1" x14ac:dyDescent="0.3">
      <c r="A306">
        <v>10</v>
      </c>
      <c r="B306">
        <v>10</v>
      </c>
      <c r="C306"/>
      <c r="D306"/>
      <c r="E306" t="s">
        <v>2334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1"/>
        <v>28</v>
      </c>
      <c r="P306" s="136" t="s">
        <v>1863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/>
      <c r="B307"/>
      <c r="C307"/>
      <c r="D307"/>
      <c r="E307" t="s">
        <v>2348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1"/>
        <v>18</v>
      </c>
      <c r="P307" s="136" t="s">
        <v>1865</v>
      </c>
      <c r="Q307" s="31">
        <f t="shared" si="32"/>
        <v>10</v>
      </c>
      <c r="R307" s="32">
        <f t="shared" si="33"/>
        <v>0.6428571428571429</v>
      </c>
      <c r="S307" s="70"/>
      <c r="T307" s="70"/>
      <c r="U307" s="70"/>
      <c r="V307" s="70" t="s">
        <v>2222</v>
      </c>
      <c r="W307" s="70" t="s">
        <v>2222</v>
      </c>
      <c r="X307" s="70" t="s">
        <v>2222</v>
      </c>
      <c r="Y307" s="70" t="s">
        <v>2222</v>
      </c>
      <c r="Z307" s="70" t="s">
        <v>2222</v>
      </c>
      <c r="AA307" s="70"/>
      <c r="AB307" s="70"/>
      <c r="AC307" s="70" t="s">
        <v>2222</v>
      </c>
      <c r="AD307" s="70" t="s">
        <v>2222</v>
      </c>
      <c r="AE307" s="70" t="s">
        <v>2222</v>
      </c>
      <c r="AF307" s="70" t="s">
        <v>2222</v>
      </c>
      <c r="AG307" s="70" t="s">
        <v>2222</v>
      </c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 s="69"/>
      <c r="B308" s="69"/>
      <c r="C308" s="69"/>
      <c r="D308" s="69"/>
      <c r="E308" t="s">
        <v>2348</v>
      </c>
      <c r="F308" s="69" t="s">
        <v>173</v>
      </c>
      <c r="G308" s="69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1"/>
        <v>11</v>
      </c>
      <c r="P308" s="140" t="s">
        <v>1866</v>
      </c>
      <c r="Q308" s="139">
        <f t="shared" si="32"/>
        <v>17</v>
      </c>
      <c r="R308" s="141">
        <f t="shared" si="33"/>
        <v>0.39285714285714285</v>
      </c>
      <c r="S308" s="142"/>
      <c r="T308" s="142"/>
      <c r="U308" s="142"/>
      <c r="V308" s="70" t="s">
        <v>2222</v>
      </c>
      <c r="W308" s="70" t="s">
        <v>2222</v>
      </c>
      <c r="X308" s="70" t="s">
        <v>2222</v>
      </c>
      <c r="Y308" s="70" t="s">
        <v>2222</v>
      </c>
      <c r="Z308" s="70" t="s">
        <v>2222</v>
      </c>
      <c r="AA308" s="142"/>
      <c r="AB308" s="142"/>
      <c r="AC308" s="70" t="s">
        <v>2222</v>
      </c>
      <c r="AD308" s="70" t="s">
        <v>2222</v>
      </c>
      <c r="AE308" s="70" t="s">
        <v>2222</v>
      </c>
      <c r="AF308" s="70" t="s">
        <v>2222</v>
      </c>
      <c r="AG308" s="70" t="s">
        <v>2222</v>
      </c>
      <c r="AH308" s="70"/>
      <c r="AI308" s="70"/>
      <c r="AJ308" s="70" t="s">
        <v>2222</v>
      </c>
      <c r="AK308" s="70" t="s">
        <v>2222</v>
      </c>
      <c r="AL308" s="70" t="s">
        <v>2222</v>
      </c>
      <c r="AM308" s="70" t="s">
        <v>2222</v>
      </c>
      <c r="AN308" s="70" t="s">
        <v>2222</v>
      </c>
      <c r="AO308" s="70"/>
      <c r="AP308" s="70"/>
      <c r="AQ308" s="142"/>
      <c r="AR308" s="70" t="s">
        <v>2222</v>
      </c>
      <c r="AS308" s="70" t="s">
        <v>2222</v>
      </c>
      <c r="AT308" s="70"/>
      <c r="AU308" s="70"/>
      <c r="AV308" s="70"/>
      <c r="AW308" s="73"/>
    </row>
    <row r="309" spans="1:49" s="69" customFormat="1" ht="21" customHeight="1" thickBot="1" x14ac:dyDescent="0.3">
      <c r="A309"/>
      <c r="B309"/>
      <c r="C309"/>
      <c r="D309"/>
      <c r="E309" t="s">
        <v>2348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1"/>
        <v>27</v>
      </c>
      <c r="P309" s="136" t="s">
        <v>1867</v>
      </c>
      <c r="Q309" s="31">
        <f t="shared" si="32"/>
        <v>1</v>
      </c>
      <c r="R309" s="32">
        <f t="shared" si="33"/>
        <v>0.9642857142857143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 t="s">
        <v>2222</v>
      </c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2348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1"/>
        <v>18</v>
      </c>
      <c r="P310" s="136" t="s">
        <v>1870</v>
      </c>
      <c r="Q310" s="31">
        <f t="shared" si="32"/>
        <v>10</v>
      </c>
      <c r="R310" s="32">
        <f t="shared" si="33"/>
        <v>0.6428571428571429</v>
      </c>
      <c r="S310" s="70"/>
      <c r="T310" s="70"/>
      <c r="U310" s="70"/>
      <c r="V310" s="70" t="s">
        <v>2222</v>
      </c>
      <c r="W310" s="70" t="s">
        <v>2222</v>
      </c>
      <c r="X310" s="70" t="s">
        <v>2222</v>
      </c>
      <c r="Y310" s="70" t="s">
        <v>2222</v>
      </c>
      <c r="Z310" s="70" t="s">
        <v>2222</v>
      </c>
      <c r="AA310" s="70"/>
      <c r="AB310" s="70"/>
      <c r="AC310" s="70" t="s">
        <v>2222</v>
      </c>
      <c r="AD310" s="70" t="s">
        <v>2222</v>
      </c>
      <c r="AE310" s="70" t="s">
        <v>2222</v>
      </c>
      <c r="AF310" s="70" t="s">
        <v>2222</v>
      </c>
      <c r="AG310" s="70" t="s">
        <v>2222</v>
      </c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/>
      <c r="B311"/>
      <c r="C311"/>
      <c r="D311"/>
      <c r="E311" t="s">
        <v>2348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2348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1"/>
        <v>18</v>
      </c>
      <c r="P312" s="136" t="s">
        <v>1869</v>
      </c>
      <c r="Q312" s="31">
        <f t="shared" si="32"/>
        <v>10</v>
      </c>
      <c r="R312" s="32">
        <f t="shared" si="33"/>
        <v>0.6428571428571429</v>
      </c>
      <c r="S312" s="70"/>
      <c r="T312" s="70"/>
      <c r="U312" s="70"/>
      <c r="V312" s="70" t="s">
        <v>2222</v>
      </c>
      <c r="W312" s="70" t="s">
        <v>2222</v>
      </c>
      <c r="X312" s="70" t="s">
        <v>2222</v>
      </c>
      <c r="Y312" s="70" t="s">
        <v>2222</v>
      </c>
      <c r="Z312" s="70" t="s">
        <v>2222</v>
      </c>
      <c r="AA312" s="70"/>
      <c r="AB312" s="70"/>
      <c r="AC312" s="70" t="s">
        <v>2222</v>
      </c>
      <c r="AD312" s="70" t="s">
        <v>2222</v>
      </c>
      <c r="AE312" s="70" t="s">
        <v>2222</v>
      </c>
      <c r="AF312" s="70" t="s">
        <v>2222</v>
      </c>
      <c r="AG312" s="70" t="s">
        <v>2222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s="151" t="s">
        <v>2446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1"/>
        <v>27</v>
      </c>
      <c r="P313" s="136" t="s">
        <v>1871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2222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>
        <v>6</v>
      </c>
      <c r="B314">
        <v>12</v>
      </c>
      <c r="C314"/>
      <c r="D314"/>
      <c r="E314" t="s">
        <v>2335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1"/>
        <v>28</v>
      </c>
      <c r="P314" s="136" t="s">
        <v>1874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>
        <v>6</v>
      </c>
      <c r="B315">
        <v>12</v>
      </c>
      <c r="C315"/>
      <c r="D315"/>
      <c r="E315" t="s">
        <v>2335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1"/>
        <v>28</v>
      </c>
      <c r="P315" s="136" t="s">
        <v>1875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1" t="s">
        <v>2464</v>
      </c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1278</v>
      </c>
      <c r="L316" s="30"/>
      <c r="M316" s="137" t="s">
        <v>749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thickBot="1" x14ac:dyDescent="0.3">
      <c r="A317"/>
      <c r="B317"/>
      <c r="C317"/>
      <c r="D317"/>
      <c r="E317" t="s">
        <v>2447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1"/>
        <v>11</v>
      </c>
      <c r="P317" s="136" t="s">
        <v>1877</v>
      </c>
      <c r="Q317" s="131">
        <f t="shared" si="32"/>
        <v>17</v>
      </c>
      <c r="R317" s="132">
        <f t="shared" si="33"/>
        <v>0.39285714285714285</v>
      </c>
      <c r="S317" s="70"/>
      <c r="T317" s="70"/>
      <c r="U317" s="70"/>
      <c r="V317" s="70" t="s">
        <v>2222</v>
      </c>
      <c r="W317" s="70" t="s">
        <v>2222</v>
      </c>
      <c r="X317" s="70" t="s">
        <v>2222</v>
      </c>
      <c r="Y317" s="70" t="s">
        <v>2222</v>
      </c>
      <c r="Z317" s="70" t="s">
        <v>2222</v>
      </c>
      <c r="AA317" s="70"/>
      <c r="AB317" s="70"/>
      <c r="AC317" s="70" t="s">
        <v>2222</v>
      </c>
      <c r="AD317" s="70" t="s">
        <v>2222</v>
      </c>
      <c r="AE317" s="70" t="s">
        <v>2222</v>
      </c>
      <c r="AF317" s="70" t="s">
        <v>2222</v>
      </c>
      <c r="AG317" s="70" t="s">
        <v>2222</v>
      </c>
      <c r="AH317" s="70"/>
      <c r="AI317" s="70"/>
      <c r="AJ317" s="70" t="s">
        <v>2222</v>
      </c>
      <c r="AK317" s="70" t="s">
        <v>2222</v>
      </c>
      <c r="AL317" s="70" t="s">
        <v>2222</v>
      </c>
      <c r="AM317" s="70" t="s">
        <v>2222</v>
      </c>
      <c r="AN317" s="70" t="s">
        <v>2222</v>
      </c>
      <c r="AO317" s="70"/>
      <c r="AP317" s="70"/>
      <c r="AQ317" s="70"/>
      <c r="AR317" s="70" t="s">
        <v>2222</v>
      </c>
      <c r="AS317" s="70" t="s">
        <v>2222</v>
      </c>
      <c r="AT317" s="70"/>
      <c r="AU317" s="70"/>
      <c r="AV317" s="70"/>
    </row>
    <row r="318" spans="1:49" ht="15.75" thickBot="1" x14ac:dyDescent="0.3">
      <c r="A318"/>
      <c r="B318"/>
      <c r="C318"/>
      <c r="D318"/>
      <c r="E318" t="s">
        <v>2447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1596</v>
      </c>
      <c r="N318" s="84"/>
      <c r="O318" s="131">
        <f t="shared" si="31"/>
        <v>28</v>
      </c>
      <c r="P318" s="136" t="s">
        <v>2105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1"/>
        <v>11</v>
      </c>
      <c r="P319" s="136" t="s">
        <v>2147</v>
      </c>
      <c r="Q319" s="131">
        <f t="shared" si="32"/>
        <v>17</v>
      </c>
      <c r="R319" s="132">
        <f t="shared" si="33"/>
        <v>0.39285714285714285</v>
      </c>
      <c r="S319" s="70"/>
      <c r="T319" s="70"/>
      <c r="U319" s="70"/>
      <c r="V319" s="70" t="s">
        <v>2222</v>
      </c>
      <c r="W319" s="70" t="s">
        <v>2222</v>
      </c>
      <c r="X319" s="70" t="s">
        <v>2222</v>
      </c>
      <c r="Y319" s="70" t="s">
        <v>2222</v>
      </c>
      <c r="Z319" s="70" t="s">
        <v>2222</v>
      </c>
      <c r="AA319" s="70"/>
      <c r="AB319" s="70"/>
      <c r="AC319" s="70" t="s">
        <v>2222</v>
      </c>
      <c r="AD319" s="70" t="s">
        <v>2222</v>
      </c>
      <c r="AE319" s="70" t="s">
        <v>2222</v>
      </c>
      <c r="AF319" s="70" t="s">
        <v>2222</v>
      </c>
      <c r="AG319" s="70" t="s">
        <v>2222</v>
      </c>
      <c r="AH319" s="70"/>
      <c r="AI319" s="70"/>
      <c r="AJ319" s="70" t="s">
        <v>2222</v>
      </c>
      <c r="AK319" s="70" t="s">
        <v>2222</v>
      </c>
      <c r="AL319" s="70" t="s">
        <v>2222</v>
      </c>
      <c r="AM319" s="70" t="s">
        <v>2222</v>
      </c>
      <c r="AN319" s="70" t="s">
        <v>2222</v>
      </c>
      <c r="AO319" s="70"/>
      <c r="AP319" s="70"/>
      <c r="AQ319" s="70"/>
      <c r="AR319" s="70" t="s">
        <v>2222</v>
      </c>
      <c r="AS319" s="70" t="s">
        <v>2222</v>
      </c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 t="s">
        <v>2446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1"/>
        <v>19</v>
      </c>
      <c r="P320" s="136" t="s">
        <v>1881</v>
      </c>
      <c r="Q320" s="31">
        <f t="shared" si="32"/>
        <v>9</v>
      </c>
      <c r="R320" s="32">
        <f t="shared" si="33"/>
        <v>0.6785714285714286</v>
      </c>
      <c r="S320" s="70"/>
      <c r="T320" s="70"/>
      <c r="U320" s="70"/>
      <c r="V320" s="70" t="s">
        <v>2222</v>
      </c>
      <c r="W320" s="70" t="s">
        <v>2222</v>
      </c>
      <c r="X320" s="70"/>
      <c r="Y320" s="70" t="s">
        <v>2222</v>
      </c>
      <c r="Z320" s="70"/>
      <c r="AA320" s="70"/>
      <c r="AB320" s="70"/>
      <c r="AC320" s="70"/>
      <c r="AD320" s="70" t="s">
        <v>2222</v>
      </c>
      <c r="AE320" s="70" t="s">
        <v>2222</v>
      </c>
      <c r="AF320" s="70"/>
      <c r="AG320" s="70"/>
      <c r="AH320" s="70"/>
      <c r="AI320" s="70"/>
      <c r="AJ320" s="70" t="s">
        <v>2222</v>
      </c>
      <c r="AK320" s="70" t="s">
        <v>2222</v>
      </c>
      <c r="AL320" s="70" t="s">
        <v>2222</v>
      </c>
      <c r="AM320" s="70"/>
      <c r="AN320" s="70" t="s">
        <v>2222</v>
      </c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thickBot="1" x14ac:dyDescent="0.3">
      <c r="A321"/>
      <c r="B321"/>
      <c r="C321"/>
      <c r="D321"/>
      <c r="E321" t="s">
        <v>2446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1"/>
        <v>25</v>
      </c>
      <c r="P321" s="136" t="s">
        <v>1882</v>
      </c>
      <c r="Q321" s="31">
        <f t="shared" si="32"/>
        <v>3</v>
      </c>
      <c r="R321" s="32">
        <f t="shared" si="33"/>
        <v>0.8928571428571429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2222</v>
      </c>
      <c r="AK321" s="70" t="s">
        <v>2222</v>
      </c>
      <c r="AL321" s="70" t="s">
        <v>2222</v>
      </c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thickBot="1" x14ac:dyDescent="0.3">
      <c r="A322">
        <v>10</v>
      </c>
      <c r="B322">
        <v>10</v>
      </c>
      <c r="C322"/>
      <c r="D322"/>
      <c r="E322" t="s">
        <v>2334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1"/>
        <v>28</v>
      </c>
      <c r="P322" s="136" t="s">
        <v>1864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s="151" t="s">
        <v>2446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1"/>
        <v>27</v>
      </c>
      <c r="P323" s="136" t="s">
        <v>1872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 t="s">
        <v>2222</v>
      </c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2446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1"/>
        <v>27</v>
      </c>
      <c r="P324" s="136" t="s">
        <v>1873</v>
      </c>
      <c r="Q324" s="31">
        <f t="shared" si="32"/>
        <v>1</v>
      </c>
      <c r="R324" s="32">
        <f t="shared" si="33"/>
        <v>0.9642857142857143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 t="s">
        <v>2222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>
        <v>6</v>
      </c>
      <c r="B325">
        <v>12</v>
      </c>
      <c r="C325"/>
      <c r="D325"/>
      <c r="E325" t="s">
        <v>2335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2447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1"/>
        <v>11</v>
      </c>
      <c r="P326" s="136" t="s">
        <v>1878</v>
      </c>
      <c r="Q326" s="31">
        <f t="shared" si="32"/>
        <v>17</v>
      </c>
      <c r="R326" s="32">
        <f t="shared" si="33"/>
        <v>0.39285714285714285</v>
      </c>
      <c r="S326" s="70"/>
      <c r="T326" s="70"/>
      <c r="U326" s="70"/>
      <c r="V326" s="70" t="s">
        <v>2222</v>
      </c>
      <c r="W326" s="70" t="s">
        <v>2222</v>
      </c>
      <c r="X326" s="70" t="s">
        <v>2222</v>
      </c>
      <c r="Y326" s="70" t="s">
        <v>2222</v>
      </c>
      <c r="Z326" s="70" t="s">
        <v>2222</v>
      </c>
      <c r="AA326" s="70"/>
      <c r="AB326" s="70"/>
      <c r="AC326" s="70" t="s">
        <v>2222</v>
      </c>
      <c r="AD326" s="70" t="s">
        <v>2222</v>
      </c>
      <c r="AE326" s="70" t="s">
        <v>2222</v>
      </c>
      <c r="AF326" s="70" t="s">
        <v>2222</v>
      </c>
      <c r="AG326" s="70" t="s">
        <v>2222</v>
      </c>
      <c r="AH326" s="70"/>
      <c r="AI326" s="70"/>
      <c r="AJ326" s="70" t="s">
        <v>2222</v>
      </c>
      <c r="AK326" s="70" t="s">
        <v>2222</v>
      </c>
      <c r="AL326" s="70" t="s">
        <v>2222</v>
      </c>
      <c r="AM326" s="70" t="s">
        <v>2222</v>
      </c>
      <c r="AN326" s="70" t="s">
        <v>2222</v>
      </c>
      <c r="AO326" s="70"/>
      <c r="AP326" s="70"/>
      <c r="AQ326" s="70"/>
      <c r="AR326" s="70" t="s">
        <v>2222</v>
      </c>
      <c r="AS326" s="70" t="s">
        <v>2222</v>
      </c>
      <c r="AT326" s="70"/>
      <c r="AU326" s="70"/>
      <c r="AV326" s="70"/>
    </row>
    <row r="327" spans="1:49" ht="15.75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1"/>
        <v>11</v>
      </c>
      <c r="P327" s="136" t="s">
        <v>1879</v>
      </c>
      <c r="Q327" s="131">
        <f t="shared" si="32"/>
        <v>17</v>
      </c>
      <c r="R327" s="132">
        <f t="shared" si="33"/>
        <v>0.39285714285714285</v>
      </c>
      <c r="S327" s="70"/>
      <c r="T327" s="70"/>
      <c r="U327" s="70"/>
      <c r="V327" s="70" t="s">
        <v>2222</v>
      </c>
      <c r="W327" s="70" t="s">
        <v>2222</v>
      </c>
      <c r="X327" s="70" t="s">
        <v>2222</v>
      </c>
      <c r="Y327" s="70" t="s">
        <v>2222</v>
      </c>
      <c r="Z327" s="70" t="s">
        <v>2222</v>
      </c>
      <c r="AA327" s="70"/>
      <c r="AB327" s="70"/>
      <c r="AC327" s="70" t="s">
        <v>2222</v>
      </c>
      <c r="AD327" s="70" t="s">
        <v>2222</v>
      </c>
      <c r="AE327" s="70" t="s">
        <v>2222</v>
      </c>
      <c r="AF327" s="70" t="s">
        <v>2222</v>
      </c>
      <c r="AG327" s="70" t="s">
        <v>2222</v>
      </c>
      <c r="AH327" s="70"/>
      <c r="AI327" s="70"/>
      <c r="AJ327" s="70" t="s">
        <v>2222</v>
      </c>
      <c r="AK327" s="70" t="s">
        <v>2222</v>
      </c>
      <c r="AL327" s="70" t="s">
        <v>2222</v>
      </c>
      <c r="AM327" s="70" t="s">
        <v>2222</v>
      </c>
      <c r="AN327" s="70" t="s">
        <v>2222</v>
      </c>
      <c r="AO327" s="70"/>
      <c r="AP327" s="70"/>
      <c r="AQ327" s="70"/>
      <c r="AR327" s="70" t="s">
        <v>2222</v>
      </c>
      <c r="AS327" s="70" t="s">
        <v>2222</v>
      </c>
      <c r="AT327" s="70"/>
      <c r="AU327" s="70"/>
      <c r="AV327" s="70"/>
    </row>
    <row r="328" spans="1:49" ht="15.75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1"/>
        <v>11</v>
      </c>
      <c r="P328" s="136" t="s">
        <v>1880</v>
      </c>
      <c r="Q328" s="131">
        <f t="shared" si="32"/>
        <v>17</v>
      </c>
      <c r="R328" s="132">
        <f t="shared" si="33"/>
        <v>0.39285714285714285</v>
      </c>
      <c r="S328" s="70"/>
      <c r="T328" s="70"/>
      <c r="U328" s="70"/>
      <c r="V328" s="70" t="s">
        <v>2222</v>
      </c>
      <c r="W328" s="70" t="s">
        <v>2222</v>
      </c>
      <c r="X328" s="70" t="s">
        <v>2222</v>
      </c>
      <c r="Y328" s="70" t="s">
        <v>2222</v>
      </c>
      <c r="Z328" s="70" t="s">
        <v>2222</v>
      </c>
      <c r="AA328" s="70"/>
      <c r="AB328" s="71"/>
      <c r="AC328" s="70" t="s">
        <v>2222</v>
      </c>
      <c r="AD328" s="70" t="s">
        <v>2222</v>
      </c>
      <c r="AE328" s="70" t="s">
        <v>2222</v>
      </c>
      <c r="AF328" s="70" t="s">
        <v>2222</v>
      </c>
      <c r="AG328" s="70" t="s">
        <v>2222</v>
      </c>
      <c r="AH328" s="70"/>
      <c r="AI328" s="70"/>
      <c r="AJ328" s="70" t="s">
        <v>2222</v>
      </c>
      <c r="AK328" s="70" t="s">
        <v>2222</v>
      </c>
      <c r="AL328" s="70" t="s">
        <v>2222</v>
      </c>
      <c r="AM328" s="70" t="s">
        <v>2222</v>
      </c>
      <c r="AN328" s="70" t="s">
        <v>2222</v>
      </c>
      <c r="AO328" s="70"/>
      <c r="AP328" s="70"/>
      <c r="AQ328" s="70"/>
      <c r="AR328" s="70" t="s">
        <v>2222</v>
      </c>
      <c r="AS328" s="70" t="s">
        <v>2222</v>
      </c>
      <c r="AT328" s="70"/>
      <c r="AU328" s="70"/>
      <c r="AV328" s="70"/>
    </row>
    <row r="329" spans="1:49" ht="15.75" thickBot="1" x14ac:dyDescent="0.3">
      <c r="A329"/>
      <c r="B329"/>
      <c r="C329"/>
      <c r="D329"/>
      <c r="E329" t="s">
        <v>2446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4">COUNTIF(S329:AT329,"")</f>
        <v>25</v>
      </c>
      <c r="P329" s="136" t="s">
        <v>1883</v>
      </c>
      <c r="Q329" s="31">
        <f t="shared" ref="Q329:Q392" si="35">COUNTIF(S329:AT329,"APAGADO")</f>
        <v>3</v>
      </c>
      <c r="R329" s="32">
        <f t="shared" ref="R329:R392" si="36">(O329)/(Q329+O329)</f>
        <v>0.8928571428571429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2222</v>
      </c>
      <c r="AK329" s="70" t="s">
        <v>2222</v>
      </c>
      <c r="AL329" s="70" t="s">
        <v>2222</v>
      </c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thickBot="1" x14ac:dyDescent="0.3">
      <c r="A330">
        <v>12</v>
      </c>
      <c r="B330" t="s">
        <v>2374</v>
      </c>
      <c r="C330"/>
      <c r="D330"/>
      <c r="E330" t="s">
        <v>2373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4"/>
        <v>28</v>
      </c>
      <c r="P330" s="136" t="s">
        <v>1884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2374</v>
      </c>
      <c r="C331"/>
      <c r="D331"/>
      <c r="E331" t="s">
        <v>2373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4"/>
        <v>27</v>
      </c>
      <c r="P331" s="136" t="s">
        <v>1885</v>
      </c>
      <c r="Q331" s="31">
        <f t="shared" si="35"/>
        <v>1</v>
      </c>
      <c r="R331" s="32">
        <f t="shared" si="36"/>
        <v>0.9642857142857143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 t="s">
        <v>2222</v>
      </c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2374</v>
      </c>
      <c r="C332"/>
      <c r="D332"/>
      <c r="E332" t="s">
        <v>2373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4"/>
        <v>28</v>
      </c>
      <c r="P332" s="136" t="s">
        <v>1886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thickBot="1" x14ac:dyDescent="0.3">
      <c r="A333"/>
      <c r="B333"/>
      <c r="C333"/>
      <c r="D333"/>
      <c r="E333" t="s">
        <v>2348</v>
      </c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4"/>
        <v>27</v>
      </c>
      <c r="P333" s="136" t="s">
        <v>1887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2222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/>
      <c r="B334"/>
      <c r="C334"/>
      <c r="D334"/>
      <c r="E334" t="s">
        <v>2348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4"/>
        <v>28</v>
      </c>
      <c r="P334" s="136" t="s">
        <v>1888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2348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4"/>
        <v>27</v>
      </c>
      <c r="P335" s="136" t="s">
        <v>1889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2222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2348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4"/>
        <v>27</v>
      </c>
      <c r="P336" s="136" t="s">
        <v>1890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2222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2348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4"/>
        <v>28</v>
      </c>
      <c r="P337" s="136" t="s">
        <v>1891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2348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4"/>
        <v>28</v>
      </c>
      <c r="P338" s="136" t="s">
        <v>1892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>
        <v>2</v>
      </c>
      <c r="B339">
        <v>2</v>
      </c>
      <c r="C339"/>
      <c r="D339"/>
      <c r="E339" t="s">
        <v>2362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4"/>
        <v>11</v>
      </c>
      <c r="P339" s="136" t="s">
        <v>1893</v>
      </c>
      <c r="Q339" s="31">
        <f t="shared" si="35"/>
        <v>17</v>
      </c>
      <c r="R339" s="32">
        <f t="shared" si="36"/>
        <v>0.39285714285714285</v>
      </c>
      <c r="S339" s="70"/>
      <c r="T339" s="70"/>
      <c r="U339" s="70"/>
      <c r="V339" s="70" t="s">
        <v>2222</v>
      </c>
      <c r="W339" s="70" t="s">
        <v>2222</v>
      </c>
      <c r="X339" s="70" t="s">
        <v>2222</v>
      </c>
      <c r="Y339" s="70" t="s">
        <v>2222</v>
      </c>
      <c r="Z339" s="70" t="s">
        <v>2222</v>
      </c>
      <c r="AA339" s="70"/>
      <c r="AB339" s="70"/>
      <c r="AC339" s="70" t="s">
        <v>2222</v>
      </c>
      <c r="AD339" s="70" t="s">
        <v>2222</v>
      </c>
      <c r="AE339" s="70" t="s">
        <v>2222</v>
      </c>
      <c r="AF339" s="70" t="s">
        <v>2222</v>
      </c>
      <c r="AG339" s="70" t="s">
        <v>2222</v>
      </c>
      <c r="AH339" s="70"/>
      <c r="AI339" s="70"/>
      <c r="AJ339" s="70" t="s">
        <v>2222</v>
      </c>
      <c r="AK339" s="70" t="s">
        <v>2222</v>
      </c>
      <c r="AL339" s="70" t="s">
        <v>2222</v>
      </c>
      <c r="AM339" s="70" t="s">
        <v>2222</v>
      </c>
      <c r="AN339" s="70" t="s">
        <v>2222</v>
      </c>
      <c r="AO339" s="70"/>
      <c r="AP339" s="70"/>
      <c r="AQ339" s="70"/>
      <c r="AR339" s="70" t="s">
        <v>2222</v>
      </c>
      <c r="AS339" s="70" t="s">
        <v>2222</v>
      </c>
      <c r="AT339" s="70"/>
      <c r="AU339" s="70"/>
      <c r="AV339" s="70"/>
    </row>
    <row r="340" spans="1:49" ht="15.75" thickBot="1" x14ac:dyDescent="0.3">
      <c r="A340">
        <v>2</v>
      </c>
      <c r="B340">
        <v>2</v>
      </c>
      <c r="C340"/>
      <c r="D340"/>
      <c r="E340" t="s">
        <v>2362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4"/>
        <v>26</v>
      </c>
      <c r="P340" s="136" t="s">
        <v>1894</v>
      </c>
      <c r="Q340" s="31">
        <f t="shared" si="35"/>
        <v>2</v>
      </c>
      <c r="R340" s="32">
        <f t="shared" si="36"/>
        <v>0.9285714285714286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2222</v>
      </c>
      <c r="AD340" s="70"/>
      <c r="AE340" s="70"/>
      <c r="AF340" s="70"/>
      <c r="AG340" s="70" t="s">
        <v>2222</v>
      </c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>
        <v>2</v>
      </c>
      <c r="B341">
        <v>2</v>
      </c>
      <c r="C341"/>
      <c r="D341"/>
      <c r="E341" t="s">
        <v>2362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4"/>
        <v>26</v>
      </c>
      <c r="P341" s="136" t="s">
        <v>1895</v>
      </c>
      <c r="Q341" s="31">
        <f t="shared" si="35"/>
        <v>2</v>
      </c>
      <c r="R341" s="32">
        <f t="shared" si="36"/>
        <v>0.9285714285714286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2222</v>
      </c>
      <c r="AD341" s="70"/>
      <c r="AE341" s="70"/>
      <c r="AF341" s="70"/>
      <c r="AG341" s="70" t="s">
        <v>2222</v>
      </c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2362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4"/>
        <v>26</v>
      </c>
      <c r="P342" s="136" t="s">
        <v>1896</v>
      </c>
      <c r="Q342" s="31">
        <f t="shared" si="35"/>
        <v>2</v>
      </c>
      <c r="R342" s="32">
        <f t="shared" si="36"/>
        <v>0.9285714285714286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2222</v>
      </c>
      <c r="AD342" s="70"/>
      <c r="AE342" s="70"/>
      <c r="AF342" s="70"/>
      <c r="AG342" s="70" t="s">
        <v>2222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2362</v>
      </c>
      <c r="F343" t="s">
        <v>352</v>
      </c>
      <c r="G343" t="s">
        <v>2194</v>
      </c>
      <c r="H343" t="s">
        <v>1042</v>
      </c>
      <c r="I343" s="68" t="s">
        <v>2180</v>
      </c>
      <c r="J343" s="84" t="s">
        <v>14</v>
      </c>
      <c r="K343" s="30" t="s">
        <v>27</v>
      </c>
      <c r="L343" s="30"/>
      <c r="M343" s="30" t="s">
        <v>2195</v>
      </c>
      <c r="N343" s="30"/>
      <c r="O343" s="31">
        <f t="shared" si="34"/>
        <v>26</v>
      </c>
      <c r="P343" s="136" t="s">
        <v>2181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2222</v>
      </c>
      <c r="AD343" s="70"/>
      <c r="AE343" s="70"/>
      <c r="AF343" s="70"/>
      <c r="AG343" s="70" t="s">
        <v>2222</v>
      </c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2362</v>
      </c>
      <c r="F344" t="s">
        <v>352</v>
      </c>
      <c r="G344" t="s">
        <v>2182</v>
      </c>
      <c r="H344" t="s">
        <v>1042</v>
      </c>
      <c r="I344" s="68" t="s">
        <v>2183</v>
      </c>
      <c r="J344" s="84" t="s">
        <v>14</v>
      </c>
      <c r="K344" s="30" t="s">
        <v>27</v>
      </c>
      <c r="L344" s="30"/>
      <c r="M344" s="30" t="s">
        <v>2285</v>
      </c>
      <c r="N344" s="30"/>
      <c r="O344" s="31">
        <f t="shared" si="34"/>
        <v>26</v>
      </c>
      <c r="P344" s="136" t="s">
        <v>2184</v>
      </c>
      <c r="Q344" s="31">
        <f t="shared" si="35"/>
        <v>2</v>
      </c>
      <c r="R344" s="32">
        <f t="shared" si="36"/>
        <v>0.9285714285714286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2222</v>
      </c>
      <c r="AD344" s="70"/>
      <c r="AE344" s="70"/>
      <c r="AF344" s="70"/>
      <c r="AG344" s="70" t="s">
        <v>2222</v>
      </c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thickBot="1" x14ac:dyDescent="0.3">
      <c r="A345"/>
      <c r="B345"/>
      <c r="C345"/>
      <c r="D345"/>
      <c r="E345" t="s">
        <v>2348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4"/>
        <v>28</v>
      </c>
      <c r="P345" s="136" t="s">
        <v>1901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thickBot="1" x14ac:dyDescent="0.3">
      <c r="A346"/>
      <c r="B346"/>
      <c r="C346"/>
      <c r="D346"/>
      <c r="E346" t="s">
        <v>2348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4"/>
        <v>24</v>
      </c>
      <c r="P346" s="136" t="s">
        <v>1902</v>
      </c>
      <c r="Q346" s="31">
        <f t="shared" si="35"/>
        <v>4</v>
      </c>
      <c r="R346" s="32">
        <f t="shared" si="36"/>
        <v>0.8571428571428571</v>
      </c>
      <c r="S346" s="70"/>
      <c r="T346" s="70"/>
      <c r="U346" s="70"/>
      <c r="V346" s="70"/>
      <c r="W346" s="70"/>
      <c r="X346" s="70"/>
      <c r="Y346" s="70" t="s">
        <v>2222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 t="s">
        <v>2222</v>
      </c>
      <c r="AL346" s="70"/>
      <c r="AM346" s="70"/>
      <c r="AN346" s="70"/>
      <c r="AO346" s="70"/>
      <c r="AP346" s="70"/>
      <c r="AQ346" s="70"/>
      <c r="AR346" s="70" t="s">
        <v>2222</v>
      </c>
      <c r="AS346" s="70" t="s">
        <v>2222</v>
      </c>
      <c r="AT346" s="70"/>
      <c r="AU346" s="70"/>
      <c r="AV346" s="70"/>
      <c r="AW346" s="69"/>
    </row>
    <row r="347" spans="1:49" ht="15.75" thickBot="1" x14ac:dyDescent="0.3">
      <c r="A347"/>
      <c r="B347"/>
      <c r="C347"/>
      <c r="D347"/>
      <c r="E347" t="s">
        <v>2348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4"/>
        <v>26</v>
      </c>
      <c r="P347" s="136" t="s">
        <v>1903</v>
      </c>
      <c r="Q347" s="31">
        <f t="shared" si="35"/>
        <v>2</v>
      </c>
      <c r="R347" s="32">
        <f t="shared" si="36"/>
        <v>0.9285714285714286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 t="s">
        <v>2222</v>
      </c>
      <c r="AS347" s="70" t="s">
        <v>2222</v>
      </c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2348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4"/>
        <v>25</v>
      </c>
      <c r="P348" s="136" t="s">
        <v>1904</v>
      </c>
      <c r="Q348" s="31">
        <f t="shared" si="35"/>
        <v>3</v>
      </c>
      <c r="R348" s="32">
        <f t="shared" si="36"/>
        <v>0.8928571428571429</v>
      </c>
      <c r="S348" s="70"/>
      <c r="T348" s="70"/>
      <c r="U348" s="70"/>
      <c r="V348" s="70"/>
      <c r="W348" s="70"/>
      <c r="X348" s="70"/>
      <c r="Y348" s="70" t="s">
        <v>2222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 t="s">
        <v>2222</v>
      </c>
      <c r="AS348" s="70" t="s">
        <v>2222</v>
      </c>
      <c r="AT348" s="70"/>
      <c r="AU348" s="70"/>
      <c r="AV348" s="70"/>
    </row>
    <row r="349" spans="1:49" ht="15.75" thickBot="1" x14ac:dyDescent="0.3">
      <c r="A349"/>
      <c r="B349"/>
      <c r="C349"/>
      <c r="D349"/>
      <c r="E349" t="s">
        <v>2348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4"/>
        <v>25</v>
      </c>
      <c r="P349" s="136" t="s">
        <v>1905</v>
      </c>
      <c r="Q349" s="31">
        <f t="shared" si="35"/>
        <v>3</v>
      </c>
      <c r="R349" s="32">
        <f t="shared" si="36"/>
        <v>0.8928571428571429</v>
      </c>
      <c r="S349" s="70"/>
      <c r="T349" s="70"/>
      <c r="U349" s="70"/>
      <c r="V349" s="70"/>
      <c r="W349" s="70"/>
      <c r="X349" s="70"/>
      <c r="Y349" s="70" t="s">
        <v>2222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 t="s">
        <v>2222</v>
      </c>
      <c r="AS349" s="70" t="s">
        <v>2222</v>
      </c>
      <c r="AT349" s="70"/>
      <c r="AU349" s="70"/>
      <c r="AV349" s="70"/>
      <c r="AW349" s="88"/>
    </row>
    <row r="350" spans="1:49" ht="15.75" thickBot="1" x14ac:dyDescent="0.3">
      <c r="A350"/>
      <c r="B350"/>
      <c r="C350"/>
      <c r="D350"/>
      <c r="E350" t="s">
        <v>2348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4"/>
        <v>27</v>
      </c>
      <c r="P350" s="136" t="s">
        <v>1906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 t="s">
        <v>2222</v>
      </c>
      <c r="AT350" s="70"/>
      <c r="AU350" s="70"/>
      <c r="AV350" s="70"/>
    </row>
    <row r="351" spans="1:49" ht="15.75" thickBot="1" x14ac:dyDescent="0.3">
      <c r="A351"/>
      <c r="B351"/>
      <c r="C351"/>
      <c r="D351"/>
      <c r="E351" t="s">
        <v>2348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4"/>
        <v>27</v>
      </c>
      <c r="P351" s="136" t="s">
        <v>1907</v>
      </c>
      <c r="Q351" s="31">
        <f t="shared" si="35"/>
        <v>1</v>
      </c>
      <c r="R351" s="32">
        <f t="shared" si="36"/>
        <v>0.9642857142857143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 t="s">
        <v>2222</v>
      </c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2348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1908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2348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4"/>
        <v>28</v>
      </c>
      <c r="P353" s="136" t="s">
        <v>1909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2348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4"/>
        <v>11</v>
      </c>
      <c r="P354" s="136"/>
      <c r="Q354" s="31">
        <f t="shared" si="35"/>
        <v>17</v>
      </c>
      <c r="R354" s="32">
        <f t="shared" si="36"/>
        <v>0.39285714285714285</v>
      </c>
      <c r="S354" s="70"/>
      <c r="T354" s="70"/>
      <c r="U354" s="70"/>
      <c r="V354" s="70" t="s">
        <v>2222</v>
      </c>
      <c r="W354" s="70" t="s">
        <v>2222</v>
      </c>
      <c r="X354" s="70" t="s">
        <v>2222</v>
      </c>
      <c r="Y354" s="70" t="s">
        <v>2222</v>
      </c>
      <c r="Z354" s="70" t="s">
        <v>2222</v>
      </c>
      <c r="AA354" s="70"/>
      <c r="AB354" s="70"/>
      <c r="AC354" s="70" t="s">
        <v>2222</v>
      </c>
      <c r="AD354" s="70" t="s">
        <v>2222</v>
      </c>
      <c r="AE354" s="70" t="s">
        <v>2222</v>
      </c>
      <c r="AF354" s="70" t="s">
        <v>2222</v>
      </c>
      <c r="AG354" s="70" t="s">
        <v>2222</v>
      </c>
      <c r="AH354" s="70"/>
      <c r="AI354" s="70"/>
      <c r="AJ354" s="70" t="s">
        <v>2222</v>
      </c>
      <c r="AK354" s="70" t="s">
        <v>2222</v>
      </c>
      <c r="AL354" s="70" t="s">
        <v>2222</v>
      </c>
      <c r="AM354" s="70" t="s">
        <v>2222</v>
      </c>
      <c r="AN354" s="70" t="s">
        <v>2222</v>
      </c>
      <c r="AO354" s="70"/>
      <c r="AP354" s="70"/>
      <c r="AQ354" s="70"/>
      <c r="AR354" s="70" t="s">
        <v>2222</v>
      </c>
      <c r="AS354" s="70" t="s">
        <v>2222</v>
      </c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2348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4"/>
        <v>11</v>
      </c>
      <c r="P355" s="136"/>
      <c r="Q355" s="31">
        <f t="shared" si="35"/>
        <v>17</v>
      </c>
      <c r="R355" s="32">
        <f t="shared" si="36"/>
        <v>0.39285714285714285</v>
      </c>
      <c r="S355" s="70"/>
      <c r="T355" s="70"/>
      <c r="U355" s="70"/>
      <c r="V355" s="70" t="s">
        <v>2222</v>
      </c>
      <c r="W355" s="70" t="s">
        <v>2222</v>
      </c>
      <c r="X355" s="70" t="s">
        <v>2222</v>
      </c>
      <c r="Y355" s="70" t="s">
        <v>2222</v>
      </c>
      <c r="Z355" s="70" t="s">
        <v>2222</v>
      </c>
      <c r="AA355" s="70"/>
      <c r="AB355" s="70"/>
      <c r="AC355" s="70" t="s">
        <v>2222</v>
      </c>
      <c r="AD355" s="70" t="s">
        <v>2222</v>
      </c>
      <c r="AE355" s="70" t="s">
        <v>2222</v>
      </c>
      <c r="AF355" s="70" t="s">
        <v>2222</v>
      </c>
      <c r="AG355" s="70" t="s">
        <v>2222</v>
      </c>
      <c r="AH355" s="70"/>
      <c r="AI355" s="70"/>
      <c r="AJ355" s="70" t="s">
        <v>2222</v>
      </c>
      <c r="AK355" s="70" t="s">
        <v>2222</v>
      </c>
      <c r="AL355" s="70" t="s">
        <v>2222</v>
      </c>
      <c r="AM355" s="70" t="s">
        <v>2222</v>
      </c>
      <c r="AN355" s="70" t="s">
        <v>2222</v>
      </c>
      <c r="AO355" s="70"/>
      <c r="AP355" s="70"/>
      <c r="AQ355" s="70"/>
      <c r="AR355" s="70" t="s">
        <v>2222</v>
      </c>
      <c r="AS355" s="70" t="s">
        <v>2222</v>
      </c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2348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4"/>
        <v>11</v>
      </c>
      <c r="P356" s="136" t="s">
        <v>1910</v>
      </c>
      <c r="Q356" s="31">
        <f t="shared" si="35"/>
        <v>17</v>
      </c>
      <c r="R356" s="32">
        <f t="shared" si="36"/>
        <v>0.39285714285714285</v>
      </c>
      <c r="S356" s="70"/>
      <c r="T356" s="70"/>
      <c r="U356" s="70"/>
      <c r="V356" s="70" t="s">
        <v>2222</v>
      </c>
      <c r="W356" s="70" t="s">
        <v>2222</v>
      </c>
      <c r="X356" s="70" t="s">
        <v>2222</v>
      </c>
      <c r="Y356" s="70" t="s">
        <v>2222</v>
      </c>
      <c r="Z356" s="70" t="s">
        <v>2222</v>
      </c>
      <c r="AA356" s="70"/>
      <c r="AB356" s="70"/>
      <c r="AC356" s="70" t="s">
        <v>2222</v>
      </c>
      <c r="AD356" s="70" t="s">
        <v>2222</v>
      </c>
      <c r="AE356" s="70" t="s">
        <v>2222</v>
      </c>
      <c r="AF356" s="70" t="s">
        <v>2222</v>
      </c>
      <c r="AG356" s="70" t="s">
        <v>2222</v>
      </c>
      <c r="AH356" s="70"/>
      <c r="AI356" s="70"/>
      <c r="AJ356" s="70" t="s">
        <v>2222</v>
      </c>
      <c r="AK356" s="70" t="s">
        <v>2222</v>
      </c>
      <c r="AL356" s="70" t="s">
        <v>2222</v>
      </c>
      <c r="AM356" s="70" t="s">
        <v>2222</v>
      </c>
      <c r="AN356" s="70" t="s">
        <v>2222</v>
      </c>
      <c r="AO356" s="70"/>
      <c r="AP356" s="70"/>
      <c r="AQ356" s="70"/>
      <c r="AR356" s="70" t="s">
        <v>2222</v>
      </c>
      <c r="AS356" s="70" t="s">
        <v>2222</v>
      </c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2348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4"/>
        <v>28</v>
      </c>
      <c r="P357" s="136" t="s">
        <v>1897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2348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4"/>
        <v>28</v>
      </c>
      <c r="P358" s="136" t="s">
        <v>1898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2348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4"/>
        <v>11</v>
      </c>
      <c r="P359" s="136" t="s">
        <v>1899</v>
      </c>
      <c r="Q359" s="31">
        <f t="shared" si="35"/>
        <v>17</v>
      </c>
      <c r="R359" s="32">
        <f t="shared" si="36"/>
        <v>0.39285714285714285</v>
      </c>
      <c r="S359" s="70"/>
      <c r="T359" s="70"/>
      <c r="U359" s="70"/>
      <c r="V359" s="70" t="s">
        <v>2222</v>
      </c>
      <c r="W359" s="70" t="s">
        <v>2222</v>
      </c>
      <c r="X359" s="70" t="s">
        <v>2222</v>
      </c>
      <c r="Y359" s="70" t="s">
        <v>2222</v>
      </c>
      <c r="Z359" s="70" t="s">
        <v>2222</v>
      </c>
      <c r="AA359" s="70"/>
      <c r="AB359" s="70"/>
      <c r="AC359" s="70" t="s">
        <v>2222</v>
      </c>
      <c r="AD359" s="70" t="s">
        <v>2222</v>
      </c>
      <c r="AE359" s="70" t="s">
        <v>2222</v>
      </c>
      <c r="AF359" s="70" t="s">
        <v>2222</v>
      </c>
      <c r="AG359" s="70" t="s">
        <v>2222</v>
      </c>
      <c r="AH359" s="70"/>
      <c r="AI359" s="70"/>
      <c r="AJ359" s="70" t="s">
        <v>2222</v>
      </c>
      <c r="AK359" s="70" t="s">
        <v>2222</v>
      </c>
      <c r="AL359" s="70" t="s">
        <v>2222</v>
      </c>
      <c r="AM359" s="70" t="s">
        <v>2222</v>
      </c>
      <c r="AN359" s="70" t="s">
        <v>2222</v>
      </c>
      <c r="AO359" s="70"/>
      <c r="AP359" s="70"/>
      <c r="AQ359" s="70"/>
      <c r="AR359" s="70" t="s">
        <v>2222</v>
      </c>
      <c r="AS359" s="70" t="s">
        <v>2222</v>
      </c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2348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4"/>
        <v>11</v>
      </c>
      <c r="P360" s="136" t="s">
        <v>1900</v>
      </c>
      <c r="Q360" s="31">
        <f t="shared" si="35"/>
        <v>17</v>
      </c>
      <c r="R360" s="32">
        <f t="shared" si="36"/>
        <v>0.39285714285714285</v>
      </c>
      <c r="S360" s="70"/>
      <c r="T360" s="70"/>
      <c r="U360" s="70"/>
      <c r="V360" s="70" t="s">
        <v>2222</v>
      </c>
      <c r="W360" s="70" t="s">
        <v>2222</v>
      </c>
      <c r="X360" s="70" t="s">
        <v>2222</v>
      </c>
      <c r="Y360" s="70" t="s">
        <v>2222</v>
      </c>
      <c r="Z360" s="70" t="s">
        <v>2222</v>
      </c>
      <c r="AA360" s="70"/>
      <c r="AB360" s="70"/>
      <c r="AC360" s="70" t="s">
        <v>2222</v>
      </c>
      <c r="AD360" s="70" t="s">
        <v>2222</v>
      </c>
      <c r="AE360" s="70" t="s">
        <v>2222</v>
      </c>
      <c r="AF360" s="70" t="s">
        <v>2222</v>
      </c>
      <c r="AG360" s="70" t="s">
        <v>2222</v>
      </c>
      <c r="AH360" s="70"/>
      <c r="AI360" s="70"/>
      <c r="AJ360" s="70" t="s">
        <v>2222</v>
      </c>
      <c r="AK360" s="70" t="s">
        <v>2222</v>
      </c>
      <c r="AL360" s="70" t="s">
        <v>2222</v>
      </c>
      <c r="AM360" s="70" t="s">
        <v>2222</v>
      </c>
      <c r="AN360" s="70" t="s">
        <v>2222</v>
      </c>
      <c r="AO360" s="70"/>
      <c r="AP360" s="70"/>
      <c r="AQ360" s="70"/>
      <c r="AR360" s="70" t="s">
        <v>2222</v>
      </c>
      <c r="AS360" s="70" t="s">
        <v>2222</v>
      </c>
      <c r="AT360" s="70"/>
      <c r="AU360" s="70"/>
      <c r="AV360" s="70"/>
    </row>
    <row r="361" spans="1:49" s="73" customFormat="1" ht="15.75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4"/>
        <v>28</v>
      </c>
      <c r="P361" s="136" t="s">
        <v>2399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4"/>
        <v>28</v>
      </c>
      <c r="P362" s="136" t="s">
        <v>2400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4"/>
        <v>28</v>
      </c>
      <c r="P363" s="136" t="s">
        <v>1912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4"/>
        <v>28</v>
      </c>
      <c r="P364" s="136" t="s">
        <v>1913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thickBot="1" x14ac:dyDescent="0.3">
      <c r="A365">
        <v>1</v>
      </c>
      <c r="B365">
        <v>19</v>
      </c>
      <c r="C365"/>
      <c r="D365"/>
      <c r="E365" t="s">
        <v>2328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2177</v>
      </c>
      <c r="N365" s="30"/>
      <c r="O365" s="31">
        <f t="shared" si="34"/>
        <v>28</v>
      </c>
      <c r="P365" s="136" t="s">
        <v>1914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>
        <v>1</v>
      </c>
      <c r="B366">
        <v>19</v>
      </c>
      <c r="C366"/>
      <c r="D366"/>
      <c r="E366" t="s">
        <v>2328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2286</v>
      </c>
      <c r="N366" s="30"/>
      <c r="O366" s="31">
        <f t="shared" si="34"/>
        <v>28</v>
      </c>
      <c r="P366" s="136" t="s">
        <v>1915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thickBot="1" x14ac:dyDescent="0.3">
      <c r="A367">
        <v>1</v>
      </c>
      <c r="B367">
        <v>19</v>
      </c>
      <c r="C367"/>
      <c r="D367"/>
      <c r="E367" t="s">
        <v>2328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4"/>
        <v>28</v>
      </c>
      <c r="P367" s="136" t="s">
        <v>1916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2328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4"/>
        <v>28</v>
      </c>
      <c r="P368" s="136" t="s">
        <v>1917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2328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4"/>
        <v>28</v>
      </c>
      <c r="P369" s="136" t="s">
        <v>1918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2328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4"/>
        <v>28</v>
      </c>
      <c r="P370" s="136" t="s">
        <v>1919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14</v>
      </c>
      <c r="C371"/>
      <c r="D371"/>
      <c r="E371" t="s">
        <v>2367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4"/>
        <v>28</v>
      </c>
      <c r="P371" s="136" t="s">
        <v>1920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14</v>
      </c>
      <c r="C372"/>
      <c r="D372"/>
      <c r="E372" t="s">
        <v>2367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4"/>
        <v>28</v>
      </c>
      <c r="P372" s="136" t="s">
        <v>1921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/>
      <c r="B373"/>
      <c r="C373"/>
      <c r="D373"/>
      <c r="E373"/>
      <c r="F373" s="73" t="s">
        <v>1297</v>
      </c>
      <c r="G373" s="73" t="s">
        <v>1542</v>
      </c>
      <c r="H373" s="73" t="s">
        <v>1041</v>
      </c>
      <c r="I373" s="73" t="s">
        <v>1545</v>
      </c>
      <c r="J373" s="84" t="s">
        <v>71</v>
      </c>
      <c r="K373" s="84" t="s">
        <v>1278</v>
      </c>
      <c r="L373"/>
      <c r="M373" s="84" t="s">
        <v>1546</v>
      </c>
      <c r="N373" s="84"/>
      <c r="O373" s="31">
        <f t="shared" si="34"/>
        <v>28</v>
      </c>
      <c r="P373" s="136" t="s">
        <v>1922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thickBot="1" x14ac:dyDescent="0.3">
      <c r="A374"/>
      <c r="B374"/>
      <c r="C374"/>
      <c r="D374"/>
      <c r="E374"/>
      <c r="F374" s="73" t="s">
        <v>1297</v>
      </c>
      <c r="G374" s="73" t="s">
        <v>1543</v>
      </c>
      <c r="H374" s="73" t="s">
        <v>1041</v>
      </c>
      <c r="I374" s="73" t="s">
        <v>1547</v>
      </c>
      <c r="J374" s="73" t="s">
        <v>71</v>
      </c>
      <c r="K374" s="84" t="s">
        <v>1278</v>
      </c>
      <c r="L374"/>
      <c r="M374" s="84" t="s">
        <v>1548</v>
      </c>
      <c r="N374" s="84"/>
      <c r="O374" s="31">
        <f t="shared" si="34"/>
        <v>11</v>
      </c>
      <c r="P374" s="136" t="s">
        <v>1923</v>
      </c>
      <c r="Q374" s="31">
        <f t="shared" si="35"/>
        <v>17</v>
      </c>
      <c r="R374" s="32">
        <f t="shared" si="36"/>
        <v>0.39285714285714285</v>
      </c>
      <c r="S374" s="70"/>
      <c r="T374" s="70"/>
      <c r="U374" s="70"/>
      <c r="V374" s="70" t="s">
        <v>2222</v>
      </c>
      <c r="W374" s="70" t="s">
        <v>2222</v>
      </c>
      <c r="X374" s="70" t="s">
        <v>2222</v>
      </c>
      <c r="Y374" s="70" t="s">
        <v>2222</v>
      </c>
      <c r="Z374" s="70" t="s">
        <v>2222</v>
      </c>
      <c r="AA374" s="70"/>
      <c r="AB374" s="70"/>
      <c r="AC374" s="70" t="s">
        <v>2222</v>
      </c>
      <c r="AD374" s="70" t="s">
        <v>2222</v>
      </c>
      <c r="AE374" s="70" t="s">
        <v>2222</v>
      </c>
      <c r="AF374" s="70" t="s">
        <v>2222</v>
      </c>
      <c r="AG374" s="70" t="s">
        <v>2222</v>
      </c>
      <c r="AH374" s="70"/>
      <c r="AI374" s="70"/>
      <c r="AJ374" s="70" t="s">
        <v>2222</v>
      </c>
      <c r="AK374" s="70" t="s">
        <v>2222</v>
      </c>
      <c r="AL374" s="70" t="s">
        <v>2222</v>
      </c>
      <c r="AM374" s="70" t="s">
        <v>2222</v>
      </c>
      <c r="AN374" s="70" t="s">
        <v>2222</v>
      </c>
      <c r="AO374" s="70"/>
      <c r="AP374" s="70"/>
      <c r="AQ374" s="70"/>
      <c r="AR374" s="70" t="s">
        <v>2222</v>
      </c>
      <c r="AS374" s="70" t="s">
        <v>2222</v>
      </c>
      <c r="AT374" s="70"/>
      <c r="AU374" s="70"/>
      <c r="AV374" s="70"/>
      <c r="AW374"/>
    </row>
    <row r="375" spans="1:49" s="73" customFormat="1" ht="15.75" thickBot="1" x14ac:dyDescent="0.3">
      <c r="A375"/>
      <c r="B375"/>
      <c r="C375"/>
      <c r="D375"/>
      <c r="E375"/>
      <c r="F375" s="73" t="s">
        <v>1297</v>
      </c>
      <c r="G375" s="73" t="s">
        <v>1544</v>
      </c>
      <c r="H375" s="73" t="s">
        <v>1041</v>
      </c>
      <c r="I375" s="73" t="s">
        <v>1549</v>
      </c>
      <c r="J375" s="73" t="s">
        <v>71</v>
      </c>
      <c r="K375" s="84" t="s">
        <v>1278</v>
      </c>
      <c r="L375"/>
      <c r="M375" s="84" t="s">
        <v>1550</v>
      </c>
      <c r="N375" s="84"/>
      <c r="O375" s="31">
        <f t="shared" si="34"/>
        <v>28</v>
      </c>
      <c r="P375" s="136" t="s">
        <v>1924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thickBot="1" x14ac:dyDescent="0.3">
      <c r="A376"/>
      <c r="B376"/>
      <c r="C376"/>
      <c r="D376"/>
      <c r="E376"/>
      <c r="F376" s="73" t="s">
        <v>1297</v>
      </c>
      <c r="G376" s="73" t="s">
        <v>1599</v>
      </c>
      <c r="H376" s="73" t="s">
        <v>1041</v>
      </c>
      <c r="I376" s="73" t="s">
        <v>1600</v>
      </c>
      <c r="J376" s="73" t="s">
        <v>18</v>
      </c>
      <c r="K376" s="84" t="s">
        <v>1278</v>
      </c>
      <c r="L376"/>
      <c r="M376" s="84" t="s">
        <v>1601</v>
      </c>
      <c r="N376" s="84"/>
      <c r="O376" s="31">
        <f t="shared" si="34"/>
        <v>28</v>
      </c>
      <c r="P376" s="136" t="s">
        <v>2100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thickBot="1" x14ac:dyDescent="0.3">
      <c r="A377">
        <v>1</v>
      </c>
      <c r="B377">
        <v>7</v>
      </c>
      <c r="C377"/>
      <c r="D377"/>
      <c r="E377" t="s">
        <v>2328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4"/>
        <v>28</v>
      </c>
      <c r="P377" s="136" t="s">
        <v>1911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thickBot="1" x14ac:dyDescent="0.3">
      <c r="A378">
        <v>1</v>
      </c>
      <c r="B378">
        <v>18</v>
      </c>
      <c r="C378"/>
      <c r="D378"/>
      <c r="E378" t="s">
        <v>2361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2266</v>
      </c>
      <c r="O378" s="31">
        <f t="shared" si="34"/>
        <v>24</v>
      </c>
      <c r="P378" s="136" t="s">
        <v>1925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2222</v>
      </c>
      <c r="W378" s="70" t="s">
        <v>2222</v>
      </c>
      <c r="X378" s="70" t="s">
        <v>2222</v>
      </c>
      <c r="Y378" s="70" t="s">
        <v>2222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thickBot="1" x14ac:dyDescent="0.3">
      <c r="A379"/>
      <c r="B379"/>
      <c r="C379"/>
      <c r="D379"/>
      <c r="E379" s="151" t="s">
        <v>2462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4"/>
        <v>28</v>
      </c>
      <c r="P379" s="136" t="s">
        <v>1926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 s="151" t="s">
        <v>2462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4"/>
        <v>28</v>
      </c>
      <c r="P380" s="136" t="s">
        <v>2401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 s="151" t="s">
        <v>2462</v>
      </c>
      <c r="F381" s="73" t="s">
        <v>371</v>
      </c>
      <c r="G381" s="73" t="s">
        <v>2127</v>
      </c>
      <c r="H381" s="73" t="s">
        <v>1041</v>
      </c>
      <c r="I381" s="73" t="s">
        <v>2128</v>
      </c>
      <c r="J381" s="84" t="s">
        <v>71</v>
      </c>
      <c r="K381" s="30" t="s">
        <v>1278</v>
      </c>
      <c r="L381"/>
      <c r="M381" s="84" t="s">
        <v>2129</v>
      </c>
      <c r="N381" s="84" t="s">
        <v>2266</v>
      </c>
      <c r="O381" s="131">
        <f t="shared" si="34"/>
        <v>28</v>
      </c>
      <c r="P381" s="136" t="s">
        <v>2130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thickBot="1" x14ac:dyDescent="0.3">
      <c r="A382"/>
      <c r="B382"/>
      <c r="C382"/>
      <c r="D382"/>
      <c r="E382" s="151" t="s">
        <v>2439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4"/>
        <v>28</v>
      </c>
      <c r="P382" s="136" t="s">
        <v>2402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thickBot="1" x14ac:dyDescent="0.3">
      <c r="A383">
        <v>1</v>
      </c>
      <c r="B383">
        <v>18</v>
      </c>
      <c r="C383"/>
      <c r="D383"/>
      <c r="E383" t="s">
        <v>2361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2266</v>
      </c>
      <c r="O383" s="31">
        <f t="shared" si="34"/>
        <v>28</v>
      </c>
      <c r="P383" s="136" t="s">
        <v>1927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thickBot="1" x14ac:dyDescent="0.3">
      <c r="A384">
        <v>1</v>
      </c>
      <c r="B384">
        <v>18</v>
      </c>
      <c r="C384"/>
      <c r="D384"/>
      <c r="E384" t="s">
        <v>2361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2266</v>
      </c>
      <c r="O384" s="31">
        <f t="shared" si="34"/>
        <v>28</v>
      </c>
      <c r="P384" s="136" t="s">
        <v>1928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thickBot="1" x14ac:dyDescent="0.3">
      <c r="A385">
        <v>1</v>
      </c>
      <c r="B385">
        <v>18</v>
      </c>
      <c r="C385"/>
      <c r="D385"/>
      <c r="E385" t="s">
        <v>2361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2266</v>
      </c>
      <c r="O385" s="31">
        <f t="shared" si="34"/>
        <v>28</v>
      </c>
      <c r="P385" s="136" t="s">
        <v>1929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2361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2266</v>
      </c>
      <c r="O386" s="31">
        <f t="shared" si="34"/>
        <v>28</v>
      </c>
      <c r="P386" s="136" t="s">
        <v>1930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2081</v>
      </c>
      <c r="N387" s="84" t="s">
        <v>2266</v>
      </c>
      <c r="O387" s="131">
        <f t="shared" si="34"/>
        <v>20</v>
      </c>
      <c r="P387" s="136" t="s">
        <v>2267</v>
      </c>
      <c r="Q387" s="131">
        <f t="shared" si="35"/>
        <v>8</v>
      </c>
      <c r="R387" s="132">
        <f t="shared" si="36"/>
        <v>0.7142857142857143</v>
      </c>
      <c r="S387" s="70"/>
      <c r="T387" s="70"/>
      <c r="U387" s="70"/>
      <c r="V387" s="70" t="s">
        <v>2222</v>
      </c>
      <c r="W387" s="70" t="s">
        <v>2222</v>
      </c>
      <c r="X387" s="70" t="s">
        <v>2222</v>
      </c>
      <c r="Y387" s="70"/>
      <c r="Z387" s="70"/>
      <c r="AA387" s="70"/>
      <c r="AB387" s="70"/>
      <c r="AC387" s="70" t="s">
        <v>2222</v>
      </c>
      <c r="AD387" s="70" t="s">
        <v>2222</v>
      </c>
      <c r="AE387" s="70" t="s">
        <v>2222</v>
      </c>
      <c r="AF387" s="70" t="s">
        <v>2222</v>
      </c>
      <c r="AG387" s="70" t="s">
        <v>2222</v>
      </c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thickBot="1" x14ac:dyDescent="0.3">
      <c r="A388">
        <v>1</v>
      </c>
      <c r="B388">
        <v>15</v>
      </c>
      <c r="C388"/>
      <c r="D388"/>
      <c r="E388" t="s">
        <v>2364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4"/>
        <v>18</v>
      </c>
      <c r="P388" s="136" t="s">
        <v>1932</v>
      </c>
      <c r="Q388" s="85">
        <f t="shared" si="35"/>
        <v>10</v>
      </c>
      <c r="R388" s="86">
        <f t="shared" si="36"/>
        <v>0.6428571428571429</v>
      </c>
      <c r="S388" s="87"/>
      <c r="T388" s="87"/>
      <c r="U388" s="87"/>
      <c r="V388" s="87"/>
      <c r="W388" s="87"/>
      <c r="X388" s="70" t="s">
        <v>2222</v>
      </c>
      <c r="Y388" s="70" t="s">
        <v>2222</v>
      </c>
      <c r="Z388" s="70" t="s">
        <v>2222</v>
      </c>
      <c r="AA388" s="87"/>
      <c r="AB388" s="87"/>
      <c r="AC388" s="70" t="s">
        <v>2222</v>
      </c>
      <c r="AD388" s="70" t="s">
        <v>2222</v>
      </c>
      <c r="AE388" s="70" t="s">
        <v>2222</v>
      </c>
      <c r="AF388" s="70" t="s">
        <v>2222</v>
      </c>
      <c r="AG388" s="70" t="s">
        <v>2222</v>
      </c>
      <c r="AH388" s="87"/>
      <c r="AI388" s="87"/>
      <c r="AJ388" s="70" t="s">
        <v>2222</v>
      </c>
      <c r="AK388" s="70" t="s">
        <v>2222</v>
      </c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thickBot="1" x14ac:dyDescent="0.3">
      <c r="A389">
        <v>1</v>
      </c>
      <c r="B389">
        <v>18</v>
      </c>
      <c r="C389"/>
      <c r="D389"/>
      <c r="E389" t="s">
        <v>2361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2266</v>
      </c>
      <c r="O389" s="31">
        <f t="shared" si="34"/>
        <v>28</v>
      </c>
      <c r="P389" s="136" t="s">
        <v>1933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2361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2266</v>
      </c>
      <c r="O390" s="31">
        <f t="shared" si="34"/>
        <v>28</v>
      </c>
      <c r="P390" s="136" t="s">
        <v>1934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thickBot="1" x14ac:dyDescent="0.3">
      <c r="A391">
        <v>1</v>
      </c>
      <c r="B391">
        <v>18</v>
      </c>
      <c r="C391"/>
      <c r="D391"/>
      <c r="E391" t="s">
        <v>2361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2266</v>
      </c>
      <c r="O391" s="31">
        <f t="shared" si="34"/>
        <v>28</v>
      </c>
      <c r="P391" s="136" t="s">
        <v>1935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thickBot="1" x14ac:dyDescent="0.3">
      <c r="A392" s="69">
        <v>1</v>
      </c>
      <c r="B392" s="69">
        <v>18</v>
      </c>
      <c r="C392" s="69"/>
      <c r="D392" s="69"/>
      <c r="E392" s="69" t="s">
        <v>2361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2266</v>
      </c>
      <c r="O392" s="139">
        <f t="shared" si="34"/>
        <v>11</v>
      </c>
      <c r="P392" s="140" t="s">
        <v>1942</v>
      </c>
      <c r="Q392" s="139">
        <f t="shared" si="35"/>
        <v>17</v>
      </c>
      <c r="R392" s="141">
        <f t="shared" si="36"/>
        <v>0.39285714285714285</v>
      </c>
      <c r="S392" s="142"/>
      <c r="T392" s="142"/>
      <c r="U392" s="142"/>
      <c r="V392" s="70" t="s">
        <v>2222</v>
      </c>
      <c r="W392" s="70" t="s">
        <v>2222</v>
      </c>
      <c r="X392" s="70" t="s">
        <v>2222</v>
      </c>
      <c r="Y392" s="70" t="s">
        <v>2222</v>
      </c>
      <c r="Z392" s="70" t="s">
        <v>2222</v>
      </c>
      <c r="AA392" s="142"/>
      <c r="AB392" s="142"/>
      <c r="AC392" s="70" t="s">
        <v>2222</v>
      </c>
      <c r="AD392" s="70" t="s">
        <v>2222</v>
      </c>
      <c r="AE392" s="70" t="s">
        <v>2222</v>
      </c>
      <c r="AF392" s="70" t="s">
        <v>2222</v>
      </c>
      <c r="AG392" s="70" t="s">
        <v>2222</v>
      </c>
      <c r="AH392" s="70"/>
      <c r="AI392" s="70"/>
      <c r="AJ392" s="70" t="s">
        <v>2222</v>
      </c>
      <c r="AK392" s="70" t="s">
        <v>2222</v>
      </c>
      <c r="AL392" s="70" t="s">
        <v>2222</v>
      </c>
      <c r="AM392" s="70" t="s">
        <v>2222</v>
      </c>
      <c r="AN392" s="70" t="s">
        <v>2222</v>
      </c>
      <c r="AO392" s="70"/>
      <c r="AP392" s="70"/>
      <c r="AQ392" s="142"/>
      <c r="AR392" s="70" t="s">
        <v>2222</v>
      </c>
      <c r="AS392" s="70" t="s">
        <v>2222</v>
      </c>
      <c r="AT392" s="70"/>
      <c r="AU392" s="70"/>
      <c r="AV392" s="70"/>
    </row>
    <row r="393" spans="1:49" ht="15.75" thickBot="1" x14ac:dyDescent="0.3">
      <c r="A393" s="69">
        <v>1</v>
      </c>
      <c r="B393" s="69">
        <v>18</v>
      </c>
      <c r="C393" s="69"/>
      <c r="D393" s="69"/>
      <c r="E393" s="69" t="s">
        <v>2361</v>
      </c>
      <c r="F393" s="69" t="s">
        <v>389</v>
      </c>
      <c r="G393" s="69" t="s">
        <v>885</v>
      </c>
      <c r="H393" s="69" t="s">
        <v>1041</v>
      </c>
      <c r="I393" s="69" t="s">
        <v>886</v>
      </c>
      <c r="J393" s="137" t="s">
        <v>18</v>
      </c>
      <c r="K393" s="137" t="s">
        <v>27</v>
      </c>
      <c r="L393" s="137"/>
      <c r="M393" s="137" t="s">
        <v>892</v>
      </c>
      <c r="N393" s="137" t="s">
        <v>2266</v>
      </c>
      <c r="O393" s="139">
        <f t="shared" ref="O393:O456" si="37">COUNTIF(S393:AT393,"")</f>
        <v>11</v>
      </c>
      <c r="P393" s="140" t="s">
        <v>1943</v>
      </c>
      <c r="Q393" s="139">
        <f t="shared" ref="Q393:Q456" si="38">COUNTIF(S393:AT393,"APAGADO")</f>
        <v>17</v>
      </c>
      <c r="R393" s="141">
        <f t="shared" ref="R393:R456" si="39">(O393)/(Q393+O393)</f>
        <v>0.39285714285714285</v>
      </c>
      <c r="S393" s="142"/>
      <c r="T393" s="142"/>
      <c r="U393" s="142"/>
      <c r="V393" s="70" t="s">
        <v>2222</v>
      </c>
      <c r="W393" s="70" t="s">
        <v>2222</v>
      </c>
      <c r="X393" s="70" t="s">
        <v>2222</v>
      </c>
      <c r="Y393" s="70" t="s">
        <v>2222</v>
      </c>
      <c r="Z393" s="70" t="s">
        <v>2222</v>
      </c>
      <c r="AA393" s="142"/>
      <c r="AB393" s="142"/>
      <c r="AC393" s="70" t="s">
        <v>2222</v>
      </c>
      <c r="AD393" s="70" t="s">
        <v>2222</v>
      </c>
      <c r="AE393" s="70" t="s">
        <v>2222</v>
      </c>
      <c r="AF393" s="70" t="s">
        <v>2222</v>
      </c>
      <c r="AG393" s="70" t="s">
        <v>2222</v>
      </c>
      <c r="AH393" s="70"/>
      <c r="AI393" s="70"/>
      <c r="AJ393" s="70" t="s">
        <v>2222</v>
      </c>
      <c r="AK393" s="70" t="s">
        <v>2222</v>
      </c>
      <c r="AL393" s="70" t="s">
        <v>2222</v>
      </c>
      <c r="AM393" s="70" t="s">
        <v>2222</v>
      </c>
      <c r="AN393" s="70" t="s">
        <v>2222</v>
      </c>
      <c r="AO393" s="70"/>
      <c r="AP393" s="70"/>
      <c r="AQ393" s="142"/>
      <c r="AR393" s="70" t="s">
        <v>2222</v>
      </c>
      <c r="AS393" s="70" t="s">
        <v>2222</v>
      </c>
      <c r="AT393" s="70"/>
      <c r="AU393" s="70"/>
      <c r="AV393" s="70"/>
    </row>
    <row r="394" spans="1:49" s="69" customFormat="1" ht="15.75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2266</v>
      </c>
      <c r="O394" s="31">
        <f t="shared" si="37"/>
        <v>27</v>
      </c>
      <c r="P394" s="136" t="s">
        <v>1944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2222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2287</v>
      </c>
      <c r="N395" s="84"/>
      <c r="O395" s="131">
        <f t="shared" si="37"/>
        <v>28</v>
      </c>
      <c r="P395" s="136" t="s">
        <v>1945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7"/>
        <v>28</v>
      </c>
      <c r="P396" s="136" t="s">
        <v>1946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7"/>
        <v>28</v>
      </c>
      <c r="P397" s="136" t="s">
        <v>1947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>
        <v>1</v>
      </c>
      <c r="B398">
        <v>18</v>
      </c>
      <c r="C398"/>
      <c r="D398"/>
      <c r="E398" t="s">
        <v>2361</v>
      </c>
      <c r="F398" t="s">
        <v>389</v>
      </c>
      <c r="G398" t="s">
        <v>1597</v>
      </c>
      <c r="H398" t="s">
        <v>1041</v>
      </c>
      <c r="I398" t="s">
        <v>2256</v>
      </c>
      <c r="J398" s="30" t="s">
        <v>18</v>
      </c>
      <c r="K398" s="30" t="s">
        <v>27</v>
      </c>
      <c r="L398" s="30"/>
      <c r="M398" s="84" t="s">
        <v>1598</v>
      </c>
      <c r="N398" s="84"/>
      <c r="O398" s="31">
        <f t="shared" si="37"/>
        <v>22</v>
      </c>
      <c r="P398" s="136" t="s">
        <v>2403</v>
      </c>
      <c r="Q398" s="136" t="s">
        <v>2404</v>
      </c>
      <c r="R398" s="136" t="s">
        <v>2405</v>
      </c>
      <c r="S398" s="136" t="s">
        <v>2406</v>
      </c>
      <c r="T398" s="136" t="s">
        <v>2407</v>
      </c>
      <c r="U398" s="136" t="s">
        <v>2408</v>
      </c>
      <c r="V398" s="136" t="s">
        <v>2409</v>
      </c>
      <c r="W398" s="136" t="s">
        <v>2410</v>
      </c>
      <c r="X398" s="136" t="s">
        <v>2411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thickBot="1" x14ac:dyDescent="0.3">
      <c r="A399"/>
      <c r="B399"/>
      <c r="C399"/>
      <c r="D399"/>
      <c r="E399"/>
      <c r="F399" t="s">
        <v>389</v>
      </c>
      <c r="G399" t="s">
        <v>2216</v>
      </c>
      <c r="H399" t="s">
        <v>1041</v>
      </c>
      <c r="I399" t="s">
        <v>2217</v>
      </c>
      <c r="J399" s="30" t="s">
        <v>18</v>
      </c>
      <c r="K399" s="84" t="s">
        <v>1278</v>
      </c>
      <c r="L399" s="30"/>
      <c r="M399" s="84" t="s">
        <v>2288</v>
      </c>
      <c r="N399" s="84"/>
      <c r="O399" s="31">
        <f t="shared" si="37"/>
        <v>28</v>
      </c>
      <c r="P399" s="136" t="s">
        <v>2412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7"/>
        <v>11</v>
      </c>
      <c r="P400" s="136"/>
      <c r="Q400" s="31">
        <f t="shared" si="38"/>
        <v>17</v>
      </c>
      <c r="R400" s="32">
        <f t="shared" si="39"/>
        <v>0.39285714285714285</v>
      </c>
      <c r="S400" s="70"/>
      <c r="T400" s="70"/>
      <c r="U400" s="70"/>
      <c r="V400" s="70" t="s">
        <v>2222</v>
      </c>
      <c r="W400" s="70" t="s">
        <v>2222</v>
      </c>
      <c r="X400" s="70" t="s">
        <v>2222</v>
      </c>
      <c r="Y400" s="70" t="s">
        <v>2222</v>
      </c>
      <c r="Z400" s="70" t="s">
        <v>2222</v>
      </c>
      <c r="AA400" s="70"/>
      <c r="AB400" s="70"/>
      <c r="AC400" s="70" t="s">
        <v>2222</v>
      </c>
      <c r="AD400" s="70" t="s">
        <v>2222</v>
      </c>
      <c r="AE400" s="70" t="s">
        <v>2222</v>
      </c>
      <c r="AF400" s="70" t="s">
        <v>2222</v>
      </c>
      <c r="AG400" s="70" t="s">
        <v>2222</v>
      </c>
      <c r="AH400" s="70"/>
      <c r="AI400" s="70"/>
      <c r="AJ400" s="70" t="s">
        <v>2222</v>
      </c>
      <c r="AK400" s="70" t="s">
        <v>2222</v>
      </c>
      <c r="AL400" s="70" t="s">
        <v>2222</v>
      </c>
      <c r="AM400" s="70" t="s">
        <v>2222</v>
      </c>
      <c r="AN400" s="70" t="s">
        <v>2222</v>
      </c>
      <c r="AO400" s="70"/>
      <c r="AP400" s="70"/>
      <c r="AQ400" s="90"/>
      <c r="AR400" s="70" t="s">
        <v>2222</v>
      </c>
      <c r="AS400" s="70" t="s">
        <v>2222</v>
      </c>
      <c r="AT400" s="70"/>
      <c r="AU400" s="70"/>
      <c r="AV400" s="70"/>
      <c r="AW400"/>
    </row>
    <row r="401" spans="1:49" s="161" customFormat="1" ht="15.75" thickBot="1" x14ac:dyDescent="0.3">
      <c r="A401" s="69">
        <v>1</v>
      </c>
      <c r="B401" s="69">
        <v>18</v>
      </c>
      <c r="C401" s="69"/>
      <c r="D401" s="69"/>
      <c r="E401" s="69" t="s">
        <v>2361</v>
      </c>
      <c r="F401" s="69" t="s">
        <v>396</v>
      </c>
      <c r="G401" s="161" t="s">
        <v>397</v>
      </c>
      <c r="H401" s="161" t="s">
        <v>1041</v>
      </c>
      <c r="I401" s="161" t="s">
        <v>398</v>
      </c>
      <c r="J401" s="162" t="s">
        <v>71</v>
      </c>
      <c r="K401" s="162" t="s">
        <v>27</v>
      </c>
      <c r="L401" s="137"/>
      <c r="M401" s="162" t="s">
        <v>774</v>
      </c>
      <c r="N401" s="137" t="s">
        <v>2266</v>
      </c>
      <c r="O401" s="139">
        <f t="shared" si="37"/>
        <v>12</v>
      </c>
      <c r="P401" s="163" t="s">
        <v>1936</v>
      </c>
      <c r="Q401" s="139">
        <f t="shared" si="38"/>
        <v>16</v>
      </c>
      <c r="R401" s="141">
        <f t="shared" si="39"/>
        <v>0.42857142857142855</v>
      </c>
      <c r="S401" s="164"/>
      <c r="T401" s="164"/>
      <c r="U401" s="164"/>
      <c r="V401" s="164" t="s">
        <v>2222</v>
      </c>
      <c r="W401" s="164" t="s">
        <v>2222</v>
      </c>
      <c r="X401" s="164" t="s">
        <v>2222</v>
      </c>
      <c r="Y401" s="164" t="s">
        <v>2222</v>
      </c>
      <c r="Z401" s="164" t="s">
        <v>2222</v>
      </c>
      <c r="AA401" s="164"/>
      <c r="AB401" s="164"/>
      <c r="AC401" s="164" t="s">
        <v>2222</v>
      </c>
      <c r="AD401" s="164" t="s">
        <v>2222</v>
      </c>
      <c r="AE401" s="164" t="s">
        <v>2222</v>
      </c>
      <c r="AF401" s="164" t="s">
        <v>2222</v>
      </c>
      <c r="AG401" s="164"/>
      <c r="AH401" s="164"/>
      <c r="AI401" s="164"/>
      <c r="AJ401" s="164" t="s">
        <v>2222</v>
      </c>
      <c r="AK401" s="164" t="s">
        <v>2222</v>
      </c>
      <c r="AL401" s="164" t="s">
        <v>2222</v>
      </c>
      <c r="AM401" s="164" t="s">
        <v>2222</v>
      </c>
      <c r="AN401" s="164" t="s">
        <v>2222</v>
      </c>
      <c r="AO401" s="164"/>
      <c r="AP401" s="164"/>
      <c r="AQ401" s="164"/>
      <c r="AR401" s="164" t="s">
        <v>2222</v>
      </c>
      <c r="AS401" s="164" t="s">
        <v>2222</v>
      </c>
      <c r="AT401" s="164"/>
      <c r="AU401" s="164"/>
      <c r="AV401" s="164"/>
    </row>
    <row r="402" spans="1:49" s="161" customFormat="1" ht="15.75" thickBot="1" x14ac:dyDescent="0.3">
      <c r="A402" s="69">
        <v>1</v>
      </c>
      <c r="B402" s="69">
        <v>18</v>
      </c>
      <c r="C402" s="69"/>
      <c r="D402" s="69"/>
      <c r="E402" s="69" t="s">
        <v>2361</v>
      </c>
      <c r="F402" s="69" t="s">
        <v>396</v>
      </c>
      <c r="G402" s="161" t="s">
        <v>399</v>
      </c>
      <c r="H402" s="161" t="s">
        <v>1041</v>
      </c>
      <c r="I402" s="161" t="s">
        <v>398</v>
      </c>
      <c r="J402" s="162" t="s">
        <v>71</v>
      </c>
      <c r="K402" s="162" t="s">
        <v>27</v>
      </c>
      <c r="L402" s="137"/>
      <c r="M402" s="162" t="s">
        <v>775</v>
      </c>
      <c r="N402" s="137" t="s">
        <v>2266</v>
      </c>
      <c r="O402" s="139">
        <f t="shared" si="37"/>
        <v>12</v>
      </c>
      <c r="P402" s="163" t="s">
        <v>1937</v>
      </c>
      <c r="Q402" s="139">
        <f t="shared" si="38"/>
        <v>16</v>
      </c>
      <c r="R402" s="141">
        <f t="shared" si="39"/>
        <v>0.42857142857142855</v>
      </c>
      <c r="S402" s="164"/>
      <c r="T402" s="164"/>
      <c r="U402" s="164"/>
      <c r="V402" s="164" t="s">
        <v>2222</v>
      </c>
      <c r="W402" s="164" t="s">
        <v>2222</v>
      </c>
      <c r="X402" s="164" t="s">
        <v>2222</v>
      </c>
      <c r="Y402" s="164" t="s">
        <v>2222</v>
      </c>
      <c r="Z402" s="164" t="s">
        <v>2222</v>
      </c>
      <c r="AA402" s="164"/>
      <c r="AB402" s="164"/>
      <c r="AC402" s="164" t="s">
        <v>2222</v>
      </c>
      <c r="AD402" s="164" t="s">
        <v>2222</v>
      </c>
      <c r="AE402" s="164" t="s">
        <v>2222</v>
      </c>
      <c r="AF402" s="164" t="s">
        <v>2222</v>
      </c>
      <c r="AG402" s="164"/>
      <c r="AH402" s="164"/>
      <c r="AI402" s="164"/>
      <c r="AJ402" s="164" t="s">
        <v>2222</v>
      </c>
      <c r="AK402" s="164" t="s">
        <v>2222</v>
      </c>
      <c r="AL402" s="164" t="s">
        <v>2222</v>
      </c>
      <c r="AM402" s="164" t="s">
        <v>2222</v>
      </c>
      <c r="AN402" s="164" t="s">
        <v>2222</v>
      </c>
      <c r="AO402" s="164"/>
      <c r="AP402" s="164"/>
      <c r="AQ402" s="164"/>
      <c r="AR402" s="164" t="s">
        <v>2222</v>
      </c>
      <c r="AS402" s="164" t="s">
        <v>2222</v>
      </c>
      <c r="AT402" s="164"/>
      <c r="AU402" s="164"/>
      <c r="AV402" s="164"/>
    </row>
    <row r="403" spans="1:49" s="73" customFormat="1" ht="15.75" thickBot="1" x14ac:dyDescent="0.3">
      <c r="A403">
        <v>1</v>
      </c>
      <c r="B403">
        <v>18</v>
      </c>
      <c r="C403"/>
      <c r="D403"/>
      <c r="E403" t="s">
        <v>2361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2266</v>
      </c>
      <c r="O403" s="31">
        <f t="shared" si="37"/>
        <v>28</v>
      </c>
      <c r="P403" s="136" t="s">
        <v>1938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thickBot="1" x14ac:dyDescent="0.3">
      <c r="A404">
        <v>1</v>
      </c>
      <c r="B404">
        <v>18</v>
      </c>
      <c r="C404"/>
      <c r="D404"/>
      <c r="E404" t="s">
        <v>2361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2266</v>
      </c>
      <c r="O404" s="31">
        <f t="shared" si="37"/>
        <v>28</v>
      </c>
      <c r="P404" s="136" t="s">
        <v>1939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thickBot="1" x14ac:dyDescent="0.3">
      <c r="A405">
        <v>1</v>
      </c>
      <c r="B405">
        <v>18</v>
      </c>
      <c r="C405"/>
      <c r="D405"/>
      <c r="E405" t="s">
        <v>2361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2266</v>
      </c>
      <c r="O405" s="31">
        <f t="shared" si="37"/>
        <v>28</v>
      </c>
      <c r="P405" s="136" t="s">
        <v>1940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thickBot="1" x14ac:dyDescent="0.3">
      <c r="A406">
        <v>1</v>
      </c>
      <c r="B406">
        <v>18</v>
      </c>
      <c r="C406"/>
      <c r="D406"/>
      <c r="E406" t="s">
        <v>2361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2266</v>
      </c>
      <c r="O406" s="31">
        <f t="shared" si="37"/>
        <v>28</v>
      </c>
      <c r="P406" s="136" t="s">
        <v>1941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7"/>
        <v>11</v>
      </c>
      <c r="P407" s="140"/>
      <c r="Q407" s="139">
        <f t="shared" si="38"/>
        <v>17</v>
      </c>
      <c r="R407" s="141">
        <f t="shared" si="39"/>
        <v>0.39285714285714285</v>
      </c>
      <c r="S407" s="142"/>
      <c r="T407" s="142"/>
      <c r="U407" s="142"/>
      <c r="V407" s="71" t="s">
        <v>2222</v>
      </c>
      <c r="W407" s="71" t="s">
        <v>2222</v>
      </c>
      <c r="X407" s="70" t="s">
        <v>2222</v>
      </c>
      <c r="Y407" s="70" t="s">
        <v>2222</v>
      </c>
      <c r="Z407" s="70" t="s">
        <v>2222</v>
      </c>
      <c r="AA407" s="148"/>
      <c r="AB407" s="148"/>
      <c r="AC407" s="70" t="s">
        <v>2222</v>
      </c>
      <c r="AD407" s="70" t="s">
        <v>2222</v>
      </c>
      <c r="AE407" s="70" t="s">
        <v>2222</v>
      </c>
      <c r="AF407" s="70" t="s">
        <v>2222</v>
      </c>
      <c r="AG407" s="70" t="s">
        <v>2222</v>
      </c>
      <c r="AH407" s="70"/>
      <c r="AI407" s="70"/>
      <c r="AJ407" s="70" t="s">
        <v>2222</v>
      </c>
      <c r="AK407" s="70" t="s">
        <v>2222</v>
      </c>
      <c r="AL407" s="70" t="s">
        <v>2222</v>
      </c>
      <c r="AM407" s="70" t="s">
        <v>2222</v>
      </c>
      <c r="AN407" s="70" t="s">
        <v>2222</v>
      </c>
      <c r="AO407" s="70"/>
      <c r="AP407" s="70"/>
      <c r="AQ407" s="148"/>
      <c r="AR407" s="70" t="s">
        <v>2222</v>
      </c>
      <c r="AS407" s="70" t="s">
        <v>2222</v>
      </c>
      <c r="AT407" s="71"/>
      <c r="AU407" s="71"/>
      <c r="AV407" s="70"/>
    </row>
    <row r="408" spans="1:49" s="69" customFormat="1" ht="15.75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7"/>
        <v>25</v>
      </c>
      <c r="P408" s="136" t="s">
        <v>1948</v>
      </c>
      <c r="Q408" s="131">
        <f t="shared" si="38"/>
        <v>3</v>
      </c>
      <c r="R408" s="132">
        <f t="shared" si="39"/>
        <v>0.8928571428571429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 t="s">
        <v>2222</v>
      </c>
      <c r="AK408" s="70" t="s">
        <v>2222</v>
      </c>
      <c r="AL408" s="70" t="s">
        <v>2222</v>
      </c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7"/>
        <v>28</v>
      </c>
      <c r="P409" s="136" t="s">
        <v>2413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7"/>
        <v>28</v>
      </c>
      <c r="P410" s="136" t="s">
        <v>2414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7"/>
        <v>28</v>
      </c>
      <c r="P411" s="136" t="s">
        <v>1949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7"/>
        <v>28</v>
      </c>
      <c r="P412" s="136" t="s">
        <v>1853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thickBot="1" x14ac:dyDescent="0.3">
      <c r="A413"/>
      <c r="B413"/>
      <c r="C413"/>
      <c r="D413"/>
      <c r="E413" s="151" t="s">
        <v>2446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2368</v>
      </c>
      <c r="L413" s="30"/>
      <c r="M413" s="30" t="s">
        <v>783</v>
      </c>
      <c r="N413" s="30"/>
      <c r="O413" s="31">
        <f t="shared" si="37"/>
        <v>11</v>
      </c>
      <c r="P413" s="136" t="s">
        <v>1950</v>
      </c>
      <c r="Q413" s="31">
        <f t="shared" si="38"/>
        <v>17</v>
      </c>
      <c r="R413" s="32">
        <f t="shared" si="39"/>
        <v>0.39285714285714285</v>
      </c>
      <c r="S413" s="70"/>
      <c r="T413" s="70"/>
      <c r="U413" s="70"/>
      <c r="V413" s="70" t="s">
        <v>2222</v>
      </c>
      <c r="W413" s="70" t="s">
        <v>2222</v>
      </c>
      <c r="X413" s="70" t="s">
        <v>2222</v>
      </c>
      <c r="Y413" s="70" t="s">
        <v>2222</v>
      </c>
      <c r="Z413" s="70" t="s">
        <v>2222</v>
      </c>
      <c r="AA413" s="70"/>
      <c r="AB413" s="70"/>
      <c r="AC413" s="70" t="s">
        <v>2222</v>
      </c>
      <c r="AD413" s="70" t="s">
        <v>2222</v>
      </c>
      <c r="AE413" s="70" t="s">
        <v>2222</v>
      </c>
      <c r="AF413" s="70" t="s">
        <v>2222</v>
      </c>
      <c r="AG413" s="70" t="s">
        <v>2222</v>
      </c>
      <c r="AH413" s="70"/>
      <c r="AI413" s="70"/>
      <c r="AJ413" s="70" t="s">
        <v>2222</v>
      </c>
      <c r="AK413" s="70" t="s">
        <v>2222</v>
      </c>
      <c r="AL413" s="70" t="s">
        <v>2222</v>
      </c>
      <c r="AM413" s="70" t="s">
        <v>2222</v>
      </c>
      <c r="AN413" s="70" t="s">
        <v>2222</v>
      </c>
      <c r="AO413" s="70"/>
      <c r="AP413" s="70"/>
      <c r="AQ413" s="70"/>
      <c r="AR413" s="70" t="s">
        <v>2222</v>
      </c>
      <c r="AS413" s="70" t="s">
        <v>2222</v>
      </c>
      <c r="AT413" s="70"/>
      <c r="AU413" s="70"/>
      <c r="AV413" s="70"/>
    </row>
    <row r="414" spans="1:49" ht="15.75" thickBot="1" x14ac:dyDescent="0.3">
      <c r="A414"/>
      <c r="B414"/>
      <c r="C414"/>
      <c r="D414"/>
      <c r="E414" s="151" t="s">
        <v>2446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2368</v>
      </c>
      <c r="L414" s="30"/>
      <c r="M414" s="30" t="s">
        <v>784</v>
      </c>
      <c r="N414" s="30"/>
      <c r="O414" s="31">
        <f t="shared" si="37"/>
        <v>11</v>
      </c>
      <c r="P414" s="136" t="s">
        <v>1951</v>
      </c>
      <c r="Q414" s="31">
        <f t="shared" si="38"/>
        <v>17</v>
      </c>
      <c r="R414" s="32">
        <f t="shared" si="39"/>
        <v>0.39285714285714285</v>
      </c>
      <c r="S414" s="70"/>
      <c r="T414" s="70"/>
      <c r="U414" s="70"/>
      <c r="V414" s="70" t="s">
        <v>2222</v>
      </c>
      <c r="W414" s="70" t="s">
        <v>2222</v>
      </c>
      <c r="X414" s="70" t="s">
        <v>2222</v>
      </c>
      <c r="Y414" s="70" t="s">
        <v>2222</v>
      </c>
      <c r="Z414" s="70" t="s">
        <v>2222</v>
      </c>
      <c r="AA414" s="70"/>
      <c r="AB414" s="70"/>
      <c r="AC414" s="70" t="s">
        <v>2222</v>
      </c>
      <c r="AD414" s="70" t="s">
        <v>2222</v>
      </c>
      <c r="AE414" s="70" t="s">
        <v>2222</v>
      </c>
      <c r="AF414" s="70" t="s">
        <v>2222</v>
      </c>
      <c r="AG414" s="70" t="s">
        <v>2222</v>
      </c>
      <c r="AH414" s="70"/>
      <c r="AI414" s="70"/>
      <c r="AJ414" s="70" t="s">
        <v>2222</v>
      </c>
      <c r="AK414" s="70" t="s">
        <v>2222</v>
      </c>
      <c r="AL414" s="70" t="s">
        <v>2222</v>
      </c>
      <c r="AM414" s="70" t="s">
        <v>2222</v>
      </c>
      <c r="AN414" s="70" t="s">
        <v>2222</v>
      </c>
      <c r="AO414" s="70"/>
      <c r="AP414" s="70"/>
      <c r="AQ414" s="70"/>
      <c r="AR414" s="70" t="s">
        <v>2222</v>
      </c>
      <c r="AS414" s="70" t="s">
        <v>2222</v>
      </c>
      <c r="AT414" s="70"/>
      <c r="AU414" s="70"/>
      <c r="AV414" s="70"/>
    </row>
    <row r="415" spans="1:49" ht="15.75" thickBot="1" x14ac:dyDescent="0.3">
      <c r="A415"/>
      <c r="B415"/>
      <c r="C415"/>
      <c r="D415"/>
      <c r="E415" s="151" t="s">
        <v>2446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7"/>
        <v>18</v>
      </c>
      <c r="P415" s="136" t="s">
        <v>1952</v>
      </c>
      <c r="Q415" s="131">
        <f t="shared" si="38"/>
        <v>10</v>
      </c>
      <c r="R415" s="132">
        <f t="shared" si="39"/>
        <v>0.6428571428571429</v>
      </c>
      <c r="S415" s="70"/>
      <c r="T415" s="70"/>
      <c r="U415" s="70"/>
      <c r="V415" s="70" t="s">
        <v>2222</v>
      </c>
      <c r="W415" s="70" t="s">
        <v>2222</v>
      </c>
      <c r="X415" s="70" t="s">
        <v>2222</v>
      </c>
      <c r="Y415" s="70" t="s">
        <v>2222</v>
      </c>
      <c r="Z415" s="70" t="s">
        <v>2222</v>
      </c>
      <c r="AA415" s="70"/>
      <c r="AB415" s="70"/>
      <c r="AC415" s="70" t="s">
        <v>2222</v>
      </c>
      <c r="AD415" s="70" t="s">
        <v>2222</v>
      </c>
      <c r="AE415" s="70" t="s">
        <v>2222</v>
      </c>
      <c r="AF415" s="70" t="s">
        <v>2222</v>
      </c>
      <c r="AG415" s="70" t="s">
        <v>2222</v>
      </c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thickBot="1" x14ac:dyDescent="0.3">
      <c r="A416"/>
      <c r="B416"/>
      <c r="C416"/>
      <c r="D416"/>
      <c r="E416" s="151" t="s">
        <v>2446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7"/>
        <v>18</v>
      </c>
      <c r="P416" s="136" t="s">
        <v>1953</v>
      </c>
      <c r="Q416" s="131">
        <f t="shared" si="38"/>
        <v>10</v>
      </c>
      <c r="R416" s="132">
        <f t="shared" si="39"/>
        <v>0.6428571428571429</v>
      </c>
      <c r="S416" s="70"/>
      <c r="T416" s="70"/>
      <c r="U416" s="70"/>
      <c r="V416" s="70" t="s">
        <v>2222</v>
      </c>
      <c r="W416" s="70" t="s">
        <v>2222</v>
      </c>
      <c r="X416" s="70" t="s">
        <v>2222</v>
      </c>
      <c r="Y416" s="70" t="s">
        <v>2222</v>
      </c>
      <c r="Z416" s="70" t="s">
        <v>2222</v>
      </c>
      <c r="AA416" s="70"/>
      <c r="AB416" s="70"/>
      <c r="AC416" s="70" t="s">
        <v>2222</v>
      </c>
      <c r="AD416" s="70" t="s">
        <v>2222</v>
      </c>
      <c r="AE416" s="70" t="s">
        <v>2222</v>
      </c>
      <c r="AF416" s="70" t="s">
        <v>2222</v>
      </c>
      <c r="AG416" s="70" t="s">
        <v>2222</v>
      </c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customHeight="1" thickBot="1" x14ac:dyDescent="0.3">
      <c r="A417"/>
      <c r="B417"/>
      <c r="C417"/>
      <c r="D417"/>
      <c r="E417"/>
      <c r="F417" s="73" t="s">
        <v>183</v>
      </c>
      <c r="G417" s="73" t="s">
        <v>1514</v>
      </c>
      <c r="H417" s="73" t="s">
        <v>1042</v>
      </c>
      <c r="I417" s="73" t="s">
        <v>1515</v>
      </c>
      <c r="J417" s="84" t="s">
        <v>71</v>
      </c>
      <c r="K417" s="84" t="s">
        <v>1278</v>
      </c>
      <c r="L417" s="84"/>
      <c r="M417" s="84" t="s">
        <v>2301</v>
      </c>
      <c r="N417" s="84"/>
      <c r="O417" s="131">
        <f t="shared" si="37"/>
        <v>28</v>
      </c>
      <c r="P417" s="136" t="s">
        <v>2303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thickBot="1" x14ac:dyDescent="0.3">
      <c r="A418"/>
      <c r="B418"/>
      <c r="C418"/>
      <c r="D418"/>
      <c r="E418"/>
      <c r="F418" s="73" t="s">
        <v>183</v>
      </c>
      <c r="G418" s="73" t="s">
        <v>1516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2302</v>
      </c>
      <c r="N418" s="84"/>
      <c r="O418" s="131">
        <f t="shared" si="37"/>
        <v>28</v>
      </c>
      <c r="P418" s="136" t="s">
        <v>2304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183</v>
      </c>
      <c r="G419" s="73" t="s">
        <v>1593</v>
      </c>
      <c r="H419" s="73" t="s">
        <v>1042</v>
      </c>
      <c r="I419" s="73" t="s">
        <v>1594</v>
      </c>
      <c r="J419" s="84" t="s">
        <v>71</v>
      </c>
      <c r="K419" s="84" t="s">
        <v>1278</v>
      </c>
      <c r="L419" s="84"/>
      <c r="M419" s="84" t="s">
        <v>1595</v>
      </c>
      <c r="N419" s="84"/>
      <c r="O419" s="131">
        <f t="shared" si="37"/>
        <v>28</v>
      </c>
      <c r="P419" s="136" t="s">
        <v>2104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2101</v>
      </c>
      <c r="H420" s="73" t="s">
        <v>1042</v>
      </c>
      <c r="I420" s="73" t="s">
        <v>2102</v>
      </c>
      <c r="J420" s="89" t="s">
        <v>18</v>
      </c>
      <c r="K420" s="84" t="s">
        <v>1278</v>
      </c>
      <c r="L420" s="84"/>
      <c r="M420" s="84" t="s">
        <v>2289</v>
      </c>
      <c r="N420" s="84"/>
      <c r="O420" s="131">
        <f t="shared" si="37"/>
        <v>24</v>
      </c>
      <c r="P420" s="136" t="s">
        <v>2103</v>
      </c>
      <c r="Q420" s="131">
        <f t="shared" si="38"/>
        <v>4</v>
      </c>
      <c r="R420" s="132">
        <f t="shared" si="39"/>
        <v>0.8571428571428571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2222</v>
      </c>
      <c r="AE420" s="70" t="s">
        <v>2222</v>
      </c>
      <c r="AF420" s="70"/>
      <c r="AG420" s="70"/>
      <c r="AH420" s="70"/>
      <c r="AI420" s="70"/>
      <c r="AJ420" s="70"/>
      <c r="AK420" s="70"/>
      <c r="AL420" s="70"/>
      <c r="AM420" s="70"/>
      <c r="AN420" s="70" t="s">
        <v>2222</v>
      </c>
      <c r="AO420" s="70"/>
      <c r="AP420" s="70"/>
      <c r="AQ420" s="70"/>
      <c r="AR420" s="70" t="s">
        <v>2222</v>
      </c>
      <c r="AS420" s="70"/>
      <c r="AT420" s="70"/>
      <c r="AU420" s="70"/>
      <c r="AV420" s="70"/>
      <c r="AW420"/>
    </row>
    <row r="421" spans="1:49" s="73" customFormat="1" ht="15.75" thickBot="1" x14ac:dyDescent="0.3">
      <c r="A421" s="88"/>
      <c r="B421" s="88"/>
      <c r="C421" s="88"/>
      <c r="D421" s="88"/>
      <c r="E421" s="88"/>
      <c r="F421" s="73" t="s">
        <v>2209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2150</v>
      </c>
      <c r="N421" s="84"/>
      <c r="O421" s="31">
        <f t="shared" si="37"/>
        <v>28</v>
      </c>
      <c r="P421" s="136" t="s">
        <v>2151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thickBot="1" x14ac:dyDescent="0.3">
      <c r="A422"/>
      <c r="B422"/>
      <c r="C422"/>
      <c r="D422"/>
      <c r="E422"/>
      <c r="F422" s="73" t="s">
        <v>2209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7"/>
        <v>27</v>
      </c>
      <c r="P422" s="136" t="s">
        <v>1954</v>
      </c>
      <c r="Q422" s="131">
        <f t="shared" si="38"/>
        <v>1</v>
      </c>
      <c r="R422" s="132">
        <f t="shared" si="39"/>
        <v>0.9642857142857143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 t="s">
        <v>2222</v>
      </c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/>
      <c r="B423"/>
      <c r="C423"/>
      <c r="D423"/>
      <c r="E423"/>
      <c r="F423" s="73" t="s">
        <v>2209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7"/>
        <v>28</v>
      </c>
      <c r="P423" s="136" t="s">
        <v>1955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2209</v>
      </c>
      <c r="G424" s="73" t="s">
        <v>2205</v>
      </c>
      <c r="H424" s="73" t="s">
        <v>1042</v>
      </c>
      <c r="I424" s="73" t="s">
        <v>2206</v>
      </c>
      <c r="J424" s="89" t="s">
        <v>18</v>
      </c>
      <c r="K424" s="84" t="s">
        <v>1278</v>
      </c>
      <c r="L424" s="84"/>
      <c r="M424" s="84" t="s">
        <v>2207</v>
      </c>
      <c r="N424" s="84"/>
      <c r="O424" s="131">
        <f t="shared" si="37"/>
        <v>28</v>
      </c>
      <c r="P424" s="136" t="s">
        <v>2208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7"/>
        <v>11</v>
      </c>
      <c r="P425" s="136"/>
      <c r="Q425" s="31">
        <f t="shared" si="38"/>
        <v>17</v>
      </c>
      <c r="R425" s="32">
        <f t="shared" si="39"/>
        <v>0.39285714285714285</v>
      </c>
      <c r="S425" s="70"/>
      <c r="T425" s="70"/>
      <c r="U425" s="71"/>
      <c r="V425" s="71" t="s">
        <v>2222</v>
      </c>
      <c r="W425" s="71" t="s">
        <v>2222</v>
      </c>
      <c r="X425" s="70" t="s">
        <v>2222</v>
      </c>
      <c r="Y425" s="70" t="s">
        <v>2222</v>
      </c>
      <c r="Z425" s="70" t="s">
        <v>2222</v>
      </c>
      <c r="AA425" s="71"/>
      <c r="AB425" s="71"/>
      <c r="AC425" s="70" t="s">
        <v>2222</v>
      </c>
      <c r="AD425" s="70" t="s">
        <v>2222</v>
      </c>
      <c r="AE425" s="70" t="s">
        <v>2222</v>
      </c>
      <c r="AF425" s="70" t="s">
        <v>2222</v>
      </c>
      <c r="AG425" s="70" t="s">
        <v>2222</v>
      </c>
      <c r="AH425" s="71"/>
      <c r="AI425" s="71"/>
      <c r="AJ425" s="70" t="s">
        <v>2222</v>
      </c>
      <c r="AK425" s="70" t="s">
        <v>2222</v>
      </c>
      <c r="AL425" s="70" t="s">
        <v>2222</v>
      </c>
      <c r="AM425" s="70" t="s">
        <v>2222</v>
      </c>
      <c r="AN425" s="70" t="s">
        <v>2222</v>
      </c>
      <c r="AO425" s="71"/>
      <c r="AP425" s="71"/>
      <c r="AQ425" s="149"/>
      <c r="AR425" s="70" t="s">
        <v>2222</v>
      </c>
      <c r="AS425" s="70" t="s">
        <v>2222</v>
      </c>
      <c r="AT425" s="71"/>
      <c r="AU425" s="71"/>
      <c r="AV425" s="71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7"/>
        <v>27</v>
      </c>
      <c r="P426" s="136" t="s">
        <v>1958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2222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 t="s">
        <v>2348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7"/>
        <v>28</v>
      </c>
      <c r="P427" s="136" t="s">
        <v>2415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7"/>
        <v>15</v>
      </c>
      <c r="P428" s="136" t="s">
        <v>1960</v>
      </c>
      <c r="Q428" s="131">
        <f t="shared" si="38"/>
        <v>13</v>
      </c>
      <c r="R428" s="132">
        <f t="shared" si="39"/>
        <v>0.5357142857142857</v>
      </c>
      <c r="S428" s="70"/>
      <c r="T428" s="70"/>
      <c r="U428" s="70"/>
      <c r="V428" s="70" t="s">
        <v>2222</v>
      </c>
      <c r="W428" s="70"/>
      <c r="X428" s="70"/>
      <c r="Y428" s="70"/>
      <c r="Z428" s="70" t="s">
        <v>2222</v>
      </c>
      <c r="AA428" s="70"/>
      <c r="AB428" s="70"/>
      <c r="AC428" s="70" t="s">
        <v>2222</v>
      </c>
      <c r="AD428" s="70" t="s">
        <v>2222</v>
      </c>
      <c r="AE428" s="70" t="s">
        <v>2222</v>
      </c>
      <c r="AF428" s="70" t="s">
        <v>2222</v>
      </c>
      <c r="AG428" s="70" t="s">
        <v>2222</v>
      </c>
      <c r="AH428" s="70"/>
      <c r="AI428" s="70"/>
      <c r="AJ428" s="70" t="s">
        <v>2222</v>
      </c>
      <c r="AK428" s="70" t="s">
        <v>2222</v>
      </c>
      <c r="AL428" s="70" t="s">
        <v>2222</v>
      </c>
      <c r="AM428" s="70" t="s">
        <v>2222</v>
      </c>
      <c r="AN428" s="70" t="s">
        <v>2222</v>
      </c>
      <c r="AO428" s="70"/>
      <c r="AP428" s="70"/>
      <c r="AQ428" s="70"/>
      <c r="AR428" s="70" t="s">
        <v>2222</v>
      </c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 s="151" t="s">
        <v>2461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2368</v>
      </c>
      <c r="L429" s="30"/>
      <c r="M429" s="30" t="s">
        <v>1117</v>
      </c>
      <c r="N429" s="30"/>
      <c r="O429" s="31">
        <f t="shared" si="37"/>
        <v>28</v>
      </c>
      <c r="P429" s="136" t="s">
        <v>1961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thickBot="1" x14ac:dyDescent="0.3">
      <c r="A430"/>
      <c r="B430"/>
      <c r="C430"/>
      <c r="D430"/>
      <c r="E430" s="151" t="s">
        <v>2461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2368</v>
      </c>
      <c r="L430" s="30"/>
      <c r="M430" s="30" t="s">
        <v>1118</v>
      </c>
      <c r="N430" s="30"/>
      <c r="O430" s="31">
        <f t="shared" si="37"/>
        <v>28</v>
      </c>
      <c r="P430" s="136" t="s">
        <v>1962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7"/>
        <v>28</v>
      </c>
      <c r="P431" s="136" t="s">
        <v>1956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7"/>
        <v>11</v>
      </c>
      <c r="P432" s="136" t="s">
        <v>1957</v>
      </c>
      <c r="Q432" s="131">
        <f t="shared" si="38"/>
        <v>17</v>
      </c>
      <c r="R432" s="132">
        <f t="shared" si="39"/>
        <v>0.39285714285714285</v>
      </c>
      <c r="S432" s="70"/>
      <c r="T432" s="70"/>
      <c r="U432" s="70"/>
      <c r="V432" s="70" t="s">
        <v>2222</v>
      </c>
      <c r="W432" s="70" t="s">
        <v>2222</v>
      </c>
      <c r="X432" s="70" t="s">
        <v>2222</v>
      </c>
      <c r="Y432" s="70" t="s">
        <v>2222</v>
      </c>
      <c r="Z432" s="70" t="s">
        <v>2222</v>
      </c>
      <c r="AA432" s="70"/>
      <c r="AB432" s="70"/>
      <c r="AC432" s="70" t="s">
        <v>2222</v>
      </c>
      <c r="AD432" s="70" t="s">
        <v>2222</v>
      </c>
      <c r="AE432" s="70" t="s">
        <v>2222</v>
      </c>
      <c r="AF432" s="70" t="s">
        <v>2222</v>
      </c>
      <c r="AG432" s="70" t="s">
        <v>2222</v>
      </c>
      <c r="AH432" s="70"/>
      <c r="AI432" s="70"/>
      <c r="AJ432" s="70" t="s">
        <v>2222</v>
      </c>
      <c r="AK432" s="70" t="s">
        <v>2222</v>
      </c>
      <c r="AL432" s="70" t="s">
        <v>2222</v>
      </c>
      <c r="AM432" s="70" t="s">
        <v>2222</v>
      </c>
      <c r="AN432" s="70" t="s">
        <v>2222</v>
      </c>
      <c r="AO432" s="70"/>
      <c r="AP432" s="70"/>
      <c r="AQ432" s="70"/>
      <c r="AR432" s="70" t="s">
        <v>2222</v>
      </c>
      <c r="AS432" s="70" t="s">
        <v>2222</v>
      </c>
      <c r="AT432" s="70"/>
      <c r="AU432" s="70"/>
      <c r="AV432" s="70"/>
      <c r="AW432"/>
    </row>
    <row r="433" spans="1:49" ht="15.75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7"/>
        <v>28</v>
      </c>
      <c r="P433" s="136" t="s">
        <v>1959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7"/>
        <v>26</v>
      </c>
      <c r="P434" s="136" t="s">
        <v>1931</v>
      </c>
      <c r="Q434" s="31">
        <f t="shared" si="38"/>
        <v>2</v>
      </c>
      <c r="R434" s="32">
        <f t="shared" si="39"/>
        <v>0.9285714285714286</v>
      </c>
      <c r="S434" s="70"/>
      <c r="T434" s="70"/>
      <c r="U434" s="70"/>
      <c r="V434" s="70"/>
      <c r="W434" s="70"/>
      <c r="X434" s="70"/>
      <c r="Y434" s="70"/>
      <c r="Z434" s="70" t="s">
        <v>2222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 t="s">
        <v>2222</v>
      </c>
      <c r="AT434" s="70"/>
      <c r="AU434" s="70"/>
      <c r="AV434" s="70"/>
    </row>
    <row r="435" spans="1:49" s="73" customFormat="1" ht="16.899999999999999" customHeight="1" thickBot="1" x14ac:dyDescent="0.3">
      <c r="A435"/>
      <c r="B435"/>
      <c r="C435"/>
      <c r="D435"/>
      <c r="E435"/>
      <c r="F435" t="s">
        <v>1103</v>
      </c>
      <c r="G435" s="73" t="s">
        <v>1528</v>
      </c>
      <c r="H435" s="73" t="s">
        <v>1042</v>
      </c>
      <c r="I435" s="73" t="s">
        <v>1529</v>
      </c>
      <c r="J435" s="84" t="s">
        <v>1093</v>
      </c>
      <c r="K435" s="84" t="s">
        <v>1278</v>
      </c>
      <c r="L435" s="84"/>
      <c r="M435" s="84" t="s">
        <v>1531</v>
      </c>
      <c r="N435" s="84"/>
      <c r="O435" s="31">
        <f t="shared" si="37"/>
        <v>28</v>
      </c>
      <c r="P435" s="136" t="s">
        <v>1963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1103</v>
      </c>
      <c r="G436" s="73" t="s">
        <v>1527</v>
      </c>
      <c r="H436" s="73" t="s">
        <v>1042</v>
      </c>
      <c r="I436" s="73" t="s">
        <v>1530</v>
      </c>
      <c r="J436" s="84" t="s">
        <v>1093</v>
      </c>
      <c r="K436" s="84" t="s">
        <v>1278</v>
      </c>
      <c r="L436" s="84"/>
      <c r="M436" s="84" t="s">
        <v>1532</v>
      </c>
      <c r="N436" s="84"/>
      <c r="O436" s="31">
        <f t="shared" si="37"/>
        <v>28</v>
      </c>
      <c r="P436" s="136" t="s">
        <v>1964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1103</v>
      </c>
      <c r="G437" s="73" t="s">
        <v>2191</v>
      </c>
      <c r="H437" s="73" t="s">
        <v>1042</v>
      </c>
      <c r="I437" s="73" t="s">
        <v>2192</v>
      </c>
      <c r="J437" s="84" t="s">
        <v>1093</v>
      </c>
      <c r="K437" s="84" t="s">
        <v>1278</v>
      </c>
      <c r="L437" s="84"/>
      <c r="M437" s="84" t="s">
        <v>2290</v>
      </c>
      <c r="N437" s="84"/>
      <c r="O437" s="31">
        <f t="shared" si="37"/>
        <v>28</v>
      </c>
      <c r="P437" s="136" t="s">
        <v>2422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7"/>
        <v>28</v>
      </c>
      <c r="P438" s="136" t="s">
        <v>1967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7"/>
        <v>28</v>
      </c>
      <c r="P439" s="136" t="s">
        <v>1968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7"/>
        <v>28</v>
      </c>
      <c r="P440" s="136" t="s">
        <v>1965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28</v>
      </c>
      <c r="P441" s="136" t="s">
        <v>1966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7"/>
        <v>11</v>
      </c>
      <c r="P442" s="136" t="s">
        <v>1972</v>
      </c>
      <c r="Q442" s="131">
        <f t="shared" si="38"/>
        <v>17</v>
      </c>
      <c r="R442" s="132">
        <f t="shared" si="39"/>
        <v>0.39285714285714285</v>
      </c>
      <c r="S442" s="70"/>
      <c r="T442" s="70"/>
      <c r="U442" s="70"/>
      <c r="V442" s="70" t="s">
        <v>2222</v>
      </c>
      <c r="W442" s="70" t="s">
        <v>2222</v>
      </c>
      <c r="X442" s="70" t="s">
        <v>2222</v>
      </c>
      <c r="Y442" s="70" t="s">
        <v>2222</v>
      </c>
      <c r="Z442" s="70" t="s">
        <v>2222</v>
      </c>
      <c r="AA442" s="70"/>
      <c r="AB442" s="70"/>
      <c r="AC442" s="70" t="s">
        <v>2222</v>
      </c>
      <c r="AD442" s="70" t="s">
        <v>2222</v>
      </c>
      <c r="AE442" s="70" t="s">
        <v>2222</v>
      </c>
      <c r="AF442" s="70" t="s">
        <v>2222</v>
      </c>
      <c r="AG442" s="70" t="s">
        <v>2222</v>
      </c>
      <c r="AH442" s="70"/>
      <c r="AI442" s="70"/>
      <c r="AJ442" s="70" t="s">
        <v>2222</v>
      </c>
      <c r="AK442" s="70" t="s">
        <v>2222</v>
      </c>
      <c r="AL442" s="70" t="s">
        <v>2222</v>
      </c>
      <c r="AM442" s="70" t="s">
        <v>2222</v>
      </c>
      <c r="AN442" s="70" t="s">
        <v>2222</v>
      </c>
      <c r="AO442" s="70"/>
      <c r="AP442" s="70"/>
      <c r="AQ442" s="70"/>
      <c r="AR442" s="70" t="s">
        <v>2222</v>
      </c>
      <c r="AS442" s="70" t="s">
        <v>2222</v>
      </c>
      <c r="AT442" s="70"/>
      <c r="AU442" s="70"/>
      <c r="AV442" s="70"/>
    </row>
    <row r="443" spans="1:49" ht="15.75" thickBot="1" x14ac:dyDescent="0.3">
      <c r="A443"/>
      <c r="B443"/>
      <c r="C443"/>
      <c r="D443"/>
      <c r="E443" s="151" t="s">
        <v>2460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7"/>
        <v>27</v>
      </c>
      <c r="P443" s="136" t="s">
        <v>1975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 t="s">
        <v>2222</v>
      </c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7"/>
        <v>11</v>
      </c>
      <c r="P444" s="140"/>
      <c r="Q444" s="139">
        <f t="shared" si="38"/>
        <v>17</v>
      </c>
      <c r="R444" s="141">
        <f t="shared" si="39"/>
        <v>0.39285714285714285</v>
      </c>
      <c r="S444" s="142"/>
      <c r="T444" s="142"/>
      <c r="U444" s="142"/>
      <c r="V444" s="70" t="s">
        <v>2222</v>
      </c>
      <c r="W444" s="70" t="s">
        <v>2222</v>
      </c>
      <c r="X444" s="70" t="s">
        <v>2222</v>
      </c>
      <c r="Y444" s="70" t="s">
        <v>2222</v>
      </c>
      <c r="Z444" s="70" t="s">
        <v>2222</v>
      </c>
      <c r="AA444" s="142"/>
      <c r="AB444" s="142"/>
      <c r="AC444" s="70" t="s">
        <v>2222</v>
      </c>
      <c r="AD444" s="70" t="s">
        <v>2222</v>
      </c>
      <c r="AE444" s="70" t="s">
        <v>2222</v>
      </c>
      <c r="AF444" s="70" t="s">
        <v>2222</v>
      </c>
      <c r="AG444" s="70" t="s">
        <v>2222</v>
      </c>
      <c r="AH444" s="70"/>
      <c r="AI444" s="70"/>
      <c r="AJ444" s="70" t="s">
        <v>2222</v>
      </c>
      <c r="AK444" s="70" t="s">
        <v>2222</v>
      </c>
      <c r="AL444" s="70" t="s">
        <v>2222</v>
      </c>
      <c r="AM444" s="70" t="s">
        <v>2222</v>
      </c>
      <c r="AN444" s="70" t="s">
        <v>2222</v>
      </c>
      <c r="AO444" s="70"/>
      <c r="AP444" s="70"/>
      <c r="AQ444" s="142"/>
      <c r="AR444" s="70" t="s">
        <v>2222</v>
      </c>
      <c r="AS444" s="70" t="s">
        <v>2222</v>
      </c>
      <c r="AT444" s="70"/>
      <c r="AU444" s="70"/>
      <c r="AV444" s="70"/>
      <c r="AW444" s="88"/>
    </row>
    <row r="445" spans="1:49" s="73" customFormat="1" ht="15.75" thickBot="1" x14ac:dyDescent="0.3">
      <c r="A445"/>
      <c r="B445"/>
      <c r="C445"/>
      <c r="D445"/>
      <c r="E445" s="151" t="s">
        <v>2446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2368</v>
      </c>
      <c r="L445" s="30"/>
      <c r="M445" s="30" t="s">
        <v>1388</v>
      </c>
      <c r="N445" s="30"/>
      <c r="O445" s="31">
        <f t="shared" si="37"/>
        <v>25</v>
      </c>
      <c r="P445" s="136" t="s">
        <v>1976</v>
      </c>
      <c r="Q445" s="31">
        <f t="shared" si="38"/>
        <v>3</v>
      </c>
      <c r="R445" s="32">
        <f t="shared" si="39"/>
        <v>0.8928571428571429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2222</v>
      </c>
      <c r="AK445" s="70" t="s">
        <v>2222</v>
      </c>
      <c r="AL445" s="70" t="s">
        <v>2222</v>
      </c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thickBot="1" x14ac:dyDescent="0.3">
      <c r="A446"/>
      <c r="B446"/>
      <c r="C446"/>
      <c r="D446"/>
      <c r="E446" s="151" t="s">
        <v>2446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2368</v>
      </c>
      <c r="L446" s="30"/>
      <c r="M446" s="30" t="s">
        <v>1389</v>
      </c>
      <c r="N446" s="30"/>
      <c r="O446" s="31">
        <f t="shared" si="37"/>
        <v>25</v>
      </c>
      <c r="P446" s="136" t="s">
        <v>1977</v>
      </c>
      <c r="Q446" s="31">
        <f t="shared" si="38"/>
        <v>3</v>
      </c>
      <c r="R446" s="32">
        <f t="shared" si="39"/>
        <v>0.8928571428571429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 t="s">
        <v>2222</v>
      </c>
      <c r="AK446" s="70" t="s">
        <v>2222</v>
      </c>
      <c r="AL446" s="70" t="s">
        <v>2222</v>
      </c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thickBot="1" x14ac:dyDescent="0.3">
      <c r="A447"/>
      <c r="B447"/>
      <c r="C447"/>
      <c r="D447"/>
      <c r="E447" s="151" t="s">
        <v>2446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2368</v>
      </c>
      <c r="L447" s="30" t="s">
        <v>2370</v>
      </c>
      <c r="M447" s="30" t="s">
        <v>805</v>
      </c>
      <c r="N447" s="30"/>
      <c r="O447" s="31">
        <f t="shared" si="37"/>
        <v>25</v>
      </c>
      <c r="P447" s="136" t="s">
        <v>1981</v>
      </c>
      <c r="Q447" s="31">
        <f t="shared" si="38"/>
        <v>3</v>
      </c>
      <c r="R447" s="32">
        <f t="shared" si="39"/>
        <v>0.8928571428571429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 t="s">
        <v>2222</v>
      </c>
      <c r="AK447" s="70" t="s">
        <v>2222</v>
      </c>
      <c r="AL447" s="70" t="s">
        <v>2222</v>
      </c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thickBot="1" x14ac:dyDescent="0.3">
      <c r="A448"/>
      <c r="B448"/>
      <c r="C448"/>
      <c r="D448"/>
      <c r="E448" s="151" t="s">
        <v>2446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2368</v>
      </c>
      <c r="L448" s="30" t="s">
        <v>2370</v>
      </c>
      <c r="M448" s="30" t="s">
        <v>806</v>
      </c>
      <c r="N448" s="30"/>
      <c r="O448" s="31">
        <f t="shared" si="37"/>
        <v>25</v>
      </c>
      <c r="P448" s="136" t="s">
        <v>1982</v>
      </c>
      <c r="Q448" s="31">
        <f t="shared" si="38"/>
        <v>3</v>
      </c>
      <c r="R448" s="32">
        <f t="shared" si="39"/>
        <v>0.8928571428571429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 t="s">
        <v>2222</v>
      </c>
      <c r="AK448" s="70" t="s">
        <v>2222</v>
      </c>
      <c r="AL448" s="70" t="s">
        <v>2222</v>
      </c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t="s">
        <v>2448</v>
      </c>
      <c r="F449" t="s">
        <v>442</v>
      </c>
      <c r="G449" t="s">
        <v>451</v>
      </c>
      <c r="H449" t="s">
        <v>1042</v>
      </c>
      <c r="I449" t="s">
        <v>2371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7"/>
        <v>25</v>
      </c>
      <c r="P449" s="136" t="s">
        <v>1969</v>
      </c>
      <c r="Q449" s="31">
        <f t="shared" si="38"/>
        <v>3</v>
      </c>
      <c r="R449" s="32">
        <f t="shared" si="39"/>
        <v>0.8928571428571429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 t="s">
        <v>2222</v>
      </c>
      <c r="AK449" s="70" t="s">
        <v>2222</v>
      </c>
      <c r="AL449" s="70" t="s">
        <v>2222</v>
      </c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1" t="s">
        <v>2446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2366</v>
      </c>
      <c r="L450" s="30"/>
      <c r="M450" s="30" t="s">
        <v>1387</v>
      </c>
      <c r="N450" s="30"/>
      <c r="O450" s="31">
        <f t="shared" si="37"/>
        <v>25</v>
      </c>
      <c r="P450" s="136" t="s">
        <v>1970</v>
      </c>
      <c r="Q450" s="31">
        <f t="shared" si="38"/>
        <v>3</v>
      </c>
      <c r="R450" s="32">
        <f t="shared" si="39"/>
        <v>0.8928571428571429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 t="s">
        <v>2222</v>
      </c>
      <c r="AK450" s="70" t="s">
        <v>2222</v>
      </c>
      <c r="AL450" s="70" t="s">
        <v>2222</v>
      </c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thickBot="1" x14ac:dyDescent="0.3">
      <c r="A451"/>
      <c r="B451"/>
      <c r="C451"/>
      <c r="D451"/>
      <c r="E451" s="151" t="s">
        <v>2464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7"/>
        <v>28</v>
      </c>
      <c r="P451" s="136" t="s">
        <v>1971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thickBot="1" x14ac:dyDescent="0.3">
      <c r="A452"/>
      <c r="B452"/>
      <c r="C452"/>
      <c r="D452"/>
      <c r="E452" t="s">
        <v>2449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7"/>
        <v>28</v>
      </c>
      <c r="P452" s="136" t="s">
        <v>2416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thickBot="1" x14ac:dyDescent="0.3">
      <c r="A453"/>
      <c r="B453"/>
      <c r="C453"/>
      <c r="D453"/>
      <c r="E453" s="151" t="s">
        <v>2454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7"/>
        <v>27</v>
      </c>
      <c r="P453" s="136" t="s">
        <v>1973</v>
      </c>
      <c r="Q453" s="31">
        <f t="shared" si="38"/>
        <v>1</v>
      </c>
      <c r="R453" s="32">
        <f t="shared" si="39"/>
        <v>0.9642857142857143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 t="s">
        <v>2222</v>
      </c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1" t="s">
        <v>2454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7"/>
        <v>28</v>
      </c>
      <c r="P454" s="136" t="s">
        <v>1974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2450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7"/>
        <v>28</v>
      </c>
      <c r="P455" s="136" t="s">
        <v>2417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thickBot="1" x14ac:dyDescent="0.3">
      <c r="A456" s="69"/>
      <c r="B456" s="69"/>
      <c r="C456" s="69"/>
      <c r="D456" s="69"/>
      <c r="E456" s="69" t="s">
        <v>2451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7"/>
        <v>11</v>
      </c>
      <c r="P456" s="140"/>
      <c r="Q456" s="139">
        <f t="shared" si="38"/>
        <v>17</v>
      </c>
      <c r="R456" s="141">
        <f t="shared" si="39"/>
        <v>0.39285714285714285</v>
      </c>
      <c r="S456" s="142"/>
      <c r="T456" s="142"/>
      <c r="U456" s="142"/>
      <c r="V456" s="70" t="s">
        <v>2222</v>
      </c>
      <c r="W456" s="70" t="s">
        <v>2222</v>
      </c>
      <c r="X456" s="70" t="s">
        <v>2222</v>
      </c>
      <c r="Y456" s="70" t="s">
        <v>2222</v>
      </c>
      <c r="Z456" s="70" t="s">
        <v>2222</v>
      </c>
      <c r="AA456" s="142"/>
      <c r="AB456" s="142"/>
      <c r="AC456" s="70" t="s">
        <v>2222</v>
      </c>
      <c r="AD456" s="70" t="s">
        <v>2222</v>
      </c>
      <c r="AE456" s="70" t="s">
        <v>2222</v>
      </c>
      <c r="AF456" s="70" t="s">
        <v>2222</v>
      </c>
      <c r="AG456" s="70" t="s">
        <v>2222</v>
      </c>
      <c r="AH456" s="70"/>
      <c r="AI456" s="70"/>
      <c r="AJ456" s="70" t="s">
        <v>2222</v>
      </c>
      <c r="AK456" s="70" t="s">
        <v>2222</v>
      </c>
      <c r="AL456" s="70" t="s">
        <v>2222</v>
      </c>
      <c r="AM456" s="70" t="s">
        <v>2222</v>
      </c>
      <c r="AN456" s="70" t="s">
        <v>2222</v>
      </c>
      <c r="AO456" s="70"/>
      <c r="AP456" s="70"/>
      <c r="AQ456" s="142"/>
      <c r="AR456" s="70" t="s">
        <v>2222</v>
      </c>
      <c r="AS456" s="70" t="s">
        <v>2222</v>
      </c>
      <c r="AT456" s="70"/>
      <c r="AU456" s="70"/>
      <c r="AV456" s="70"/>
      <c r="AW456"/>
    </row>
    <row r="457" spans="1:49" s="73" customFormat="1" ht="15.75" thickBot="1" x14ac:dyDescent="0.3">
      <c r="A457"/>
      <c r="B457"/>
      <c r="C457"/>
      <c r="D457"/>
      <c r="E457" t="s">
        <v>2452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40">COUNTIF(S457:AT457,"")</f>
        <v>28</v>
      </c>
      <c r="P457" s="136" t="s">
        <v>2418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thickBot="1" x14ac:dyDescent="0.3">
      <c r="A458"/>
      <c r="B458"/>
      <c r="C458"/>
      <c r="D458"/>
      <c r="E458" s="151" t="s">
        <v>2454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40"/>
        <v>28</v>
      </c>
      <c r="P458" s="136" t="s">
        <v>1978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thickBot="1" x14ac:dyDescent="0.3">
      <c r="A459"/>
      <c r="B459"/>
      <c r="C459"/>
      <c r="D459"/>
      <c r="E459" s="151" t="s">
        <v>2454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40"/>
        <v>28</v>
      </c>
      <c r="P459" s="136" t="s">
        <v>1979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thickBot="1" x14ac:dyDescent="0.3">
      <c r="A460"/>
      <c r="B460"/>
      <c r="C460"/>
      <c r="D460"/>
      <c r="E460" s="151" t="s">
        <v>2454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40"/>
        <v>28</v>
      </c>
      <c r="P460" s="136" t="s">
        <v>1980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 s="151" t="s">
        <v>2454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40"/>
        <v>26</v>
      </c>
      <c r="P461" s="136" t="s">
        <v>1983</v>
      </c>
      <c r="Q461" s="31">
        <f t="shared" si="41"/>
        <v>2</v>
      </c>
      <c r="R461" s="32">
        <f t="shared" si="42"/>
        <v>0.9285714285714286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 t="s">
        <v>2222</v>
      </c>
      <c r="AL461" s="70" t="s">
        <v>2222</v>
      </c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1" t="s">
        <v>2454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40"/>
        <v>26</v>
      </c>
      <c r="P462" s="136" t="s">
        <v>1984</v>
      </c>
      <c r="Q462" s="31">
        <f t="shared" si="41"/>
        <v>2</v>
      </c>
      <c r="R462" s="32">
        <f t="shared" si="42"/>
        <v>0.9285714285714286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 t="s">
        <v>2222</v>
      </c>
      <c r="AL462" s="70" t="s">
        <v>2222</v>
      </c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thickBot="1" x14ac:dyDescent="0.3">
      <c r="A463"/>
      <c r="B463"/>
      <c r="C463"/>
      <c r="D463"/>
      <c r="E463" s="151" t="s">
        <v>2454</v>
      </c>
      <c r="F463" s="73" t="s">
        <v>1569</v>
      </c>
      <c r="G463" s="73" t="s">
        <v>1570</v>
      </c>
      <c r="H463" s="73" t="s">
        <v>1042</v>
      </c>
      <c r="I463" s="135" t="s">
        <v>1571</v>
      </c>
      <c r="J463" s="84" t="s">
        <v>14</v>
      </c>
      <c r="K463" s="84" t="s">
        <v>1278</v>
      </c>
      <c r="L463" s="84"/>
      <c r="M463" s="84" t="s">
        <v>1572</v>
      </c>
      <c r="N463" s="84"/>
      <c r="O463" s="31">
        <f t="shared" si="40"/>
        <v>28</v>
      </c>
      <c r="P463" s="136" t="s">
        <v>2419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thickBot="1" x14ac:dyDescent="0.3">
      <c r="A464"/>
      <c r="B464"/>
      <c r="C464"/>
      <c r="D464"/>
      <c r="E464" s="151" t="s">
        <v>2454</v>
      </c>
      <c r="F464" s="73" t="s">
        <v>1569</v>
      </c>
      <c r="G464" s="73" t="s">
        <v>1581</v>
      </c>
      <c r="H464" s="73" t="s">
        <v>1042</v>
      </c>
      <c r="I464" s="135" t="s">
        <v>1582</v>
      </c>
      <c r="J464" s="84" t="s">
        <v>18</v>
      </c>
      <c r="K464" s="84" t="s">
        <v>1278</v>
      </c>
      <c r="L464" s="84"/>
      <c r="M464" s="84" t="s">
        <v>1583</v>
      </c>
      <c r="N464" s="84"/>
      <c r="O464" s="31">
        <f t="shared" si="40"/>
        <v>28</v>
      </c>
      <c r="P464" s="136" t="s">
        <v>2420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 s="151" t="s">
        <v>2454</v>
      </c>
      <c r="F465" s="73" t="s">
        <v>1575</v>
      </c>
      <c r="G465" s="73" t="s">
        <v>1574</v>
      </c>
      <c r="H465" s="73" t="s">
        <v>1042</v>
      </c>
      <c r="I465" s="135" t="s">
        <v>1576</v>
      </c>
      <c r="J465" s="84" t="s">
        <v>71</v>
      </c>
      <c r="K465" s="84" t="s">
        <v>1278</v>
      </c>
      <c r="L465" s="84"/>
      <c r="M465" s="84" t="s">
        <v>1577</v>
      </c>
      <c r="N465" s="84"/>
      <c r="O465" s="31">
        <f t="shared" si="40"/>
        <v>28</v>
      </c>
      <c r="P465" s="136" t="s">
        <v>2423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thickBot="1" x14ac:dyDescent="0.3">
      <c r="A466"/>
      <c r="B466"/>
      <c r="C466"/>
      <c r="D466"/>
      <c r="E466" s="151" t="s">
        <v>2454</v>
      </c>
      <c r="F466" s="73" t="s">
        <v>1569</v>
      </c>
      <c r="G466" s="73" t="s">
        <v>1625</v>
      </c>
      <c r="H466" s="73" t="s">
        <v>1042</v>
      </c>
      <c r="I466" s="135" t="s">
        <v>1623</v>
      </c>
      <c r="J466" s="84" t="s">
        <v>71</v>
      </c>
      <c r="K466" s="84" t="s">
        <v>1278</v>
      </c>
      <c r="L466" s="84"/>
      <c r="M466" s="84" t="s">
        <v>1627</v>
      </c>
      <c r="N466" s="84"/>
      <c r="O466" s="31">
        <f t="shared" si="40"/>
        <v>28</v>
      </c>
      <c r="P466" s="136" t="s">
        <v>2424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1" t="s">
        <v>2454</v>
      </c>
      <c r="F467" s="73" t="s">
        <v>1569</v>
      </c>
      <c r="G467" s="73" t="s">
        <v>1626</v>
      </c>
      <c r="H467" s="73" t="s">
        <v>1042</v>
      </c>
      <c r="I467" s="135" t="s">
        <v>1624</v>
      </c>
      <c r="J467" s="84" t="s">
        <v>71</v>
      </c>
      <c r="K467" s="84" t="s">
        <v>1278</v>
      </c>
      <c r="L467" s="84"/>
      <c r="M467" s="84" t="s">
        <v>1628</v>
      </c>
      <c r="N467" s="84"/>
      <c r="O467" s="31">
        <f t="shared" si="40"/>
        <v>28</v>
      </c>
      <c r="P467" s="136" t="s">
        <v>2425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1" t="s">
        <v>2454</v>
      </c>
      <c r="F468" s="73" t="s">
        <v>1569</v>
      </c>
      <c r="G468" s="73" t="s">
        <v>2125</v>
      </c>
      <c r="H468" s="73" t="s">
        <v>1042</v>
      </c>
      <c r="I468" s="135" t="s">
        <v>2126</v>
      </c>
      <c r="J468" s="84"/>
      <c r="K468" s="84" t="s">
        <v>1278</v>
      </c>
      <c r="L468" s="84"/>
      <c r="M468" s="84" t="s">
        <v>2291</v>
      </c>
      <c r="N468" s="84"/>
      <c r="O468" s="31">
        <f t="shared" si="40"/>
        <v>24</v>
      </c>
      <c r="P468" s="136" t="s">
        <v>2426</v>
      </c>
      <c r="Q468" s="31">
        <f t="shared" si="41"/>
        <v>4</v>
      </c>
      <c r="R468" s="32">
        <f t="shared" si="42"/>
        <v>0.8571428571428571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 t="s">
        <v>2222</v>
      </c>
      <c r="AK468" s="70" t="s">
        <v>2222</v>
      </c>
      <c r="AL468" s="70" t="s">
        <v>2222</v>
      </c>
      <c r="AM468" s="70" t="s">
        <v>2222</v>
      </c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40"/>
        <v>11</v>
      </c>
      <c r="P469" s="136" t="s">
        <v>1985</v>
      </c>
      <c r="Q469" s="131">
        <f t="shared" si="41"/>
        <v>17</v>
      </c>
      <c r="R469" s="132">
        <f t="shared" si="42"/>
        <v>0.39285714285714285</v>
      </c>
      <c r="S469" s="70"/>
      <c r="T469" s="70"/>
      <c r="U469" s="70"/>
      <c r="V469" s="70" t="s">
        <v>2222</v>
      </c>
      <c r="W469" s="70" t="s">
        <v>2222</v>
      </c>
      <c r="X469" s="70" t="s">
        <v>2222</v>
      </c>
      <c r="Y469" s="70" t="s">
        <v>2222</v>
      </c>
      <c r="Z469" s="70" t="s">
        <v>2222</v>
      </c>
      <c r="AA469" s="70"/>
      <c r="AB469" s="70"/>
      <c r="AC469" s="70" t="s">
        <v>2222</v>
      </c>
      <c r="AD469" s="70" t="s">
        <v>2222</v>
      </c>
      <c r="AE469" s="70" t="s">
        <v>2222</v>
      </c>
      <c r="AF469" s="70" t="s">
        <v>2222</v>
      </c>
      <c r="AG469" s="70" t="s">
        <v>2222</v>
      </c>
      <c r="AH469" s="70"/>
      <c r="AI469" s="70"/>
      <c r="AJ469" s="70" t="s">
        <v>2222</v>
      </c>
      <c r="AK469" s="70" t="s">
        <v>2222</v>
      </c>
      <c r="AL469" s="70" t="s">
        <v>2222</v>
      </c>
      <c r="AM469" s="70" t="s">
        <v>2222</v>
      </c>
      <c r="AN469" s="70" t="s">
        <v>2222</v>
      </c>
      <c r="AO469" s="70"/>
      <c r="AP469" s="70"/>
      <c r="AQ469" s="70"/>
      <c r="AR469" s="70" t="s">
        <v>2222</v>
      </c>
      <c r="AS469" s="70" t="s">
        <v>2222</v>
      </c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40"/>
        <v>11</v>
      </c>
      <c r="P470" s="136" t="s">
        <v>1986</v>
      </c>
      <c r="Q470" s="131">
        <f t="shared" si="41"/>
        <v>17</v>
      </c>
      <c r="R470" s="132">
        <f t="shared" si="42"/>
        <v>0.39285714285714285</v>
      </c>
      <c r="S470" s="70"/>
      <c r="T470" s="70"/>
      <c r="U470" s="70"/>
      <c r="V470" s="70" t="s">
        <v>2222</v>
      </c>
      <c r="W470" s="70" t="s">
        <v>2222</v>
      </c>
      <c r="X470" s="70" t="s">
        <v>2222</v>
      </c>
      <c r="Y470" s="70" t="s">
        <v>2222</v>
      </c>
      <c r="Z470" s="70" t="s">
        <v>2222</v>
      </c>
      <c r="AA470" s="70"/>
      <c r="AB470" s="70"/>
      <c r="AC470" s="70" t="s">
        <v>2222</v>
      </c>
      <c r="AD470" s="70" t="s">
        <v>2222</v>
      </c>
      <c r="AE470" s="70" t="s">
        <v>2222</v>
      </c>
      <c r="AF470" s="70" t="s">
        <v>2222</v>
      </c>
      <c r="AG470" s="70" t="s">
        <v>2222</v>
      </c>
      <c r="AH470" s="70"/>
      <c r="AI470" s="70"/>
      <c r="AJ470" s="70" t="s">
        <v>2222</v>
      </c>
      <c r="AK470" s="70" t="s">
        <v>2222</v>
      </c>
      <c r="AL470" s="70" t="s">
        <v>2222</v>
      </c>
      <c r="AM470" s="70" t="s">
        <v>2222</v>
      </c>
      <c r="AN470" s="70" t="s">
        <v>2222</v>
      </c>
      <c r="AO470" s="70"/>
      <c r="AP470" s="70"/>
      <c r="AQ470" s="70"/>
      <c r="AR470" s="70" t="s">
        <v>2222</v>
      </c>
      <c r="AS470" s="70" t="s">
        <v>2222</v>
      </c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40"/>
        <v>11</v>
      </c>
      <c r="P471" s="136"/>
      <c r="Q471" s="131">
        <f t="shared" si="41"/>
        <v>17</v>
      </c>
      <c r="R471" s="132">
        <f t="shared" si="42"/>
        <v>0.39285714285714285</v>
      </c>
      <c r="S471" s="70"/>
      <c r="T471" s="70"/>
      <c r="U471" s="70"/>
      <c r="V471" s="70" t="s">
        <v>2222</v>
      </c>
      <c r="W471" s="70" t="s">
        <v>2222</v>
      </c>
      <c r="X471" s="70" t="s">
        <v>2222</v>
      </c>
      <c r="Y471" s="70" t="s">
        <v>2222</v>
      </c>
      <c r="Z471" s="70" t="s">
        <v>2222</v>
      </c>
      <c r="AA471" s="70"/>
      <c r="AB471" s="70"/>
      <c r="AC471" s="70" t="s">
        <v>2222</v>
      </c>
      <c r="AD471" s="70" t="s">
        <v>2222</v>
      </c>
      <c r="AE471" s="70" t="s">
        <v>2222</v>
      </c>
      <c r="AF471" s="70" t="s">
        <v>2222</v>
      </c>
      <c r="AG471" s="70" t="s">
        <v>2222</v>
      </c>
      <c r="AH471" s="70"/>
      <c r="AI471" s="70"/>
      <c r="AJ471" s="70" t="s">
        <v>2222</v>
      </c>
      <c r="AK471" s="70" t="s">
        <v>2222</v>
      </c>
      <c r="AL471" s="70" t="s">
        <v>2222</v>
      </c>
      <c r="AM471" s="70" t="s">
        <v>2222</v>
      </c>
      <c r="AN471" s="70" t="s">
        <v>2222</v>
      </c>
      <c r="AO471" s="70"/>
      <c r="AP471" s="70"/>
      <c r="AQ471" s="70"/>
      <c r="AR471" s="70" t="s">
        <v>2222</v>
      </c>
      <c r="AS471" s="70" t="s">
        <v>2222</v>
      </c>
      <c r="AT471" s="70"/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/>
      <c r="F472" s="73" t="s">
        <v>420</v>
      </c>
      <c r="G472" s="84" t="s">
        <v>2097</v>
      </c>
      <c r="H472" t="s">
        <v>1041</v>
      </c>
      <c r="I472" s="73" t="s">
        <v>2098</v>
      </c>
      <c r="J472" s="84" t="s">
        <v>14</v>
      </c>
      <c r="K472" s="84" t="s">
        <v>1278</v>
      </c>
      <c r="L472" s="84"/>
      <c r="M472" s="84" t="s">
        <v>2292</v>
      </c>
      <c r="N472" s="84"/>
      <c r="O472" s="131">
        <f t="shared" si="40"/>
        <v>28</v>
      </c>
      <c r="P472" s="136" t="s">
        <v>2099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G473" s="84" t="s">
        <v>2221</v>
      </c>
      <c r="H473" t="s">
        <v>1041</v>
      </c>
      <c r="I473" s="73" t="s">
        <v>2240</v>
      </c>
      <c r="J473" s="84" t="s">
        <v>71</v>
      </c>
      <c r="K473" s="84" t="s">
        <v>1278</v>
      </c>
      <c r="L473" s="84"/>
      <c r="M473" s="84" t="s">
        <v>2300</v>
      </c>
      <c r="N473" s="84"/>
      <c r="O473" s="131">
        <f t="shared" si="40"/>
        <v>11</v>
      </c>
      <c r="P473" s="136"/>
      <c r="Q473" s="131">
        <f t="shared" si="41"/>
        <v>17</v>
      </c>
      <c r="R473" s="132">
        <f t="shared" si="42"/>
        <v>0.39285714285714285</v>
      </c>
      <c r="S473" s="70"/>
      <c r="T473" s="70"/>
      <c r="U473" s="70"/>
      <c r="V473" s="70" t="s">
        <v>2222</v>
      </c>
      <c r="W473" s="70" t="s">
        <v>2222</v>
      </c>
      <c r="X473" s="70" t="s">
        <v>2222</v>
      </c>
      <c r="Y473" s="70" t="s">
        <v>2222</v>
      </c>
      <c r="Z473" s="70" t="s">
        <v>2222</v>
      </c>
      <c r="AA473" s="70"/>
      <c r="AB473" s="70"/>
      <c r="AC473" s="70" t="s">
        <v>2222</v>
      </c>
      <c r="AD473" s="70" t="s">
        <v>2222</v>
      </c>
      <c r="AE473" s="70" t="s">
        <v>2222</v>
      </c>
      <c r="AF473" s="70" t="s">
        <v>2222</v>
      </c>
      <c r="AG473" s="70" t="s">
        <v>2222</v>
      </c>
      <c r="AH473" s="70"/>
      <c r="AI473" s="70"/>
      <c r="AJ473" s="70" t="s">
        <v>2222</v>
      </c>
      <c r="AK473" s="70" t="s">
        <v>2222</v>
      </c>
      <c r="AL473" s="70" t="s">
        <v>2222</v>
      </c>
      <c r="AM473" s="70" t="s">
        <v>2222</v>
      </c>
      <c r="AN473" s="70" t="s">
        <v>2222</v>
      </c>
      <c r="AO473" s="70"/>
      <c r="AP473" s="70"/>
      <c r="AQ473" s="70"/>
      <c r="AR473" s="70" t="s">
        <v>2222</v>
      </c>
      <c r="AS473" s="70" t="s">
        <v>2222</v>
      </c>
      <c r="AT473" s="70"/>
      <c r="AU473" s="70"/>
      <c r="AV473" s="70"/>
    </row>
    <row r="474" spans="1:49" ht="15.75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40"/>
        <v>26</v>
      </c>
      <c r="P474" s="136" t="s">
        <v>1987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2222</v>
      </c>
      <c r="W474" s="70" t="s">
        <v>2222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thickBot="1" x14ac:dyDescent="0.3">
      <c r="A475">
        <v>1</v>
      </c>
      <c r="B475">
        <v>19</v>
      </c>
      <c r="C475"/>
      <c r="D475"/>
      <c r="E475" t="s">
        <v>2328</v>
      </c>
      <c r="F475" t="s">
        <v>466</v>
      </c>
      <c r="G475" t="s">
        <v>467</v>
      </c>
      <c r="H475" t="s">
        <v>1041</v>
      </c>
      <c r="I475" t="s">
        <v>1579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40"/>
        <v>26</v>
      </c>
      <c r="P475" s="136" t="s">
        <v>1988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2222</v>
      </c>
      <c r="W475" s="70" t="s">
        <v>2222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6</v>
      </c>
      <c r="B476">
        <v>13</v>
      </c>
      <c r="C476"/>
      <c r="D476"/>
      <c r="E476" t="s">
        <v>2337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40"/>
        <v>28</v>
      </c>
      <c r="P476" s="136" t="s">
        <v>1989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thickBot="1" x14ac:dyDescent="0.3">
      <c r="A477">
        <v>6</v>
      </c>
      <c r="B477">
        <v>13</v>
      </c>
      <c r="C477"/>
      <c r="D477"/>
      <c r="E477" t="s">
        <v>2337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40"/>
        <v>28</v>
      </c>
      <c r="P477" s="136" t="s">
        <v>1990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14</v>
      </c>
      <c r="C478"/>
      <c r="D478"/>
      <c r="E478" t="s">
        <v>2338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40"/>
        <v>28</v>
      </c>
      <c r="P478" s="136" t="s">
        <v>1991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/>
      <c r="B479"/>
      <c r="C479"/>
      <c r="D479"/>
      <c r="E479" t="s">
        <v>2338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40"/>
        <v>28</v>
      </c>
      <c r="P479" s="136" t="s">
        <v>1992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40"/>
        <v>28</v>
      </c>
      <c r="P480" s="136" t="s">
        <v>1993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thickBot="1" x14ac:dyDescent="0.3">
      <c r="A481"/>
      <c r="B481"/>
      <c r="C481"/>
      <c r="D481"/>
      <c r="E481" s="151" t="s">
        <v>2463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40"/>
        <v>28</v>
      </c>
      <c r="P481" s="136" t="s">
        <v>1994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thickBot="1" x14ac:dyDescent="0.3">
      <c r="A482"/>
      <c r="B482"/>
      <c r="C482"/>
      <c r="D482"/>
      <c r="E482" t="s">
        <v>2338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40"/>
        <v>27</v>
      </c>
      <c r="P482" s="136" t="s">
        <v>1995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2222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40"/>
        <v>28</v>
      </c>
      <c r="P483" s="136" t="s">
        <v>1996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thickBot="1" x14ac:dyDescent="0.3">
      <c r="A484"/>
      <c r="B484"/>
      <c r="C484"/>
      <c r="D484"/>
      <c r="E484" t="s">
        <v>2372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40"/>
        <v>28</v>
      </c>
      <c r="P484" s="136" t="s">
        <v>1997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thickBot="1" x14ac:dyDescent="0.3">
      <c r="A485">
        <v>7</v>
      </c>
      <c r="B485">
        <v>6</v>
      </c>
      <c r="C485"/>
      <c r="D485"/>
      <c r="E485" t="s">
        <v>2339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40"/>
        <v>28</v>
      </c>
      <c r="P485" s="136" t="s">
        <v>1998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>
        <v>7</v>
      </c>
      <c r="B486">
        <v>6</v>
      </c>
      <c r="C486"/>
      <c r="D486"/>
      <c r="E486" t="s">
        <v>2339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40"/>
        <v>28</v>
      </c>
      <c r="P486" s="136" t="s">
        <v>1999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thickBot="1" x14ac:dyDescent="0.3">
      <c r="A487">
        <v>6</v>
      </c>
      <c r="B487">
        <v>14</v>
      </c>
      <c r="C487"/>
      <c r="D487"/>
      <c r="E487" t="s">
        <v>2338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40"/>
        <v>28</v>
      </c>
      <c r="P487" s="136" t="s">
        <v>2000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40"/>
        <v>28</v>
      </c>
      <c r="P488" s="136" t="s">
        <v>2001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thickBot="1" x14ac:dyDescent="0.3">
      <c r="A489"/>
      <c r="B489"/>
      <c r="C489"/>
      <c r="D489"/>
      <c r="E489"/>
      <c r="F489" s="73" t="s">
        <v>466</v>
      </c>
      <c r="G489" s="73" t="s">
        <v>1573</v>
      </c>
      <c r="H489" s="73" t="s">
        <v>1041</v>
      </c>
      <c r="I489" s="135" t="s">
        <v>1578</v>
      </c>
      <c r="J489" s="73" t="s">
        <v>14</v>
      </c>
      <c r="K489" s="73" t="s">
        <v>1278</v>
      </c>
      <c r="M489" s="84" t="s">
        <v>1580</v>
      </c>
      <c r="N489" s="84"/>
      <c r="O489" s="85">
        <f t="shared" si="40"/>
        <v>28</v>
      </c>
      <c r="P489" s="136" t="s">
        <v>2117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1591</v>
      </c>
      <c r="H490" s="73" t="s">
        <v>1041</v>
      </c>
      <c r="I490" s="135" t="s">
        <v>1584</v>
      </c>
      <c r="J490" s="73" t="s">
        <v>18</v>
      </c>
      <c r="K490" s="73" t="s">
        <v>1278</v>
      </c>
      <c r="M490" s="84" t="s">
        <v>1592</v>
      </c>
      <c r="N490" s="84"/>
      <c r="O490" s="85">
        <f t="shared" si="40"/>
        <v>15</v>
      </c>
      <c r="P490" s="136" t="s">
        <v>2118</v>
      </c>
      <c r="Q490" s="85">
        <f t="shared" si="41"/>
        <v>13</v>
      </c>
      <c r="R490" s="86">
        <f t="shared" si="42"/>
        <v>0.5357142857142857</v>
      </c>
      <c r="S490" s="70"/>
      <c r="T490" s="87"/>
      <c r="U490" s="87"/>
      <c r="V490" s="70" t="s">
        <v>2222</v>
      </c>
      <c r="W490" s="70" t="s">
        <v>2222</v>
      </c>
      <c r="X490" s="70" t="s">
        <v>2222</v>
      </c>
      <c r="Y490" s="70" t="s">
        <v>2222</v>
      </c>
      <c r="Z490" s="70" t="s">
        <v>2222</v>
      </c>
      <c r="AA490" s="87"/>
      <c r="AB490" s="87"/>
      <c r="AC490" s="70" t="s">
        <v>2222</v>
      </c>
      <c r="AD490" s="70" t="s">
        <v>2222</v>
      </c>
      <c r="AE490" s="70" t="s">
        <v>2222</v>
      </c>
      <c r="AF490" s="70" t="s">
        <v>2222</v>
      </c>
      <c r="AG490" s="70" t="s">
        <v>2222</v>
      </c>
      <c r="AH490" s="87"/>
      <c r="AI490" s="87"/>
      <c r="AJ490" s="70" t="s">
        <v>2222</v>
      </c>
      <c r="AK490" s="70" t="s">
        <v>2222</v>
      </c>
      <c r="AL490" s="70" t="s">
        <v>2222</v>
      </c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1586</v>
      </c>
      <c r="H491" s="73" t="s">
        <v>1041</v>
      </c>
      <c r="I491" s="135" t="s">
        <v>1585</v>
      </c>
      <c r="J491" s="73" t="s">
        <v>1093</v>
      </c>
      <c r="K491" s="73" t="s">
        <v>1278</v>
      </c>
      <c r="M491" s="84" t="s">
        <v>1590</v>
      </c>
      <c r="N491" s="84"/>
      <c r="O491" s="85">
        <f t="shared" si="40"/>
        <v>28</v>
      </c>
      <c r="P491" s="136" t="s">
        <v>2119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1587</v>
      </c>
      <c r="H492" s="73" t="s">
        <v>1041</v>
      </c>
      <c r="I492" s="135" t="s">
        <v>1588</v>
      </c>
      <c r="J492" s="73" t="s">
        <v>1093</v>
      </c>
      <c r="K492" s="73" t="s">
        <v>1278</v>
      </c>
      <c r="M492" s="84" t="s">
        <v>1589</v>
      </c>
      <c r="N492" s="84"/>
      <c r="O492" s="85">
        <f t="shared" si="40"/>
        <v>28</v>
      </c>
      <c r="P492" s="136" t="s">
        <v>2120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2231</v>
      </c>
      <c r="H493" s="73" t="s">
        <v>1041</v>
      </c>
      <c r="I493" s="135" t="s">
        <v>2232</v>
      </c>
      <c r="J493" s="30" t="s">
        <v>14</v>
      </c>
      <c r="K493" s="73" t="s">
        <v>1278</v>
      </c>
      <c r="M493" s="84" t="s">
        <v>2254</v>
      </c>
      <c r="N493" s="84"/>
      <c r="O493" s="85">
        <f t="shared" si="40"/>
        <v>19</v>
      </c>
      <c r="P493" s="136" t="s">
        <v>2255</v>
      </c>
      <c r="Q493" s="85">
        <f t="shared" si="41"/>
        <v>9</v>
      </c>
      <c r="R493" s="86">
        <f t="shared" si="42"/>
        <v>0.6785714285714286</v>
      </c>
      <c r="S493" s="87"/>
      <c r="T493" s="87"/>
      <c r="U493" s="87"/>
      <c r="V493" s="87"/>
      <c r="W493" s="87"/>
      <c r="X493" s="87"/>
      <c r="Y493" s="87"/>
      <c r="Z493" s="70" t="s">
        <v>2222</v>
      </c>
      <c r="AA493" s="87"/>
      <c r="AB493" s="87"/>
      <c r="AC493" s="70" t="s">
        <v>2222</v>
      </c>
      <c r="AD493" s="70" t="s">
        <v>2222</v>
      </c>
      <c r="AE493" s="70" t="s">
        <v>2222</v>
      </c>
      <c r="AF493" s="70" t="s">
        <v>2222</v>
      </c>
      <c r="AG493" s="70" t="s">
        <v>2222</v>
      </c>
      <c r="AH493" s="87"/>
      <c r="AI493" s="87"/>
      <c r="AJ493" s="70" t="s">
        <v>2222</v>
      </c>
      <c r="AK493" s="70" t="s">
        <v>2222</v>
      </c>
      <c r="AL493" s="70" t="s">
        <v>2222</v>
      </c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40"/>
        <v>28</v>
      </c>
      <c r="P494" s="136" t="s">
        <v>2002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40"/>
        <v>28</v>
      </c>
      <c r="P495" s="136" t="s">
        <v>2427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thickBot="1" x14ac:dyDescent="0.3">
      <c r="A496">
        <v>6</v>
      </c>
      <c r="B496">
        <v>12</v>
      </c>
      <c r="C496"/>
      <c r="D496"/>
      <c r="E496" t="s">
        <v>2373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40"/>
        <v>28</v>
      </c>
      <c r="P496" s="136" t="s">
        <v>2004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thickBot="1" x14ac:dyDescent="0.3">
      <c r="A497">
        <v>6</v>
      </c>
      <c r="B497">
        <v>12</v>
      </c>
      <c r="C497"/>
      <c r="D497"/>
      <c r="E497" t="s">
        <v>2373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40"/>
        <v>28</v>
      </c>
      <c r="P497" s="136" t="s">
        <v>2005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40"/>
        <v>28</v>
      </c>
      <c r="P498" s="136" t="s">
        <v>2428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40"/>
        <v>25</v>
      </c>
      <c r="P499" s="136" t="s">
        <v>2429</v>
      </c>
      <c r="Q499" s="31">
        <f t="shared" si="41"/>
        <v>3</v>
      </c>
      <c r="R499" s="32">
        <f t="shared" si="42"/>
        <v>0.8928571428571429</v>
      </c>
      <c r="S499" s="70"/>
      <c r="T499" s="70"/>
      <c r="U499" s="70"/>
      <c r="V499" s="70"/>
      <c r="W499" s="70"/>
      <c r="X499" s="70" t="s">
        <v>2222</v>
      </c>
      <c r="Y499" s="70" t="s">
        <v>2222</v>
      </c>
      <c r="Z499" s="70"/>
      <c r="AA499" s="70"/>
      <c r="AB499" s="70"/>
      <c r="AC499" s="70"/>
      <c r="AD499" s="70"/>
      <c r="AE499" s="70" t="s">
        <v>2222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40"/>
        <v>28</v>
      </c>
      <c r="P500" s="136" t="s">
        <v>2430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40"/>
        <v>28</v>
      </c>
      <c r="P501" s="136" t="s">
        <v>2431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>
        <v>12</v>
      </c>
      <c r="B502" t="s">
        <v>2375</v>
      </c>
      <c r="C502"/>
      <c r="D502"/>
      <c r="E502" t="s">
        <v>2373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40"/>
        <v>28</v>
      </c>
      <c r="P502" s="136" t="s">
        <v>2003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6</v>
      </c>
      <c r="B503">
        <v>12</v>
      </c>
      <c r="C503"/>
      <c r="D503"/>
      <c r="E503" t="s">
        <v>2373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40"/>
        <v>28</v>
      </c>
      <c r="P503" s="136" t="s">
        <v>2006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2373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40"/>
        <v>28</v>
      </c>
      <c r="P504" s="136" t="s">
        <v>2007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2373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40"/>
        <v>28</v>
      </c>
      <c r="P505" s="136" t="s">
        <v>2008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2373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40"/>
        <v>28</v>
      </c>
      <c r="P506" s="136" t="s">
        <v>2009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12</v>
      </c>
      <c r="B507" t="s">
        <v>2375</v>
      </c>
      <c r="C507"/>
      <c r="D507"/>
      <c r="E507" t="s">
        <v>2373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40"/>
        <v>28</v>
      </c>
      <c r="P507" s="136" t="s">
        <v>2010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4</v>
      </c>
      <c r="B508">
        <v>12</v>
      </c>
      <c r="C508"/>
      <c r="D508"/>
      <c r="E508" t="s">
        <v>2333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40"/>
        <v>28</v>
      </c>
      <c r="P508" s="136" t="s">
        <v>2020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 s="151" t="s">
        <v>2460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2366</v>
      </c>
      <c r="L509" s="30"/>
      <c r="M509" s="30" t="s">
        <v>841</v>
      </c>
      <c r="N509" s="30"/>
      <c r="O509" s="31">
        <f t="shared" si="40"/>
        <v>15</v>
      </c>
      <c r="P509" s="136" t="s">
        <v>2024</v>
      </c>
      <c r="Q509" s="31">
        <f t="shared" si="41"/>
        <v>13</v>
      </c>
      <c r="R509" s="32">
        <f t="shared" si="42"/>
        <v>0.5357142857142857</v>
      </c>
      <c r="S509" s="70"/>
      <c r="T509" s="70"/>
      <c r="U509" s="70"/>
      <c r="V509" s="70" t="s">
        <v>2222</v>
      </c>
      <c r="W509" s="70" t="s">
        <v>2222</v>
      </c>
      <c r="X509" s="70" t="s">
        <v>2222</v>
      </c>
      <c r="Y509" s="70" t="s">
        <v>2222</v>
      </c>
      <c r="Z509" s="70"/>
      <c r="AA509" s="70"/>
      <c r="AB509" s="70"/>
      <c r="AC509" s="70"/>
      <c r="AD509" s="70" t="s">
        <v>2222</v>
      </c>
      <c r="AE509" s="70" t="s">
        <v>2222</v>
      </c>
      <c r="AF509" s="70" t="s">
        <v>2222</v>
      </c>
      <c r="AG509" s="70" t="s">
        <v>2222</v>
      </c>
      <c r="AH509" s="70"/>
      <c r="AI509" s="70"/>
      <c r="AJ509" s="70" t="s">
        <v>2222</v>
      </c>
      <c r="AK509" s="70" t="s">
        <v>2222</v>
      </c>
      <c r="AL509" s="70" t="s">
        <v>2222</v>
      </c>
      <c r="AM509" s="70" t="s">
        <v>2222</v>
      </c>
      <c r="AN509" s="70" t="s">
        <v>2222</v>
      </c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4</v>
      </c>
      <c r="B510">
        <v>12</v>
      </c>
      <c r="C510"/>
      <c r="D510"/>
      <c r="E510" t="s">
        <v>2333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40"/>
        <v>28</v>
      </c>
      <c r="P510" s="136" t="s">
        <v>2025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40"/>
        <v>28</v>
      </c>
      <c r="P511" s="136" t="s">
        <v>2026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40"/>
        <v>16</v>
      </c>
      <c r="P512" s="136" t="s">
        <v>2027</v>
      </c>
      <c r="Q512" s="31">
        <f t="shared" si="41"/>
        <v>12</v>
      </c>
      <c r="R512" s="32">
        <f t="shared" si="42"/>
        <v>0.5714285714285714</v>
      </c>
      <c r="S512" s="70"/>
      <c r="T512" s="70"/>
      <c r="U512" s="70"/>
      <c r="V512" s="70" t="s">
        <v>2222</v>
      </c>
      <c r="W512" s="70" t="s">
        <v>2222</v>
      </c>
      <c r="X512" s="70" t="s">
        <v>2222</v>
      </c>
      <c r="Y512" s="70" t="s">
        <v>2222</v>
      </c>
      <c r="Z512" s="70"/>
      <c r="AA512" s="70"/>
      <c r="AB512" s="70"/>
      <c r="AC512" s="70"/>
      <c r="AD512" s="70" t="s">
        <v>2222</v>
      </c>
      <c r="AE512" s="70" t="s">
        <v>2222</v>
      </c>
      <c r="AF512" s="70" t="s">
        <v>2222</v>
      </c>
      <c r="AG512" s="70" t="s">
        <v>2222</v>
      </c>
      <c r="AH512" s="70"/>
      <c r="AI512" s="70"/>
      <c r="AJ512" s="70" t="s">
        <v>2222</v>
      </c>
      <c r="AK512" s="70" t="s">
        <v>2222</v>
      </c>
      <c r="AL512" s="70" t="s">
        <v>2222</v>
      </c>
      <c r="AM512" s="70" t="s">
        <v>2222</v>
      </c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40"/>
        <v>28</v>
      </c>
      <c r="P513" s="136" t="s">
        <v>2029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thickBot="1" x14ac:dyDescent="0.3">
      <c r="A514">
        <v>4</v>
      </c>
      <c r="B514">
        <v>12</v>
      </c>
      <c r="C514"/>
      <c r="D514"/>
      <c r="E514" t="s">
        <v>2333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40"/>
        <v>28</v>
      </c>
      <c r="P514" s="136" t="s">
        <v>2030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thickBot="1" x14ac:dyDescent="0.3">
      <c r="A515">
        <v>4</v>
      </c>
      <c r="B515">
        <v>12</v>
      </c>
      <c r="C515"/>
      <c r="D515"/>
      <c r="E515" t="s">
        <v>2333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40"/>
        <v>28</v>
      </c>
      <c r="P515" s="136" t="s">
        <v>2031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1" t="s">
        <v>2460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2368</v>
      </c>
      <c r="L516" s="30"/>
      <c r="M516" s="30" t="s">
        <v>1125</v>
      </c>
      <c r="N516" s="30"/>
      <c r="O516" s="31">
        <f t="shared" si="40"/>
        <v>15</v>
      </c>
      <c r="P516" s="136" t="s">
        <v>2034</v>
      </c>
      <c r="Q516" s="31">
        <f t="shared" si="41"/>
        <v>13</v>
      </c>
      <c r="R516" s="32">
        <f t="shared" si="42"/>
        <v>0.5357142857142857</v>
      </c>
      <c r="S516" s="70"/>
      <c r="T516" s="70"/>
      <c r="U516" s="70"/>
      <c r="V516" s="70" t="s">
        <v>2222</v>
      </c>
      <c r="W516" s="70" t="s">
        <v>2222</v>
      </c>
      <c r="X516" s="70" t="s">
        <v>2222</v>
      </c>
      <c r="Y516" s="70" t="s">
        <v>2222</v>
      </c>
      <c r="Z516" s="70"/>
      <c r="AA516" s="70"/>
      <c r="AB516" s="70"/>
      <c r="AC516" s="70"/>
      <c r="AD516" s="70" t="s">
        <v>2222</v>
      </c>
      <c r="AE516" s="70" t="s">
        <v>2222</v>
      </c>
      <c r="AF516" s="70" t="s">
        <v>2222</v>
      </c>
      <c r="AG516" s="70" t="s">
        <v>2222</v>
      </c>
      <c r="AH516" s="70"/>
      <c r="AI516" s="70"/>
      <c r="AJ516" s="70" t="s">
        <v>2222</v>
      </c>
      <c r="AK516" s="70" t="s">
        <v>2222</v>
      </c>
      <c r="AL516" s="70" t="s">
        <v>2222</v>
      </c>
      <c r="AM516" s="70" t="s">
        <v>2222</v>
      </c>
      <c r="AN516" s="70" t="s">
        <v>2222</v>
      </c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 s="151" t="s">
        <v>2460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2368</v>
      </c>
      <c r="L517" s="30"/>
      <c r="M517" s="30" t="s">
        <v>1126</v>
      </c>
      <c r="N517" s="30"/>
      <c r="O517" s="31">
        <f t="shared" si="40"/>
        <v>15</v>
      </c>
      <c r="P517" s="136" t="s">
        <v>2035</v>
      </c>
      <c r="Q517" s="31">
        <f t="shared" si="41"/>
        <v>13</v>
      </c>
      <c r="R517" s="32">
        <f t="shared" si="42"/>
        <v>0.5357142857142857</v>
      </c>
      <c r="S517" s="70"/>
      <c r="T517" s="70"/>
      <c r="U517" s="70"/>
      <c r="V517" s="70" t="s">
        <v>2222</v>
      </c>
      <c r="W517" s="70" t="s">
        <v>2222</v>
      </c>
      <c r="X517" s="70" t="s">
        <v>2222</v>
      </c>
      <c r="Y517" s="70" t="s">
        <v>2222</v>
      </c>
      <c r="Z517" s="70"/>
      <c r="AA517" s="70"/>
      <c r="AB517" s="70"/>
      <c r="AC517" s="70"/>
      <c r="AD517" s="70" t="s">
        <v>2222</v>
      </c>
      <c r="AE517" s="70" t="s">
        <v>2222</v>
      </c>
      <c r="AF517" s="70" t="s">
        <v>2222</v>
      </c>
      <c r="AG517" s="70" t="s">
        <v>2222</v>
      </c>
      <c r="AH517" s="70"/>
      <c r="AI517" s="70"/>
      <c r="AJ517" s="70" t="s">
        <v>2222</v>
      </c>
      <c r="AK517" s="70" t="s">
        <v>2222</v>
      </c>
      <c r="AL517" s="70" t="s">
        <v>2222</v>
      </c>
      <c r="AM517" s="70" t="s">
        <v>2222</v>
      </c>
      <c r="AN517" s="70" t="s">
        <v>2222</v>
      </c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40"/>
        <v>28</v>
      </c>
      <c r="P518" s="136" t="s">
        <v>2036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 s="151" t="s">
        <v>2460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2368</v>
      </c>
      <c r="L519" s="30"/>
      <c r="M519" s="30" t="s">
        <v>1504</v>
      </c>
      <c r="N519" s="30"/>
      <c r="O519" s="131">
        <f t="shared" si="40"/>
        <v>15</v>
      </c>
      <c r="P519" s="136" t="s">
        <v>2037</v>
      </c>
      <c r="Q519" s="131">
        <f t="shared" si="41"/>
        <v>13</v>
      </c>
      <c r="R519" s="132">
        <f t="shared" si="42"/>
        <v>0.5357142857142857</v>
      </c>
      <c r="S519" s="70"/>
      <c r="T519" s="70"/>
      <c r="U519" s="70"/>
      <c r="V519" s="70" t="s">
        <v>2222</v>
      </c>
      <c r="W519" s="70" t="s">
        <v>2222</v>
      </c>
      <c r="X519" s="70" t="s">
        <v>2222</v>
      </c>
      <c r="Y519" s="70" t="s">
        <v>2222</v>
      </c>
      <c r="Z519" s="70"/>
      <c r="AA519" s="70"/>
      <c r="AB519" s="70"/>
      <c r="AC519" s="70"/>
      <c r="AD519" s="70" t="s">
        <v>2222</v>
      </c>
      <c r="AE519" s="70" t="s">
        <v>2222</v>
      </c>
      <c r="AF519" s="70" t="s">
        <v>2222</v>
      </c>
      <c r="AG519" s="70" t="s">
        <v>2222</v>
      </c>
      <c r="AH519" s="70"/>
      <c r="AI519" s="70"/>
      <c r="AJ519" s="70" t="s">
        <v>2222</v>
      </c>
      <c r="AK519" s="70" t="s">
        <v>2222</v>
      </c>
      <c r="AL519" s="70" t="s">
        <v>2222</v>
      </c>
      <c r="AM519" s="70" t="s">
        <v>2222</v>
      </c>
      <c r="AN519" s="70" t="s">
        <v>2222</v>
      </c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/>
      <c r="F520" s="73" t="s">
        <v>505</v>
      </c>
      <c r="G520" s="84" t="s">
        <v>1551</v>
      </c>
      <c r="H520" s="84" t="s">
        <v>1042</v>
      </c>
      <c r="I520" s="73" t="s">
        <v>1552</v>
      </c>
      <c r="J520" s="84" t="s">
        <v>14</v>
      </c>
      <c r="K520" s="84" t="s">
        <v>1278</v>
      </c>
      <c r="L520" s="84"/>
      <c r="M520" s="84" t="s">
        <v>1553</v>
      </c>
      <c r="N520" s="84"/>
      <c r="O520" s="131">
        <f t="shared" si="40"/>
        <v>27</v>
      </c>
      <c r="P520" s="136" t="s">
        <v>2038</v>
      </c>
      <c r="Q520" s="131">
        <f t="shared" si="41"/>
        <v>1</v>
      </c>
      <c r="R520" s="132">
        <f t="shared" si="42"/>
        <v>0.9642857142857143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 t="s">
        <v>2222</v>
      </c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 s="151" t="s">
        <v>2460</v>
      </c>
      <c r="F521" t="s">
        <v>505</v>
      </c>
      <c r="G521" t="s">
        <v>513</v>
      </c>
      <c r="H521" t="s">
        <v>1042</v>
      </c>
      <c r="I521" t="s">
        <v>2193</v>
      </c>
      <c r="J521" s="30" t="s">
        <v>18</v>
      </c>
      <c r="K521" s="30" t="s">
        <v>2368</v>
      </c>
      <c r="L521" s="30"/>
      <c r="M521" s="30" t="s">
        <v>829</v>
      </c>
      <c r="N521" s="30"/>
      <c r="O521" s="31">
        <f t="shared" ref="O521:O586" si="43">COUNTIF(S521:AT521,"")</f>
        <v>16</v>
      </c>
      <c r="P521" s="136" t="s">
        <v>2011</v>
      </c>
      <c r="Q521" s="31">
        <f t="shared" ref="Q521:Q586" si="44">COUNTIF(S521:AT521,"APAGADO")</f>
        <v>12</v>
      </c>
      <c r="R521" s="32">
        <f t="shared" ref="R521:R586" si="45">(O521)/(Q521+O521)</f>
        <v>0.5714285714285714</v>
      </c>
      <c r="S521" s="70"/>
      <c r="T521" s="70"/>
      <c r="U521" s="70"/>
      <c r="V521" s="70" t="s">
        <v>2222</v>
      </c>
      <c r="W521" s="70" t="s">
        <v>2222</v>
      </c>
      <c r="X521" s="70" t="s">
        <v>2222</v>
      </c>
      <c r="Y521" s="70" t="s">
        <v>2222</v>
      </c>
      <c r="Z521" s="70"/>
      <c r="AA521" s="70"/>
      <c r="AB521" s="70"/>
      <c r="AC521" s="70"/>
      <c r="AD521" s="70" t="s">
        <v>2222</v>
      </c>
      <c r="AE521" s="70" t="s">
        <v>2222</v>
      </c>
      <c r="AF521" s="70" t="s">
        <v>2222</v>
      </c>
      <c r="AG521" s="70" t="s">
        <v>2222</v>
      </c>
      <c r="AH521" s="70"/>
      <c r="AI521" s="70"/>
      <c r="AJ521" s="70" t="s">
        <v>2222</v>
      </c>
      <c r="AK521" s="70" t="s">
        <v>2222</v>
      </c>
      <c r="AL521" s="70" t="s">
        <v>2222</v>
      </c>
      <c r="AM521" s="70" t="s">
        <v>2222</v>
      </c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3"/>
        <v>16</v>
      </c>
      <c r="P522" s="136" t="s">
        <v>2012</v>
      </c>
      <c r="Q522" s="31">
        <f t="shared" si="44"/>
        <v>12</v>
      </c>
      <c r="R522" s="32">
        <f t="shared" si="45"/>
        <v>0.5714285714285714</v>
      </c>
      <c r="S522" s="70"/>
      <c r="T522" s="70"/>
      <c r="U522" s="70"/>
      <c r="V522" s="70" t="s">
        <v>2222</v>
      </c>
      <c r="W522" s="70" t="s">
        <v>2222</v>
      </c>
      <c r="X522" s="70" t="s">
        <v>2222</v>
      </c>
      <c r="Y522" s="70" t="s">
        <v>2222</v>
      </c>
      <c r="Z522" s="70"/>
      <c r="AA522" s="70"/>
      <c r="AB522" s="70"/>
      <c r="AC522" s="70"/>
      <c r="AD522" s="70" t="s">
        <v>2222</v>
      </c>
      <c r="AE522" s="70" t="s">
        <v>2222</v>
      </c>
      <c r="AF522" s="70" t="s">
        <v>2222</v>
      </c>
      <c r="AG522" s="70" t="s">
        <v>2222</v>
      </c>
      <c r="AH522" s="70"/>
      <c r="AI522" s="70"/>
      <c r="AJ522" s="70" t="s">
        <v>2222</v>
      </c>
      <c r="AK522" s="70" t="s">
        <v>2222</v>
      </c>
      <c r="AL522" s="70" t="s">
        <v>2222</v>
      </c>
      <c r="AM522" s="70" t="s">
        <v>2222</v>
      </c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>
        <v>4</v>
      </c>
      <c r="B523">
        <v>12</v>
      </c>
      <c r="C523"/>
      <c r="D523"/>
      <c r="E523" t="s">
        <v>2333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3"/>
        <v>28</v>
      </c>
      <c r="P523" s="136" t="s">
        <v>2013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2333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3"/>
        <v>28</v>
      </c>
      <c r="P524" s="136" t="s">
        <v>2014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3"/>
        <v>28</v>
      </c>
      <c r="P525" s="136" t="s">
        <v>2015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3"/>
        <v>15</v>
      </c>
      <c r="P526" s="136" t="s">
        <v>2016</v>
      </c>
      <c r="Q526" s="31">
        <f t="shared" si="44"/>
        <v>13</v>
      </c>
      <c r="R526" s="32">
        <f t="shared" si="45"/>
        <v>0.5357142857142857</v>
      </c>
      <c r="S526" s="70"/>
      <c r="T526" s="70"/>
      <c r="U526" s="70"/>
      <c r="V526" s="70" t="s">
        <v>2222</v>
      </c>
      <c r="W526" s="70" t="s">
        <v>2222</v>
      </c>
      <c r="X526" s="70" t="s">
        <v>2222</v>
      </c>
      <c r="Y526" s="70" t="s">
        <v>2222</v>
      </c>
      <c r="Z526" s="70" t="s">
        <v>2222</v>
      </c>
      <c r="AA526" s="70"/>
      <c r="AB526" s="70"/>
      <c r="AC526" s="70" t="s">
        <v>2222</v>
      </c>
      <c r="AD526" s="70" t="s">
        <v>2222</v>
      </c>
      <c r="AE526" s="70" t="s">
        <v>2222</v>
      </c>
      <c r="AF526" s="70" t="s">
        <v>2222</v>
      </c>
      <c r="AG526" s="70" t="s">
        <v>2222</v>
      </c>
      <c r="AH526" s="70"/>
      <c r="AI526" s="70"/>
      <c r="AJ526" s="70" t="s">
        <v>2222</v>
      </c>
      <c r="AK526" s="70" t="s">
        <v>2222</v>
      </c>
      <c r="AL526" s="70" t="s">
        <v>2222</v>
      </c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thickBot="1" x14ac:dyDescent="0.3">
      <c r="A527"/>
      <c r="B527"/>
      <c r="C527"/>
      <c r="D527"/>
      <c r="E527" s="151" t="s">
        <v>2460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2368</v>
      </c>
      <c r="L527" s="30"/>
      <c r="M527" s="30" t="s">
        <v>834</v>
      </c>
      <c r="N527" s="30"/>
      <c r="O527" s="31">
        <f t="shared" si="43"/>
        <v>28</v>
      </c>
      <c r="P527" s="136" t="s">
        <v>2017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3"/>
        <v>28</v>
      </c>
      <c r="P528" s="136" t="s">
        <v>2018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3"/>
        <v>28</v>
      </c>
      <c r="P529" s="136" t="s">
        <v>2019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3"/>
        <v>15</v>
      </c>
      <c r="P530" s="136" t="s">
        <v>2021</v>
      </c>
      <c r="Q530" s="31">
        <f t="shared" si="44"/>
        <v>13</v>
      </c>
      <c r="R530" s="32">
        <f t="shared" si="45"/>
        <v>0.5357142857142857</v>
      </c>
      <c r="S530" s="70"/>
      <c r="T530" s="70"/>
      <c r="U530" s="70"/>
      <c r="V530" s="70" t="s">
        <v>2222</v>
      </c>
      <c r="W530" s="70" t="s">
        <v>2222</v>
      </c>
      <c r="X530" s="70" t="s">
        <v>2222</v>
      </c>
      <c r="Y530" s="70" t="s">
        <v>2222</v>
      </c>
      <c r="Z530" s="70"/>
      <c r="AA530" s="70"/>
      <c r="AB530" s="70"/>
      <c r="AC530" s="70"/>
      <c r="AD530" s="70" t="s">
        <v>2222</v>
      </c>
      <c r="AE530" s="70" t="s">
        <v>2222</v>
      </c>
      <c r="AF530" s="70" t="s">
        <v>2222</v>
      </c>
      <c r="AG530" s="70" t="s">
        <v>2222</v>
      </c>
      <c r="AH530" s="70"/>
      <c r="AI530" s="70"/>
      <c r="AJ530" s="70" t="s">
        <v>2222</v>
      </c>
      <c r="AK530" s="70" t="s">
        <v>2222</v>
      </c>
      <c r="AL530" s="70" t="s">
        <v>2222</v>
      </c>
      <c r="AM530" s="70" t="s">
        <v>2222</v>
      </c>
      <c r="AN530" s="70" t="s">
        <v>2222</v>
      </c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3"/>
        <v>26</v>
      </c>
      <c r="P531" s="136" t="s">
        <v>2022</v>
      </c>
      <c r="Q531" s="31">
        <f t="shared" si="44"/>
        <v>2</v>
      </c>
      <c r="R531" s="32">
        <f t="shared" si="45"/>
        <v>0.9285714285714286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 t="s">
        <v>2222</v>
      </c>
      <c r="AO531" s="70"/>
      <c r="AP531" s="70"/>
      <c r="AQ531" s="70"/>
      <c r="AR531" s="70"/>
      <c r="AS531" s="70" t="s">
        <v>2222</v>
      </c>
      <c r="AT531" s="70"/>
      <c r="AU531" s="70"/>
      <c r="AV531" s="70"/>
    </row>
    <row r="532" spans="1:49" ht="15.75" thickBot="1" x14ac:dyDescent="0.3">
      <c r="A532"/>
      <c r="B532"/>
      <c r="C532"/>
      <c r="D532"/>
      <c r="E532" s="151" t="s">
        <v>2460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2366</v>
      </c>
      <c r="L532" s="30"/>
      <c r="M532" s="30" t="s">
        <v>840</v>
      </c>
      <c r="N532" s="30"/>
      <c r="O532" s="31">
        <f t="shared" si="43"/>
        <v>27</v>
      </c>
      <c r="P532" s="136" t="s">
        <v>2023</v>
      </c>
      <c r="Q532" s="31">
        <f t="shared" si="44"/>
        <v>1</v>
      </c>
      <c r="R532" s="32">
        <f t="shared" si="45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 t="s">
        <v>2222</v>
      </c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>
        <v>4</v>
      </c>
      <c r="B533">
        <v>12</v>
      </c>
      <c r="C533"/>
      <c r="D533"/>
      <c r="E533" t="s">
        <v>2333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3"/>
        <v>28</v>
      </c>
      <c r="P533" s="136" t="s">
        <v>2028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3"/>
        <v>28</v>
      </c>
      <c r="P534" s="136" t="s">
        <v>2432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 s="151" t="s">
        <v>2460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2368</v>
      </c>
      <c r="L535" s="30"/>
      <c r="M535" s="30" t="s">
        <v>657</v>
      </c>
      <c r="N535" s="30"/>
      <c r="O535" s="31">
        <f t="shared" si="43"/>
        <v>27</v>
      </c>
      <c r="P535" s="136" t="s">
        <v>2032</v>
      </c>
      <c r="Q535" s="31">
        <f t="shared" si="44"/>
        <v>1</v>
      </c>
      <c r="R535" s="32">
        <f t="shared" si="45"/>
        <v>0.9642857142857143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 t="s">
        <v>2222</v>
      </c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thickBot="1" x14ac:dyDescent="0.3">
      <c r="A536"/>
      <c r="B536"/>
      <c r="C536"/>
      <c r="D536"/>
      <c r="E536" s="151" t="s">
        <v>2460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2368</v>
      </c>
      <c r="L536" s="30"/>
      <c r="M536" s="30" t="s">
        <v>849</v>
      </c>
      <c r="N536" s="30"/>
      <c r="O536" s="31">
        <f t="shared" si="43"/>
        <v>28</v>
      </c>
      <c r="P536" s="136" t="s">
        <v>2033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thickBot="1" x14ac:dyDescent="0.3">
      <c r="A537"/>
      <c r="B537"/>
      <c r="C537"/>
      <c r="D537"/>
      <c r="E537"/>
      <c r="F537" s="73" t="s">
        <v>505</v>
      </c>
      <c r="G537" s="84" t="s">
        <v>1554</v>
      </c>
      <c r="H537" s="84" t="s">
        <v>1042</v>
      </c>
      <c r="I537" s="73" t="s">
        <v>1555</v>
      </c>
      <c r="J537" s="84" t="s">
        <v>14</v>
      </c>
      <c r="K537" s="84" t="s">
        <v>1278</v>
      </c>
      <c r="L537" s="84"/>
      <c r="M537" s="84" t="s">
        <v>1556</v>
      </c>
      <c r="N537" s="84"/>
      <c r="O537" s="131">
        <f t="shared" si="43"/>
        <v>28</v>
      </c>
      <c r="P537" s="136" t="s">
        <v>2039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thickBot="1" x14ac:dyDescent="0.3">
      <c r="A538"/>
      <c r="B538"/>
      <c r="C538"/>
      <c r="D538"/>
      <c r="E538"/>
      <c r="F538" s="73" t="s">
        <v>505</v>
      </c>
      <c r="G538" s="84" t="s">
        <v>2171</v>
      </c>
      <c r="H538" s="84" t="s">
        <v>1042</v>
      </c>
      <c r="I538" s="73" t="s">
        <v>2172</v>
      </c>
      <c r="J538" s="30" t="s">
        <v>71</v>
      </c>
      <c r="K538" s="84" t="s">
        <v>1278</v>
      </c>
      <c r="L538" s="84"/>
      <c r="M538" s="84" t="s">
        <v>2293</v>
      </c>
      <c r="N538" s="84"/>
      <c r="O538" s="131">
        <f t="shared" si="43"/>
        <v>27</v>
      </c>
      <c r="P538" s="136" t="s">
        <v>2173</v>
      </c>
      <c r="Q538" s="131">
        <f t="shared" si="44"/>
        <v>1</v>
      </c>
      <c r="R538" s="132">
        <f t="shared" si="45"/>
        <v>0.9642857142857143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 t="s">
        <v>2222</v>
      </c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2174</v>
      </c>
      <c r="H539" s="84" t="s">
        <v>1042</v>
      </c>
      <c r="I539" s="73" t="s">
        <v>2175</v>
      </c>
      <c r="J539" s="84" t="s">
        <v>14</v>
      </c>
      <c r="K539" s="84" t="s">
        <v>1278</v>
      </c>
      <c r="L539" s="84"/>
      <c r="M539" s="84" t="s">
        <v>2294</v>
      </c>
      <c r="N539" s="84"/>
      <c r="O539" s="131">
        <f t="shared" si="43"/>
        <v>28</v>
      </c>
      <c r="P539" s="136" t="s">
        <v>2176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thickBot="1" x14ac:dyDescent="0.3">
      <c r="A540">
        <v>1</v>
      </c>
      <c r="B540">
        <v>18</v>
      </c>
      <c r="C540"/>
      <c r="D540"/>
      <c r="E540" t="s">
        <v>2361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2266</v>
      </c>
      <c r="O540" s="31">
        <f t="shared" si="43"/>
        <v>28</v>
      </c>
      <c r="P540" s="136" t="s">
        <v>2040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thickBot="1" x14ac:dyDescent="0.3">
      <c r="A541">
        <v>1</v>
      </c>
      <c r="B541">
        <v>18</v>
      </c>
      <c r="C541"/>
      <c r="D541"/>
      <c r="E541" t="s">
        <v>2361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2266</v>
      </c>
      <c r="O541" s="31">
        <f t="shared" si="43"/>
        <v>28</v>
      </c>
      <c r="P541" s="136" t="s">
        <v>2041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 s="88">
        <v>1</v>
      </c>
      <c r="B542" s="88">
        <v>18</v>
      </c>
      <c r="C542" s="88"/>
      <c r="D542" s="88"/>
      <c r="E542" s="88" t="s">
        <v>2361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2266</v>
      </c>
      <c r="O542" s="31">
        <f t="shared" si="43"/>
        <v>11</v>
      </c>
      <c r="P542" s="136" t="s">
        <v>2480</v>
      </c>
      <c r="Q542" s="31">
        <f t="shared" si="44"/>
        <v>17</v>
      </c>
      <c r="R542" s="32">
        <f t="shared" si="45"/>
        <v>0.39285714285714285</v>
      </c>
      <c r="S542" s="70"/>
      <c r="T542" s="70"/>
      <c r="U542" s="70"/>
      <c r="V542" s="70" t="s">
        <v>2222</v>
      </c>
      <c r="W542" s="70" t="s">
        <v>2222</v>
      </c>
      <c r="X542" s="70" t="s">
        <v>2222</v>
      </c>
      <c r="Y542" s="70" t="s">
        <v>2222</v>
      </c>
      <c r="Z542" s="70" t="s">
        <v>2222</v>
      </c>
      <c r="AA542" s="70"/>
      <c r="AB542" s="70"/>
      <c r="AC542" s="70" t="s">
        <v>2222</v>
      </c>
      <c r="AD542" s="70" t="s">
        <v>2222</v>
      </c>
      <c r="AE542" s="70" t="s">
        <v>2222</v>
      </c>
      <c r="AF542" s="70" t="s">
        <v>2222</v>
      </c>
      <c r="AG542" s="70" t="s">
        <v>2222</v>
      </c>
      <c r="AH542" s="70"/>
      <c r="AI542" s="70"/>
      <c r="AJ542" s="70" t="s">
        <v>2222</v>
      </c>
      <c r="AK542" s="70" t="s">
        <v>2222</v>
      </c>
      <c r="AL542" s="70" t="s">
        <v>2222</v>
      </c>
      <c r="AM542" s="70" t="s">
        <v>2222</v>
      </c>
      <c r="AN542" s="70" t="s">
        <v>2222</v>
      </c>
      <c r="AO542" s="70"/>
      <c r="AP542" s="70"/>
      <c r="AQ542" s="70"/>
      <c r="AR542" s="70" t="s">
        <v>2222</v>
      </c>
      <c r="AS542" s="70" t="s">
        <v>2222</v>
      </c>
      <c r="AT542" s="70"/>
      <c r="AU542" s="70"/>
      <c r="AV542" s="70"/>
      <c r="AW542" s="73"/>
    </row>
    <row r="543" spans="1:49" ht="15.75" thickBot="1" x14ac:dyDescent="0.3">
      <c r="A543">
        <v>1</v>
      </c>
      <c r="B543">
        <v>18</v>
      </c>
      <c r="C543"/>
      <c r="D543"/>
      <c r="E543" t="s">
        <v>2361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2266</v>
      </c>
      <c r="O543" s="31">
        <f t="shared" si="43"/>
        <v>21</v>
      </c>
      <c r="P543" s="136" t="s">
        <v>2042</v>
      </c>
      <c r="Q543" s="31">
        <f t="shared" si="44"/>
        <v>7</v>
      </c>
      <c r="R543" s="32">
        <f t="shared" si="45"/>
        <v>0.75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2222</v>
      </c>
      <c r="AD543" s="70" t="s">
        <v>2222</v>
      </c>
      <c r="AE543" s="70" t="s">
        <v>2222</v>
      </c>
      <c r="AF543" s="70" t="s">
        <v>2222</v>
      </c>
      <c r="AG543" s="70" t="s">
        <v>2222</v>
      </c>
      <c r="AH543" s="70"/>
      <c r="AI543" s="70"/>
      <c r="AJ543" s="70" t="s">
        <v>2222</v>
      </c>
      <c r="AK543" s="70" t="s">
        <v>2222</v>
      </c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thickBot="1" x14ac:dyDescent="0.3">
      <c r="A544">
        <v>1</v>
      </c>
      <c r="B544">
        <v>18</v>
      </c>
      <c r="C544"/>
      <c r="D544"/>
      <c r="E544" t="s">
        <v>2361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2266</v>
      </c>
      <c r="O544" s="31">
        <f t="shared" si="43"/>
        <v>21</v>
      </c>
      <c r="P544" s="136" t="s">
        <v>2043</v>
      </c>
      <c r="Q544" s="31">
        <f t="shared" si="44"/>
        <v>7</v>
      </c>
      <c r="R544" s="32">
        <f t="shared" si="45"/>
        <v>0.75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2222</v>
      </c>
      <c r="AD544" s="70" t="s">
        <v>2222</v>
      </c>
      <c r="AE544" s="70" t="s">
        <v>2222</v>
      </c>
      <c r="AF544" s="70" t="s">
        <v>2222</v>
      </c>
      <c r="AG544" s="70" t="s">
        <v>2222</v>
      </c>
      <c r="AH544" s="70"/>
      <c r="AI544" s="70"/>
      <c r="AJ544" s="70" t="s">
        <v>2222</v>
      </c>
      <c r="AK544" s="70" t="s">
        <v>2222</v>
      </c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thickBot="1" x14ac:dyDescent="0.3">
      <c r="A545">
        <v>1</v>
      </c>
      <c r="B545">
        <v>18</v>
      </c>
      <c r="C545"/>
      <c r="D545"/>
      <c r="E545" t="s">
        <v>2361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2266</v>
      </c>
      <c r="O545" s="31">
        <f t="shared" si="43"/>
        <v>28</v>
      </c>
      <c r="P545" s="136" t="s">
        <v>2044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thickBot="1" x14ac:dyDescent="0.3">
      <c r="A546">
        <v>1</v>
      </c>
      <c r="B546">
        <v>18</v>
      </c>
      <c r="C546"/>
      <c r="D546"/>
      <c r="E546" t="s">
        <v>2361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2266</v>
      </c>
      <c r="O546" s="31">
        <f t="shared" si="43"/>
        <v>28</v>
      </c>
      <c r="P546" s="136" t="s">
        <v>2045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thickBot="1" x14ac:dyDescent="0.3">
      <c r="A547" s="88">
        <v>1</v>
      </c>
      <c r="B547" s="88">
        <v>18</v>
      </c>
      <c r="E547" s="88" t="s">
        <v>2361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2266</v>
      </c>
      <c r="O547" s="31">
        <f t="shared" si="43"/>
        <v>28</v>
      </c>
      <c r="P547" s="136" t="s">
        <v>2046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thickBot="1" x14ac:dyDescent="0.3">
      <c r="A548"/>
      <c r="B548"/>
      <c r="C548"/>
      <c r="D548"/>
      <c r="E548" s="151" t="s">
        <v>2462</v>
      </c>
      <c r="F548" t="s">
        <v>376</v>
      </c>
      <c r="G548" s="30" t="s">
        <v>2131</v>
      </c>
      <c r="H548" s="73" t="s">
        <v>1041</v>
      </c>
      <c r="I548" t="s">
        <v>2132</v>
      </c>
      <c r="J548" s="84" t="s">
        <v>45</v>
      </c>
      <c r="K548" s="30" t="s">
        <v>2368</v>
      </c>
      <c r="L548" s="30"/>
      <c r="M548" s="30" t="s">
        <v>2133</v>
      </c>
      <c r="N548" s="30" t="s">
        <v>2266</v>
      </c>
      <c r="O548" s="31">
        <f t="shared" si="43"/>
        <v>18</v>
      </c>
      <c r="P548" s="136" t="s">
        <v>2134</v>
      </c>
      <c r="Q548" s="31">
        <f t="shared" si="44"/>
        <v>10</v>
      </c>
      <c r="R548" s="32">
        <f t="shared" si="45"/>
        <v>0.6428571428571429</v>
      </c>
      <c r="S548" s="70"/>
      <c r="T548" s="70"/>
      <c r="U548" s="70"/>
      <c r="V548" s="70" t="s">
        <v>2222</v>
      </c>
      <c r="W548" s="70" t="s">
        <v>2222</v>
      </c>
      <c r="X548" s="70" t="s">
        <v>2222</v>
      </c>
      <c r="Y548" s="70" t="s">
        <v>2222</v>
      </c>
      <c r="Z548" s="70" t="s">
        <v>2222</v>
      </c>
      <c r="AA548" s="70"/>
      <c r="AB548" s="70"/>
      <c r="AC548" s="70" t="s">
        <v>2222</v>
      </c>
      <c r="AD548" s="70" t="s">
        <v>2222</v>
      </c>
      <c r="AE548" s="70" t="s">
        <v>2222</v>
      </c>
      <c r="AF548" s="70" t="s">
        <v>2222</v>
      </c>
      <c r="AG548" s="70" t="s">
        <v>2222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3"/>
        <v>28</v>
      </c>
      <c r="P549" s="136" t="s">
        <v>2047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thickBot="1" x14ac:dyDescent="0.3">
      <c r="A550">
        <v>6</v>
      </c>
      <c r="B550">
        <v>1</v>
      </c>
      <c r="C550"/>
      <c r="D550"/>
      <c r="E550" t="s">
        <v>2436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3"/>
        <v>28</v>
      </c>
      <c r="P550" s="136" t="s">
        <v>2048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3"/>
        <v>11</v>
      </c>
      <c r="P551" s="136" t="s">
        <v>2049</v>
      </c>
      <c r="Q551" s="131">
        <f t="shared" si="44"/>
        <v>17</v>
      </c>
      <c r="R551" s="132">
        <f t="shared" si="45"/>
        <v>0.39285714285714285</v>
      </c>
      <c r="S551" s="70"/>
      <c r="T551" s="70"/>
      <c r="U551" s="70"/>
      <c r="V551" s="70" t="s">
        <v>2222</v>
      </c>
      <c r="W551" s="70" t="s">
        <v>2222</v>
      </c>
      <c r="X551" s="70" t="s">
        <v>2222</v>
      </c>
      <c r="Y551" s="70" t="s">
        <v>2222</v>
      </c>
      <c r="Z551" s="70" t="s">
        <v>2222</v>
      </c>
      <c r="AA551" s="70"/>
      <c r="AB551" s="70"/>
      <c r="AC551" s="70" t="s">
        <v>2222</v>
      </c>
      <c r="AD551" s="70" t="s">
        <v>2222</v>
      </c>
      <c r="AE551" s="70" t="s">
        <v>2222</v>
      </c>
      <c r="AF551" s="70" t="s">
        <v>2222</v>
      </c>
      <c r="AG551" s="70" t="s">
        <v>2222</v>
      </c>
      <c r="AH551" s="70"/>
      <c r="AI551" s="70"/>
      <c r="AJ551" s="70" t="s">
        <v>2222</v>
      </c>
      <c r="AK551" s="70" t="s">
        <v>2222</v>
      </c>
      <c r="AL551" s="70" t="s">
        <v>2222</v>
      </c>
      <c r="AM551" s="70" t="s">
        <v>2222</v>
      </c>
      <c r="AN551" s="70" t="s">
        <v>2222</v>
      </c>
      <c r="AO551" s="70"/>
      <c r="AP551" s="70"/>
      <c r="AQ551" s="70"/>
      <c r="AR551" s="70" t="s">
        <v>2222</v>
      </c>
      <c r="AS551" s="70" t="s">
        <v>2222</v>
      </c>
      <c r="AT551" s="70"/>
      <c r="AU551" s="70"/>
      <c r="AV551" s="70"/>
      <c r="AW551"/>
    </row>
    <row r="552" spans="1:49" ht="15.75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3"/>
        <v>28</v>
      </c>
      <c r="P552" s="136" t="s">
        <v>2050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thickBot="1" x14ac:dyDescent="0.3">
      <c r="A553">
        <v>6</v>
      </c>
      <c r="B553">
        <v>13</v>
      </c>
      <c r="C553"/>
      <c r="D553"/>
      <c r="E553" t="s">
        <v>2337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3"/>
        <v>11</v>
      </c>
      <c r="P553" s="136" t="s">
        <v>2051</v>
      </c>
      <c r="Q553" s="31">
        <f t="shared" si="44"/>
        <v>17</v>
      </c>
      <c r="R553" s="32">
        <f t="shared" si="45"/>
        <v>0.39285714285714285</v>
      </c>
      <c r="S553" s="70"/>
      <c r="T553" s="70"/>
      <c r="U553" s="70"/>
      <c r="V553" s="70" t="s">
        <v>2222</v>
      </c>
      <c r="W553" s="70" t="s">
        <v>2222</v>
      </c>
      <c r="X553" s="70" t="s">
        <v>2222</v>
      </c>
      <c r="Y553" s="70" t="s">
        <v>2222</v>
      </c>
      <c r="Z553" s="70" t="s">
        <v>2222</v>
      </c>
      <c r="AA553" s="70"/>
      <c r="AB553" s="70"/>
      <c r="AC553" s="70" t="s">
        <v>2222</v>
      </c>
      <c r="AD553" s="70" t="s">
        <v>2222</v>
      </c>
      <c r="AE553" s="70" t="s">
        <v>2222</v>
      </c>
      <c r="AF553" s="70" t="s">
        <v>2222</v>
      </c>
      <c r="AG553" s="70" t="s">
        <v>2222</v>
      </c>
      <c r="AH553" s="70"/>
      <c r="AI553" s="70"/>
      <c r="AJ553" s="70" t="s">
        <v>2222</v>
      </c>
      <c r="AK553" s="70" t="s">
        <v>2222</v>
      </c>
      <c r="AL553" s="70" t="s">
        <v>2222</v>
      </c>
      <c r="AM553" s="70" t="s">
        <v>2222</v>
      </c>
      <c r="AN553" s="70" t="s">
        <v>2222</v>
      </c>
      <c r="AO553" s="70"/>
      <c r="AP553" s="70"/>
      <c r="AQ553" s="70"/>
      <c r="AR553" s="70" t="s">
        <v>2222</v>
      </c>
      <c r="AS553" s="70" t="s">
        <v>2222</v>
      </c>
      <c r="AT553" s="70"/>
      <c r="AU553" s="70"/>
      <c r="AV553" s="70"/>
      <c r="AW553"/>
    </row>
    <row r="554" spans="1:49" ht="15.75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3"/>
        <v>28</v>
      </c>
      <c r="P554" s="136" t="s">
        <v>2052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2148</v>
      </c>
      <c r="J555" s="84" t="s">
        <v>14</v>
      </c>
      <c r="K555" s="84" t="s">
        <v>1278</v>
      </c>
      <c r="L555" s="30"/>
      <c r="M555" s="30" t="s">
        <v>2295</v>
      </c>
      <c r="N555" s="30"/>
      <c r="O555" s="31">
        <f t="shared" si="43"/>
        <v>12</v>
      </c>
      <c r="P555" s="136" t="s">
        <v>2149</v>
      </c>
      <c r="Q555" s="31">
        <f t="shared" si="44"/>
        <v>16</v>
      </c>
      <c r="R555" s="32">
        <f t="shared" si="45"/>
        <v>0.42857142857142855</v>
      </c>
      <c r="S555" s="70"/>
      <c r="T555" s="70"/>
      <c r="U555" s="70"/>
      <c r="V555" s="70" t="s">
        <v>2222</v>
      </c>
      <c r="W555" s="70" t="s">
        <v>2222</v>
      </c>
      <c r="X555" s="70" t="s">
        <v>2222</v>
      </c>
      <c r="Y555" s="70" t="s">
        <v>2222</v>
      </c>
      <c r="Z555" s="70" t="s">
        <v>2222</v>
      </c>
      <c r="AA555" s="70"/>
      <c r="AB555" s="70"/>
      <c r="AC555" s="70" t="s">
        <v>2222</v>
      </c>
      <c r="AD555" s="70" t="s">
        <v>2222</v>
      </c>
      <c r="AE555" s="70" t="s">
        <v>2222</v>
      </c>
      <c r="AF555" s="70" t="s">
        <v>2222</v>
      </c>
      <c r="AG555" s="70" t="s">
        <v>2222</v>
      </c>
      <c r="AH555" s="70"/>
      <c r="AI555" s="70"/>
      <c r="AJ555" s="70" t="s">
        <v>2222</v>
      </c>
      <c r="AK555" s="70" t="s">
        <v>2222</v>
      </c>
      <c r="AL555" s="70" t="s">
        <v>2222</v>
      </c>
      <c r="AM555" s="70" t="s">
        <v>2222</v>
      </c>
      <c r="AN555" s="70" t="s">
        <v>2222</v>
      </c>
      <c r="AO555" s="70"/>
      <c r="AP555" s="70"/>
      <c r="AQ555" s="70"/>
      <c r="AR555" s="70" t="s">
        <v>2222</v>
      </c>
      <c r="AS555" s="70"/>
      <c r="AT555" s="70"/>
      <c r="AU555" s="70"/>
      <c r="AV555" s="70"/>
    </row>
    <row r="556" spans="1:49" s="73" customFormat="1" ht="15.75" thickBot="1" x14ac:dyDescent="0.3">
      <c r="A556"/>
      <c r="B556"/>
      <c r="C556"/>
      <c r="D556"/>
      <c r="E556"/>
      <c r="F556" t="s">
        <v>470</v>
      </c>
      <c r="G556" t="s">
        <v>2090</v>
      </c>
      <c r="H556" t="s">
        <v>1041</v>
      </c>
      <c r="I556" s="73" t="s">
        <v>2091</v>
      </c>
      <c r="J556" s="84" t="s">
        <v>14</v>
      </c>
      <c r="K556" s="84" t="s">
        <v>1278</v>
      </c>
      <c r="L556" s="30"/>
      <c r="M556" s="30" t="s">
        <v>2296</v>
      </c>
      <c r="N556" s="30"/>
      <c r="O556" s="31">
        <f t="shared" si="43"/>
        <v>26</v>
      </c>
      <c r="P556" s="136" t="s">
        <v>2092</v>
      </c>
      <c r="Q556" s="31">
        <f t="shared" si="44"/>
        <v>2</v>
      </c>
      <c r="R556" s="32">
        <f t="shared" si="45"/>
        <v>0.9285714285714286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 t="s">
        <v>2222</v>
      </c>
      <c r="AF556" s="70" t="s">
        <v>2222</v>
      </c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thickBot="1" x14ac:dyDescent="0.3">
      <c r="A557"/>
      <c r="B557"/>
      <c r="C557"/>
      <c r="D557"/>
      <c r="E557"/>
      <c r="F557" s="73" t="s">
        <v>2095</v>
      </c>
      <c r="G557" s="73" t="s">
        <v>2093</v>
      </c>
      <c r="H557" t="s">
        <v>1041</v>
      </c>
      <c r="I557" s="73" t="s">
        <v>2094</v>
      </c>
      <c r="J557" s="84" t="s">
        <v>14</v>
      </c>
      <c r="K557" s="84" t="s">
        <v>1278</v>
      </c>
      <c r="L557" s="84"/>
      <c r="M557" s="84" t="s">
        <v>2297</v>
      </c>
      <c r="N557" s="84"/>
      <c r="O557" s="131">
        <f t="shared" si="43"/>
        <v>25</v>
      </c>
      <c r="P557" s="136" t="s">
        <v>2096</v>
      </c>
      <c r="Q557" s="131">
        <f t="shared" si="44"/>
        <v>3</v>
      </c>
      <c r="R557" s="132">
        <f t="shared" si="45"/>
        <v>0.8928571428571429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 t="s">
        <v>2222</v>
      </c>
      <c r="AL557" s="70" t="s">
        <v>2222</v>
      </c>
      <c r="AM557" s="70" t="s">
        <v>2222</v>
      </c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3"/>
        <v>27</v>
      </c>
      <c r="P558" s="136" t="s">
        <v>2053</v>
      </c>
      <c r="Q558" s="131">
        <f t="shared" si="44"/>
        <v>1</v>
      </c>
      <c r="R558" s="132">
        <f t="shared" si="45"/>
        <v>0.9642857142857143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 t="s">
        <v>2222</v>
      </c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3"/>
        <v>28</v>
      </c>
      <c r="P559" s="136" t="s">
        <v>2054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3"/>
        <v>28</v>
      </c>
      <c r="P560" s="136" t="s">
        <v>2055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3"/>
        <v>28</v>
      </c>
      <c r="P561" s="136" t="s">
        <v>2056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 s="151" t="s">
        <v>2456</v>
      </c>
      <c r="F562" s="73" t="s">
        <v>557</v>
      </c>
      <c r="G562" s="73" t="s">
        <v>1607</v>
      </c>
      <c r="H562" s="73" t="s">
        <v>1042</v>
      </c>
      <c r="I562" s="73" t="s">
        <v>1614</v>
      </c>
      <c r="J562" s="84" t="s">
        <v>1093</v>
      </c>
      <c r="K562" s="84" t="s">
        <v>1278</v>
      </c>
      <c r="L562" s="84"/>
      <c r="M562" s="84" t="s">
        <v>1609</v>
      </c>
      <c r="N562" s="84"/>
      <c r="O562" s="131">
        <f t="shared" si="43"/>
        <v>28</v>
      </c>
      <c r="P562" s="136" t="s">
        <v>2138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557</v>
      </c>
      <c r="G563" s="73" t="s">
        <v>2084</v>
      </c>
      <c r="H563" s="73" t="s">
        <v>1042</v>
      </c>
      <c r="I563" s="73" t="s">
        <v>2085</v>
      </c>
      <c r="J563" s="30" t="s">
        <v>14</v>
      </c>
      <c r="K563" s="84" t="s">
        <v>1278</v>
      </c>
      <c r="L563" s="84"/>
      <c r="M563" s="84" t="s">
        <v>2087</v>
      </c>
      <c r="N563" s="84"/>
      <c r="O563" s="131">
        <f t="shared" si="43"/>
        <v>11</v>
      </c>
      <c r="P563" s="136"/>
      <c r="Q563" s="131">
        <f t="shared" si="44"/>
        <v>17</v>
      </c>
      <c r="R563" s="132">
        <f t="shared" si="45"/>
        <v>0.39285714285714285</v>
      </c>
      <c r="S563" s="70"/>
      <c r="T563" s="70"/>
      <c r="U563" s="70"/>
      <c r="V563" s="70" t="s">
        <v>2222</v>
      </c>
      <c r="W563" s="70" t="s">
        <v>2222</v>
      </c>
      <c r="X563" s="70" t="s">
        <v>2222</v>
      </c>
      <c r="Y563" s="70" t="s">
        <v>2222</v>
      </c>
      <c r="Z563" s="70" t="s">
        <v>2222</v>
      </c>
      <c r="AA563" s="70"/>
      <c r="AB563" s="70"/>
      <c r="AC563" s="70" t="s">
        <v>2222</v>
      </c>
      <c r="AD563" s="70" t="s">
        <v>2222</v>
      </c>
      <c r="AE563" s="70" t="s">
        <v>2222</v>
      </c>
      <c r="AF563" s="70" t="s">
        <v>2222</v>
      </c>
      <c r="AG563" s="70" t="s">
        <v>2222</v>
      </c>
      <c r="AH563" s="70"/>
      <c r="AI563" s="70"/>
      <c r="AJ563" s="70" t="s">
        <v>2222</v>
      </c>
      <c r="AK563" s="70" t="s">
        <v>2222</v>
      </c>
      <c r="AL563" s="70" t="s">
        <v>2222</v>
      </c>
      <c r="AM563" s="70" t="s">
        <v>2222</v>
      </c>
      <c r="AN563" s="70" t="s">
        <v>2222</v>
      </c>
      <c r="AO563" s="70"/>
      <c r="AP563" s="70"/>
      <c r="AQ563" s="70"/>
      <c r="AR563" s="70" t="s">
        <v>2222</v>
      </c>
      <c r="AS563" s="70" t="s">
        <v>2222</v>
      </c>
      <c r="AT563" s="70"/>
      <c r="AU563" s="70"/>
      <c r="AV563" s="70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1620</v>
      </c>
      <c r="H564" s="73" t="s">
        <v>1042</v>
      </c>
      <c r="I564" s="73" t="s">
        <v>1621</v>
      </c>
      <c r="J564" s="84" t="s">
        <v>14</v>
      </c>
      <c r="K564" s="84" t="s">
        <v>1278</v>
      </c>
      <c r="L564" s="84"/>
      <c r="M564" s="84" t="s">
        <v>1622</v>
      </c>
      <c r="N564" s="84"/>
      <c r="O564" s="131">
        <f t="shared" si="43"/>
        <v>28</v>
      </c>
      <c r="P564" s="136" t="s">
        <v>2139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s="73"/>
      <c r="G565" s="73" t="s">
        <v>2476</v>
      </c>
      <c r="H565" s="73" t="s">
        <v>1042</v>
      </c>
      <c r="I565" s="73" t="s">
        <v>2477</v>
      </c>
      <c r="J565" s="84" t="s">
        <v>14</v>
      </c>
      <c r="K565" s="84" t="s">
        <v>1278</v>
      </c>
      <c r="L565" s="84"/>
      <c r="M565" s="84" t="s">
        <v>2478</v>
      </c>
      <c r="N565" s="84"/>
      <c r="O565" s="131"/>
      <c r="P565" s="136" t="s">
        <v>2479</v>
      </c>
      <c r="Q565" s="131"/>
      <c r="R565" s="132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 t="s">
        <v>2469</v>
      </c>
      <c r="B566" t="s">
        <v>73</v>
      </c>
      <c r="C566" t="s">
        <v>2470</v>
      </c>
      <c r="D566" t="s">
        <v>610</v>
      </c>
      <c r="E566" s="156" t="s">
        <v>2471</v>
      </c>
      <c r="F566" t="s">
        <v>562</v>
      </c>
      <c r="G566" t="s">
        <v>1027</v>
      </c>
      <c r="H566" t="s">
        <v>1042</v>
      </c>
      <c r="I566" t="s">
        <v>563</v>
      </c>
      <c r="J566" s="30" t="s">
        <v>71</v>
      </c>
      <c r="K566" s="84" t="s">
        <v>1278</v>
      </c>
      <c r="L566" s="30"/>
      <c r="M566" s="30" t="s">
        <v>863</v>
      </c>
      <c r="N566" s="30"/>
      <c r="O566" s="31">
        <f t="shared" si="43"/>
        <v>11</v>
      </c>
      <c r="P566" s="136" t="s">
        <v>2135</v>
      </c>
      <c r="Q566" s="31">
        <f t="shared" si="44"/>
        <v>17</v>
      </c>
      <c r="R566" s="32">
        <f t="shared" si="45"/>
        <v>0.39285714285714285</v>
      </c>
      <c r="S566" s="70"/>
      <c r="T566" s="70"/>
      <c r="U566" s="70"/>
      <c r="V566" s="70" t="s">
        <v>2222</v>
      </c>
      <c r="W566" s="70" t="s">
        <v>2222</v>
      </c>
      <c r="X566" s="70" t="s">
        <v>2222</v>
      </c>
      <c r="Y566" s="70" t="s">
        <v>2222</v>
      </c>
      <c r="Z566" s="70" t="s">
        <v>2222</v>
      </c>
      <c r="AA566" s="70"/>
      <c r="AB566" s="70"/>
      <c r="AC566" s="70" t="s">
        <v>2222</v>
      </c>
      <c r="AD566" s="70" t="s">
        <v>2222</v>
      </c>
      <c r="AE566" s="70" t="s">
        <v>2222</v>
      </c>
      <c r="AF566" s="70" t="s">
        <v>2222</v>
      </c>
      <c r="AG566" s="70" t="s">
        <v>2222</v>
      </c>
      <c r="AH566" s="70"/>
      <c r="AI566" s="70"/>
      <c r="AJ566" s="70" t="s">
        <v>2222</v>
      </c>
      <c r="AK566" s="70" t="s">
        <v>2222</v>
      </c>
      <c r="AL566" s="70" t="s">
        <v>2222</v>
      </c>
      <c r="AM566" s="70" t="s">
        <v>2222</v>
      </c>
      <c r="AN566" s="70" t="s">
        <v>2222</v>
      </c>
      <c r="AO566" s="70"/>
      <c r="AP566" s="70"/>
      <c r="AQ566" s="70"/>
      <c r="AR566" s="70" t="s">
        <v>2222</v>
      </c>
      <c r="AS566" s="70" t="s">
        <v>2222</v>
      </c>
      <c r="AT566" s="70"/>
      <c r="AU566" s="70"/>
      <c r="AV566" s="70"/>
      <c r="AW566" s="73"/>
    </row>
    <row r="567" spans="1:49" ht="15.75" thickBot="1" x14ac:dyDescent="0.3">
      <c r="A567" t="s">
        <v>96</v>
      </c>
      <c r="B567" t="s">
        <v>97</v>
      </c>
      <c r="C567" t="s">
        <v>1278</v>
      </c>
      <c r="D567" t="s">
        <v>1352</v>
      </c>
      <c r="E567" t="s">
        <v>2472</v>
      </c>
      <c r="F567" t="s">
        <v>562</v>
      </c>
      <c r="G567" t="s">
        <v>1028</v>
      </c>
      <c r="H567" t="s">
        <v>1042</v>
      </c>
      <c r="I567" t="s">
        <v>564</v>
      </c>
      <c r="J567" s="30" t="s">
        <v>14</v>
      </c>
      <c r="K567" s="30" t="s">
        <v>2368</v>
      </c>
      <c r="L567" s="30"/>
      <c r="M567" s="30" t="s">
        <v>864</v>
      </c>
      <c r="N567" s="30"/>
      <c r="O567" s="31">
        <f t="shared" si="43"/>
        <v>28</v>
      </c>
      <c r="P567" s="136" t="s">
        <v>2057</v>
      </c>
      <c r="Q567" s="31">
        <f t="shared" si="44"/>
        <v>0</v>
      </c>
      <c r="R567" s="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s="73" customFormat="1" ht="15.75" thickBot="1" x14ac:dyDescent="0.3">
      <c r="A568" t="s">
        <v>126</v>
      </c>
      <c r="B568" t="s">
        <v>127</v>
      </c>
      <c r="C568" t="s">
        <v>2470</v>
      </c>
      <c r="D568" t="s">
        <v>643</v>
      </c>
      <c r="E568" t="s">
        <v>2472</v>
      </c>
      <c r="F568" t="s">
        <v>562</v>
      </c>
      <c r="G568" t="s">
        <v>565</v>
      </c>
      <c r="H568" t="s">
        <v>1042</v>
      </c>
      <c r="I568" t="s">
        <v>566</v>
      </c>
      <c r="J568" s="30" t="s">
        <v>71</v>
      </c>
      <c r="K568" s="84" t="s">
        <v>1278</v>
      </c>
      <c r="L568" s="30"/>
      <c r="M568" s="30" t="s">
        <v>865</v>
      </c>
      <c r="N568" s="30"/>
      <c r="O568" s="31">
        <f t="shared" si="43"/>
        <v>12</v>
      </c>
      <c r="P568" s="136" t="s">
        <v>2136</v>
      </c>
      <c r="Q568" s="31">
        <f t="shared" si="44"/>
        <v>16</v>
      </c>
      <c r="R568" s="32">
        <f t="shared" si="45"/>
        <v>0.42857142857142855</v>
      </c>
      <c r="S568" s="70"/>
      <c r="T568" s="70"/>
      <c r="U568" s="70"/>
      <c r="V568" s="70" t="s">
        <v>2222</v>
      </c>
      <c r="W568" s="70" t="s">
        <v>2222</v>
      </c>
      <c r="X568" s="70" t="s">
        <v>2222</v>
      </c>
      <c r="Y568" s="70" t="s">
        <v>2222</v>
      </c>
      <c r="Z568" s="70" t="s">
        <v>2222</v>
      </c>
      <c r="AA568" s="70"/>
      <c r="AB568" s="70"/>
      <c r="AC568" s="70" t="s">
        <v>2222</v>
      </c>
      <c r="AD568" s="70" t="s">
        <v>2222</v>
      </c>
      <c r="AE568" s="70" t="s">
        <v>2222</v>
      </c>
      <c r="AF568" s="70" t="s">
        <v>2222</v>
      </c>
      <c r="AG568" s="70" t="s">
        <v>2222</v>
      </c>
      <c r="AH568" s="70"/>
      <c r="AI568" s="70"/>
      <c r="AJ568" s="70"/>
      <c r="AK568" s="70" t="s">
        <v>2222</v>
      </c>
      <c r="AL568" s="70" t="s">
        <v>2222</v>
      </c>
      <c r="AM568" s="70" t="s">
        <v>2222</v>
      </c>
      <c r="AN568" s="70" t="s">
        <v>2222</v>
      </c>
      <c r="AO568" s="70"/>
      <c r="AP568" s="70"/>
      <c r="AQ568" s="70"/>
      <c r="AR568" s="70" t="s">
        <v>2222</v>
      </c>
      <c r="AS568" s="70" t="s">
        <v>2222</v>
      </c>
      <c r="AT568" s="70"/>
      <c r="AU568" s="70"/>
      <c r="AV568" s="70"/>
    </row>
    <row r="569" spans="1:49" s="73" customFormat="1" ht="15.75" thickBot="1" x14ac:dyDescent="0.3">
      <c r="A569" t="s">
        <v>137</v>
      </c>
      <c r="B569" t="s">
        <v>138</v>
      </c>
      <c r="C569" t="s">
        <v>2470</v>
      </c>
      <c r="D569" t="s">
        <v>1432</v>
      </c>
      <c r="E569" s="126" t="s">
        <v>2473</v>
      </c>
      <c r="F569" t="s">
        <v>562</v>
      </c>
      <c r="G569" t="s">
        <v>567</v>
      </c>
      <c r="H569" t="s">
        <v>1042</v>
      </c>
      <c r="I569" t="s">
        <v>568</v>
      </c>
      <c r="J569" s="30" t="s">
        <v>14</v>
      </c>
      <c r="K569" s="30" t="s">
        <v>2368</v>
      </c>
      <c r="L569" s="30"/>
      <c r="M569" s="30" t="s">
        <v>866</v>
      </c>
      <c r="N569" s="30"/>
      <c r="O569" s="31">
        <f t="shared" si="43"/>
        <v>28</v>
      </c>
      <c r="P569" s="136" t="s">
        <v>2058</v>
      </c>
      <c r="Q569" s="31">
        <f t="shared" si="44"/>
        <v>0</v>
      </c>
      <c r="R569" s="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 t="s">
        <v>47</v>
      </c>
      <c r="B570" t="s">
        <v>48</v>
      </c>
      <c r="C570" t="s">
        <v>1278</v>
      </c>
      <c r="D570" t="s">
        <v>1332</v>
      </c>
      <c r="E570" t="s">
        <v>2472</v>
      </c>
      <c r="F570" s="73" t="s">
        <v>562</v>
      </c>
      <c r="G570" s="73" t="s">
        <v>569</v>
      </c>
      <c r="H570" s="73" t="s">
        <v>1042</v>
      </c>
      <c r="I570" s="73" t="s">
        <v>570</v>
      </c>
      <c r="J570" s="84" t="s">
        <v>14</v>
      </c>
      <c r="K570" s="84" t="s">
        <v>1278</v>
      </c>
      <c r="L570" s="84"/>
      <c r="M570" s="84" t="s">
        <v>867</v>
      </c>
      <c r="N570" s="84"/>
      <c r="O570" s="131">
        <f t="shared" si="43"/>
        <v>28</v>
      </c>
      <c r="P570" s="136" t="s">
        <v>2059</v>
      </c>
      <c r="Q570" s="131">
        <f t="shared" si="44"/>
        <v>0</v>
      </c>
      <c r="R570" s="1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thickBot="1" x14ac:dyDescent="0.3">
      <c r="A571" t="s">
        <v>153</v>
      </c>
      <c r="B571" t="s">
        <v>154</v>
      </c>
      <c r="C571" t="s">
        <v>2470</v>
      </c>
      <c r="D571" t="s">
        <v>667</v>
      </c>
      <c r="E571" s="157" t="s">
        <v>2474</v>
      </c>
      <c r="F571" t="s">
        <v>165</v>
      </c>
      <c r="G571" t="s">
        <v>571</v>
      </c>
      <c r="H571" t="s">
        <v>1042</v>
      </c>
      <c r="I571" t="s">
        <v>1071</v>
      </c>
      <c r="J571" s="30" t="s">
        <v>18</v>
      </c>
      <c r="K571" s="30" t="s">
        <v>19</v>
      </c>
      <c r="L571" s="30"/>
      <c r="M571" s="30" t="s">
        <v>1373</v>
      </c>
      <c r="N571" s="30"/>
      <c r="O571" s="31">
        <f t="shared" si="43"/>
        <v>28</v>
      </c>
      <c r="P571" s="136" t="s">
        <v>2137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 t="s">
        <v>1301</v>
      </c>
      <c r="B572" t="s">
        <v>1302</v>
      </c>
      <c r="C572" t="s">
        <v>1278</v>
      </c>
      <c r="D572" t="s">
        <v>1303</v>
      </c>
      <c r="E572" t="s">
        <v>2472</v>
      </c>
      <c r="F572" t="s">
        <v>165</v>
      </c>
      <c r="G572" t="s">
        <v>1029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868</v>
      </c>
      <c r="N572" s="30"/>
      <c r="O572" s="31">
        <f t="shared" si="43"/>
        <v>17</v>
      </c>
      <c r="P572" s="136" t="s">
        <v>2060</v>
      </c>
      <c r="Q572" s="31">
        <f t="shared" si="44"/>
        <v>11</v>
      </c>
      <c r="R572" s="32">
        <f t="shared" si="45"/>
        <v>0.6071428571428571</v>
      </c>
      <c r="S572" s="70"/>
      <c r="T572" s="70"/>
      <c r="U572" s="70"/>
      <c r="V572" s="70" t="s">
        <v>2222</v>
      </c>
      <c r="W572" s="70" t="s">
        <v>2222</v>
      </c>
      <c r="X572" s="70" t="s">
        <v>2222</v>
      </c>
      <c r="Y572" s="70" t="s">
        <v>2222</v>
      </c>
      <c r="Z572" s="70" t="s">
        <v>2222</v>
      </c>
      <c r="AA572" s="70"/>
      <c r="AB572" s="70"/>
      <c r="AC572" s="70" t="s">
        <v>2222</v>
      </c>
      <c r="AD572" s="70" t="s">
        <v>2222</v>
      </c>
      <c r="AE572" s="70" t="s">
        <v>2222</v>
      </c>
      <c r="AF572" s="70" t="s">
        <v>2222</v>
      </c>
      <c r="AG572" s="70" t="s">
        <v>2222</v>
      </c>
      <c r="AH572" s="70"/>
      <c r="AI572" s="70"/>
      <c r="AJ572" s="70" t="s">
        <v>2222</v>
      </c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2197</v>
      </c>
      <c r="B573" t="s">
        <v>2198</v>
      </c>
      <c r="C573" t="s">
        <v>2470</v>
      </c>
      <c r="D573" t="s">
        <v>2199</v>
      </c>
      <c r="E573" s="157" t="s">
        <v>2474</v>
      </c>
      <c r="F573" t="s">
        <v>165</v>
      </c>
      <c r="G573" t="s">
        <v>1030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869</v>
      </c>
      <c r="N573" s="30"/>
      <c r="O573" s="31">
        <f t="shared" si="43"/>
        <v>17</v>
      </c>
      <c r="P573" s="136" t="s">
        <v>2061</v>
      </c>
      <c r="Q573" s="31">
        <f t="shared" si="44"/>
        <v>11</v>
      </c>
      <c r="R573" s="32">
        <f t="shared" si="45"/>
        <v>0.6071428571428571</v>
      </c>
      <c r="S573" s="70"/>
      <c r="T573" s="70"/>
      <c r="U573" s="70"/>
      <c r="V573" s="70" t="s">
        <v>2222</v>
      </c>
      <c r="W573" s="70" t="s">
        <v>2222</v>
      </c>
      <c r="X573" s="70" t="s">
        <v>2222</v>
      </c>
      <c r="Y573" s="70" t="s">
        <v>2222</v>
      </c>
      <c r="Z573" s="70" t="s">
        <v>2222</v>
      </c>
      <c r="AA573" s="70"/>
      <c r="AB573" s="70"/>
      <c r="AC573" s="70" t="s">
        <v>2222</v>
      </c>
      <c r="AD573" s="70" t="s">
        <v>2222</v>
      </c>
      <c r="AE573" s="70" t="s">
        <v>2222</v>
      </c>
      <c r="AF573" s="70" t="s">
        <v>2222</v>
      </c>
      <c r="AG573" s="70" t="s">
        <v>2222</v>
      </c>
      <c r="AH573" s="70"/>
      <c r="AI573" s="70"/>
      <c r="AJ573" s="70" t="s">
        <v>2222</v>
      </c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937</v>
      </c>
      <c r="B574" t="s">
        <v>209</v>
      </c>
      <c r="C574" t="s">
        <v>1278</v>
      </c>
      <c r="D574" t="s">
        <v>1382</v>
      </c>
      <c r="E574" t="s">
        <v>2472</v>
      </c>
      <c r="F574" t="s">
        <v>165</v>
      </c>
      <c r="G574" t="s">
        <v>1031</v>
      </c>
      <c r="H574" t="s">
        <v>1042</v>
      </c>
      <c r="I574" t="s">
        <v>1086</v>
      </c>
      <c r="J574" s="30" t="s">
        <v>14</v>
      </c>
      <c r="K574" s="30" t="s">
        <v>27</v>
      </c>
      <c r="L574" s="30"/>
      <c r="M574" s="30" t="s">
        <v>870</v>
      </c>
      <c r="N574" s="30"/>
      <c r="O574" s="31">
        <f t="shared" si="43"/>
        <v>17</v>
      </c>
      <c r="P574" s="136" t="s">
        <v>2062</v>
      </c>
      <c r="Q574" s="31">
        <f t="shared" si="44"/>
        <v>11</v>
      </c>
      <c r="R574" s="32">
        <f t="shared" si="45"/>
        <v>0.6071428571428571</v>
      </c>
      <c r="S574" s="70"/>
      <c r="T574" s="70"/>
      <c r="U574" s="70"/>
      <c r="V574" s="70" t="s">
        <v>2222</v>
      </c>
      <c r="W574" s="70" t="s">
        <v>2222</v>
      </c>
      <c r="X574" s="70" t="s">
        <v>2222</v>
      </c>
      <c r="Y574" s="70" t="s">
        <v>2222</v>
      </c>
      <c r="Z574" s="70" t="s">
        <v>2222</v>
      </c>
      <c r="AA574" s="70"/>
      <c r="AB574" s="70"/>
      <c r="AC574" s="70" t="s">
        <v>2222</v>
      </c>
      <c r="AD574" s="70" t="s">
        <v>2222</v>
      </c>
      <c r="AE574" s="70" t="s">
        <v>2222</v>
      </c>
      <c r="AF574" s="70" t="s">
        <v>2222</v>
      </c>
      <c r="AG574" s="70" t="s">
        <v>2222</v>
      </c>
      <c r="AH574" s="70"/>
      <c r="AI574" s="70"/>
      <c r="AJ574" s="70" t="s">
        <v>2222</v>
      </c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1207</v>
      </c>
      <c r="B575" t="s">
        <v>1206</v>
      </c>
      <c r="C575" t="s">
        <v>1278</v>
      </c>
      <c r="D575" t="s">
        <v>1216</v>
      </c>
      <c r="E575" s="157" t="s">
        <v>2474</v>
      </c>
      <c r="F575" t="s">
        <v>165</v>
      </c>
      <c r="G575" t="s">
        <v>572</v>
      </c>
      <c r="H575" t="s">
        <v>1042</v>
      </c>
      <c r="I575" t="s">
        <v>1073</v>
      </c>
      <c r="J575" s="30" t="s">
        <v>14</v>
      </c>
      <c r="K575" s="30" t="s">
        <v>1035</v>
      </c>
      <c r="L575" s="30"/>
      <c r="M575" s="30" t="s">
        <v>1197</v>
      </c>
      <c r="N575" s="30"/>
      <c r="O575" s="31">
        <f t="shared" si="43"/>
        <v>11</v>
      </c>
      <c r="P575" s="136" t="s">
        <v>2063</v>
      </c>
      <c r="Q575" s="31">
        <f t="shared" si="44"/>
        <v>17</v>
      </c>
      <c r="R575" s="32">
        <f t="shared" si="45"/>
        <v>0.39285714285714285</v>
      </c>
      <c r="S575" s="70"/>
      <c r="T575" s="70"/>
      <c r="U575" s="70"/>
      <c r="V575" s="70" t="s">
        <v>2222</v>
      </c>
      <c r="W575" s="70" t="s">
        <v>2222</v>
      </c>
      <c r="X575" s="70" t="s">
        <v>2222</v>
      </c>
      <c r="Y575" s="70" t="s">
        <v>2222</v>
      </c>
      <c r="Z575" s="70" t="s">
        <v>2222</v>
      </c>
      <c r="AA575" s="70"/>
      <c r="AB575" s="70"/>
      <c r="AC575" s="70" t="s">
        <v>2222</v>
      </c>
      <c r="AD575" s="70" t="s">
        <v>2222</v>
      </c>
      <c r="AE575" s="70" t="s">
        <v>2222</v>
      </c>
      <c r="AF575" s="70" t="s">
        <v>2222</v>
      </c>
      <c r="AG575" s="70" t="s">
        <v>2222</v>
      </c>
      <c r="AH575" s="70"/>
      <c r="AI575" s="70"/>
      <c r="AJ575" s="70" t="s">
        <v>2222</v>
      </c>
      <c r="AK575" s="70" t="s">
        <v>2222</v>
      </c>
      <c r="AL575" s="70" t="s">
        <v>2222</v>
      </c>
      <c r="AM575" s="70" t="s">
        <v>2222</v>
      </c>
      <c r="AN575" s="70" t="s">
        <v>2222</v>
      </c>
      <c r="AO575" s="70"/>
      <c r="AP575" s="70"/>
      <c r="AQ575" s="70"/>
      <c r="AR575" s="70" t="s">
        <v>2222</v>
      </c>
      <c r="AS575" s="70" t="s">
        <v>2222</v>
      </c>
      <c r="AT575" s="70"/>
      <c r="AU575" s="70"/>
      <c r="AV575" s="70"/>
      <c r="AW575" s="73"/>
    </row>
    <row r="576" spans="1:49" ht="15.75" thickBot="1" x14ac:dyDescent="0.3">
      <c r="A576" t="s">
        <v>270</v>
      </c>
      <c r="B576" t="s">
        <v>271</v>
      </c>
      <c r="C576" t="s">
        <v>2470</v>
      </c>
      <c r="D576" t="s">
        <v>711</v>
      </c>
      <c r="E576" s="157" t="s">
        <v>2474</v>
      </c>
      <c r="F576" t="s">
        <v>573</v>
      </c>
      <c r="G576" t="s">
        <v>1032</v>
      </c>
      <c r="H576" t="s">
        <v>1042</v>
      </c>
      <c r="I576" t="s">
        <v>575</v>
      </c>
      <c r="J576" s="30" t="s">
        <v>71</v>
      </c>
      <c r="K576" s="30" t="s">
        <v>1278</v>
      </c>
      <c r="L576" s="30"/>
      <c r="M576" s="30" t="s">
        <v>872</v>
      </c>
      <c r="N576" s="30"/>
      <c r="O576" s="31">
        <f t="shared" si="43"/>
        <v>17</v>
      </c>
      <c r="P576" s="136" t="s">
        <v>2065</v>
      </c>
      <c r="Q576" s="31">
        <f t="shared" si="44"/>
        <v>11</v>
      </c>
      <c r="R576" s="32">
        <f t="shared" si="45"/>
        <v>0.6071428571428571</v>
      </c>
      <c r="S576" s="70"/>
      <c r="T576" s="70"/>
      <c r="U576" s="70"/>
      <c r="V576" s="70" t="s">
        <v>2222</v>
      </c>
      <c r="W576" s="70" t="s">
        <v>2222</v>
      </c>
      <c r="X576" s="70" t="s">
        <v>2222</v>
      </c>
      <c r="Y576" s="70" t="s">
        <v>2222</v>
      </c>
      <c r="Z576" s="70" t="s">
        <v>2222</v>
      </c>
      <c r="AA576" s="70"/>
      <c r="AB576" s="70"/>
      <c r="AC576" s="70" t="s">
        <v>2222</v>
      </c>
      <c r="AD576" s="70" t="s">
        <v>2222</v>
      </c>
      <c r="AE576" s="70" t="s">
        <v>2222</v>
      </c>
      <c r="AF576" s="70" t="s">
        <v>2222</v>
      </c>
      <c r="AG576" s="70" t="s">
        <v>2222</v>
      </c>
      <c r="AH576" s="70"/>
      <c r="AI576" s="70"/>
      <c r="AJ576" s="70" t="s">
        <v>2222</v>
      </c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thickBot="1" x14ac:dyDescent="0.3">
      <c r="A577" t="s">
        <v>1293</v>
      </c>
      <c r="B577" t="s">
        <v>1296</v>
      </c>
      <c r="C577" t="s">
        <v>2470</v>
      </c>
      <c r="D577" t="s">
        <v>1308</v>
      </c>
      <c r="E577" s="157" t="s">
        <v>2474</v>
      </c>
      <c r="F577" t="s">
        <v>573</v>
      </c>
      <c r="G577" t="s">
        <v>1033</v>
      </c>
      <c r="H577" t="s">
        <v>1042</v>
      </c>
      <c r="I577" t="s">
        <v>576</v>
      </c>
      <c r="J577" s="30" t="s">
        <v>71</v>
      </c>
      <c r="K577" s="30" t="s">
        <v>1278</v>
      </c>
      <c r="L577" s="30"/>
      <c r="M577" s="30" t="s">
        <v>873</v>
      </c>
      <c r="N577" s="30"/>
      <c r="O577" s="31">
        <f t="shared" si="43"/>
        <v>15</v>
      </c>
      <c r="P577" s="136" t="s">
        <v>2066</v>
      </c>
      <c r="Q577" s="31">
        <f t="shared" si="44"/>
        <v>13</v>
      </c>
      <c r="R577" s="32">
        <f t="shared" si="45"/>
        <v>0.5357142857142857</v>
      </c>
      <c r="S577" s="70"/>
      <c r="T577" s="70"/>
      <c r="U577" s="70"/>
      <c r="V577" s="70" t="s">
        <v>2222</v>
      </c>
      <c r="W577" s="70" t="s">
        <v>2222</v>
      </c>
      <c r="X577" s="70" t="s">
        <v>2222</v>
      </c>
      <c r="Y577" s="70" t="s">
        <v>2222</v>
      </c>
      <c r="Z577" s="70" t="s">
        <v>2222</v>
      </c>
      <c r="AA577" s="70"/>
      <c r="AB577" s="70"/>
      <c r="AC577" s="70" t="s">
        <v>2222</v>
      </c>
      <c r="AD577" s="70" t="s">
        <v>2222</v>
      </c>
      <c r="AE577" s="70" t="s">
        <v>2222</v>
      </c>
      <c r="AF577" s="70" t="s">
        <v>2222</v>
      </c>
      <c r="AG577" s="70" t="s">
        <v>2222</v>
      </c>
      <c r="AH577" s="70"/>
      <c r="AI577" s="70"/>
      <c r="AJ577" s="70" t="s">
        <v>2222</v>
      </c>
      <c r="AK577" s="70"/>
      <c r="AL577" s="70"/>
      <c r="AM577" s="70"/>
      <c r="AN577" s="70"/>
      <c r="AO577" s="70"/>
      <c r="AP577" s="70"/>
      <c r="AQ577" s="70"/>
      <c r="AR577" s="70" t="s">
        <v>2222</v>
      </c>
      <c r="AS577" s="70" t="s">
        <v>2222</v>
      </c>
      <c r="AT577" s="70"/>
      <c r="AU577" s="70"/>
      <c r="AV577" s="70"/>
    </row>
    <row r="578" spans="1:49" ht="15.75" thickBot="1" x14ac:dyDescent="0.3">
      <c r="A578" t="s">
        <v>1222</v>
      </c>
      <c r="B578" t="s">
        <v>1223</v>
      </c>
      <c r="C578" t="s">
        <v>1278</v>
      </c>
      <c r="D578" t="s">
        <v>1224</v>
      </c>
      <c r="E578" t="s">
        <v>2472</v>
      </c>
      <c r="F578" t="s">
        <v>573</v>
      </c>
      <c r="G578" t="s">
        <v>574</v>
      </c>
      <c r="H578" t="s">
        <v>1042</v>
      </c>
      <c r="I578" t="s">
        <v>575</v>
      </c>
      <c r="J578" s="30" t="s">
        <v>71</v>
      </c>
      <c r="K578" s="30" t="s">
        <v>1278</v>
      </c>
      <c r="L578" s="30"/>
      <c r="M578" s="30" t="s">
        <v>871</v>
      </c>
      <c r="N578" s="30"/>
      <c r="O578" s="31">
        <f t="shared" si="43"/>
        <v>17</v>
      </c>
      <c r="P578" s="136" t="s">
        <v>2064</v>
      </c>
      <c r="Q578" s="31">
        <f t="shared" si="44"/>
        <v>11</v>
      </c>
      <c r="R578" s="32">
        <f t="shared" si="45"/>
        <v>0.6071428571428571</v>
      </c>
      <c r="S578" s="70"/>
      <c r="T578" s="70"/>
      <c r="U578" s="70"/>
      <c r="V578" s="70" t="s">
        <v>2222</v>
      </c>
      <c r="W578" s="70" t="s">
        <v>2222</v>
      </c>
      <c r="X578" s="70" t="s">
        <v>2222</v>
      </c>
      <c r="Y578" s="70" t="s">
        <v>2222</v>
      </c>
      <c r="Z578" s="70" t="s">
        <v>2222</v>
      </c>
      <c r="AA578" s="70"/>
      <c r="AB578" s="70"/>
      <c r="AC578" s="70" t="s">
        <v>2222</v>
      </c>
      <c r="AD578" s="70" t="s">
        <v>2222</v>
      </c>
      <c r="AE578" s="70" t="s">
        <v>2222</v>
      </c>
      <c r="AF578" s="70" t="s">
        <v>2222</v>
      </c>
      <c r="AG578" s="70" t="s">
        <v>2222</v>
      </c>
      <c r="AH578" s="70"/>
      <c r="AI578" s="70"/>
      <c r="AJ578" s="70" t="s">
        <v>2222</v>
      </c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s="73" customFormat="1" ht="15.75" thickBot="1" x14ac:dyDescent="0.3">
      <c r="A579" t="s">
        <v>1261</v>
      </c>
      <c r="B579" t="s">
        <v>1262</v>
      </c>
      <c r="C579" t="s">
        <v>1035</v>
      </c>
      <c r="D579" t="s">
        <v>1336</v>
      </c>
      <c r="E579" t="s">
        <v>2472</v>
      </c>
      <c r="F579" t="s">
        <v>573</v>
      </c>
      <c r="G579" t="s">
        <v>577</v>
      </c>
      <c r="H579" t="s">
        <v>1042</v>
      </c>
      <c r="I579" t="s">
        <v>576</v>
      </c>
      <c r="J579" s="30" t="s">
        <v>71</v>
      </c>
      <c r="K579" s="30" t="s">
        <v>1278</v>
      </c>
      <c r="L579" s="30"/>
      <c r="M579" s="30" t="s">
        <v>874</v>
      </c>
      <c r="N579" s="30"/>
      <c r="O579" s="31">
        <f t="shared" si="43"/>
        <v>15</v>
      </c>
      <c r="P579" s="136" t="s">
        <v>2067</v>
      </c>
      <c r="Q579" s="31">
        <f t="shared" si="44"/>
        <v>13</v>
      </c>
      <c r="R579" s="32">
        <f t="shared" si="45"/>
        <v>0.5357142857142857</v>
      </c>
      <c r="S579" s="70"/>
      <c r="T579" s="70"/>
      <c r="U579" s="70"/>
      <c r="V579" s="70" t="s">
        <v>2222</v>
      </c>
      <c r="W579" s="70" t="s">
        <v>2222</v>
      </c>
      <c r="X579" s="70" t="s">
        <v>2222</v>
      </c>
      <c r="Y579" s="70" t="s">
        <v>2222</v>
      </c>
      <c r="Z579" s="70" t="s">
        <v>2222</v>
      </c>
      <c r="AA579" s="70"/>
      <c r="AB579" s="70"/>
      <c r="AC579" s="70" t="s">
        <v>2222</v>
      </c>
      <c r="AD579" s="70" t="s">
        <v>2222</v>
      </c>
      <c r="AE579" s="70" t="s">
        <v>2222</v>
      </c>
      <c r="AF579" s="70" t="s">
        <v>2222</v>
      </c>
      <c r="AG579" s="70" t="s">
        <v>2222</v>
      </c>
      <c r="AH579" s="70"/>
      <c r="AI579" s="70"/>
      <c r="AJ579" s="70" t="s">
        <v>2222</v>
      </c>
      <c r="AK579" s="70"/>
      <c r="AL579" s="70"/>
      <c r="AM579" s="70"/>
      <c r="AN579" s="70"/>
      <c r="AO579" s="70"/>
      <c r="AP579" s="70"/>
      <c r="AQ579" s="70"/>
      <c r="AR579" s="70" t="s">
        <v>2222</v>
      </c>
      <c r="AS579" s="70" t="s">
        <v>2222</v>
      </c>
      <c r="AT579" s="70"/>
      <c r="AU579" s="70"/>
      <c r="AV579" s="70"/>
      <c r="AW579"/>
    </row>
    <row r="580" spans="1:49" s="73" customFormat="1" ht="15.75" thickBot="1" x14ac:dyDescent="0.3">
      <c r="A580" t="s">
        <v>312</v>
      </c>
      <c r="B580" t="s">
        <v>313</v>
      </c>
      <c r="C580" t="s">
        <v>2470</v>
      </c>
      <c r="D580" t="s">
        <v>725</v>
      </c>
      <c r="E580" t="s">
        <v>2472</v>
      </c>
      <c r="F580" t="s">
        <v>573</v>
      </c>
      <c r="G580" t="s">
        <v>2465</v>
      </c>
      <c r="H580" t="s">
        <v>1042</v>
      </c>
      <c r="I580" t="s">
        <v>2466</v>
      </c>
      <c r="J580" s="30" t="s">
        <v>14</v>
      </c>
      <c r="K580" s="30" t="s">
        <v>1278</v>
      </c>
      <c r="L580" s="30"/>
      <c r="M580" s="30" t="s">
        <v>2467</v>
      </c>
      <c r="N580" s="155"/>
      <c r="O580" s="153">
        <f t="shared" si="43"/>
        <v>28</v>
      </c>
      <c r="P580" s="154" t="s">
        <v>2468</v>
      </c>
      <c r="Q580" s="31"/>
      <c r="R580" s="32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thickBot="1" x14ac:dyDescent="0.3">
      <c r="A581" t="s">
        <v>1319</v>
      </c>
      <c r="B581" t="s">
        <v>1320</v>
      </c>
      <c r="C581" t="s">
        <v>1278</v>
      </c>
      <c r="D581" t="s">
        <v>1334</v>
      </c>
      <c r="E581" t="s">
        <v>2472</v>
      </c>
      <c r="F581" s="73" t="s">
        <v>578</v>
      </c>
      <c r="G581" s="73" t="s">
        <v>579</v>
      </c>
      <c r="H581" s="73" t="s">
        <v>1042</v>
      </c>
      <c r="I581" s="73" t="s">
        <v>580</v>
      </c>
      <c r="J581" s="84" t="s">
        <v>14</v>
      </c>
      <c r="K581" s="84" t="s">
        <v>1278</v>
      </c>
      <c r="L581" s="84"/>
      <c r="M581" s="84" t="s">
        <v>875</v>
      </c>
      <c r="N581" s="84"/>
      <c r="O581" s="131">
        <f t="shared" si="43"/>
        <v>28</v>
      </c>
      <c r="P581" s="136" t="s">
        <v>2152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1312</v>
      </c>
      <c r="B582" t="s">
        <v>1313</v>
      </c>
      <c r="C582" t="s">
        <v>2470</v>
      </c>
      <c r="D582" t="s">
        <v>1323</v>
      </c>
      <c r="E582" s="157" t="s">
        <v>2474</v>
      </c>
      <c r="F582" s="73" t="s">
        <v>578</v>
      </c>
      <c r="G582" s="73" t="s">
        <v>2201</v>
      </c>
      <c r="H582" s="73" t="s">
        <v>1042</v>
      </c>
      <c r="I582" s="73" t="s">
        <v>2202</v>
      </c>
      <c r="J582" s="84" t="s">
        <v>14</v>
      </c>
      <c r="K582" s="84" t="s">
        <v>1278</v>
      </c>
      <c r="L582" s="84"/>
      <c r="M582" s="84" t="s">
        <v>2203</v>
      </c>
      <c r="N582" s="84"/>
      <c r="O582" s="131">
        <f t="shared" si="43"/>
        <v>28</v>
      </c>
      <c r="P582" s="136" t="s">
        <v>2204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ht="14.25" customHeight="1" thickBot="1" x14ac:dyDescent="0.3">
      <c r="A583" t="s">
        <v>1543</v>
      </c>
      <c r="B583" t="s">
        <v>1547</v>
      </c>
      <c r="C583" t="s">
        <v>1278</v>
      </c>
      <c r="D583" t="s">
        <v>1548</v>
      </c>
      <c r="E583" s="157" t="s">
        <v>2474</v>
      </c>
      <c r="F583" s="73" t="s">
        <v>578</v>
      </c>
      <c r="G583" s="73" t="s">
        <v>2214</v>
      </c>
      <c r="H583" s="73" t="s">
        <v>1042</v>
      </c>
      <c r="I583" s="73" t="s">
        <v>2215</v>
      </c>
      <c r="J583" s="84" t="s">
        <v>14</v>
      </c>
      <c r="K583" s="84" t="s">
        <v>1278</v>
      </c>
      <c r="L583" s="84"/>
      <c r="M583" s="84" t="s">
        <v>2298</v>
      </c>
      <c r="N583" s="84"/>
      <c r="O583" s="131">
        <f t="shared" si="43"/>
        <v>28</v>
      </c>
      <c r="P583" s="136" t="s">
        <v>2433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394</v>
      </c>
      <c r="B584" t="s">
        <v>395</v>
      </c>
      <c r="C584" t="s">
        <v>15</v>
      </c>
      <c r="D584" t="s">
        <v>770</v>
      </c>
      <c r="E584" t="s">
        <v>2472</v>
      </c>
      <c r="F584" t="s">
        <v>581</v>
      </c>
      <c r="G584" t="s">
        <v>583</v>
      </c>
      <c r="H584" t="s">
        <v>1042</v>
      </c>
      <c r="I584" t="s">
        <v>584</v>
      </c>
      <c r="J584" s="30" t="s">
        <v>14</v>
      </c>
      <c r="K584" s="30" t="s">
        <v>19</v>
      </c>
      <c r="L584" s="30"/>
      <c r="M584" s="30" t="s">
        <v>877</v>
      </c>
      <c r="N584" s="30"/>
      <c r="O584" s="31">
        <f t="shared" si="43"/>
        <v>28</v>
      </c>
      <c r="P584" s="136" t="s">
        <v>2154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s="69" t="s">
        <v>397</v>
      </c>
      <c r="B585" s="69" t="s">
        <v>398</v>
      </c>
      <c r="C585" s="69" t="s">
        <v>2470</v>
      </c>
      <c r="D585" s="69" t="s">
        <v>774</v>
      </c>
      <c r="E585" s="69" t="s">
        <v>2472</v>
      </c>
      <c r="F585" t="s">
        <v>581</v>
      </c>
      <c r="G585" t="s">
        <v>585</v>
      </c>
      <c r="H585" t="s">
        <v>1042</v>
      </c>
      <c r="I585" t="s">
        <v>586</v>
      </c>
      <c r="J585" s="30" t="s">
        <v>14</v>
      </c>
      <c r="K585" s="30" t="s">
        <v>19</v>
      </c>
      <c r="L585" s="30"/>
      <c r="M585" s="30" t="s">
        <v>878</v>
      </c>
      <c r="N585" s="30"/>
      <c r="O585" s="31">
        <f t="shared" si="43"/>
        <v>28</v>
      </c>
      <c r="P585" s="136" t="s">
        <v>2155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3"/>
    </row>
    <row r="586" spans="1:49" ht="15.75" thickBot="1" x14ac:dyDescent="0.3">
      <c r="A586" s="69" t="s">
        <v>399</v>
      </c>
      <c r="B586" s="69" t="s">
        <v>398</v>
      </c>
      <c r="C586" s="69" t="s">
        <v>2470</v>
      </c>
      <c r="D586" s="69" t="s">
        <v>775</v>
      </c>
      <c r="E586" s="69" t="s">
        <v>2472</v>
      </c>
      <c r="F586" t="s">
        <v>581</v>
      </c>
      <c r="G586" s="30" t="s">
        <v>1094</v>
      </c>
      <c r="H586" s="30" t="s">
        <v>1042</v>
      </c>
      <c r="I586" t="s">
        <v>1096</v>
      </c>
      <c r="J586" s="30" t="s">
        <v>1093</v>
      </c>
      <c r="K586" s="30" t="s">
        <v>27</v>
      </c>
      <c r="L586" s="30"/>
      <c r="M586" s="30" t="s">
        <v>1101</v>
      </c>
      <c r="N586" s="30"/>
      <c r="O586" s="31">
        <f t="shared" si="43"/>
        <v>28</v>
      </c>
      <c r="P586" s="136" t="s">
        <v>2069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thickBot="1" x14ac:dyDescent="0.3">
      <c r="A587" s="69" t="s">
        <v>883</v>
      </c>
      <c r="B587" s="69" t="s">
        <v>884</v>
      </c>
      <c r="C587" s="69" t="s">
        <v>2470</v>
      </c>
      <c r="D587" s="69" t="s">
        <v>891</v>
      </c>
      <c r="E587" s="69" t="s">
        <v>2472</v>
      </c>
      <c r="F587" t="s">
        <v>581</v>
      </c>
      <c r="G587" s="30" t="s">
        <v>1095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1102</v>
      </c>
      <c r="N587" s="30"/>
      <c r="O587" s="31">
        <f t="shared" ref="O587:O598" si="46">COUNTIF(S587:AT587,"")</f>
        <v>28</v>
      </c>
      <c r="P587" s="136" t="s">
        <v>2068</v>
      </c>
      <c r="Q587" s="31">
        <f t="shared" ref="Q587:Q598" si="47">COUNTIF(S587:AT587,"APAGADO")</f>
        <v>0</v>
      </c>
      <c r="R587" s="32">
        <f t="shared" ref="R587:R598" si="48">(O587)/(Q587+O587)</f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thickBot="1" x14ac:dyDescent="0.3">
      <c r="A588" s="69" t="s">
        <v>885</v>
      </c>
      <c r="B588" s="69" t="s">
        <v>886</v>
      </c>
      <c r="C588" s="69" t="s">
        <v>2470</v>
      </c>
      <c r="D588" s="69" t="s">
        <v>892</v>
      </c>
      <c r="E588" s="69" t="s">
        <v>2472</v>
      </c>
      <c r="F588" t="s">
        <v>581</v>
      </c>
      <c r="G588" s="30" t="s">
        <v>1178</v>
      </c>
      <c r="H588" s="30" t="s">
        <v>1042</v>
      </c>
      <c r="I588" t="s">
        <v>1179</v>
      </c>
      <c r="J588" s="30" t="s">
        <v>14</v>
      </c>
      <c r="K588" s="30" t="s">
        <v>27</v>
      </c>
      <c r="L588" s="30"/>
      <c r="M588" s="30" t="s">
        <v>1180</v>
      </c>
      <c r="N588" s="30"/>
      <c r="O588" s="31">
        <f t="shared" si="46"/>
        <v>14</v>
      </c>
      <c r="P588" s="136" t="s">
        <v>2070</v>
      </c>
      <c r="Q588" s="31">
        <f t="shared" si="47"/>
        <v>14</v>
      </c>
      <c r="R588" s="32">
        <f t="shared" si="48"/>
        <v>0.5</v>
      </c>
      <c r="S588" s="70"/>
      <c r="T588" s="70"/>
      <c r="U588" s="70"/>
      <c r="V588" s="70"/>
      <c r="W588" s="70"/>
      <c r="X588" s="70"/>
      <c r="Y588" s="70" t="s">
        <v>2222</v>
      </c>
      <c r="Z588" s="70" t="s">
        <v>2222</v>
      </c>
      <c r="AA588" s="70"/>
      <c r="AB588" s="70"/>
      <c r="AC588" s="70" t="s">
        <v>2222</v>
      </c>
      <c r="AD588" s="70" t="s">
        <v>2222</v>
      </c>
      <c r="AE588" s="70" t="s">
        <v>2222</v>
      </c>
      <c r="AF588" s="70" t="s">
        <v>2222</v>
      </c>
      <c r="AG588" s="70" t="s">
        <v>2222</v>
      </c>
      <c r="AH588" s="70"/>
      <c r="AI588" s="70"/>
      <c r="AJ588" s="70" t="s">
        <v>2222</v>
      </c>
      <c r="AK588" s="70" t="s">
        <v>2222</v>
      </c>
      <c r="AL588" s="70" t="s">
        <v>2222</v>
      </c>
      <c r="AM588" s="70" t="s">
        <v>2222</v>
      </c>
      <c r="AN588" s="70" t="s">
        <v>2222</v>
      </c>
      <c r="AO588" s="70"/>
      <c r="AP588" s="70"/>
      <c r="AQ588" s="70"/>
      <c r="AR588" s="70" t="s">
        <v>2222</v>
      </c>
      <c r="AS588" s="70" t="s">
        <v>2222</v>
      </c>
      <c r="AT588" s="70"/>
      <c r="AU588" s="70"/>
      <c r="AV588" s="70"/>
    </row>
    <row r="589" spans="1:49" ht="15.75" thickBot="1" x14ac:dyDescent="0.3">
      <c r="A589" t="s">
        <v>2221</v>
      </c>
      <c r="B589" t="s">
        <v>2240</v>
      </c>
      <c r="C589" t="s">
        <v>2475</v>
      </c>
      <c r="D589" t="s">
        <v>2300</v>
      </c>
      <c r="E589" t="s">
        <v>2472</v>
      </c>
      <c r="F589" t="s">
        <v>581</v>
      </c>
      <c r="G589" t="s">
        <v>1034</v>
      </c>
      <c r="H589" t="s">
        <v>1042</v>
      </c>
      <c r="I589" t="s">
        <v>582</v>
      </c>
      <c r="J589" s="30" t="s">
        <v>14</v>
      </c>
      <c r="K589" s="30" t="s">
        <v>19</v>
      </c>
      <c r="L589" s="30"/>
      <c r="M589" s="30" t="s">
        <v>876</v>
      </c>
      <c r="N589" s="30"/>
      <c r="O589" s="31">
        <f t="shared" si="46"/>
        <v>28</v>
      </c>
      <c r="P589" s="136" t="s">
        <v>2153</v>
      </c>
      <c r="Q589" s="31">
        <f t="shared" si="47"/>
        <v>0</v>
      </c>
      <c r="R589" s="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3"/>
    </row>
    <row r="590" spans="1:49" s="73" customFormat="1" ht="15.75" thickBot="1" x14ac:dyDescent="0.3">
      <c r="A590" t="s">
        <v>549</v>
      </c>
      <c r="B590" t="s">
        <v>550</v>
      </c>
      <c r="C590" t="s">
        <v>1278</v>
      </c>
      <c r="D590" t="s">
        <v>1345</v>
      </c>
      <c r="E590" s="157" t="s">
        <v>2474</v>
      </c>
      <c r="F590" s="73" t="s">
        <v>589</v>
      </c>
      <c r="G590" s="73" t="s">
        <v>587</v>
      </c>
      <c r="H590" s="73" t="s">
        <v>1041</v>
      </c>
      <c r="I590" s="73" t="s">
        <v>588</v>
      </c>
      <c r="J590" s="84" t="s">
        <v>18</v>
      </c>
      <c r="K590" s="84" t="s">
        <v>1278</v>
      </c>
      <c r="L590" s="84"/>
      <c r="M590" s="84" t="s">
        <v>1404</v>
      </c>
      <c r="N590" s="84"/>
      <c r="O590" s="131">
        <f t="shared" si="46"/>
        <v>28</v>
      </c>
      <c r="P590" s="136" t="s">
        <v>2074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142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thickBot="1" x14ac:dyDescent="0.3">
      <c r="A591" t="s">
        <v>553</v>
      </c>
      <c r="B591" t="s">
        <v>554</v>
      </c>
      <c r="C591" t="s">
        <v>1035</v>
      </c>
      <c r="D591" t="s">
        <v>858</v>
      </c>
      <c r="E591" s="156" t="s">
        <v>2471</v>
      </c>
      <c r="F591" s="73" t="s">
        <v>589</v>
      </c>
      <c r="G591" s="73" t="s">
        <v>1417</v>
      </c>
      <c r="H591" s="73" t="s">
        <v>1041</v>
      </c>
      <c r="I591" s="73" t="s">
        <v>1418</v>
      </c>
      <c r="J591" s="84" t="s">
        <v>45</v>
      </c>
      <c r="K591" s="84" t="s">
        <v>1278</v>
      </c>
      <c r="L591" s="84"/>
      <c r="M591" s="84" t="s">
        <v>1423</v>
      </c>
      <c r="N591" s="84"/>
      <c r="O591" s="131">
        <f t="shared" si="46"/>
        <v>28</v>
      </c>
      <c r="P591" s="136" t="s">
        <v>2075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thickBot="1" x14ac:dyDescent="0.3">
      <c r="A592" t="s">
        <v>1289</v>
      </c>
      <c r="B592" t="s">
        <v>2148</v>
      </c>
      <c r="C592" t="s">
        <v>1278</v>
      </c>
      <c r="D592" t="s">
        <v>2295</v>
      </c>
      <c r="E592" s="157" t="s">
        <v>2474</v>
      </c>
      <c r="F592" s="73" t="s">
        <v>589</v>
      </c>
      <c r="G592" s="73" t="s">
        <v>1420</v>
      </c>
      <c r="H592" s="73" t="s">
        <v>1041</v>
      </c>
      <c r="I592" s="73" t="s">
        <v>1419</v>
      </c>
      <c r="J592" s="84" t="s">
        <v>71</v>
      </c>
      <c r="K592" s="84" t="s">
        <v>1278</v>
      </c>
      <c r="L592" s="84"/>
      <c r="M592" s="84" t="s">
        <v>1424</v>
      </c>
      <c r="N592" s="84"/>
      <c r="O592" s="131">
        <f t="shared" si="46"/>
        <v>28</v>
      </c>
      <c r="P592" s="136" t="s">
        <v>2076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/>
      <c r="B593"/>
      <c r="C593"/>
      <c r="D593"/>
      <c r="E593"/>
      <c r="F593" s="73" t="s">
        <v>589</v>
      </c>
      <c r="G593" s="73" t="s">
        <v>1421</v>
      </c>
      <c r="H593" s="73" t="s">
        <v>1041</v>
      </c>
      <c r="I593" s="73" t="s">
        <v>1422</v>
      </c>
      <c r="J593" s="84" t="s">
        <v>71</v>
      </c>
      <c r="K593" s="84" t="s">
        <v>1278</v>
      </c>
      <c r="L593" s="84"/>
      <c r="M593" s="84" t="s">
        <v>1425</v>
      </c>
      <c r="N593" s="84"/>
      <c r="O593" s="131">
        <f t="shared" si="46"/>
        <v>28</v>
      </c>
      <c r="P593" s="136" t="s">
        <v>2077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thickBot="1" x14ac:dyDescent="0.3">
      <c r="A594"/>
      <c r="B594"/>
      <c r="C594"/>
      <c r="D594"/>
      <c r="E594" s="151" t="s">
        <v>2461</v>
      </c>
      <c r="F594" s="73" t="s">
        <v>589</v>
      </c>
      <c r="G594" s="73" t="s">
        <v>2078</v>
      </c>
      <c r="H594" s="73" t="s">
        <v>1041</v>
      </c>
      <c r="I594" s="73" t="s">
        <v>2079</v>
      </c>
      <c r="J594" s="84" t="s">
        <v>14</v>
      </c>
      <c r="K594" s="84" t="s">
        <v>1278</v>
      </c>
      <c r="L594" s="84"/>
      <c r="M594" s="84" t="s">
        <v>2299</v>
      </c>
      <c r="N594" s="84"/>
      <c r="O594" s="131">
        <f t="shared" si="46"/>
        <v>28</v>
      </c>
      <c r="P594" s="136" t="s">
        <v>2080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/>
      <c r="F595" s="73" t="s">
        <v>589</v>
      </c>
      <c r="G595" s="73" t="s">
        <v>2227</v>
      </c>
      <c r="H595" s="73" t="s">
        <v>1041</v>
      </c>
      <c r="I595" s="73" t="s">
        <v>2228</v>
      </c>
      <c r="J595" s="84" t="s">
        <v>14</v>
      </c>
      <c r="K595" s="84" t="s">
        <v>1278</v>
      </c>
      <c r="L595" s="84"/>
      <c r="M595" s="84" t="s">
        <v>2229</v>
      </c>
      <c r="N595" s="84"/>
      <c r="O595" s="131">
        <f t="shared" si="46"/>
        <v>28</v>
      </c>
      <c r="P595" s="136" t="s">
        <v>2230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 s="151" t="s">
        <v>2461</v>
      </c>
      <c r="F596" s="73" t="s">
        <v>589</v>
      </c>
      <c r="G596" s="73" t="s">
        <v>590</v>
      </c>
      <c r="H596" s="73" t="s">
        <v>1042</v>
      </c>
      <c r="I596" s="73" t="s">
        <v>591</v>
      </c>
      <c r="J596" s="84" t="s">
        <v>18</v>
      </c>
      <c r="K596" s="84" t="s">
        <v>1278</v>
      </c>
      <c r="L596" s="84"/>
      <c r="M596" s="84" t="s">
        <v>1346</v>
      </c>
      <c r="N596" s="84"/>
      <c r="O596" s="131">
        <f t="shared" si="46"/>
        <v>28</v>
      </c>
      <c r="P596" s="136" t="s">
        <v>2071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/>
      <c r="F597" s="73" t="s">
        <v>297</v>
      </c>
      <c r="G597" s="73" t="s">
        <v>592</v>
      </c>
      <c r="H597" s="73" t="s">
        <v>1042</v>
      </c>
      <c r="I597" s="73" t="s">
        <v>593</v>
      </c>
      <c r="J597" s="84" t="s">
        <v>18</v>
      </c>
      <c r="K597" s="84" t="s">
        <v>1278</v>
      </c>
      <c r="L597" s="84"/>
      <c r="M597" s="84" t="s">
        <v>1343</v>
      </c>
      <c r="N597" s="84"/>
      <c r="O597" s="131">
        <f t="shared" si="46"/>
        <v>28</v>
      </c>
      <c r="P597" s="136" t="s">
        <v>2072</v>
      </c>
      <c r="Q597" s="131">
        <f t="shared" si="47"/>
        <v>0</v>
      </c>
      <c r="R597" s="132">
        <f t="shared" si="48"/>
        <v>1</v>
      </c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/>
    </row>
    <row r="598" spans="1:49" ht="17.25" customHeight="1" thickBot="1" x14ac:dyDescent="0.3">
      <c r="A598"/>
      <c r="B598"/>
      <c r="C598"/>
      <c r="D598"/>
      <c r="E598"/>
      <c r="F598" s="73" t="s">
        <v>589</v>
      </c>
      <c r="G598" s="73" t="s">
        <v>594</v>
      </c>
      <c r="H598" s="73" t="s">
        <v>1041</v>
      </c>
      <c r="I598" s="73" t="s">
        <v>595</v>
      </c>
      <c r="J598" s="84" t="s">
        <v>14</v>
      </c>
      <c r="K598" s="84" t="s">
        <v>1278</v>
      </c>
      <c r="L598" s="84"/>
      <c r="M598" s="84" t="s">
        <v>1477</v>
      </c>
      <c r="N598" s="84"/>
      <c r="O598" s="131">
        <f t="shared" si="46"/>
        <v>28</v>
      </c>
      <c r="P598" s="136" t="s">
        <v>2073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</row>
    <row r="599" spans="1:49" ht="17.25" customHeight="1" x14ac:dyDescent="0.25">
      <c r="A599">
        <v>6</v>
      </c>
      <c r="B599">
        <v>12</v>
      </c>
      <c r="C599"/>
      <c r="D599"/>
      <c r="E599" t="s">
        <v>2335</v>
      </c>
      <c r="F599" s="73"/>
      <c r="G599" s="73"/>
      <c r="H599" s="73"/>
      <c r="I599" s="73"/>
      <c r="J599" s="84"/>
      <c r="K599" s="84"/>
      <c r="L599" s="84"/>
      <c r="M599" s="84"/>
      <c r="N599" s="84"/>
      <c r="O599" s="145"/>
      <c r="P599" s="136"/>
      <c r="Q599" s="145"/>
      <c r="R599" s="146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x14ac:dyDescent="0.25">
      <c r="A600">
        <v>6</v>
      </c>
      <c r="B600">
        <v>12</v>
      </c>
      <c r="C600"/>
      <c r="D600"/>
      <c r="E600" t="s">
        <v>2335</v>
      </c>
      <c r="P600" s="136"/>
    </row>
    <row r="601" spans="1:49" x14ac:dyDescent="0.25">
      <c r="A601">
        <v>6</v>
      </c>
      <c r="B601">
        <v>12</v>
      </c>
      <c r="C601"/>
      <c r="D601"/>
      <c r="E601" t="s">
        <v>2335</v>
      </c>
      <c r="P601" s="136"/>
    </row>
    <row r="602" spans="1:49" x14ac:dyDescent="0.25">
      <c r="A602">
        <v>6</v>
      </c>
      <c r="B602">
        <v>12</v>
      </c>
      <c r="C602"/>
      <c r="D602"/>
      <c r="E602" t="s">
        <v>2335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2335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2335</v>
      </c>
      <c r="P604" s="136"/>
      <c r="S604"/>
    </row>
    <row r="605" spans="1:49" x14ac:dyDescent="0.25">
      <c r="A605">
        <v>6</v>
      </c>
      <c r="B605">
        <v>12</v>
      </c>
      <c r="C605"/>
      <c r="D605"/>
      <c r="E605" t="s">
        <v>2335</v>
      </c>
      <c r="P605" s="136"/>
    </row>
    <row r="606" spans="1:49" x14ac:dyDescent="0.25">
      <c r="A606">
        <v>6</v>
      </c>
      <c r="B606">
        <v>12</v>
      </c>
      <c r="C606"/>
      <c r="D606"/>
      <c r="E606" t="s">
        <v>2335</v>
      </c>
      <c r="P606" s="136"/>
    </row>
    <row r="607" spans="1:49" x14ac:dyDescent="0.25">
      <c r="A607"/>
      <c r="B607"/>
      <c r="E607" s="151" t="s">
        <v>2464</v>
      </c>
      <c r="P607" s="136"/>
    </row>
    <row r="608" spans="1:49" x14ac:dyDescent="0.25">
      <c r="A608"/>
      <c r="B608"/>
      <c r="C608"/>
      <c r="D608"/>
      <c r="E608"/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>
        <v>4</v>
      </c>
      <c r="B613">
        <v>12</v>
      </c>
      <c r="C613"/>
      <c r="D613"/>
      <c r="E613" t="s">
        <v>2333</v>
      </c>
      <c r="P613" s="136"/>
    </row>
    <row r="614" spans="1:16" x14ac:dyDescent="0.25">
      <c r="A614">
        <v>4</v>
      </c>
      <c r="B614">
        <v>12</v>
      </c>
      <c r="C614"/>
      <c r="D614"/>
      <c r="E614" t="s">
        <v>2333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2333</v>
      </c>
      <c r="P615" s="136"/>
    </row>
    <row r="616" spans="1:16" x14ac:dyDescent="0.25">
      <c r="A616"/>
      <c r="B616"/>
      <c r="C616"/>
      <c r="D616"/>
      <c r="E616"/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P848" s="136"/>
      <c r="R848" s="13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</sheetData>
  <autoFilter ref="A7:AV606" xr:uid="{00000000-0001-0000-0000-000000000000}">
    <sortState xmlns:xlrd2="http://schemas.microsoft.com/office/spreadsheetml/2017/richdata2" ref="A8:AV598">
      <sortCondition descending="1" ref="G7:G598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79 I284:I287 I297:I299 I372:I377 I386 H387:I387 I403:I407 I419:I421 I424:I425 I483:I486 I554:I555 H681:H1048576">
    <cfRule type="cellIs" dxfId="191" priority="3205" operator="equal">
      <formula>$H$281</formula>
    </cfRule>
  </conditionalFormatting>
  <conditionalFormatting sqref="H1:H599">
    <cfRule type="cellIs" dxfId="190" priority="538" operator="equal">
      <formula>"IPCOMS"</formula>
    </cfRule>
  </conditionalFormatting>
  <conditionalFormatting sqref="H280:H599">
    <cfRule type="cellIs" dxfId="189" priority="541" operator="equal">
      <formula>$H$300</formula>
    </cfRule>
  </conditionalFormatting>
  <conditionalFormatting sqref="H580:H599">
    <cfRule type="cellIs" dxfId="188" priority="542" operator="equal">
      <formula>$H$281</formula>
    </cfRule>
  </conditionalFormatting>
  <conditionalFormatting sqref="I20:I21 I164:I165 I224:I225 I260 I284:I287 I297:I299 I403:I407 I419:I421 I424:I425 H681:H1048576">
    <cfRule type="cellIs" dxfId="187" priority="2750" operator="equal">
      <formula>"IPCOMS"</formula>
    </cfRule>
  </conditionalFormatting>
  <conditionalFormatting sqref="I20:I21 I164:I165 I224:I227 I260 I284:I287 I297:I299 I403:I407 I419:I421 I424:I425 H681:H1048576 H1:H278 H279:I279 H387:I387 I131:I147 I155:I156 I217:I220 I232:I235 I270:I271 I278 I372:I377 I386 I483:I486 I554:I555">
    <cfRule type="cellIs" dxfId="186" priority="3204" operator="equal">
      <formula>$H$300</formula>
    </cfRule>
  </conditionalFormatting>
  <conditionalFormatting sqref="J1:J569 J585:J599 J681:J1048576">
    <cfRule type="containsText" dxfId="185" priority="3210" operator="containsText" text="fija">
      <formula>NOT(ISERROR(SEARCH("fija",J1)))</formula>
    </cfRule>
    <cfRule type="containsText" dxfId="184" priority="3211" operator="containsText" text="domo">
      <formula>NOT(ISERROR(SEARCH("domo",J1)))</formula>
    </cfRule>
  </conditionalFormatting>
  <conditionalFormatting sqref="J34:J35 J162:N232 J236:N401">
    <cfRule type="containsText" dxfId="183" priority="2678" operator="containsText" text="Radio">
      <formula>NOT(ISERROR(SEARCH("Radio",J34)))</formula>
    </cfRule>
  </conditionalFormatting>
  <conditionalFormatting sqref="J135:J148 L148:N148">
    <cfRule type="containsText" dxfId="182" priority="2692" operator="containsText" text="Radio">
      <formula>NOT(ISERROR(SEARCH("Radio",J135)))</formula>
    </cfRule>
  </conditionalFormatting>
  <conditionalFormatting sqref="J403:J407">
    <cfRule type="containsText" dxfId="181" priority="2711" operator="containsText" text="Radio">
      <formula>NOT(ISERROR(SEARCH("Radio",J403)))</formula>
    </cfRule>
  </conditionalFormatting>
  <conditionalFormatting sqref="J571">
    <cfRule type="containsText" dxfId="180" priority="3153" operator="containsText" text="Radio">
      <formula>NOT(ISERROR(SEARCH("Radio",J571)))</formula>
    </cfRule>
    <cfRule type="containsText" dxfId="179" priority="3151" operator="containsText" text="fija">
      <formula>NOT(ISERROR(SEARCH("fija",J571)))</formula>
    </cfRule>
    <cfRule type="containsText" dxfId="178" priority="3152" operator="containsText" text="domo">
      <formula>NOT(ISERROR(SEARCH("domo",J571)))</formula>
    </cfRule>
  </conditionalFormatting>
  <conditionalFormatting sqref="J571:J572">
    <cfRule type="containsText" dxfId="177" priority="3146" operator="containsText" text="fija">
      <formula>NOT(ISERROR(SEARCH("fija",J571)))</formula>
    </cfRule>
    <cfRule type="containsText" dxfId="176" priority="3147" operator="containsText" text="domo">
      <formula>NOT(ISERROR(SEARCH("domo",J571)))</formula>
    </cfRule>
  </conditionalFormatting>
  <conditionalFormatting sqref="J572">
    <cfRule type="containsText" dxfId="175" priority="3144" operator="containsText" text="fija">
      <formula>NOT(ISERROR(SEARCH("fija",J572)))</formula>
    </cfRule>
    <cfRule type="containsText" dxfId="174" priority="3145" operator="containsText" text="domo">
      <formula>NOT(ISERROR(SEARCH("domo",J572)))</formula>
    </cfRule>
    <cfRule type="containsText" dxfId="173" priority="3148" operator="containsText" text="Radio">
      <formula>NOT(ISERROR(SEARCH("Radio",J572)))</formula>
    </cfRule>
  </conditionalFormatting>
  <conditionalFormatting sqref="J575">
    <cfRule type="containsText" dxfId="172" priority="3141" operator="containsText" text="fija">
      <formula>NOT(ISERROR(SEARCH("fija",J575)))</formula>
    </cfRule>
    <cfRule type="containsText" dxfId="171" priority="3142" operator="containsText" text="domo">
      <formula>NOT(ISERROR(SEARCH("domo",J575)))</formula>
    </cfRule>
    <cfRule type="containsText" dxfId="170" priority="3143" operator="containsText" text="Radio">
      <formula>NOT(ISERROR(SEARCH("Radio",J575)))</formula>
    </cfRule>
  </conditionalFormatting>
  <conditionalFormatting sqref="J575:J576">
    <cfRule type="containsText" dxfId="169" priority="3136" operator="containsText" text="fija">
      <formula>NOT(ISERROR(SEARCH("fija",J575)))</formula>
    </cfRule>
    <cfRule type="containsText" dxfId="168" priority="3137" operator="containsText" text="domo">
      <formula>NOT(ISERROR(SEARCH("domo",J575)))</formula>
    </cfRule>
  </conditionalFormatting>
  <conditionalFormatting sqref="J576 J48:N134 K135:K136 J234:K235 J402:K402 K403:K407 J408:N423 J424:K425 J426:N569 J681:N1048576 J585:N599 M402:N402 L402:L407">
    <cfRule type="containsText" dxfId="167" priority="3138" operator="containsText" text="Radio">
      <formula>NOT(ISERROR(SEARCH("Radio",J48)))</formula>
    </cfRule>
  </conditionalFormatting>
  <conditionalFormatting sqref="J576:J577">
    <cfRule type="containsText" dxfId="166" priority="3131" operator="containsText" text="fija">
      <formula>NOT(ISERROR(SEARCH("fija",J576)))</formula>
    </cfRule>
    <cfRule type="containsText" dxfId="165" priority="3132" operator="containsText" text="domo">
      <formula>NOT(ISERROR(SEARCH("domo",J576)))</formula>
    </cfRule>
  </conditionalFormatting>
  <conditionalFormatting sqref="J577">
    <cfRule type="containsText" dxfId="164" priority="3133" operator="containsText" text="Radio">
      <formula>NOT(ISERROR(SEARCH("Radio",J577)))</formula>
    </cfRule>
  </conditionalFormatting>
  <conditionalFormatting sqref="J577:J578">
    <cfRule type="containsText" dxfId="163" priority="3127" operator="containsText" text="domo">
      <formula>NOT(ISERROR(SEARCH("domo",J577)))</formula>
    </cfRule>
    <cfRule type="containsText" dxfId="162" priority="3126" operator="containsText" text="fija">
      <formula>NOT(ISERROR(SEARCH("fija",J577)))</formula>
    </cfRule>
  </conditionalFormatting>
  <conditionalFormatting sqref="J578">
    <cfRule type="containsText" dxfId="161" priority="3124" operator="containsText" text="fija">
      <formula>NOT(ISERROR(SEARCH("fija",J578)))</formula>
    </cfRule>
    <cfRule type="containsText" dxfId="160" priority="3128" operator="containsText" text="Radio">
      <formula>NOT(ISERROR(SEARCH("Radio",J578)))</formula>
    </cfRule>
    <cfRule type="containsText" dxfId="159" priority="3125" operator="containsText" text="domo">
      <formula>NOT(ISERROR(SEARCH("domo",J578)))</formula>
    </cfRule>
  </conditionalFormatting>
  <conditionalFormatting sqref="J580">
    <cfRule type="cellIs" dxfId="158" priority="543" operator="equal">
      <formula>$J$10</formula>
    </cfRule>
  </conditionalFormatting>
  <conditionalFormatting sqref="J581:J599 J1:J579 J681:J1048576">
    <cfRule type="cellIs" dxfId="157" priority="3206" operator="equal">
      <formula>$J$10</formula>
    </cfRule>
  </conditionalFormatting>
  <conditionalFormatting sqref="J583">
    <cfRule type="containsText" dxfId="156" priority="3423" operator="containsText" text="domo">
      <formula>NOT(ISERROR(SEARCH("domo",J583)))</formula>
    </cfRule>
    <cfRule type="containsText" dxfId="155" priority="3422" operator="containsText" text="fija">
      <formula>NOT(ISERROR(SEARCH("fija",J583)))</formula>
    </cfRule>
  </conditionalFormatting>
  <conditionalFormatting sqref="J586:J589">
    <cfRule type="containsText" dxfId="154" priority="3155" operator="containsText" text="domo">
      <formula>NOT(ISERROR(SEARCH("domo",J586)))</formula>
    </cfRule>
    <cfRule type="containsText" dxfId="153" priority="3154" operator="containsText" text="fija">
      <formula>NOT(ISERROR(SEARCH("fija",J586)))</formula>
    </cfRule>
  </conditionalFormatting>
  <conditionalFormatting sqref="J233:K233">
    <cfRule type="containsText" dxfId="152" priority="2713" operator="containsText" text="Radio">
      <formula>NOT(ISERROR(SEARCH("Radio",J233)))</formula>
    </cfRule>
  </conditionalFormatting>
  <conditionalFormatting sqref="J37:L47">
    <cfRule type="containsText" dxfId="151" priority="2683" operator="containsText" text="Radio">
      <formula>NOT(ISERROR(SEARCH("Radio",J37)))</formula>
    </cfRule>
  </conditionalFormatting>
  <conditionalFormatting sqref="J1:N36">
    <cfRule type="containsText" dxfId="150" priority="2748" operator="containsText" text="Radio">
      <formula>NOT(ISERROR(SEARCH("Radio",J1)))</formula>
    </cfRule>
  </conditionalFormatting>
  <conditionalFormatting sqref="J149:N161">
    <cfRule type="containsText" dxfId="149" priority="2686" operator="containsText" text="Radio">
      <formula>NOT(ISERROR(SEARCH("Radio",J149)))</formula>
    </cfRule>
  </conditionalFormatting>
  <conditionalFormatting sqref="J583:N583 K584">
    <cfRule type="containsText" dxfId="148" priority="3679" operator="containsText" text="Radio">
      <formula>NOT(ISERROR(SEARCH("Radio",J583)))</formula>
    </cfRule>
  </conditionalFormatting>
  <conditionalFormatting sqref="K1:K136 K162:K579 K681:K1048576">
    <cfRule type="cellIs" dxfId="147" priority="2751" operator="equal">
      <formula>"GPON"</formula>
    </cfRule>
    <cfRule type="cellIs" dxfId="146" priority="2752" operator="equal">
      <formula>"GPON"</formula>
    </cfRule>
  </conditionalFormatting>
  <conditionalFormatting sqref="K139">
    <cfRule type="cellIs" dxfId="145" priority="2739" operator="equal">
      <formula>"GPON"</formula>
    </cfRule>
    <cfRule type="cellIs" dxfId="144" priority="2740" operator="equal">
      <formula>"GPON"</formula>
    </cfRule>
    <cfRule type="containsText" dxfId="143" priority="2741" operator="containsText" text="Radio">
      <formula>NOT(ISERROR(SEARCH("Radio",K139)))</formula>
    </cfRule>
    <cfRule type="cellIs" dxfId="142" priority="2742" operator="equal">
      <formula>$K$13</formula>
    </cfRule>
    <cfRule type="cellIs" dxfId="141" priority="2743" operator="equal">
      <formula>"PTP A FO"</formula>
    </cfRule>
    <cfRule type="cellIs" dxfId="140" priority="2744" operator="equal">
      <formula>"PTP A FO"</formula>
    </cfRule>
  </conditionalFormatting>
  <conditionalFormatting sqref="K142:K149">
    <cfRule type="containsText" dxfId="139" priority="2716" operator="containsText" text="Radio">
      <formula>NOT(ISERROR(SEARCH("Radio",K142)))</formula>
    </cfRule>
    <cfRule type="cellIs" dxfId="138" priority="2717" operator="equal">
      <formula>$K$13</formula>
    </cfRule>
    <cfRule type="cellIs" dxfId="137" priority="2718" operator="equal">
      <formula>"PTP A FO"</formula>
    </cfRule>
    <cfRule type="cellIs" dxfId="136" priority="2719" operator="equal">
      <formula>"PTP A FO"</formula>
    </cfRule>
  </conditionalFormatting>
  <conditionalFormatting sqref="K142:K161">
    <cfRule type="cellIs" dxfId="135" priority="2685" operator="equal">
      <formula>"GPON"</formula>
    </cfRule>
    <cfRule type="cellIs" dxfId="134" priority="2684" operator="equal">
      <formula>"GPON"</formula>
    </cfRule>
  </conditionalFormatting>
  <conditionalFormatting sqref="K146:K147">
    <cfRule type="cellIs" dxfId="133" priority="2680" operator="equal">
      <formula>$K$13</formula>
    </cfRule>
    <cfRule type="containsText" dxfId="132" priority="2679" operator="containsText" text="Radio">
      <formula>NOT(ISERROR(SEARCH("Radio",K146)))</formula>
    </cfRule>
    <cfRule type="cellIs" dxfId="131" priority="2682" operator="equal">
      <formula>"PTP A FO"</formula>
    </cfRule>
    <cfRule type="cellIs" dxfId="130" priority="2681" operator="equal">
      <formula>"PTP A FO"</formula>
    </cfRule>
  </conditionalFormatting>
  <conditionalFormatting sqref="K233:K235">
    <cfRule type="cellIs" dxfId="129" priority="2731" operator="equal">
      <formula>"PTP A FO"</formula>
    </cfRule>
    <cfRule type="cellIs" dxfId="128" priority="2732" operator="equal">
      <formula>"PTP A FO"</formula>
    </cfRule>
    <cfRule type="cellIs" dxfId="127" priority="2730" operator="equal">
      <formula>$K$13</formula>
    </cfRule>
  </conditionalFormatting>
  <conditionalFormatting sqref="K234:K235">
    <cfRule type="cellIs" dxfId="126" priority="2726" operator="equal">
      <formula>$K$13</formula>
    </cfRule>
    <cfRule type="cellIs" dxfId="125" priority="2727" operator="equal">
      <formula>"PTP A FO"</formula>
    </cfRule>
    <cfRule type="cellIs" dxfId="124" priority="2728" operator="equal">
      <formula>"PTP A FO"</formula>
    </cfRule>
  </conditionalFormatting>
  <conditionalFormatting sqref="K424:K425">
    <cfRule type="containsText" dxfId="123" priority="2735" operator="containsText" text="Radio">
      <formula>NOT(ISERROR(SEARCH("Radio",K424)))</formula>
    </cfRule>
    <cfRule type="cellIs" dxfId="122" priority="2736" operator="equal">
      <formula>$K$13</formula>
    </cfRule>
    <cfRule type="cellIs" dxfId="121" priority="2737" operator="equal">
      <formula>"PTP A FO"</formula>
    </cfRule>
    <cfRule type="cellIs" dxfId="120" priority="2738" operator="equal">
      <formula>"PTP A FO"</formula>
    </cfRule>
  </conditionalFormatting>
  <conditionalFormatting sqref="K570">
    <cfRule type="containsText" dxfId="119" priority="2801" operator="containsText" text="Radio">
      <formula>NOT(ISERROR(SEARCH("Radio",K570)))</formula>
    </cfRule>
    <cfRule type="cellIs" dxfId="118" priority="2802" operator="equal">
      <formula>"PTP A FO"</formula>
    </cfRule>
  </conditionalFormatting>
  <conditionalFormatting sqref="K580:K599">
    <cfRule type="cellIs" dxfId="117" priority="539" operator="equal">
      <formula>"GPON"</formula>
    </cfRule>
    <cfRule type="cellIs" dxfId="116" priority="540" operator="equal">
      <formula>"GPON"</formula>
    </cfRule>
  </conditionalFormatting>
  <conditionalFormatting sqref="K1:L134 K135:K136 K162:L232 K236:L423 K424:K425 K426:L569 K583:L583 K584 K585:L599 K681:L1048576">
    <cfRule type="cellIs" dxfId="115" priority="3403" operator="equal">
      <formula>"PTP A FO"</formula>
    </cfRule>
  </conditionalFormatting>
  <conditionalFormatting sqref="K1:L134 K135:K136 K162:L232 K236:L423 K424:K425 K426:L579 K581:L599 K681:L1048576">
    <cfRule type="cellIs" dxfId="114" priority="3208" operator="equal">
      <formula>"PTP A FO"</formula>
    </cfRule>
  </conditionalFormatting>
  <conditionalFormatting sqref="K1:L134 K135:K136 K236:L423 K424:K425 K426:L579 K581:L599 K681:L1048576 K162:L232">
    <cfRule type="cellIs" dxfId="113" priority="3207" operator="equal">
      <formula>$K$13</formula>
    </cfRule>
  </conditionalFormatting>
  <conditionalFormatting sqref="K149:L161">
    <cfRule type="cellIs" dxfId="112" priority="2689" operator="equal">
      <formula>"PTP A FO"</formula>
    </cfRule>
    <cfRule type="cellIs" dxfId="111" priority="2688" operator="equal">
      <formula>"PTP A FO"</formula>
    </cfRule>
    <cfRule type="cellIs" dxfId="110" priority="2687" operator="equal">
      <formula>$K$13</formula>
    </cfRule>
  </conditionalFormatting>
  <conditionalFormatting sqref="K580:L580">
    <cfRule type="cellIs" dxfId="109" priority="544" operator="equal">
      <formula>$K$13</formula>
    </cfRule>
    <cfRule type="cellIs" dxfId="108" priority="545" operator="equal">
      <formula>"PTP A FO"</formula>
    </cfRule>
  </conditionalFormatting>
  <conditionalFormatting sqref="L148">
    <cfRule type="cellIs" dxfId="107" priority="2694" operator="equal">
      <formula>"PTP A FO"</formula>
    </cfRule>
    <cfRule type="cellIs" dxfId="106" priority="2695" operator="equal">
      <formula>"PTP A FO"</formula>
    </cfRule>
    <cfRule type="cellIs" dxfId="105" priority="2693" operator="equal">
      <formula>$K$13</formula>
    </cfRule>
  </conditionalFormatting>
  <conditionalFormatting sqref="R7:R397 R399:R599">
    <cfRule type="cellIs" dxfId="104" priority="3639" operator="greaterThan">
      <formula>0.8</formula>
    </cfRule>
    <cfRule type="cellIs" dxfId="103" priority="3638" operator="lessThan">
      <formula>0.8</formula>
    </cfRule>
  </conditionalFormatting>
  <conditionalFormatting sqref="S37:W38">
    <cfRule type="cellIs" dxfId="102" priority="1497" operator="equal">
      <formula>"APAGADO"</formula>
    </cfRule>
  </conditionalFormatting>
  <conditionalFormatting sqref="S426:W426 Y426:AV426">
    <cfRule type="cellIs" dxfId="101" priority="1436" operator="equal">
      <formula>"APAGADO"</formula>
    </cfRule>
  </conditionalFormatting>
  <conditionalFormatting sqref="S326:Z328">
    <cfRule type="cellIs" dxfId="100" priority="1041" operator="equal">
      <formula>"APAGADO"</formula>
    </cfRule>
  </conditionalFormatting>
  <conditionalFormatting sqref="S121:AA121">
    <cfRule type="cellIs" dxfId="99" priority="1529" operator="equal">
      <formula>"APAGADO"</formula>
    </cfRule>
  </conditionalFormatting>
  <conditionalFormatting sqref="S39:AT94">
    <cfRule type="cellIs" dxfId="98" priority="48" operator="equal">
      <formula>"APAGADO"</formula>
    </cfRule>
  </conditionalFormatting>
  <conditionalFormatting sqref="S96:AT120">
    <cfRule type="cellIs" dxfId="97" priority="50" operator="equal">
      <formula>"APAGADO"</formula>
    </cfRule>
  </conditionalFormatting>
  <conditionalFormatting sqref="S236:AT325">
    <cfRule type="cellIs" dxfId="96" priority="1" operator="equal">
      <formula>"APAGADO"</formula>
    </cfRule>
  </conditionalFormatting>
  <conditionalFormatting sqref="S329:AT351">
    <cfRule type="cellIs" dxfId="95" priority="22" operator="equal">
      <formula>"APAGADO"</formula>
    </cfRule>
  </conditionalFormatting>
  <conditionalFormatting sqref="S353:AT397">
    <cfRule type="cellIs" dxfId="94" priority="13" operator="equal">
      <formula>"APAGADO"</formula>
    </cfRule>
  </conditionalFormatting>
  <conditionalFormatting sqref="S399:AT402">
    <cfRule type="cellIs" dxfId="93" priority="15" operator="equal">
      <formula>"APAGADO"</formula>
    </cfRule>
  </conditionalFormatting>
  <conditionalFormatting sqref="S8:AV36">
    <cfRule type="cellIs" dxfId="92" priority="1783" operator="equal">
      <formula>"APAGADO"</formula>
    </cfRule>
  </conditionalFormatting>
  <conditionalFormatting sqref="S122:AV232">
    <cfRule type="cellIs" dxfId="91" priority="38" operator="equal">
      <formula>"APAGADO"</formula>
    </cfRule>
  </conditionalFormatting>
  <conditionalFormatting sqref="S409:AV416">
    <cfRule type="cellIs" dxfId="90" priority="10" operator="equal">
      <formula>"APAGADO"</formula>
    </cfRule>
  </conditionalFormatting>
  <conditionalFormatting sqref="S427:AV599">
    <cfRule type="cellIs" dxfId="89" priority="64" operator="equal">
      <formula>"APAGADO"</formula>
    </cfRule>
  </conditionalFormatting>
  <conditionalFormatting sqref="S681:AV757 AC681:AN1048576">
    <cfRule type="cellIs" dxfId="88" priority="2785" operator="equal">
      <formula>"apagado"</formula>
    </cfRule>
  </conditionalFormatting>
  <conditionalFormatting sqref="S681:AV1048576">
    <cfRule type="notContainsText" dxfId="87" priority="3668" operator="notContains" text="Caida">
      <formula>ISERROR(SEARCH("Caida",S681))</formula>
    </cfRule>
    <cfRule type="containsText" dxfId="86" priority="3335" operator="containsText" text="Caida">
      <formula>NOT(ISERROR(SEARCH("Caida",S681)))</formula>
    </cfRule>
  </conditionalFormatting>
  <conditionalFormatting sqref="U681:U1200">
    <cfRule type="cellIs" dxfId="85" priority="2967" operator="greaterThan">
      <formula>0.8</formula>
    </cfRule>
    <cfRule type="cellIs" dxfId="84" priority="2990" operator="greaterThan">
      <formula>0.8</formula>
    </cfRule>
    <cfRule type="cellIs" dxfId="83" priority="2966" operator="lessThan">
      <formula>0.8</formula>
    </cfRule>
    <cfRule type="containsText" dxfId="82" priority="2965" operator="containsText" text="Caida">
      <formula>NOT(ISERROR(SEARCH("Caida",U681)))</formula>
    </cfRule>
    <cfRule type="cellIs" dxfId="81" priority="3094" operator="equal">
      <formula>"APAGADO"</formula>
    </cfRule>
    <cfRule type="notContainsText" dxfId="80" priority="2964" operator="notContains" text="Caida">
      <formula>ISERROR(SEARCH("Caida",U681))</formula>
    </cfRule>
  </conditionalFormatting>
  <conditionalFormatting sqref="U681:U1048576">
    <cfRule type="cellIs" dxfId="79" priority="2984" operator="equal">
      <formula>$U$16</formula>
    </cfRule>
  </conditionalFormatting>
  <conditionalFormatting sqref="U417:AV423">
    <cfRule type="cellIs" dxfId="78" priority="85" operator="equal">
      <formula>"APAGADO"</formula>
    </cfRule>
  </conditionalFormatting>
  <conditionalFormatting sqref="V234:W234">
    <cfRule type="cellIs" dxfId="77" priority="1509" operator="equal">
      <formula>"APAGADO"</formula>
    </cfRule>
  </conditionalFormatting>
  <conditionalFormatting sqref="V408:AG408">
    <cfRule type="cellIs" dxfId="76" priority="1477" operator="equal">
      <formula>"APAGADO"</formula>
    </cfRule>
  </conditionalFormatting>
  <conditionalFormatting sqref="X425:X426">
    <cfRule type="cellIs" dxfId="75" priority="1365" operator="equal">
      <formula>"APAGADO"</formula>
    </cfRule>
  </conditionalFormatting>
  <conditionalFormatting sqref="X406:Z407">
    <cfRule type="cellIs" dxfId="74" priority="1084" operator="equal">
      <formula>"APAGADO"</formula>
    </cfRule>
  </conditionalFormatting>
  <conditionalFormatting sqref="X37:AJ37 S95:AM95 AO95:AT95 AF233:AF235 AA328 S352:AH352 AJ352:AT352 T403:U403 S403:S408 T404:T407 U404:U408 S408:T408 S417:T425 AO681:AV1048576">
    <cfRule type="cellIs" dxfId="73" priority="2784" operator="equal">
      <formula>"APAGADO"</formula>
    </cfRule>
  </conditionalFormatting>
  <conditionalFormatting sqref="X38:AK38">
    <cfRule type="cellIs" dxfId="72" priority="2561" operator="equal">
      <formula>"APAGADO"</formula>
    </cfRule>
  </conditionalFormatting>
  <conditionalFormatting sqref="Y425:Z425">
    <cfRule type="cellIs" dxfId="71" priority="1078" operator="equal">
      <formula>"APAGADO"</formula>
    </cfRule>
  </conditionalFormatting>
  <conditionalFormatting sqref="Y398:AT398">
    <cfRule type="cellIs" dxfId="70" priority="1085" operator="equal">
      <formula>"APAGADO"</formula>
    </cfRule>
  </conditionalFormatting>
  <conditionalFormatting sqref="AA326:AB327">
    <cfRule type="cellIs" dxfId="69" priority="1428" operator="equal">
      <formula>"APAGADO"</formula>
    </cfRule>
  </conditionalFormatting>
  <conditionalFormatting sqref="AC407:AG407">
    <cfRule type="cellIs" dxfId="68" priority="598" operator="equal">
      <formula>"APAGADO"</formula>
    </cfRule>
  </conditionalFormatting>
  <conditionalFormatting sqref="AC425:AG425">
    <cfRule type="cellIs" dxfId="67" priority="597" operator="equal">
      <formula>"APAGADO"</formula>
    </cfRule>
  </conditionalFormatting>
  <conditionalFormatting sqref="AC326:AT328">
    <cfRule type="cellIs" dxfId="66" priority="2" operator="equal">
      <formula>"APAGADO"</formula>
    </cfRule>
  </conditionalFormatting>
  <conditionalFormatting sqref="AC121:AV121">
    <cfRule type="cellIs" dxfId="65" priority="1697" operator="equal">
      <formula>"APAGADO"</formula>
    </cfRule>
  </conditionalFormatting>
  <conditionalFormatting sqref="AD406:AG406">
    <cfRule type="cellIs" dxfId="64" priority="897" operator="equal">
      <formula>"APAGADO"</formula>
    </cfRule>
  </conditionalFormatting>
  <conditionalFormatting sqref="AH234:AI234">
    <cfRule type="cellIs" dxfId="63" priority="2566" operator="equal">
      <formula>"APAGADO"</formula>
    </cfRule>
  </conditionalFormatting>
  <conditionalFormatting sqref="AH406:AI408">
    <cfRule type="cellIs" dxfId="62" priority="2530" operator="equal">
      <formula>"APAGADO"</formula>
    </cfRule>
  </conditionalFormatting>
  <conditionalFormatting sqref="AJ425:AN425">
    <cfRule type="cellIs" dxfId="61" priority="160" operator="equal">
      <formula>"APAGADO"</formula>
    </cfRule>
  </conditionalFormatting>
  <conditionalFormatting sqref="AJ407:AP407">
    <cfRule type="cellIs" dxfId="60" priority="165" operator="equal">
      <formula>"APAGADO"</formula>
    </cfRule>
  </conditionalFormatting>
  <conditionalFormatting sqref="AJ408:AU408">
    <cfRule type="cellIs" dxfId="59" priority="325" operator="equal">
      <formula>"APAGADO"</formula>
    </cfRule>
  </conditionalFormatting>
  <conditionalFormatting sqref="AL234:AP234">
    <cfRule type="cellIs" dxfId="58" priority="2107" operator="equal">
      <formula>"APAGADO"</formula>
    </cfRule>
  </conditionalFormatting>
  <conditionalFormatting sqref="AL406:AP406">
    <cfRule type="cellIs" dxfId="57" priority="2088" operator="equal">
      <formula>"APAGADO"</formula>
    </cfRule>
  </conditionalFormatting>
  <conditionalFormatting sqref="AL37:AV38">
    <cfRule type="cellIs" dxfId="56" priority="1704" operator="equal">
      <formula>"APAGADO"</formula>
    </cfRule>
  </conditionalFormatting>
  <conditionalFormatting sqref="AR407:AS407">
    <cfRule type="cellIs" dxfId="55" priority="12" operator="equal">
      <formula>"APAGADO"</formula>
    </cfRule>
  </conditionalFormatting>
  <conditionalFormatting sqref="AR425:AS425">
    <cfRule type="cellIs" dxfId="54" priority="9" operator="equal">
      <formula>"APAGADO"</formula>
    </cfRule>
  </conditionalFormatting>
  <conditionalFormatting sqref="AR234:AV234">
    <cfRule type="cellIs" dxfId="53" priority="1678" operator="equal">
      <formula>"APAGADO"</formula>
    </cfRule>
  </conditionalFormatting>
  <conditionalFormatting sqref="AU39:AV120">
    <cfRule type="cellIs" dxfId="52" priority="1698" operator="equal">
      <formula>"APAGADO"</formula>
    </cfRule>
  </conditionalFormatting>
  <conditionalFormatting sqref="AU236:AV402">
    <cfRule type="cellIs" dxfId="51" priority="1627" operator="equal">
      <formula>"APAGADO"</formula>
    </cfRule>
  </conditionalFormatting>
  <conditionalFormatting sqref="AV406:AV408">
    <cfRule type="cellIs" dxfId="50" priority="1646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 t="str">
        <f>'RESUMEN TOTAL'!AE22</f>
        <v>APAGADO</v>
      </c>
      <c r="S17" s="70" t="str">
        <f>'RESUMEN TOTAL'!AF22</f>
        <v>APAGADO</v>
      </c>
      <c r="T17" s="70" t="str">
        <f>'RESUMEN TOTAL'!AG22</f>
        <v>APAGADO</v>
      </c>
      <c r="U17" s="70">
        <f>'RESUMEN TOTAL'!AH22</f>
        <v>0</v>
      </c>
      <c r="V17" s="70">
        <f>'RESUMEN TOTAL'!AI22</f>
        <v>0</v>
      </c>
      <c r="W17" s="70" t="str">
        <f>'RESUMEN TOTAL'!AJ22</f>
        <v>APAGADO</v>
      </c>
      <c r="X17" s="70" t="str">
        <f>'RESUMEN TOTAL'!AK22</f>
        <v>APAGADO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 t="str">
        <f>'RESUMEN TOTAL'!AE23</f>
        <v>APAGADO</v>
      </c>
      <c r="S18" s="70" t="str">
        <f>'RESUMEN TOTAL'!AF23</f>
        <v>APAGADO</v>
      </c>
      <c r="T18" s="70" t="str">
        <f>'RESUMEN TOTAL'!AG23</f>
        <v>APAGADO</v>
      </c>
      <c r="U18" s="70">
        <f>'RESUMEN TOTAL'!AH23</f>
        <v>0</v>
      </c>
      <c r="V18" s="70">
        <f>'RESUMEN TOTAL'!AI23</f>
        <v>0</v>
      </c>
      <c r="W18" s="70" t="str">
        <f>'RESUMEN TOTAL'!AJ23</f>
        <v>APAGADO</v>
      </c>
      <c r="X18" s="70" t="str">
        <f>'RESUMEN TOTAL'!AK23</f>
        <v>APAGADO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 t="str">
        <f>'RESUMEN TOTAL'!AR29</f>
        <v>APAGADO</v>
      </c>
      <c r="AF24" s="70" t="str">
        <f>'RESUMEN TOTAL'!AS29</f>
        <v>APAGADO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 t="str">
        <f>'RESUMEN TOTAL'!AE48</f>
        <v>APAGADO</v>
      </c>
      <c r="S25" s="70" t="str">
        <f>'RESUMEN TOTAL'!AF48</f>
        <v>APAGADO</v>
      </c>
      <c r="T25" s="70" t="str">
        <f>'RESUMEN TOTAL'!AG48</f>
        <v>APAGADO</v>
      </c>
      <c r="U25" s="70">
        <f>'RESUMEN TOTAL'!AH48</f>
        <v>0</v>
      </c>
      <c r="V25" s="70">
        <f>'RESUMEN TOTAL'!AI48</f>
        <v>0</v>
      </c>
      <c r="W25" s="70" t="str">
        <f>'RESUMEN TOTAL'!AJ48</f>
        <v>APAGADO</v>
      </c>
      <c r="X25" s="70" t="str">
        <f>'RESUMEN TOTAL'!AK48</f>
        <v>APAGADO</v>
      </c>
      <c r="Y25" s="70" t="str">
        <f>'RESUMEN TOTAL'!AL48</f>
        <v>APAGADO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 t="str">
        <f>'RESUMEN TOTAL'!AE51</f>
        <v>APAGADO</v>
      </c>
      <c r="S28" s="70" t="str">
        <f>'RESUMEN TOTAL'!AF51</f>
        <v>APAGADO</v>
      </c>
      <c r="T28" s="70" t="str">
        <f>'RESUMEN TOTAL'!AG51</f>
        <v>APAGADO</v>
      </c>
      <c r="U28" s="70">
        <f>'RESUMEN TOTAL'!AH51</f>
        <v>0</v>
      </c>
      <c r="V28" s="70">
        <f>'RESUMEN TOTAL'!AI51</f>
        <v>0</v>
      </c>
      <c r="W28" s="70" t="str">
        <f>'RESUMEN TOTAL'!AJ51</f>
        <v>APAGADO</v>
      </c>
      <c r="X28" s="70" t="str">
        <f>'RESUMEN TOTAL'!AK51</f>
        <v>APAGADO</v>
      </c>
      <c r="Y28" s="70" t="str">
        <f>'RESUMEN TOTAL'!AL51</f>
        <v>APAGADO</v>
      </c>
      <c r="Z28" s="70" t="str">
        <f>'RESUMEN TOTAL'!AM51</f>
        <v>APAGADO</v>
      </c>
      <c r="AA28" s="70" t="str">
        <f>'RESUMEN TOTAL'!AN51</f>
        <v>APAGADO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 t="str">
        <f>'RESUMEN TOTAL'!AR51</f>
        <v>APAGADO</v>
      </c>
      <c r="AF28" s="70" t="str">
        <f>'RESUMEN TOTAL'!AS51</f>
        <v>APAGADO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 t="str">
        <f>'RESUMEN TOTAL'!AN55</f>
        <v>APAGADO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 t="str">
        <f>'RESUMEN TOTAL'!AR55</f>
        <v>APAGADO</v>
      </c>
      <c r="AF32" s="70" t="str">
        <f>'RESUMEN TOTAL'!AS55</f>
        <v>APAGADO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 t="str">
        <f>'RESUMEN TOTAL'!AF62</f>
        <v>APAGADO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 t="str">
        <f>'RESUMEN TOTAL'!AJ62</f>
        <v>APAGADO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 t="str">
        <f>'RESUMEN TOTAL'!AG69</f>
        <v>APAGADO</v>
      </c>
      <c r="U46" s="70">
        <f>'RESUMEN TOTAL'!AH69</f>
        <v>0</v>
      </c>
      <c r="V46" s="70">
        <f>'RESUMEN TOTAL'!AI69</f>
        <v>0</v>
      </c>
      <c r="W46" s="70" t="str">
        <f>'RESUMEN TOTAL'!AJ69</f>
        <v>APAGADO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 t="str">
        <f>'RESUMEN TOTAL'!AG70</f>
        <v>APAGADO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 t="str">
        <f>'RESUMEN TOTAL'!AR71</f>
        <v>APAGADO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>
        <f>'RESUMEN TOTAL'!AH75</f>
        <v>0</v>
      </c>
      <c r="V52" s="70">
        <f>'RESUMEN TOTAL'!AI75</f>
        <v>0</v>
      </c>
      <c r="W52" s="70" t="str">
        <f>'RESUMEN TOTAL'!AJ75</f>
        <v>APAGADO</v>
      </c>
      <c r="X52" s="70" t="str">
        <f>'RESUMEN TOTAL'!AK75</f>
        <v>APAGADO</v>
      </c>
      <c r="Y52" s="70" t="str">
        <f>'RESUMEN TOTAL'!AL75</f>
        <v>APAGADO</v>
      </c>
      <c r="Z52" s="70" t="str">
        <f>'RESUMEN TOTAL'!AM75</f>
        <v>APAGADO</v>
      </c>
      <c r="AA52" s="70" t="str">
        <f>'RESUMEN TOTAL'!AN75</f>
        <v>APAGADO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 t="str">
        <f>'RESUMEN TOTAL'!AR75</f>
        <v>APAGADO</v>
      </c>
      <c r="AF52" s="70" t="str">
        <f>'RESUMEN TOTAL'!AS75</f>
        <v>APAGADO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>
        <f>'RESUMEN TOTAL'!AH77</f>
        <v>0</v>
      </c>
      <c r="V54" s="70">
        <f>'RESUMEN TOTAL'!AI77</f>
        <v>0</v>
      </c>
      <c r="W54" s="70" t="str">
        <f>'RESUMEN TOTAL'!AJ77</f>
        <v>APAGADO</v>
      </c>
      <c r="X54" s="70" t="str">
        <f>'RESUMEN TOTAL'!AK77</f>
        <v>APAGADO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 t="str">
        <f>'RESUMEN TOTAL'!AR77</f>
        <v>APAGADO</v>
      </c>
      <c r="AF54" s="70" t="str">
        <f>'RESUMEN TOTAL'!AS77</f>
        <v>APAGADO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 t="str">
        <f>'RESUMEN TOTAL'!AE87</f>
        <v>APAGADO</v>
      </c>
      <c r="S64" s="70" t="str">
        <f>'RESUMEN TOTAL'!AF87</f>
        <v>APAGADO</v>
      </c>
      <c r="T64" s="70" t="str">
        <f>'RESUMEN TOTAL'!AG87</f>
        <v>APAGADO</v>
      </c>
      <c r="U64" s="70">
        <f>'RESUMEN TOTAL'!AH87</f>
        <v>0</v>
      </c>
      <c r="V64" s="70">
        <f>'RESUMEN TOTAL'!AI87</f>
        <v>0</v>
      </c>
      <c r="W64" s="70" t="str">
        <f>'RESUMEN TOTAL'!AJ87</f>
        <v>APAGADO</v>
      </c>
      <c r="X64" s="70" t="str">
        <f>'RESUMEN TOTAL'!AK87</f>
        <v>APAGADO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 t="str">
        <f>'RESUMEN TOTAL'!AE92</f>
        <v>APAGADO</v>
      </c>
      <c r="S69" s="70" t="str">
        <f>'RESUMEN TOTAL'!AF92</f>
        <v>APAGADO</v>
      </c>
      <c r="T69" s="70" t="str">
        <f>'RESUMEN TOTAL'!AG92</f>
        <v>APAGADO</v>
      </c>
      <c r="U69" s="70">
        <f>'RESUMEN TOTAL'!AH92</f>
        <v>0</v>
      </c>
      <c r="V69" s="70">
        <f>'RESUMEN TOTAL'!AI92</f>
        <v>0</v>
      </c>
      <c r="W69" s="70" t="str">
        <f>'RESUMEN TOTAL'!AJ92</f>
        <v>APAGADO</v>
      </c>
      <c r="X69" s="70" t="str">
        <f>'RESUMEN TOTAL'!AK92</f>
        <v>APAGADO</v>
      </c>
      <c r="Y69" s="70" t="str">
        <f>'RESUMEN TOTAL'!AL92</f>
        <v>APAGADO</v>
      </c>
      <c r="Z69" s="70" t="str">
        <f>'RESUMEN TOTAL'!AM92</f>
        <v>APAGADO</v>
      </c>
      <c r="AA69" s="70" t="str">
        <f>'RESUMEN TOTAL'!AN92</f>
        <v>APAGADO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 t="str">
        <f>'RESUMEN TOTAL'!AR92</f>
        <v>APAGADO</v>
      </c>
      <c r="AF69" s="70" t="str">
        <f>'RESUMEN TOTAL'!AS92</f>
        <v>APAGADO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 t="str">
        <f>'RESUMEN TOTAL'!AL105</f>
        <v>APAGADO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 t="str">
        <f>'RESUMEN TOTAL'!AE110</f>
        <v>APAGADO</v>
      </c>
      <c r="S87" s="70" t="str">
        <f>'RESUMEN TOTAL'!AF110</f>
        <v>APAGADO</v>
      </c>
      <c r="T87" s="70" t="str">
        <f>'RESUMEN TOTAL'!AG110</f>
        <v>APAGADO</v>
      </c>
      <c r="U87" s="70">
        <f>'RESUMEN TOTAL'!AH110</f>
        <v>0</v>
      </c>
      <c r="V87" s="70">
        <f>'RESUMEN TOTAL'!AI110</f>
        <v>0</v>
      </c>
      <c r="W87" s="70" t="str">
        <f>'RESUMEN TOTAL'!AJ110</f>
        <v>APAGADO</v>
      </c>
      <c r="X87" s="70" t="str">
        <f>'RESUMEN TOTAL'!AK110</f>
        <v>APAGADO</v>
      </c>
      <c r="Y87" s="70" t="str">
        <f>'RESUMEN TOTAL'!AL110</f>
        <v>APAGADO</v>
      </c>
      <c r="Z87" s="70" t="str">
        <f>'RESUMEN TOTAL'!AM110</f>
        <v>APAGADO</v>
      </c>
      <c r="AA87" s="70" t="str">
        <f>'RESUMEN TOTAL'!AN110</f>
        <v>APAGADO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 t="str">
        <f>'RESUMEN TOTAL'!AR110</f>
        <v>APAGADO</v>
      </c>
      <c r="AF87" s="70" t="str">
        <f>'RESUMEN TOTAL'!AS110</f>
        <v>APAGADO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 t="str">
        <f>'RESUMEN TOTAL'!AE112</f>
        <v>APAGADO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 t="str">
        <f>'RESUMEN TOTAL'!AK112</f>
        <v>APAGADO</v>
      </c>
      <c r="Y89" s="70" t="str">
        <f>'RESUMEN TOTAL'!AL112</f>
        <v>APAGADO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 t="str">
        <f>'RESUMEN TOTAL'!AR113</f>
        <v>APAGADO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 t="str">
        <f>'RESUMEN TOTAL'!AN114</f>
        <v>APAGADO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 t="str">
        <f>'RESUMEN TOTAL'!AR114</f>
        <v>APAGADO</v>
      </c>
      <c r="AF91" s="70" t="str">
        <f>'RESUMEN TOTAL'!AS114</f>
        <v>APAGADO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 t="str">
        <f>'RESUMEN TOTAL'!AN115</f>
        <v>APAGADO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 t="str">
        <f>'RESUMEN TOTAL'!AR115</f>
        <v>APAGADO</v>
      </c>
      <c r="AF92" s="70" t="str">
        <f>'RESUMEN TOTAL'!AS115</f>
        <v>APAGADO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 t="str">
        <f>'RESUMEN TOTAL'!AJ116</f>
        <v>APAGADO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 t="str">
        <f>'RESUMEN TOTAL'!AR116</f>
        <v>APAGADO</v>
      </c>
      <c r="AF93" s="70" t="str">
        <f>'RESUMEN TOTAL'!AS116</f>
        <v>APAGADO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 t="str">
        <f>'RESUMEN TOTAL'!AE118</f>
        <v>APAGADO</v>
      </c>
      <c r="S95" s="70" t="str">
        <f>'RESUMEN TOTAL'!AF118</f>
        <v>APAGADO</v>
      </c>
      <c r="T95" s="70" t="str">
        <f>'RESUMEN TOTAL'!AG118</f>
        <v>APAGADO</v>
      </c>
      <c r="U95" s="70">
        <f>'RESUMEN TOTAL'!AH118</f>
        <v>0</v>
      </c>
      <c r="V95" s="70">
        <f>'RESUMEN TOTAL'!AI118</f>
        <v>0</v>
      </c>
      <c r="W95" s="70" t="str">
        <f>'RESUMEN TOTAL'!AJ118</f>
        <v>APAGADO</v>
      </c>
      <c r="X95" s="70" t="str">
        <f>'RESUMEN TOTAL'!AK118</f>
        <v>APAGADO</v>
      </c>
      <c r="Y95" s="70" t="str">
        <f>'RESUMEN TOTAL'!AL118</f>
        <v>APAGADO</v>
      </c>
      <c r="Z95" s="70" t="str">
        <f>'RESUMEN TOTAL'!AM118</f>
        <v>APAGADO</v>
      </c>
      <c r="AA95" s="70" t="str">
        <f>'RESUMEN TOTAL'!AN118</f>
        <v>APAGADO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 t="str">
        <f>'RESUMEN TOTAL'!AR118</f>
        <v>APAGADO</v>
      </c>
      <c r="AF95" s="70" t="str">
        <f>'RESUMEN TOTAL'!AS118</f>
        <v>APAGADO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 t="str">
        <f>'RESUMEN TOTAL'!AE129</f>
        <v>APAGADO</v>
      </c>
      <c r="S106" s="70" t="str">
        <f>'RESUMEN TOTAL'!AF129</f>
        <v>APAGADO</v>
      </c>
      <c r="T106" s="70" t="str">
        <f>'RESUMEN TOTAL'!AG129</f>
        <v>APAGADO</v>
      </c>
      <c r="U106" s="70">
        <f>'RESUMEN TOTAL'!AH129</f>
        <v>0</v>
      </c>
      <c r="V106" s="70">
        <f>'RESUMEN TOTAL'!AI129</f>
        <v>0</v>
      </c>
      <c r="W106" s="70" t="str">
        <f>'RESUMEN TOTAL'!AJ129</f>
        <v>APAGADO</v>
      </c>
      <c r="X106" s="70" t="str">
        <f>'RESUMEN TOTAL'!AK129</f>
        <v>APAGADO</v>
      </c>
      <c r="Y106" s="70" t="str">
        <f>'RESUMEN TOTAL'!AL129</f>
        <v>APAGADO</v>
      </c>
      <c r="Z106" s="70" t="str">
        <f>'RESUMEN TOTAL'!AM129</f>
        <v>APAGADO</v>
      </c>
      <c r="AA106" s="70" t="str">
        <f>'RESUMEN TOTAL'!AN129</f>
        <v>APAGADO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 t="str">
        <f>'RESUMEN TOTAL'!AR129</f>
        <v>APAGADO</v>
      </c>
      <c r="AF106" s="70" t="str">
        <f>'RESUMEN TOTAL'!AS129</f>
        <v>APAGADO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>
        <f>'RESUMEN TOTAL'!AH131</f>
        <v>0</v>
      </c>
      <c r="V108" s="70">
        <f>'RESUMEN TOTAL'!AI131</f>
        <v>0</v>
      </c>
      <c r="W108" s="70" t="str">
        <f>'RESUMEN TOTAL'!AJ131</f>
        <v>APAGADO</v>
      </c>
      <c r="X108" s="70" t="str">
        <f>'RESUMEN TOTAL'!AK131</f>
        <v>APAGADO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 t="str">
        <f>'RESUMEN TOTAL'!AR131</f>
        <v>APAGADO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 t="str">
        <f>'RESUMEN TOTAL'!AE148</f>
        <v>APAGADO</v>
      </c>
      <c r="S111" s="70" t="str">
        <f>'RESUMEN TOTAL'!AF148</f>
        <v>APAGADO</v>
      </c>
      <c r="T111" s="70" t="str">
        <f>'RESUMEN TOTAL'!AG148</f>
        <v>APAGADO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 t="str">
        <f>'RESUMEN TOTAL'!AE149</f>
        <v>APAGADO</v>
      </c>
      <c r="S112" s="70" t="str">
        <f>'RESUMEN TOTAL'!AF149</f>
        <v>APAGADO</v>
      </c>
      <c r="T112" s="70" t="str">
        <f>'RESUMEN TOTAL'!AG149</f>
        <v>APAGADO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 t="str">
        <f>'RESUMEN TOTAL'!AK149</f>
        <v>APAGADO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 t="str">
        <f>'RESUMEN TOTAL'!AR149</f>
        <v>APAGADO</v>
      </c>
      <c r="AF112" s="70" t="str">
        <f>'RESUMEN TOTAL'!AS149</f>
        <v>APAGADO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 t="str">
        <f>'RESUMEN TOTAL'!AJ150</f>
        <v>APAGADO</v>
      </c>
      <c r="X113" s="70" t="str">
        <f>'RESUMEN TOTAL'!AK150</f>
        <v>APAGADO</v>
      </c>
      <c r="Y113" s="70" t="str">
        <f>'RESUMEN TOTAL'!AL150</f>
        <v>APAGADO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 t="str">
        <f>'RESUMEN TOTAL'!AE151</f>
        <v>APAGADO</v>
      </c>
      <c r="S114" s="70" t="str">
        <f>'RESUMEN TOTAL'!AF151</f>
        <v>APAGADO</v>
      </c>
      <c r="T114" s="70" t="str">
        <f>'RESUMEN TOTAL'!AG151</f>
        <v>APAGADO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 t="str">
        <f>'RESUMEN TOTAL'!AE171</f>
        <v>APAGADO</v>
      </c>
      <c r="S128" s="70" t="str">
        <f>'RESUMEN TOTAL'!AF171</f>
        <v>APAGADO</v>
      </c>
      <c r="T128" s="70" t="str">
        <f>'RESUMEN TOTAL'!AG171</f>
        <v>APAGADO</v>
      </c>
      <c r="U128" s="70">
        <f>'RESUMEN TOTAL'!AH171</f>
        <v>0</v>
      </c>
      <c r="V128" s="70">
        <f>'RESUMEN TOTAL'!AI171</f>
        <v>0</v>
      </c>
      <c r="W128" s="70" t="str">
        <f>'RESUMEN TOTAL'!AJ171</f>
        <v>APAGADO</v>
      </c>
      <c r="X128" s="70" t="str">
        <f>'RESUMEN TOTAL'!AK171</f>
        <v>APAGADO</v>
      </c>
      <c r="Y128" s="70" t="str">
        <f>'RESUMEN TOTAL'!AL171</f>
        <v>APAGADO</v>
      </c>
      <c r="Z128" s="70" t="str">
        <f>'RESUMEN TOTAL'!AM171</f>
        <v>APAGADO</v>
      </c>
      <c r="AA128" s="70" t="str">
        <f>'RESUMEN TOTAL'!AN171</f>
        <v>APAGADO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 t="str">
        <f>'RESUMEN TOTAL'!AR171</f>
        <v>APAGADO</v>
      </c>
      <c r="AF128" s="70" t="str">
        <f>'RESUMEN TOTAL'!AS171</f>
        <v>APAGADO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 t="str">
        <f>'RESUMEN TOTAL'!AE175</f>
        <v>APAGADO</v>
      </c>
      <c r="S130" s="70" t="str">
        <f>'RESUMEN TOTAL'!AF175</f>
        <v>APAGADO</v>
      </c>
      <c r="T130" s="70" t="str">
        <f>'RESUMEN TOTAL'!AG175</f>
        <v>APAGADO</v>
      </c>
      <c r="U130" s="70">
        <f>'RESUMEN TOTAL'!AH175</f>
        <v>0</v>
      </c>
      <c r="V130" s="70">
        <f>'RESUMEN TOTAL'!AI175</f>
        <v>0</v>
      </c>
      <c r="W130" s="70" t="str">
        <f>'RESUMEN TOTAL'!AJ175</f>
        <v>APAGADO</v>
      </c>
      <c r="X130" s="70" t="str">
        <f>'RESUMEN TOTAL'!AK175</f>
        <v>APAGADO</v>
      </c>
      <c r="Y130" s="70" t="str">
        <f>'RESUMEN TOTAL'!AL175</f>
        <v>APAGADO</v>
      </c>
      <c r="Z130" s="70" t="str">
        <f>'RESUMEN TOTAL'!AM175</f>
        <v>APAGADO</v>
      </c>
      <c r="AA130" s="70" t="str">
        <f>'RESUMEN TOTAL'!AN175</f>
        <v>APAGADO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 t="str">
        <f>'RESUMEN TOTAL'!AR175</f>
        <v>APAGADO</v>
      </c>
      <c r="AF130" s="70" t="str">
        <f>'RESUMEN TOTAL'!AS175</f>
        <v>APAGADO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 t="str">
        <f>'RESUMEN TOTAL'!AE176</f>
        <v>APAGADO</v>
      </c>
      <c r="S131" s="70" t="str">
        <f>'RESUMEN TOTAL'!AF176</f>
        <v>APAGADO</v>
      </c>
      <c r="T131" s="70" t="str">
        <f>'RESUMEN TOTAL'!AG176</f>
        <v>APAGADO</v>
      </c>
      <c r="U131" s="70">
        <f>'RESUMEN TOTAL'!AH176</f>
        <v>0</v>
      </c>
      <c r="V131" s="70">
        <f>'RESUMEN TOTAL'!AI176</f>
        <v>0</v>
      </c>
      <c r="W131" s="70" t="str">
        <f>'RESUMEN TOTAL'!AJ176</f>
        <v>APAGADO</v>
      </c>
      <c r="X131" s="70" t="str">
        <f>'RESUMEN TOTAL'!AK176</f>
        <v>APAGADO</v>
      </c>
      <c r="Y131" s="70" t="str">
        <f>'RESUMEN TOTAL'!AL176</f>
        <v>APAGADO</v>
      </c>
      <c r="Z131" s="70" t="str">
        <f>'RESUMEN TOTAL'!AM176</f>
        <v>APAGADO</v>
      </c>
      <c r="AA131" s="70" t="str">
        <f>'RESUMEN TOTAL'!AN176</f>
        <v>APAGADO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 t="str">
        <f>'RESUMEN TOTAL'!AR176</f>
        <v>APAGADO</v>
      </c>
      <c r="AF131" s="70" t="str">
        <f>'RESUMEN TOTAL'!AS176</f>
        <v>APAGADO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 t="str">
        <f>'RESUMEN TOTAL'!AJ177</f>
        <v>APAGADO</v>
      </c>
      <c r="X132" s="70" t="str">
        <f>'RESUMEN TOTAL'!AK177</f>
        <v>APAGADO</v>
      </c>
      <c r="Y132" s="70" t="str">
        <f>'RESUMEN TOTAL'!AL177</f>
        <v>APAGADO</v>
      </c>
      <c r="Z132" s="70" t="str">
        <f>'RESUMEN TOTAL'!AM177</f>
        <v>APAGADO</v>
      </c>
      <c r="AA132" s="70" t="str">
        <f>'RESUMEN TOTAL'!AN177</f>
        <v>APAGADO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 t="str">
        <f>'RESUMEN TOTAL'!AR177</f>
        <v>APAGADO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 t="str">
        <f>'RESUMEN TOTAL'!AG178</f>
        <v>APAGADO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 t="str">
        <f>'RESUMEN TOTAL'!AM183</f>
        <v>APAGADO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 t="str">
        <f>'RESUMEN TOTAL'!AM197</f>
        <v>APAGADO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>
        <f>'RESUMEN TOTAL'!AH205</f>
        <v>0</v>
      </c>
      <c r="V154" s="70">
        <f>'RESUMEN TOTAL'!AI205</f>
        <v>0</v>
      </c>
      <c r="W154" s="70" t="str">
        <f>'RESUMEN TOTAL'!AJ205</f>
        <v>APAGADO</v>
      </c>
      <c r="X154" s="70" t="str">
        <f>'RESUMEN TOTAL'!AK205</f>
        <v>APAGADO</v>
      </c>
      <c r="Y154" s="70" t="str">
        <f>'RESUMEN TOTAL'!AL205</f>
        <v>APAGADO</v>
      </c>
      <c r="Z154" s="70" t="str">
        <f>'RESUMEN TOTAL'!AM205</f>
        <v>APAGADO</v>
      </c>
      <c r="AA154" s="70" t="str">
        <f>'RESUMEN TOTAL'!AN205</f>
        <v>APAGADO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 t="str">
        <f>'RESUMEN TOTAL'!AR205</f>
        <v>APAGADO</v>
      </c>
      <c r="AF154" s="70" t="str">
        <f>'RESUMEN TOTAL'!AS205</f>
        <v>APAGADO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 t="str">
        <f>'RESUMEN TOTAL'!AF209</f>
        <v>APAGADO</v>
      </c>
      <c r="T158" s="70" t="str">
        <f>'RESUMEN TOTAL'!AG209</f>
        <v>APAGADO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 t="str">
        <f>'RESUMEN TOTAL'!AE213</f>
        <v>APAGADO</v>
      </c>
      <c r="S162" s="70" t="str">
        <f>'RESUMEN TOTAL'!AF213</f>
        <v>APAGADO</v>
      </c>
      <c r="T162" s="70" t="str">
        <f>'RESUMEN TOTAL'!AG213</f>
        <v>APAGADO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 t="str">
        <f>'RESUMEN TOTAL'!AM213</f>
        <v>APAGADO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 t="str">
        <f>'RESUMEN TOTAL'!AF215</f>
        <v>APAGADO</v>
      </c>
      <c r="T164" s="70" t="str">
        <f>'RESUMEN TOTAL'!AG215</f>
        <v>APAGADO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 t="str">
        <f>'RESUMEN TOTAL'!AE226</f>
        <v>APAGADO</v>
      </c>
      <c r="S170" s="70" t="str">
        <f>'RESUMEN TOTAL'!AF226</f>
        <v>APAGADO</v>
      </c>
      <c r="T170" s="70" t="str">
        <f>'RESUMEN TOTAL'!AG226</f>
        <v>APAGADO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 t="str">
        <f>'RESUMEN TOTAL'!AS231</f>
        <v>APAGADO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 t="str">
        <f>'RESUMEN TOTAL'!AN246</f>
        <v>APAGADO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 t="str">
        <f>'RESUMEN TOTAL'!AJ249</f>
        <v>APAGADO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 t="str">
        <f>'RESUMEN TOTAL'!AE250</f>
        <v>APAGADO</v>
      </c>
      <c r="S189" s="70" t="str">
        <f>'RESUMEN TOTAL'!AF250</f>
        <v>APAGADO</v>
      </c>
      <c r="T189" s="70" t="str">
        <f>'RESUMEN TOTAL'!AG250</f>
        <v>APAGADO</v>
      </c>
      <c r="U189" s="70">
        <f>'RESUMEN TOTAL'!AH250</f>
        <v>0</v>
      </c>
      <c r="V189" s="70">
        <f>'RESUMEN TOTAL'!AI250</f>
        <v>0</v>
      </c>
      <c r="W189" s="70" t="str">
        <f>'RESUMEN TOTAL'!AJ250</f>
        <v>APAGADO</v>
      </c>
      <c r="X189" s="70" t="str">
        <f>'RESUMEN TOTAL'!AK250</f>
        <v>APAGADO</v>
      </c>
      <c r="Y189" s="70" t="str">
        <f>'RESUMEN TOTAL'!AL250</f>
        <v>APAGADO</v>
      </c>
      <c r="Z189" s="70" t="str">
        <f>'RESUMEN TOTAL'!AM250</f>
        <v>APAGADO</v>
      </c>
      <c r="AA189" s="70" t="str">
        <f>'RESUMEN TOTAL'!AN250</f>
        <v>APAGADO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 t="str">
        <f>'RESUMEN TOTAL'!AR250</f>
        <v>APAGADO</v>
      </c>
      <c r="AF189" s="70" t="str">
        <f>'RESUMEN TOTAL'!AS250</f>
        <v>APAGADO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 t="str">
        <f>'RESUMEN TOTAL'!AG251</f>
        <v>APAGADO</v>
      </c>
      <c r="U190" s="70">
        <f>'RESUMEN TOTAL'!AH251</f>
        <v>0</v>
      </c>
      <c r="V190" s="70">
        <f>'RESUMEN TOTAL'!AI251</f>
        <v>0</v>
      </c>
      <c r="W190" s="70" t="str">
        <f>'RESUMEN TOTAL'!AJ251</f>
        <v>APAGADO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 t="str">
        <f>'RESUMEN TOTAL'!AN251</f>
        <v>APAGADO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 t="str">
        <f>'RESUMEN TOTAL'!AE254</f>
        <v>APAGADO</v>
      </c>
      <c r="S193" s="70" t="str">
        <f>'RESUMEN TOTAL'!AF254</f>
        <v>APAGADO</v>
      </c>
      <c r="T193" s="70" t="str">
        <f>'RESUMEN TOTAL'!AG254</f>
        <v>APAGADO</v>
      </c>
      <c r="U193" s="70">
        <f>'RESUMEN TOTAL'!AH254</f>
        <v>0</v>
      </c>
      <c r="V193" s="70">
        <f>'RESUMEN TOTAL'!AI254</f>
        <v>0</v>
      </c>
      <c r="W193" s="70" t="str">
        <f>'RESUMEN TOTAL'!AJ254</f>
        <v>APAGADO</v>
      </c>
      <c r="X193" s="70" t="str">
        <f>'RESUMEN TOTAL'!AK254</f>
        <v>APAGADO</v>
      </c>
      <c r="Y193" s="70" t="str">
        <f>'RESUMEN TOTAL'!AL254</f>
        <v>APAGADO</v>
      </c>
      <c r="Z193" s="70" t="str">
        <f>'RESUMEN TOTAL'!AM254</f>
        <v>APAGADO</v>
      </c>
      <c r="AA193" s="70" t="str">
        <f>'RESUMEN TOTAL'!AN254</f>
        <v>APAGADO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 t="str">
        <f>'RESUMEN TOTAL'!AR254</f>
        <v>APAGADO</v>
      </c>
      <c r="AF193" s="70" t="str">
        <f>'RESUMEN TOTAL'!AS254</f>
        <v>APAGADO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 t="str">
        <f>'RESUMEN TOTAL'!AE255</f>
        <v>APAGADO</v>
      </c>
      <c r="S194" s="70" t="str">
        <f>'RESUMEN TOTAL'!AF255</f>
        <v>APAGADO</v>
      </c>
      <c r="T194" s="70" t="str">
        <f>'RESUMEN TOTAL'!AG255</f>
        <v>APAGADO</v>
      </c>
      <c r="U194" s="70">
        <f>'RESUMEN TOTAL'!AH255</f>
        <v>0</v>
      </c>
      <c r="V194" s="70">
        <f>'RESUMEN TOTAL'!AI255</f>
        <v>0</v>
      </c>
      <c r="W194" s="70" t="str">
        <f>'RESUMEN TOTAL'!AJ255</f>
        <v>APAGADO</v>
      </c>
      <c r="X194" s="70" t="str">
        <f>'RESUMEN TOTAL'!AK255</f>
        <v>APAGADO</v>
      </c>
      <c r="Y194" s="70" t="str">
        <f>'RESUMEN TOTAL'!AL255</f>
        <v>APAGADO</v>
      </c>
      <c r="Z194" s="70" t="str">
        <f>'RESUMEN TOTAL'!AM255</f>
        <v>APAGADO</v>
      </c>
      <c r="AA194" s="70" t="str">
        <f>'RESUMEN TOTAL'!AN255</f>
        <v>APAGADO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 t="str">
        <f>'RESUMEN TOTAL'!AR255</f>
        <v>APAGADO</v>
      </c>
      <c r="AF194" s="70" t="str">
        <f>'RESUMEN TOTAL'!AS255</f>
        <v>APAGADO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 t="str">
        <f>'RESUMEN TOTAL'!AF256</f>
        <v>APAGADO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 t="str">
        <f>'RESUMEN TOTAL'!AE270</f>
        <v>APAGADO</v>
      </c>
      <c r="S204" s="70" t="str">
        <f>'RESUMEN TOTAL'!AF270</f>
        <v>APAGADO</v>
      </c>
      <c r="T204" s="70" t="str">
        <f>'RESUMEN TOTAL'!AG270</f>
        <v>APAGADO</v>
      </c>
      <c r="U204" s="70">
        <f>'RESUMEN TOTAL'!AH270</f>
        <v>0</v>
      </c>
      <c r="V204" s="70">
        <f>'RESUMEN TOTAL'!AI270</f>
        <v>0</v>
      </c>
      <c r="W204" s="70" t="str">
        <f>'RESUMEN TOTAL'!AJ270</f>
        <v>APAGADO</v>
      </c>
      <c r="X204" s="70" t="str">
        <f>'RESUMEN TOTAL'!AK270</f>
        <v>APAGADO</v>
      </c>
      <c r="Y204" s="70" t="str">
        <f>'RESUMEN TOTAL'!AL270</f>
        <v>APAGADO</v>
      </c>
      <c r="Z204" s="70" t="str">
        <f>'RESUMEN TOTAL'!AM270</f>
        <v>APAGADO</v>
      </c>
      <c r="AA204" s="70" t="str">
        <f>'RESUMEN TOTAL'!AN270</f>
        <v>APAGADO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 t="str">
        <f>'RESUMEN TOTAL'!AR270</f>
        <v>APAGADO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 t="str">
        <f>'RESUMEN TOTAL'!AM274</f>
        <v>APAGADO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 t="str">
        <f>'RESUMEN TOTAL'!AE275</f>
        <v>APAGADO</v>
      </c>
      <c r="S209" s="70" t="str">
        <f>'RESUMEN TOTAL'!AF275</f>
        <v>APAGADO</v>
      </c>
      <c r="T209" s="70" t="str">
        <f>'RESUMEN TOTAL'!AG275</f>
        <v>APAGADO</v>
      </c>
      <c r="U209" s="70">
        <f>'RESUMEN TOTAL'!AH275</f>
        <v>0</v>
      </c>
      <c r="V209" s="70">
        <f>'RESUMEN TOTAL'!AI275</f>
        <v>0</v>
      </c>
      <c r="W209" s="70" t="str">
        <f>'RESUMEN TOTAL'!AJ275</f>
        <v>APAGADO</v>
      </c>
      <c r="X209" s="70" t="str">
        <f>'RESUMEN TOTAL'!AK275</f>
        <v>APAGADO</v>
      </c>
      <c r="Y209" s="70" t="str">
        <f>'RESUMEN TOTAL'!AL275</f>
        <v>APAGADO</v>
      </c>
      <c r="Z209" s="70" t="str">
        <f>'RESUMEN TOTAL'!AM275</f>
        <v>APAGADO</v>
      </c>
      <c r="AA209" s="70" t="str">
        <f>'RESUMEN TOTAL'!AN275</f>
        <v>APAGADO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 t="str">
        <f>'RESUMEN TOTAL'!AR275</f>
        <v>APAGADO</v>
      </c>
      <c r="AF209" s="70" t="str">
        <f>'RESUMEN TOTAL'!AS275</f>
        <v>APAGADO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 t="str">
        <f>'RESUMEN TOTAL'!AE289</f>
        <v>APAGADO</v>
      </c>
      <c r="S219" s="70" t="str">
        <f>'RESUMEN TOTAL'!AF289</f>
        <v>APAGADO</v>
      </c>
      <c r="T219" s="70" t="str">
        <f>'RESUMEN TOTAL'!AG289</f>
        <v>APAGADO</v>
      </c>
      <c r="U219" s="70">
        <f>'RESUMEN TOTAL'!AH289</f>
        <v>0</v>
      </c>
      <c r="V219" s="70">
        <f>'RESUMEN TOTAL'!AI289</f>
        <v>0</v>
      </c>
      <c r="W219" s="70" t="str">
        <f>'RESUMEN TOTAL'!AJ289</f>
        <v>APAGADO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 t="str">
        <f>'RESUMEN TOTAL'!AM292</f>
        <v>APAGADO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 t="str">
        <f>'RESUMEN TOTAL'!AE293</f>
        <v>APAGADO</v>
      </c>
      <c r="S223" s="70" t="str">
        <f>'RESUMEN TOTAL'!AF293</f>
        <v>APAGADO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 t="str">
        <f>'RESUMEN TOTAL'!AJ293</f>
        <v>APAGADO</v>
      </c>
      <c r="X223" s="70" t="str">
        <f>'RESUMEN TOTAL'!AK293</f>
        <v>APAGADO</v>
      </c>
      <c r="Y223" s="70" t="str">
        <f>'RESUMEN TOTAL'!AL293</f>
        <v>APAGADO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 t="str">
        <f>'RESUMEN TOTAL'!AE294</f>
        <v>APAGADO</v>
      </c>
      <c r="S224" s="70" t="str">
        <f>'RESUMEN TOTAL'!AF294</f>
        <v>APAGADO</v>
      </c>
      <c r="T224" s="70" t="str">
        <f>'RESUMEN TOTAL'!AG294</f>
        <v>APAGADO</v>
      </c>
      <c r="U224" s="70">
        <f>'RESUMEN TOTAL'!AH294</f>
        <v>0</v>
      </c>
      <c r="V224" s="70">
        <f>'RESUMEN TOTAL'!AI294</f>
        <v>0</v>
      </c>
      <c r="W224" s="70" t="str">
        <f>'RESUMEN TOTAL'!AJ294</f>
        <v>APAGADO</v>
      </c>
      <c r="X224" s="70" t="str">
        <f>'RESUMEN TOTAL'!AK294</f>
        <v>APAGADO</v>
      </c>
      <c r="Y224" s="70" t="str">
        <f>'RESUMEN TOTAL'!AL294</f>
        <v>APAGADO</v>
      </c>
      <c r="Z224" s="70" t="str">
        <f>'RESUMEN TOTAL'!AM294</f>
        <v>APAGADO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 t="str">
        <f>'RESUMEN TOTAL'!AE300</f>
        <v>APAGADO</v>
      </c>
      <c r="S227" s="70" t="str">
        <f>'RESUMEN TOTAL'!AF300</f>
        <v>APAGADO</v>
      </c>
      <c r="T227" s="70" t="str">
        <f>'RESUMEN TOTAL'!AG300</f>
        <v>APAGADO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 t="str">
        <f>'RESUMEN TOTAL'!AE301</f>
        <v>APAGADO</v>
      </c>
      <c r="S228" s="70" t="str">
        <f>'RESUMEN TOTAL'!AF301</f>
        <v>APAGADO</v>
      </c>
      <c r="T228" s="70" t="str">
        <f>'RESUMEN TOTAL'!AG301</f>
        <v>APAGADO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 t="str">
        <f>'RESUMEN TOTAL'!AE302</f>
        <v>APAGADO</v>
      </c>
      <c r="S229" s="70" t="str">
        <f>'RESUMEN TOTAL'!AF302</f>
        <v>APAGADO</v>
      </c>
      <c r="T229" s="70" t="str">
        <f>'RESUMEN TOTAL'!AG302</f>
        <v>APAGADO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 t="str">
        <f>'RESUMEN TOTAL'!AE303</f>
        <v>APAGADO</v>
      </c>
      <c r="S230" s="70" t="str">
        <f>'RESUMEN TOTAL'!AF303</f>
        <v>APAGADO</v>
      </c>
      <c r="T230" s="70" t="str">
        <f>'RESUMEN TOTAL'!AG303</f>
        <v>APAGADO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 t="str">
        <f>'RESUMEN TOTAL'!AE304</f>
        <v>APAGADO</v>
      </c>
      <c r="S231" s="70" t="str">
        <f>'RESUMEN TOTAL'!AF304</f>
        <v>APAGADO</v>
      </c>
      <c r="T231" s="70" t="str">
        <f>'RESUMEN TOTAL'!AG304</f>
        <v>APAGADO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 t="str">
        <f>'RESUMEN TOTAL'!AE307</f>
        <v>APAGADO</v>
      </c>
      <c r="S234" s="70" t="str">
        <f>'RESUMEN TOTAL'!AF307</f>
        <v>APAGADO</v>
      </c>
      <c r="T234" s="70" t="str">
        <f>'RESUMEN TOTAL'!AG307</f>
        <v>APAGADO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 t="str">
        <f>'RESUMEN TOTAL'!AE308</f>
        <v>APAGADO</v>
      </c>
      <c r="S235" s="70" t="str">
        <f>'RESUMEN TOTAL'!AF308</f>
        <v>APAGADO</v>
      </c>
      <c r="T235" s="70" t="str">
        <f>'RESUMEN TOTAL'!AG308</f>
        <v>APAGADO</v>
      </c>
      <c r="U235" s="70">
        <f>'RESUMEN TOTAL'!AH308</f>
        <v>0</v>
      </c>
      <c r="V235" s="70">
        <f>'RESUMEN TOTAL'!AI308</f>
        <v>0</v>
      </c>
      <c r="W235" s="70" t="str">
        <f>'RESUMEN TOTAL'!AJ308</f>
        <v>APAGADO</v>
      </c>
      <c r="X235" s="70" t="str">
        <f>'RESUMEN TOTAL'!AK308</f>
        <v>APAGADO</v>
      </c>
      <c r="Y235" s="70" t="str">
        <f>'RESUMEN TOTAL'!AL308</f>
        <v>APAGADO</v>
      </c>
      <c r="Z235" s="70" t="str">
        <f>'RESUMEN TOTAL'!AM308</f>
        <v>APAGADO</v>
      </c>
      <c r="AA235" s="70" t="str">
        <f>'RESUMEN TOTAL'!AN308</f>
        <v>APAGADO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 t="str">
        <f>'RESUMEN TOTAL'!AR308</f>
        <v>APAGADO</v>
      </c>
      <c r="AF235" s="70" t="str">
        <f>'RESUMEN TOTAL'!AS308</f>
        <v>APAGADO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 t="str">
        <f>'RESUMEN TOTAL'!AS309</f>
        <v>APAGADO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 t="str">
        <f>'RESUMEN TOTAL'!AE310</f>
        <v>APAGADO</v>
      </c>
      <c r="S237" s="70" t="str">
        <f>'RESUMEN TOTAL'!AF310</f>
        <v>APAGADO</v>
      </c>
      <c r="T237" s="70" t="str">
        <f>'RESUMEN TOTAL'!AG310</f>
        <v>APAGADO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 t="str">
        <f>'RESUMEN TOTAL'!AE312</f>
        <v>APAGADO</v>
      </c>
      <c r="S239" s="70" t="str">
        <f>'RESUMEN TOTAL'!AF312</f>
        <v>APAGADO</v>
      </c>
      <c r="T239" s="70" t="str">
        <f>'RESUMEN TOTAL'!AG312</f>
        <v>APAGADO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GPON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 t="str">
        <f>'RESUMEN TOTAL'!AE317</f>
        <v>APAGADO</v>
      </c>
      <c r="S244" s="70" t="str">
        <f>'RESUMEN TOTAL'!AF317</f>
        <v>APAGADO</v>
      </c>
      <c r="T244" s="70" t="str">
        <f>'RESUMEN TOTAL'!AG317</f>
        <v>APAGADO</v>
      </c>
      <c r="U244" s="70">
        <f>'RESUMEN TOTAL'!AH317</f>
        <v>0</v>
      </c>
      <c r="V244" s="70">
        <f>'RESUMEN TOTAL'!AI317</f>
        <v>0</v>
      </c>
      <c r="W244" s="70" t="str">
        <f>'RESUMEN TOTAL'!AJ317</f>
        <v>APAGADO</v>
      </c>
      <c r="X244" s="70" t="str">
        <f>'RESUMEN TOTAL'!AK317</f>
        <v>APAGADO</v>
      </c>
      <c r="Y244" s="70" t="str">
        <f>'RESUMEN TOTAL'!AL317</f>
        <v>APAGADO</v>
      </c>
      <c r="Z244" s="70" t="str">
        <f>'RESUMEN TOTAL'!AM317</f>
        <v>APAGADO</v>
      </c>
      <c r="AA244" s="70" t="str">
        <f>'RESUMEN TOTAL'!AN317</f>
        <v>APAGADO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 t="str">
        <f>'RESUMEN TOTAL'!AR317</f>
        <v>APAGADO</v>
      </c>
      <c r="AF244" s="70" t="str">
        <f>'RESUMEN TOTAL'!AS317</f>
        <v>APAGADO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 t="str">
        <f>'RESUMEN TOTAL'!AE319</f>
        <v>APAGADO</v>
      </c>
      <c r="S246" s="70" t="str">
        <f>'RESUMEN TOTAL'!AF319</f>
        <v>APAGADO</v>
      </c>
      <c r="T246" s="70" t="str">
        <f>'RESUMEN TOTAL'!AG319</f>
        <v>APAGADO</v>
      </c>
      <c r="U246" s="70">
        <f>'RESUMEN TOTAL'!AH319</f>
        <v>0</v>
      </c>
      <c r="V246" s="70">
        <f>'RESUMEN TOTAL'!AI319</f>
        <v>0</v>
      </c>
      <c r="W246" s="70" t="str">
        <f>'RESUMEN TOTAL'!AJ319</f>
        <v>APAGADO</v>
      </c>
      <c r="X246" s="70" t="str">
        <f>'RESUMEN TOTAL'!AK319</f>
        <v>APAGADO</v>
      </c>
      <c r="Y246" s="70" t="str">
        <f>'RESUMEN TOTAL'!AL319</f>
        <v>APAGADO</v>
      </c>
      <c r="Z246" s="70" t="str">
        <f>'RESUMEN TOTAL'!AM319</f>
        <v>APAGADO</v>
      </c>
      <c r="AA246" s="70" t="str">
        <f>'RESUMEN TOTAL'!AN319</f>
        <v>APAGADO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 t="str">
        <f>'RESUMEN TOTAL'!AR319</f>
        <v>APAGADO</v>
      </c>
      <c r="AF246" s="70" t="str">
        <f>'RESUMEN TOTAL'!AS319</f>
        <v>APAGADO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 t="str">
        <f>'RESUMEN TOTAL'!AE320</f>
        <v>APAGADO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 t="str">
        <f>'RESUMEN TOTAL'!AJ320</f>
        <v>APAGADO</v>
      </c>
      <c r="X247" s="70" t="str">
        <f>'RESUMEN TOTAL'!AK320</f>
        <v>APAGADO</v>
      </c>
      <c r="Y247" s="70" t="str">
        <f>'RESUMEN TOTAL'!AL320</f>
        <v>APAGADO</v>
      </c>
      <c r="Z247" s="70">
        <f>'RESUMEN TOTAL'!AM320</f>
        <v>0</v>
      </c>
      <c r="AA247" s="70" t="str">
        <f>'RESUMEN TOTAL'!AN320</f>
        <v>APAGADO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 t="str">
        <f>'RESUMEN TOTAL'!AJ321</f>
        <v>APAGADO</v>
      </c>
      <c r="X248" s="70" t="str">
        <f>'RESUMEN TOTAL'!AK321</f>
        <v>APAGADO</v>
      </c>
      <c r="Y248" s="70" t="str">
        <f>'RESUMEN TOTAL'!AL321</f>
        <v>APAGADO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 t="str">
        <f>'RESUMEN TOTAL'!AF323</f>
        <v>APAGADO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 t="str">
        <f>'RESUMEN TOTAL'!AF324</f>
        <v>APAGADO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 t="str">
        <f>'RESUMEN TOTAL'!AE326</f>
        <v>APAGADO</v>
      </c>
      <c r="S253" s="70" t="str">
        <f>'RESUMEN TOTAL'!AF326</f>
        <v>APAGADO</v>
      </c>
      <c r="T253" s="70" t="str">
        <f>'RESUMEN TOTAL'!AG326</f>
        <v>APAGADO</v>
      </c>
      <c r="U253" s="70">
        <f>'RESUMEN TOTAL'!AH326</f>
        <v>0</v>
      </c>
      <c r="V253" s="70">
        <f>'RESUMEN TOTAL'!AI326</f>
        <v>0</v>
      </c>
      <c r="W253" s="70" t="str">
        <f>'RESUMEN TOTAL'!AJ326</f>
        <v>APAGADO</v>
      </c>
      <c r="X253" s="70" t="str">
        <f>'RESUMEN TOTAL'!AK326</f>
        <v>APAGADO</v>
      </c>
      <c r="Y253" s="70" t="str">
        <f>'RESUMEN TOTAL'!AL326</f>
        <v>APAGADO</v>
      </c>
      <c r="Z253" s="70" t="str">
        <f>'RESUMEN TOTAL'!AM326</f>
        <v>APAGADO</v>
      </c>
      <c r="AA253" s="70" t="str">
        <f>'RESUMEN TOTAL'!AN326</f>
        <v>APAGADO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 t="str">
        <f>'RESUMEN TOTAL'!AR326</f>
        <v>APAGADO</v>
      </c>
      <c r="AF253" s="70" t="str">
        <f>'RESUMEN TOTAL'!AS326</f>
        <v>APAGADO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 t="str">
        <f>'RESUMEN TOTAL'!AE327</f>
        <v>APAGADO</v>
      </c>
      <c r="S254" s="70" t="str">
        <f>'RESUMEN TOTAL'!AF327</f>
        <v>APAGADO</v>
      </c>
      <c r="T254" s="70" t="str">
        <f>'RESUMEN TOTAL'!AG327</f>
        <v>APAGADO</v>
      </c>
      <c r="U254" s="70">
        <f>'RESUMEN TOTAL'!AH327</f>
        <v>0</v>
      </c>
      <c r="V254" s="70">
        <f>'RESUMEN TOTAL'!AI327</f>
        <v>0</v>
      </c>
      <c r="W254" s="70" t="str">
        <f>'RESUMEN TOTAL'!AJ327</f>
        <v>APAGADO</v>
      </c>
      <c r="X254" s="70" t="str">
        <f>'RESUMEN TOTAL'!AK327</f>
        <v>APAGADO</v>
      </c>
      <c r="Y254" s="70" t="str">
        <f>'RESUMEN TOTAL'!AL327</f>
        <v>APAGADO</v>
      </c>
      <c r="Z254" s="70" t="str">
        <f>'RESUMEN TOTAL'!AM327</f>
        <v>APAGADO</v>
      </c>
      <c r="AA254" s="70" t="str">
        <f>'RESUMEN TOTAL'!AN327</f>
        <v>APAGADO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 t="str">
        <f>'RESUMEN TOTAL'!AR327</f>
        <v>APAGADO</v>
      </c>
      <c r="AF254" s="70" t="str">
        <f>'RESUMEN TOTAL'!AS327</f>
        <v>APAGADO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 t="str">
        <f>'RESUMEN TOTAL'!AE328</f>
        <v>APAGADO</v>
      </c>
      <c r="S255" s="70" t="str">
        <f>'RESUMEN TOTAL'!AF328</f>
        <v>APAGADO</v>
      </c>
      <c r="T255" s="70" t="str">
        <f>'RESUMEN TOTAL'!AG328</f>
        <v>APAGADO</v>
      </c>
      <c r="U255" s="70">
        <f>'RESUMEN TOTAL'!AH328</f>
        <v>0</v>
      </c>
      <c r="V255" s="70">
        <f>'RESUMEN TOTAL'!AI328</f>
        <v>0</v>
      </c>
      <c r="W255" s="70" t="str">
        <f>'RESUMEN TOTAL'!AJ328</f>
        <v>APAGADO</v>
      </c>
      <c r="X255" s="70" t="str">
        <f>'RESUMEN TOTAL'!AK328</f>
        <v>APAGADO</v>
      </c>
      <c r="Y255" s="70" t="str">
        <f>'RESUMEN TOTAL'!AL328</f>
        <v>APAGADO</v>
      </c>
      <c r="Z255" s="70" t="str">
        <f>'RESUMEN TOTAL'!AM328</f>
        <v>APAGADO</v>
      </c>
      <c r="AA255" s="70" t="str">
        <f>'RESUMEN TOTAL'!AN328</f>
        <v>APAGADO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 t="str">
        <f>'RESUMEN TOTAL'!AR328</f>
        <v>APAGADO</v>
      </c>
      <c r="AF255" s="70" t="str">
        <f>'RESUMEN TOTAL'!AS328</f>
        <v>APAGADO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 t="str">
        <f>'RESUMEN TOTAL'!AJ329</f>
        <v>APAGADO</v>
      </c>
      <c r="X256" s="70" t="str">
        <f>'RESUMEN TOTAL'!AK329</f>
        <v>APAGADO</v>
      </c>
      <c r="Y256" s="70" t="str">
        <f>'RESUMEN TOTAL'!AL329</f>
        <v>APAGADO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 t="str">
        <f>'RESUMEN TOTAL'!AG331</f>
        <v>APAGADO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 t="str">
        <f>'RESUMEN TOTAL'!AK346</f>
        <v>APAGADO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 t="str">
        <f>'RESUMEN TOTAL'!AR346</f>
        <v>APAGADO</v>
      </c>
      <c r="AF267" s="70" t="str">
        <f>'RESUMEN TOTAL'!AS346</f>
        <v>APAGADO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 t="str">
        <f>'RESUMEN TOTAL'!AR347</f>
        <v>APAGADO</v>
      </c>
      <c r="AF268" s="70" t="str">
        <f>'RESUMEN TOTAL'!AS347</f>
        <v>APAGADO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 t="str">
        <f>'RESUMEN TOTAL'!AR348</f>
        <v>APAGADO</v>
      </c>
      <c r="AF269" s="70" t="str">
        <f>'RESUMEN TOTAL'!AS348</f>
        <v>APAGADO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 t="str">
        <f>'RESUMEN TOTAL'!AR349</f>
        <v>APAGADO</v>
      </c>
      <c r="AF270" s="70" t="str">
        <f>'RESUMEN TOTAL'!AS349</f>
        <v>APAGADO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 t="str">
        <f>'RESUMEN TOTAL'!AS350</f>
        <v>APAGADO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 t="str">
        <f>'RESUMEN TOTAL'!AS351</f>
        <v>APAGADO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 t="str">
        <f>'RESUMEN TOTAL'!AE354</f>
        <v>APAGADO</v>
      </c>
      <c r="S275" s="70" t="str">
        <f>'RESUMEN TOTAL'!AF354</f>
        <v>APAGADO</v>
      </c>
      <c r="T275" s="70" t="str">
        <f>'RESUMEN TOTAL'!AG354</f>
        <v>APAGADO</v>
      </c>
      <c r="U275" s="70">
        <f>'RESUMEN TOTAL'!AH354</f>
        <v>0</v>
      </c>
      <c r="V275" s="70">
        <f>'RESUMEN TOTAL'!AI354</f>
        <v>0</v>
      </c>
      <c r="W275" s="70" t="str">
        <f>'RESUMEN TOTAL'!AJ354</f>
        <v>APAGADO</v>
      </c>
      <c r="X275" s="70" t="str">
        <f>'RESUMEN TOTAL'!AK354</f>
        <v>APAGADO</v>
      </c>
      <c r="Y275" s="70" t="str">
        <f>'RESUMEN TOTAL'!AL354</f>
        <v>APAGADO</v>
      </c>
      <c r="Z275" s="70" t="str">
        <f>'RESUMEN TOTAL'!AM354</f>
        <v>APAGADO</v>
      </c>
      <c r="AA275" s="70" t="str">
        <f>'RESUMEN TOTAL'!AN354</f>
        <v>APAGADO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 t="str">
        <f>'RESUMEN TOTAL'!AR354</f>
        <v>APAGADO</v>
      </c>
      <c r="AF275" s="70" t="str">
        <f>'RESUMEN TOTAL'!AS354</f>
        <v>APAGADO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 t="str">
        <f>'RESUMEN TOTAL'!AE355</f>
        <v>APAGADO</v>
      </c>
      <c r="S276" s="70" t="str">
        <f>'RESUMEN TOTAL'!AF355</f>
        <v>APAGADO</v>
      </c>
      <c r="T276" s="70" t="str">
        <f>'RESUMEN TOTAL'!AG355</f>
        <v>APAGADO</v>
      </c>
      <c r="U276" s="70">
        <f>'RESUMEN TOTAL'!AH355</f>
        <v>0</v>
      </c>
      <c r="V276" s="70">
        <f>'RESUMEN TOTAL'!AI355</f>
        <v>0</v>
      </c>
      <c r="W276" s="70" t="str">
        <f>'RESUMEN TOTAL'!AJ355</f>
        <v>APAGADO</v>
      </c>
      <c r="X276" s="70" t="str">
        <f>'RESUMEN TOTAL'!AK355</f>
        <v>APAGADO</v>
      </c>
      <c r="Y276" s="70" t="str">
        <f>'RESUMEN TOTAL'!AL355</f>
        <v>APAGADO</v>
      </c>
      <c r="Z276" s="70" t="str">
        <f>'RESUMEN TOTAL'!AM355</f>
        <v>APAGADO</v>
      </c>
      <c r="AA276" s="70" t="str">
        <f>'RESUMEN TOTAL'!AN355</f>
        <v>APAGADO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 t="str">
        <f>'RESUMEN TOTAL'!AR355</f>
        <v>APAGADO</v>
      </c>
      <c r="AF276" s="70" t="str">
        <f>'RESUMEN TOTAL'!AS355</f>
        <v>APAGADO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 t="str">
        <f>'RESUMEN TOTAL'!AE356</f>
        <v>APAGADO</v>
      </c>
      <c r="S277" s="70" t="str">
        <f>'RESUMEN TOTAL'!AF356</f>
        <v>APAGADO</v>
      </c>
      <c r="T277" s="70" t="str">
        <f>'RESUMEN TOTAL'!AG356</f>
        <v>APAGADO</v>
      </c>
      <c r="U277" s="70">
        <f>'RESUMEN TOTAL'!AH356</f>
        <v>0</v>
      </c>
      <c r="V277" s="70">
        <f>'RESUMEN TOTAL'!AI356</f>
        <v>0</v>
      </c>
      <c r="W277" s="70" t="str">
        <f>'RESUMEN TOTAL'!AJ356</f>
        <v>APAGADO</v>
      </c>
      <c r="X277" s="70" t="str">
        <f>'RESUMEN TOTAL'!AK356</f>
        <v>APAGADO</v>
      </c>
      <c r="Y277" s="70" t="str">
        <f>'RESUMEN TOTAL'!AL356</f>
        <v>APAGADO</v>
      </c>
      <c r="Z277" s="70" t="str">
        <f>'RESUMEN TOTAL'!AM356</f>
        <v>APAGADO</v>
      </c>
      <c r="AA277" s="70" t="str">
        <f>'RESUMEN TOTAL'!AN356</f>
        <v>APAGADO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 t="str">
        <f>'RESUMEN TOTAL'!AR356</f>
        <v>APAGADO</v>
      </c>
      <c r="AF277" s="70" t="str">
        <f>'RESUMEN TOTAL'!AS356</f>
        <v>APAGADO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 t="str">
        <f>'RESUMEN TOTAL'!AE387</f>
        <v>APAGADO</v>
      </c>
      <c r="S300" s="70" t="str">
        <f>'RESUMEN TOTAL'!AF387</f>
        <v>APAGADO</v>
      </c>
      <c r="T300" s="70" t="str">
        <f>'RESUMEN TOTAL'!AG387</f>
        <v>APAGADO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 t="str">
        <f>'RESUMEN TOTAL'!AE388</f>
        <v>APAGADO</v>
      </c>
      <c r="S301" s="70" t="str">
        <f>'RESUMEN TOTAL'!AF388</f>
        <v>APAGADO</v>
      </c>
      <c r="T301" s="70" t="str">
        <f>'RESUMEN TOTAL'!AG388</f>
        <v>APAGADO</v>
      </c>
      <c r="U301" s="70">
        <f>'RESUMEN TOTAL'!AH388</f>
        <v>0</v>
      </c>
      <c r="V301" s="70">
        <f>'RESUMEN TOTAL'!AI388</f>
        <v>0</v>
      </c>
      <c r="W301" s="70" t="str">
        <f>'RESUMEN TOTAL'!AJ388</f>
        <v>APAGADO</v>
      </c>
      <c r="X301" s="70" t="str">
        <f>'RESUMEN TOTAL'!AK388</f>
        <v>APAGADO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>
        <f>'RESUMEN TOTAL'!AH392</f>
        <v>0</v>
      </c>
      <c r="V305" s="70">
        <f>'RESUMEN TOTAL'!AI392</f>
        <v>0</v>
      </c>
      <c r="W305" s="70" t="str">
        <f>'RESUMEN TOTAL'!AJ392</f>
        <v>APAGADO</v>
      </c>
      <c r="X305" s="70" t="str">
        <f>'RESUMEN TOTAL'!AK392</f>
        <v>APAGADO</v>
      </c>
      <c r="Y305" s="70" t="str">
        <f>'RESUMEN TOTAL'!AL392</f>
        <v>APAGADO</v>
      </c>
      <c r="Z305" s="70" t="str">
        <f>'RESUMEN TOTAL'!AM392</f>
        <v>APAGADO</v>
      </c>
      <c r="AA305" s="70" t="str">
        <f>'RESUMEN TOTAL'!AN392</f>
        <v>APAGADO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 t="str">
        <f>'RESUMEN TOTAL'!AR392</f>
        <v>APAGADO</v>
      </c>
      <c r="AF305" s="70" t="str">
        <f>'RESUMEN TOTAL'!AS392</f>
        <v>APAGADO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 t="str">
        <f>'RESUMEN TOTAL'!AE393</f>
        <v>APAGADO</v>
      </c>
      <c r="S306" s="70" t="str">
        <f>'RESUMEN TOTAL'!AF393</f>
        <v>APAGADO</v>
      </c>
      <c r="T306" s="70" t="str">
        <f>'RESUMEN TOTAL'!AG393</f>
        <v>APAGADO</v>
      </c>
      <c r="U306" s="70">
        <f>'RESUMEN TOTAL'!AH393</f>
        <v>0</v>
      </c>
      <c r="V306" s="70">
        <f>'RESUMEN TOTAL'!AI393</f>
        <v>0</v>
      </c>
      <c r="W306" s="70" t="str">
        <f>'RESUMEN TOTAL'!AJ393</f>
        <v>APAGADO</v>
      </c>
      <c r="X306" s="70" t="str">
        <f>'RESUMEN TOTAL'!AK393</f>
        <v>APAGADO</v>
      </c>
      <c r="Y306" s="70" t="str">
        <f>'RESUMEN TOTAL'!AL393</f>
        <v>APAGADO</v>
      </c>
      <c r="Z306" s="70" t="str">
        <f>'RESUMEN TOTAL'!AM393</f>
        <v>APAGADO</v>
      </c>
      <c r="AA306" s="70" t="str">
        <f>'RESUMEN TOTAL'!AN393</f>
        <v>APAGADO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 t="str">
        <f>'RESUMEN TOTAL'!AR393</f>
        <v>APAGADO</v>
      </c>
      <c r="AF306" s="70" t="str">
        <f>'RESUMEN TOTAL'!AS393</f>
        <v>APAGADO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 t="str">
        <f>'RESUMEN TOTAL'!AE400</f>
        <v>APAGADO</v>
      </c>
      <c r="S313" s="70" t="str">
        <f>'RESUMEN TOTAL'!AF400</f>
        <v>APAGADO</v>
      </c>
      <c r="T313" s="70" t="str">
        <f>'RESUMEN TOTAL'!AG400</f>
        <v>APAGADO</v>
      </c>
      <c r="U313" s="70">
        <f>'RESUMEN TOTAL'!AH400</f>
        <v>0</v>
      </c>
      <c r="V313" s="70">
        <f>'RESUMEN TOTAL'!AI400</f>
        <v>0</v>
      </c>
      <c r="W313" s="70" t="str">
        <f>'RESUMEN TOTAL'!AJ400</f>
        <v>APAGADO</v>
      </c>
      <c r="X313" s="70" t="str">
        <f>'RESUMEN TOTAL'!AK400</f>
        <v>APAGADO</v>
      </c>
      <c r="Y313" s="70" t="str">
        <f>'RESUMEN TOTAL'!AL400</f>
        <v>APAGADO</v>
      </c>
      <c r="Z313" s="70" t="str">
        <f>'RESUMEN TOTAL'!AM400</f>
        <v>APAGADO</v>
      </c>
      <c r="AA313" s="70" t="str">
        <f>'RESUMEN TOTAL'!AN400</f>
        <v>APAGADO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 t="str">
        <f>'RESUMEN TOTAL'!AR400</f>
        <v>APAGADO</v>
      </c>
      <c r="AF313" s="70" t="str">
        <f>'RESUMEN TOTAL'!AS400</f>
        <v>APAGADO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 t="str">
        <f>'RESUMEN TOTAL'!AE401</f>
        <v>APAGADO</v>
      </c>
      <c r="S314" s="70" t="str">
        <f>'RESUMEN TOTAL'!AF401</f>
        <v>APAGADO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 t="str">
        <f>'RESUMEN TOTAL'!AJ401</f>
        <v>APAGADO</v>
      </c>
      <c r="X314" s="70" t="str">
        <f>'RESUMEN TOTAL'!AK401</f>
        <v>APAGADO</v>
      </c>
      <c r="Y314" s="70" t="str">
        <f>'RESUMEN TOTAL'!AL401</f>
        <v>APAGADO</v>
      </c>
      <c r="Z314" s="70" t="str">
        <f>'RESUMEN TOTAL'!AM401</f>
        <v>APAGADO</v>
      </c>
      <c r="AA314" s="70" t="str">
        <f>'RESUMEN TOTAL'!AN401</f>
        <v>APAGADO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 t="str">
        <f>'RESUMEN TOTAL'!AR401</f>
        <v>APAGADO</v>
      </c>
      <c r="AF314" s="70" t="str">
        <f>'RESUMEN TOTAL'!AS401</f>
        <v>APAGADO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 t="str">
        <f>'RESUMEN TOTAL'!AE402</f>
        <v>APAGADO</v>
      </c>
      <c r="S315" s="70" t="str">
        <f>'RESUMEN TOTAL'!AF402</f>
        <v>APAGADO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 t="str">
        <f>'RESUMEN TOTAL'!AJ402</f>
        <v>APAGADO</v>
      </c>
      <c r="X315" s="70" t="str">
        <f>'RESUMEN TOTAL'!AK402</f>
        <v>APAGADO</v>
      </c>
      <c r="Y315" s="70" t="str">
        <f>'RESUMEN TOTAL'!AL402</f>
        <v>APAGADO</v>
      </c>
      <c r="Z315" s="70" t="str">
        <f>'RESUMEN TOTAL'!AM402</f>
        <v>APAGADO</v>
      </c>
      <c r="AA315" s="70" t="str">
        <f>'RESUMEN TOTAL'!AN402</f>
        <v>APAGADO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 t="str">
        <f>'RESUMEN TOTAL'!AR402</f>
        <v>APAGADO</v>
      </c>
      <c r="AF315" s="70" t="str">
        <f>'RESUMEN TOTAL'!AS402</f>
        <v>APAGADO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 t="str">
        <f>'RESUMEN TOTAL'!AJ408</f>
        <v>APAGADO</v>
      </c>
      <c r="X316" s="70" t="str">
        <f>'RESUMEN TOTAL'!AK408</f>
        <v>APAGADO</v>
      </c>
      <c r="Y316" s="70" t="str">
        <f>'RESUMEN TOTAL'!AL408</f>
        <v>APAGADO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 t="str">
        <f>'RESUMEN TOTAL'!AE413</f>
        <v>APAGADO</v>
      </c>
      <c r="S321" s="70" t="str">
        <f>'RESUMEN TOTAL'!AF413</f>
        <v>APAGADO</v>
      </c>
      <c r="T321" s="70" t="str">
        <f>'RESUMEN TOTAL'!AG413</f>
        <v>APAGADO</v>
      </c>
      <c r="U321" s="70">
        <f>'RESUMEN TOTAL'!AH413</f>
        <v>0</v>
      </c>
      <c r="V321" s="70">
        <f>'RESUMEN TOTAL'!AI413</f>
        <v>0</v>
      </c>
      <c r="W321" s="70" t="str">
        <f>'RESUMEN TOTAL'!AJ413</f>
        <v>APAGADO</v>
      </c>
      <c r="X321" s="70" t="str">
        <f>'RESUMEN TOTAL'!AK413</f>
        <v>APAGADO</v>
      </c>
      <c r="Y321" s="70" t="str">
        <f>'RESUMEN TOTAL'!AL413</f>
        <v>APAGADO</v>
      </c>
      <c r="Z321" s="70" t="str">
        <f>'RESUMEN TOTAL'!AM413</f>
        <v>APAGADO</v>
      </c>
      <c r="AA321" s="70" t="str">
        <f>'RESUMEN TOTAL'!AN413</f>
        <v>APAGADO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 t="str">
        <f>'RESUMEN TOTAL'!AR413</f>
        <v>APAGADO</v>
      </c>
      <c r="AF321" s="70" t="str">
        <f>'RESUMEN TOTAL'!AS413</f>
        <v>APAGADO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 t="str">
        <f>'RESUMEN TOTAL'!AE414</f>
        <v>APAGADO</v>
      </c>
      <c r="S322" s="70" t="str">
        <f>'RESUMEN TOTAL'!AF414</f>
        <v>APAGADO</v>
      </c>
      <c r="T322" s="70" t="str">
        <f>'RESUMEN TOTAL'!AG414</f>
        <v>APAGADO</v>
      </c>
      <c r="U322" s="70">
        <f>'RESUMEN TOTAL'!AH414</f>
        <v>0</v>
      </c>
      <c r="V322" s="70">
        <f>'RESUMEN TOTAL'!AI414</f>
        <v>0</v>
      </c>
      <c r="W322" s="70" t="str">
        <f>'RESUMEN TOTAL'!AJ414</f>
        <v>APAGADO</v>
      </c>
      <c r="X322" s="70" t="str">
        <f>'RESUMEN TOTAL'!AK414</f>
        <v>APAGADO</v>
      </c>
      <c r="Y322" s="70" t="str">
        <f>'RESUMEN TOTAL'!AL414</f>
        <v>APAGADO</v>
      </c>
      <c r="Z322" s="70" t="str">
        <f>'RESUMEN TOTAL'!AM414</f>
        <v>APAGADO</v>
      </c>
      <c r="AA322" s="70" t="str">
        <f>'RESUMEN TOTAL'!AN414</f>
        <v>APAGADO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 t="str">
        <f>'RESUMEN TOTAL'!AR414</f>
        <v>APAGADO</v>
      </c>
      <c r="AF322" s="70" t="str">
        <f>'RESUMEN TOTAL'!AS414</f>
        <v>APAGADO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 t="str">
        <f>'RESUMEN TOTAL'!AE415</f>
        <v>APAGADO</v>
      </c>
      <c r="S323" s="70" t="str">
        <f>'RESUMEN TOTAL'!AF415</f>
        <v>APAGADO</v>
      </c>
      <c r="T323" s="70" t="str">
        <f>'RESUMEN TOTAL'!AG415</f>
        <v>APAGADO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 t="str">
        <f>'RESUMEN TOTAL'!AE416</f>
        <v>APAGADO</v>
      </c>
      <c r="S324" s="70" t="str">
        <f>'RESUMEN TOTAL'!AF416</f>
        <v>APAGADO</v>
      </c>
      <c r="T324" s="70" t="str">
        <f>'RESUMEN TOTAL'!AG416</f>
        <v>APAGADO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 t="str">
        <f>'RESUMEN TOTAL'!AM422</f>
        <v>APAGADO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>
        <f>'RESUMEN TOTAL'!AH428</f>
        <v>0</v>
      </c>
      <c r="V329" s="70">
        <f>'RESUMEN TOTAL'!AI428</f>
        <v>0</v>
      </c>
      <c r="W329" s="70" t="str">
        <f>'RESUMEN TOTAL'!AJ428</f>
        <v>APAGADO</v>
      </c>
      <c r="X329" s="70" t="str">
        <f>'RESUMEN TOTAL'!AK428</f>
        <v>APAGADO</v>
      </c>
      <c r="Y329" s="70" t="str">
        <f>'RESUMEN TOTAL'!AL428</f>
        <v>APAGADO</v>
      </c>
      <c r="Z329" s="70" t="str">
        <f>'RESUMEN TOTAL'!AM428</f>
        <v>APAGADO</v>
      </c>
      <c r="AA329" s="70" t="str">
        <f>'RESUMEN TOTAL'!AN428</f>
        <v>APAGADO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 t="str">
        <f>'RESUMEN TOTAL'!AR428</f>
        <v>APAGADO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 t="str">
        <f>'RESUMEN TOTAL'!AE432</f>
        <v>APAGADO</v>
      </c>
      <c r="S333" s="70" t="str">
        <f>'RESUMEN TOTAL'!AF432</f>
        <v>APAGADO</v>
      </c>
      <c r="T333" s="70" t="str">
        <f>'RESUMEN TOTAL'!AG432</f>
        <v>APAGADO</v>
      </c>
      <c r="U333" s="70">
        <f>'RESUMEN TOTAL'!AH432</f>
        <v>0</v>
      </c>
      <c r="V333" s="70">
        <f>'RESUMEN TOTAL'!AI432</f>
        <v>0</v>
      </c>
      <c r="W333" s="70" t="str">
        <f>'RESUMEN TOTAL'!AJ432</f>
        <v>APAGADO</v>
      </c>
      <c r="X333" s="70" t="str">
        <f>'RESUMEN TOTAL'!AK432</f>
        <v>APAGADO</v>
      </c>
      <c r="Y333" s="70" t="str">
        <f>'RESUMEN TOTAL'!AL432</f>
        <v>APAGADO</v>
      </c>
      <c r="Z333" s="70" t="str">
        <f>'RESUMEN TOTAL'!AM432</f>
        <v>APAGADO</v>
      </c>
      <c r="AA333" s="70" t="str">
        <f>'RESUMEN TOTAL'!AN432</f>
        <v>APAGADO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 t="str">
        <f>'RESUMEN TOTAL'!AR432</f>
        <v>APAGADO</v>
      </c>
      <c r="AF333" s="70" t="str">
        <f>'RESUMEN TOTAL'!AS432</f>
        <v>APAGADO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 t="str">
        <f>'RESUMEN TOTAL'!AS434</f>
        <v>APAGADO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 t="str">
        <f>'RESUMEN TOTAL'!AE442</f>
        <v>APAGADO</v>
      </c>
      <c r="S340" s="70" t="str">
        <f>'RESUMEN TOTAL'!AF442</f>
        <v>APAGADO</v>
      </c>
      <c r="T340" s="70" t="str">
        <f>'RESUMEN TOTAL'!AG442</f>
        <v>APAGADO</v>
      </c>
      <c r="U340" s="70">
        <f>'RESUMEN TOTAL'!AH442</f>
        <v>0</v>
      </c>
      <c r="V340" s="70">
        <f>'RESUMEN TOTAL'!AI442</f>
        <v>0</v>
      </c>
      <c r="W340" s="70" t="str">
        <f>'RESUMEN TOTAL'!AJ442</f>
        <v>APAGADO</v>
      </c>
      <c r="X340" s="70" t="str">
        <f>'RESUMEN TOTAL'!AK442</f>
        <v>APAGADO</v>
      </c>
      <c r="Y340" s="70" t="str">
        <f>'RESUMEN TOTAL'!AL442</f>
        <v>APAGADO</v>
      </c>
      <c r="Z340" s="70" t="str">
        <f>'RESUMEN TOTAL'!AM442</f>
        <v>APAGADO</v>
      </c>
      <c r="AA340" s="70" t="str">
        <f>'RESUMEN TOTAL'!AN442</f>
        <v>APAGADO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 t="str">
        <f>'RESUMEN TOTAL'!AR442</f>
        <v>APAGADO</v>
      </c>
      <c r="AF340" s="70" t="str">
        <f>'RESUMEN TOTAL'!AS442</f>
        <v>APAGADO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 t="str">
        <f>'RESUMEN TOTAL'!AK443</f>
        <v>APAGADO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 t="str">
        <f>'RESUMEN TOTAL'!AE444</f>
        <v>APAGADO</v>
      </c>
      <c r="S342" s="70" t="str">
        <f>'RESUMEN TOTAL'!AF444</f>
        <v>APAGADO</v>
      </c>
      <c r="T342" s="70" t="str">
        <f>'RESUMEN TOTAL'!AG444</f>
        <v>APAGADO</v>
      </c>
      <c r="U342" s="70">
        <f>'RESUMEN TOTAL'!AH444</f>
        <v>0</v>
      </c>
      <c r="V342" s="70">
        <f>'RESUMEN TOTAL'!AI444</f>
        <v>0</v>
      </c>
      <c r="W342" s="70" t="str">
        <f>'RESUMEN TOTAL'!AJ444</f>
        <v>APAGADO</v>
      </c>
      <c r="X342" s="70" t="str">
        <f>'RESUMEN TOTAL'!AK444</f>
        <v>APAGADO</v>
      </c>
      <c r="Y342" s="70" t="str">
        <f>'RESUMEN TOTAL'!AL444</f>
        <v>APAGADO</v>
      </c>
      <c r="Z342" s="70" t="str">
        <f>'RESUMEN TOTAL'!AM444</f>
        <v>APAGADO</v>
      </c>
      <c r="AA342" s="70" t="str">
        <f>'RESUMEN TOTAL'!AN444</f>
        <v>APAGADO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 t="str">
        <f>'RESUMEN TOTAL'!AR444</f>
        <v>APAGADO</v>
      </c>
      <c r="AF342" s="70" t="str">
        <f>'RESUMEN TOTAL'!AS444</f>
        <v>APAGADO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 t="str">
        <f>'RESUMEN TOTAL'!AJ445</f>
        <v>APAGADO</v>
      </c>
      <c r="X343" s="70" t="str">
        <f>'RESUMEN TOTAL'!AK445</f>
        <v>APAGADO</v>
      </c>
      <c r="Y343" s="70" t="str">
        <f>'RESUMEN TOTAL'!AL445</f>
        <v>APAGADO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 t="str">
        <f>'RESUMEN TOTAL'!AJ446</f>
        <v>APAGADO</v>
      </c>
      <c r="X344" s="70" t="str">
        <f>'RESUMEN TOTAL'!AK446</f>
        <v>APAGADO</v>
      </c>
      <c r="Y344" s="70" t="str">
        <f>'RESUMEN TOTAL'!AL446</f>
        <v>APAGADO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 t="str">
        <f>'RESUMEN TOTAL'!AJ447</f>
        <v>APAGADO</v>
      </c>
      <c r="X345" s="70" t="str">
        <f>'RESUMEN TOTAL'!AK447</f>
        <v>APAGADO</v>
      </c>
      <c r="Y345" s="70" t="str">
        <f>'RESUMEN TOTAL'!AL447</f>
        <v>APAGADO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 t="str">
        <f>'RESUMEN TOTAL'!AJ448</f>
        <v>APAGADO</v>
      </c>
      <c r="X346" s="70" t="str">
        <f>'RESUMEN TOTAL'!AK448</f>
        <v>APAGADO</v>
      </c>
      <c r="Y346" s="70" t="str">
        <f>'RESUMEN TOTAL'!AL448</f>
        <v>APAGADO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 t="str">
        <f>'RESUMEN TOTAL'!AJ449</f>
        <v>APAGADO</v>
      </c>
      <c r="X347" s="70" t="str">
        <f>'RESUMEN TOTAL'!AK449</f>
        <v>APAGADO</v>
      </c>
      <c r="Y347" s="70" t="str">
        <f>'RESUMEN TOTAL'!AL449</f>
        <v>APAGADO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 t="str">
        <f>'RESUMEN TOTAL'!AJ450</f>
        <v>APAGADO</v>
      </c>
      <c r="X348" s="70" t="str">
        <f>'RESUMEN TOTAL'!AK450</f>
        <v>APAGADO</v>
      </c>
      <c r="Y348" s="70" t="str">
        <f>'RESUMEN TOTAL'!AL450</f>
        <v>APAGADO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 t="str">
        <f>'RESUMEN TOTAL'!AK453</f>
        <v>APAGADO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 t="str">
        <f>'RESUMEN TOTAL'!AE456</f>
        <v>APAGADO</v>
      </c>
      <c r="S354" s="70" t="str">
        <f>'RESUMEN TOTAL'!AF456</f>
        <v>APAGADO</v>
      </c>
      <c r="T354" s="70" t="str">
        <f>'RESUMEN TOTAL'!AG456</f>
        <v>APAGADO</v>
      </c>
      <c r="U354" s="70">
        <f>'RESUMEN TOTAL'!AH456</f>
        <v>0</v>
      </c>
      <c r="V354" s="70">
        <f>'RESUMEN TOTAL'!AI456</f>
        <v>0</v>
      </c>
      <c r="W354" s="70" t="str">
        <f>'RESUMEN TOTAL'!AJ456</f>
        <v>APAGADO</v>
      </c>
      <c r="X354" s="70" t="str">
        <f>'RESUMEN TOTAL'!AK456</f>
        <v>APAGADO</v>
      </c>
      <c r="Y354" s="70" t="str">
        <f>'RESUMEN TOTAL'!AL456</f>
        <v>APAGADO</v>
      </c>
      <c r="Z354" s="70" t="str">
        <f>'RESUMEN TOTAL'!AM456</f>
        <v>APAGADO</v>
      </c>
      <c r="AA354" s="70" t="str">
        <f>'RESUMEN TOTAL'!AN456</f>
        <v>APAGADO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 t="str">
        <f>'RESUMEN TOTAL'!AR456</f>
        <v>APAGADO</v>
      </c>
      <c r="AF354" s="70" t="str">
        <f>'RESUMEN TOTAL'!AS456</f>
        <v>APAGADO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 t="str">
        <f>'RESUMEN TOTAL'!AK461</f>
        <v>APAGADO</v>
      </c>
      <c r="Y359" s="70" t="str">
        <f>'RESUMEN TOTAL'!AL461</f>
        <v>APAGADO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 t="str">
        <f>'RESUMEN TOTAL'!AK462</f>
        <v>APAGADO</v>
      </c>
      <c r="Y360" s="70" t="str">
        <f>'RESUMEN TOTAL'!AL462</f>
        <v>APAGADO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 t="str">
        <f>'RESUMEN TOTAL'!AE469</f>
        <v>APAGADO</v>
      </c>
      <c r="S361" s="70" t="str">
        <f>'RESUMEN TOTAL'!AF469</f>
        <v>APAGADO</v>
      </c>
      <c r="T361" s="70" t="str">
        <f>'RESUMEN TOTAL'!AG469</f>
        <v>APAGADO</v>
      </c>
      <c r="U361" s="70">
        <f>'RESUMEN TOTAL'!AH469</f>
        <v>0</v>
      </c>
      <c r="V361" s="70">
        <f>'RESUMEN TOTAL'!AI469</f>
        <v>0</v>
      </c>
      <c r="W361" s="70" t="str">
        <f>'RESUMEN TOTAL'!AJ469</f>
        <v>APAGADO</v>
      </c>
      <c r="X361" s="70" t="str">
        <f>'RESUMEN TOTAL'!AK469</f>
        <v>APAGADO</v>
      </c>
      <c r="Y361" s="70" t="str">
        <f>'RESUMEN TOTAL'!AL469</f>
        <v>APAGADO</v>
      </c>
      <c r="Z361" s="70" t="str">
        <f>'RESUMEN TOTAL'!AM469</f>
        <v>APAGADO</v>
      </c>
      <c r="AA361" s="70" t="str">
        <f>'RESUMEN TOTAL'!AN469</f>
        <v>APAGADO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 t="str">
        <f>'RESUMEN TOTAL'!AR469</f>
        <v>APAGADO</v>
      </c>
      <c r="AF361" s="70" t="str">
        <f>'RESUMEN TOTAL'!AS469</f>
        <v>APAGADO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 t="str">
        <f>'RESUMEN TOTAL'!AE470</f>
        <v>APAGADO</v>
      </c>
      <c r="S362" s="70" t="str">
        <f>'RESUMEN TOTAL'!AF470</f>
        <v>APAGADO</v>
      </c>
      <c r="T362" s="70" t="str">
        <f>'RESUMEN TOTAL'!AG470</f>
        <v>APAGADO</v>
      </c>
      <c r="U362" s="70">
        <f>'RESUMEN TOTAL'!AH470</f>
        <v>0</v>
      </c>
      <c r="V362" s="70">
        <f>'RESUMEN TOTAL'!AI470</f>
        <v>0</v>
      </c>
      <c r="W362" s="70" t="str">
        <f>'RESUMEN TOTAL'!AJ470</f>
        <v>APAGADO</v>
      </c>
      <c r="X362" s="70" t="str">
        <f>'RESUMEN TOTAL'!AK470</f>
        <v>APAGADO</v>
      </c>
      <c r="Y362" s="70" t="str">
        <f>'RESUMEN TOTAL'!AL470</f>
        <v>APAGADO</v>
      </c>
      <c r="Z362" s="70" t="str">
        <f>'RESUMEN TOTAL'!AM470</f>
        <v>APAGADO</v>
      </c>
      <c r="AA362" s="70" t="str">
        <f>'RESUMEN TOTAL'!AN470</f>
        <v>APAGADO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 t="str">
        <f>'RESUMEN TOTAL'!AR470</f>
        <v>APAGADO</v>
      </c>
      <c r="AF362" s="70" t="str">
        <f>'RESUMEN TOTAL'!AS470</f>
        <v>APAGADO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 t="str">
        <f>'RESUMEN TOTAL'!AE471</f>
        <v>APAGADO</v>
      </c>
      <c r="S363" s="70" t="str">
        <f>'RESUMEN TOTAL'!AF471</f>
        <v>APAGADO</v>
      </c>
      <c r="T363" s="70" t="str">
        <f>'RESUMEN TOTAL'!AG471</f>
        <v>APAGADO</v>
      </c>
      <c r="U363" s="70">
        <f>'RESUMEN TOTAL'!AH471</f>
        <v>0</v>
      </c>
      <c r="V363" s="70">
        <f>'RESUMEN TOTAL'!AI471</f>
        <v>0</v>
      </c>
      <c r="W363" s="70" t="str">
        <f>'RESUMEN TOTAL'!AJ471</f>
        <v>APAGADO</v>
      </c>
      <c r="X363" s="70" t="str">
        <f>'RESUMEN TOTAL'!AK471</f>
        <v>APAGADO</v>
      </c>
      <c r="Y363" s="70" t="str">
        <f>'RESUMEN TOTAL'!AL471</f>
        <v>APAGADO</v>
      </c>
      <c r="Z363" s="70" t="str">
        <f>'RESUMEN TOTAL'!AM471</f>
        <v>APAGADO</v>
      </c>
      <c r="AA363" s="70" t="str">
        <f>'RESUMEN TOTAL'!AN471</f>
        <v>APAGADO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 t="str">
        <f>'RESUMEN TOTAL'!AR471</f>
        <v>APAGADO</v>
      </c>
      <c r="AF363" s="70" t="str">
        <f>'RESUMEN TOTAL'!AS471</f>
        <v>APAGADO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 t="str">
        <f>'RESUMEN TOTAL'!AE509</f>
        <v>APAGADO</v>
      </c>
      <c r="S392" s="70" t="str">
        <f>'RESUMEN TOTAL'!AF509</f>
        <v>APAGADO</v>
      </c>
      <c r="T392" s="70" t="str">
        <f>'RESUMEN TOTAL'!AG509</f>
        <v>APAGADO</v>
      </c>
      <c r="U392" s="70">
        <f>'RESUMEN TOTAL'!AH509</f>
        <v>0</v>
      </c>
      <c r="V392" s="70">
        <f>'RESUMEN TOTAL'!AI509</f>
        <v>0</v>
      </c>
      <c r="W392" s="70" t="str">
        <f>'RESUMEN TOTAL'!AJ509</f>
        <v>APAGADO</v>
      </c>
      <c r="X392" s="70" t="str">
        <f>'RESUMEN TOTAL'!AK509</f>
        <v>APAGADO</v>
      </c>
      <c r="Y392" s="70" t="str">
        <f>'RESUMEN TOTAL'!AL509</f>
        <v>APAGADO</v>
      </c>
      <c r="Z392" s="70" t="str">
        <f>'RESUMEN TOTAL'!AM509</f>
        <v>APAGADO</v>
      </c>
      <c r="AA392" s="70" t="str">
        <f>'RESUMEN TOTAL'!AN509</f>
        <v>APAGADO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 t="str">
        <f>'RESUMEN TOTAL'!AE512</f>
        <v>APAGADO</v>
      </c>
      <c r="S395" s="70" t="str">
        <f>'RESUMEN TOTAL'!AF512</f>
        <v>APAGADO</v>
      </c>
      <c r="T395" s="70" t="str">
        <f>'RESUMEN TOTAL'!AG512</f>
        <v>APAGADO</v>
      </c>
      <c r="U395" s="70">
        <f>'RESUMEN TOTAL'!AH512</f>
        <v>0</v>
      </c>
      <c r="V395" s="70">
        <f>'RESUMEN TOTAL'!AI512</f>
        <v>0</v>
      </c>
      <c r="W395" s="70" t="str">
        <f>'RESUMEN TOTAL'!AJ512</f>
        <v>APAGADO</v>
      </c>
      <c r="X395" s="70" t="str">
        <f>'RESUMEN TOTAL'!AK512</f>
        <v>APAGADO</v>
      </c>
      <c r="Y395" s="70" t="str">
        <f>'RESUMEN TOTAL'!AL512</f>
        <v>APAGADO</v>
      </c>
      <c r="Z395" s="70" t="str">
        <f>'RESUMEN TOTAL'!AM512</f>
        <v>APAGADO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 t="str">
        <f>'RESUMEN TOTAL'!AE516</f>
        <v>APAGADO</v>
      </c>
      <c r="S399" s="70" t="str">
        <f>'RESUMEN TOTAL'!AF516</f>
        <v>APAGADO</v>
      </c>
      <c r="T399" s="70" t="str">
        <f>'RESUMEN TOTAL'!AG516</f>
        <v>APAGADO</v>
      </c>
      <c r="U399" s="70">
        <f>'RESUMEN TOTAL'!AH516</f>
        <v>0</v>
      </c>
      <c r="V399" s="70">
        <f>'RESUMEN TOTAL'!AI516</f>
        <v>0</v>
      </c>
      <c r="W399" s="70" t="str">
        <f>'RESUMEN TOTAL'!AJ516</f>
        <v>APAGADO</v>
      </c>
      <c r="X399" s="70" t="str">
        <f>'RESUMEN TOTAL'!AK516</f>
        <v>APAGADO</v>
      </c>
      <c r="Y399" s="70" t="str">
        <f>'RESUMEN TOTAL'!AL516</f>
        <v>APAGADO</v>
      </c>
      <c r="Z399" s="70" t="str">
        <f>'RESUMEN TOTAL'!AM516</f>
        <v>APAGADO</v>
      </c>
      <c r="AA399" s="70" t="str">
        <f>'RESUMEN TOTAL'!AN516</f>
        <v>APAGADO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 t="str">
        <f>'RESUMEN TOTAL'!AE517</f>
        <v>APAGADO</v>
      </c>
      <c r="S400" s="70" t="str">
        <f>'RESUMEN TOTAL'!AF517</f>
        <v>APAGADO</v>
      </c>
      <c r="T400" s="70" t="str">
        <f>'RESUMEN TOTAL'!AG517</f>
        <v>APAGADO</v>
      </c>
      <c r="U400" s="70">
        <f>'RESUMEN TOTAL'!AH517</f>
        <v>0</v>
      </c>
      <c r="V400" s="70">
        <f>'RESUMEN TOTAL'!AI517</f>
        <v>0</v>
      </c>
      <c r="W400" s="70" t="str">
        <f>'RESUMEN TOTAL'!AJ517</f>
        <v>APAGADO</v>
      </c>
      <c r="X400" s="70" t="str">
        <f>'RESUMEN TOTAL'!AK517</f>
        <v>APAGADO</v>
      </c>
      <c r="Y400" s="70" t="str">
        <f>'RESUMEN TOTAL'!AL517</f>
        <v>APAGADO</v>
      </c>
      <c r="Z400" s="70" t="str">
        <f>'RESUMEN TOTAL'!AM517</f>
        <v>APAGADO</v>
      </c>
      <c r="AA400" s="70" t="str">
        <f>'RESUMEN TOTAL'!AN517</f>
        <v>APAGADO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 t="str">
        <f>'RESUMEN TOTAL'!AE519</f>
        <v>APAGADO</v>
      </c>
      <c r="S402" s="70" t="str">
        <f>'RESUMEN TOTAL'!AF519</f>
        <v>APAGADO</v>
      </c>
      <c r="T402" s="70" t="str">
        <f>'RESUMEN TOTAL'!AG519</f>
        <v>APAGADO</v>
      </c>
      <c r="U402" s="70">
        <f>'RESUMEN TOTAL'!AH519</f>
        <v>0</v>
      </c>
      <c r="V402" s="70">
        <f>'RESUMEN TOTAL'!AI519</f>
        <v>0</v>
      </c>
      <c r="W402" s="70" t="str">
        <f>'RESUMEN TOTAL'!AJ519</f>
        <v>APAGADO</v>
      </c>
      <c r="X402" s="70" t="str">
        <f>'RESUMEN TOTAL'!AK519</f>
        <v>APAGADO</v>
      </c>
      <c r="Y402" s="70" t="str">
        <f>'RESUMEN TOTAL'!AL519</f>
        <v>APAGADO</v>
      </c>
      <c r="Z402" s="70" t="str">
        <f>'RESUMEN TOTAL'!AM519</f>
        <v>APAGADO</v>
      </c>
      <c r="AA402" s="70" t="str">
        <f>'RESUMEN TOTAL'!AN519</f>
        <v>APAGADO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 t="str">
        <f>'RESUMEN TOTAL'!AG520</f>
        <v>APAGADO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 t="str">
        <f>'RESUMEN TOTAL'!AE521</f>
        <v>APAGADO</v>
      </c>
      <c r="S404" s="70" t="str">
        <f>'RESUMEN TOTAL'!AF521</f>
        <v>APAGADO</v>
      </c>
      <c r="T404" s="70" t="str">
        <f>'RESUMEN TOTAL'!AG521</f>
        <v>APAGADO</v>
      </c>
      <c r="U404" s="70">
        <f>'RESUMEN TOTAL'!AH521</f>
        <v>0</v>
      </c>
      <c r="V404" s="70">
        <f>'RESUMEN TOTAL'!AI521</f>
        <v>0</v>
      </c>
      <c r="W404" s="70" t="str">
        <f>'RESUMEN TOTAL'!AJ521</f>
        <v>APAGADO</v>
      </c>
      <c r="X404" s="70" t="str">
        <f>'RESUMEN TOTAL'!AK521</f>
        <v>APAGADO</v>
      </c>
      <c r="Y404" s="70" t="str">
        <f>'RESUMEN TOTAL'!AL521</f>
        <v>APAGADO</v>
      </c>
      <c r="Z404" s="70" t="str">
        <f>'RESUMEN TOTAL'!AM521</f>
        <v>APAGADO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 t="str">
        <f>'RESUMEN TOTAL'!AE522</f>
        <v>APAGADO</v>
      </c>
      <c r="S405" s="70" t="str">
        <f>'RESUMEN TOTAL'!AF522</f>
        <v>APAGADO</v>
      </c>
      <c r="T405" s="70" t="str">
        <f>'RESUMEN TOTAL'!AG522</f>
        <v>APAGADO</v>
      </c>
      <c r="U405" s="70">
        <f>'RESUMEN TOTAL'!AH522</f>
        <v>0</v>
      </c>
      <c r="V405" s="70">
        <f>'RESUMEN TOTAL'!AI522</f>
        <v>0</v>
      </c>
      <c r="W405" s="70" t="str">
        <f>'RESUMEN TOTAL'!AJ522</f>
        <v>APAGADO</v>
      </c>
      <c r="X405" s="70" t="str">
        <f>'RESUMEN TOTAL'!AK522</f>
        <v>APAGADO</v>
      </c>
      <c r="Y405" s="70" t="str">
        <f>'RESUMEN TOTAL'!AL522</f>
        <v>APAGADO</v>
      </c>
      <c r="Z405" s="70" t="str">
        <f>'RESUMEN TOTAL'!AM522</f>
        <v>APAGADO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 t="str">
        <f>'RESUMEN TOTAL'!AE526</f>
        <v>APAGADO</v>
      </c>
      <c r="S409" s="70" t="str">
        <f>'RESUMEN TOTAL'!AF526</f>
        <v>APAGADO</v>
      </c>
      <c r="T409" s="70" t="str">
        <f>'RESUMEN TOTAL'!AG526</f>
        <v>APAGADO</v>
      </c>
      <c r="U409" s="70">
        <f>'RESUMEN TOTAL'!AH526</f>
        <v>0</v>
      </c>
      <c r="V409" s="70">
        <f>'RESUMEN TOTAL'!AI526</f>
        <v>0</v>
      </c>
      <c r="W409" s="70" t="str">
        <f>'RESUMEN TOTAL'!AJ526</f>
        <v>APAGADO</v>
      </c>
      <c r="X409" s="70" t="str">
        <f>'RESUMEN TOTAL'!AK526</f>
        <v>APAGADO</v>
      </c>
      <c r="Y409" s="70" t="str">
        <f>'RESUMEN TOTAL'!AL526</f>
        <v>APAGADO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 t="str">
        <f>'RESUMEN TOTAL'!AE530</f>
        <v>APAGADO</v>
      </c>
      <c r="S413" s="70" t="str">
        <f>'RESUMEN TOTAL'!AF530</f>
        <v>APAGADO</v>
      </c>
      <c r="T413" s="70" t="str">
        <f>'RESUMEN TOTAL'!AG530</f>
        <v>APAGADO</v>
      </c>
      <c r="U413" s="70">
        <f>'RESUMEN TOTAL'!AH530</f>
        <v>0</v>
      </c>
      <c r="V413" s="70">
        <f>'RESUMEN TOTAL'!AI530</f>
        <v>0</v>
      </c>
      <c r="W413" s="70" t="str">
        <f>'RESUMEN TOTAL'!AJ530</f>
        <v>APAGADO</v>
      </c>
      <c r="X413" s="70" t="str">
        <f>'RESUMEN TOTAL'!AK530</f>
        <v>APAGADO</v>
      </c>
      <c r="Y413" s="70" t="str">
        <f>'RESUMEN TOTAL'!AL530</f>
        <v>APAGADO</v>
      </c>
      <c r="Z413" s="70" t="str">
        <f>'RESUMEN TOTAL'!AM530</f>
        <v>APAGADO</v>
      </c>
      <c r="AA413" s="70" t="str">
        <f>'RESUMEN TOTAL'!AN530</f>
        <v>APAGADO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 t="str">
        <f>'RESUMEN TOTAL'!AN531</f>
        <v>APAGADO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 t="str">
        <f>'RESUMEN TOTAL'!AS531</f>
        <v>APAGADO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 t="str">
        <f>'RESUMEN TOTAL'!AE532</f>
        <v>APAGADO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 t="str">
        <f>'RESUMEN TOTAL'!AE542</f>
        <v>APAGADO</v>
      </c>
      <c r="S420" s="70" t="str">
        <f>'RESUMEN TOTAL'!AF542</f>
        <v>APAGADO</v>
      </c>
      <c r="T420" s="70" t="str">
        <f>'RESUMEN TOTAL'!AG542</f>
        <v>APAGADO</v>
      </c>
      <c r="U420" s="70">
        <f>'RESUMEN TOTAL'!AH542</f>
        <v>0</v>
      </c>
      <c r="V420" s="70">
        <f>'RESUMEN TOTAL'!AI542</f>
        <v>0</v>
      </c>
      <c r="W420" s="70" t="str">
        <f>'RESUMEN TOTAL'!AJ542</f>
        <v>APAGADO</v>
      </c>
      <c r="X420" s="70" t="str">
        <f>'RESUMEN TOTAL'!AK542</f>
        <v>APAGADO</v>
      </c>
      <c r="Y420" s="70" t="str">
        <f>'RESUMEN TOTAL'!AL542</f>
        <v>APAGADO</v>
      </c>
      <c r="Z420" s="70" t="str">
        <f>'RESUMEN TOTAL'!AM542</f>
        <v>APAGADO</v>
      </c>
      <c r="AA420" s="70" t="str">
        <f>'RESUMEN TOTAL'!AN542</f>
        <v>APAGADO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 t="str">
        <f>'RESUMEN TOTAL'!AR542</f>
        <v>APAGADO</v>
      </c>
      <c r="AF420" s="70" t="str">
        <f>'RESUMEN TOTAL'!AS542</f>
        <v>APAGADO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 t="str">
        <f>'RESUMEN TOTAL'!AE543</f>
        <v>APAGADO</v>
      </c>
      <c r="S421" s="70" t="str">
        <f>'RESUMEN TOTAL'!AF543</f>
        <v>APAGADO</v>
      </c>
      <c r="T421" s="70" t="str">
        <f>'RESUMEN TOTAL'!AG543</f>
        <v>APAGADO</v>
      </c>
      <c r="U421" s="70">
        <f>'RESUMEN TOTAL'!AH543</f>
        <v>0</v>
      </c>
      <c r="V421" s="70">
        <f>'RESUMEN TOTAL'!AI543</f>
        <v>0</v>
      </c>
      <c r="W421" s="70" t="str">
        <f>'RESUMEN TOTAL'!AJ543</f>
        <v>APAGADO</v>
      </c>
      <c r="X421" s="70" t="str">
        <f>'RESUMEN TOTAL'!AK543</f>
        <v>APAGADO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 t="str">
        <f>'RESUMEN TOTAL'!AE544</f>
        <v>APAGADO</v>
      </c>
      <c r="S422" s="70" t="str">
        <f>'RESUMEN TOTAL'!AF544</f>
        <v>APAGADO</v>
      </c>
      <c r="T422" s="70" t="str">
        <f>'RESUMEN TOTAL'!AG544</f>
        <v>APAGADO</v>
      </c>
      <c r="U422" s="70">
        <f>'RESUMEN TOTAL'!AH544</f>
        <v>0</v>
      </c>
      <c r="V422" s="70">
        <f>'RESUMEN TOTAL'!AI544</f>
        <v>0</v>
      </c>
      <c r="W422" s="70" t="str">
        <f>'RESUMEN TOTAL'!AJ544</f>
        <v>APAGADO</v>
      </c>
      <c r="X422" s="70" t="str">
        <f>'RESUMEN TOTAL'!AK544</f>
        <v>APAGADO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 t="str">
        <f>'RESUMEN TOTAL'!AE551</f>
        <v>APAGADO</v>
      </c>
      <c r="S428" s="70" t="str">
        <f>'RESUMEN TOTAL'!AF551</f>
        <v>APAGADO</v>
      </c>
      <c r="T428" s="70" t="str">
        <f>'RESUMEN TOTAL'!AG551</f>
        <v>APAGADO</v>
      </c>
      <c r="U428" s="70">
        <f>'RESUMEN TOTAL'!AH551</f>
        <v>0</v>
      </c>
      <c r="V428" s="70">
        <f>'RESUMEN TOTAL'!AI551</f>
        <v>0</v>
      </c>
      <c r="W428" s="70" t="str">
        <f>'RESUMEN TOTAL'!AJ551</f>
        <v>APAGADO</v>
      </c>
      <c r="X428" s="70" t="str">
        <f>'RESUMEN TOTAL'!AK551</f>
        <v>APAGADO</v>
      </c>
      <c r="Y428" s="70" t="str">
        <f>'RESUMEN TOTAL'!AL551</f>
        <v>APAGADO</v>
      </c>
      <c r="Z428" s="70" t="str">
        <f>'RESUMEN TOTAL'!AM551</f>
        <v>APAGADO</v>
      </c>
      <c r="AA428" s="70" t="str">
        <f>'RESUMEN TOTAL'!AN551</f>
        <v>APAGADO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 t="str">
        <f>'RESUMEN TOTAL'!AR551</f>
        <v>APAGADO</v>
      </c>
      <c r="AF428" s="70" t="str">
        <f>'RESUMEN TOTAL'!AS551</f>
        <v>APAGADO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 t="str">
        <f>'RESUMEN TOTAL'!AE553</f>
        <v>APAGADO</v>
      </c>
      <c r="S430" s="70" t="str">
        <f>'RESUMEN TOTAL'!AF553</f>
        <v>APAGADO</v>
      </c>
      <c r="T430" s="70" t="str">
        <f>'RESUMEN TOTAL'!AG553</f>
        <v>APAGADO</v>
      </c>
      <c r="U430" s="70">
        <f>'RESUMEN TOTAL'!AH553</f>
        <v>0</v>
      </c>
      <c r="V430" s="70">
        <f>'RESUMEN TOTAL'!AI553</f>
        <v>0</v>
      </c>
      <c r="W430" s="70" t="str">
        <f>'RESUMEN TOTAL'!AJ553</f>
        <v>APAGADO</v>
      </c>
      <c r="X430" s="70" t="str">
        <f>'RESUMEN TOTAL'!AK553</f>
        <v>APAGADO</v>
      </c>
      <c r="Y430" s="70" t="str">
        <f>'RESUMEN TOTAL'!AL553</f>
        <v>APAGADO</v>
      </c>
      <c r="Z430" s="70" t="str">
        <f>'RESUMEN TOTAL'!AM553</f>
        <v>APAGADO</v>
      </c>
      <c r="AA430" s="70" t="str">
        <f>'RESUMEN TOTAL'!AN553</f>
        <v>APAGADO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 t="str">
        <f>'RESUMEN TOTAL'!AR553</f>
        <v>APAGADO</v>
      </c>
      <c r="AF430" s="70" t="str">
        <f>'RESUMEN TOTAL'!AS553</f>
        <v>APAGADO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 t="str">
        <f>'RESUMEN TOTAL'!AF556</f>
        <v>APAGADO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 t="str">
        <f>'RESUMEN TOTAL'!AK557</f>
        <v>APAGADO</v>
      </c>
      <c r="Y433" s="70" t="str">
        <f>'RESUMEN TOTAL'!AL557</f>
        <v>APAGADO</v>
      </c>
      <c r="Z433" s="70" t="str">
        <f>'RESUMEN TOTAL'!AM557</f>
        <v>APAGADO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 t="str">
        <f>'RESUMEN TOTAL'!AS558</f>
        <v>APAGADO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 t="str">
        <f>'RESUMEN TOTAL'!AE563</f>
        <v>APAGADO</v>
      </c>
      <c r="S436" s="70" t="str">
        <f>'RESUMEN TOTAL'!AF563</f>
        <v>APAGADO</v>
      </c>
      <c r="T436" s="70" t="str">
        <f>'RESUMEN TOTAL'!AG563</f>
        <v>APAGADO</v>
      </c>
      <c r="U436" s="70">
        <f>'RESUMEN TOTAL'!AH563</f>
        <v>0</v>
      </c>
      <c r="V436" s="70">
        <f>'RESUMEN TOTAL'!AI563</f>
        <v>0</v>
      </c>
      <c r="W436" s="70" t="str">
        <f>'RESUMEN TOTAL'!AJ563</f>
        <v>APAGADO</v>
      </c>
      <c r="X436" s="70" t="str">
        <f>'RESUMEN TOTAL'!AK563</f>
        <v>APAGADO</v>
      </c>
      <c r="Y436" s="70" t="str">
        <f>'RESUMEN TOTAL'!AL563</f>
        <v>APAGADO</v>
      </c>
      <c r="Z436" s="70" t="str">
        <f>'RESUMEN TOTAL'!AM563</f>
        <v>APAGADO</v>
      </c>
      <c r="AA436" s="70" t="str">
        <f>'RESUMEN TOTAL'!AN563</f>
        <v>APAGADO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 t="str">
        <f>'RESUMEN TOTAL'!AR563</f>
        <v>APAGADO</v>
      </c>
      <c r="AF436" s="70" t="str">
        <f>'RESUMEN TOTAL'!AS563</f>
        <v>APAGADO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TOTAL'!F566</f>
        <v>VILLA ARIAS</v>
      </c>
      <c r="B438" t="str">
        <f>'RESUMEN TOTAL'!G566</f>
        <v>VLA 01 (fija 1)</v>
      </c>
      <c r="C438" t="str">
        <f>'RESUMEN TOTAL'!I566</f>
        <v>820 Y SOLER</v>
      </c>
      <c r="D438" s="30" t="str">
        <f>'RESUMEN TOTAL'!J566</f>
        <v>Fija</v>
      </c>
      <c r="E438" s="30" t="str">
        <f>'RESUMEN TOTAL'!K566</f>
        <v>GPON</v>
      </c>
      <c r="F438" s="70">
        <f>'RESUMEN TOTAL'!S566</f>
        <v>0</v>
      </c>
      <c r="G438" s="70">
        <f>'RESUMEN TOTAL'!T566</f>
        <v>0</v>
      </c>
      <c r="H438" s="70">
        <f>'RESUMEN TOTAL'!U566</f>
        <v>0</v>
      </c>
      <c r="I438" s="70" t="str">
        <f>'RESUMEN TOTAL'!V566</f>
        <v>APAGADO</v>
      </c>
      <c r="J438" s="70" t="str">
        <f>'RESUMEN TOTAL'!W566</f>
        <v>APAGADO</v>
      </c>
      <c r="K438" s="70" t="str">
        <f>'RESUMEN TOTAL'!X566</f>
        <v>APAGADO</v>
      </c>
      <c r="L438" s="70" t="str">
        <f>'RESUMEN TOTAL'!Y566</f>
        <v>APAGADO</v>
      </c>
      <c r="M438" s="70" t="str">
        <f>'RESUMEN TOTAL'!Z566</f>
        <v>APAGADO</v>
      </c>
      <c r="N438" s="70">
        <f>'RESUMEN TOTAL'!AA566</f>
        <v>0</v>
      </c>
      <c r="O438" s="70">
        <f>'RESUMEN TOTAL'!AB566</f>
        <v>0</v>
      </c>
      <c r="P438" s="70" t="str">
        <f>'RESUMEN TOTAL'!AC566</f>
        <v>APAGADO</v>
      </c>
      <c r="Q438" s="70" t="str">
        <f>'RESUMEN TOTAL'!AD566</f>
        <v>APAGADO</v>
      </c>
      <c r="R438" s="70" t="str">
        <f>'RESUMEN TOTAL'!AE566</f>
        <v>APAGADO</v>
      </c>
      <c r="S438" s="70" t="str">
        <f>'RESUMEN TOTAL'!AF566</f>
        <v>APAGADO</v>
      </c>
      <c r="T438" s="70" t="str">
        <f>'RESUMEN TOTAL'!AG566</f>
        <v>APAGADO</v>
      </c>
      <c r="U438" s="70">
        <f>'RESUMEN TOTAL'!AH566</f>
        <v>0</v>
      </c>
      <c r="V438" s="70">
        <f>'RESUMEN TOTAL'!AI566</f>
        <v>0</v>
      </c>
      <c r="W438" s="70" t="str">
        <f>'RESUMEN TOTAL'!AJ566</f>
        <v>APAGADO</v>
      </c>
      <c r="X438" s="70" t="str">
        <f>'RESUMEN TOTAL'!AK566</f>
        <v>APAGADO</v>
      </c>
      <c r="Y438" s="70" t="str">
        <f>'RESUMEN TOTAL'!AL566</f>
        <v>APAGADO</v>
      </c>
      <c r="Z438" s="70" t="str">
        <f>'RESUMEN TOTAL'!AM566</f>
        <v>APAGADO</v>
      </c>
      <c r="AA438" s="70" t="str">
        <f>'RESUMEN TOTAL'!AN566</f>
        <v>APAGADO</v>
      </c>
      <c r="AB438" s="70">
        <f>'RESUMEN TOTAL'!AO566</f>
        <v>0</v>
      </c>
      <c r="AC438" s="70">
        <f>'RESUMEN TOTAL'!AP566</f>
        <v>0</v>
      </c>
      <c r="AD438" s="70">
        <f>'RESUMEN TOTAL'!AQ566</f>
        <v>0</v>
      </c>
      <c r="AE438" s="70" t="str">
        <f>'RESUMEN TOTAL'!AR566</f>
        <v>APAGADO</v>
      </c>
      <c r="AF438" s="70" t="str">
        <f>'RESUMEN TOTAL'!AS566</f>
        <v>APAGADO</v>
      </c>
      <c r="AG438" s="70">
        <f>'RESUMEN TOTAL'!AT566</f>
        <v>0</v>
      </c>
      <c r="AH438" s="70">
        <f>'RESUMEN TOTAL'!AU566</f>
        <v>0</v>
      </c>
      <c r="AI438" s="70">
        <f>'RESUMEN TOTAL'!AV566</f>
        <v>0</v>
      </c>
      <c r="AJ438" s="70" t="e">
        <f>'RESUMEN TOTAL'!#REF!</f>
        <v>#REF!</v>
      </c>
    </row>
    <row r="439" spans="1:36" x14ac:dyDescent="0.25">
      <c r="A439" t="str">
        <f>'RESUMEN TOTAL'!F567</f>
        <v>VILLA ARIAS</v>
      </c>
      <c r="B439" t="str">
        <f>'RESUMEN TOTAL'!G567</f>
        <v>VLA 02</v>
      </c>
      <c r="C439" t="str">
        <f>'RESUMEN TOTAL'!I567</f>
        <v>ESPORA Y HUDSON</v>
      </c>
      <c r="D439" s="30" t="str">
        <f>'RESUMEN TOTAL'!J567</f>
        <v>DOMO</v>
      </c>
      <c r="E439" s="30" t="str">
        <f>'RESUMEN TOTAL'!K567</f>
        <v>FO A GPON</v>
      </c>
      <c r="F439" s="70">
        <f>'RESUMEN TOTAL'!S567</f>
        <v>0</v>
      </c>
      <c r="G439" s="70">
        <f>'RESUMEN TOTAL'!T567</f>
        <v>0</v>
      </c>
      <c r="H439" s="70">
        <f>'RESUMEN TOTAL'!U567</f>
        <v>0</v>
      </c>
      <c r="I439" s="70">
        <f>'RESUMEN TOTAL'!V567</f>
        <v>0</v>
      </c>
      <c r="J439" s="70">
        <f>'RESUMEN TOTAL'!W567</f>
        <v>0</v>
      </c>
      <c r="K439" s="70">
        <f>'RESUMEN TOTAL'!X567</f>
        <v>0</v>
      </c>
      <c r="L439" s="70">
        <f>'RESUMEN TOTAL'!Y567</f>
        <v>0</v>
      </c>
      <c r="M439" s="70">
        <f>'RESUMEN TOTAL'!Z567</f>
        <v>0</v>
      </c>
      <c r="N439" s="70">
        <f>'RESUMEN TOTAL'!AA567</f>
        <v>0</v>
      </c>
      <c r="O439" s="70">
        <f>'RESUMEN TOTAL'!AB567</f>
        <v>0</v>
      </c>
      <c r="P439" s="70">
        <f>'RESUMEN TOTAL'!AC567</f>
        <v>0</v>
      </c>
      <c r="Q439" s="70">
        <f>'RESUMEN TOTAL'!AD567</f>
        <v>0</v>
      </c>
      <c r="R439" s="70">
        <f>'RESUMEN TOTAL'!AE567</f>
        <v>0</v>
      </c>
      <c r="S439" s="70">
        <f>'RESUMEN TOTAL'!AF567</f>
        <v>0</v>
      </c>
      <c r="T439" s="70">
        <f>'RESUMEN TOTAL'!AG567</f>
        <v>0</v>
      </c>
      <c r="U439" s="70">
        <f>'RESUMEN TOTAL'!AH567</f>
        <v>0</v>
      </c>
      <c r="V439" s="70">
        <f>'RESUMEN TOTAL'!AI567</f>
        <v>0</v>
      </c>
      <c r="W439" s="70">
        <f>'RESUMEN TOTAL'!AJ567</f>
        <v>0</v>
      </c>
      <c r="X439" s="70">
        <f>'RESUMEN TOTAL'!AK567</f>
        <v>0</v>
      </c>
      <c r="Y439" s="70">
        <f>'RESUMEN TOTAL'!AL567</f>
        <v>0</v>
      </c>
      <c r="Z439" s="70">
        <f>'RESUMEN TOTAL'!AM567</f>
        <v>0</v>
      </c>
      <c r="AA439" s="70">
        <f>'RESUMEN TOTAL'!AN567</f>
        <v>0</v>
      </c>
      <c r="AB439" s="70">
        <f>'RESUMEN TOTAL'!AO567</f>
        <v>0</v>
      </c>
      <c r="AC439" s="70">
        <f>'RESUMEN TOTAL'!AP567</f>
        <v>0</v>
      </c>
      <c r="AD439" s="70">
        <f>'RESUMEN TOTAL'!AQ567</f>
        <v>0</v>
      </c>
      <c r="AE439" s="70">
        <f>'RESUMEN TOTAL'!AR567</f>
        <v>0</v>
      </c>
      <c r="AF439" s="70">
        <f>'RESUMEN TOTAL'!AS567</f>
        <v>0</v>
      </c>
      <c r="AG439" s="70">
        <f>'RESUMEN TOTAL'!AT567</f>
        <v>0</v>
      </c>
      <c r="AH439" s="70">
        <f>'RESUMEN TOTAL'!AU567</f>
        <v>0</v>
      </c>
      <c r="AI439" s="70">
        <f>'RESUMEN TOTAL'!AV567</f>
        <v>0</v>
      </c>
      <c r="AJ439" s="70" t="e">
        <f>'RESUMEN TOTAL'!#REF!</f>
        <v>#REF!</v>
      </c>
    </row>
    <row r="440" spans="1:36" x14ac:dyDescent="0.25">
      <c r="A440" t="str">
        <f>'RESUMEN TOTAL'!F568</f>
        <v>VILLA ARIAS</v>
      </c>
      <c r="B440" t="str">
        <f>'RESUMEN TOTAL'!G568</f>
        <v>VLA03 (fija 2)</v>
      </c>
      <c r="C440" t="str">
        <f>'RESUMEN TOTAL'!I568</f>
        <v>820 y SOLER</v>
      </c>
      <c r="D440" s="30" t="str">
        <f>'RESUMEN TOTAL'!J568</f>
        <v>Fija</v>
      </c>
      <c r="E440" s="30" t="str">
        <f>'RESUMEN TOTAL'!K568</f>
        <v>GPON</v>
      </c>
      <c r="F440" s="70">
        <f>'RESUMEN TOTAL'!S568</f>
        <v>0</v>
      </c>
      <c r="G440" s="70">
        <f>'RESUMEN TOTAL'!T568</f>
        <v>0</v>
      </c>
      <c r="H440" s="70">
        <f>'RESUMEN TOTAL'!U568</f>
        <v>0</v>
      </c>
      <c r="I440" s="70" t="str">
        <f>'RESUMEN TOTAL'!V568</f>
        <v>APAGADO</v>
      </c>
      <c r="J440" s="70" t="str">
        <f>'RESUMEN TOTAL'!W568</f>
        <v>APAGADO</v>
      </c>
      <c r="K440" s="70" t="str">
        <f>'RESUMEN TOTAL'!X568</f>
        <v>APAGADO</v>
      </c>
      <c r="L440" s="70" t="str">
        <f>'RESUMEN TOTAL'!Y568</f>
        <v>APAGADO</v>
      </c>
      <c r="M440" s="70" t="str">
        <f>'RESUMEN TOTAL'!Z568</f>
        <v>APAGADO</v>
      </c>
      <c r="N440" s="70">
        <f>'RESUMEN TOTAL'!AA568</f>
        <v>0</v>
      </c>
      <c r="O440" s="70">
        <f>'RESUMEN TOTAL'!AB568</f>
        <v>0</v>
      </c>
      <c r="P440" s="70" t="str">
        <f>'RESUMEN TOTAL'!AC568</f>
        <v>APAGADO</v>
      </c>
      <c r="Q440" s="70" t="str">
        <f>'RESUMEN TOTAL'!AD568</f>
        <v>APAGADO</v>
      </c>
      <c r="R440" s="70" t="str">
        <f>'RESUMEN TOTAL'!AE568</f>
        <v>APAGADO</v>
      </c>
      <c r="S440" s="70" t="str">
        <f>'RESUMEN TOTAL'!AF568</f>
        <v>APAGADO</v>
      </c>
      <c r="T440" s="70" t="str">
        <f>'RESUMEN TOTAL'!AG568</f>
        <v>APAGADO</v>
      </c>
      <c r="U440" s="70">
        <f>'RESUMEN TOTAL'!AH568</f>
        <v>0</v>
      </c>
      <c r="V440" s="70">
        <f>'RESUMEN TOTAL'!AI568</f>
        <v>0</v>
      </c>
      <c r="W440" s="70">
        <f>'RESUMEN TOTAL'!AJ568</f>
        <v>0</v>
      </c>
      <c r="X440" s="70" t="str">
        <f>'RESUMEN TOTAL'!AK568</f>
        <v>APAGADO</v>
      </c>
      <c r="Y440" s="70" t="str">
        <f>'RESUMEN TOTAL'!AL568</f>
        <v>APAGADO</v>
      </c>
      <c r="Z440" s="70" t="str">
        <f>'RESUMEN TOTAL'!AM568</f>
        <v>APAGADO</v>
      </c>
      <c r="AA440" s="70" t="str">
        <f>'RESUMEN TOTAL'!AN568</f>
        <v>APAGADO</v>
      </c>
      <c r="AB440" s="70">
        <f>'RESUMEN TOTAL'!AO568</f>
        <v>0</v>
      </c>
      <c r="AC440" s="70">
        <f>'RESUMEN TOTAL'!AP568</f>
        <v>0</v>
      </c>
      <c r="AD440" s="70">
        <f>'RESUMEN TOTAL'!AQ568</f>
        <v>0</v>
      </c>
      <c r="AE440" s="70" t="str">
        <f>'RESUMEN TOTAL'!AR568</f>
        <v>APAGADO</v>
      </c>
      <c r="AF440" s="70" t="str">
        <f>'RESUMEN TOTAL'!AS568</f>
        <v>APAGADO</v>
      </c>
      <c r="AG440" s="70">
        <f>'RESUMEN TOTAL'!AT568</f>
        <v>0</v>
      </c>
      <c r="AH440" s="70">
        <f>'RESUMEN TOTAL'!AU568</f>
        <v>0</v>
      </c>
      <c r="AI440" s="70">
        <f>'RESUMEN TOTAL'!AV568</f>
        <v>0</v>
      </c>
      <c r="AJ440" s="70" t="e">
        <f>'RESUMEN TOTAL'!#REF!</f>
        <v>#REF!</v>
      </c>
    </row>
    <row r="441" spans="1:36" x14ac:dyDescent="0.25">
      <c r="A441" t="str">
        <f>'RESUMEN TOTAL'!F570</f>
        <v>VILLA ARIAS</v>
      </c>
      <c r="B441" t="str">
        <f>'RESUMEN TOTAL'!G570</f>
        <v>VLA05</v>
      </c>
      <c r="C441" t="str">
        <f>'RESUMEN TOTAL'!I570</f>
        <v>ESPORA Y 802</v>
      </c>
      <c r="D441" s="30" t="str">
        <f>'RESUMEN TOTAL'!J570</f>
        <v>DOMO</v>
      </c>
      <c r="E441" s="30" t="str">
        <f>'RESUMEN TOTAL'!K570</f>
        <v>GPON</v>
      </c>
      <c r="F441" s="70">
        <f>'RESUMEN TOTAL'!S570</f>
        <v>0</v>
      </c>
      <c r="G441" s="70">
        <f>'RESUMEN TOTAL'!T570</f>
        <v>0</v>
      </c>
      <c r="H441" s="70">
        <f>'RESUMEN TOTAL'!U570</f>
        <v>0</v>
      </c>
      <c r="I441" s="70">
        <f>'RESUMEN TOTAL'!V570</f>
        <v>0</v>
      </c>
      <c r="J441" s="70">
        <f>'RESUMEN TOTAL'!W570</f>
        <v>0</v>
      </c>
      <c r="K441" s="70">
        <f>'RESUMEN TOTAL'!X570</f>
        <v>0</v>
      </c>
      <c r="L441" s="70">
        <f>'RESUMEN TOTAL'!Y570</f>
        <v>0</v>
      </c>
      <c r="M441" s="70">
        <f>'RESUMEN TOTAL'!Z570</f>
        <v>0</v>
      </c>
      <c r="N441" s="70">
        <f>'RESUMEN TOTAL'!AA570</f>
        <v>0</v>
      </c>
      <c r="O441" s="70">
        <f>'RESUMEN TOTAL'!AB570</f>
        <v>0</v>
      </c>
      <c r="P441" s="70">
        <f>'RESUMEN TOTAL'!AC570</f>
        <v>0</v>
      </c>
      <c r="Q441" s="70">
        <f>'RESUMEN TOTAL'!AD570</f>
        <v>0</v>
      </c>
      <c r="R441" s="70">
        <f>'RESUMEN TOTAL'!AE570</f>
        <v>0</v>
      </c>
      <c r="S441" s="70">
        <f>'RESUMEN TOTAL'!AF570</f>
        <v>0</v>
      </c>
      <c r="T441" s="70">
        <f>'RESUMEN TOTAL'!AG570</f>
        <v>0</v>
      </c>
      <c r="U441" s="70">
        <f>'RESUMEN TOTAL'!AH570</f>
        <v>0</v>
      </c>
      <c r="V441" s="70">
        <f>'RESUMEN TOTAL'!AI570</f>
        <v>0</v>
      </c>
      <c r="W441" s="70">
        <f>'RESUMEN TOTAL'!AJ570</f>
        <v>0</v>
      </c>
      <c r="X441" s="70">
        <f>'RESUMEN TOTAL'!AK570</f>
        <v>0</v>
      </c>
      <c r="Y441" s="70">
        <f>'RESUMEN TOTAL'!AL570</f>
        <v>0</v>
      </c>
      <c r="Z441" s="70">
        <f>'RESUMEN TOTAL'!AM570</f>
        <v>0</v>
      </c>
      <c r="AA441" s="70">
        <f>'RESUMEN TOTAL'!AN570</f>
        <v>0</v>
      </c>
      <c r="AB441" s="70">
        <f>'RESUMEN TOTAL'!AO570</f>
        <v>0</v>
      </c>
      <c r="AC441" s="70">
        <f>'RESUMEN TOTAL'!AP570</f>
        <v>0</v>
      </c>
      <c r="AD441" s="70">
        <f>'RESUMEN TOTAL'!AQ570</f>
        <v>0</v>
      </c>
      <c r="AE441" s="70">
        <f>'RESUMEN TOTAL'!AR570</f>
        <v>0</v>
      </c>
      <c r="AF441" s="70">
        <f>'RESUMEN TOTAL'!AS570</f>
        <v>0</v>
      </c>
      <c r="AG441" s="70">
        <f>'RESUMEN TOTAL'!AT570</f>
        <v>0</v>
      </c>
      <c r="AH441" s="70">
        <f>'RESUMEN TOTAL'!AU570</f>
        <v>0</v>
      </c>
      <c r="AI441" s="70">
        <f>'RESUMEN TOTAL'!AV570</f>
        <v>0</v>
      </c>
      <c r="AJ441" s="70" t="e">
        <f>'RESUMEN TOTAL'!#REF!</f>
        <v>#REF!</v>
      </c>
    </row>
    <row r="442" spans="1:36" x14ac:dyDescent="0.25">
      <c r="A442" t="str">
        <f>'RESUMEN TOTAL'!F571</f>
        <v>VILLA MONICA NUEVA</v>
      </c>
      <c r="B442" t="str">
        <f>'RESUMEN TOTAL'!G571</f>
        <v>VMO 02</v>
      </c>
      <c r="C442" t="str">
        <f>'RESUMEN TOTAL'!I571</f>
        <v>Rio Carapachay y Oroño</v>
      </c>
      <c r="D442" s="30" t="str">
        <f>'RESUMEN TOTAL'!J571</f>
        <v>Domo</v>
      </c>
      <c r="E442" s="30" t="str">
        <f>'RESUMEN TOTAL'!K571</f>
        <v>Radio</v>
      </c>
      <c r="F442" s="70">
        <f>'RESUMEN TOTAL'!S571</f>
        <v>0</v>
      </c>
      <c r="G442" s="70">
        <f>'RESUMEN TOTAL'!T571</f>
        <v>0</v>
      </c>
      <c r="H442" s="70">
        <f>'RESUMEN TOTAL'!U571</f>
        <v>0</v>
      </c>
      <c r="I442" s="70">
        <f>'RESUMEN TOTAL'!V571</f>
        <v>0</v>
      </c>
      <c r="J442" s="70">
        <f>'RESUMEN TOTAL'!W571</f>
        <v>0</v>
      </c>
      <c r="K442" s="70">
        <f>'RESUMEN TOTAL'!X571</f>
        <v>0</v>
      </c>
      <c r="L442" s="70">
        <f>'RESUMEN TOTAL'!Y571</f>
        <v>0</v>
      </c>
      <c r="M442" s="70">
        <f>'RESUMEN TOTAL'!Z571</f>
        <v>0</v>
      </c>
      <c r="N442" s="70">
        <f>'RESUMEN TOTAL'!AA571</f>
        <v>0</v>
      </c>
      <c r="O442" s="70">
        <f>'RESUMEN TOTAL'!AB571</f>
        <v>0</v>
      </c>
      <c r="P442" s="70">
        <f>'RESUMEN TOTAL'!AC571</f>
        <v>0</v>
      </c>
      <c r="Q442" s="70">
        <f>'RESUMEN TOTAL'!AD571</f>
        <v>0</v>
      </c>
      <c r="R442" s="70">
        <f>'RESUMEN TOTAL'!AE571</f>
        <v>0</v>
      </c>
      <c r="S442" s="70">
        <f>'RESUMEN TOTAL'!AF571</f>
        <v>0</v>
      </c>
      <c r="T442" s="70">
        <f>'RESUMEN TOTAL'!AG571</f>
        <v>0</v>
      </c>
      <c r="U442" s="70">
        <f>'RESUMEN TOTAL'!AH571</f>
        <v>0</v>
      </c>
      <c r="V442" s="70">
        <f>'RESUMEN TOTAL'!AI571</f>
        <v>0</v>
      </c>
      <c r="W442" s="70">
        <f>'RESUMEN TOTAL'!AJ571</f>
        <v>0</v>
      </c>
      <c r="X442" s="70">
        <f>'RESUMEN TOTAL'!AK571</f>
        <v>0</v>
      </c>
      <c r="Y442" s="70">
        <f>'RESUMEN TOTAL'!AL571</f>
        <v>0</v>
      </c>
      <c r="Z442" s="70">
        <f>'RESUMEN TOTAL'!AM571</f>
        <v>0</v>
      </c>
      <c r="AA442" s="70">
        <f>'RESUMEN TOTAL'!AN571</f>
        <v>0</v>
      </c>
      <c r="AB442" s="70">
        <f>'RESUMEN TOTAL'!AO571</f>
        <v>0</v>
      </c>
      <c r="AC442" s="70">
        <f>'RESUMEN TOTAL'!AP571</f>
        <v>0</v>
      </c>
      <c r="AD442" s="70">
        <f>'RESUMEN TOTAL'!AQ571</f>
        <v>0</v>
      </c>
      <c r="AE442" s="70">
        <f>'RESUMEN TOTAL'!AR571</f>
        <v>0</v>
      </c>
      <c r="AF442" s="70">
        <f>'RESUMEN TOTAL'!AS571</f>
        <v>0</v>
      </c>
      <c r="AG442" s="70">
        <f>'RESUMEN TOTAL'!AT571</f>
        <v>0</v>
      </c>
      <c r="AH442" s="70">
        <f>'RESUMEN TOTAL'!AU571</f>
        <v>0</v>
      </c>
      <c r="AI442" s="70">
        <f>'RESUMEN TOTAL'!AV571</f>
        <v>0</v>
      </c>
      <c r="AJ442" s="70" t="e">
        <f>'RESUMEN TOTAL'!#REF!</f>
        <v>#REF!</v>
      </c>
    </row>
    <row r="443" spans="1:36" x14ac:dyDescent="0.25">
      <c r="A443" t="str">
        <f>'RESUMEN TOTAL'!F572</f>
        <v>VILLA MONICA NUEVA</v>
      </c>
      <c r="B443" t="str">
        <f>'RESUMEN TOTAL'!G572</f>
        <v>VMO 03 (fija 1)</v>
      </c>
      <c r="C443" t="str">
        <f>'RESUMEN TOTAL'!I572</f>
        <v>EVA PERON E/ OROÑO Y 734 A</v>
      </c>
      <c r="D443" s="30" t="str">
        <f>'RESUMEN TOTAL'!J572</f>
        <v>Fija</v>
      </c>
      <c r="E443" s="30" t="str">
        <f>'RESUMEN TOTAL'!K572</f>
        <v>Fibra Optica</v>
      </c>
      <c r="F443" s="70">
        <f>'RESUMEN TOTAL'!S572</f>
        <v>0</v>
      </c>
      <c r="G443" s="70">
        <f>'RESUMEN TOTAL'!T572</f>
        <v>0</v>
      </c>
      <c r="H443" s="70">
        <f>'RESUMEN TOTAL'!U572</f>
        <v>0</v>
      </c>
      <c r="I443" s="70" t="str">
        <f>'RESUMEN TOTAL'!V572</f>
        <v>APAGADO</v>
      </c>
      <c r="J443" s="70" t="str">
        <f>'RESUMEN TOTAL'!W572</f>
        <v>APAGADO</v>
      </c>
      <c r="K443" s="70" t="str">
        <f>'RESUMEN TOTAL'!X572</f>
        <v>APAGADO</v>
      </c>
      <c r="L443" s="70" t="str">
        <f>'RESUMEN TOTAL'!Y572</f>
        <v>APAGADO</v>
      </c>
      <c r="M443" s="70" t="str">
        <f>'RESUMEN TOTAL'!Z572</f>
        <v>APAGADO</v>
      </c>
      <c r="N443" s="70">
        <f>'RESUMEN TOTAL'!AA572</f>
        <v>0</v>
      </c>
      <c r="O443" s="70">
        <f>'RESUMEN TOTAL'!AB572</f>
        <v>0</v>
      </c>
      <c r="P443" s="70" t="str">
        <f>'RESUMEN TOTAL'!AC572</f>
        <v>APAGADO</v>
      </c>
      <c r="Q443" s="70" t="str">
        <f>'RESUMEN TOTAL'!AD572</f>
        <v>APAGADO</v>
      </c>
      <c r="R443" s="70" t="str">
        <f>'RESUMEN TOTAL'!AE572</f>
        <v>APAGADO</v>
      </c>
      <c r="S443" s="70" t="str">
        <f>'RESUMEN TOTAL'!AF572</f>
        <v>APAGADO</v>
      </c>
      <c r="T443" s="70" t="str">
        <f>'RESUMEN TOTAL'!AG572</f>
        <v>APAGADO</v>
      </c>
      <c r="U443" s="70">
        <f>'RESUMEN TOTAL'!AH572</f>
        <v>0</v>
      </c>
      <c r="V443" s="70">
        <f>'RESUMEN TOTAL'!AI572</f>
        <v>0</v>
      </c>
      <c r="W443" s="70" t="str">
        <f>'RESUMEN TOTAL'!AJ572</f>
        <v>APAGADO</v>
      </c>
      <c r="X443" s="70">
        <f>'RESUMEN TOTAL'!AK572</f>
        <v>0</v>
      </c>
      <c r="Y443" s="70">
        <f>'RESUMEN TOTAL'!AL572</f>
        <v>0</v>
      </c>
      <c r="Z443" s="70">
        <f>'RESUMEN TOTAL'!AM572</f>
        <v>0</v>
      </c>
      <c r="AA443" s="70">
        <f>'RESUMEN TOTAL'!AN572</f>
        <v>0</v>
      </c>
      <c r="AB443" s="70">
        <f>'RESUMEN TOTAL'!AO572</f>
        <v>0</v>
      </c>
      <c r="AC443" s="70">
        <f>'RESUMEN TOTAL'!AP572</f>
        <v>0</v>
      </c>
      <c r="AD443" s="70">
        <f>'RESUMEN TOTAL'!AQ572</f>
        <v>0</v>
      </c>
      <c r="AE443" s="70">
        <f>'RESUMEN TOTAL'!AR572</f>
        <v>0</v>
      </c>
      <c r="AF443" s="70">
        <f>'RESUMEN TOTAL'!AS572</f>
        <v>0</v>
      </c>
      <c r="AG443" s="70">
        <f>'RESUMEN TOTAL'!AT572</f>
        <v>0</v>
      </c>
      <c r="AH443" s="70">
        <f>'RESUMEN TOTAL'!AU572</f>
        <v>0</v>
      </c>
      <c r="AI443" s="70">
        <f>'RESUMEN TOTAL'!AV572</f>
        <v>0</v>
      </c>
      <c r="AJ443" s="70" t="e">
        <f>'RESUMEN TOTAL'!#REF!</f>
        <v>#REF!</v>
      </c>
    </row>
    <row r="444" spans="1:36" x14ac:dyDescent="0.25">
      <c r="A444" t="str">
        <f>'RESUMEN TOTAL'!F573</f>
        <v>VILLA MONICA NUEVA</v>
      </c>
      <c r="B444" t="str">
        <f>'RESUMEN TOTAL'!G573</f>
        <v>VMO 04 (fija 2)</v>
      </c>
      <c r="C444" t="str">
        <f>'RESUMEN TOTAL'!I573</f>
        <v>EVA PERON E/ OROÑO Y 734 A</v>
      </c>
      <c r="D444" s="30" t="str">
        <f>'RESUMEN TOTAL'!J573</f>
        <v>Fija</v>
      </c>
      <c r="E444" s="30" t="str">
        <f>'RESUMEN TOTAL'!K573</f>
        <v>Fibra Optica</v>
      </c>
      <c r="F444" s="70">
        <f>'RESUMEN TOTAL'!S573</f>
        <v>0</v>
      </c>
      <c r="G444" s="70">
        <f>'RESUMEN TOTAL'!T573</f>
        <v>0</v>
      </c>
      <c r="H444" s="70">
        <f>'RESUMEN TOTAL'!U573</f>
        <v>0</v>
      </c>
      <c r="I444" s="70" t="str">
        <f>'RESUMEN TOTAL'!V573</f>
        <v>APAGADO</v>
      </c>
      <c r="J444" s="70" t="str">
        <f>'RESUMEN TOTAL'!W573</f>
        <v>APAGADO</v>
      </c>
      <c r="K444" s="70" t="str">
        <f>'RESUMEN TOTAL'!X573</f>
        <v>APAGADO</v>
      </c>
      <c r="L444" s="70" t="str">
        <f>'RESUMEN TOTAL'!Y573</f>
        <v>APAGADO</v>
      </c>
      <c r="M444" s="70" t="str">
        <f>'RESUMEN TOTAL'!Z573</f>
        <v>APAGADO</v>
      </c>
      <c r="N444" s="70">
        <f>'RESUMEN TOTAL'!AA573</f>
        <v>0</v>
      </c>
      <c r="O444" s="70">
        <f>'RESUMEN TOTAL'!AB573</f>
        <v>0</v>
      </c>
      <c r="P444" s="70" t="str">
        <f>'RESUMEN TOTAL'!AC573</f>
        <v>APAGADO</v>
      </c>
      <c r="Q444" s="70" t="str">
        <f>'RESUMEN TOTAL'!AD573</f>
        <v>APAGADO</v>
      </c>
      <c r="R444" s="70" t="str">
        <f>'RESUMEN TOTAL'!AE573</f>
        <v>APAGADO</v>
      </c>
      <c r="S444" s="70" t="str">
        <f>'RESUMEN TOTAL'!AF573</f>
        <v>APAGADO</v>
      </c>
      <c r="T444" s="70" t="str">
        <f>'RESUMEN TOTAL'!AG573</f>
        <v>APAGADO</v>
      </c>
      <c r="U444" s="70">
        <f>'RESUMEN TOTAL'!AH573</f>
        <v>0</v>
      </c>
      <c r="V444" s="70">
        <f>'RESUMEN TOTAL'!AI573</f>
        <v>0</v>
      </c>
      <c r="W444" s="70" t="str">
        <f>'RESUMEN TOTAL'!AJ573</f>
        <v>APAGADO</v>
      </c>
      <c r="X444" s="70">
        <f>'RESUMEN TOTAL'!AK573</f>
        <v>0</v>
      </c>
      <c r="Y444" s="70">
        <f>'RESUMEN TOTAL'!AL573</f>
        <v>0</v>
      </c>
      <c r="Z444" s="70">
        <f>'RESUMEN TOTAL'!AM573</f>
        <v>0</v>
      </c>
      <c r="AA444" s="70">
        <f>'RESUMEN TOTAL'!AN573</f>
        <v>0</v>
      </c>
      <c r="AB444" s="70">
        <f>'RESUMEN TOTAL'!AO573</f>
        <v>0</v>
      </c>
      <c r="AC444" s="70">
        <f>'RESUMEN TOTAL'!AP573</f>
        <v>0</v>
      </c>
      <c r="AD444" s="70">
        <f>'RESUMEN TOTAL'!AQ573</f>
        <v>0</v>
      </c>
      <c r="AE444" s="70">
        <f>'RESUMEN TOTAL'!AR573</f>
        <v>0</v>
      </c>
      <c r="AF444" s="70">
        <f>'RESUMEN TOTAL'!AS573</f>
        <v>0</v>
      </c>
      <c r="AG444" s="70">
        <f>'RESUMEN TOTAL'!AT573</f>
        <v>0</v>
      </c>
      <c r="AH444" s="70">
        <f>'RESUMEN TOTAL'!AU573</f>
        <v>0</v>
      </c>
      <c r="AI444" s="70">
        <f>'RESUMEN TOTAL'!AV573</f>
        <v>0</v>
      </c>
      <c r="AJ444" s="70" t="e">
        <f>'RESUMEN TOTAL'!#REF!</f>
        <v>#REF!</v>
      </c>
    </row>
    <row r="445" spans="1:36" x14ac:dyDescent="0.25">
      <c r="A445" t="str">
        <f>'RESUMEN TOTAL'!F574</f>
        <v>VILLA MONICA NUEVA</v>
      </c>
      <c r="B445" t="str">
        <f>'RESUMEN TOTAL'!G574</f>
        <v>VMO 05</v>
      </c>
      <c r="C445" t="str">
        <f>'RESUMEN TOTAL'!I574</f>
        <v>OROÑO Y EVA PERON</v>
      </c>
      <c r="D445" s="30" t="str">
        <f>'RESUMEN TOTAL'!J574</f>
        <v>DOMO</v>
      </c>
      <c r="E445" s="30" t="str">
        <f>'RESUMEN TOTAL'!K574</f>
        <v>Fibra Optica</v>
      </c>
      <c r="F445" s="70">
        <f>'RESUMEN TOTAL'!S574</f>
        <v>0</v>
      </c>
      <c r="G445" s="70">
        <f>'RESUMEN TOTAL'!T574</f>
        <v>0</v>
      </c>
      <c r="H445" s="70">
        <f>'RESUMEN TOTAL'!U574</f>
        <v>0</v>
      </c>
      <c r="I445" s="70" t="str">
        <f>'RESUMEN TOTAL'!V574</f>
        <v>APAGADO</v>
      </c>
      <c r="J445" s="70" t="str">
        <f>'RESUMEN TOTAL'!W574</f>
        <v>APAGADO</v>
      </c>
      <c r="K445" s="70" t="str">
        <f>'RESUMEN TOTAL'!X574</f>
        <v>APAGADO</v>
      </c>
      <c r="L445" s="70" t="str">
        <f>'RESUMEN TOTAL'!Y574</f>
        <v>APAGADO</v>
      </c>
      <c r="M445" s="70" t="str">
        <f>'RESUMEN TOTAL'!Z574</f>
        <v>APAGADO</v>
      </c>
      <c r="N445" s="70">
        <f>'RESUMEN TOTAL'!AA574</f>
        <v>0</v>
      </c>
      <c r="O445" s="70">
        <f>'RESUMEN TOTAL'!AB574</f>
        <v>0</v>
      </c>
      <c r="P445" s="70" t="str">
        <f>'RESUMEN TOTAL'!AC574</f>
        <v>APAGADO</v>
      </c>
      <c r="Q445" s="70" t="str">
        <f>'RESUMEN TOTAL'!AD574</f>
        <v>APAGADO</v>
      </c>
      <c r="R445" s="70" t="str">
        <f>'RESUMEN TOTAL'!AE574</f>
        <v>APAGADO</v>
      </c>
      <c r="S445" s="70" t="str">
        <f>'RESUMEN TOTAL'!AF574</f>
        <v>APAGADO</v>
      </c>
      <c r="T445" s="70" t="str">
        <f>'RESUMEN TOTAL'!AG574</f>
        <v>APAGADO</v>
      </c>
      <c r="U445" s="70">
        <f>'RESUMEN TOTAL'!AH574</f>
        <v>0</v>
      </c>
      <c r="V445" s="70">
        <f>'RESUMEN TOTAL'!AI574</f>
        <v>0</v>
      </c>
      <c r="W445" s="70" t="str">
        <f>'RESUMEN TOTAL'!AJ574</f>
        <v>APAGADO</v>
      </c>
      <c r="X445" s="70">
        <f>'RESUMEN TOTAL'!AK574</f>
        <v>0</v>
      </c>
      <c r="Y445" s="70">
        <f>'RESUMEN TOTAL'!AL574</f>
        <v>0</v>
      </c>
      <c r="Z445" s="70">
        <f>'RESUMEN TOTAL'!AM574</f>
        <v>0</v>
      </c>
      <c r="AA445" s="70">
        <f>'RESUMEN TOTAL'!AN574</f>
        <v>0</v>
      </c>
      <c r="AB445" s="70">
        <f>'RESUMEN TOTAL'!AO574</f>
        <v>0</v>
      </c>
      <c r="AC445" s="70">
        <f>'RESUMEN TOTAL'!AP574</f>
        <v>0</v>
      </c>
      <c r="AD445" s="70">
        <f>'RESUMEN TOTAL'!AQ574</f>
        <v>0</v>
      </c>
      <c r="AE445" s="70">
        <f>'RESUMEN TOTAL'!AR574</f>
        <v>0</v>
      </c>
      <c r="AF445" s="70">
        <f>'RESUMEN TOTAL'!AS574</f>
        <v>0</v>
      </c>
      <c r="AG445" s="70">
        <f>'RESUMEN TOTAL'!AT574</f>
        <v>0</v>
      </c>
      <c r="AH445" s="70">
        <f>'RESUMEN TOTAL'!AU574</f>
        <v>0</v>
      </c>
      <c r="AI445" s="70">
        <f>'RESUMEN TOTAL'!AV574</f>
        <v>0</v>
      </c>
      <c r="AJ445" s="70" t="e">
        <f>'RESUMEN TOTAL'!#REF!</f>
        <v>#REF!</v>
      </c>
    </row>
    <row r="446" spans="1:36" x14ac:dyDescent="0.25">
      <c r="A446" t="str">
        <f>'RESUMEN TOTAL'!F575</f>
        <v>VILLA MONICA NUEVA</v>
      </c>
      <c r="B446" t="str">
        <f>'RESUMEN TOTAL'!G575</f>
        <v>VMO01</v>
      </c>
      <c r="C446" t="str">
        <f>'RESUMEN TOTAL'!I575</f>
        <v>Eva Peron y Monseñor de las Casas</v>
      </c>
      <c r="D446" s="30" t="str">
        <f>'RESUMEN TOTAL'!J575</f>
        <v>DOMO</v>
      </c>
      <c r="E446" s="30" t="str">
        <f>'RESUMEN TOTAL'!K575</f>
        <v>PTO A FO</v>
      </c>
      <c r="F446" s="70">
        <f>'RESUMEN TOTAL'!S575</f>
        <v>0</v>
      </c>
      <c r="G446" s="70">
        <f>'RESUMEN TOTAL'!T575</f>
        <v>0</v>
      </c>
      <c r="H446" s="70">
        <f>'RESUMEN TOTAL'!U575</f>
        <v>0</v>
      </c>
      <c r="I446" s="70" t="str">
        <f>'RESUMEN TOTAL'!V575</f>
        <v>APAGADO</v>
      </c>
      <c r="J446" s="70" t="str">
        <f>'RESUMEN TOTAL'!W575</f>
        <v>APAGADO</v>
      </c>
      <c r="K446" s="70" t="str">
        <f>'RESUMEN TOTAL'!X575</f>
        <v>APAGADO</v>
      </c>
      <c r="L446" s="70" t="str">
        <f>'RESUMEN TOTAL'!Y575</f>
        <v>APAGADO</v>
      </c>
      <c r="M446" s="70" t="str">
        <f>'RESUMEN TOTAL'!Z575</f>
        <v>APAGADO</v>
      </c>
      <c r="N446" s="70">
        <f>'RESUMEN TOTAL'!AA575</f>
        <v>0</v>
      </c>
      <c r="O446" s="70">
        <f>'RESUMEN TOTAL'!AB575</f>
        <v>0</v>
      </c>
      <c r="P446" s="70" t="str">
        <f>'RESUMEN TOTAL'!AC575</f>
        <v>APAGADO</v>
      </c>
      <c r="Q446" s="70" t="str">
        <f>'RESUMEN TOTAL'!AD575</f>
        <v>APAGADO</v>
      </c>
      <c r="R446" s="70" t="str">
        <f>'RESUMEN TOTAL'!AE575</f>
        <v>APAGADO</v>
      </c>
      <c r="S446" s="70" t="str">
        <f>'RESUMEN TOTAL'!AF575</f>
        <v>APAGADO</v>
      </c>
      <c r="T446" s="70" t="str">
        <f>'RESUMEN TOTAL'!AG575</f>
        <v>APAGADO</v>
      </c>
      <c r="U446" s="70">
        <f>'RESUMEN TOTAL'!AH575</f>
        <v>0</v>
      </c>
      <c r="V446" s="70">
        <f>'RESUMEN TOTAL'!AI575</f>
        <v>0</v>
      </c>
      <c r="W446" s="70" t="str">
        <f>'RESUMEN TOTAL'!AJ575</f>
        <v>APAGADO</v>
      </c>
      <c r="X446" s="70" t="str">
        <f>'RESUMEN TOTAL'!AK575</f>
        <v>APAGADO</v>
      </c>
      <c r="Y446" s="70" t="str">
        <f>'RESUMEN TOTAL'!AL575</f>
        <v>APAGADO</v>
      </c>
      <c r="Z446" s="70" t="str">
        <f>'RESUMEN TOTAL'!AM575</f>
        <v>APAGADO</v>
      </c>
      <c r="AA446" s="70" t="str">
        <f>'RESUMEN TOTAL'!AN575</f>
        <v>APAGADO</v>
      </c>
      <c r="AB446" s="70">
        <f>'RESUMEN TOTAL'!AO575</f>
        <v>0</v>
      </c>
      <c r="AC446" s="70">
        <f>'RESUMEN TOTAL'!AP575</f>
        <v>0</v>
      </c>
      <c r="AD446" s="70">
        <f>'RESUMEN TOTAL'!AQ575</f>
        <v>0</v>
      </c>
      <c r="AE446" s="70" t="str">
        <f>'RESUMEN TOTAL'!AR575</f>
        <v>APAGADO</v>
      </c>
      <c r="AF446" s="70" t="str">
        <f>'RESUMEN TOTAL'!AS575</f>
        <v>APAGADO</v>
      </c>
      <c r="AG446" s="70">
        <f>'RESUMEN TOTAL'!AT575</f>
        <v>0</v>
      </c>
      <c r="AH446" s="70">
        <f>'RESUMEN TOTAL'!AU575</f>
        <v>0</v>
      </c>
      <c r="AI446" s="70">
        <f>'RESUMEN TOTAL'!AV575</f>
        <v>0</v>
      </c>
      <c r="AJ446" s="70" t="e">
        <f>'RESUMEN TOTAL'!#REF!</f>
        <v>#REF!</v>
      </c>
    </row>
    <row r="447" spans="1:36" x14ac:dyDescent="0.25">
      <c r="A447" t="str">
        <f>'RESUMEN TOTAL'!F576</f>
        <v>VILLA MONICA VIEJA</v>
      </c>
      <c r="B447" t="str">
        <f>'RESUMEN TOTAL'!G576</f>
        <v>VMOV 02 (fija 2)</v>
      </c>
      <c r="C447" t="str">
        <f>'RESUMEN TOTAL'!I576</f>
        <v>ATENAS E/ CAFFERATA Y ALEMANIA</v>
      </c>
      <c r="D447" s="30" t="str">
        <f>'RESUMEN TOTAL'!J576</f>
        <v>Fija</v>
      </c>
      <c r="E447" s="30" t="str">
        <f>'RESUMEN TOTAL'!K576</f>
        <v>GPON</v>
      </c>
      <c r="F447" s="70">
        <f>'RESUMEN TOTAL'!S576</f>
        <v>0</v>
      </c>
      <c r="G447" s="70">
        <f>'RESUMEN TOTAL'!T576</f>
        <v>0</v>
      </c>
      <c r="H447" s="70">
        <f>'RESUMEN TOTAL'!U576</f>
        <v>0</v>
      </c>
      <c r="I447" s="70" t="str">
        <f>'RESUMEN TOTAL'!V576</f>
        <v>APAGADO</v>
      </c>
      <c r="J447" s="70" t="str">
        <f>'RESUMEN TOTAL'!W576</f>
        <v>APAGADO</v>
      </c>
      <c r="K447" s="70" t="str">
        <f>'RESUMEN TOTAL'!X576</f>
        <v>APAGADO</v>
      </c>
      <c r="L447" s="70" t="str">
        <f>'RESUMEN TOTAL'!Y576</f>
        <v>APAGADO</v>
      </c>
      <c r="M447" s="70" t="str">
        <f>'RESUMEN TOTAL'!Z576</f>
        <v>APAGADO</v>
      </c>
      <c r="N447" s="70">
        <f>'RESUMEN TOTAL'!AA576</f>
        <v>0</v>
      </c>
      <c r="O447" s="70">
        <f>'RESUMEN TOTAL'!AB576</f>
        <v>0</v>
      </c>
      <c r="P447" s="70" t="str">
        <f>'RESUMEN TOTAL'!AC576</f>
        <v>APAGADO</v>
      </c>
      <c r="Q447" s="70" t="str">
        <f>'RESUMEN TOTAL'!AD576</f>
        <v>APAGADO</v>
      </c>
      <c r="R447" s="70" t="str">
        <f>'RESUMEN TOTAL'!AE576</f>
        <v>APAGADO</v>
      </c>
      <c r="S447" s="70" t="str">
        <f>'RESUMEN TOTAL'!AF576</f>
        <v>APAGADO</v>
      </c>
      <c r="T447" s="70" t="str">
        <f>'RESUMEN TOTAL'!AG576</f>
        <v>APAGADO</v>
      </c>
      <c r="U447" s="70">
        <f>'RESUMEN TOTAL'!AH576</f>
        <v>0</v>
      </c>
      <c r="V447" s="70">
        <f>'RESUMEN TOTAL'!AI576</f>
        <v>0</v>
      </c>
      <c r="W447" s="70" t="str">
        <f>'RESUMEN TOTAL'!AJ576</f>
        <v>APAGADO</v>
      </c>
      <c r="X447" s="70">
        <f>'RESUMEN TOTAL'!AK576</f>
        <v>0</v>
      </c>
      <c r="Y447" s="70">
        <f>'RESUMEN TOTAL'!AL576</f>
        <v>0</v>
      </c>
      <c r="Z447" s="70">
        <f>'RESUMEN TOTAL'!AM576</f>
        <v>0</v>
      </c>
      <c r="AA447" s="70">
        <f>'RESUMEN TOTAL'!AN576</f>
        <v>0</v>
      </c>
      <c r="AB447" s="70">
        <f>'RESUMEN TOTAL'!AO576</f>
        <v>0</v>
      </c>
      <c r="AC447" s="70">
        <f>'RESUMEN TOTAL'!AP576</f>
        <v>0</v>
      </c>
      <c r="AD447" s="70">
        <f>'RESUMEN TOTAL'!AQ576</f>
        <v>0</v>
      </c>
      <c r="AE447" s="70">
        <f>'RESUMEN TOTAL'!AR576</f>
        <v>0</v>
      </c>
      <c r="AF447" s="70">
        <f>'RESUMEN TOTAL'!AS576</f>
        <v>0</v>
      </c>
      <c r="AG447" s="70">
        <f>'RESUMEN TOTAL'!AT576</f>
        <v>0</v>
      </c>
      <c r="AH447" s="70">
        <f>'RESUMEN TOTAL'!AU576</f>
        <v>0</v>
      </c>
      <c r="AI447" s="70">
        <f>'RESUMEN TOTAL'!AV576</f>
        <v>0</v>
      </c>
      <c r="AJ447" s="70" t="e">
        <f>'RESUMEN TOTAL'!#REF!</f>
        <v>#REF!</v>
      </c>
    </row>
    <row r="448" spans="1:36" x14ac:dyDescent="0.25">
      <c r="A448" t="str">
        <f>'RESUMEN TOTAL'!F577</f>
        <v>VILLA MONICA VIEJA</v>
      </c>
      <c r="B448" t="str">
        <f>'RESUMEN TOTAL'!G577</f>
        <v>VMOV 03 (fija 1)</v>
      </c>
      <c r="C448" t="str">
        <f>'RESUMEN TOTAL'!I577</f>
        <v>ROMA E/ HOLANDA Y CAFFERATA</v>
      </c>
      <c r="D448" s="30" t="str">
        <f>'RESUMEN TOTAL'!J577</f>
        <v>Fija</v>
      </c>
      <c r="E448" s="30" t="str">
        <f>'RESUMEN TOTAL'!K577</f>
        <v>GPON</v>
      </c>
      <c r="F448" s="70">
        <f>'RESUMEN TOTAL'!S577</f>
        <v>0</v>
      </c>
      <c r="G448" s="70">
        <f>'RESUMEN TOTAL'!T577</f>
        <v>0</v>
      </c>
      <c r="H448" s="70">
        <f>'RESUMEN TOTAL'!U577</f>
        <v>0</v>
      </c>
      <c r="I448" s="70" t="str">
        <f>'RESUMEN TOTAL'!V577</f>
        <v>APAGADO</v>
      </c>
      <c r="J448" s="70" t="str">
        <f>'RESUMEN TOTAL'!W577</f>
        <v>APAGADO</v>
      </c>
      <c r="K448" s="70" t="str">
        <f>'RESUMEN TOTAL'!X577</f>
        <v>APAGADO</v>
      </c>
      <c r="L448" s="70" t="str">
        <f>'RESUMEN TOTAL'!Y577</f>
        <v>APAGADO</v>
      </c>
      <c r="M448" s="70" t="str">
        <f>'RESUMEN TOTAL'!Z577</f>
        <v>APAGADO</v>
      </c>
      <c r="N448" s="70">
        <f>'RESUMEN TOTAL'!AA577</f>
        <v>0</v>
      </c>
      <c r="O448" s="70">
        <f>'RESUMEN TOTAL'!AB577</f>
        <v>0</v>
      </c>
      <c r="P448" s="70" t="str">
        <f>'RESUMEN TOTAL'!AC577</f>
        <v>APAGADO</v>
      </c>
      <c r="Q448" s="70" t="str">
        <f>'RESUMEN TOTAL'!AD577</f>
        <v>APAGADO</v>
      </c>
      <c r="R448" s="70" t="str">
        <f>'RESUMEN TOTAL'!AE577</f>
        <v>APAGADO</v>
      </c>
      <c r="S448" s="70" t="str">
        <f>'RESUMEN TOTAL'!AF577</f>
        <v>APAGADO</v>
      </c>
      <c r="T448" s="70" t="str">
        <f>'RESUMEN TOTAL'!AG577</f>
        <v>APAGADO</v>
      </c>
      <c r="U448" s="70">
        <f>'RESUMEN TOTAL'!AH577</f>
        <v>0</v>
      </c>
      <c r="V448" s="70">
        <f>'RESUMEN TOTAL'!AI577</f>
        <v>0</v>
      </c>
      <c r="W448" s="70" t="str">
        <f>'RESUMEN TOTAL'!AJ577</f>
        <v>APAGADO</v>
      </c>
      <c r="X448" s="70">
        <f>'RESUMEN TOTAL'!AK577</f>
        <v>0</v>
      </c>
      <c r="Y448" s="70">
        <f>'RESUMEN TOTAL'!AL577</f>
        <v>0</v>
      </c>
      <c r="Z448" s="70">
        <f>'RESUMEN TOTAL'!AM577</f>
        <v>0</v>
      </c>
      <c r="AA448" s="70">
        <f>'RESUMEN TOTAL'!AN577</f>
        <v>0</v>
      </c>
      <c r="AB448" s="70">
        <f>'RESUMEN TOTAL'!AO577</f>
        <v>0</v>
      </c>
      <c r="AC448" s="70">
        <f>'RESUMEN TOTAL'!AP577</f>
        <v>0</v>
      </c>
      <c r="AD448" s="70">
        <f>'RESUMEN TOTAL'!AQ577</f>
        <v>0</v>
      </c>
      <c r="AE448" s="70" t="str">
        <f>'RESUMEN TOTAL'!AR577</f>
        <v>APAGADO</v>
      </c>
      <c r="AF448" s="70" t="str">
        <f>'RESUMEN TOTAL'!AS577</f>
        <v>APAGADO</v>
      </c>
      <c r="AG448" s="70">
        <f>'RESUMEN TOTAL'!AT577</f>
        <v>0</v>
      </c>
      <c r="AH448" s="70">
        <f>'RESUMEN TOTAL'!AU577</f>
        <v>0</v>
      </c>
      <c r="AI448" s="70">
        <f>'RESUMEN TOTAL'!AV577</f>
        <v>0</v>
      </c>
      <c r="AJ448" s="70" t="e">
        <f>'RESUMEN TOTAL'!#REF!</f>
        <v>#REF!</v>
      </c>
    </row>
    <row r="449" spans="1:36" x14ac:dyDescent="0.25">
      <c r="A449" t="str">
        <f>'RESUMEN TOTAL'!F578</f>
        <v>VILLA MONICA VIEJA</v>
      </c>
      <c r="B449" t="str">
        <f>'RESUMEN TOTAL'!G578</f>
        <v>VMOV01 (fija 1)</v>
      </c>
      <c r="C449" t="str">
        <f>'RESUMEN TOTAL'!I578</f>
        <v>ATENAS E/ CAFFERATA Y ALEMANIA</v>
      </c>
      <c r="D449" s="30" t="str">
        <f>'RESUMEN TOTAL'!J578</f>
        <v>Fija</v>
      </c>
      <c r="E449" s="30" t="str">
        <f>'RESUMEN TOTAL'!K578</f>
        <v>GPON</v>
      </c>
      <c r="F449" s="70">
        <f>'RESUMEN TOTAL'!S578</f>
        <v>0</v>
      </c>
      <c r="G449" s="70">
        <f>'RESUMEN TOTAL'!T578</f>
        <v>0</v>
      </c>
      <c r="H449" s="70">
        <f>'RESUMEN TOTAL'!U578</f>
        <v>0</v>
      </c>
      <c r="I449" s="70" t="str">
        <f>'RESUMEN TOTAL'!V578</f>
        <v>APAGADO</v>
      </c>
      <c r="J449" s="70" t="str">
        <f>'RESUMEN TOTAL'!W578</f>
        <v>APAGADO</v>
      </c>
      <c r="K449" s="70" t="str">
        <f>'RESUMEN TOTAL'!X578</f>
        <v>APAGADO</v>
      </c>
      <c r="L449" s="70" t="str">
        <f>'RESUMEN TOTAL'!Y578</f>
        <v>APAGADO</v>
      </c>
      <c r="M449" s="70" t="str">
        <f>'RESUMEN TOTAL'!Z578</f>
        <v>APAGADO</v>
      </c>
      <c r="N449" s="70">
        <f>'RESUMEN TOTAL'!AA578</f>
        <v>0</v>
      </c>
      <c r="O449" s="70">
        <f>'RESUMEN TOTAL'!AB578</f>
        <v>0</v>
      </c>
      <c r="P449" s="70" t="str">
        <f>'RESUMEN TOTAL'!AC578</f>
        <v>APAGADO</v>
      </c>
      <c r="Q449" s="70" t="str">
        <f>'RESUMEN TOTAL'!AD578</f>
        <v>APAGADO</v>
      </c>
      <c r="R449" s="70" t="str">
        <f>'RESUMEN TOTAL'!AE578</f>
        <v>APAGADO</v>
      </c>
      <c r="S449" s="70" t="str">
        <f>'RESUMEN TOTAL'!AF578</f>
        <v>APAGADO</v>
      </c>
      <c r="T449" s="70" t="str">
        <f>'RESUMEN TOTAL'!AG578</f>
        <v>APAGADO</v>
      </c>
      <c r="U449" s="70">
        <f>'RESUMEN TOTAL'!AH578</f>
        <v>0</v>
      </c>
      <c r="V449" s="70">
        <f>'RESUMEN TOTAL'!AI578</f>
        <v>0</v>
      </c>
      <c r="W449" s="70" t="str">
        <f>'RESUMEN TOTAL'!AJ578</f>
        <v>APAGADO</v>
      </c>
      <c r="X449" s="70">
        <f>'RESUMEN TOTAL'!AK578</f>
        <v>0</v>
      </c>
      <c r="Y449" s="70">
        <f>'RESUMEN TOTAL'!AL578</f>
        <v>0</v>
      </c>
      <c r="Z449" s="70">
        <f>'RESUMEN TOTAL'!AM578</f>
        <v>0</v>
      </c>
      <c r="AA449" s="70">
        <f>'RESUMEN TOTAL'!AN578</f>
        <v>0</v>
      </c>
      <c r="AB449" s="70">
        <f>'RESUMEN TOTAL'!AO578</f>
        <v>0</v>
      </c>
      <c r="AC449" s="70">
        <f>'RESUMEN TOTAL'!AP578</f>
        <v>0</v>
      </c>
      <c r="AD449" s="70">
        <f>'RESUMEN TOTAL'!AQ578</f>
        <v>0</v>
      </c>
      <c r="AE449" s="70">
        <f>'RESUMEN TOTAL'!AR578</f>
        <v>0</v>
      </c>
      <c r="AF449" s="70">
        <f>'RESUMEN TOTAL'!AS578</f>
        <v>0</v>
      </c>
      <c r="AG449" s="70">
        <f>'RESUMEN TOTAL'!AT578</f>
        <v>0</v>
      </c>
      <c r="AH449" s="70">
        <f>'RESUMEN TOTAL'!AU578</f>
        <v>0</v>
      </c>
      <c r="AI449" s="70">
        <f>'RESUMEN TOTAL'!AV578</f>
        <v>0</v>
      </c>
      <c r="AJ449" s="70" t="e">
        <f>'RESUMEN TOTAL'!#REF!</f>
        <v>#REF!</v>
      </c>
    </row>
    <row r="450" spans="1:36" x14ac:dyDescent="0.25">
      <c r="A450" t="str">
        <f>'RESUMEN TOTAL'!F579</f>
        <v>VILLA MONICA VIEJA</v>
      </c>
      <c r="B450" t="str">
        <f>'RESUMEN TOTAL'!G579</f>
        <v>VMOV04 (fija 2)</v>
      </c>
      <c r="C450" t="str">
        <f>'RESUMEN TOTAL'!I579</f>
        <v>ROMA E/ HOLANDA Y CAFFERATA</v>
      </c>
      <c r="D450" s="30" t="str">
        <f>'RESUMEN TOTAL'!J579</f>
        <v>Fija</v>
      </c>
      <c r="E450" s="30" t="str">
        <f>'RESUMEN TOTAL'!K579</f>
        <v>GPON</v>
      </c>
      <c r="F450" s="70">
        <f>'RESUMEN TOTAL'!S579</f>
        <v>0</v>
      </c>
      <c r="G450" s="70">
        <f>'RESUMEN TOTAL'!T579</f>
        <v>0</v>
      </c>
      <c r="H450" s="70">
        <f>'RESUMEN TOTAL'!U579</f>
        <v>0</v>
      </c>
      <c r="I450" s="70" t="str">
        <f>'RESUMEN TOTAL'!V579</f>
        <v>APAGADO</v>
      </c>
      <c r="J450" s="70" t="str">
        <f>'RESUMEN TOTAL'!W579</f>
        <v>APAGADO</v>
      </c>
      <c r="K450" s="70" t="str">
        <f>'RESUMEN TOTAL'!X579</f>
        <v>APAGADO</v>
      </c>
      <c r="L450" s="70" t="str">
        <f>'RESUMEN TOTAL'!Y579</f>
        <v>APAGADO</v>
      </c>
      <c r="M450" s="70" t="str">
        <f>'RESUMEN TOTAL'!Z579</f>
        <v>APAGADO</v>
      </c>
      <c r="N450" s="70">
        <f>'RESUMEN TOTAL'!AA579</f>
        <v>0</v>
      </c>
      <c r="O450" s="70">
        <f>'RESUMEN TOTAL'!AB579</f>
        <v>0</v>
      </c>
      <c r="P450" s="70" t="str">
        <f>'RESUMEN TOTAL'!AC579</f>
        <v>APAGADO</v>
      </c>
      <c r="Q450" s="70" t="str">
        <f>'RESUMEN TOTAL'!AD579</f>
        <v>APAGADO</v>
      </c>
      <c r="R450" s="70" t="str">
        <f>'RESUMEN TOTAL'!AE579</f>
        <v>APAGADO</v>
      </c>
      <c r="S450" s="70" t="str">
        <f>'RESUMEN TOTAL'!AF579</f>
        <v>APAGADO</v>
      </c>
      <c r="T450" s="70" t="str">
        <f>'RESUMEN TOTAL'!AG579</f>
        <v>APAGADO</v>
      </c>
      <c r="U450" s="70">
        <f>'RESUMEN TOTAL'!AH579</f>
        <v>0</v>
      </c>
      <c r="V450" s="70">
        <f>'RESUMEN TOTAL'!AI579</f>
        <v>0</v>
      </c>
      <c r="W450" s="70" t="str">
        <f>'RESUMEN TOTAL'!AJ579</f>
        <v>APAGADO</v>
      </c>
      <c r="X450" s="70">
        <f>'RESUMEN TOTAL'!AK579</f>
        <v>0</v>
      </c>
      <c r="Y450" s="70">
        <f>'RESUMEN TOTAL'!AL579</f>
        <v>0</v>
      </c>
      <c r="Z450" s="70">
        <f>'RESUMEN TOTAL'!AM579</f>
        <v>0</v>
      </c>
      <c r="AA450" s="70">
        <f>'RESUMEN TOTAL'!AN579</f>
        <v>0</v>
      </c>
      <c r="AB450" s="70">
        <f>'RESUMEN TOTAL'!AO579</f>
        <v>0</v>
      </c>
      <c r="AC450" s="70">
        <f>'RESUMEN TOTAL'!AP579</f>
        <v>0</v>
      </c>
      <c r="AD450" s="70">
        <f>'RESUMEN TOTAL'!AQ579</f>
        <v>0</v>
      </c>
      <c r="AE450" s="70" t="str">
        <f>'RESUMEN TOTAL'!AR579</f>
        <v>APAGADO</v>
      </c>
      <c r="AF450" s="70" t="str">
        <f>'RESUMEN TOTAL'!AS579</f>
        <v>APAGADO</v>
      </c>
      <c r="AG450" s="70">
        <f>'RESUMEN TOTAL'!AT579</f>
        <v>0</v>
      </c>
      <c r="AH450" s="70">
        <f>'RESUMEN TOTAL'!AU579</f>
        <v>0</v>
      </c>
      <c r="AI450" s="70">
        <f>'RESUMEN TOTAL'!AV579</f>
        <v>0</v>
      </c>
      <c r="AJ450" s="70" t="e">
        <f>'RESUMEN TOTAL'!#REF!</f>
        <v>#REF!</v>
      </c>
    </row>
    <row r="451" spans="1:36" x14ac:dyDescent="0.25">
      <c r="A451" t="str">
        <f>'RESUMEN TOTAL'!F583</f>
        <v>VILLA SAN LUIS</v>
      </c>
      <c r="B451" t="str">
        <f>'RESUMEN TOTAL'!G583</f>
        <v>VSL 03</v>
      </c>
      <c r="C451" t="str">
        <f>'RESUMEN TOTAL'!I583</f>
        <v>1314 y 1371</v>
      </c>
      <c r="D451" s="30" t="str">
        <f>'RESUMEN TOTAL'!J583</f>
        <v>DOMO</v>
      </c>
      <c r="E451" s="30" t="str">
        <f>'RESUMEN TOTAL'!K583</f>
        <v>GPON</v>
      </c>
      <c r="F451" s="70">
        <f>'RESUMEN TOTAL'!S583</f>
        <v>0</v>
      </c>
      <c r="G451" s="70">
        <f>'RESUMEN TOTAL'!T583</f>
        <v>0</v>
      </c>
      <c r="H451" s="70">
        <f>'RESUMEN TOTAL'!U583</f>
        <v>0</v>
      </c>
      <c r="I451" s="70">
        <f>'RESUMEN TOTAL'!V583</f>
        <v>0</v>
      </c>
      <c r="J451" s="70">
        <f>'RESUMEN TOTAL'!W583</f>
        <v>0</v>
      </c>
      <c r="K451" s="70">
        <f>'RESUMEN TOTAL'!X583</f>
        <v>0</v>
      </c>
      <c r="L451" s="70">
        <f>'RESUMEN TOTAL'!Y583</f>
        <v>0</v>
      </c>
      <c r="M451" s="70">
        <f>'RESUMEN TOTAL'!Z583</f>
        <v>0</v>
      </c>
      <c r="N451" s="70">
        <f>'RESUMEN TOTAL'!AA583</f>
        <v>0</v>
      </c>
      <c r="O451" s="70">
        <f>'RESUMEN TOTAL'!AB583</f>
        <v>0</v>
      </c>
      <c r="P451" s="70">
        <f>'RESUMEN TOTAL'!AC583</f>
        <v>0</v>
      </c>
      <c r="Q451" s="70">
        <f>'RESUMEN TOTAL'!AD583</f>
        <v>0</v>
      </c>
      <c r="R451" s="70">
        <f>'RESUMEN TOTAL'!AE583</f>
        <v>0</v>
      </c>
      <c r="S451" s="70">
        <f>'RESUMEN TOTAL'!AF583</f>
        <v>0</v>
      </c>
      <c r="T451" s="70">
        <f>'RESUMEN TOTAL'!AG583</f>
        <v>0</v>
      </c>
      <c r="U451" s="70">
        <f>'RESUMEN TOTAL'!AH583</f>
        <v>0</v>
      </c>
      <c r="V451" s="70">
        <f>'RESUMEN TOTAL'!AI583</f>
        <v>0</v>
      </c>
      <c r="W451" s="70">
        <f>'RESUMEN TOTAL'!AJ583</f>
        <v>0</v>
      </c>
      <c r="X451" s="70">
        <f>'RESUMEN TOTAL'!AK583</f>
        <v>0</v>
      </c>
      <c r="Y451" s="70">
        <f>'RESUMEN TOTAL'!AL583</f>
        <v>0</v>
      </c>
      <c r="Z451" s="70">
        <f>'RESUMEN TOTAL'!AM583</f>
        <v>0</v>
      </c>
      <c r="AA451" s="70">
        <f>'RESUMEN TOTAL'!AN583</f>
        <v>0</v>
      </c>
      <c r="AB451" s="70">
        <f>'RESUMEN TOTAL'!AO583</f>
        <v>0</v>
      </c>
      <c r="AC451" s="70">
        <f>'RESUMEN TOTAL'!AP583</f>
        <v>0</v>
      </c>
      <c r="AD451" s="70">
        <f>'RESUMEN TOTAL'!AQ583</f>
        <v>0</v>
      </c>
      <c r="AE451" s="70">
        <f>'RESUMEN TOTAL'!AR583</f>
        <v>0</v>
      </c>
      <c r="AF451" s="70">
        <f>'RESUMEN TOTAL'!AS583</f>
        <v>0</v>
      </c>
      <c r="AG451" s="70">
        <f>'RESUMEN TOTAL'!AT583</f>
        <v>0</v>
      </c>
      <c r="AH451" s="70">
        <f>'RESUMEN TOTAL'!AU583</f>
        <v>0</v>
      </c>
      <c r="AI451" s="70">
        <f>'RESUMEN TOTAL'!AV583</f>
        <v>0</v>
      </c>
      <c r="AJ451" s="70" t="e">
        <f>'RESUMEN TOTAL'!#REF!</f>
        <v>#REF!</v>
      </c>
    </row>
    <row r="452" spans="1:36" x14ac:dyDescent="0.25">
      <c r="A452" t="str">
        <f>'RESUMEN TOTAL'!F584</f>
        <v>VILLA SUSANA</v>
      </c>
      <c r="B452" t="str">
        <f>'RESUMEN TOTAL'!G584</f>
        <v>VSU 02</v>
      </c>
      <c r="C452" t="str">
        <f>'RESUMEN TOTAL'!I584</f>
        <v>CABELLO Y SANTA FE</v>
      </c>
      <c r="D452" s="30" t="str">
        <f>'RESUMEN TOTAL'!J584</f>
        <v>DOMO</v>
      </c>
      <c r="E452" s="30" t="str">
        <f>'RESUMEN TOTAL'!K584</f>
        <v>Radio</v>
      </c>
      <c r="F452" s="70">
        <f>'RESUMEN TOTAL'!S584</f>
        <v>0</v>
      </c>
      <c r="G452" s="70">
        <f>'RESUMEN TOTAL'!T584</f>
        <v>0</v>
      </c>
      <c r="H452" s="70">
        <f>'RESUMEN TOTAL'!U584</f>
        <v>0</v>
      </c>
      <c r="I452" s="70">
        <f>'RESUMEN TOTAL'!V584</f>
        <v>0</v>
      </c>
      <c r="J452" s="70">
        <f>'RESUMEN TOTAL'!W584</f>
        <v>0</v>
      </c>
      <c r="K452" s="70">
        <f>'RESUMEN TOTAL'!X584</f>
        <v>0</v>
      </c>
      <c r="L452" s="70">
        <f>'RESUMEN TOTAL'!Y584</f>
        <v>0</v>
      </c>
      <c r="M452" s="70">
        <f>'RESUMEN TOTAL'!Z584</f>
        <v>0</v>
      </c>
      <c r="N452" s="70">
        <f>'RESUMEN TOTAL'!AA584</f>
        <v>0</v>
      </c>
      <c r="O452" s="70">
        <f>'RESUMEN TOTAL'!AB584</f>
        <v>0</v>
      </c>
      <c r="P452" s="70">
        <f>'RESUMEN TOTAL'!AC584</f>
        <v>0</v>
      </c>
      <c r="Q452" s="70">
        <f>'RESUMEN TOTAL'!AD584</f>
        <v>0</v>
      </c>
      <c r="R452" s="70">
        <f>'RESUMEN TOTAL'!AE584</f>
        <v>0</v>
      </c>
      <c r="S452" s="70">
        <f>'RESUMEN TOTAL'!AF584</f>
        <v>0</v>
      </c>
      <c r="T452" s="70">
        <f>'RESUMEN TOTAL'!AG584</f>
        <v>0</v>
      </c>
      <c r="U452" s="70">
        <f>'RESUMEN TOTAL'!AH584</f>
        <v>0</v>
      </c>
      <c r="V452" s="70">
        <f>'RESUMEN TOTAL'!AI584</f>
        <v>0</v>
      </c>
      <c r="W452" s="70">
        <f>'RESUMEN TOTAL'!AJ584</f>
        <v>0</v>
      </c>
      <c r="X452" s="70">
        <f>'RESUMEN TOTAL'!AK584</f>
        <v>0</v>
      </c>
      <c r="Y452" s="70">
        <f>'RESUMEN TOTAL'!AL584</f>
        <v>0</v>
      </c>
      <c r="Z452" s="70">
        <f>'RESUMEN TOTAL'!AM584</f>
        <v>0</v>
      </c>
      <c r="AA452" s="70">
        <f>'RESUMEN TOTAL'!AN584</f>
        <v>0</v>
      </c>
      <c r="AB452" s="70">
        <f>'RESUMEN TOTAL'!AO584</f>
        <v>0</v>
      </c>
      <c r="AC452" s="70">
        <f>'RESUMEN TOTAL'!AP584</f>
        <v>0</v>
      </c>
      <c r="AD452" s="70">
        <f>'RESUMEN TOTAL'!AQ584</f>
        <v>0</v>
      </c>
      <c r="AE452" s="70">
        <f>'RESUMEN TOTAL'!AR584</f>
        <v>0</v>
      </c>
      <c r="AF452" s="70">
        <f>'RESUMEN TOTAL'!AS584</f>
        <v>0</v>
      </c>
      <c r="AG452" s="70">
        <f>'RESUMEN TOTAL'!AT584</f>
        <v>0</v>
      </c>
      <c r="AH452" s="70">
        <f>'RESUMEN TOTAL'!AU584</f>
        <v>0</v>
      </c>
      <c r="AI452" s="70">
        <f>'RESUMEN TOTAL'!AV584</f>
        <v>0</v>
      </c>
      <c r="AJ452" s="70" t="e">
        <f>'RESUMEN TOTAL'!#REF!</f>
        <v>#REF!</v>
      </c>
    </row>
    <row r="453" spans="1:36" x14ac:dyDescent="0.25">
      <c r="A453" t="str">
        <f>'RESUMEN TOTAL'!F585</f>
        <v>VILLA SUSANA</v>
      </c>
      <c r="B453" t="str">
        <f>'RESUMEN TOTAL'!G585</f>
        <v>VSU 03</v>
      </c>
      <c r="C453" t="str">
        <f>'RESUMEN TOTAL'!I585</f>
        <v>EE.UU Y SERRANO</v>
      </c>
      <c r="D453" s="30" t="str">
        <f>'RESUMEN TOTAL'!J585</f>
        <v>DOMO</v>
      </c>
      <c r="E453" s="30" t="str">
        <f>'RESUMEN TOTAL'!K585</f>
        <v>Radio</v>
      </c>
      <c r="F453" s="70">
        <f>'RESUMEN TOTAL'!S585</f>
        <v>0</v>
      </c>
      <c r="G453" s="70">
        <f>'RESUMEN TOTAL'!T585</f>
        <v>0</v>
      </c>
      <c r="H453" s="70">
        <f>'RESUMEN TOTAL'!U585</f>
        <v>0</v>
      </c>
      <c r="I453" s="70">
        <f>'RESUMEN TOTAL'!V585</f>
        <v>0</v>
      </c>
      <c r="J453" s="70">
        <f>'RESUMEN TOTAL'!W585</f>
        <v>0</v>
      </c>
      <c r="K453" s="70">
        <f>'RESUMEN TOTAL'!X585</f>
        <v>0</v>
      </c>
      <c r="L453" s="70">
        <f>'RESUMEN TOTAL'!Y585</f>
        <v>0</v>
      </c>
      <c r="M453" s="70">
        <f>'RESUMEN TOTAL'!Z585</f>
        <v>0</v>
      </c>
      <c r="N453" s="70">
        <f>'RESUMEN TOTAL'!AA585</f>
        <v>0</v>
      </c>
      <c r="O453" s="70">
        <f>'RESUMEN TOTAL'!AB585</f>
        <v>0</v>
      </c>
      <c r="P453" s="70">
        <f>'RESUMEN TOTAL'!AC585</f>
        <v>0</v>
      </c>
      <c r="Q453" s="70">
        <f>'RESUMEN TOTAL'!AD585</f>
        <v>0</v>
      </c>
      <c r="R453" s="70">
        <f>'RESUMEN TOTAL'!AE585</f>
        <v>0</v>
      </c>
      <c r="S453" s="70">
        <f>'RESUMEN TOTAL'!AF585</f>
        <v>0</v>
      </c>
      <c r="T453" s="70">
        <f>'RESUMEN TOTAL'!AG585</f>
        <v>0</v>
      </c>
      <c r="U453" s="70">
        <f>'RESUMEN TOTAL'!AH585</f>
        <v>0</v>
      </c>
      <c r="V453" s="70">
        <f>'RESUMEN TOTAL'!AI585</f>
        <v>0</v>
      </c>
      <c r="W453" s="70">
        <f>'RESUMEN TOTAL'!AJ585</f>
        <v>0</v>
      </c>
      <c r="X453" s="70">
        <f>'RESUMEN TOTAL'!AK585</f>
        <v>0</v>
      </c>
      <c r="Y453" s="70">
        <f>'RESUMEN TOTAL'!AL585</f>
        <v>0</v>
      </c>
      <c r="Z453" s="70">
        <f>'RESUMEN TOTAL'!AM585</f>
        <v>0</v>
      </c>
      <c r="AA453" s="70">
        <f>'RESUMEN TOTAL'!AN585</f>
        <v>0</v>
      </c>
      <c r="AB453" s="70">
        <f>'RESUMEN TOTAL'!AO585</f>
        <v>0</v>
      </c>
      <c r="AC453" s="70">
        <f>'RESUMEN TOTAL'!AP585</f>
        <v>0</v>
      </c>
      <c r="AD453" s="70">
        <f>'RESUMEN TOTAL'!AQ585</f>
        <v>0</v>
      </c>
      <c r="AE453" s="70">
        <f>'RESUMEN TOTAL'!AR585</f>
        <v>0</v>
      </c>
      <c r="AF453" s="70">
        <f>'RESUMEN TOTAL'!AS585</f>
        <v>0</v>
      </c>
      <c r="AG453" s="70">
        <f>'RESUMEN TOTAL'!AT585</f>
        <v>0</v>
      </c>
      <c r="AH453" s="70">
        <f>'RESUMEN TOTAL'!AU585</f>
        <v>0</v>
      </c>
      <c r="AI453" s="70">
        <f>'RESUMEN TOTAL'!AV585</f>
        <v>0</v>
      </c>
      <c r="AJ453" s="70" t="e">
        <f>'RESUMEN TOTAL'!#REF!</f>
        <v>#REF!</v>
      </c>
    </row>
    <row r="454" spans="1:36" x14ac:dyDescent="0.25">
      <c r="A454" t="str">
        <f>'RESUMEN TOTAL'!F586</f>
        <v>VILLA SUSANA</v>
      </c>
      <c r="B454" t="str">
        <f>'RESUMEN TOTAL'!G586</f>
        <v>VSU 04</v>
      </c>
      <c r="C454" t="str">
        <f>'RESUMEN TOTAL'!I586</f>
        <v>Aniceto Diaz y Cordoba</v>
      </c>
      <c r="D454" s="30" t="str">
        <f>'RESUMEN TOTAL'!J586</f>
        <v>fija</v>
      </c>
      <c r="E454" s="30" t="str">
        <f>'RESUMEN TOTAL'!K586</f>
        <v>Fibra Optica</v>
      </c>
      <c r="F454" s="70">
        <f>'RESUMEN TOTAL'!S586</f>
        <v>0</v>
      </c>
      <c r="G454" s="70">
        <f>'RESUMEN TOTAL'!T586</f>
        <v>0</v>
      </c>
      <c r="H454" s="70">
        <f>'RESUMEN TOTAL'!U586</f>
        <v>0</v>
      </c>
      <c r="I454" s="70">
        <f>'RESUMEN TOTAL'!V586</f>
        <v>0</v>
      </c>
      <c r="J454" s="70">
        <f>'RESUMEN TOTAL'!W586</f>
        <v>0</v>
      </c>
      <c r="K454" s="70">
        <f>'RESUMEN TOTAL'!X586</f>
        <v>0</v>
      </c>
      <c r="L454" s="70">
        <f>'RESUMEN TOTAL'!Y586</f>
        <v>0</v>
      </c>
      <c r="M454" s="70">
        <f>'RESUMEN TOTAL'!Z586</f>
        <v>0</v>
      </c>
      <c r="N454" s="70">
        <f>'RESUMEN TOTAL'!AA586</f>
        <v>0</v>
      </c>
      <c r="O454" s="70">
        <f>'RESUMEN TOTAL'!AB586</f>
        <v>0</v>
      </c>
      <c r="P454" s="70">
        <f>'RESUMEN TOTAL'!AC586</f>
        <v>0</v>
      </c>
      <c r="Q454" s="70">
        <f>'RESUMEN TOTAL'!AD586</f>
        <v>0</v>
      </c>
      <c r="R454" s="70">
        <f>'RESUMEN TOTAL'!AE586</f>
        <v>0</v>
      </c>
      <c r="S454" s="70">
        <f>'RESUMEN TOTAL'!AF586</f>
        <v>0</v>
      </c>
      <c r="T454" s="70">
        <f>'RESUMEN TOTAL'!AG586</f>
        <v>0</v>
      </c>
      <c r="U454" s="70">
        <f>'RESUMEN TOTAL'!AH586</f>
        <v>0</v>
      </c>
      <c r="V454" s="70">
        <f>'RESUMEN TOTAL'!AI586</f>
        <v>0</v>
      </c>
      <c r="W454" s="70">
        <f>'RESUMEN TOTAL'!AJ586</f>
        <v>0</v>
      </c>
      <c r="X454" s="70">
        <f>'RESUMEN TOTAL'!AK586</f>
        <v>0</v>
      </c>
      <c r="Y454" s="70">
        <f>'RESUMEN TOTAL'!AL586</f>
        <v>0</v>
      </c>
      <c r="Z454" s="70">
        <f>'RESUMEN TOTAL'!AM586</f>
        <v>0</v>
      </c>
      <c r="AA454" s="70">
        <f>'RESUMEN TOTAL'!AN586</f>
        <v>0</v>
      </c>
      <c r="AB454" s="70">
        <f>'RESUMEN TOTAL'!AO586</f>
        <v>0</v>
      </c>
      <c r="AC454" s="70">
        <f>'RESUMEN TOTAL'!AP586</f>
        <v>0</v>
      </c>
      <c r="AD454" s="70">
        <f>'RESUMEN TOTAL'!AQ586</f>
        <v>0</v>
      </c>
      <c r="AE454" s="70">
        <f>'RESUMEN TOTAL'!AR586</f>
        <v>0</v>
      </c>
      <c r="AF454" s="70">
        <f>'RESUMEN TOTAL'!AS586</f>
        <v>0</v>
      </c>
      <c r="AG454" s="70">
        <f>'RESUMEN TOTAL'!AT586</f>
        <v>0</v>
      </c>
      <c r="AH454" s="70">
        <f>'RESUMEN TOTAL'!AU586</f>
        <v>0</v>
      </c>
      <c r="AI454" s="70">
        <f>'RESUMEN TOTAL'!AV586</f>
        <v>0</v>
      </c>
      <c r="AJ454" s="70" t="e">
        <f>'RESUMEN TOTAL'!#REF!</f>
        <v>#REF!</v>
      </c>
    </row>
    <row r="455" spans="1:36" x14ac:dyDescent="0.25">
      <c r="A455" t="str">
        <f>'RESUMEN TOTAL'!F587</f>
        <v>VILLA SUSANA</v>
      </c>
      <c r="B455" t="str">
        <f>'RESUMEN TOTAL'!G587</f>
        <v>VSU 05</v>
      </c>
      <c r="C455" t="str">
        <f>'RESUMEN TOTAL'!I587</f>
        <v>Aniceto Diaz y Cordoba</v>
      </c>
      <c r="D455" s="30" t="str">
        <f>'RESUMEN TOTAL'!J587</f>
        <v>fija</v>
      </c>
      <c r="E455" s="30" t="str">
        <f>'RESUMEN TOTAL'!K587</f>
        <v>Fibra Optica</v>
      </c>
      <c r="F455" s="70">
        <f>'RESUMEN TOTAL'!S587</f>
        <v>0</v>
      </c>
      <c r="G455" s="70">
        <f>'RESUMEN TOTAL'!T587</f>
        <v>0</v>
      </c>
      <c r="H455" s="70">
        <f>'RESUMEN TOTAL'!U587</f>
        <v>0</v>
      </c>
      <c r="I455" s="70">
        <f>'RESUMEN TOTAL'!V587</f>
        <v>0</v>
      </c>
      <c r="J455" s="70">
        <f>'RESUMEN TOTAL'!W587</f>
        <v>0</v>
      </c>
      <c r="K455" s="70">
        <f>'RESUMEN TOTAL'!X587</f>
        <v>0</v>
      </c>
      <c r="L455" s="70">
        <f>'RESUMEN TOTAL'!Y587</f>
        <v>0</v>
      </c>
      <c r="M455" s="70">
        <f>'RESUMEN TOTAL'!Z587</f>
        <v>0</v>
      </c>
      <c r="N455" s="70">
        <f>'RESUMEN TOTAL'!AA587</f>
        <v>0</v>
      </c>
      <c r="O455" s="70">
        <f>'RESUMEN TOTAL'!AB587</f>
        <v>0</v>
      </c>
      <c r="P455" s="70">
        <f>'RESUMEN TOTAL'!AC587</f>
        <v>0</v>
      </c>
      <c r="Q455" s="70">
        <f>'RESUMEN TOTAL'!AD587</f>
        <v>0</v>
      </c>
      <c r="R455" s="70">
        <f>'RESUMEN TOTAL'!AE587</f>
        <v>0</v>
      </c>
      <c r="S455" s="70">
        <f>'RESUMEN TOTAL'!AF587</f>
        <v>0</v>
      </c>
      <c r="T455" s="70">
        <f>'RESUMEN TOTAL'!AG587</f>
        <v>0</v>
      </c>
      <c r="U455" s="70">
        <f>'RESUMEN TOTAL'!AH587</f>
        <v>0</v>
      </c>
      <c r="V455" s="70">
        <f>'RESUMEN TOTAL'!AI587</f>
        <v>0</v>
      </c>
      <c r="W455" s="70">
        <f>'RESUMEN TOTAL'!AJ587</f>
        <v>0</v>
      </c>
      <c r="X455" s="70">
        <f>'RESUMEN TOTAL'!AK587</f>
        <v>0</v>
      </c>
      <c r="Y455" s="70">
        <f>'RESUMEN TOTAL'!AL587</f>
        <v>0</v>
      </c>
      <c r="Z455" s="70">
        <f>'RESUMEN TOTAL'!AM587</f>
        <v>0</v>
      </c>
      <c r="AA455" s="70">
        <f>'RESUMEN TOTAL'!AN587</f>
        <v>0</v>
      </c>
      <c r="AB455" s="70">
        <f>'RESUMEN TOTAL'!AO587</f>
        <v>0</v>
      </c>
      <c r="AC455" s="70">
        <f>'RESUMEN TOTAL'!AP587</f>
        <v>0</v>
      </c>
      <c r="AD455" s="70">
        <f>'RESUMEN TOTAL'!AQ587</f>
        <v>0</v>
      </c>
      <c r="AE455" s="70">
        <f>'RESUMEN TOTAL'!AR587</f>
        <v>0</v>
      </c>
      <c r="AF455" s="70">
        <f>'RESUMEN TOTAL'!AS587</f>
        <v>0</v>
      </c>
      <c r="AG455" s="70">
        <f>'RESUMEN TOTAL'!AT587</f>
        <v>0</v>
      </c>
      <c r="AH455" s="70">
        <f>'RESUMEN TOTAL'!AU587</f>
        <v>0</v>
      </c>
      <c r="AI455" s="70">
        <f>'RESUMEN TOTAL'!AV587</f>
        <v>0</v>
      </c>
      <c r="AJ455" s="70" t="e">
        <f>'RESUMEN TOTAL'!#REF!</f>
        <v>#REF!</v>
      </c>
    </row>
    <row r="456" spans="1:36" x14ac:dyDescent="0.25">
      <c r="A456" t="str">
        <f>'RESUMEN TOTAL'!F588</f>
        <v>VILLA SUSANA</v>
      </c>
      <c r="B456" t="str">
        <f>'RESUMEN TOTAL'!G588</f>
        <v>VSU 06</v>
      </c>
      <c r="C456" t="str">
        <f>'RESUMEN TOTAL'!I588</f>
        <v>EE.UU Y BROWN</v>
      </c>
      <c r="D456" s="30" t="str">
        <f>'RESUMEN TOTAL'!J588</f>
        <v>DOMO</v>
      </c>
      <c r="E456" s="30" t="str">
        <f>'RESUMEN TOTAL'!K588</f>
        <v>Fibra Optica</v>
      </c>
      <c r="F456" s="70">
        <f>'RESUMEN TOTAL'!S588</f>
        <v>0</v>
      </c>
      <c r="G456" s="70">
        <f>'RESUMEN TOTAL'!T588</f>
        <v>0</v>
      </c>
      <c r="H456" s="70">
        <f>'RESUMEN TOTAL'!U588</f>
        <v>0</v>
      </c>
      <c r="I456" s="70">
        <f>'RESUMEN TOTAL'!V588</f>
        <v>0</v>
      </c>
      <c r="J456" s="70">
        <f>'RESUMEN TOTAL'!W588</f>
        <v>0</v>
      </c>
      <c r="K456" s="70">
        <f>'RESUMEN TOTAL'!X588</f>
        <v>0</v>
      </c>
      <c r="L456" s="70" t="str">
        <f>'RESUMEN TOTAL'!Y588</f>
        <v>APAGADO</v>
      </c>
      <c r="M456" s="70" t="str">
        <f>'RESUMEN TOTAL'!Z588</f>
        <v>APAGADO</v>
      </c>
      <c r="N456" s="70">
        <f>'RESUMEN TOTAL'!AA588</f>
        <v>0</v>
      </c>
      <c r="O456" s="70">
        <f>'RESUMEN TOTAL'!AB588</f>
        <v>0</v>
      </c>
      <c r="P456" s="70" t="str">
        <f>'RESUMEN TOTAL'!AC588</f>
        <v>APAGADO</v>
      </c>
      <c r="Q456" s="70" t="str">
        <f>'RESUMEN TOTAL'!AD588</f>
        <v>APAGADO</v>
      </c>
      <c r="R456" s="70" t="str">
        <f>'RESUMEN TOTAL'!AE588</f>
        <v>APAGADO</v>
      </c>
      <c r="S456" s="70" t="str">
        <f>'RESUMEN TOTAL'!AF588</f>
        <v>APAGADO</v>
      </c>
      <c r="T456" s="70" t="str">
        <f>'RESUMEN TOTAL'!AG588</f>
        <v>APAGADO</v>
      </c>
      <c r="U456" s="70">
        <f>'RESUMEN TOTAL'!AH588</f>
        <v>0</v>
      </c>
      <c r="V456" s="70">
        <f>'RESUMEN TOTAL'!AI588</f>
        <v>0</v>
      </c>
      <c r="W456" s="70" t="str">
        <f>'RESUMEN TOTAL'!AJ588</f>
        <v>APAGADO</v>
      </c>
      <c r="X456" s="70" t="str">
        <f>'RESUMEN TOTAL'!AK588</f>
        <v>APAGADO</v>
      </c>
      <c r="Y456" s="70" t="str">
        <f>'RESUMEN TOTAL'!AL588</f>
        <v>APAGADO</v>
      </c>
      <c r="Z456" s="70" t="str">
        <f>'RESUMEN TOTAL'!AM588</f>
        <v>APAGADO</v>
      </c>
      <c r="AA456" s="70" t="str">
        <f>'RESUMEN TOTAL'!AN588</f>
        <v>APAGADO</v>
      </c>
      <c r="AB456" s="70">
        <f>'RESUMEN TOTAL'!AO588</f>
        <v>0</v>
      </c>
      <c r="AC456" s="70">
        <f>'RESUMEN TOTAL'!AP588</f>
        <v>0</v>
      </c>
      <c r="AD456" s="70">
        <f>'RESUMEN TOTAL'!AQ588</f>
        <v>0</v>
      </c>
      <c r="AE456" s="70" t="str">
        <f>'RESUMEN TOTAL'!AR588</f>
        <v>APAGADO</v>
      </c>
      <c r="AF456" s="70" t="str">
        <f>'RESUMEN TOTAL'!AS588</f>
        <v>APAGADO</v>
      </c>
      <c r="AG456" s="70">
        <f>'RESUMEN TOTAL'!AT588</f>
        <v>0</v>
      </c>
      <c r="AH456" s="70">
        <f>'RESUMEN TOTAL'!AU588</f>
        <v>0</v>
      </c>
      <c r="AI456" s="70">
        <f>'RESUMEN TOTAL'!AV588</f>
        <v>0</v>
      </c>
      <c r="AJ456" s="70" t="e">
        <f>'RESUMEN TOTAL'!#REF!</f>
        <v>#REF!</v>
      </c>
    </row>
    <row r="457" spans="1:36" x14ac:dyDescent="0.25">
      <c r="A457" t="str">
        <f>'RESUMEN TOTAL'!F590</f>
        <v>ZEBALLOS</v>
      </c>
      <c r="B457" t="str">
        <f>'RESUMEN TOTAL'!G590</f>
        <v>ZEB 05</v>
      </c>
      <c r="C457" t="str">
        <f>'RESUMEN TOTAL'!I590</f>
        <v>DIAG. GRANADEROS Y 214 BIS</v>
      </c>
      <c r="D457" s="30" t="str">
        <f>'RESUMEN TOTAL'!J590</f>
        <v>Domo</v>
      </c>
      <c r="E457" s="30" t="str">
        <f>'RESUMEN TOTAL'!K590</f>
        <v>GPON</v>
      </c>
      <c r="F457" s="70">
        <f>'RESUMEN TOTAL'!S590</f>
        <v>0</v>
      </c>
      <c r="G457" s="70">
        <f>'RESUMEN TOTAL'!T590</f>
        <v>0</v>
      </c>
      <c r="H457" s="70">
        <f>'RESUMEN TOTAL'!U590</f>
        <v>0</v>
      </c>
      <c r="I457" s="70">
        <f>'RESUMEN TOTAL'!V590</f>
        <v>0</v>
      </c>
      <c r="J457" s="70">
        <f>'RESUMEN TOTAL'!W590</f>
        <v>0</v>
      </c>
      <c r="K457" s="70">
        <f>'RESUMEN TOTAL'!X590</f>
        <v>0</v>
      </c>
      <c r="L457" s="70">
        <f>'RESUMEN TOTAL'!Y590</f>
        <v>0</v>
      </c>
      <c r="M457" s="70">
        <f>'RESUMEN TOTAL'!Z590</f>
        <v>0</v>
      </c>
      <c r="N457" s="70">
        <f>'RESUMEN TOTAL'!AA590</f>
        <v>0</v>
      </c>
      <c r="O457" s="70">
        <f>'RESUMEN TOTAL'!AB590</f>
        <v>0</v>
      </c>
      <c r="P457" s="70">
        <f>'RESUMEN TOTAL'!AC590</f>
        <v>0</v>
      </c>
      <c r="Q457" s="70">
        <f>'RESUMEN TOTAL'!AD590</f>
        <v>0</v>
      </c>
      <c r="R457" s="70">
        <f>'RESUMEN TOTAL'!AE590</f>
        <v>0</v>
      </c>
      <c r="S457" s="70">
        <f>'RESUMEN TOTAL'!AF590</f>
        <v>0</v>
      </c>
      <c r="T457" s="70">
        <f>'RESUMEN TOTAL'!AG590</f>
        <v>0</v>
      </c>
      <c r="U457" s="70">
        <f>'RESUMEN TOTAL'!AH590</f>
        <v>0</v>
      </c>
      <c r="V457" s="70">
        <f>'RESUMEN TOTAL'!AI590</f>
        <v>0</v>
      </c>
      <c r="W457" s="70">
        <f>'RESUMEN TOTAL'!AJ590</f>
        <v>0</v>
      </c>
      <c r="X457" s="70">
        <f>'RESUMEN TOTAL'!AK590</f>
        <v>0</v>
      </c>
      <c r="Y457" s="70">
        <f>'RESUMEN TOTAL'!AL590</f>
        <v>0</v>
      </c>
      <c r="Z457" s="70">
        <f>'RESUMEN TOTAL'!AM590</f>
        <v>0</v>
      </c>
      <c r="AA457" s="70">
        <f>'RESUMEN TOTAL'!AN590</f>
        <v>0</v>
      </c>
      <c r="AB457" s="70">
        <f>'RESUMEN TOTAL'!AO590</f>
        <v>0</v>
      </c>
      <c r="AC457" s="70">
        <f>'RESUMEN TOTAL'!AP590</f>
        <v>0</v>
      </c>
      <c r="AD457" s="70">
        <f>'RESUMEN TOTAL'!AQ590</f>
        <v>0</v>
      </c>
      <c r="AE457" s="70">
        <f>'RESUMEN TOTAL'!AR590</f>
        <v>0</v>
      </c>
      <c r="AF457" s="70">
        <f>'RESUMEN TOTAL'!AS590</f>
        <v>0</v>
      </c>
      <c r="AG457" s="70">
        <f>'RESUMEN TOTAL'!AT590</f>
        <v>0</v>
      </c>
      <c r="AH457" s="70">
        <f>'RESUMEN TOTAL'!AU590</f>
        <v>0</v>
      </c>
      <c r="AI457" s="70">
        <f>'RESUMEN TOTAL'!AV590</f>
        <v>0</v>
      </c>
      <c r="AJ457" s="70" t="e">
        <f>'RESUMEN TOTAL'!#REF!</f>
        <v>#REF!</v>
      </c>
    </row>
    <row r="458" spans="1:36" x14ac:dyDescent="0.25">
      <c r="A458" t="str">
        <f>'RESUMEN TOTAL'!F591</f>
        <v>ZEBALLOS</v>
      </c>
      <c r="B458" t="str">
        <f>'RESUMEN TOTAL'!G591</f>
        <v>ZEB 06</v>
      </c>
      <c r="C458" t="str">
        <f>'RESUMEN TOTAL'!I591</f>
        <v>Peron e/Ituzaingo y Buenos Aires</v>
      </c>
      <c r="D458" s="30" t="str">
        <f>'RESUMEN TOTAL'!J591</f>
        <v>FIJA</v>
      </c>
      <c r="E458" s="30" t="str">
        <f>'RESUMEN TOTAL'!K591</f>
        <v>GPON</v>
      </c>
      <c r="F458" s="70">
        <f>'RESUMEN TOTAL'!S591</f>
        <v>0</v>
      </c>
      <c r="G458" s="70">
        <f>'RESUMEN TOTAL'!T591</f>
        <v>0</v>
      </c>
      <c r="H458" s="70">
        <f>'RESUMEN TOTAL'!U591</f>
        <v>0</v>
      </c>
      <c r="I458" s="70">
        <f>'RESUMEN TOTAL'!V591</f>
        <v>0</v>
      </c>
      <c r="J458" s="70">
        <f>'RESUMEN TOTAL'!W591</f>
        <v>0</v>
      </c>
      <c r="K458" s="70">
        <f>'RESUMEN TOTAL'!X591</f>
        <v>0</v>
      </c>
      <c r="L458" s="70">
        <f>'RESUMEN TOTAL'!Y591</f>
        <v>0</v>
      </c>
      <c r="M458" s="70">
        <f>'RESUMEN TOTAL'!Z591</f>
        <v>0</v>
      </c>
      <c r="N458" s="70">
        <f>'RESUMEN TOTAL'!AA591</f>
        <v>0</v>
      </c>
      <c r="O458" s="70">
        <f>'RESUMEN TOTAL'!AB591</f>
        <v>0</v>
      </c>
      <c r="P458" s="70">
        <f>'RESUMEN TOTAL'!AC591</f>
        <v>0</v>
      </c>
      <c r="Q458" s="70">
        <f>'RESUMEN TOTAL'!AD591</f>
        <v>0</v>
      </c>
      <c r="R458" s="70">
        <f>'RESUMEN TOTAL'!AE591</f>
        <v>0</v>
      </c>
      <c r="S458" s="70">
        <f>'RESUMEN TOTAL'!AF591</f>
        <v>0</v>
      </c>
      <c r="T458" s="70">
        <f>'RESUMEN TOTAL'!AG591</f>
        <v>0</v>
      </c>
      <c r="U458" s="70">
        <f>'RESUMEN TOTAL'!AH591</f>
        <v>0</v>
      </c>
      <c r="V458" s="70">
        <f>'RESUMEN TOTAL'!AI591</f>
        <v>0</v>
      </c>
      <c r="W458" s="70">
        <f>'RESUMEN TOTAL'!AJ591</f>
        <v>0</v>
      </c>
      <c r="X458" s="70">
        <f>'RESUMEN TOTAL'!AK591</f>
        <v>0</v>
      </c>
      <c r="Y458" s="70">
        <f>'RESUMEN TOTAL'!AL591</f>
        <v>0</v>
      </c>
      <c r="Z458" s="70">
        <f>'RESUMEN TOTAL'!AM591</f>
        <v>0</v>
      </c>
      <c r="AA458" s="70">
        <f>'RESUMEN TOTAL'!AN591</f>
        <v>0</v>
      </c>
      <c r="AB458" s="70">
        <f>'RESUMEN TOTAL'!AO591</f>
        <v>0</v>
      </c>
      <c r="AC458" s="70">
        <f>'RESUMEN TOTAL'!AP591</f>
        <v>0</v>
      </c>
      <c r="AD458" s="70">
        <f>'RESUMEN TOTAL'!AQ591</f>
        <v>0</v>
      </c>
      <c r="AE458" s="70">
        <f>'RESUMEN TOTAL'!AR591</f>
        <v>0</v>
      </c>
      <c r="AF458" s="70">
        <f>'RESUMEN TOTAL'!AS591</f>
        <v>0</v>
      </c>
      <c r="AG458" s="70">
        <f>'RESUMEN TOTAL'!AT591</f>
        <v>0</v>
      </c>
      <c r="AH458" s="70">
        <f>'RESUMEN TOTAL'!AU591</f>
        <v>0</v>
      </c>
      <c r="AI458" s="70">
        <f>'RESUMEN TOTAL'!AV591</f>
        <v>0</v>
      </c>
      <c r="AJ458" s="70" t="e">
        <f>'RESUMEN TOTAL'!#REF!</f>
        <v>#REF!</v>
      </c>
    </row>
    <row r="459" spans="1:36" x14ac:dyDescent="0.25">
      <c r="A459" t="str">
        <f>'RESUMEN TOTAL'!F592</f>
        <v>ZEBALLOS</v>
      </c>
      <c r="B459" t="str">
        <f>'RESUMEN TOTAL'!G592</f>
        <v>ZEB 07 (Fija 1)</v>
      </c>
      <c r="C459" t="str">
        <f>'RESUMEN TOTAL'!I592</f>
        <v xml:space="preserve">Quinquela Martn y 861 </v>
      </c>
      <c r="D459" s="30" t="str">
        <f>'RESUMEN TOTAL'!J592</f>
        <v>Fija</v>
      </c>
      <c r="E459" s="30" t="str">
        <f>'RESUMEN TOTAL'!K592</f>
        <v>GPON</v>
      </c>
      <c r="F459" s="70">
        <f>'RESUMEN TOTAL'!S592</f>
        <v>0</v>
      </c>
      <c r="G459" s="70">
        <f>'RESUMEN TOTAL'!T592</f>
        <v>0</v>
      </c>
      <c r="H459" s="70">
        <f>'RESUMEN TOTAL'!U592</f>
        <v>0</v>
      </c>
      <c r="I459" s="70">
        <f>'RESUMEN TOTAL'!V592</f>
        <v>0</v>
      </c>
      <c r="J459" s="70">
        <f>'RESUMEN TOTAL'!W592</f>
        <v>0</v>
      </c>
      <c r="K459" s="70">
        <f>'RESUMEN TOTAL'!X592</f>
        <v>0</v>
      </c>
      <c r="L459" s="70">
        <f>'RESUMEN TOTAL'!Y592</f>
        <v>0</v>
      </c>
      <c r="M459" s="70">
        <f>'RESUMEN TOTAL'!Z592</f>
        <v>0</v>
      </c>
      <c r="N459" s="70">
        <f>'RESUMEN TOTAL'!AA592</f>
        <v>0</v>
      </c>
      <c r="O459" s="70">
        <f>'RESUMEN TOTAL'!AB592</f>
        <v>0</v>
      </c>
      <c r="P459" s="70">
        <f>'RESUMEN TOTAL'!AC592</f>
        <v>0</v>
      </c>
      <c r="Q459" s="70">
        <f>'RESUMEN TOTAL'!AD592</f>
        <v>0</v>
      </c>
      <c r="R459" s="70">
        <f>'RESUMEN TOTAL'!AE592</f>
        <v>0</v>
      </c>
      <c r="S459" s="70">
        <f>'RESUMEN TOTAL'!AF592</f>
        <v>0</v>
      </c>
      <c r="T459" s="70">
        <f>'RESUMEN TOTAL'!AG592</f>
        <v>0</v>
      </c>
      <c r="U459" s="70">
        <f>'RESUMEN TOTAL'!AH592</f>
        <v>0</v>
      </c>
      <c r="V459" s="70">
        <f>'RESUMEN TOTAL'!AI592</f>
        <v>0</v>
      </c>
      <c r="W459" s="70">
        <f>'RESUMEN TOTAL'!AJ592</f>
        <v>0</v>
      </c>
      <c r="X459" s="70">
        <f>'RESUMEN TOTAL'!AK592</f>
        <v>0</v>
      </c>
      <c r="Y459" s="70">
        <f>'RESUMEN TOTAL'!AL592</f>
        <v>0</v>
      </c>
      <c r="Z459" s="70">
        <f>'RESUMEN TOTAL'!AM592</f>
        <v>0</v>
      </c>
      <c r="AA459" s="70">
        <f>'RESUMEN TOTAL'!AN592</f>
        <v>0</v>
      </c>
      <c r="AB459" s="70">
        <f>'RESUMEN TOTAL'!AO592</f>
        <v>0</v>
      </c>
      <c r="AC459" s="70">
        <f>'RESUMEN TOTAL'!AP592</f>
        <v>0</v>
      </c>
      <c r="AD459" s="70">
        <f>'RESUMEN TOTAL'!AQ592</f>
        <v>0</v>
      </c>
      <c r="AE459" s="70">
        <f>'RESUMEN TOTAL'!AR592</f>
        <v>0</v>
      </c>
      <c r="AF459" s="70">
        <f>'RESUMEN TOTAL'!AS592</f>
        <v>0</v>
      </c>
      <c r="AG459" s="70">
        <f>'RESUMEN TOTAL'!AT592</f>
        <v>0</v>
      </c>
      <c r="AH459" s="70">
        <f>'RESUMEN TOTAL'!AU592</f>
        <v>0</v>
      </c>
      <c r="AI459" s="70">
        <f>'RESUMEN TOTAL'!AV592</f>
        <v>0</v>
      </c>
      <c r="AJ459" s="70" t="e">
        <f>'RESUMEN TOTAL'!#REF!</f>
        <v>#REF!</v>
      </c>
    </row>
    <row r="460" spans="1:36" x14ac:dyDescent="0.25">
      <c r="A460" t="str">
        <f>'RESUMEN TOTAL'!F593</f>
        <v>ZEBALLOS</v>
      </c>
      <c r="B460" t="str">
        <f>'RESUMEN TOTAL'!G593</f>
        <v>ZEB 08 (Fija 2)</v>
      </c>
      <c r="C460" t="str">
        <f>'RESUMEN TOTAL'!I593</f>
        <v>Quinquela Martin y 861</v>
      </c>
      <c r="D460" s="30" t="str">
        <f>'RESUMEN TOTAL'!J593</f>
        <v>Fija</v>
      </c>
      <c r="E460" s="30" t="str">
        <f>'RESUMEN TOTAL'!K593</f>
        <v>GPON</v>
      </c>
      <c r="F460" s="70">
        <f>'RESUMEN TOTAL'!S593</f>
        <v>0</v>
      </c>
      <c r="G460" s="70">
        <f>'RESUMEN TOTAL'!T593</f>
        <v>0</v>
      </c>
      <c r="H460" s="70">
        <f>'RESUMEN TOTAL'!U593</f>
        <v>0</v>
      </c>
      <c r="I460" s="70">
        <f>'RESUMEN TOTAL'!V593</f>
        <v>0</v>
      </c>
      <c r="J460" s="70">
        <f>'RESUMEN TOTAL'!W593</f>
        <v>0</v>
      </c>
      <c r="K460" s="70">
        <f>'RESUMEN TOTAL'!X593</f>
        <v>0</v>
      </c>
      <c r="L460" s="70">
        <f>'RESUMEN TOTAL'!Y593</f>
        <v>0</v>
      </c>
      <c r="M460" s="70">
        <f>'RESUMEN TOTAL'!Z593</f>
        <v>0</v>
      </c>
      <c r="N460" s="70">
        <f>'RESUMEN TOTAL'!AA593</f>
        <v>0</v>
      </c>
      <c r="O460" s="70">
        <f>'RESUMEN TOTAL'!AB593</f>
        <v>0</v>
      </c>
      <c r="P460" s="70">
        <f>'RESUMEN TOTAL'!AC593</f>
        <v>0</v>
      </c>
      <c r="Q460" s="70">
        <f>'RESUMEN TOTAL'!AD593</f>
        <v>0</v>
      </c>
      <c r="R460" s="70">
        <f>'RESUMEN TOTAL'!AE593</f>
        <v>0</v>
      </c>
      <c r="S460" s="70">
        <f>'RESUMEN TOTAL'!AF593</f>
        <v>0</v>
      </c>
      <c r="T460" s="70">
        <f>'RESUMEN TOTAL'!AG593</f>
        <v>0</v>
      </c>
      <c r="U460" s="70">
        <f>'RESUMEN TOTAL'!AH593</f>
        <v>0</v>
      </c>
      <c r="V460" s="70">
        <f>'RESUMEN TOTAL'!AI593</f>
        <v>0</v>
      </c>
      <c r="W460" s="70">
        <f>'RESUMEN TOTAL'!AJ593</f>
        <v>0</v>
      </c>
      <c r="X460" s="70">
        <f>'RESUMEN TOTAL'!AK593</f>
        <v>0</v>
      </c>
      <c r="Y460" s="70">
        <f>'RESUMEN TOTAL'!AL593</f>
        <v>0</v>
      </c>
      <c r="Z460" s="70">
        <f>'RESUMEN TOTAL'!AM593</f>
        <v>0</v>
      </c>
      <c r="AA460" s="70">
        <f>'RESUMEN TOTAL'!AN593</f>
        <v>0</v>
      </c>
      <c r="AB460" s="70">
        <f>'RESUMEN TOTAL'!AO593</f>
        <v>0</v>
      </c>
      <c r="AC460" s="70">
        <f>'RESUMEN TOTAL'!AP593</f>
        <v>0</v>
      </c>
      <c r="AD460" s="70">
        <f>'RESUMEN TOTAL'!AQ593</f>
        <v>0</v>
      </c>
      <c r="AE460" s="70">
        <f>'RESUMEN TOTAL'!AR593</f>
        <v>0</v>
      </c>
      <c r="AF460" s="70">
        <f>'RESUMEN TOTAL'!AS593</f>
        <v>0</v>
      </c>
      <c r="AG460" s="70">
        <f>'RESUMEN TOTAL'!AT593</f>
        <v>0</v>
      </c>
      <c r="AH460" s="70">
        <f>'RESUMEN TOTAL'!AU593</f>
        <v>0</v>
      </c>
      <c r="AI460" s="70">
        <f>'RESUMEN TOTAL'!AV593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TOTAL'!F681</f>
        <v>0</v>
      </c>
      <c r="B549">
        <f>'RESUMEN TOTAL'!G681</f>
        <v>0</v>
      </c>
      <c r="C549">
        <f>'RESUMEN TOTAL'!I681</f>
        <v>0</v>
      </c>
      <c r="D549" s="30">
        <f>'RESUMEN TOTAL'!J681</f>
        <v>0</v>
      </c>
      <c r="E549" s="30">
        <f>'RESUMEN TOTAL'!K681</f>
        <v>0</v>
      </c>
      <c r="F549" s="70">
        <f>'RESUMEN TOTAL'!S681</f>
        <v>0</v>
      </c>
      <c r="G549" s="70">
        <f>'RESUMEN TOTAL'!T681</f>
        <v>0</v>
      </c>
      <c r="H549" s="70">
        <f>'RESUMEN TOTAL'!U681</f>
        <v>0</v>
      </c>
      <c r="I549" s="70">
        <f>'RESUMEN TOTAL'!V681</f>
        <v>0</v>
      </c>
      <c r="J549" s="70">
        <f>'RESUMEN TOTAL'!W681</f>
        <v>0</v>
      </c>
      <c r="K549" s="70">
        <f>'RESUMEN TOTAL'!X681</f>
        <v>0</v>
      </c>
      <c r="L549" s="70">
        <f>'RESUMEN TOTAL'!Y681</f>
        <v>0</v>
      </c>
      <c r="M549" s="70">
        <f>'RESUMEN TOTAL'!Z681</f>
        <v>0</v>
      </c>
      <c r="N549" s="70">
        <f>'RESUMEN TOTAL'!AA681</f>
        <v>0</v>
      </c>
      <c r="O549" s="70">
        <f>'RESUMEN TOTAL'!AB681</f>
        <v>0</v>
      </c>
      <c r="P549" s="70">
        <f>'RESUMEN TOTAL'!AC681</f>
        <v>0</v>
      </c>
      <c r="Q549" s="70">
        <f>'RESUMEN TOTAL'!AD681</f>
        <v>0</v>
      </c>
      <c r="R549" s="70">
        <f>'RESUMEN TOTAL'!AE681</f>
        <v>0</v>
      </c>
      <c r="S549" s="70">
        <f>'RESUMEN TOTAL'!AF681</f>
        <v>0</v>
      </c>
      <c r="T549" s="70">
        <f>'RESUMEN TOTAL'!AG681</f>
        <v>0</v>
      </c>
      <c r="U549" s="70">
        <f>'RESUMEN TOTAL'!AH681</f>
        <v>0</v>
      </c>
      <c r="V549" s="70">
        <f>'RESUMEN TOTAL'!AI681</f>
        <v>0</v>
      </c>
      <c r="W549" s="70">
        <f>'RESUMEN TOTAL'!AJ681</f>
        <v>0</v>
      </c>
      <c r="X549" s="70">
        <f>'RESUMEN TOTAL'!AK681</f>
        <v>0</v>
      </c>
      <c r="Y549" s="70">
        <f>'RESUMEN TOTAL'!AL681</f>
        <v>0</v>
      </c>
      <c r="Z549" s="70">
        <f>'RESUMEN TOTAL'!AM681</f>
        <v>0</v>
      </c>
      <c r="AA549" s="70">
        <f>'RESUMEN TOTAL'!AN681</f>
        <v>0</v>
      </c>
      <c r="AB549" s="70">
        <f>'RESUMEN TOTAL'!AO681</f>
        <v>0</v>
      </c>
      <c r="AC549" s="70">
        <f>'RESUMEN TOTAL'!AP681</f>
        <v>0</v>
      </c>
      <c r="AD549" s="70">
        <f>'RESUMEN TOTAL'!AQ681</f>
        <v>0</v>
      </c>
      <c r="AE549" s="70">
        <f>'RESUMEN TOTAL'!AR681</f>
        <v>0</v>
      </c>
      <c r="AF549" s="70">
        <f>'RESUMEN TOTAL'!AS681</f>
        <v>0</v>
      </c>
      <c r="AG549" s="70">
        <f>'RESUMEN TOTAL'!AT681</f>
        <v>0</v>
      </c>
      <c r="AH549" s="70">
        <f>'RESUMEN TOTAL'!AU681</f>
        <v>0</v>
      </c>
      <c r="AI549" s="70">
        <f>'RESUMEN TOTAL'!AV681</f>
        <v>0</v>
      </c>
      <c r="AJ549" s="70" t="e">
        <f>'RESUMEN TOTAL'!#REF!</f>
        <v>#REF!</v>
      </c>
    </row>
    <row r="550" spans="1:36" x14ac:dyDescent="0.25">
      <c r="A550">
        <f>'RESUMEN TOTAL'!F682</f>
        <v>0</v>
      </c>
      <c r="B550">
        <f>'RESUMEN TOTAL'!G682</f>
        <v>0</v>
      </c>
      <c r="C550">
        <f>'RESUMEN TOTAL'!I682</f>
        <v>0</v>
      </c>
      <c r="D550" s="30">
        <f>'RESUMEN TOTAL'!J682</f>
        <v>0</v>
      </c>
      <c r="E550" s="30">
        <f>'RESUMEN TOTAL'!K682</f>
        <v>0</v>
      </c>
      <c r="F550" s="70">
        <f>'RESUMEN TOTAL'!S682</f>
        <v>0</v>
      </c>
      <c r="G550" s="70">
        <f>'RESUMEN TOTAL'!T682</f>
        <v>0</v>
      </c>
      <c r="H550" s="70">
        <f>'RESUMEN TOTAL'!U682</f>
        <v>0</v>
      </c>
      <c r="I550" s="70">
        <f>'RESUMEN TOTAL'!V682</f>
        <v>0</v>
      </c>
      <c r="J550" s="70">
        <f>'RESUMEN TOTAL'!W682</f>
        <v>0</v>
      </c>
      <c r="K550" s="70">
        <f>'RESUMEN TOTAL'!X682</f>
        <v>0</v>
      </c>
      <c r="L550" s="70">
        <f>'RESUMEN TOTAL'!Y682</f>
        <v>0</v>
      </c>
      <c r="M550" s="70">
        <f>'RESUMEN TOTAL'!Z682</f>
        <v>0</v>
      </c>
      <c r="N550" s="70">
        <f>'RESUMEN TOTAL'!AA682</f>
        <v>0</v>
      </c>
      <c r="O550" s="70">
        <f>'RESUMEN TOTAL'!AB682</f>
        <v>0</v>
      </c>
      <c r="P550" s="70">
        <f>'RESUMEN TOTAL'!AC682</f>
        <v>0</v>
      </c>
      <c r="Q550" s="70">
        <f>'RESUMEN TOTAL'!AD682</f>
        <v>0</v>
      </c>
      <c r="R550" s="70">
        <f>'RESUMEN TOTAL'!AE682</f>
        <v>0</v>
      </c>
      <c r="S550" s="70">
        <f>'RESUMEN TOTAL'!AF682</f>
        <v>0</v>
      </c>
      <c r="T550" s="70">
        <f>'RESUMEN TOTAL'!AG682</f>
        <v>0</v>
      </c>
      <c r="U550" s="70">
        <f>'RESUMEN TOTAL'!AH682</f>
        <v>0</v>
      </c>
      <c r="V550" s="70">
        <f>'RESUMEN TOTAL'!AI682</f>
        <v>0</v>
      </c>
      <c r="W550" s="70">
        <f>'RESUMEN TOTAL'!AJ682</f>
        <v>0</v>
      </c>
      <c r="X550" s="70">
        <f>'RESUMEN TOTAL'!AK682</f>
        <v>0</v>
      </c>
      <c r="Y550" s="70">
        <f>'RESUMEN TOTAL'!AL682</f>
        <v>0</v>
      </c>
      <c r="Z550" s="70">
        <f>'RESUMEN TOTAL'!AM682</f>
        <v>0</v>
      </c>
      <c r="AA550" s="70">
        <f>'RESUMEN TOTAL'!AN682</f>
        <v>0</v>
      </c>
      <c r="AB550" s="70">
        <f>'RESUMEN TOTAL'!AO682</f>
        <v>0</v>
      </c>
      <c r="AC550" s="70">
        <f>'RESUMEN TOTAL'!AP682</f>
        <v>0</v>
      </c>
      <c r="AD550" s="70">
        <f>'RESUMEN TOTAL'!AQ682</f>
        <v>0</v>
      </c>
      <c r="AE550" s="70">
        <f>'RESUMEN TOTAL'!AR682</f>
        <v>0</v>
      </c>
      <c r="AF550" s="70">
        <f>'RESUMEN TOTAL'!AS682</f>
        <v>0</v>
      </c>
      <c r="AG550" s="70">
        <f>'RESUMEN TOTAL'!AT682</f>
        <v>0</v>
      </c>
      <c r="AH550" s="70">
        <f>'RESUMEN TOTAL'!AU682</f>
        <v>0</v>
      </c>
      <c r="AI550" s="70">
        <f>'RESUMEN TOTAL'!AV682</f>
        <v>0</v>
      </c>
      <c r="AJ550" s="70" t="e">
        <f>'RESUMEN TOTAL'!#REF!</f>
        <v>#REF!</v>
      </c>
    </row>
    <row r="551" spans="1:36" x14ac:dyDescent="0.25">
      <c r="A551">
        <f>'RESUMEN TOTAL'!F683</f>
        <v>0</v>
      </c>
      <c r="B551">
        <f>'RESUMEN TOTAL'!G683</f>
        <v>0</v>
      </c>
      <c r="C551">
        <f>'RESUMEN TOTAL'!I683</f>
        <v>0</v>
      </c>
      <c r="D551" s="30">
        <f>'RESUMEN TOTAL'!J683</f>
        <v>0</v>
      </c>
      <c r="E551" s="30">
        <f>'RESUMEN TOTAL'!K683</f>
        <v>0</v>
      </c>
      <c r="F551" s="70">
        <f>'RESUMEN TOTAL'!S683</f>
        <v>0</v>
      </c>
      <c r="G551" s="70">
        <f>'RESUMEN TOTAL'!T683</f>
        <v>0</v>
      </c>
      <c r="H551" s="70">
        <f>'RESUMEN TOTAL'!U683</f>
        <v>0</v>
      </c>
      <c r="I551" s="70">
        <f>'RESUMEN TOTAL'!V683</f>
        <v>0</v>
      </c>
      <c r="J551" s="70">
        <f>'RESUMEN TOTAL'!W683</f>
        <v>0</v>
      </c>
      <c r="K551" s="70">
        <f>'RESUMEN TOTAL'!X683</f>
        <v>0</v>
      </c>
      <c r="L551" s="70">
        <f>'RESUMEN TOTAL'!Y683</f>
        <v>0</v>
      </c>
      <c r="M551" s="70">
        <f>'RESUMEN TOTAL'!Z683</f>
        <v>0</v>
      </c>
      <c r="N551" s="70">
        <f>'RESUMEN TOTAL'!AA683</f>
        <v>0</v>
      </c>
      <c r="O551" s="70">
        <f>'RESUMEN TOTAL'!AB683</f>
        <v>0</v>
      </c>
      <c r="P551" s="70">
        <f>'RESUMEN TOTAL'!AC683</f>
        <v>0</v>
      </c>
      <c r="Q551" s="70">
        <f>'RESUMEN TOTAL'!AD683</f>
        <v>0</v>
      </c>
      <c r="R551" s="70">
        <f>'RESUMEN TOTAL'!AE683</f>
        <v>0</v>
      </c>
      <c r="S551" s="70">
        <f>'RESUMEN TOTAL'!AF683</f>
        <v>0</v>
      </c>
      <c r="T551" s="70">
        <f>'RESUMEN TOTAL'!AG683</f>
        <v>0</v>
      </c>
      <c r="U551" s="70">
        <f>'RESUMEN TOTAL'!AH683</f>
        <v>0</v>
      </c>
      <c r="V551" s="70">
        <f>'RESUMEN TOTAL'!AI683</f>
        <v>0</v>
      </c>
      <c r="W551" s="70">
        <f>'RESUMEN TOTAL'!AJ683</f>
        <v>0</v>
      </c>
      <c r="X551" s="70">
        <f>'RESUMEN TOTAL'!AK683</f>
        <v>0</v>
      </c>
      <c r="Y551" s="70">
        <f>'RESUMEN TOTAL'!AL683</f>
        <v>0</v>
      </c>
      <c r="Z551" s="70">
        <f>'RESUMEN TOTAL'!AM683</f>
        <v>0</v>
      </c>
      <c r="AA551" s="70">
        <f>'RESUMEN TOTAL'!AN683</f>
        <v>0</v>
      </c>
      <c r="AB551" s="70">
        <f>'RESUMEN TOTAL'!AO683</f>
        <v>0</v>
      </c>
      <c r="AC551" s="70">
        <f>'RESUMEN TOTAL'!AP683</f>
        <v>0</v>
      </c>
      <c r="AD551" s="70">
        <f>'RESUMEN TOTAL'!AQ683</f>
        <v>0</v>
      </c>
      <c r="AE551" s="70">
        <f>'RESUMEN TOTAL'!AR683</f>
        <v>0</v>
      </c>
      <c r="AF551" s="70">
        <f>'RESUMEN TOTAL'!AS683</f>
        <v>0</v>
      </c>
      <c r="AG551" s="70">
        <f>'RESUMEN TOTAL'!AT683</f>
        <v>0</v>
      </c>
      <c r="AH551" s="70">
        <f>'RESUMEN TOTAL'!AU683</f>
        <v>0</v>
      </c>
      <c r="AI551" s="70">
        <f>'RESUMEN TOTAL'!AV683</f>
        <v>0</v>
      </c>
      <c r="AJ551" s="70" t="e">
        <f>'RESUMEN TOTAL'!#REF!</f>
        <v>#REF!</v>
      </c>
    </row>
    <row r="552" spans="1:36" x14ac:dyDescent="0.25">
      <c r="A552">
        <f>'RESUMEN TOTAL'!F684</f>
        <v>0</v>
      </c>
      <c r="B552">
        <f>'RESUMEN TOTAL'!G684</f>
        <v>0</v>
      </c>
      <c r="C552">
        <f>'RESUMEN TOTAL'!I684</f>
        <v>0</v>
      </c>
      <c r="D552" s="30">
        <f>'RESUMEN TOTAL'!J684</f>
        <v>0</v>
      </c>
      <c r="E552" s="30">
        <f>'RESUMEN TOTAL'!K684</f>
        <v>0</v>
      </c>
      <c r="F552" s="70">
        <f>'RESUMEN TOTAL'!S684</f>
        <v>0</v>
      </c>
      <c r="G552" s="70">
        <f>'RESUMEN TOTAL'!T684</f>
        <v>0</v>
      </c>
      <c r="H552" s="70">
        <f>'RESUMEN TOTAL'!U684</f>
        <v>0</v>
      </c>
      <c r="I552" s="70">
        <f>'RESUMEN TOTAL'!V684</f>
        <v>0</v>
      </c>
      <c r="J552" s="70">
        <f>'RESUMEN TOTAL'!W684</f>
        <v>0</v>
      </c>
      <c r="K552" s="70">
        <f>'RESUMEN TOTAL'!X684</f>
        <v>0</v>
      </c>
      <c r="L552" s="70">
        <f>'RESUMEN TOTAL'!Y684</f>
        <v>0</v>
      </c>
      <c r="M552" s="70">
        <f>'RESUMEN TOTAL'!Z684</f>
        <v>0</v>
      </c>
      <c r="N552" s="70">
        <f>'RESUMEN TOTAL'!AA684</f>
        <v>0</v>
      </c>
      <c r="O552" s="70">
        <f>'RESUMEN TOTAL'!AB684</f>
        <v>0</v>
      </c>
      <c r="P552" s="70">
        <f>'RESUMEN TOTAL'!AC684</f>
        <v>0</v>
      </c>
      <c r="Q552" s="70">
        <f>'RESUMEN TOTAL'!AD684</f>
        <v>0</v>
      </c>
      <c r="R552" s="70">
        <f>'RESUMEN TOTAL'!AE684</f>
        <v>0</v>
      </c>
      <c r="S552" s="70">
        <f>'RESUMEN TOTAL'!AF684</f>
        <v>0</v>
      </c>
      <c r="T552" s="70">
        <f>'RESUMEN TOTAL'!AG684</f>
        <v>0</v>
      </c>
      <c r="U552" s="70">
        <f>'RESUMEN TOTAL'!AH684</f>
        <v>0</v>
      </c>
      <c r="V552" s="70">
        <f>'RESUMEN TOTAL'!AI684</f>
        <v>0</v>
      </c>
      <c r="W552" s="70">
        <f>'RESUMEN TOTAL'!AJ684</f>
        <v>0</v>
      </c>
      <c r="X552" s="70">
        <f>'RESUMEN TOTAL'!AK684</f>
        <v>0</v>
      </c>
      <c r="Y552" s="70">
        <f>'RESUMEN TOTAL'!AL684</f>
        <v>0</v>
      </c>
      <c r="Z552" s="70">
        <f>'RESUMEN TOTAL'!AM684</f>
        <v>0</v>
      </c>
      <c r="AA552" s="70">
        <f>'RESUMEN TOTAL'!AN684</f>
        <v>0</v>
      </c>
      <c r="AB552" s="70">
        <f>'RESUMEN TOTAL'!AO684</f>
        <v>0</v>
      </c>
      <c r="AC552" s="70">
        <f>'RESUMEN TOTAL'!AP684</f>
        <v>0</v>
      </c>
      <c r="AD552" s="70">
        <f>'RESUMEN TOTAL'!AQ684</f>
        <v>0</v>
      </c>
      <c r="AE552" s="70">
        <f>'RESUMEN TOTAL'!AR684</f>
        <v>0</v>
      </c>
      <c r="AF552" s="70">
        <f>'RESUMEN TOTAL'!AS684</f>
        <v>0</v>
      </c>
      <c r="AG552" s="70">
        <f>'RESUMEN TOTAL'!AT684</f>
        <v>0</v>
      </c>
      <c r="AH552" s="70">
        <f>'RESUMEN TOTAL'!AU684</f>
        <v>0</v>
      </c>
      <c r="AI552" s="70">
        <f>'RESUMEN TOTAL'!AV684</f>
        <v>0</v>
      </c>
      <c r="AJ552" s="70" t="e">
        <f>'RESUMEN TOTAL'!#REF!</f>
        <v>#REF!</v>
      </c>
    </row>
    <row r="553" spans="1:36" x14ac:dyDescent="0.25">
      <c r="A553">
        <f>'RESUMEN TOTAL'!F685</f>
        <v>0</v>
      </c>
      <c r="B553">
        <f>'RESUMEN TOTAL'!G685</f>
        <v>0</v>
      </c>
      <c r="C553">
        <f>'RESUMEN TOTAL'!I685</f>
        <v>0</v>
      </c>
      <c r="D553" s="30">
        <f>'RESUMEN TOTAL'!J685</f>
        <v>0</v>
      </c>
      <c r="E553" s="30">
        <f>'RESUMEN TOTAL'!K685</f>
        <v>0</v>
      </c>
      <c r="F553" s="70">
        <f>'RESUMEN TOTAL'!S685</f>
        <v>0</v>
      </c>
      <c r="G553" s="70">
        <f>'RESUMEN TOTAL'!T685</f>
        <v>0</v>
      </c>
      <c r="H553" s="70">
        <f>'RESUMEN TOTAL'!U685</f>
        <v>0</v>
      </c>
      <c r="I553" s="70">
        <f>'RESUMEN TOTAL'!V685</f>
        <v>0</v>
      </c>
      <c r="J553" s="70">
        <f>'RESUMEN TOTAL'!W685</f>
        <v>0</v>
      </c>
      <c r="K553" s="70">
        <f>'RESUMEN TOTAL'!X685</f>
        <v>0</v>
      </c>
      <c r="L553" s="70">
        <f>'RESUMEN TOTAL'!Y685</f>
        <v>0</v>
      </c>
      <c r="M553" s="70">
        <f>'RESUMEN TOTAL'!Z685</f>
        <v>0</v>
      </c>
      <c r="N553" s="70">
        <f>'RESUMEN TOTAL'!AA685</f>
        <v>0</v>
      </c>
      <c r="O553" s="70">
        <f>'RESUMEN TOTAL'!AB685</f>
        <v>0</v>
      </c>
      <c r="P553" s="70">
        <f>'RESUMEN TOTAL'!AC685</f>
        <v>0</v>
      </c>
      <c r="Q553" s="70">
        <f>'RESUMEN TOTAL'!AD685</f>
        <v>0</v>
      </c>
      <c r="R553" s="70">
        <f>'RESUMEN TOTAL'!AE685</f>
        <v>0</v>
      </c>
      <c r="S553" s="70">
        <f>'RESUMEN TOTAL'!AF685</f>
        <v>0</v>
      </c>
      <c r="T553" s="70">
        <f>'RESUMEN TOTAL'!AG685</f>
        <v>0</v>
      </c>
      <c r="U553" s="70">
        <f>'RESUMEN TOTAL'!AH685</f>
        <v>0</v>
      </c>
      <c r="V553" s="70">
        <f>'RESUMEN TOTAL'!AI685</f>
        <v>0</v>
      </c>
      <c r="W553" s="70">
        <f>'RESUMEN TOTAL'!AJ685</f>
        <v>0</v>
      </c>
      <c r="X553" s="70">
        <f>'RESUMEN TOTAL'!AK685</f>
        <v>0</v>
      </c>
      <c r="Y553" s="70">
        <f>'RESUMEN TOTAL'!AL685</f>
        <v>0</v>
      </c>
      <c r="Z553" s="70">
        <f>'RESUMEN TOTAL'!AM685</f>
        <v>0</v>
      </c>
      <c r="AA553" s="70">
        <f>'RESUMEN TOTAL'!AN685</f>
        <v>0</v>
      </c>
      <c r="AB553" s="70">
        <f>'RESUMEN TOTAL'!AO685</f>
        <v>0</v>
      </c>
      <c r="AC553" s="70">
        <f>'RESUMEN TOTAL'!AP685</f>
        <v>0</v>
      </c>
      <c r="AD553" s="70">
        <f>'RESUMEN TOTAL'!AQ685</f>
        <v>0</v>
      </c>
      <c r="AE553" s="70">
        <f>'RESUMEN TOTAL'!AR685</f>
        <v>0</v>
      </c>
      <c r="AF553" s="70">
        <f>'RESUMEN TOTAL'!AS685</f>
        <v>0</v>
      </c>
      <c r="AG553" s="70">
        <f>'RESUMEN TOTAL'!AT685</f>
        <v>0</v>
      </c>
      <c r="AH553" s="70">
        <f>'RESUMEN TOTAL'!AU685</f>
        <v>0</v>
      </c>
      <c r="AI553" s="70">
        <f>'RESUMEN TOTAL'!AV685</f>
        <v>0</v>
      </c>
      <c r="AJ553" s="70" t="e">
        <f>'RESUMEN TOTAL'!#REF!</f>
        <v>#REF!</v>
      </c>
    </row>
    <row r="554" spans="1:36" x14ac:dyDescent="0.25">
      <c r="A554">
        <f>'RESUMEN TOTAL'!F686</f>
        <v>0</v>
      </c>
      <c r="B554">
        <f>'RESUMEN TOTAL'!G686</f>
        <v>0</v>
      </c>
      <c r="C554">
        <f>'RESUMEN TOTAL'!I686</f>
        <v>0</v>
      </c>
      <c r="D554" s="30">
        <f>'RESUMEN TOTAL'!J686</f>
        <v>0</v>
      </c>
      <c r="E554" s="30">
        <f>'RESUMEN TOTAL'!K686</f>
        <v>0</v>
      </c>
      <c r="F554" s="70">
        <f>'RESUMEN TOTAL'!S686</f>
        <v>0</v>
      </c>
      <c r="G554" s="70">
        <f>'RESUMEN TOTAL'!T686</f>
        <v>0</v>
      </c>
      <c r="H554" s="70">
        <f>'RESUMEN TOTAL'!U686</f>
        <v>0</v>
      </c>
      <c r="I554" s="70">
        <f>'RESUMEN TOTAL'!V686</f>
        <v>0</v>
      </c>
      <c r="J554" s="70">
        <f>'RESUMEN TOTAL'!W686</f>
        <v>0</v>
      </c>
      <c r="K554" s="70">
        <f>'RESUMEN TOTAL'!X686</f>
        <v>0</v>
      </c>
      <c r="L554" s="70">
        <f>'RESUMEN TOTAL'!Y686</f>
        <v>0</v>
      </c>
      <c r="M554" s="70">
        <f>'RESUMEN TOTAL'!Z686</f>
        <v>0</v>
      </c>
      <c r="N554" s="70">
        <f>'RESUMEN TOTAL'!AA686</f>
        <v>0</v>
      </c>
      <c r="O554" s="70">
        <f>'RESUMEN TOTAL'!AB686</f>
        <v>0</v>
      </c>
      <c r="P554" s="70">
        <f>'RESUMEN TOTAL'!AC686</f>
        <v>0</v>
      </c>
      <c r="Q554" s="70">
        <f>'RESUMEN TOTAL'!AD686</f>
        <v>0</v>
      </c>
      <c r="R554" s="70">
        <f>'RESUMEN TOTAL'!AE686</f>
        <v>0</v>
      </c>
      <c r="S554" s="70">
        <f>'RESUMEN TOTAL'!AF686</f>
        <v>0</v>
      </c>
      <c r="T554" s="70">
        <f>'RESUMEN TOTAL'!AG686</f>
        <v>0</v>
      </c>
      <c r="U554" s="70">
        <f>'RESUMEN TOTAL'!AH686</f>
        <v>0</v>
      </c>
      <c r="V554" s="70">
        <f>'RESUMEN TOTAL'!AI686</f>
        <v>0</v>
      </c>
      <c r="W554" s="70">
        <f>'RESUMEN TOTAL'!AJ686</f>
        <v>0</v>
      </c>
      <c r="X554" s="70">
        <f>'RESUMEN TOTAL'!AK686</f>
        <v>0</v>
      </c>
      <c r="Y554" s="70">
        <f>'RESUMEN TOTAL'!AL686</f>
        <v>0</v>
      </c>
      <c r="Z554" s="70">
        <f>'RESUMEN TOTAL'!AM686</f>
        <v>0</v>
      </c>
      <c r="AA554" s="70">
        <f>'RESUMEN TOTAL'!AN686</f>
        <v>0</v>
      </c>
      <c r="AB554" s="70">
        <f>'RESUMEN TOTAL'!AO686</f>
        <v>0</v>
      </c>
      <c r="AC554" s="70">
        <f>'RESUMEN TOTAL'!AP686</f>
        <v>0</v>
      </c>
      <c r="AD554" s="70">
        <f>'RESUMEN TOTAL'!AQ686</f>
        <v>0</v>
      </c>
      <c r="AE554" s="70">
        <f>'RESUMEN TOTAL'!AR686</f>
        <v>0</v>
      </c>
      <c r="AF554" s="70">
        <f>'RESUMEN TOTAL'!AS686</f>
        <v>0</v>
      </c>
      <c r="AG554" s="70">
        <f>'RESUMEN TOTAL'!AT686</f>
        <v>0</v>
      </c>
      <c r="AH554" s="70">
        <f>'RESUMEN TOTAL'!AU686</f>
        <v>0</v>
      </c>
      <c r="AI554" s="70">
        <f>'RESUMEN TOTAL'!AV686</f>
        <v>0</v>
      </c>
      <c r="AJ554" s="70" t="e">
        <f>'RESUMEN TOTAL'!#REF!</f>
        <v>#REF!</v>
      </c>
    </row>
    <row r="555" spans="1:36" x14ac:dyDescent="0.25">
      <c r="A555">
        <f>'RESUMEN TOTAL'!F687</f>
        <v>0</v>
      </c>
      <c r="B555">
        <f>'RESUMEN TOTAL'!G687</f>
        <v>0</v>
      </c>
      <c r="C555">
        <f>'RESUMEN TOTAL'!I687</f>
        <v>0</v>
      </c>
      <c r="D555" s="30">
        <f>'RESUMEN TOTAL'!J687</f>
        <v>0</v>
      </c>
      <c r="E555" s="30">
        <f>'RESUMEN TOTAL'!K687</f>
        <v>0</v>
      </c>
      <c r="F555" s="70">
        <f>'RESUMEN TOTAL'!S687</f>
        <v>0</v>
      </c>
      <c r="G555" s="70">
        <f>'RESUMEN TOTAL'!T687</f>
        <v>0</v>
      </c>
      <c r="H555" s="70">
        <f>'RESUMEN TOTAL'!U687</f>
        <v>0</v>
      </c>
      <c r="I555" s="70">
        <f>'RESUMEN TOTAL'!V687</f>
        <v>0</v>
      </c>
      <c r="J555" s="70">
        <f>'RESUMEN TOTAL'!W687</f>
        <v>0</v>
      </c>
      <c r="K555" s="70">
        <f>'RESUMEN TOTAL'!X687</f>
        <v>0</v>
      </c>
      <c r="L555" s="70">
        <f>'RESUMEN TOTAL'!Y687</f>
        <v>0</v>
      </c>
      <c r="M555" s="70">
        <f>'RESUMEN TOTAL'!Z687</f>
        <v>0</v>
      </c>
      <c r="N555" s="70">
        <f>'RESUMEN TOTAL'!AA687</f>
        <v>0</v>
      </c>
      <c r="O555" s="70">
        <f>'RESUMEN TOTAL'!AB687</f>
        <v>0</v>
      </c>
      <c r="P555" s="70">
        <f>'RESUMEN TOTAL'!AC687</f>
        <v>0</v>
      </c>
      <c r="Q555" s="70">
        <f>'RESUMEN TOTAL'!AD687</f>
        <v>0</v>
      </c>
      <c r="R555" s="70">
        <f>'RESUMEN TOTAL'!AE687</f>
        <v>0</v>
      </c>
      <c r="S555" s="70">
        <f>'RESUMEN TOTAL'!AF687</f>
        <v>0</v>
      </c>
      <c r="T555" s="70">
        <f>'RESUMEN TOTAL'!AG687</f>
        <v>0</v>
      </c>
      <c r="U555" s="70">
        <f>'RESUMEN TOTAL'!AH687</f>
        <v>0</v>
      </c>
      <c r="V555" s="70">
        <f>'RESUMEN TOTAL'!AI687</f>
        <v>0</v>
      </c>
      <c r="W555" s="70">
        <f>'RESUMEN TOTAL'!AJ687</f>
        <v>0</v>
      </c>
      <c r="X555" s="70">
        <f>'RESUMEN TOTAL'!AK687</f>
        <v>0</v>
      </c>
      <c r="Y555" s="70">
        <f>'RESUMEN TOTAL'!AL687</f>
        <v>0</v>
      </c>
      <c r="Z555" s="70">
        <f>'RESUMEN TOTAL'!AM687</f>
        <v>0</v>
      </c>
      <c r="AA555" s="70">
        <f>'RESUMEN TOTAL'!AN687</f>
        <v>0</v>
      </c>
      <c r="AB555" s="70">
        <f>'RESUMEN TOTAL'!AO687</f>
        <v>0</v>
      </c>
      <c r="AC555" s="70">
        <f>'RESUMEN TOTAL'!AP687</f>
        <v>0</v>
      </c>
      <c r="AD555" s="70">
        <f>'RESUMEN TOTAL'!AQ687</f>
        <v>0</v>
      </c>
      <c r="AE555" s="70">
        <f>'RESUMEN TOTAL'!AR687</f>
        <v>0</v>
      </c>
      <c r="AF555" s="70">
        <f>'RESUMEN TOTAL'!AS687</f>
        <v>0</v>
      </c>
      <c r="AG555" s="70">
        <f>'RESUMEN TOTAL'!AT687</f>
        <v>0</v>
      </c>
      <c r="AH555" s="70">
        <f>'RESUMEN TOTAL'!AU687</f>
        <v>0</v>
      </c>
      <c r="AI555" s="70">
        <f>'RESUMEN TOTAL'!AV687</f>
        <v>0</v>
      </c>
      <c r="AJ555" s="70" t="e">
        <f>'RESUMEN TOTAL'!#REF!</f>
        <v>#REF!</v>
      </c>
    </row>
    <row r="556" spans="1:36" x14ac:dyDescent="0.25">
      <c r="A556">
        <f>'RESUMEN TOTAL'!F688</f>
        <v>0</v>
      </c>
      <c r="B556">
        <f>'RESUMEN TOTAL'!G688</f>
        <v>0</v>
      </c>
      <c r="C556">
        <f>'RESUMEN TOTAL'!I688</f>
        <v>0</v>
      </c>
      <c r="D556" s="30">
        <f>'RESUMEN TOTAL'!J688</f>
        <v>0</v>
      </c>
      <c r="E556" s="30">
        <f>'RESUMEN TOTAL'!K688</f>
        <v>0</v>
      </c>
      <c r="F556" s="70">
        <f>'RESUMEN TOTAL'!S688</f>
        <v>0</v>
      </c>
      <c r="G556" s="70">
        <f>'RESUMEN TOTAL'!T688</f>
        <v>0</v>
      </c>
      <c r="H556" s="70">
        <f>'RESUMEN TOTAL'!U688</f>
        <v>0</v>
      </c>
      <c r="I556" s="70">
        <f>'RESUMEN TOTAL'!V688</f>
        <v>0</v>
      </c>
      <c r="J556" s="70">
        <f>'RESUMEN TOTAL'!W688</f>
        <v>0</v>
      </c>
      <c r="K556" s="70">
        <f>'RESUMEN TOTAL'!X688</f>
        <v>0</v>
      </c>
      <c r="L556" s="70">
        <f>'RESUMEN TOTAL'!Y688</f>
        <v>0</v>
      </c>
      <c r="M556" s="70">
        <f>'RESUMEN TOTAL'!Z688</f>
        <v>0</v>
      </c>
      <c r="N556" s="70">
        <f>'RESUMEN TOTAL'!AA688</f>
        <v>0</v>
      </c>
      <c r="O556" s="70">
        <f>'RESUMEN TOTAL'!AB688</f>
        <v>0</v>
      </c>
      <c r="P556" s="70">
        <f>'RESUMEN TOTAL'!AC688</f>
        <v>0</v>
      </c>
      <c r="Q556" s="70">
        <f>'RESUMEN TOTAL'!AD688</f>
        <v>0</v>
      </c>
      <c r="R556" s="70">
        <f>'RESUMEN TOTAL'!AE688</f>
        <v>0</v>
      </c>
      <c r="S556" s="70">
        <f>'RESUMEN TOTAL'!AF688</f>
        <v>0</v>
      </c>
      <c r="T556" s="70">
        <f>'RESUMEN TOTAL'!AG688</f>
        <v>0</v>
      </c>
      <c r="U556" s="70">
        <f>'RESUMEN TOTAL'!AH688</f>
        <v>0</v>
      </c>
      <c r="V556" s="70">
        <f>'RESUMEN TOTAL'!AI688</f>
        <v>0</v>
      </c>
      <c r="W556" s="70">
        <f>'RESUMEN TOTAL'!AJ688</f>
        <v>0</v>
      </c>
      <c r="X556" s="70">
        <f>'RESUMEN TOTAL'!AK688</f>
        <v>0</v>
      </c>
      <c r="Y556" s="70">
        <f>'RESUMEN TOTAL'!AL688</f>
        <v>0</v>
      </c>
      <c r="Z556" s="70">
        <f>'RESUMEN TOTAL'!AM688</f>
        <v>0</v>
      </c>
      <c r="AA556" s="70">
        <f>'RESUMEN TOTAL'!AN688</f>
        <v>0</v>
      </c>
      <c r="AB556" s="70">
        <f>'RESUMEN TOTAL'!AO688</f>
        <v>0</v>
      </c>
      <c r="AC556" s="70">
        <f>'RESUMEN TOTAL'!AP688</f>
        <v>0</v>
      </c>
      <c r="AD556" s="70">
        <f>'RESUMEN TOTAL'!AQ688</f>
        <v>0</v>
      </c>
      <c r="AE556" s="70">
        <f>'RESUMEN TOTAL'!AR688</f>
        <v>0</v>
      </c>
      <c r="AF556" s="70">
        <f>'RESUMEN TOTAL'!AS688</f>
        <v>0</v>
      </c>
      <c r="AG556" s="70">
        <f>'RESUMEN TOTAL'!AT688</f>
        <v>0</v>
      </c>
      <c r="AH556" s="70">
        <f>'RESUMEN TOTAL'!AU688</f>
        <v>0</v>
      </c>
      <c r="AI556" s="70">
        <f>'RESUMEN TOTAL'!AV688</f>
        <v>0</v>
      </c>
      <c r="AJ556" s="70" t="e">
        <f>'RESUMEN TOTAL'!#REF!</f>
        <v>#REF!</v>
      </c>
    </row>
    <row r="557" spans="1:36" x14ac:dyDescent="0.25">
      <c r="A557">
        <f>'RESUMEN TOTAL'!F689</f>
        <v>0</v>
      </c>
      <c r="B557">
        <f>'RESUMEN TOTAL'!G689</f>
        <v>0</v>
      </c>
      <c r="C557">
        <f>'RESUMEN TOTAL'!I689</f>
        <v>0</v>
      </c>
      <c r="D557" s="30">
        <f>'RESUMEN TOTAL'!J689</f>
        <v>0</v>
      </c>
      <c r="E557" s="30">
        <f>'RESUMEN TOTAL'!K689</f>
        <v>0</v>
      </c>
      <c r="F557" s="70">
        <f>'RESUMEN TOTAL'!S689</f>
        <v>0</v>
      </c>
      <c r="G557" s="70">
        <f>'RESUMEN TOTAL'!T689</f>
        <v>0</v>
      </c>
      <c r="H557" s="70">
        <f>'RESUMEN TOTAL'!U689</f>
        <v>0</v>
      </c>
      <c r="I557" s="70">
        <f>'RESUMEN TOTAL'!V689</f>
        <v>0</v>
      </c>
      <c r="J557" s="70">
        <f>'RESUMEN TOTAL'!W689</f>
        <v>0</v>
      </c>
      <c r="K557" s="70">
        <f>'RESUMEN TOTAL'!X689</f>
        <v>0</v>
      </c>
      <c r="L557" s="70">
        <f>'RESUMEN TOTAL'!Y689</f>
        <v>0</v>
      </c>
      <c r="M557" s="70">
        <f>'RESUMEN TOTAL'!Z689</f>
        <v>0</v>
      </c>
      <c r="N557" s="70">
        <f>'RESUMEN TOTAL'!AA689</f>
        <v>0</v>
      </c>
      <c r="O557" s="70">
        <f>'RESUMEN TOTAL'!AB689</f>
        <v>0</v>
      </c>
      <c r="P557" s="70">
        <f>'RESUMEN TOTAL'!AC689</f>
        <v>0</v>
      </c>
      <c r="Q557" s="70">
        <f>'RESUMEN TOTAL'!AD689</f>
        <v>0</v>
      </c>
      <c r="R557" s="70">
        <f>'RESUMEN TOTAL'!AE689</f>
        <v>0</v>
      </c>
      <c r="S557" s="70">
        <f>'RESUMEN TOTAL'!AF689</f>
        <v>0</v>
      </c>
      <c r="T557" s="70">
        <f>'RESUMEN TOTAL'!AG689</f>
        <v>0</v>
      </c>
      <c r="U557" s="70">
        <f>'RESUMEN TOTAL'!AH689</f>
        <v>0</v>
      </c>
      <c r="V557" s="70">
        <f>'RESUMEN TOTAL'!AI689</f>
        <v>0</v>
      </c>
      <c r="W557" s="70">
        <f>'RESUMEN TOTAL'!AJ689</f>
        <v>0</v>
      </c>
      <c r="X557" s="70">
        <f>'RESUMEN TOTAL'!AK689</f>
        <v>0</v>
      </c>
      <c r="Y557" s="70">
        <f>'RESUMEN TOTAL'!AL689</f>
        <v>0</v>
      </c>
      <c r="Z557" s="70">
        <f>'RESUMEN TOTAL'!AM689</f>
        <v>0</v>
      </c>
      <c r="AA557" s="70">
        <f>'RESUMEN TOTAL'!AN689</f>
        <v>0</v>
      </c>
      <c r="AB557" s="70">
        <f>'RESUMEN TOTAL'!AO689</f>
        <v>0</v>
      </c>
      <c r="AC557" s="70">
        <f>'RESUMEN TOTAL'!AP689</f>
        <v>0</v>
      </c>
      <c r="AD557" s="70">
        <f>'RESUMEN TOTAL'!AQ689</f>
        <v>0</v>
      </c>
      <c r="AE557" s="70">
        <f>'RESUMEN TOTAL'!AR689</f>
        <v>0</v>
      </c>
      <c r="AF557" s="70">
        <f>'RESUMEN TOTAL'!AS689</f>
        <v>0</v>
      </c>
      <c r="AG557" s="70">
        <f>'RESUMEN TOTAL'!AT689</f>
        <v>0</v>
      </c>
      <c r="AH557" s="70">
        <f>'RESUMEN TOTAL'!AU689</f>
        <v>0</v>
      </c>
      <c r="AI557" s="70">
        <f>'RESUMEN TOTAL'!AV689</f>
        <v>0</v>
      </c>
      <c r="AJ557" s="70" t="e">
        <f>'RESUMEN TOTAL'!#REF!</f>
        <v>#REF!</v>
      </c>
    </row>
    <row r="558" spans="1:36" x14ac:dyDescent="0.25">
      <c r="A558">
        <f>'RESUMEN TOTAL'!F690</f>
        <v>0</v>
      </c>
      <c r="B558">
        <f>'RESUMEN TOTAL'!G690</f>
        <v>0</v>
      </c>
      <c r="C558">
        <f>'RESUMEN TOTAL'!I690</f>
        <v>0</v>
      </c>
      <c r="D558" s="30">
        <f>'RESUMEN TOTAL'!J690</f>
        <v>0</v>
      </c>
      <c r="E558" s="30">
        <f>'RESUMEN TOTAL'!K690</f>
        <v>0</v>
      </c>
      <c r="F558" s="70">
        <f>'RESUMEN TOTAL'!S690</f>
        <v>0</v>
      </c>
      <c r="G558" s="70">
        <f>'RESUMEN TOTAL'!T690</f>
        <v>0</v>
      </c>
      <c r="H558" s="70">
        <f>'RESUMEN TOTAL'!U690</f>
        <v>0</v>
      </c>
      <c r="I558" s="70">
        <f>'RESUMEN TOTAL'!V690</f>
        <v>0</v>
      </c>
      <c r="J558" s="70">
        <f>'RESUMEN TOTAL'!W690</f>
        <v>0</v>
      </c>
      <c r="K558" s="70">
        <f>'RESUMEN TOTAL'!X690</f>
        <v>0</v>
      </c>
      <c r="L558" s="70">
        <f>'RESUMEN TOTAL'!Y690</f>
        <v>0</v>
      </c>
      <c r="M558" s="70">
        <f>'RESUMEN TOTAL'!Z690</f>
        <v>0</v>
      </c>
      <c r="N558" s="70">
        <f>'RESUMEN TOTAL'!AA690</f>
        <v>0</v>
      </c>
      <c r="O558" s="70">
        <f>'RESUMEN TOTAL'!AB690</f>
        <v>0</v>
      </c>
      <c r="P558" s="70">
        <f>'RESUMEN TOTAL'!AC690</f>
        <v>0</v>
      </c>
      <c r="Q558" s="70">
        <f>'RESUMEN TOTAL'!AD690</f>
        <v>0</v>
      </c>
      <c r="R558" s="70">
        <f>'RESUMEN TOTAL'!AE690</f>
        <v>0</v>
      </c>
      <c r="S558" s="70">
        <f>'RESUMEN TOTAL'!AF690</f>
        <v>0</v>
      </c>
      <c r="T558" s="70">
        <f>'RESUMEN TOTAL'!AG690</f>
        <v>0</v>
      </c>
      <c r="U558" s="70">
        <f>'RESUMEN TOTAL'!AH690</f>
        <v>0</v>
      </c>
      <c r="V558" s="70">
        <f>'RESUMEN TOTAL'!AI690</f>
        <v>0</v>
      </c>
      <c r="W558" s="70">
        <f>'RESUMEN TOTAL'!AJ690</f>
        <v>0</v>
      </c>
      <c r="X558" s="70">
        <f>'RESUMEN TOTAL'!AK690</f>
        <v>0</v>
      </c>
      <c r="Y558" s="70">
        <f>'RESUMEN TOTAL'!AL690</f>
        <v>0</v>
      </c>
      <c r="Z558" s="70">
        <f>'RESUMEN TOTAL'!AM690</f>
        <v>0</v>
      </c>
      <c r="AA558" s="70">
        <f>'RESUMEN TOTAL'!AN690</f>
        <v>0</v>
      </c>
      <c r="AB558" s="70">
        <f>'RESUMEN TOTAL'!AO690</f>
        <v>0</v>
      </c>
      <c r="AC558" s="70">
        <f>'RESUMEN TOTAL'!AP690</f>
        <v>0</v>
      </c>
      <c r="AD558" s="70">
        <f>'RESUMEN TOTAL'!AQ690</f>
        <v>0</v>
      </c>
      <c r="AE558" s="70">
        <f>'RESUMEN TOTAL'!AR690</f>
        <v>0</v>
      </c>
      <c r="AF558" s="70">
        <f>'RESUMEN TOTAL'!AS690</f>
        <v>0</v>
      </c>
      <c r="AG558" s="70">
        <f>'RESUMEN TOTAL'!AT690</f>
        <v>0</v>
      </c>
      <c r="AH558" s="70">
        <f>'RESUMEN TOTAL'!AU690</f>
        <v>0</v>
      </c>
      <c r="AI558" s="70">
        <f>'RESUMEN TOTAL'!AV690</f>
        <v>0</v>
      </c>
      <c r="AJ558" s="70" t="e">
        <f>'RESUMEN TOTAL'!#REF!</f>
        <v>#REF!</v>
      </c>
    </row>
    <row r="559" spans="1:36" x14ac:dyDescent="0.25">
      <c r="A559">
        <f>'RESUMEN TOTAL'!F691</f>
        <v>0</v>
      </c>
      <c r="B559">
        <f>'RESUMEN TOTAL'!G691</f>
        <v>0</v>
      </c>
      <c r="C559">
        <f>'RESUMEN TOTAL'!I691</f>
        <v>0</v>
      </c>
      <c r="D559" s="30">
        <f>'RESUMEN TOTAL'!J691</f>
        <v>0</v>
      </c>
      <c r="E559" s="30">
        <f>'RESUMEN TOTAL'!K691</f>
        <v>0</v>
      </c>
      <c r="F559" s="70">
        <f>'RESUMEN TOTAL'!S691</f>
        <v>0</v>
      </c>
      <c r="G559" s="70">
        <f>'RESUMEN TOTAL'!T691</f>
        <v>0</v>
      </c>
      <c r="H559" s="70">
        <f>'RESUMEN TOTAL'!U691</f>
        <v>0</v>
      </c>
      <c r="I559" s="70">
        <f>'RESUMEN TOTAL'!V691</f>
        <v>0</v>
      </c>
      <c r="J559" s="70">
        <f>'RESUMEN TOTAL'!W691</f>
        <v>0</v>
      </c>
      <c r="K559" s="70">
        <f>'RESUMEN TOTAL'!X691</f>
        <v>0</v>
      </c>
      <c r="L559" s="70">
        <f>'RESUMEN TOTAL'!Y691</f>
        <v>0</v>
      </c>
      <c r="M559" s="70">
        <f>'RESUMEN TOTAL'!Z691</f>
        <v>0</v>
      </c>
      <c r="N559" s="70">
        <f>'RESUMEN TOTAL'!AA691</f>
        <v>0</v>
      </c>
      <c r="O559" s="70">
        <f>'RESUMEN TOTAL'!AB691</f>
        <v>0</v>
      </c>
      <c r="P559" s="70">
        <f>'RESUMEN TOTAL'!AC691</f>
        <v>0</v>
      </c>
      <c r="Q559" s="70">
        <f>'RESUMEN TOTAL'!AD691</f>
        <v>0</v>
      </c>
      <c r="R559" s="70">
        <f>'RESUMEN TOTAL'!AE691</f>
        <v>0</v>
      </c>
      <c r="S559" s="70">
        <f>'RESUMEN TOTAL'!AF691</f>
        <v>0</v>
      </c>
      <c r="T559" s="70">
        <f>'RESUMEN TOTAL'!AG691</f>
        <v>0</v>
      </c>
      <c r="U559" s="70">
        <f>'RESUMEN TOTAL'!AH691</f>
        <v>0</v>
      </c>
      <c r="V559" s="70">
        <f>'RESUMEN TOTAL'!AI691</f>
        <v>0</v>
      </c>
      <c r="W559" s="70">
        <f>'RESUMEN TOTAL'!AJ691</f>
        <v>0</v>
      </c>
      <c r="X559" s="70">
        <f>'RESUMEN TOTAL'!AK691</f>
        <v>0</v>
      </c>
      <c r="Y559" s="70">
        <f>'RESUMEN TOTAL'!AL691</f>
        <v>0</v>
      </c>
      <c r="Z559" s="70">
        <f>'RESUMEN TOTAL'!AM691</f>
        <v>0</v>
      </c>
      <c r="AA559" s="70">
        <f>'RESUMEN TOTAL'!AN691</f>
        <v>0</v>
      </c>
      <c r="AB559" s="70">
        <f>'RESUMEN TOTAL'!AO691</f>
        <v>0</v>
      </c>
      <c r="AC559" s="70">
        <f>'RESUMEN TOTAL'!AP691</f>
        <v>0</v>
      </c>
      <c r="AD559" s="70">
        <f>'RESUMEN TOTAL'!AQ691</f>
        <v>0</v>
      </c>
      <c r="AE559" s="70">
        <f>'RESUMEN TOTAL'!AR691</f>
        <v>0</v>
      </c>
      <c r="AF559" s="70">
        <f>'RESUMEN TOTAL'!AS691</f>
        <v>0</v>
      </c>
      <c r="AG559" s="70">
        <f>'RESUMEN TOTAL'!AT691</f>
        <v>0</v>
      </c>
      <c r="AH559" s="70">
        <f>'RESUMEN TOTAL'!AU691</f>
        <v>0</v>
      </c>
      <c r="AI559" s="70">
        <f>'RESUMEN TOTAL'!AV691</f>
        <v>0</v>
      </c>
      <c r="AJ559" s="70" t="e">
        <f>'RESUMEN TOTAL'!#REF!</f>
        <v>#REF!</v>
      </c>
    </row>
    <row r="560" spans="1:36" x14ac:dyDescent="0.25">
      <c r="A560">
        <f>'RESUMEN TOTAL'!F692</f>
        <v>0</v>
      </c>
      <c r="B560">
        <f>'RESUMEN TOTAL'!G692</f>
        <v>0</v>
      </c>
      <c r="C560">
        <f>'RESUMEN TOTAL'!I692</f>
        <v>0</v>
      </c>
      <c r="D560" s="30">
        <f>'RESUMEN TOTAL'!J692</f>
        <v>0</v>
      </c>
      <c r="E560" s="30">
        <f>'RESUMEN TOTAL'!K692</f>
        <v>0</v>
      </c>
      <c r="F560" s="70">
        <f>'RESUMEN TOTAL'!S692</f>
        <v>0</v>
      </c>
      <c r="G560" s="70">
        <f>'RESUMEN TOTAL'!T692</f>
        <v>0</v>
      </c>
      <c r="H560" s="70">
        <f>'RESUMEN TOTAL'!U692</f>
        <v>0</v>
      </c>
      <c r="I560" s="70">
        <f>'RESUMEN TOTAL'!V692</f>
        <v>0</v>
      </c>
      <c r="J560" s="70">
        <f>'RESUMEN TOTAL'!W692</f>
        <v>0</v>
      </c>
      <c r="K560" s="70">
        <f>'RESUMEN TOTAL'!X692</f>
        <v>0</v>
      </c>
      <c r="L560" s="70">
        <f>'RESUMEN TOTAL'!Y692</f>
        <v>0</v>
      </c>
      <c r="M560" s="70">
        <f>'RESUMEN TOTAL'!Z692</f>
        <v>0</v>
      </c>
      <c r="N560" s="70">
        <f>'RESUMEN TOTAL'!AA692</f>
        <v>0</v>
      </c>
      <c r="O560" s="70">
        <f>'RESUMEN TOTAL'!AB692</f>
        <v>0</v>
      </c>
      <c r="P560" s="70">
        <f>'RESUMEN TOTAL'!AC692</f>
        <v>0</v>
      </c>
      <c r="Q560" s="70">
        <f>'RESUMEN TOTAL'!AD692</f>
        <v>0</v>
      </c>
      <c r="R560" s="70">
        <f>'RESUMEN TOTAL'!AE692</f>
        <v>0</v>
      </c>
      <c r="S560" s="70">
        <f>'RESUMEN TOTAL'!AF692</f>
        <v>0</v>
      </c>
      <c r="T560" s="70">
        <f>'RESUMEN TOTAL'!AG692</f>
        <v>0</v>
      </c>
      <c r="U560" s="70">
        <f>'RESUMEN TOTAL'!AH692</f>
        <v>0</v>
      </c>
      <c r="V560" s="70">
        <f>'RESUMEN TOTAL'!AI692</f>
        <v>0</v>
      </c>
      <c r="W560" s="70">
        <f>'RESUMEN TOTAL'!AJ692</f>
        <v>0</v>
      </c>
      <c r="X560" s="70">
        <f>'RESUMEN TOTAL'!AK692</f>
        <v>0</v>
      </c>
      <c r="Y560" s="70">
        <f>'RESUMEN TOTAL'!AL692</f>
        <v>0</v>
      </c>
      <c r="Z560" s="70">
        <f>'RESUMEN TOTAL'!AM692</f>
        <v>0</v>
      </c>
      <c r="AA560" s="70">
        <f>'RESUMEN TOTAL'!AN692</f>
        <v>0</v>
      </c>
      <c r="AB560" s="70">
        <f>'RESUMEN TOTAL'!AO692</f>
        <v>0</v>
      </c>
      <c r="AC560" s="70">
        <f>'RESUMEN TOTAL'!AP692</f>
        <v>0</v>
      </c>
      <c r="AD560" s="70">
        <f>'RESUMEN TOTAL'!AQ692</f>
        <v>0</v>
      </c>
      <c r="AE560" s="70">
        <f>'RESUMEN TOTAL'!AR692</f>
        <v>0</v>
      </c>
      <c r="AF560" s="70">
        <f>'RESUMEN TOTAL'!AS692</f>
        <v>0</v>
      </c>
      <c r="AG560" s="70">
        <f>'RESUMEN TOTAL'!AT692</f>
        <v>0</v>
      </c>
      <c r="AH560" s="70">
        <f>'RESUMEN TOTAL'!AU692</f>
        <v>0</v>
      </c>
      <c r="AI560" s="70">
        <f>'RESUMEN TOTAL'!AV692</f>
        <v>0</v>
      </c>
      <c r="AJ560" s="70" t="e">
        <f>'RESUMEN TOTAL'!#REF!</f>
        <v>#REF!</v>
      </c>
    </row>
    <row r="561" spans="1:36" x14ac:dyDescent="0.25">
      <c r="A561">
        <f>'RESUMEN TOTAL'!F693</f>
        <v>0</v>
      </c>
      <c r="B561">
        <f>'RESUMEN TOTAL'!G693</f>
        <v>0</v>
      </c>
      <c r="C561">
        <f>'RESUMEN TOTAL'!I693</f>
        <v>0</v>
      </c>
      <c r="D561" s="30">
        <f>'RESUMEN TOTAL'!J693</f>
        <v>0</v>
      </c>
      <c r="E561" s="30">
        <f>'RESUMEN TOTAL'!K693</f>
        <v>0</v>
      </c>
      <c r="F561" s="70">
        <f>'RESUMEN TOTAL'!S693</f>
        <v>0</v>
      </c>
      <c r="G561" s="70">
        <f>'RESUMEN TOTAL'!T693</f>
        <v>0</v>
      </c>
      <c r="H561" s="70">
        <f>'RESUMEN TOTAL'!U693</f>
        <v>0</v>
      </c>
      <c r="I561" s="70">
        <f>'RESUMEN TOTAL'!V693</f>
        <v>0</v>
      </c>
      <c r="J561" s="70">
        <f>'RESUMEN TOTAL'!W693</f>
        <v>0</v>
      </c>
      <c r="K561" s="70">
        <f>'RESUMEN TOTAL'!X693</f>
        <v>0</v>
      </c>
      <c r="L561" s="70">
        <f>'RESUMEN TOTAL'!Y693</f>
        <v>0</v>
      </c>
      <c r="M561" s="70">
        <f>'RESUMEN TOTAL'!Z693</f>
        <v>0</v>
      </c>
      <c r="N561" s="70">
        <f>'RESUMEN TOTAL'!AA693</f>
        <v>0</v>
      </c>
      <c r="O561" s="70">
        <f>'RESUMEN TOTAL'!AB693</f>
        <v>0</v>
      </c>
      <c r="P561" s="70">
        <f>'RESUMEN TOTAL'!AC693</f>
        <v>0</v>
      </c>
      <c r="Q561" s="70">
        <f>'RESUMEN TOTAL'!AD693</f>
        <v>0</v>
      </c>
      <c r="R561" s="70">
        <f>'RESUMEN TOTAL'!AE693</f>
        <v>0</v>
      </c>
      <c r="S561" s="70">
        <f>'RESUMEN TOTAL'!AF693</f>
        <v>0</v>
      </c>
      <c r="T561" s="70">
        <f>'RESUMEN TOTAL'!AG693</f>
        <v>0</v>
      </c>
      <c r="U561" s="70">
        <f>'RESUMEN TOTAL'!AH693</f>
        <v>0</v>
      </c>
      <c r="V561" s="70">
        <f>'RESUMEN TOTAL'!AI693</f>
        <v>0</v>
      </c>
      <c r="W561" s="70">
        <f>'RESUMEN TOTAL'!AJ693</f>
        <v>0</v>
      </c>
      <c r="X561" s="70">
        <f>'RESUMEN TOTAL'!AK693</f>
        <v>0</v>
      </c>
      <c r="Y561" s="70">
        <f>'RESUMEN TOTAL'!AL693</f>
        <v>0</v>
      </c>
      <c r="Z561" s="70">
        <f>'RESUMEN TOTAL'!AM693</f>
        <v>0</v>
      </c>
      <c r="AA561" s="70">
        <f>'RESUMEN TOTAL'!AN693</f>
        <v>0</v>
      </c>
      <c r="AB561" s="70">
        <f>'RESUMEN TOTAL'!AO693</f>
        <v>0</v>
      </c>
      <c r="AC561" s="70">
        <f>'RESUMEN TOTAL'!AP693</f>
        <v>0</v>
      </c>
      <c r="AD561" s="70">
        <f>'RESUMEN TOTAL'!AQ693</f>
        <v>0</v>
      </c>
      <c r="AE561" s="70">
        <f>'RESUMEN TOTAL'!AR693</f>
        <v>0</v>
      </c>
      <c r="AF561" s="70">
        <f>'RESUMEN TOTAL'!AS693</f>
        <v>0</v>
      </c>
      <c r="AG561" s="70">
        <f>'RESUMEN TOTAL'!AT693</f>
        <v>0</v>
      </c>
      <c r="AH561" s="70">
        <f>'RESUMEN TOTAL'!AU693</f>
        <v>0</v>
      </c>
      <c r="AI561" s="70">
        <f>'RESUMEN TOTAL'!AV693</f>
        <v>0</v>
      </c>
      <c r="AJ561" s="70" t="e">
        <f>'RESUMEN TOTAL'!#REF!</f>
        <v>#REF!</v>
      </c>
    </row>
    <row r="562" spans="1:36" x14ac:dyDescent="0.25">
      <c r="A562">
        <f>'RESUMEN TOTAL'!F694</f>
        <v>0</v>
      </c>
      <c r="B562">
        <f>'RESUMEN TOTAL'!G694</f>
        <v>0</v>
      </c>
      <c r="C562">
        <f>'RESUMEN TOTAL'!I694</f>
        <v>0</v>
      </c>
      <c r="D562" s="30">
        <f>'RESUMEN TOTAL'!J694</f>
        <v>0</v>
      </c>
      <c r="E562" s="30">
        <f>'RESUMEN TOTAL'!K694</f>
        <v>0</v>
      </c>
      <c r="F562" s="70">
        <f>'RESUMEN TOTAL'!S694</f>
        <v>0</v>
      </c>
      <c r="G562" s="70">
        <f>'RESUMEN TOTAL'!T694</f>
        <v>0</v>
      </c>
      <c r="H562" s="70">
        <f>'RESUMEN TOTAL'!U694</f>
        <v>0</v>
      </c>
      <c r="I562" s="70">
        <f>'RESUMEN TOTAL'!V694</f>
        <v>0</v>
      </c>
      <c r="J562" s="70">
        <f>'RESUMEN TOTAL'!W694</f>
        <v>0</v>
      </c>
      <c r="K562" s="70">
        <f>'RESUMEN TOTAL'!X694</f>
        <v>0</v>
      </c>
      <c r="L562" s="70">
        <f>'RESUMEN TOTAL'!Y694</f>
        <v>0</v>
      </c>
      <c r="M562" s="70">
        <f>'RESUMEN TOTAL'!Z694</f>
        <v>0</v>
      </c>
      <c r="N562" s="70">
        <f>'RESUMEN TOTAL'!AA694</f>
        <v>0</v>
      </c>
      <c r="O562" s="70">
        <f>'RESUMEN TOTAL'!AB694</f>
        <v>0</v>
      </c>
      <c r="P562" s="70">
        <f>'RESUMEN TOTAL'!AC694</f>
        <v>0</v>
      </c>
      <c r="Q562" s="70">
        <f>'RESUMEN TOTAL'!AD694</f>
        <v>0</v>
      </c>
      <c r="R562" s="70">
        <f>'RESUMEN TOTAL'!AE694</f>
        <v>0</v>
      </c>
      <c r="S562" s="70">
        <f>'RESUMEN TOTAL'!AF694</f>
        <v>0</v>
      </c>
      <c r="T562" s="70">
        <f>'RESUMEN TOTAL'!AG694</f>
        <v>0</v>
      </c>
      <c r="U562" s="70">
        <f>'RESUMEN TOTAL'!AH694</f>
        <v>0</v>
      </c>
      <c r="V562" s="70">
        <f>'RESUMEN TOTAL'!AI694</f>
        <v>0</v>
      </c>
      <c r="W562" s="70">
        <f>'RESUMEN TOTAL'!AJ694</f>
        <v>0</v>
      </c>
      <c r="X562" s="70">
        <f>'RESUMEN TOTAL'!AK694</f>
        <v>0</v>
      </c>
      <c r="Y562" s="70">
        <f>'RESUMEN TOTAL'!AL694</f>
        <v>0</v>
      </c>
      <c r="Z562" s="70">
        <f>'RESUMEN TOTAL'!AM694</f>
        <v>0</v>
      </c>
      <c r="AA562" s="70">
        <f>'RESUMEN TOTAL'!AN694</f>
        <v>0</v>
      </c>
      <c r="AB562" s="70">
        <f>'RESUMEN TOTAL'!AO694</f>
        <v>0</v>
      </c>
      <c r="AC562" s="70">
        <f>'RESUMEN TOTAL'!AP694</f>
        <v>0</v>
      </c>
      <c r="AD562" s="70">
        <f>'RESUMEN TOTAL'!AQ694</f>
        <v>0</v>
      </c>
      <c r="AE562" s="70">
        <f>'RESUMEN TOTAL'!AR694</f>
        <v>0</v>
      </c>
      <c r="AF562" s="70">
        <f>'RESUMEN TOTAL'!AS694</f>
        <v>0</v>
      </c>
      <c r="AG562" s="70">
        <f>'RESUMEN TOTAL'!AT694</f>
        <v>0</v>
      </c>
      <c r="AH562" s="70">
        <f>'RESUMEN TOTAL'!AU694</f>
        <v>0</v>
      </c>
      <c r="AI562" s="70">
        <f>'RESUMEN TOTAL'!AV694</f>
        <v>0</v>
      </c>
      <c r="AJ562" s="70" t="e">
        <f>'RESUMEN TOTAL'!#REF!</f>
        <v>#REF!</v>
      </c>
    </row>
    <row r="563" spans="1:36" x14ac:dyDescent="0.25">
      <c r="A563">
        <f>'RESUMEN TOTAL'!F695</f>
        <v>0</v>
      </c>
      <c r="B563">
        <f>'RESUMEN TOTAL'!G695</f>
        <v>0</v>
      </c>
      <c r="C563">
        <f>'RESUMEN TOTAL'!I695</f>
        <v>0</v>
      </c>
      <c r="D563" s="30">
        <f>'RESUMEN TOTAL'!J695</f>
        <v>0</v>
      </c>
      <c r="E563" s="30">
        <f>'RESUMEN TOTAL'!K695</f>
        <v>0</v>
      </c>
      <c r="F563" s="70">
        <f>'RESUMEN TOTAL'!S695</f>
        <v>0</v>
      </c>
      <c r="G563" s="70">
        <f>'RESUMEN TOTAL'!T695</f>
        <v>0</v>
      </c>
      <c r="H563" s="70">
        <f>'RESUMEN TOTAL'!U695</f>
        <v>0</v>
      </c>
      <c r="I563" s="70">
        <f>'RESUMEN TOTAL'!V695</f>
        <v>0</v>
      </c>
      <c r="J563" s="70">
        <f>'RESUMEN TOTAL'!W695</f>
        <v>0</v>
      </c>
      <c r="K563" s="70">
        <f>'RESUMEN TOTAL'!X695</f>
        <v>0</v>
      </c>
      <c r="L563" s="70">
        <f>'RESUMEN TOTAL'!Y695</f>
        <v>0</v>
      </c>
      <c r="M563" s="70">
        <f>'RESUMEN TOTAL'!Z695</f>
        <v>0</v>
      </c>
      <c r="N563" s="70">
        <f>'RESUMEN TOTAL'!AA695</f>
        <v>0</v>
      </c>
      <c r="O563" s="70">
        <f>'RESUMEN TOTAL'!AB695</f>
        <v>0</v>
      </c>
      <c r="P563" s="70">
        <f>'RESUMEN TOTAL'!AC695</f>
        <v>0</v>
      </c>
      <c r="Q563" s="70">
        <f>'RESUMEN TOTAL'!AD695</f>
        <v>0</v>
      </c>
      <c r="R563" s="70">
        <f>'RESUMEN TOTAL'!AE695</f>
        <v>0</v>
      </c>
      <c r="S563" s="70">
        <f>'RESUMEN TOTAL'!AF695</f>
        <v>0</v>
      </c>
      <c r="T563" s="70">
        <f>'RESUMEN TOTAL'!AG695</f>
        <v>0</v>
      </c>
      <c r="U563" s="70">
        <f>'RESUMEN TOTAL'!AH695</f>
        <v>0</v>
      </c>
      <c r="V563" s="70">
        <f>'RESUMEN TOTAL'!AI695</f>
        <v>0</v>
      </c>
      <c r="W563" s="70">
        <f>'RESUMEN TOTAL'!AJ695</f>
        <v>0</v>
      </c>
      <c r="X563" s="70">
        <f>'RESUMEN TOTAL'!AK695</f>
        <v>0</v>
      </c>
      <c r="Y563" s="70">
        <f>'RESUMEN TOTAL'!AL695</f>
        <v>0</v>
      </c>
      <c r="Z563" s="70">
        <f>'RESUMEN TOTAL'!AM695</f>
        <v>0</v>
      </c>
      <c r="AA563" s="70">
        <f>'RESUMEN TOTAL'!AN695</f>
        <v>0</v>
      </c>
      <c r="AB563" s="70">
        <f>'RESUMEN TOTAL'!AO695</f>
        <v>0</v>
      </c>
      <c r="AC563" s="70">
        <f>'RESUMEN TOTAL'!AP695</f>
        <v>0</v>
      </c>
      <c r="AD563" s="70">
        <f>'RESUMEN TOTAL'!AQ695</f>
        <v>0</v>
      </c>
      <c r="AE563" s="70">
        <f>'RESUMEN TOTAL'!AR695</f>
        <v>0</v>
      </c>
      <c r="AF563" s="70">
        <f>'RESUMEN TOTAL'!AS695</f>
        <v>0</v>
      </c>
      <c r="AG563" s="70">
        <f>'RESUMEN TOTAL'!AT695</f>
        <v>0</v>
      </c>
      <c r="AH563" s="70">
        <f>'RESUMEN TOTAL'!AU695</f>
        <v>0</v>
      </c>
      <c r="AI563" s="70">
        <f>'RESUMEN TOTAL'!AV695</f>
        <v>0</v>
      </c>
      <c r="AJ563" s="70" t="e">
        <f>'RESUMEN TOTAL'!#REF!</f>
        <v>#REF!</v>
      </c>
    </row>
    <row r="564" spans="1:36" x14ac:dyDescent="0.25">
      <c r="A564">
        <f>'RESUMEN TOTAL'!F696</f>
        <v>0</v>
      </c>
      <c r="B564">
        <f>'RESUMEN TOTAL'!G696</f>
        <v>0</v>
      </c>
      <c r="C564">
        <f>'RESUMEN TOTAL'!I696</f>
        <v>0</v>
      </c>
      <c r="D564" s="30">
        <f>'RESUMEN TOTAL'!J696</f>
        <v>0</v>
      </c>
      <c r="E564" s="30">
        <f>'RESUMEN TOTAL'!K696</f>
        <v>0</v>
      </c>
      <c r="F564" s="70">
        <f>'RESUMEN TOTAL'!S696</f>
        <v>0</v>
      </c>
      <c r="G564" s="70">
        <f>'RESUMEN TOTAL'!T696</f>
        <v>0</v>
      </c>
      <c r="H564" s="70">
        <f>'RESUMEN TOTAL'!U696</f>
        <v>0</v>
      </c>
      <c r="I564" s="70">
        <f>'RESUMEN TOTAL'!V696</f>
        <v>0</v>
      </c>
      <c r="J564" s="70">
        <f>'RESUMEN TOTAL'!W696</f>
        <v>0</v>
      </c>
      <c r="K564" s="70">
        <f>'RESUMEN TOTAL'!X696</f>
        <v>0</v>
      </c>
      <c r="L564" s="70">
        <f>'RESUMEN TOTAL'!Y696</f>
        <v>0</v>
      </c>
      <c r="M564" s="70">
        <f>'RESUMEN TOTAL'!Z696</f>
        <v>0</v>
      </c>
      <c r="N564" s="70">
        <f>'RESUMEN TOTAL'!AA696</f>
        <v>0</v>
      </c>
      <c r="O564" s="70">
        <f>'RESUMEN TOTAL'!AB696</f>
        <v>0</v>
      </c>
      <c r="P564" s="70">
        <f>'RESUMEN TOTAL'!AC696</f>
        <v>0</v>
      </c>
      <c r="Q564" s="70">
        <f>'RESUMEN TOTAL'!AD696</f>
        <v>0</v>
      </c>
      <c r="R564" s="70">
        <f>'RESUMEN TOTAL'!AE696</f>
        <v>0</v>
      </c>
      <c r="S564" s="70">
        <f>'RESUMEN TOTAL'!AF696</f>
        <v>0</v>
      </c>
      <c r="T564" s="70">
        <f>'RESUMEN TOTAL'!AG696</f>
        <v>0</v>
      </c>
      <c r="U564" s="70">
        <f>'RESUMEN TOTAL'!AH696</f>
        <v>0</v>
      </c>
      <c r="V564" s="70">
        <f>'RESUMEN TOTAL'!AI696</f>
        <v>0</v>
      </c>
      <c r="W564" s="70">
        <f>'RESUMEN TOTAL'!AJ696</f>
        <v>0</v>
      </c>
      <c r="X564" s="70">
        <f>'RESUMEN TOTAL'!AK696</f>
        <v>0</v>
      </c>
      <c r="Y564" s="70">
        <f>'RESUMEN TOTAL'!AL696</f>
        <v>0</v>
      </c>
      <c r="Z564" s="70">
        <f>'RESUMEN TOTAL'!AM696</f>
        <v>0</v>
      </c>
      <c r="AA564" s="70">
        <f>'RESUMEN TOTAL'!AN696</f>
        <v>0</v>
      </c>
      <c r="AB564" s="70">
        <f>'RESUMEN TOTAL'!AO696</f>
        <v>0</v>
      </c>
      <c r="AC564" s="70">
        <f>'RESUMEN TOTAL'!AP696</f>
        <v>0</v>
      </c>
      <c r="AD564" s="70">
        <f>'RESUMEN TOTAL'!AQ696</f>
        <v>0</v>
      </c>
      <c r="AE564" s="70">
        <f>'RESUMEN TOTAL'!AR696</f>
        <v>0</v>
      </c>
      <c r="AF564" s="70">
        <f>'RESUMEN TOTAL'!AS696</f>
        <v>0</v>
      </c>
      <c r="AG564" s="70">
        <f>'RESUMEN TOTAL'!AT696</f>
        <v>0</v>
      </c>
      <c r="AH564" s="70">
        <f>'RESUMEN TOTAL'!AU696</f>
        <v>0</v>
      </c>
      <c r="AI564" s="70">
        <f>'RESUMEN TOTAL'!AV696</f>
        <v>0</v>
      </c>
      <c r="AJ564" s="70" t="e">
        <f>'RESUMEN TOTAL'!#REF!</f>
        <v>#REF!</v>
      </c>
    </row>
    <row r="565" spans="1:36" x14ac:dyDescent="0.25">
      <c r="A565">
        <f>'RESUMEN TOTAL'!F697</f>
        <v>0</v>
      </c>
      <c r="B565">
        <f>'RESUMEN TOTAL'!G697</f>
        <v>0</v>
      </c>
      <c r="C565">
        <f>'RESUMEN TOTAL'!I697</f>
        <v>0</v>
      </c>
      <c r="D565" s="30">
        <f>'RESUMEN TOTAL'!J697</f>
        <v>0</v>
      </c>
      <c r="E565" s="30">
        <f>'RESUMEN TOTAL'!K697</f>
        <v>0</v>
      </c>
      <c r="F565" s="70">
        <f>'RESUMEN TOTAL'!S697</f>
        <v>0</v>
      </c>
      <c r="G565" s="70">
        <f>'RESUMEN TOTAL'!T697</f>
        <v>0</v>
      </c>
      <c r="H565" s="70">
        <f>'RESUMEN TOTAL'!U697</f>
        <v>0</v>
      </c>
      <c r="I565" s="70">
        <f>'RESUMEN TOTAL'!V697</f>
        <v>0</v>
      </c>
      <c r="J565" s="70">
        <f>'RESUMEN TOTAL'!W697</f>
        <v>0</v>
      </c>
      <c r="K565" s="70">
        <f>'RESUMEN TOTAL'!X697</f>
        <v>0</v>
      </c>
      <c r="L565" s="70">
        <f>'RESUMEN TOTAL'!Y697</f>
        <v>0</v>
      </c>
      <c r="M565" s="70">
        <f>'RESUMEN TOTAL'!Z697</f>
        <v>0</v>
      </c>
      <c r="N565" s="70">
        <f>'RESUMEN TOTAL'!AA697</f>
        <v>0</v>
      </c>
      <c r="O565" s="70">
        <f>'RESUMEN TOTAL'!AB697</f>
        <v>0</v>
      </c>
      <c r="P565" s="70">
        <f>'RESUMEN TOTAL'!AC697</f>
        <v>0</v>
      </c>
      <c r="Q565" s="70">
        <f>'RESUMEN TOTAL'!AD697</f>
        <v>0</v>
      </c>
      <c r="R565" s="70">
        <f>'RESUMEN TOTAL'!AE697</f>
        <v>0</v>
      </c>
      <c r="S565" s="70">
        <f>'RESUMEN TOTAL'!AF697</f>
        <v>0</v>
      </c>
      <c r="T565" s="70">
        <f>'RESUMEN TOTAL'!AG697</f>
        <v>0</v>
      </c>
      <c r="U565" s="70">
        <f>'RESUMEN TOTAL'!AH697</f>
        <v>0</v>
      </c>
      <c r="V565" s="70">
        <f>'RESUMEN TOTAL'!AI697</f>
        <v>0</v>
      </c>
      <c r="W565" s="70">
        <f>'RESUMEN TOTAL'!AJ697</f>
        <v>0</v>
      </c>
      <c r="X565" s="70">
        <f>'RESUMEN TOTAL'!AK697</f>
        <v>0</v>
      </c>
      <c r="Y565" s="70">
        <f>'RESUMEN TOTAL'!AL697</f>
        <v>0</v>
      </c>
      <c r="Z565" s="70">
        <f>'RESUMEN TOTAL'!AM697</f>
        <v>0</v>
      </c>
      <c r="AA565" s="70">
        <f>'RESUMEN TOTAL'!AN697</f>
        <v>0</v>
      </c>
      <c r="AB565" s="70">
        <f>'RESUMEN TOTAL'!AO697</f>
        <v>0</v>
      </c>
      <c r="AC565" s="70">
        <f>'RESUMEN TOTAL'!AP697</f>
        <v>0</v>
      </c>
      <c r="AD565" s="70">
        <f>'RESUMEN TOTAL'!AQ697</f>
        <v>0</v>
      </c>
      <c r="AE565" s="70">
        <f>'RESUMEN TOTAL'!AR697</f>
        <v>0</v>
      </c>
      <c r="AF565" s="70">
        <f>'RESUMEN TOTAL'!AS697</f>
        <v>0</v>
      </c>
      <c r="AG565" s="70">
        <f>'RESUMEN TOTAL'!AT697</f>
        <v>0</v>
      </c>
      <c r="AH565" s="70">
        <f>'RESUMEN TOTAL'!AU697</f>
        <v>0</v>
      </c>
      <c r="AI565" s="70">
        <f>'RESUMEN TOTAL'!AV697</f>
        <v>0</v>
      </c>
      <c r="AJ565" s="70" t="e">
        <f>'RESUMEN TOTAL'!#REF!</f>
        <v>#REF!</v>
      </c>
    </row>
    <row r="566" spans="1:36" x14ac:dyDescent="0.25">
      <c r="A566">
        <f>'RESUMEN TOTAL'!F698</f>
        <v>0</v>
      </c>
      <c r="B566">
        <f>'RESUMEN TOTAL'!G698</f>
        <v>0</v>
      </c>
      <c r="C566">
        <f>'RESUMEN TOTAL'!I698</f>
        <v>0</v>
      </c>
      <c r="D566" s="30">
        <f>'RESUMEN TOTAL'!J698</f>
        <v>0</v>
      </c>
      <c r="E566" s="30">
        <f>'RESUMEN TOTAL'!K698</f>
        <v>0</v>
      </c>
      <c r="F566" s="70">
        <f>'RESUMEN TOTAL'!S698</f>
        <v>0</v>
      </c>
      <c r="G566" s="70">
        <f>'RESUMEN TOTAL'!T698</f>
        <v>0</v>
      </c>
      <c r="H566" s="70">
        <f>'RESUMEN TOTAL'!U698</f>
        <v>0</v>
      </c>
      <c r="I566" s="70">
        <f>'RESUMEN TOTAL'!V698</f>
        <v>0</v>
      </c>
      <c r="J566" s="70">
        <f>'RESUMEN TOTAL'!W698</f>
        <v>0</v>
      </c>
      <c r="K566" s="70">
        <f>'RESUMEN TOTAL'!X698</f>
        <v>0</v>
      </c>
      <c r="L566" s="70">
        <f>'RESUMEN TOTAL'!Y698</f>
        <v>0</v>
      </c>
      <c r="M566" s="70">
        <f>'RESUMEN TOTAL'!Z698</f>
        <v>0</v>
      </c>
      <c r="N566" s="70">
        <f>'RESUMEN TOTAL'!AA698</f>
        <v>0</v>
      </c>
      <c r="O566" s="70">
        <f>'RESUMEN TOTAL'!AB698</f>
        <v>0</v>
      </c>
      <c r="P566" s="70">
        <f>'RESUMEN TOTAL'!AC698</f>
        <v>0</v>
      </c>
      <c r="Q566" s="70">
        <f>'RESUMEN TOTAL'!AD698</f>
        <v>0</v>
      </c>
      <c r="R566" s="70">
        <f>'RESUMEN TOTAL'!AE698</f>
        <v>0</v>
      </c>
      <c r="S566" s="70">
        <f>'RESUMEN TOTAL'!AF698</f>
        <v>0</v>
      </c>
      <c r="T566" s="70">
        <f>'RESUMEN TOTAL'!AG698</f>
        <v>0</v>
      </c>
      <c r="U566" s="70">
        <f>'RESUMEN TOTAL'!AH698</f>
        <v>0</v>
      </c>
      <c r="V566" s="70">
        <f>'RESUMEN TOTAL'!AI698</f>
        <v>0</v>
      </c>
      <c r="W566" s="70">
        <f>'RESUMEN TOTAL'!AJ698</f>
        <v>0</v>
      </c>
      <c r="X566" s="70">
        <f>'RESUMEN TOTAL'!AK698</f>
        <v>0</v>
      </c>
      <c r="Y566" s="70">
        <f>'RESUMEN TOTAL'!AL698</f>
        <v>0</v>
      </c>
      <c r="Z566" s="70">
        <f>'RESUMEN TOTAL'!AM698</f>
        <v>0</v>
      </c>
      <c r="AA566" s="70">
        <f>'RESUMEN TOTAL'!AN698</f>
        <v>0</v>
      </c>
      <c r="AB566" s="70">
        <f>'RESUMEN TOTAL'!AO698</f>
        <v>0</v>
      </c>
      <c r="AC566" s="70">
        <f>'RESUMEN TOTAL'!AP698</f>
        <v>0</v>
      </c>
      <c r="AD566" s="70">
        <f>'RESUMEN TOTAL'!AQ698</f>
        <v>0</v>
      </c>
      <c r="AE566" s="70">
        <f>'RESUMEN TOTAL'!AR698</f>
        <v>0</v>
      </c>
      <c r="AF566" s="70">
        <f>'RESUMEN TOTAL'!AS698</f>
        <v>0</v>
      </c>
      <c r="AG566" s="70">
        <f>'RESUMEN TOTAL'!AT698</f>
        <v>0</v>
      </c>
      <c r="AH566" s="70">
        <f>'RESUMEN TOTAL'!AU698</f>
        <v>0</v>
      </c>
      <c r="AI566" s="70">
        <f>'RESUMEN TOTAL'!AV698</f>
        <v>0</v>
      </c>
      <c r="AJ566" s="70" t="e">
        <f>'RESUMEN TOTAL'!#REF!</f>
        <v>#REF!</v>
      </c>
    </row>
    <row r="567" spans="1:36" x14ac:dyDescent="0.25">
      <c r="A567">
        <f>'RESUMEN TOTAL'!F699</f>
        <v>0</v>
      </c>
      <c r="B567">
        <f>'RESUMEN TOTAL'!G699</f>
        <v>0</v>
      </c>
      <c r="C567">
        <f>'RESUMEN TOTAL'!I699</f>
        <v>0</v>
      </c>
      <c r="D567" s="30">
        <f>'RESUMEN TOTAL'!J699</f>
        <v>0</v>
      </c>
      <c r="E567" s="30">
        <f>'RESUMEN TOTAL'!K699</f>
        <v>0</v>
      </c>
      <c r="F567" s="70">
        <f>'RESUMEN TOTAL'!S699</f>
        <v>0</v>
      </c>
      <c r="G567" s="70">
        <f>'RESUMEN TOTAL'!T699</f>
        <v>0</v>
      </c>
      <c r="H567" s="70">
        <f>'RESUMEN TOTAL'!U699</f>
        <v>0</v>
      </c>
      <c r="I567" s="70">
        <f>'RESUMEN TOTAL'!V699</f>
        <v>0</v>
      </c>
      <c r="J567" s="70">
        <f>'RESUMEN TOTAL'!W699</f>
        <v>0</v>
      </c>
      <c r="K567" s="70">
        <f>'RESUMEN TOTAL'!X699</f>
        <v>0</v>
      </c>
      <c r="L567" s="70">
        <f>'RESUMEN TOTAL'!Y699</f>
        <v>0</v>
      </c>
      <c r="M567" s="70">
        <f>'RESUMEN TOTAL'!Z699</f>
        <v>0</v>
      </c>
      <c r="N567" s="70">
        <f>'RESUMEN TOTAL'!AA699</f>
        <v>0</v>
      </c>
      <c r="O567" s="70">
        <f>'RESUMEN TOTAL'!AB699</f>
        <v>0</v>
      </c>
      <c r="P567" s="70">
        <f>'RESUMEN TOTAL'!AC699</f>
        <v>0</v>
      </c>
      <c r="Q567" s="70">
        <f>'RESUMEN TOTAL'!AD699</f>
        <v>0</v>
      </c>
      <c r="R567" s="70">
        <f>'RESUMEN TOTAL'!AE699</f>
        <v>0</v>
      </c>
      <c r="S567" s="70">
        <f>'RESUMEN TOTAL'!AF699</f>
        <v>0</v>
      </c>
      <c r="T567" s="70">
        <f>'RESUMEN TOTAL'!AG699</f>
        <v>0</v>
      </c>
      <c r="U567" s="70">
        <f>'RESUMEN TOTAL'!AH699</f>
        <v>0</v>
      </c>
      <c r="V567" s="70">
        <f>'RESUMEN TOTAL'!AI699</f>
        <v>0</v>
      </c>
      <c r="W567" s="70">
        <f>'RESUMEN TOTAL'!AJ699</f>
        <v>0</v>
      </c>
      <c r="X567" s="70">
        <f>'RESUMEN TOTAL'!AK699</f>
        <v>0</v>
      </c>
      <c r="Y567" s="70">
        <f>'RESUMEN TOTAL'!AL699</f>
        <v>0</v>
      </c>
      <c r="Z567" s="70">
        <f>'RESUMEN TOTAL'!AM699</f>
        <v>0</v>
      </c>
      <c r="AA567" s="70">
        <f>'RESUMEN TOTAL'!AN699</f>
        <v>0</v>
      </c>
      <c r="AB567" s="70">
        <f>'RESUMEN TOTAL'!AO699</f>
        <v>0</v>
      </c>
      <c r="AC567" s="70">
        <f>'RESUMEN TOTAL'!AP699</f>
        <v>0</v>
      </c>
      <c r="AD567" s="70">
        <f>'RESUMEN TOTAL'!AQ699</f>
        <v>0</v>
      </c>
      <c r="AE567" s="70">
        <f>'RESUMEN TOTAL'!AR699</f>
        <v>0</v>
      </c>
      <c r="AF567" s="70">
        <f>'RESUMEN TOTAL'!AS699</f>
        <v>0</v>
      </c>
      <c r="AG567" s="70">
        <f>'RESUMEN TOTAL'!AT699</f>
        <v>0</v>
      </c>
      <c r="AH567" s="70">
        <f>'RESUMEN TOTAL'!AU699</f>
        <v>0</v>
      </c>
      <c r="AI567" s="70">
        <f>'RESUMEN TOTAL'!AV699</f>
        <v>0</v>
      </c>
      <c r="AJ567" s="70" t="e">
        <f>'RESUMEN TOTAL'!#REF!</f>
        <v>#REF!</v>
      </c>
    </row>
    <row r="568" spans="1:36" x14ac:dyDescent="0.25">
      <c r="A568">
        <f>'RESUMEN TOTAL'!F700</f>
        <v>0</v>
      </c>
      <c r="B568">
        <f>'RESUMEN TOTAL'!G700</f>
        <v>0</v>
      </c>
      <c r="C568">
        <f>'RESUMEN TOTAL'!I700</f>
        <v>0</v>
      </c>
      <c r="D568" s="30">
        <f>'RESUMEN TOTAL'!J700</f>
        <v>0</v>
      </c>
      <c r="E568" s="30">
        <f>'RESUMEN TOTAL'!K700</f>
        <v>0</v>
      </c>
      <c r="F568" s="70">
        <f>'RESUMEN TOTAL'!S700</f>
        <v>0</v>
      </c>
      <c r="G568" s="70">
        <f>'RESUMEN TOTAL'!T700</f>
        <v>0</v>
      </c>
      <c r="H568" s="70">
        <f>'RESUMEN TOTAL'!U700</f>
        <v>0</v>
      </c>
      <c r="I568" s="70">
        <f>'RESUMEN TOTAL'!V700</f>
        <v>0</v>
      </c>
      <c r="J568" s="70">
        <f>'RESUMEN TOTAL'!W700</f>
        <v>0</v>
      </c>
      <c r="K568" s="70">
        <f>'RESUMEN TOTAL'!X700</f>
        <v>0</v>
      </c>
      <c r="L568" s="70">
        <f>'RESUMEN TOTAL'!Y700</f>
        <v>0</v>
      </c>
      <c r="M568" s="70">
        <f>'RESUMEN TOTAL'!Z700</f>
        <v>0</v>
      </c>
      <c r="N568" s="70">
        <f>'RESUMEN TOTAL'!AA700</f>
        <v>0</v>
      </c>
      <c r="O568" s="70">
        <f>'RESUMEN TOTAL'!AB700</f>
        <v>0</v>
      </c>
      <c r="P568" s="70">
        <f>'RESUMEN TOTAL'!AC700</f>
        <v>0</v>
      </c>
      <c r="Q568" s="70">
        <f>'RESUMEN TOTAL'!AD700</f>
        <v>0</v>
      </c>
      <c r="R568" s="70">
        <f>'RESUMEN TOTAL'!AE700</f>
        <v>0</v>
      </c>
      <c r="S568" s="70">
        <f>'RESUMEN TOTAL'!AF700</f>
        <v>0</v>
      </c>
      <c r="T568" s="70">
        <f>'RESUMEN TOTAL'!AG700</f>
        <v>0</v>
      </c>
      <c r="U568" s="70">
        <f>'RESUMEN TOTAL'!AH700</f>
        <v>0</v>
      </c>
      <c r="V568" s="70">
        <f>'RESUMEN TOTAL'!AI700</f>
        <v>0</v>
      </c>
      <c r="W568" s="70">
        <f>'RESUMEN TOTAL'!AJ700</f>
        <v>0</v>
      </c>
      <c r="X568" s="70">
        <f>'RESUMEN TOTAL'!AK700</f>
        <v>0</v>
      </c>
      <c r="Y568" s="70">
        <f>'RESUMEN TOTAL'!AL700</f>
        <v>0</v>
      </c>
      <c r="Z568" s="70">
        <f>'RESUMEN TOTAL'!AM700</f>
        <v>0</v>
      </c>
      <c r="AA568" s="70">
        <f>'RESUMEN TOTAL'!AN700</f>
        <v>0</v>
      </c>
      <c r="AB568" s="70">
        <f>'RESUMEN TOTAL'!AO700</f>
        <v>0</v>
      </c>
      <c r="AC568" s="70">
        <f>'RESUMEN TOTAL'!AP700</f>
        <v>0</v>
      </c>
      <c r="AD568" s="70">
        <f>'RESUMEN TOTAL'!AQ700</f>
        <v>0</v>
      </c>
      <c r="AE568" s="70">
        <f>'RESUMEN TOTAL'!AR700</f>
        <v>0</v>
      </c>
      <c r="AF568" s="70">
        <f>'RESUMEN TOTAL'!AS700</f>
        <v>0</v>
      </c>
      <c r="AG568" s="70">
        <f>'RESUMEN TOTAL'!AT700</f>
        <v>0</v>
      </c>
      <c r="AH568" s="70">
        <f>'RESUMEN TOTAL'!AU700</f>
        <v>0</v>
      </c>
      <c r="AI568" s="70">
        <f>'RESUMEN TOTAL'!AV700</f>
        <v>0</v>
      </c>
      <c r="AJ568" s="70" t="e">
        <f>'RESUMEN TOTAL'!#REF!</f>
        <v>#REF!</v>
      </c>
    </row>
    <row r="569" spans="1:36" x14ac:dyDescent="0.25">
      <c r="A569">
        <f>'RESUMEN TOTAL'!F701</f>
        <v>0</v>
      </c>
      <c r="B569">
        <f>'RESUMEN TOTAL'!G701</f>
        <v>0</v>
      </c>
      <c r="C569">
        <f>'RESUMEN TOTAL'!I701</f>
        <v>0</v>
      </c>
      <c r="D569" s="30">
        <f>'RESUMEN TOTAL'!J701</f>
        <v>0</v>
      </c>
      <c r="E569" s="30">
        <f>'RESUMEN TOTAL'!K701</f>
        <v>0</v>
      </c>
      <c r="F569" s="70">
        <f>'RESUMEN TOTAL'!S701</f>
        <v>0</v>
      </c>
      <c r="G569" s="70">
        <f>'RESUMEN TOTAL'!T701</f>
        <v>0</v>
      </c>
      <c r="H569" s="70">
        <f>'RESUMEN TOTAL'!U701</f>
        <v>0</v>
      </c>
      <c r="I569" s="70">
        <f>'RESUMEN TOTAL'!V701</f>
        <v>0</v>
      </c>
      <c r="J569" s="70">
        <f>'RESUMEN TOTAL'!W701</f>
        <v>0</v>
      </c>
      <c r="K569" s="70">
        <f>'RESUMEN TOTAL'!X701</f>
        <v>0</v>
      </c>
      <c r="L569" s="70">
        <f>'RESUMEN TOTAL'!Y701</f>
        <v>0</v>
      </c>
      <c r="M569" s="70">
        <f>'RESUMEN TOTAL'!Z701</f>
        <v>0</v>
      </c>
      <c r="N569" s="70">
        <f>'RESUMEN TOTAL'!AA701</f>
        <v>0</v>
      </c>
      <c r="O569" s="70">
        <f>'RESUMEN TOTAL'!AB701</f>
        <v>0</v>
      </c>
      <c r="P569" s="70">
        <f>'RESUMEN TOTAL'!AC701</f>
        <v>0</v>
      </c>
      <c r="Q569" s="70">
        <f>'RESUMEN TOTAL'!AD701</f>
        <v>0</v>
      </c>
      <c r="R569" s="70">
        <f>'RESUMEN TOTAL'!AE701</f>
        <v>0</v>
      </c>
      <c r="S569" s="70">
        <f>'RESUMEN TOTAL'!AF701</f>
        <v>0</v>
      </c>
      <c r="T569" s="70">
        <f>'RESUMEN TOTAL'!AG701</f>
        <v>0</v>
      </c>
      <c r="U569" s="70">
        <f>'RESUMEN TOTAL'!AH701</f>
        <v>0</v>
      </c>
      <c r="V569" s="70">
        <f>'RESUMEN TOTAL'!AI701</f>
        <v>0</v>
      </c>
      <c r="W569" s="70">
        <f>'RESUMEN TOTAL'!AJ701</f>
        <v>0</v>
      </c>
      <c r="X569" s="70">
        <f>'RESUMEN TOTAL'!AK701</f>
        <v>0</v>
      </c>
      <c r="Y569" s="70">
        <f>'RESUMEN TOTAL'!AL701</f>
        <v>0</v>
      </c>
      <c r="Z569" s="70">
        <f>'RESUMEN TOTAL'!AM701</f>
        <v>0</v>
      </c>
      <c r="AA569" s="70">
        <f>'RESUMEN TOTAL'!AN701</f>
        <v>0</v>
      </c>
      <c r="AB569" s="70">
        <f>'RESUMEN TOTAL'!AO701</f>
        <v>0</v>
      </c>
      <c r="AC569" s="70">
        <f>'RESUMEN TOTAL'!AP701</f>
        <v>0</v>
      </c>
      <c r="AD569" s="70">
        <f>'RESUMEN TOTAL'!AQ701</f>
        <v>0</v>
      </c>
      <c r="AE569" s="70">
        <f>'RESUMEN TOTAL'!AR701</f>
        <v>0</v>
      </c>
      <c r="AF569" s="70">
        <f>'RESUMEN TOTAL'!AS701</f>
        <v>0</v>
      </c>
      <c r="AG569" s="70">
        <f>'RESUMEN TOTAL'!AT701</f>
        <v>0</v>
      </c>
      <c r="AH569" s="70">
        <f>'RESUMEN TOTAL'!AU701</f>
        <v>0</v>
      </c>
      <c r="AI569" s="70">
        <f>'RESUMEN TOTAL'!AV701</f>
        <v>0</v>
      </c>
      <c r="AJ569" s="70" t="e">
        <f>'RESUMEN TOTAL'!#REF!</f>
        <v>#REF!</v>
      </c>
    </row>
    <row r="570" spans="1:36" x14ac:dyDescent="0.25">
      <c r="A570">
        <f>'RESUMEN TOTAL'!F702</f>
        <v>0</v>
      </c>
      <c r="B570">
        <f>'RESUMEN TOTAL'!G702</f>
        <v>0</v>
      </c>
      <c r="C570">
        <f>'RESUMEN TOTAL'!I702</f>
        <v>0</v>
      </c>
      <c r="D570" s="30">
        <f>'RESUMEN TOTAL'!J702</f>
        <v>0</v>
      </c>
      <c r="E570" s="30">
        <f>'RESUMEN TOTAL'!K702</f>
        <v>0</v>
      </c>
      <c r="F570" s="70">
        <f>'RESUMEN TOTAL'!S702</f>
        <v>0</v>
      </c>
      <c r="G570" s="70">
        <f>'RESUMEN TOTAL'!T702</f>
        <v>0</v>
      </c>
      <c r="H570" s="70">
        <f>'RESUMEN TOTAL'!U702</f>
        <v>0</v>
      </c>
      <c r="I570" s="70">
        <f>'RESUMEN TOTAL'!V702</f>
        <v>0</v>
      </c>
      <c r="J570" s="70">
        <f>'RESUMEN TOTAL'!W702</f>
        <v>0</v>
      </c>
      <c r="K570" s="70">
        <f>'RESUMEN TOTAL'!X702</f>
        <v>0</v>
      </c>
      <c r="L570" s="70">
        <f>'RESUMEN TOTAL'!Y702</f>
        <v>0</v>
      </c>
      <c r="M570" s="70">
        <f>'RESUMEN TOTAL'!Z702</f>
        <v>0</v>
      </c>
      <c r="N570" s="70">
        <f>'RESUMEN TOTAL'!AA702</f>
        <v>0</v>
      </c>
      <c r="O570" s="70">
        <f>'RESUMEN TOTAL'!AB702</f>
        <v>0</v>
      </c>
      <c r="P570" s="70">
        <f>'RESUMEN TOTAL'!AC702</f>
        <v>0</v>
      </c>
      <c r="Q570" s="70">
        <f>'RESUMEN TOTAL'!AD702</f>
        <v>0</v>
      </c>
      <c r="R570" s="70">
        <f>'RESUMEN TOTAL'!AE702</f>
        <v>0</v>
      </c>
      <c r="S570" s="70">
        <f>'RESUMEN TOTAL'!AF702</f>
        <v>0</v>
      </c>
      <c r="T570" s="70">
        <f>'RESUMEN TOTAL'!AG702</f>
        <v>0</v>
      </c>
      <c r="U570" s="70">
        <f>'RESUMEN TOTAL'!AH702</f>
        <v>0</v>
      </c>
      <c r="V570" s="70">
        <f>'RESUMEN TOTAL'!AI702</f>
        <v>0</v>
      </c>
      <c r="W570" s="70">
        <f>'RESUMEN TOTAL'!AJ702</f>
        <v>0</v>
      </c>
      <c r="X570" s="70">
        <f>'RESUMEN TOTAL'!AK702</f>
        <v>0</v>
      </c>
      <c r="Y570" s="70">
        <f>'RESUMEN TOTAL'!AL702</f>
        <v>0</v>
      </c>
      <c r="Z570" s="70">
        <f>'RESUMEN TOTAL'!AM702</f>
        <v>0</v>
      </c>
      <c r="AA570" s="70">
        <f>'RESUMEN TOTAL'!AN702</f>
        <v>0</v>
      </c>
      <c r="AB570" s="70">
        <f>'RESUMEN TOTAL'!AO702</f>
        <v>0</v>
      </c>
      <c r="AC570" s="70">
        <f>'RESUMEN TOTAL'!AP702</f>
        <v>0</v>
      </c>
      <c r="AD570" s="70">
        <f>'RESUMEN TOTAL'!AQ702</f>
        <v>0</v>
      </c>
      <c r="AE570" s="70">
        <f>'RESUMEN TOTAL'!AR702</f>
        <v>0</v>
      </c>
      <c r="AF570" s="70">
        <f>'RESUMEN TOTAL'!AS702</f>
        <v>0</v>
      </c>
      <c r="AG570" s="70">
        <f>'RESUMEN TOTAL'!AT702</f>
        <v>0</v>
      </c>
      <c r="AH570" s="70">
        <f>'RESUMEN TOTAL'!AU702</f>
        <v>0</v>
      </c>
      <c r="AI570" s="70">
        <f>'RESUMEN TOTAL'!AV702</f>
        <v>0</v>
      </c>
      <c r="AJ570" s="70" t="e">
        <f>'RESUMEN TOTAL'!#REF!</f>
        <v>#REF!</v>
      </c>
    </row>
    <row r="571" spans="1:36" x14ac:dyDescent="0.25">
      <c r="A571">
        <f>'RESUMEN TOTAL'!F703</f>
        <v>0</v>
      </c>
      <c r="B571">
        <f>'RESUMEN TOTAL'!G703</f>
        <v>0</v>
      </c>
      <c r="C571">
        <f>'RESUMEN TOTAL'!I703</f>
        <v>0</v>
      </c>
      <c r="D571" s="30">
        <f>'RESUMEN TOTAL'!J703</f>
        <v>0</v>
      </c>
      <c r="E571" s="30">
        <f>'RESUMEN TOTAL'!K703</f>
        <v>0</v>
      </c>
      <c r="F571" s="70">
        <f>'RESUMEN TOTAL'!S703</f>
        <v>0</v>
      </c>
      <c r="G571" s="70">
        <f>'RESUMEN TOTAL'!T703</f>
        <v>0</v>
      </c>
      <c r="H571" s="70">
        <f>'RESUMEN TOTAL'!U703</f>
        <v>0</v>
      </c>
      <c r="I571" s="70">
        <f>'RESUMEN TOTAL'!V703</f>
        <v>0</v>
      </c>
      <c r="J571" s="70">
        <f>'RESUMEN TOTAL'!W703</f>
        <v>0</v>
      </c>
      <c r="K571" s="70">
        <f>'RESUMEN TOTAL'!X703</f>
        <v>0</v>
      </c>
      <c r="L571" s="70">
        <f>'RESUMEN TOTAL'!Y703</f>
        <v>0</v>
      </c>
      <c r="M571" s="70">
        <f>'RESUMEN TOTAL'!Z703</f>
        <v>0</v>
      </c>
      <c r="N571" s="70">
        <f>'RESUMEN TOTAL'!AA703</f>
        <v>0</v>
      </c>
      <c r="O571" s="70">
        <f>'RESUMEN TOTAL'!AB703</f>
        <v>0</v>
      </c>
      <c r="P571" s="70">
        <f>'RESUMEN TOTAL'!AC703</f>
        <v>0</v>
      </c>
      <c r="Q571" s="70">
        <f>'RESUMEN TOTAL'!AD703</f>
        <v>0</v>
      </c>
      <c r="R571" s="70">
        <f>'RESUMEN TOTAL'!AE703</f>
        <v>0</v>
      </c>
      <c r="S571" s="70">
        <f>'RESUMEN TOTAL'!AF703</f>
        <v>0</v>
      </c>
      <c r="T571" s="70">
        <f>'RESUMEN TOTAL'!AG703</f>
        <v>0</v>
      </c>
      <c r="U571" s="70">
        <f>'RESUMEN TOTAL'!AH703</f>
        <v>0</v>
      </c>
      <c r="V571" s="70">
        <f>'RESUMEN TOTAL'!AI703</f>
        <v>0</v>
      </c>
      <c r="W571" s="70">
        <f>'RESUMEN TOTAL'!AJ703</f>
        <v>0</v>
      </c>
      <c r="X571" s="70">
        <f>'RESUMEN TOTAL'!AK703</f>
        <v>0</v>
      </c>
      <c r="Y571" s="70">
        <f>'RESUMEN TOTAL'!AL703</f>
        <v>0</v>
      </c>
      <c r="Z571" s="70">
        <f>'RESUMEN TOTAL'!AM703</f>
        <v>0</v>
      </c>
      <c r="AA571" s="70">
        <f>'RESUMEN TOTAL'!AN703</f>
        <v>0</v>
      </c>
      <c r="AB571" s="70">
        <f>'RESUMEN TOTAL'!AO703</f>
        <v>0</v>
      </c>
      <c r="AC571" s="70">
        <f>'RESUMEN TOTAL'!AP703</f>
        <v>0</v>
      </c>
      <c r="AD571" s="70">
        <f>'RESUMEN TOTAL'!AQ703</f>
        <v>0</v>
      </c>
      <c r="AE571" s="70">
        <f>'RESUMEN TOTAL'!AR703</f>
        <v>0</v>
      </c>
      <c r="AF571" s="70">
        <f>'RESUMEN TOTAL'!AS703</f>
        <v>0</v>
      </c>
      <c r="AG571" s="70">
        <f>'RESUMEN TOTAL'!AT703</f>
        <v>0</v>
      </c>
      <c r="AH571" s="70">
        <f>'RESUMEN TOTAL'!AU703</f>
        <v>0</v>
      </c>
      <c r="AI571" s="70">
        <f>'RESUMEN TOTAL'!AV703</f>
        <v>0</v>
      </c>
      <c r="AJ571" s="70" t="e">
        <f>'RESUMEN TOTAL'!#REF!</f>
        <v>#REF!</v>
      </c>
    </row>
    <row r="572" spans="1:36" x14ac:dyDescent="0.25">
      <c r="A572">
        <f>'RESUMEN TOTAL'!F704</f>
        <v>0</v>
      </c>
      <c r="B572">
        <f>'RESUMEN TOTAL'!G704</f>
        <v>0</v>
      </c>
      <c r="C572">
        <f>'RESUMEN TOTAL'!I704</f>
        <v>0</v>
      </c>
      <c r="D572" s="30">
        <f>'RESUMEN TOTAL'!J704</f>
        <v>0</v>
      </c>
      <c r="E572" s="30">
        <f>'RESUMEN TOTAL'!K704</f>
        <v>0</v>
      </c>
      <c r="F572" s="70">
        <f>'RESUMEN TOTAL'!S704</f>
        <v>0</v>
      </c>
      <c r="G572" s="70">
        <f>'RESUMEN TOTAL'!T704</f>
        <v>0</v>
      </c>
      <c r="H572" s="70">
        <f>'RESUMEN TOTAL'!U704</f>
        <v>0</v>
      </c>
      <c r="I572" s="70">
        <f>'RESUMEN TOTAL'!V704</f>
        <v>0</v>
      </c>
      <c r="J572" s="70">
        <f>'RESUMEN TOTAL'!W704</f>
        <v>0</v>
      </c>
      <c r="K572" s="70">
        <f>'RESUMEN TOTAL'!X704</f>
        <v>0</v>
      </c>
      <c r="L572" s="70">
        <f>'RESUMEN TOTAL'!Y704</f>
        <v>0</v>
      </c>
      <c r="M572" s="70">
        <f>'RESUMEN TOTAL'!Z704</f>
        <v>0</v>
      </c>
      <c r="N572" s="70">
        <f>'RESUMEN TOTAL'!AA704</f>
        <v>0</v>
      </c>
      <c r="O572" s="70">
        <f>'RESUMEN TOTAL'!AB704</f>
        <v>0</v>
      </c>
      <c r="P572" s="70">
        <f>'RESUMEN TOTAL'!AC704</f>
        <v>0</v>
      </c>
      <c r="Q572" s="70">
        <f>'RESUMEN TOTAL'!AD704</f>
        <v>0</v>
      </c>
      <c r="R572" s="70">
        <f>'RESUMEN TOTAL'!AE704</f>
        <v>0</v>
      </c>
      <c r="S572" s="70">
        <f>'RESUMEN TOTAL'!AF704</f>
        <v>0</v>
      </c>
      <c r="T572" s="70">
        <f>'RESUMEN TOTAL'!AG704</f>
        <v>0</v>
      </c>
      <c r="U572" s="70">
        <f>'RESUMEN TOTAL'!AH704</f>
        <v>0</v>
      </c>
      <c r="V572" s="70">
        <f>'RESUMEN TOTAL'!AI704</f>
        <v>0</v>
      </c>
      <c r="W572" s="70">
        <f>'RESUMEN TOTAL'!AJ704</f>
        <v>0</v>
      </c>
      <c r="X572" s="70">
        <f>'RESUMEN TOTAL'!AK704</f>
        <v>0</v>
      </c>
      <c r="Y572" s="70">
        <f>'RESUMEN TOTAL'!AL704</f>
        <v>0</v>
      </c>
      <c r="Z572" s="70">
        <f>'RESUMEN TOTAL'!AM704</f>
        <v>0</v>
      </c>
      <c r="AA572" s="70">
        <f>'RESUMEN TOTAL'!AN704</f>
        <v>0</v>
      </c>
      <c r="AB572" s="70">
        <f>'RESUMEN TOTAL'!AO704</f>
        <v>0</v>
      </c>
      <c r="AC572" s="70">
        <f>'RESUMEN TOTAL'!AP704</f>
        <v>0</v>
      </c>
      <c r="AD572" s="70">
        <f>'RESUMEN TOTAL'!AQ704</f>
        <v>0</v>
      </c>
      <c r="AE572" s="70">
        <f>'RESUMEN TOTAL'!AR704</f>
        <v>0</v>
      </c>
      <c r="AF572" s="70">
        <f>'RESUMEN TOTAL'!AS704</f>
        <v>0</v>
      </c>
      <c r="AG572" s="70">
        <f>'RESUMEN TOTAL'!AT704</f>
        <v>0</v>
      </c>
      <c r="AH572" s="70">
        <f>'RESUMEN TOTAL'!AU704</f>
        <v>0</v>
      </c>
      <c r="AI572" s="70">
        <f>'RESUMEN TOTAL'!AV704</f>
        <v>0</v>
      </c>
      <c r="AJ572" s="70" t="e">
        <f>'RESUMEN TOTAL'!#REF!</f>
        <v>#REF!</v>
      </c>
    </row>
    <row r="573" spans="1:36" x14ac:dyDescent="0.25">
      <c r="A573">
        <f>'RESUMEN TOTAL'!F705</f>
        <v>0</v>
      </c>
      <c r="B573">
        <f>'RESUMEN TOTAL'!G705</f>
        <v>0</v>
      </c>
      <c r="C573">
        <f>'RESUMEN TOTAL'!I705</f>
        <v>0</v>
      </c>
      <c r="D573" s="30">
        <f>'RESUMEN TOTAL'!J705</f>
        <v>0</v>
      </c>
      <c r="E573" s="30">
        <f>'RESUMEN TOTAL'!K705</f>
        <v>0</v>
      </c>
      <c r="F573" s="70">
        <f>'RESUMEN TOTAL'!S705</f>
        <v>0</v>
      </c>
      <c r="G573" s="70">
        <f>'RESUMEN TOTAL'!T705</f>
        <v>0</v>
      </c>
      <c r="H573" s="70">
        <f>'RESUMEN TOTAL'!U705</f>
        <v>0</v>
      </c>
      <c r="I573" s="70">
        <f>'RESUMEN TOTAL'!V705</f>
        <v>0</v>
      </c>
      <c r="J573" s="70">
        <f>'RESUMEN TOTAL'!W705</f>
        <v>0</v>
      </c>
      <c r="K573" s="70">
        <f>'RESUMEN TOTAL'!X705</f>
        <v>0</v>
      </c>
      <c r="L573" s="70">
        <f>'RESUMEN TOTAL'!Y705</f>
        <v>0</v>
      </c>
      <c r="M573" s="70">
        <f>'RESUMEN TOTAL'!Z705</f>
        <v>0</v>
      </c>
      <c r="N573" s="70">
        <f>'RESUMEN TOTAL'!AA705</f>
        <v>0</v>
      </c>
      <c r="O573" s="70">
        <f>'RESUMEN TOTAL'!AB705</f>
        <v>0</v>
      </c>
      <c r="P573" s="70">
        <f>'RESUMEN TOTAL'!AC705</f>
        <v>0</v>
      </c>
      <c r="Q573" s="70">
        <f>'RESUMEN TOTAL'!AD705</f>
        <v>0</v>
      </c>
      <c r="R573" s="70">
        <f>'RESUMEN TOTAL'!AE705</f>
        <v>0</v>
      </c>
      <c r="S573" s="70">
        <f>'RESUMEN TOTAL'!AF705</f>
        <v>0</v>
      </c>
      <c r="T573" s="70">
        <f>'RESUMEN TOTAL'!AG705</f>
        <v>0</v>
      </c>
      <c r="U573" s="70">
        <f>'RESUMEN TOTAL'!AH705</f>
        <v>0</v>
      </c>
      <c r="V573" s="70">
        <f>'RESUMEN TOTAL'!AI705</f>
        <v>0</v>
      </c>
      <c r="W573" s="70">
        <f>'RESUMEN TOTAL'!AJ705</f>
        <v>0</v>
      </c>
      <c r="X573" s="70">
        <f>'RESUMEN TOTAL'!AK705</f>
        <v>0</v>
      </c>
      <c r="Y573" s="70">
        <f>'RESUMEN TOTAL'!AL705</f>
        <v>0</v>
      </c>
      <c r="Z573" s="70">
        <f>'RESUMEN TOTAL'!AM705</f>
        <v>0</v>
      </c>
      <c r="AA573" s="70">
        <f>'RESUMEN TOTAL'!AN705</f>
        <v>0</v>
      </c>
      <c r="AB573" s="70">
        <f>'RESUMEN TOTAL'!AO705</f>
        <v>0</v>
      </c>
      <c r="AC573" s="70">
        <f>'RESUMEN TOTAL'!AP705</f>
        <v>0</v>
      </c>
      <c r="AD573" s="70">
        <f>'RESUMEN TOTAL'!AQ705</f>
        <v>0</v>
      </c>
      <c r="AE573" s="70">
        <f>'RESUMEN TOTAL'!AR705</f>
        <v>0</v>
      </c>
      <c r="AF573" s="70">
        <f>'RESUMEN TOTAL'!AS705</f>
        <v>0</v>
      </c>
      <c r="AG573" s="70">
        <f>'RESUMEN TOTAL'!AT705</f>
        <v>0</v>
      </c>
      <c r="AH573" s="70">
        <f>'RESUMEN TOTAL'!AU705</f>
        <v>0</v>
      </c>
      <c r="AI573" s="70">
        <f>'RESUMEN TOTAL'!AV705</f>
        <v>0</v>
      </c>
      <c r="AJ573" s="70" t="e">
        <f>'RESUMEN TOTAL'!#REF!</f>
        <v>#REF!</v>
      </c>
    </row>
    <row r="574" spans="1:36" x14ac:dyDescent="0.25">
      <c r="A574">
        <f>'RESUMEN TOTAL'!F706</f>
        <v>0</v>
      </c>
      <c r="B574">
        <f>'RESUMEN TOTAL'!G706</f>
        <v>0</v>
      </c>
      <c r="C574">
        <f>'RESUMEN TOTAL'!I706</f>
        <v>0</v>
      </c>
      <c r="D574" s="30">
        <f>'RESUMEN TOTAL'!J706</f>
        <v>0</v>
      </c>
      <c r="E574" s="30">
        <f>'RESUMEN TOTAL'!K706</f>
        <v>0</v>
      </c>
      <c r="F574" s="70">
        <f>'RESUMEN TOTAL'!S706</f>
        <v>0</v>
      </c>
      <c r="G574" s="70">
        <f>'RESUMEN TOTAL'!T706</f>
        <v>0</v>
      </c>
      <c r="H574" s="70">
        <f>'RESUMEN TOTAL'!U706</f>
        <v>0</v>
      </c>
      <c r="I574" s="70">
        <f>'RESUMEN TOTAL'!V706</f>
        <v>0</v>
      </c>
      <c r="J574" s="70">
        <f>'RESUMEN TOTAL'!W706</f>
        <v>0</v>
      </c>
      <c r="K574" s="70">
        <f>'RESUMEN TOTAL'!X706</f>
        <v>0</v>
      </c>
      <c r="L574" s="70">
        <f>'RESUMEN TOTAL'!Y706</f>
        <v>0</v>
      </c>
      <c r="M574" s="70">
        <f>'RESUMEN TOTAL'!Z706</f>
        <v>0</v>
      </c>
      <c r="N574" s="70">
        <f>'RESUMEN TOTAL'!AA706</f>
        <v>0</v>
      </c>
      <c r="O574" s="70">
        <f>'RESUMEN TOTAL'!AB706</f>
        <v>0</v>
      </c>
      <c r="P574" s="70">
        <f>'RESUMEN TOTAL'!AC706</f>
        <v>0</v>
      </c>
      <c r="Q574" s="70">
        <f>'RESUMEN TOTAL'!AD706</f>
        <v>0</v>
      </c>
      <c r="R574" s="70">
        <f>'RESUMEN TOTAL'!AE706</f>
        <v>0</v>
      </c>
      <c r="S574" s="70">
        <f>'RESUMEN TOTAL'!AF706</f>
        <v>0</v>
      </c>
      <c r="T574" s="70">
        <f>'RESUMEN TOTAL'!AG706</f>
        <v>0</v>
      </c>
      <c r="U574" s="70">
        <f>'RESUMEN TOTAL'!AH706</f>
        <v>0</v>
      </c>
      <c r="V574" s="70">
        <f>'RESUMEN TOTAL'!AI706</f>
        <v>0</v>
      </c>
      <c r="W574" s="70">
        <f>'RESUMEN TOTAL'!AJ706</f>
        <v>0</v>
      </c>
      <c r="X574" s="70">
        <f>'RESUMEN TOTAL'!AK706</f>
        <v>0</v>
      </c>
      <c r="Y574" s="70">
        <f>'RESUMEN TOTAL'!AL706</f>
        <v>0</v>
      </c>
      <c r="Z574" s="70">
        <f>'RESUMEN TOTAL'!AM706</f>
        <v>0</v>
      </c>
      <c r="AA574" s="70">
        <f>'RESUMEN TOTAL'!AN706</f>
        <v>0</v>
      </c>
      <c r="AB574" s="70">
        <f>'RESUMEN TOTAL'!AO706</f>
        <v>0</v>
      </c>
      <c r="AC574" s="70">
        <f>'RESUMEN TOTAL'!AP706</f>
        <v>0</v>
      </c>
      <c r="AD574" s="70">
        <f>'RESUMEN TOTAL'!AQ706</f>
        <v>0</v>
      </c>
      <c r="AE574" s="70">
        <f>'RESUMEN TOTAL'!AR706</f>
        <v>0</v>
      </c>
      <c r="AF574" s="70">
        <f>'RESUMEN TOTAL'!AS706</f>
        <v>0</v>
      </c>
      <c r="AG574" s="70">
        <f>'RESUMEN TOTAL'!AT706</f>
        <v>0</v>
      </c>
      <c r="AH574" s="70">
        <f>'RESUMEN TOTAL'!AU706</f>
        <v>0</v>
      </c>
      <c r="AI574" s="70">
        <f>'RESUMEN TOTAL'!AV706</f>
        <v>0</v>
      </c>
      <c r="AJ574" s="70" t="e">
        <f>'RESUMEN TOTAL'!#REF!</f>
        <v>#REF!</v>
      </c>
    </row>
    <row r="575" spans="1:36" x14ac:dyDescent="0.25">
      <c r="A575">
        <f>'RESUMEN TOTAL'!F707</f>
        <v>0</v>
      </c>
      <c r="B575">
        <f>'RESUMEN TOTAL'!G707</f>
        <v>0</v>
      </c>
      <c r="C575">
        <f>'RESUMEN TOTAL'!I707</f>
        <v>0</v>
      </c>
      <c r="D575" s="30">
        <f>'RESUMEN TOTAL'!J707</f>
        <v>0</v>
      </c>
      <c r="E575" s="30">
        <f>'RESUMEN TOTAL'!K707</f>
        <v>0</v>
      </c>
      <c r="F575" s="70">
        <f>'RESUMEN TOTAL'!S707</f>
        <v>0</v>
      </c>
      <c r="G575" s="70">
        <f>'RESUMEN TOTAL'!T707</f>
        <v>0</v>
      </c>
      <c r="H575" s="70">
        <f>'RESUMEN TOTAL'!U707</f>
        <v>0</v>
      </c>
      <c r="I575" s="70">
        <f>'RESUMEN TOTAL'!V707</f>
        <v>0</v>
      </c>
      <c r="J575" s="70">
        <f>'RESUMEN TOTAL'!W707</f>
        <v>0</v>
      </c>
      <c r="K575" s="70">
        <f>'RESUMEN TOTAL'!X707</f>
        <v>0</v>
      </c>
      <c r="L575" s="70">
        <f>'RESUMEN TOTAL'!Y707</f>
        <v>0</v>
      </c>
      <c r="M575" s="70">
        <f>'RESUMEN TOTAL'!Z707</f>
        <v>0</v>
      </c>
      <c r="N575" s="70">
        <f>'RESUMEN TOTAL'!AA707</f>
        <v>0</v>
      </c>
      <c r="O575" s="70">
        <f>'RESUMEN TOTAL'!AB707</f>
        <v>0</v>
      </c>
      <c r="P575" s="70">
        <f>'RESUMEN TOTAL'!AC707</f>
        <v>0</v>
      </c>
      <c r="Q575" s="70">
        <f>'RESUMEN TOTAL'!AD707</f>
        <v>0</v>
      </c>
      <c r="R575" s="70">
        <f>'RESUMEN TOTAL'!AE707</f>
        <v>0</v>
      </c>
      <c r="S575" s="70">
        <f>'RESUMEN TOTAL'!AF707</f>
        <v>0</v>
      </c>
      <c r="T575" s="70">
        <f>'RESUMEN TOTAL'!AG707</f>
        <v>0</v>
      </c>
      <c r="U575" s="70">
        <f>'RESUMEN TOTAL'!AH707</f>
        <v>0</v>
      </c>
      <c r="V575" s="70">
        <f>'RESUMEN TOTAL'!AI707</f>
        <v>0</v>
      </c>
      <c r="W575" s="70">
        <f>'RESUMEN TOTAL'!AJ707</f>
        <v>0</v>
      </c>
      <c r="X575" s="70">
        <f>'RESUMEN TOTAL'!AK707</f>
        <v>0</v>
      </c>
      <c r="Y575" s="70">
        <f>'RESUMEN TOTAL'!AL707</f>
        <v>0</v>
      </c>
      <c r="Z575" s="70">
        <f>'RESUMEN TOTAL'!AM707</f>
        <v>0</v>
      </c>
      <c r="AA575" s="70">
        <f>'RESUMEN TOTAL'!AN707</f>
        <v>0</v>
      </c>
      <c r="AB575" s="70">
        <f>'RESUMEN TOTAL'!AO707</f>
        <v>0</v>
      </c>
      <c r="AC575" s="70">
        <f>'RESUMEN TOTAL'!AP707</f>
        <v>0</v>
      </c>
      <c r="AD575" s="70">
        <f>'RESUMEN TOTAL'!AQ707</f>
        <v>0</v>
      </c>
      <c r="AE575" s="70">
        <f>'RESUMEN TOTAL'!AR707</f>
        <v>0</v>
      </c>
      <c r="AF575" s="70">
        <f>'RESUMEN TOTAL'!AS707</f>
        <v>0</v>
      </c>
      <c r="AG575" s="70">
        <f>'RESUMEN TOTAL'!AT707</f>
        <v>0</v>
      </c>
      <c r="AH575" s="70">
        <f>'RESUMEN TOTAL'!AU707</f>
        <v>0</v>
      </c>
      <c r="AI575" s="70">
        <f>'RESUMEN TOTAL'!AV707</f>
        <v>0</v>
      </c>
      <c r="AJ575" s="70" t="e">
        <f>'RESUMEN TOTAL'!#REF!</f>
        <v>#REF!</v>
      </c>
    </row>
    <row r="576" spans="1:36" x14ac:dyDescent="0.25">
      <c r="A576">
        <f>'RESUMEN TOTAL'!F708</f>
        <v>0</v>
      </c>
      <c r="B576">
        <f>'RESUMEN TOTAL'!G708</f>
        <v>0</v>
      </c>
      <c r="C576">
        <f>'RESUMEN TOTAL'!I708</f>
        <v>0</v>
      </c>
      <c r="D576" s="30">
        <f>'RESUMEN TOTAL'!J708</f>
        <v>0</v>
      </c>
      <c r="E576" s="30">
        <f>'RESUMEN TOTAL'!K708</f>
        <v>0</v>
      </c>
      <c r="F576" s="70">
        <f>'RESUMEN TOTAL'!S708</f>
        <v>0</v>
      </c>
      <c r="G576" s="70">
        <f>'RESUMEN TOTAL'!T708</f>
        <v>0</v>
      </c>
      <c r="H576" s="70">
        <f>'RESUMEN TOTAL'!U708</f>
        <v>0</v>
      </c>
      <c r="I576" s="70">
        <f>'RESUMEN TOTAL'!V708</f>
        <v>0</v>
      </c>
      <c r="J576" s="70">
        <f>'RESUMEN TOTAL'!W708</f>
        <v>0</v>
      </c>
      <c r="K576" s="70">
        <f>'RESUMEN TOTAL'!X708</f>
        <v>0</v>
      </c>
      <c r="L576" s="70">
        <f>'RESUMEN TOTAL'!Y708</f>
        <v>0</v>
      </c>
      <c r="M576" s="70">
        <f>'RESUMEN TOTAL'!Z708</f>
        <v>0</v>
      </c>
      <c r="N576" s="70">
        <f>'RESUMEN TOTAL'!AA708</f>
        <v>0</v>
      </c>
      <c r="O576" s="70">
        <f>'RESUMEN TOTAL'!AB708</f>
        <v>0</v>
      </c>
      <c r="P576" s="70">
        <f>'RESUMEN TOTAL'!AC708</f>
        <v>0</v>
      </c>
      <c r="Q576" s="70">
        <f>'RESUMEN TOTAL'!AD708</f>
        <v>0</v>
      </c>
      <c r="R576" s="70">
        <f>'RESUMEN TOTAL'!AE708</f>
        <v>0</v>
      </c>
      <c r="S576" s="70">
        <f>'RESUMEN TOTAL'!AF708</f>
        <v>0</v>
      </c>
      <c r="T576" s="70">
        <f>'RESUMEN TOTAL'!AG708</f>
        <v>0</v>
      </c>
      <c r="U576" s="70">
        <f>'RESUMEN TOTAL'!AH708</f>
        <v>0</v>
      </c>
      <c r="V576" s="70">
        <f>'RESUMEN TOTAL'!AI708</f>
        <v>0</v>
      </c>
      <c r="W576" s="70">
        <f>'RESUMEN TOTAL'!AJ708</f>
        <v>0</v>
      </c>
      <c r="X576" s="70">
        <f>'RESUMEN TOTAL'!AK708</f>
        <v>0</v>
      </c>
      <c r="Y576" s="70">
        <f>'RESUMEN TOTAL'!AL708</f>
        <v>0</v>
      </c>
      <c r="Z576" s="70">
        <f>'RESUMEN TOTAL'!AM708</f>
        <v>0</v>
      </c>
      <c r="AA576" s="70">
        <f>'RESUMEN TOTAL'!AN708</f>
        <v>0</v>
      </c>
      <c r="AB576" s="70">
        <f>'RESUMEN TOTAL'!AO708</f>
        <v>0</v>
      </c>
      <c r="AC576" s="70">
        <f>'RESUMEN TOTAL'!AP708</f>
        <v>0</v>
      </c>
      <c r="AD576" s="70">
        <f>'RESUMEN TOTAL'!AQ708</f>
        <v>0</v>
      </c>
      <c r="AE576" s="70">
        <f>'RESUMEN TOTAL'!AR708</f>
        <v>0</v>
      </c>
      <c r="AF576" s="70">
        <f>'RESUMEN TOTAL'!AS708</f>
        <v>0</v>
      </c>
      <c r="AG576" s="70">
        <f>'RESUMEN TOTAL'!AT708</f>
        <v>0</v>
      </c>
      <c r="AH576" s="70">
        <f>'RESUMEN TOTAL'!AU708</f>
        <v>0</v>
      </c>
      <c r="AI576" s="70">
        <f>'RESUMEN TOTAL'!AV708</f>
        <v>0</v>
      </c>
      <c r="AJ576" s="70" t="e">
        <f>'RESUMEN TOTAL'!#REF!</f>
        <v>#REF!</v>
      </c>
    </row>
    <row r="577" spans="1:36" x14ac:dyDescent="0.25">
      <c r="A577">
        <f>'RESUMEN TOTAL'!F709</f>
        <v>0</v>
      </c>
      <c r="B577">
        <f>'RESUMEN TOTAL'!G709</f>
        <v>0</v>
      </c>
      <c r="C577">
        <f>'RESUMEN TOTAL'!I709</f>
        <v>0</v>
      </c>
      <c r="D577" s="30">
        <f>'RESUMEN TOTAL'!J709</f>
        <v>0</v>
      </c>
      <c r="E577" s="30">
        <f>'RESUMEN TOTAL'!K709</f>
        <v>0</v>
      </c>
      <c r="F577" s="70">
        <f>'RESUMEN TOTAL'!S709</f>
        <v>0</v>
      </c>
      <c r="G577" s="70">
        <f>'RESUMEN TOTAL'!T709</f>
        <v>0</v>
      </c>
      <c r="H577" s="70">
        <f>'RESUMEN TOTAL'!U709</f>
        <v>0</v>
      </c>
      <c r="I577" s="70">
        <f>'RESUMEN TOTAL'!V709</f>
        <v>0</v>
      </c>
      <c r="J577" s="70">
        <f>'RESUMEN TOTAL'!W709</f>
        <v>0</v>
      </c>
      <c r="K577" s="70">
        <f>'RESUMEN TOTAL'!X709</f>
        <v>0</v>
      </c>
      <c r="L577" s="70">
        <f>'RESUMEN TOTAL'!Y709</f>
        <v>0</v>
      </c>
      <c r="M577" s="70">
        <f>'RESUMEN TOTAL'!Z709</f>
        <v>0</v>
      </c>
      <c r="N577" s="70">
        <f>'RESUMEN TOTAL'!AA709</f>
        <v>0</v>
      </c>
      <c r="O577" s="70">
        <f>'RESUMEN TOTAL'!AB709</f>
        <v>0</v>
      </c>
      <c r="P577" s="70">
        <f>'RESUMEN TOTAL'!AC709</f>
        <v>0</v>
      </c>
      <c r="Q577" s="70">
        <f>'RESUMEN TOTAL'!AD709</f>
        <v>0</v>
      </c>
      <c r="R577" s="70">
        <f>'RESUMEN TOTAL'!AE709</f>
        <v>0</v>
      </c>
      <c r="S577" s="70">
        <f>'RESUMEN TOTAL'!AF709</f>
        <v>0</v>
      </c>
      <c r="T577" s="70">
        <f>'RESUMEN TOTAL'!AG709</f>
        <v>0</v>
      </c>
      <c r="U577" s="70">
        <f>'RESUMEN TOTAL'!AH709</f>
        <v>0</v>
      </c>
      <c r="V577" s="70">
        <f>'RESUMEN TOTAL'!AI709</f>
        <v>0</v>
      </c>
      <c r="W577" s="70">
        <f>'RESUMEN TOTAL'!AJ709</f>
        <v>0</v>
      </c>
      <c r="X577" s="70">
        <f>'RESUMEN TOTAL'!AK709</f>
        <v>0</v>
      </c>
      <c r="Y577" s="70">
        <f>'RESUMEN TOTAL'!AL709</f>
        <v>0</v>
      </c>
      <c r="Z577" s="70">
        <f>'RESUMEN TOTAL'!AM709</f>
        <v>0</v>
      </c>
      <c r="AA577" s="70">
        <f>'RESUMEN TOTAL'!AN709</f>
        <v>0</v>
      </c>
      <c r="AB577" s="70">
        <f>'RESUMEN TOTAL'!AO709</f>
        <v>0</v>
      </c>
      <c r="AC577" s="70">
        <f>'RESUMEN TOTAL'!AP709</f>
        <v>0</v>
      </c>
      <c r="AD577" s="70">
        <f>'RESUMEN TOTAL'!AQ709</f>
        <v>0</v>
      </c>
      <c r="AE577" s="70">
        <f>'RESUMEN TOTAL'!AR709</f>
        <v>0</v>
      </c>
      <c r="AF577" s="70">
        <f>'RESUMEN TOTAL'!AS709</f>
        <v>0</v>
      </c>
      <c r="AG577" s="70">
        <f>'RESUMEN TOTAL'!AT709</f>
        <v>0</v>
      </c>
      <c r="AH577" s="70">
        <f>'RESUMEN TOTAL'!AU709</f>
        <v>0</v>
      </c>
      <c r="AI577" s="70">
        <f>'RESUMEN TOTAL'!AV709</f>
        <v>0</v>
      </c>
      <c r="AJ577" s="70" t="e">
        <f>'RESUMEN TOTAL'!#REF!</f>
        <v>#REF!</v>
      </c>
    </row>
    <row r="578" spans="1:36" x14ac:dyDescent="0.25">
      <c r="A578">
        <f>'RESUMEN TOTAL'!F710</f>
        <v>0</v>
      </c>
      <c r="B578">
        <f>'RESUMEN TOTAL'!G710</f>
        <v>0</v>
      </c>
      <c r="C578">
        <f>'RESUMEN TOTAL'!I710</f>
        <v>0</v>
      </c>
      <c r="D578" s="30">
        <f>'RESUMEN TOTAL'!J710</f>
        <v>0</v>
      </c>
      <c r="E578" s="30">
        <f>'RESUMEN TOTAL'!K710</f>
        <v>0</v>
      </c>
      <c r="F578" s="70">
        <f>'RESUMEN TOTAL'!S710</f>
        <v>0</v>
      </c>
      <c r="G578" s="70">
        <f>'RESUMEN TOTAL'!T710</f>
        <v>0</v>
      </c>
      <c r="H578" s="70">
        <f>'RESUMEN TOTAL'!U710</f>
        <v>0</v>
      </c>
      <c r="I578" s="70">
        <f>'RESUMEN TOTAL'!V710</f>
        <v>0</v>
      </c>
      <c r="J578" s="70">
        <f>'RESUMEN TOTAL'!W710</f>
        <v>0</v>
      </c>
      <c r="K578" s="70">
        <f>'RESUMEN TOTAL'!X710</f>
        <v>0</v>
      </c>
      <c r="L578" s="70">
        <f>'RESUMEN TOTAL'!Y710</f>
        <v>0</v>
      </c>
      <c r="M578" s="70">
        <f>'RESUMEN TOTAL'!Z710</f>
        <v>0</v>
      </c>
      <c r="N578" s="70">
        <f>'RESUMEN TOTAL'!AA710</f>
        <v>0</v>
      </c>
      <c r="O578" s="70">
        <f>'RESUMEN TOTAL'!AB710</f>
        <v>0</v>
      </c>
      <c r="P578" s="70">
        <f>'RESUMEN TOTAL'!AC710</f>
        <v>0</v>
      </c>
      <c r="Q578" s="70">
        <f>'RESUMEN TOTAL'!AD710</f>
        <v>0</v>
      </c>
      <c r="R578" s="70">
        <f>'RESUMEN TOTAL'!AE710</f>
        <v>0</v>
      </c>
      <c r="S578" s="70">
        <f>'RESUMEN TOTAL'!AF710</f>
        <v>0</v>
      </c>
      <c r="T578" s="70">
        <f>'RESUMEN TOTAL'!AG710</f>
        <v>0</v>
      </c>
      <c r="U578" s="70">
        <f>'RESUMEN TOTAL'!AH710</f>
        <v>0</v>
      </c>
      <c r="V578" s="70">
        <f>'RESUMEN TOTAL'!AI710</f>
        <v>0</v>
      </c>
      <c r="W578" s="70">
        <f>'RESUMEN TOTAL'!AJ710</f>
        <v>0</v>
      </c>
      <c r="X578" s="70">
        <f>'RESUMEN TOTAL'!AK710</f>
        <v>0</v>
      </c>
      <c r="Y578" s="70">
        <f>'RESUMEN TOTAL'!AL710</f>
        <v>0</v>
      </c>
      <c r="Z578" s="70">
        <f>'RESUMEN TOTAL'!AM710</f>
        <v>0</v>
      </c>
      <c r="AA578" s="70">
        <f>'RESUMEN TOTAL'!AN710</f>
        <v>0</v>
      </c>
      <c r="AB578" s="70">
        <f>'RESUMEN TOTAL'!AO710</f>
        <v>0</v>
      </c>
      <c r="AC578" s="70">
        <f>'RESUMEN TOTAL'!AP710</f>
        <v>0</v>
      </c>
      <c r="AD578" s="70">
        <f>'RESUMEN TOTAL'!AQ710</f>
        <v>0</v>
      </c>
      <c r="AE578" s="70">
        <f>'RESUMEN TOTAL'!AR710</f>
        <v>0</v>
      </c>
      <c r="AF578" s="70">
        <f>'RESUMEN TOTAL'!AS710</f>
        <v>0</v>
      </c>
      <c r="AG578" s="70">
        <f>'RESUMEN TOTAL'!AT710</f>
        <v>0</v>
      </c>
      <c r="AH578" s="70">
        <f>'RESUMEN TOTAL'!AU710</f>
        <v>0</v>
      </c>
      <c r="AI578" s="70">
        <f>'RESUMEN TOTAL'!AV710</f>
        <v>0</v>
      </c>
      <c r="AJ578" s="70" t="e">
        <f>'RESUMEN TOTAL'!#REF!</f>
        <v>#REF!</v>
      </c>
    </row>
    <row r="579" spans="1:36" x14ac:dyDescent="0.25">
      <c r="A579">
        <f>'RESUMEN TOTAL'!F711</f>
        <v>0</v>
      </c>
      <c r="B579">
        <f>'RESUMEN TOTAL'!G711</f>
        <v>0</v>
      </c>
      <c r="C579">
        <f>'RESUMEN TOTAL'!I711</f>
        <v>0</v>
      </c>
      <c r="D579" s="30">
        <f>'RESUMEN TOTAL'!J711</f>
        <v>0</v>
      </c>
      <c r="E579" s="30">
        <f>'RESUMEN TOTAL'!K711</f>
        <v>0</v>
      </c>
      <c r="F579" s="70">
        <f>'RESUMEN TOTAL'!S711</f>
        <v>0</v>
      </c>
      <c r="G579" s="70">
        <f>'RESUMEN TOTAL'!T711</f>
        <v>0</v>
      </c>
      <c r="H579" s="70">
        <f>'RESUMEN TOTAL'!U711</f>
        <v>0</v>
      </c>
      <c r="I579" s="70">
        <f>'RESUMEN TOTAL'!V711</f>
        <v>0</v>
      </c>
      <c r="J579" s="70">
        <f>'RESUMEN TOTAL'!W711</f>
        <v>0</v>
      </c>
      <c r="K579" s="70">
        <f>'RESUMEN TOTAL'!X711</f>
        <v>0</v>
      </c>
      <c r="L579" s="70">
        <f>'RESUMEN TOTAL'!Y711</f>
        <v>0</v>
      </c>
      <c r="M579" s="70">
        <f>'RESUMEN TOTAL'!Z711</f>
        <v>0</v>
      </c>
      <c r="N579" s="70">
        <f>'RESUMEN TOTAL'!AA711</f>
        <v>0</v>
      </c>
      <c r="O579" s="70">
        <f>'RESUMEN TOTAL'!AB711</f>
        <v>0</v>
      </c>
      <c r="P579" s="70">
        <f>'RESUMEN TOTAL'!AC711</f>
        <v>0</v>
      </c>
      <c r="Q579" s="70">
        <f>'RESUMEN TOTAL'!AD711</f>
        <v>0</v>
      </c>
      <c r="R579" s="70">
        <f>'RESUMEN TOTAL'!AE711</f>
        <v>0</v>
      </c>
      <c r="S579" s="70">
        <f>'RESUMEN TOTAL'!AF711</f>
        <v>0</v>
      </c>
      <c r="T579" s="70">
        <f>'RESUMEN TOTAL'!AG711</f>
        <v>0</v>
      </c>
      <c r="U579" s="70">
        <f>'RESUMEN TOTAL'!AH711</f>
        <v>0</v>
      </c>
      <c r="V579" s="70">
        <f>'RESUMEN TOTAL'!AI711</f>
        <v>0</v>
      </c>
      <c r="W579" s="70">
        <f>'RESUMEN TOTAL'!AJ711</f>
        <v>0</v>
      </c>
      <c r="X579" s="70">
        <f>'RESUMEN TOTAL'!AK711</f>
        <v>0</v>
      </c>
      <c r="Y579" s="70">
        <f>'RESUMEN TOTAL'!AL711</f>
        <v>0</v>
      </c>
      <c r="Z579" s="70">
        <f>'RESUMEN TOTAL'!AM711</f>
        <v>0</v>
      </c>
      <c r="AA579" s="70">
        <f>'RESUMEN TOTAL'!AN711</f>
        <v>0</v>
      </c>
      <c r="AB579" s="70">
        <f>'RESUMEN TOTAL'!AO711</f>
        <v>0</v>
      </c>
      <c r="AC579" s="70">
        <f>'RESUMEN TOTAL'!AP711</f>
        <v>0</v>
      </c>
      <c r="AD579" s="70">
        <f>'RESUMEN TOTAL'!AQ711</f>
        <v>0</v>
      </c>
      <c r="AE579" s="70">
        <f>'RESUMEN TOTAL'!AR711</f>
        <v>0</v>
      </c>
      <c r="AF579" s="70">
        <f>'RESUMEN TOTAL'!AS711</f>
        <v>0</v>
      </c>
      <c r="AG579" s="70">
        <f>'RESUMEN TOTAL'!AT711</f>
        <v>0</v>
      </c>
      <c r="AH579" s="70">
        <f>'RESUMEN TOTAL'!AU711</f>
        <v>0</v>
      </c>
      <c r="AI579" s="70">
        <f>'RESUMEN TOTAL'!AV711</f>
        <v>0</v>
      </c>
      <c r="AJ579" s="70" t="e">
        <f>'RESUMEN TOTAL'!#REF!</f>
        <v>#REF!</v>
      </c>
    </row>
    <row r="580" spans="1:36" x14ac:dyDescent="0.25">
      <c r="A580">
        <f>'RESUMEN TOTAL'!F712</f>
        <v>0</v>
      </c>
      <c r="B580">
        <f>'RESUMEN TOTAL'!G712</f>
        <v>0</v>
      </c>
      <c r="C580">
        <f>'RESUMEN TOTAL'!I712</f>
        <v>0</v>
      </c>
      <c r="D580" s="30">
        <f>'RESUMEN TOTAL'!J712</f>
        <v>0</v>
      </c>
      <c r="E580" s="30">
        <f>'RESUMEN TOTAL'!K712</f>
        <v>0</v>
      </c>
      <c r="F580" s="70">
        <f>'RESUMEN TOTAL'!S712</f>
        <v>0</v>
      </c>
      <c r="G580" s="70">
        <f>'RESUMEN TOTAL'!T712</f>
        <v>0</v>
      </c>
      <c r="H580" s="70">
        <f>'RESUMEN TOTAL'!U712</f>
        <v>0</v>
      </c>
      <c r="I580" s="70">
        <f>'RESUMEN TOTAL'!V712</f>
        <v>0</v>
      </c>
      <c r="J580" s="70">
        <f>'RESUMEN TOTAL'!W712</f>
        <v>0</v>
      </c>
      <c r="K580" s="70">
        <f>'RESUMEN TOTAL'!X712</f>
        <v>0</v>
      </c>
      <c r="L580" s="70">
        <f>'RESUMEN TOTAL'!Y712</f>
        <v>0</v>
      </c>
      <c r="M580" s="70">
        <f>'RESUMEN TOTAL'!Z712</f>
        <v>0</v>
      </c>
      <c r="N580" s="70">
        <f>'RESUMEN TOTAL'!AA712</f>
        <v>0</v>
      </c>
      <c r="O580" s="70">
        <f>'RESUMEN TOTAL'!AB712</f>
        <v>0</v>
      </c>
      <c r="P580" s="70">
        <f>'RESUMEN TOTAL'!AC712</f>
        <v>0</v>
      </c>
      <c r="Q580" s="70">
        <f>'RESUMEN TOTAL'!AD712</f>
        <v>0</v>
      </c>
      <c r="R580" s="70">
        <f>'RESUMEN TOTAL'!AE712</f>
        <v>0</v>
      </c>
      <c r="S580" s="70">
        <f>'RESUMEN TOTAL'!AF712</f>
        <v>0</v>
      </c>
      <c r="T580" s="70">
        <f>'RESUMEN TOTAL'!AG712</f>
        <v>0</v>
      </c>
      <c r="U580" s="70">
        <f>'RESUMEN TOTAL'!AH712</f>
        <v>0</v>
      </c>
      <c r="V580" s="70">
        <f>'RESUMEN TOTAL'!AI712</f>
        <v>0</v>
      </c>
      <c r="W580" s="70">
        <f>'RESUMEN TOTAL'!AJ712</f>
        <v>0</v>
      </c>
      <c r="X580" s="70">
        <f>'RESUMEN TOTAL'!AK712</f>
        <v>0</v>
      </c>
      <c r="Y580" s="70">
        <f>'RESUMEN TOTAL'!AL712</f>
        <v>0</v>
      </c>
      <c r="Z580" s="70">
        <f>'RESUMEN TOTAL'!AM712</f>
        <v>0</v>
      </c>
      <c r="AA580" s="70">
        <f>'RESUMEN TOTAL'!AN712</f>
        <v>0</v>
      </c>
      <c r="AB580" s="70">
        <f>'RESUMEN TOTAL'!AO712</f>
        <v>0</v>
      </c>
      <c r="AC580" s="70">
        <f>'RESUMEN TOTAL'!AP712</f>
        <v>0</v>
      </c>
      <c r="AD580" s="70">
        <f>'RESUMEN TOTAL'!AQ712</f>
        <v>0</v>
      </c>
      <c r="AE580" s="70">
        <f>'RESUMEN TOTAL'!AR712</f>
        <v>0</v>
      </c>
      <c r="AF580" s="70">
        <f>'RESUMEN TOTAL'!AS712</f>
        <v>0</v>
      </c>
      <c r="AG580" s="70">
        <f>'RESUMEN TOTAL'!AT712</f>
        <v>0</v>
      </c>
      <c r="AH580" s="70">
        <f>'RESUMEN TOTAL'!AU712</f>
        <v>0</v>
      </c>
      <c r="AI580" s="70">
        <f>'RESUMEN TOTAL'!AV712</f>
        <v>0</v>
      </c>
      <c r="AJ580" s="70" t="e">
        <f>'RESUMEN TOTAL'!#REF!</f>
        <v>#REF!</v>
      </c>
    </row>
    <row r="581" spans="1:36" x14ac:dyDescent="0.25">
      <c r="A581">
        <f>'RESUMEN TOTAL'!F713</f>
        <v>0</v>
      </c>
      <c r="B581">
        <f>'RESUMEN TOTAL'!G713</f>
        <v>0</v>
      </c>
      <c r="C581">
        <f>'RESUMEN TOTAL'!I713</f>
        <v>0</v>
      </c>
      <c r="D581" s="30">
        <f>'RESUMEN TOTAL'!J713</f>
        <v>0</v>
      </c>
      <c r="E581" s="30">
        <f>'RESUMEN TOTAL'!K713</f>
        <v>0</v>
      </c>
      <c r="F581" s="70">
        <f>'RESUMEN TOTAL'!S713</f>
        <v>0</v>
      </c>
      <c r="G581" s="70">
        <f>'RESUMEN TOTAL'!T713</f>
        <v>0</v>
      </c>
      <c r="H581" s="70">
        <f>'RESUMEN TOTAL'!U713</f>
        <v>0</v>
      </c>
      <c r="I581" s="70">
        <f>'RESUMEN TOTAL'!V713</f>
        <v>0</v>
      </c>
      <c r="J581" s="70">
        <f>'RESUMEN TOTAL'!W713</f>
        <v>0</v>
      </c>
      <c r="K581" s="70">
        <f>'RESUMEN TOTAL'!X713</f>
        <v>0</v>
      </c>
      <c r="L581" s="70">
        <f>'RESUMEN TOTAL'!Y713</f>
        <v>0</v>
      </c>
      <c r="M581" s="70">
        <f>'RESUMEN TOTAL'!Z713</f>
        <v>0</v>
      </c>
      <c r="N581" s="70">
        <f>'RESUMEN TOTAL'!AA713</f>
        <v>0</v>
      </c>
      <c r="O581" s="70">
        <f>'RESUMEN TOTAL'!AB713</f>
        <v>0</v>
      </c>
      <c r="P581" s="70">
        <f>'RESUMEN TOTAL'!AC713</f>
        <v>0</v>
      </c>
      <c r="Q581" s="70">
        <f>'RESUMEN TOTAL'!AD713</f>
        <v>0</v>
      </c>
      <c r="R581" s="70">
        <f>'RESUMEN TOTAL'!AE713</f>
        <v>0</v>
      </c>
      <c r="S581" s="70">
        <f>'RESUMEN TOTAL'!AF713</f>
        <v>0</v>
      </c>
      <c r="T581" s="70">
        <f>'RESUMEN TOTAL'!AG713</f>
        <v>0</v>
      </c>
      <c r="U581" s="70">
        <f>'RESUMEN TOTAL'!AH713</f>
        <v>0</v>
      </c>
      <c r="V581" s="70">
        <f>'RESUMEN TOTAL'!AI713</f>
        <v>0</v>
      </c>
      <c r="W581" s="70">
        <f>'RESUMEN TOTAL'!AJ713</f>
        <v>0</v>
      </c>
      <c r="X581" s="70">
        <f>'RESUMEN TOTAL'!AK713</f>
        <v>0</v>
      </c>
      <c r="Y581" s="70">
        <f>'RESUMEN TOTAL'!AL713</f>
        <v>0</v>
      </c>
      <c r="Z581" s="70">
        <f>'RESUMEN TOTAL'!AM713</f>
        <v>0</v>
      </c>
      <c r="AA581" s="70">
        <f>'RESUMEN TOTAL'!AN713</f>
        <v>0</v>
      </c>
      <c r="AB581" s="70">
        <f>'RESUMEN TOTAL'!AO713</f>
        <v>0</v>
      </c>
      <c r="AC581" s="70">
        <f>'RESUMEN TOTAL'!AP713</f>
        <v>0</v>
      </c>
      <c r="AD581" s="70">
        <f>'RESUMEN TOTAL'!AQ713</f>
        <v>0</v>
      </c>
      <c r="AE581" s="70">
        <f>'RESUMEN TOTAL'!AR713</f>
        <v>0</v>
      </c>
      <c r="AF581" s="70">
        <f>'RESUMEN TOTAL'!AS713</f>
        <v>0</v>
      </c>
      <c r="AG581" s="70">
        <f>'RESUMEN TOTAL'!AT713</f>
        <v>0</v>
      </c>
      <c r="AH581" s="70">
        <f>'RESUMEN TOTAL'!AU713</f>
        <v>0</v>
      </c>
      <c r="AI581" s="70">
        <f>'RESUMEN TOTAL'!AV713</f>
        <v>0</v>
      </c>
      <c r="AJ581" s="70" t="e">
        <f>'RESUMEN TOTAL'!#REF!</f>
        <v>#REF!</v>
      </c>
    </row>
    <row r="582" spans="1:36" x14ac:dyDescent="0.25">
      <c r="A582">
        <f>'RESUMEN TOTAL'!F714</f>
        <v>0</v>
      </c>
      <c r="B582">
        <f>'RESUMEN TOTAL'!G714</f>
        <v>0</v>
      </c>
      <c r="C582">
        <f>'RESUMEN TOTAL'!I714</f>
        <v>0</v>
      </c>
      <c r="D582" s="30">
        <f>'RESUMEN TOTAL'!J714</f>
        <v>0</v>
      </c>
      <c r="E582" s="30">
        <f>'RESUMEN TOTAL'!K714</f>
        <v>0</v>
      </c>
      <c r="F582" s="70">
        <f>'RESUMEN TOTAL'!S714</f>
        <v>0</v>
      </c>
      <c r="G582" s="70">
        <f>'RESUMEN TOTAL'!T714</f>
        <v>0</v>
      </c>
      <c r="H582" s="70">
        <f>'RESUMEN TOTAL'!U714</f>
        <v>0</v>
      </c>
      <c r="I582" s="70">
        <f>'RESUMEN TOTAL'!V714</f>
        <v>0</v>
      </c>
      <c r="J582" s="70">
        <f>'RESUMEN TOTAL'!W714</f>
        <v>0</v>
      </c>
      <c r="K582" s="70">
        <f>'RESUMEN TOTAL'!X714</f>
        <v>0</v>
      </c>
      <c r="L582" s="70">
        <f>'RESUMEN TOTAL'!Y714</f>
        <v>0</v>
      </c>
      <c r="M582" s="70">
        <f>'RESUMEN TOTAL'!Z714</f>
        <v>0</v>
      </c>
      <c r="N582" s="70">
        <f>'RESUMEN TOTAL'!AA714</f>
        <v>0</v>
      </c>
      <c r="O582" s="70">
        <f>'RESUMEN TOTAL'!AB714</f>
        <v>0</v>
      </c>
      <c r="P582" s="70">
        <f>'RESUMEN TOTAL'!AC714</f>
        <v>0</v>
      </c>
      <c r="Q582" s="70">
        <f>'RESUMEN TOTAL'!AD714</f>
        <v>0</v>
      </c>
      <c r="R582" s="70">
        <f>'RESUMEN TOTAL'!AE714</f>
        <v>0</v>
      </c>
      <c r="S582" s="70">
        <f>'RESUMEN TOTAL'!AF714</f>
        <v>0</v>
      </c>
      <c r="T582" s="70">
        <f>'RESUMEN TOTAL'!AG714</f>
        <v>0</v>
      </c>
      <c r="U582" s="70">
        <f>'RESUMEN TOTAL'!AH714</f>
        <v>0</v>
      </c>
      <c r="V582" s="70">
        <f>'RESUMEN TOTAL'!AI714</f>
        <v>0</v>
      </c>
      <c r="W582" s="70">
        <f>'RESUMEN TOTAL'!AJ714</f>
        <v>0</v>
      </c>
      <c r="X582" s="70">
        <f>'RESUMEN TOTAL'!AK714</f>
        <v>0</v>
      </c>
      <c r="Y582" s="70">
        <f>'RESUMEN TOTAL'!AL714</f>
        <v>0</v>
      </c>
      <c r="Z582" s="70">
        <f>'RESUMEN TOTAL'!AM714</f>
        <v>0</v>
      </c>
      <c r="AA582" s="70">
        <f>'RESUMEN TOTAL'!AN714</f>
        <v>0</v>
      </c>
      <c r="AB582" s="70">
        <f>'RESUMEN TOTAL'!AO714</f>
        <v>0</v>
      </c>
      <c r="AC582" s="70">
        <f>'RESUMEN TOTAL'!AP714</f>
        <v>0</v>
      </c>
      <c r="AD582" s="70">
        <f>'RESUMEN TOTAL'!AQ714</f>
        <v>0</v>
      </c>
      <c r="AE582" s="70">
        <f>'RESUMEN TOTAL'!AR714</f>
        <v>0</v>
      </c>
      <c r="AF582" s="70">
        <f>'RESUMEN TOTAL'!AS714</f>
        <v>0</v>
      </c>
      <c r="AG582" s="70">
        <f>'RESUMEN TOTAL'!AT714</f>
        <v>0</v>
      </c>
      <c r="AH582" s="70">
        <f>'RESUMEN TOTAL'!AU714</f>
        <v>0</v>
      </c>
      <c r="AI582" s="70">
        <f>'RESUMEN TOTAL'!AV714</f>
        <v>0</v>
      </c>
      <c r="AJ582" s="70" t="e">
        <f>'RESUMEN TOTAL'!#REF!</f>
        <v>#REF!</v>
      </c>
    </row>
    <row r="583" spans="1:36" x14ac:dyDescent="0.25">
      <c r="A583">
        <f>'RESUMEN TOTAL'!F715</f>
        <v>0</v>
      </c>
      <c r="B583">
        <f>'RESUMEN TOTAL'!G715</f>
        <v>0</v>
      </c>
      <c r="C583">
        <f>'RESUMEN TOTAL'!I715</f>
        <v>0</v>
      </c>
      <c r="D583" s="30">
        <f>'RESUMEN TOTAL'!J715</f>
        <v>0</v>
      </c>
      <c r="E583" s="30">
        <f>'RESUMEN TOTAL'!K715</f>
        <v>0</v>
      </c>
      <c r="F583" s="70">
        <f>'RESUMEN TOTAL'!S715</f>
        <v>0</v>
      </c>
      <c r="G583" s="70">
        <f>'RESUMEN TOTAL'!T715</f>
        <v>0</v>
      </c>
      <c r="H583" s="70">
        <f>'RESUMEN TOTAL'!U715</f>
        <v>0</v>
      </c>
      <c r="I583" s="70">
        <f>'RESUMEN TOTAL'!V715</f>
        <v>0</v>
      </c>
      <c r="J583" s="70">
        <f>'RESUMEN TOTAL'!W715</f>
        <v>0</v>
      </c>
      <c r="K583" s="70">
        <f>'RESUMEN TOTAL'!X715</f>
        <v>0</v>
      </c>
      <c r="L583" s="70">
        <f>'RESUMEN TOTAL'!Y715</f>
        <v>0</v>
      </c>
      <c r="M583" s="70">
        <f>'RESUMEN TOTAL'!Z715</f>
        <v>0</v>
      </c>
      <c r="N583" s="70">
        <f>'RESUMEN TOTAL'!AA715</f>
        <v>0</v>
      </c>
      <c r="O583" s="70">
        <f>'RESUMEN TOTAL'!AB715</f>
        <v>0</v>
      </c>
      <c r="P583" s="70">
        <f>'RESUMEN TOTAL'!AC715</f>
        <v>0</v>
      </c>
      <c r="Q583" s="70">
        <f>'RESUMEN TOTAL'!AD715</f>
        <v>0</v>
      </c>
      <c r="R583" s="70">
        <f>'RESUMEN TOTAL'!AE715</f>
        <v>0</v>
      </c>
      <c r="S583" s="70">
        <f>'RESUMEN TOTAL'!AF715</f>
        <v>0</v>
      </c>
      <c r="T583" s="70">
        <f>'RESUMEN TOTAL'!AG715</f>
        <v>0</v>
      </c>
      <c r="U583" s="70">
        <f>'RESUMEN TOTAL'!AH715</f>
        <v>0</v>
      </c>
      <c r="V583" s="70">
        <f>'RESUMEN TOTAL'!AI715</f>
        <v>0</v>
      </c>
      <c r="W583" s="70">
        <f>'RESUMEN TOTAL'!AJ715</f>
        <v>0</v>
      </c>
      <c r="X583" s="70">
        <f>'RESUMEN TOTAL'!AK715</f>
        <v>0</v>
      </c>
      <c r="Y583" s="70">
        <f>'RESUMEN TOTAL'!AL715</f>
        <v>0</v>
      </c>
      <c r="Z583" s="70">
        <f>'RESUMEN TOTAL'!AM715</f>
        <v>0</v>
      </c>
      <c r="AA583" s="70">
        <f>'RESUMEN TOTAL'!AN715</f>
        <v>0</v>
      </c>
      <c r="AB583" s="70">
        <f>'RESUMEN TOTAL'!AO715</f>
        <v>0</v>
      </c>
      <c r="AC583" s="70">
        <f>'RESUMEN TOTAL'!AP715</f>
        <v>0</v>
      </c>
      <c r="AD583" s="70">
        <f>'RESUMEN TOTAL'!AQ715</f>
        <v>0</v>
      </c>
      <c r="AE583" s="70">
        <f>'RESUMEN TOTAL'!AR715</f>
        <v>0</v>
      </c>
      <c r="AF583" s="70">
        <f>'RESUMEN TOTAL'!AS715</f>
        <v>0</v>
      </c>
      <c r="AG583" s="70">
        <f>'RESUMEN TOTAL'!AT715</f>
        <v>0</v>
      </c>
      <c r="AH583" s="70">
        <f>'RESUMEN TOTAL'!AU715</f>
        <v>0</v>
      </c>
      <c r="AI583" s="70">
        <f>'RESUMEN TOTAL'!AV715</f>
        <v>0</v>
      </c>
      <c r="AJ583" s="70" t="e">
        <f>'RESUMEN TOTAL'!#REF!</f>
        <v>#REF!</v>
      </c>
    </row>
    <row r="584" spans="1:36" x14ac:dyDescent="0.25">
      <c r="A584">
        <f>'RESUMEN TOTAL'!F716</f>
        <v>0</v>
      </c>
      <c r="B584">
        <f>'RESUMEN TOTAL'!G716</f>
        <v>0</v>
      </c>
      <c r="C584">
        <f>'RESUMEN TOTAL'!I716</f>
        <v>0</v>
      </c>
      <c r="D584" s="30">
        <f>'RESUMEN TOTAL'!J716</f>
        <v>0</v>
      </c>
      <c r="E584" s="30">
        <f>'RESUMEN TOTAL'!K716</f>
        <v>0</v>
      </c>
      <c r="F584" s="70">
        <f>'RESUMEN TOTAL'!S716</f>
        <v>0</v>
      </c>
      <c r="G584" s="70">
        <f>'RESUMEN TOTAL'!T716</f>
        <v>0</v>
      </c>
      <c r="H584" s="70">
        <f>'RESUMEN TOTAL'!U716</f>
        <v>0</v>
      </c>
      <c r="I584" s="70">
        <f>'RESUMEN TOTAL'!V716</f>
        <v>0</v>
      </c>
      <c r="J584" s="70">
        <f>'RESUMEN TOTAL'!W716</f>
        <v>0</v>
      </c>
      <c r="K584" s="70">
        <f>'RESUMEN TOTAL'!X716</f>
        <v>0</v>
      </c>
      <c r="L584" s="70">
        <f>'RESUMEN TOTAL'!Y716</f>
        <v>0</v>
      </c>
      <c r="M584" s="70">
        <f>'RESUMEN TOTAL'!Z716</f>
        <v>0</v>
      </c>
      <c r="N584" s="70">
        <f>'RESUMEN TOTAL'!AA716</f>
        <v>0</v>
      </c>
      <c r="O584" s="70">
        <f>'RESUMEN TOTAL'!AB716</f>
        <v>0</v>
      </c>
      <c r="P584" s="70">
        <f>'RESUMEN TOTAL'!AC716</f>
        <v>0</v>
      </c>
      <c r="Q584" s="70">
        <f>'RESUMEN TOTAL'!AD716</f>
        <v>0</v>
      </c>
      <c r="R584" s="70">
        <f>'RESUMEN TOTAL'!AE716</f>
        <v>0</v>
      </c>
      <c r="S584" s="70">
        <f>'RESUMEN TOTAL'!AF716</f>
        <v>0</v>
      </c>
      <c r="T584" s="70">
        <f>'RESUMEN TOTAL'!AG716</f>
        <v>0</v>
      </c>
      <c r="U584" s="70">
        <f>'RESUMEN TOTAL'!AH716</f>
        <v>0</v>
      </c>
      <c r="V584" s="70">
        <f>'RESUMEN TOTAL'!AI716</f>
        <v>0</v>
      </c>
      <c r="W584" s="70">
        <f>'RESUMEN TOTAL'!AJ716</f>
        <v>0</v>
      </c>
      <c r="X584" s="70">
        <f>'RESUMEN TOTAL'!AK716</f>
        <v>0</v>
      </c>
      <c r="Y584" s="70">
        <f>'RESUMEN TOTAL'!AL716</f>
        <v>0</v>
      </c>
      <c r="Z584" s="70">
        <f>'RESUMEN TOTAL'!AM716</f>
        <v>0</v>
      </c>
      <c r="AA584" s="70">
        <f>'RESUMEN TOTAL'!AN716</f>
        <v>0</v>
      </c>
      <c r="AB584" s="70">
        <f>'RESUMEN TOTAL'!AO716</f>
        <v>0</v>
      </c>
      <c r="AC584" s="70">
        <f>'RESUMEN TOTAL'!AP716</f>
        <v>0</v>
      </c>
      <c r="AD584" s="70">
        <f>'RESUMEN TOTAL'!AQ716</f>
        <v>0</v>
      </c>
      <c r="AE584" s="70">
        <f>'RESUMEN TOTAL'!AR716</f>
        <v>0</v>
      </c>
      <c r="AF584" s="70">
        <f>'RESUMEN TOTAL'!AS716</f>
        <v>0</v>
      </c>
      <c r="AG584" s="70">
        <f>'RESUMEN TOTAL'!AT716</f>
        <v>0</v>
      </c>
      <c r="AH584" s="70">
        <f>'RESUMEN TOTAL'!AU716</f>
        <v>0</v>
      </c>
      <c r="AI584" s="70">
        <f>'RESUMEN TOTAL'!AV716</f>
        <v>0</v>
      </c>
      <c r="AJ584" s="70" t="e">
        <f>'RESUMEN TOTAL'!#REF!</f>
        <v>#REF!</v>
      </c>
    </row>
    <row r="585" spans="1:36" x14ac:dyDescent="0.25">
      <c r="A585">
        <f>'RESUMEN TOTAL'!F717</f>
        <v>0</v>
      </c>
      <c r="B585">
        <f>'RESUMEN TOTAL'!G717</f>
        <v>0</v>
      </c>
      <c r="C585">
        <f>'RESUMEN TOTAL'!I717</f>
        <v>0</v>
      </c>
      <c r="D585" s="30">
        <f>'RESUMEN TOTAL'!J717</f>
        <v>0</v>
      </c>
      <c r="E585" s="30">
        <f>'RESUMEN TOTAL'!K717</f>
        <v>0</v>
      </c>
      <c r="F585" s="70">
        <f>'RESUMEN TOTAL'!S717</f>
        <v>0</v>
      </c>
      <c r="G585" s="70">
        <f>'RESUMEN TOTAL'!T717</f>
        <v>0</v>
      </c>
      <c r="H585" s="70">
        <f>'RESUMEN TOTAL'!U717</f>
        <v>0</v>
      </c>
      <c r="I585" s="70">
        <f>'RESUMEN TOTAL'!V717</f>
        <v>0</v>
      </c>
      <c r="J585" s="70">
        <f>'RESUMEN TOTAL'!W717</f>
        <v>0</v>
      </c>
      <c r="K585" s="70">
        <f>'RESUMEN TOTAL'!X717</f>
        <v>0</v>
      </c>
      <c r="L585" s="70">
        <f>'RESUMEN TOTAL'!Y717</f>
        <v>0</v>
      </c>
      <c r="M585" s="70">
        <f>'RESUMEN TOTAL'!Z717</f>
        <v>0</v>
      </c>
      <c r="N585" s="70">
        <f>'RESUMEN TOTAL'!AA717</f>
        <v>0</v>
      </c>
      <c r="O585" s="70">
        <f>'RESUMEN TOTAL'!AB717</f>
        <v>0</v>
      </c>
      <c r="P585" s="70">
        <f>'RESUMEN TOTAL'!AC717</f>
        <v>0</v>
      </c>
      <c r="Q585" s="70">
        <f>'RESUMEN TOTAL'!AD717</f>
        <v>0</v>
      </c>
      <c r="R585" s="70">
        <f>'RESUMEN TOTAL'!AE717</f>
        <v>0</v>
      </c>
      <c r="S585" s="70">
        <f>'RESUMEN TOTAL'!AF717</f>
        <v>0</v>
      </c>
      <c r="T585" s="70">
        <f>'RESUMEN TOTAL'!AG717</f>
        <v>0</v>
      </c>
      <c r="U585" s="70">
        <f>'RESUMEN TOTAL'!AH717</f>
        <v>0</v>
      </c>
      <c r="V585" s="70">
        <f>'RESUMEN TOTAL'!AI717</f>
        <v>0</v>
      </c>
      <c r="W585" s="70">
        <f>'RESUMEN TOTAL'!AJ717</f>
        <v>0</v>
      </c>
      <c r="X585" s="70">
        <f>'RESUMEN TOTAL'!AK717</f>
        <v>0</v>
      </c>
      <c r="Y585" s="70">
        <f>'RESUMEN TOTAL'!AL717</f>
        <v>0</v>
      </c>
      <c r="Z585" s="70">
        <f>'RESUMEN TOTAL'!AM717</f>
        <v>0</v>
      </c>
      <c r="AA585" s="70">
        <f>'RESUMEN TOTAL'!AN717</f>
        <v>0</v>
      </c>
      <c r="AB585" s="70">
        <f>'RESUMEN TOTAL'!AO717</f>
        <v>0</v>
      </c>
      <c r="AC585" s="70">
        <f>'RESUMEN TOTAL'!AP717</f>
        <v>0</v>
      </c>
      <c r="AD585" s="70">
        <f>'RESUMEN TOTAL'!AQ717</f>
        <v>0</v>
      </c>
      <c r="AE585" s="70">
        <f>'RESUMEN TOTAL'!AR717</f>
        <v>0</v>
      </c>
      <c r="AF585" s="70">
        <f>'RESUMEN TOTAL'!AS717</f>
        <v>0</v>
      </c>
      <c r="AG585" s="70">
        <f>'RESUMEN TOTAL'!AT717</f>
        <v>0</v>
      </c>
      <c r="AH585" s="70">
        <f>'RESUMEN TOTAL'!AU717</f>
        <v>0</v>
      </c>
      <c r="AI585" s="70">
        <f>'RESUMEN TOTAL'!AV717</f>
        <v>0</v>
      </c>
      <c r="AJ585" s="70" t="e">
        <f>'RESUMEN TOTAL'!#REF!</f>
        <v>#REF!</v>
      </c>
    </row>
    <row r="586" spans="1:36" x14ac:dyDescent="0.25">
      <c r="A586">
        <f>'RESUMEN TOTAL'!F718</f>
        <v>0</v>
      </c>
      <c r="B586">
        <f>'RESUMEN TOTAL'!G718</f>
        <v>0</v>
      </c>
      <c r="C586">
        <f>'RESUMEN TOTAL'!I718</f>
        <v>0</v>
      </c>
      <c r="D586" s="30">
        <f>'RESUMEN TOTAL'!J718</f>
        <v>0</v>
      </c>
      <c r="E586" s="30">
        <f>'RESUMEN TOTAL'!K718</f>
        <v>0</v>
      </c>
      <c r="F586" s="70">
        <f>'RESUMEN TOTAL'!S718</f>
        <v>0</v>
      </c>
      <c r="G586" s="70">
        <f>'RESUMEN TOTAL'!T718</f>
        <v>0</v>
      </c>
      <c r="H586" s="70">
        <f>'RESUMEN TOTAL'!U718</f>
        <v>0</v>
      </c>
      <c r="I586" s="70">
        <f>'RESUMEN TOTAL'!V718</f>
        <v>0</v>
      </c>
      <c r="J586" s="70">
        <f>'RESUMEN TOTAL'!W718</f>
        <v>0</v>
      </c>
      <c r="K586" s="70">
        <f>'RESUMEN TOTAL'!X718</f>
        <v>0</v>
      </c>
      <c r="L586" s="70">
        <f>'RESUMEN TOTAL'!Y718</f>
        <v>0</v>
      </c>
      <c r="M586" s="70">
        <f>'RESUMEN TOTAL'!Z718</f>
        <v>0</v>
      </c>
      <c r="N586" s="70">
        <f>'RESUMEN TOTAL'!AA718</f>
        <v>0</v>
      </c>
      <c r="O586" s="70">
        <f>'RESUMEN TOTAL'!AB718</f>
        <v>0</v>
      </c>
      <c r="P586" s="70">
        <f>'RESUMEN TOTAL'!AC718</f>
        <v>0</v>
      </c>
      <c r="Q586" s="70">
        <f>'RESUMEN TOTAL'!AD718</f>
        <v>0</v>
      </c>
      <c r="R586" s="70">
        <f>'RESUMEN TOTAL'!AE718</f>
        <v>0</v>
      </c>
      <c r="S586" s="70">
        <f>'RESUMEN TOTAL'!AF718</f>
        <v>0</v>
      </c>
      <c r="T586" s="70">
        <f>'RESUMEN TOTAL'!AG718</f>
        <v>0</v>
      </c>
      <c r="U586" s="70">
        <f>'RESUMEN TOTAL'!AH718</f>
        <v>0</v>
      </c>
      <c r="V586" s="70">
        <f>'RESUMEN TOTAL'!AI718</f>
        <v>0</v>
      </c>
      <c r="W586" s="70">
        <f>'RESUMEN TOTAL'!AJ718</f>
        <v>0</v>
      </c>
      <c r="X586" s="70">
        <f>'RESUMEN TOTAL'!AK718</f>
        <v>0</v>
      </c>
      <c r="Y586" s="70">
        <f>'RESUMEN TOTAL'!AL718</f>
        <v>0</v>
      </c>
      <c r="Z586" s="70">
        <f>'RESUMEN TOTAL'!AM718</f>
        <v>0</v>
      </c>
      <c r="AA586" s="70">
        <f>'RESUMEN TOTAL'!AN718</f>
        <v>0</v>
      </c>
      <c r="AB586" s="70">
        <f>'RESUMEN TOTAL'!AO718</f>
        <v>0</v>
      </c>
      <c r="AC586" s="70">
        <f>'RESUMEN TOTAL'!AP718</f>
        <v>0</v>
      </c>
      <c r="AD586" s="70">
        <f>'RESUMEN TOTAL'!AQ718</f>
        <v>0</v>
      </c>
      <c r="AE586" s="70">
        <f>'RESUMEN TOTAL'!AR718</f>
        <v>0</v>
      </c>
      <c r="AF586" s="70">
        <f>'RESUMEN TOTAL'!AS718</f>
        <v>0</v>
      </c>
      <c r="AG586" s="70">
        <f>'RESUMEN TOTAL'!AT718</f>
        <v>0</v>
      </c>
      <c r="AH586" s="70">
        <f>'RESUMEN TOTAL'!AU718</f>
        <v>0</v>
      </c>
      <c r="AI586" s="70">
        <f>'RESUMEN TOTAL'!AV718</f>
        <v>0</v>
      </c>
      <c r="AJ586" s="70" t="e">
        <f>'RESUMEN TOTAL'!#REF!</f>
        <v>#REF!</v>
      </c>
    </row>
    <row r="587" spans="1:36" x14ac:dyDescent="0.25">
      <c r="A587">
        <f>'RESUMEN TOTAL'!F719</f>
        <v>0</v>
      </c>
      <c r="B587">
        <f>'RESUMEN TOTAL'!G719</f>
        <v>0</v>
      </c>
      <c r="C587">
        <f>'RESUMEN TOTAL'!I719</f>
        <v>0</v>
      </c>
      <c r="D587" s="30">
        <f>'RESUMEN TOTAL'!J719</f>
        <v>0</v>
      </c>
      <c r="E587" s="30">
        <f>'RESUMEN TOTAL'!K719</f>
        <v>0</v>
      </c>
      <c r="F587" s="70">
        <f>'RESUMEN TOTAL'!S719</f>
        <v>0</v>
      </c>
      <c r="G587" s="70">
        <f>'RESUMEN TOTAL'!T719</f>
        <v>0</v>
      </c>
      <c r="H587" s="70">
        <f>'RESUMEN TOTAL'!U719</f>
        <v>0</v>
      </c>
      <c r="I587" s="70">
        <f>'RESUMEN TOTAL'!V719</f>
        <v>0</v>
      </c>
      <c r="J587" s="70">
        <f>'RESUMEN TOTAL'!W719</f>
        <v>0</v>
      </c>
      <c r="K587" s="70">
        <f>'RESUMEN TOTAL'!X719</f>
        <v>0</v>
      </c>
      <c r="L587" s="70">
        <f>'RESUMEN TOTAL'!Y719</f>
        <v>0</v>
      </c>
      <c r="M587" s="70">
        <f>'RESUMEN TOTAL'!Z719</f>
        <v>0</v>
      </c>
      <c r="N587" s="70">
        <f>'RESUMEN TOTAL'!AA719</f>
        <v>0</v>
      </c>
      <c r="O587" s="70">
        <f>'RESUMEN TOTAL'!AB719</f>
        <v>0</v>
      </c>
      <c r="P587" s="70">
        <f>'RESUMEN TOTAL'!AC719</f>
        <v>0</v>
      </c>
      <c r="Q587" s="70">
        <f>'RESUMEN TOTAL'!AD719</f>
        <v>0</v>
      </c>
      <c r="R587" s="70">
        <f>'RESUMEN TOTAL'!AE719</f>
        <v>0</v>
      </c>
      <c r="S587" s="70">
        <f>'RESUMEN TOTAL'!AF719</f>
        <v>0</v>
      </c>
      <c r="T587" s="70">
        <f>'RESUMEN TOTAL'!AG719</f>
        <v>0</v>
      </c>
      <c r="U587" s="70">
        <f>'RESUMEN TOTAL'!AH719</f>
        <v>0</v>
      </c>
      <c r="V587" s="70">
        <f>'RESUMEN TOTAL'!AI719</f>
        <v>0</v>
      </c>
      <c r="W587" s="70">
        <f>'RESUMEN TOTAL'!AJ719</f>
        <v>0</v>
      </c>
      <c r="X587" s="70">
        <f>'RESUMEN TOTAL'!AK719</f>
        <v>0</v>
      </c>
      <c r="Y587" s="70">
        <f>'RESUMEN TOTAL'!AL719</f>
        <v>0</v>
      </c>
      <c r="Z587" s="70">
        <f>'RESUMEN TOTAL'!AM719</f>
        <v>0</v>
      </c>
      <c r="AA587" s="70">
        <f>'RESUMEN TOTAL'!AN719</f>
        <v>0</v>
      </c>
      <c r="AB587" s="70">
        <f>'RESUMEN TOTAL'!AO719</f>
        <v>0</v>
      </c>
      <c r="AC587" s="70">
        <f>'RESUMEN TOTAL'!AP719</f>
        <v>0</v>
      </c>
      <c r="AD587" s="70">
        <f>'RESUMEN TOTAL'!AQ719</f>
        <v>0</v>
      </c>
      <c r="AE587" s="70">
        <f>'RESUMEN TOTAL'!AR719</f>
        <v>0</v>
      </c>
      <c r="AF587" s="70">
        <f>'RESUMEN TOTAL'!AS719</f>
        <v>0</v>
      </c>
      <c r="AG587" s="70">
        <f>'RESUMEN TOTAL'!AT719</f>
        <v>0</v>
      </c>
      <c r="AH587" s="70">
        <f>'RESUMEN TOTAL'!AU719</f>
        <v>0</v>
      </c>
      <c r="AI587" s="70">
        <f>'RESUMEN TOTAL'!AV719</f>
        <v>0</v>
      </c>
      <c r="AJ587" s="70" t="e">
        <f>'RESUMEN TOTAL'!#REF!</f>
        <v>#REF!</v>
      </c>
    </row>
    <row r="588" spans="1:36" x14ac:dyDescent="0.25">
      <c r="A588">
        <f>'RESUMEN TOTAL'!F720</f>
        <v>0</v>
      </c>
      <c r="B588">
        <f>'RESUMEN TOTAL'!G720</f>
        <v>0</v>
      </c>
      <c r="C588">
        <f>'RESUMEN TOTAL'!I720</f>
        <v>0</v>
      </c>
      <c r="D588" s="30">
        <f>'RESUMEN TOTAL'!J720</f>
        <v>0</v>
      </c>
      <c r="E588" s="30">
        <f>'RESUMEN TOTAL'!K720</f>
        <v>0</v>
      </c>
      <c r="F588" s="70">
        <f>'RESUMEN TOTAL'!S720</f>
        <v>0</v>
      </c>
      <c r="G588" s="70">
        <f>'RESUMEN TOTAL'!T720</f>
        <v>0</v>
      </c>
      <c r="H588" s="70">
        <f>'RESUMEN TOTAL'!U720</f>
        <v>0</v>
      </c>
      <c r="I588" s="70">
        <f>'RESUMEN TOTAL'!V720</f>
        <v>0</v>
      </c>
      <c r="J588" s="70">
        <f>'RESUMEN TOTAL'!W720</f>
        <v>0</v>
      </c>
      <c r="K588" s="70">
        <f>'RESUMEN TOTAL'!X720</f>
        <v>0</v>
      </c>
      <c r="L588" s="70">
        <f>'RESUMEN TOTAL'!Y720</f>
        <v>0</v>
      </c>
      <c r="M588" s="70">
        <f>'RESUMEN TOTAL'!Z720</f>
        <v>0</v>
      </c>
      <c r="N588" s="70">
        <f>'RESUMEN TOTAL'!AA720</f>
        <v>0</v>
      </c>
      <c r="O588" s="70">
        <f>'RESUMEN TOTAL'!AB720</f>
        <v>0</v>
      </c>
      <c r="P588" s="70">
        <f>'RESUMEN TOTAL'!AC720</f>
        <v>0</v>
      </c>
      <c r="Q588" s="70">
        <f>'RESUMEN TOTAL'!AD720</f>
        <v>0</v>
      </c>
      <c r="R588" s="70">
        <f>'RESUMEN TOTAL'!AE720</f>
        <v>0</v>
      </c>
      <c r="S588" s="70">
        <f>'RESUMEN TOTAL'!AF720</f>
        <v>0</v>
      </c>
      <c r="T588" s="70">
        <f>'RESUMEN TOTAL'!AG720</f>
        <v>0</v>
      </c>
      <c r="U588" s="70">
        <f>'RESUMEN TOTAL'!AH720</f>
        <v>0</v>
      </c>
      <c r="V588" s="70">
        <f>'RESUMEN TOTAL'!AI720</f>
        <v>0</v>
      </c>
      <c r="W588" s="70">
        <f>'RESUMEN TOTAL'!AJ720</f>
        <v>0</v>
      </c>
      <c r="X588" s="70">
        <f>'RESUMEN TOTAL'!AK720</f>
        <v>0</v>
      </c>
      <c r="Y588" s="70">
        <f>'RESUMEN TOTAL'!AL720</f>
        <v>0</v>
      </c>
      <c r="Z588" s="70">
        <f>'RESUMEN TOTAL'!AM720</f>
        <v>0</v>
      </c>
      <c r="AA588" s="70">
        <f>'RESUMEN TOTAL'!AN720</f>
        <v>0</v>
      </c>
      <c r="AB588" s="70">
        <f>'RESUMEN TOTAL'!AO720</f>
        <v>0</v>
      </c>
      <c r="AC588" s="70">
        <f>'RESUMEN TOTAL'!AP720</f>
        <v>0</v>
      </c>
      <c r="AD588" s="70">
        <f>'RESUMEN TOTAL'!AQ720</f>
        <v>0</v>
      </c>
      <c r="AE588" s="70">
        <f>'RESUMEN TOTAL'!AR720</f>
        <v>0</v>
      </c>
      <c r="AF588" s="70">
        <f>'RESUMEN TOTAL'!AS720</f>
        <v>0</v>
      </c>
      <c r="AG588" s="70">
        <f>'RESUMEN TOTAL'!AT720</f>
        <v>0</v>
      </c>
      <c r="AH588" s="70">
        <f>'RESUMEN TOTAL'!AU720</f>
        <v>0</v>
      </c>
      <c r="AI588" s="70">
        <f>'RESUMEN TOTAL'!AV720</f>
        <v>0</v>
      </c>
      <c r="AJ588" s="70" t="e">
        <f>'RESUMEN TOTAL'!#REF!</f>
        <v>#REF!</v>
      </c>
    </row>
    <row r="589" spans="1:36" x14ac:dyDescent="0.25">
      <c r="A589">
        <f>'RESUMEN TOTAL'!F721</f>
        <v>0</v>
      </c>
      <c r="B589">
        <f>'RESUMEN TOTAL'!G721</f>
        <v>0</v>
      </c>
      <c r="C589">
        <f>'RESUMEN TOTAL'!I721</f>
        <v>0</v>
      </c>
      <c r="D589" s="30">
        <f>'RESUMEN TOTAL'!J721</f>
        <v>0</v>
      </c>
      <c r="E589" s="30">
        <f>'RESUMEN TOTAL'!K721</f>
        <v>0</v>
      </c>
      <c r="F589" s="70">
        <f>'RESUMEN TOTAL'!S721</f>
        <v>0</v>
      </c>
      <c r="G589" s="70">
        <f>'RESUMEN TOTAL'!T721</f>
        <v>0</v>
      </c>
      <c r="H589" s="70">
        <f>'RESUMEN TOTAL'!U721</f>
        <v>0</v>
      </c>
      <c r="I589" s="70">
        <f>'RESUMEN TOTAL'!V721</f>
        <v>0</v>
      </c>
      <c r="J589" s="70">
        <f>'RESUMEN TOTAL'!W721</f>
        <v>0</v>
      </c>
      <c r="K589" s="70">
        <f>'RESUMEN TOTAL'!X721</f>
        <v>0</v>
      </c>
      <c r="L589" s="70">
        <f>'RESUMEN TOTAL'!Y721</f>
        <v>0</v>
      </c>
      <c r="M589" s="70">
        <f>'RESUMEN TOTAL'!Z721</f>
        <v>0</v>
      </c>
      <c r="N589" s="70">
        <f>'RESUMEN TOTAL'!AA721</f>
        <v>0</v>
      </c>
      <c r="O589" s="70">
        <f>'RESUMEN TOTAL'!AB721</f>
        <v>0</v>
      </c>
      <c r="P589" s="70">
        <f>'RESUMEN TOTAL'!AC721</f>
        <v>0</v>
      </c>
      <c r="Q589" s="70">
        <f>'RESUMEN TOTAL'!AD721</f>
        <v>0</v>
      </c>
      <c r="R589" s="70">
        <f>'RESUMEN TOTAL'!AE721</f>
        <v>0</v>
      </c>
      <c r="S589" s="70">
        <f>'RESUMEN TOTAL'!AF721</f>
        <v>0</v>
      </c>
      <c r="T589" s="70">
        <f>'RESUMEN TOTAL'!AG721</f>
        <v>0</v>
      </c>
      <c r="U589" s="70">
        <f>'RESUMEN TOTAL'!AH721</f>
        <v>0</v>
      </c>
      <c r="V589" s="70">
        <f>'RESUMEN TOTAL'!AI721</f>
        <v>0</v>
      </c>
      <c r="W589" s="70">
        <f>'RESUMEN TOTAL'!AJ721</f>
        <v>0</v>
      </c>
      <c r="X589" s="70">
        <f>'RESUMEN TOTAL'!AK721</f>
        <v>0</v>
      </c>
      <c r="Y589" s="70">
        <f>'RESUMEN TOTAL'!AL721</f>
        <v>0</v>
      </c>
      <c r="Z589" s="70">
        <f>'RESUMEN TOTAL'!AM721</f>
        <v>0</v>
      </c>
      <c r="AA589" s="70">
        <f>'RESUMEN TOTAL'!AN721</f>
        <v>0</v>
      </c>
      <c r="AB589" s="70">
        <f>'RESUMEN TOTAL'!AO721</f>
        <v>0</v>
      </c>
      <c r="AC589" s="70">
        <f>'RESUMEN TOTAL'!AP721</f>
        <v>0</v>
      </c>
      <c r="AD589" s="70">
        <f>'RESUMEN TOTAL'!AQ721</f>
        <v>0</v>
      </c>
      <c r="AE589" s="70">
        <f>'RESUMEN TOTAL'!AR721</f>
        <v>0</v>
      </c>
      <c r="AF589" s="70">
        <f>'RESUMEN TOTAL'!AS721</f>
        <v>0</v>
      </c>
      <c r="AG589" s="70">
        <f>'RESUMEN TOTAL'!AT721</f>
        <v>0</v>
      </c>
      <c r="AH589" s="70">
        <f>'RESUMEN TOTAL'!AU721</f>
        <v>0</v>
      </c>
      <c r="AI589" s="70">
        <f>'RESUMEN TOTAL'!AV721</f>
        <v>0</v>
      </c>
      <c r="AJ589" s="70" t="e">
        <f>'RESUMEN TOTAL'!#REF!</f>
        <v>#REF!</v>
      </c>
    </row>
    <row r="590" spans="1:36" x14ac:dyDescent="0.25">
      <c r="A590">
        <f>'RESUMEN TOTAL'!F722</f>
        <v>0</v>
      </c>
      <c r="B590">
        <f>'RESUMEN TOTAL'!G722</f>
        <v>0</v>
      </c>
      <c r="C590">
        <f>'RESUMEN TOTAL'!I722</f>
        <v>0</v>
      </c>
      <c r="D590" s="30">
        <f>'RESUMEN TOTAL'!J722</f>
        <v>0</v>
      </c>
      <c r="E590" s="30">
        <f>'RESUMEN TOTAL'!K722</f>
        <v>0</v>
      </c>
      <c r="F590" s="70">
        <f>'RESUMEN TOTAL'!S722</f>
        <v>0</v>
      </c>
      <c r="G590" s="70">
        <f>'RESUMEN TOTAL'!T722</f>
        <v>0</v>
      </c>
      <c r="H590" s="70">
        <f>'RESUMEN TOTAL'!U722</f>
        <v>0</v>
      </c>
      <c r="I590" s="70">
        <f>'RESUMEN TOTAL'!V722</f>
        <v>0</v>
      </c>
      <c r="J590" s="70">
        <f>'RESUMEN TOTAL'!W722</f>
        <v>0</v>
      </c>
      <c r="K590" s="70">
        <f>'RESUMEN TOTAL'!X722</f>
        <v>0</v>
      </c>
      <c r="L590" s="70">
        <f>'RESUMEN TOTAL'!Y722</f>
        <v>0</v>
      </c>
      <c r="M590" s="70">
        <f>'RESUMEN TOTAL'!Z722</f>
        <v>0</v>
      </c>
      <c r="N590" s="70">
        <f>'RESUMEN TOTAL'!AA722</f>
        <v>0</v>
      </c>
      <c r="O590" s="70">
        <f>'RESUMEN TOTAL'!AB722</f>
        <v>0</v>
      </c>
      <c r="P590" s="70">
        <f>'RESUMEN TOTAL'!AC722</f>
        <v>0</v>
      </c>
      <c r="Q590" s="70">
        <f>'RESUMEN TOTAL'!AD722</f>
        <v>0</v>
      </c>
      <c r="R590" s="70">
        <f>'RESUMEN TOTAL'!AE722</f>
        <v>0</v>
      </c>
      <c r="S590" s="70">
        <f>'RESUMEN TOTAL'!AF722</f>
        <v>0</v>
      </c>
      <c r="T590" s="70">
        <f>'RESUMEN TOTAL'!AG722</f>
        <v>0</v>
      </c>
      <c r="U590" s="70">
        <f>'RESUMEN TOTAL'!AH722</f>
        <v>0</v>
      </c>
      <c r="V590" s="70">
        <f>'RESUMEN TOTAL'!AI722</f>
        <v>0</v>
      </c>
      <c r="W590" s="70">
        <f>'RESUMEN TOTAL'!AJ722</f>
        <v>0</v>
      </c>
      <c r="X590" s="70">
        <f>'RESUMEN TOTAL'!AK722</f>
        <v>0</v>
      </c>
      <c r="Y590" s="70">
        <f>'RESUMEN TOTAL'!AL722</f>
        <v>0</v>
      </c>
      <c r="Z590" s="70">
        <f>'RESUMEN TOTAL'!AM722</f>
        <v>0</v>
      </c>
      <c r="AA590" s="70">
        <f>'RESUMEN TOTAL'!AN722</f>
        <v>0</v>
      </c>
      <c r="AB590" s="70">
        <f>'RESUMEN TOTAL'!AO722</f>
        <v>0</v>
      </c>
      <c r="AC590" s="70">
        <f>'RESUMEN TOTAL'!AP722</f>
        <v>0</v>
      </c>
      <c r="AD590" s="70">
        <f>'RESUMEN TOTAL'!AQ722</f>
        <v>0</v>
      </c>
      <c r="AE590" s="70">
        <f>'RESUMEN TOTAL'!AR722</f>
        <v>0</v>
      </c>
      <c r="AF590" s="70">
        <f>'RESUMEN TOTAL'!AS722</f>
        <v>0</v>
      </c>
      <c r="AG590" s="70">
        <f>'RESUMEN TOTAL'!AT722</f>
        <v>0</v>
      </c>
      <c r="AH590" s="70">
        <f>'RESUMEN TOTAL'!AU722</f>
        <v>0</v>
      </c>
      <c r="AI590" s="70">
        <f>'RESUMEN TOTAL'!AV722</f>
        <v>0</v>
      </c>
      <c r="AJ590" s="70" t="e">
        <f>'RESUMEN TOTAL'!#REF!</f>
        <v>#REF!</v>
      </c>
    </row>
    <row r="591" spans="1:36" x14ac:dyDescent="0.25">
      <c r="A591">
        <f>'RESUMEN TOTAL'!F723</f>
        <v>0</v>
      </c>
      <c r="B591">
        <f>'RESUMEN TOTAL'!G723</f>
        <v>0</v>
      </c>
      <c r="C591">
        <f>'RESUMEN TOTAL'!I723</f>
        <v>0</v>
      </c>
      <c r="D591" s="30">
        <f>'RESUMEN TOTAL'!J723</f>
        <v>0</v>
      </c>
      <c r="E591" s="30">
        <f>'RESUMEN TOTAL'!K723</f>
        <v>0</v>
      </c>
      <c r="F591" s="70">
        <f>'RESUMEN TOTAL'!S723</f>
        <v>0</v>
      </c>
      <c r="G591" s="70">
        <f>'RESUMEN TOTAL'!T723</f>
        <v>0</v>
      </c>
      <c r="H591" s="70">
        <f>'RESUMEN TOTAL'!U723</f>
        <v>0</v>
      </c>
      <c r="I591" s="70">
        <f>'RESUMEN TOTAL'!V723</f>
        <v>0</v>
      </c>
      <c r="J591" s="70">
        <f>'RESUMEN TOTAL'!W723</f>
        <v>0</v>
      </c>
      <c r="K591" s="70">
        <f>'RESUMEN TOTAL'!X723</f>
        <v>0</v>
      </c>
      <c r="L591" s="70">
        <f>'RESUMEN TOTAL'!Y723</f>
        <v>0</v>
      </c>
      <c r="M591" s="70">
        <f>'RESUMEN TOTAL'!Z723</f>
        <v>0</v>
      </c>
      <c r="N591" s="70">
        <f>'RESUMEN TOTAL'!AA723</f>
        <v>0</v>
      </c>
      <c r="O591" s="70">
        <f>'RESUMEN TOTAL'!AB723</f>
        <v>0</v>
      </c>
      <c r="P591" s="70">
        <f>'RESUMEN TOTAL'!AC723</f>
        <v>0</v>
      </c>
      <c r="Q591" s="70">
        <f>'RESUMEN TOTAL'!AD723</f>
        <v>0</v>
      </c>
      <c r="R591" s="70">
        <f>'RESUMEN TOTAL'!AE723</f>
        <v>0</v>
      </c>
      <c r="S591" s="70">
        <f>'RESUMEN TOTAL'!AF723</f>
        <v>0</v>
      </c>
      <c r="T591" s="70">
        <f>'RESUMEN TOTAL'!AG723</f>
        <v>0</v>
      </c>
      <c r="U591" s="70">
        <f>'RESUMEN TOTAL'!AH723</f>
        <v>0</v>
      </c>
      <c r="V591" s="70">
        <f>'RESUMEN TOTAL'!AI723</f>
        <v>0</v>
      </c>
      <c r="W591" s="70">
        <f>'RESUMEN TOTAL'!AJ723</f>
        <v>0</v>
      </c>
      <c r="X591" s="70">
        <f>'RESUMEN TOTAL'!AK723</f>
        <v>0</v>
      </c>
      <c r="Y591" s="70">
        <f>'RESUMEN TOTAL'!AL723</f>
        <v>0</v>
      </c>
      <c r="Z591" s="70">
        <f>'RESUMEN TOTAL'!AM723</f>
        <v>0</v>
      </c>
      <c r="AA591" s="70">
        <f>'RESUMEN TOTAL'!AN723</f>
        <v>0</v>
      </c>
      <c r="AB591" s="70">
        <f>'RESUMEN TOTAL'!AO723</f>
        <v>0</v>
      </c>
      <c r="AC591" s="70">
        <f>'RESUMEN TOTAL'!AP723</f>
        <v>0</v>
      </c>
      <c r="AD591" s="70">
        <f>'RESUMEN TOTAL'!AQ723</f>
        <v>0</v>
      </c>
      <c r="AE591" s="70">
        <f>'RESUMEN TOTAL'!AR723</f>
        <v>0</v>
      </c>
      <c r="AF591" s="70">
        <f>'RESUMEN TOTAL'!AS723</f>
        <v>0</v>
      </c>
      <c r="AG591" s="70">
        <f>'RESUMEN TOTAL'!AT723</f>
        <v>0</v>
      </c>
      <c r="AH591" s="70">
        <f>'RESUMEN TOTAL'!AU723</f>
        <v>0</v>
      </c>
      <c r="AI591" s="70">
        <f>'RESUMEN TOTAL'!AV723</f>
        <v>0</v>
      </c>
      <c r="AJ591" s="70" t="e">
        <f>'RESUMEN TOTAL'!#REF!</f>
        <v>#REF!</v>
      </c>
    </row>
    <row r="592" spans="1:36" x14ac:dyDescent="0.25">
      <c r="A592">
        <f>'RESUMEN TOTAL'!F724</f>
        <v>0</v>
      </c>
      <c r="B592">
        <f>'RESUMEN TOTAL'!G724</f>
        <v>0</v>
      </c>
      <c r="C592">
        <f>'RESUMEN TOTAL'!I724</f>
        <v>0</v>
      </c>
      <c r="D592" s="30">
        <f>'RESUMEN TOTAL'!J724</f>
        <v>0</v>
      </c>
      <c r="E592" s="30">
        <f>'RESUMEN TOTAL'!K724</f>
        <v>0</v>
      </c>
      <c r="F592" s="70">
        <f>'RESUMEN TOTAL'!S724</f>
        <v>0</v>
      </c>
      <c r="G592" s="70">
        <f>'RESUMEN TOTAL'!T724</f>
        <v>0</v>
      </c>
      <c r="H592" s="70">
        <f>'RESUMEN TOTAL'!U724</f>
        <v>0</v>
      </c>
      <c r="I592" s="70">
        <f>'RESUMEN TOTAL'!V724</f>
        <v>0</v>
      </c>
      <c r="J592" s="70">
        <f>'RESUMEN TOTAL'!W724</f>
        <v>0</v>
      </c>
      <c r="K592" s="70">
        <f>'RESUMEN TOTAL'!X724</f>
        <v>0</v>
      </c>
      <c r="L592" s="70">
        <f>'RESUMEN TOTAL'!Y724</f>
        <v>0</v>
      </c>
      <c r="M592" s="70">
        <f>'RESUMEN TOTAL'!Z724</f>
        <v>0</v>
      </c>
      <c r="N592" s="70">
        <f>'RESUMEN TOTAL'!AA724</f>
        <v>0</v>
      </c>
      <c r="O592" s="70">
        <f>'RESUMEN TOTAL'!AB724</f>
        <v>0</v>
      </c>
      <c r="P592" s="70">
        <f>'RESUMEN TOTAL'!AC724</f>
        <v>0</v>
      </c>
      <c r="Q592" s="70">
        <f>'RESUMEN TOTAL'!AD724</f>
        <v>0</v>
      </c>
      <c r="R592" s="70">
        <f>'RESUMEN TOTAL'!AE724</f>
        <v>0</v>
      </c>
      <c r="S592" s="70">
        <f>'RESUMEN TOTAL'!AF724</f>
        <v>0</v>
      </c>
      <c r="T592" s="70">
        <f>'RESUMEN TOTAL'!AG724</f>
        <v>0</v>
      </c>
      <c r="U592" s="70">
        <f>'RESUMEN TOTAL'!AH724</f>
        <v>0</v>
      </c>
      <c r="V592" s="70">
        <f>'RESUMEN TOTAL'!AI724</f>
        <v>0</v>
      </c>
      <c r="W592" s="70">
        <f>'RESUMEN TOTAL'!AJ724</f>
        <v>0</v>
      </c>
      <c r="X592" s="70">
        <f>'RESUMEN TOTAL'!AK724</f>
        <v>0</v>
      </c>
      <c r="Y592" s="70">
        <f>'RESUMEN TOTAL'!AL724</f>
        <v>0</v>
      </c>
      <c r="Z592" s="70">
        <f>'RESUMEN TOTAL'!AM724</f>
        <v>0</v>
      </c>
      <c r="AA592" s="70">
        <f>'RESUMEN TOTAL'!AN724</f>
        <v>0</v>
      </c>
      <c r="AB592" s="70">
        <f>'RESUMEN TOTAL'!AO724</f>
        <v>0</v>
      </c>
      <c r="AC592" s="70">
        <f>'RESUMEN TOTAL'!AP724</f>
        <v>0</v>
      </c>
      <c r="AD592" s="70">
        <f>'RESUMEN TOTAL'!AQ724</f>
        <v>0</v>
      </c>
      <c r="AE592" s="70">
        <f>'RESUMEN TOTAL'!AR724</f>
        <v>0</v>
      </c>
      <c r="AF592" s="70">
        <f>'RESUMEN TOTAL'!AS724</f>
        <v>0</v>
      </c>
      <c r="AG592" s="70">
        <f>'RESUMEN TOTAL'!AT724</f>
        <v>0</v>
      </c>
      <c r="AH592" s="70">
        <f>'RESUMEN TOTAL'!AU724</f>
        <v>0</v>
      </c>
      <c r="AI592" s="70">
        <f>'RESUMEN TOTAL'!AV724</f>
        <v>0</v>
      </c>
      <c r="AJ592" s="70" t="e">
        <f>'RESUMEN TOTAL'!#REF!</f>
        <v>#REF!</v>
      </c>
    </row>
    <row r="593" spans="1:36" x14ac:dyDescent="0.25">
      <c r="A593">
        <f>'RESUMEN TOTAL'!F725</f>
        <v>0</v>
      </c>
      <c r="B593">
        <f>'RESUMEN TOTAL'!G725</f>
        <v>0</v>
      </c>
      <c r="C593">
        <f>'RESUMEN TOTAL'!I725</f>
        <v>0</v>
      </c>
      <c r="D593" s="30">
        <f>'RESUMEN TOTAL'!J725</f>
        <v>0</v>
      </c>
      <c r="E593" s="30">
        <f>'RESUMEN TOTAL'!K725</f>
        <v>0</v>
      </c>
      <c r="F593" s="70">
        <f>'RESUMEN TOTAL'!S725</f>
        <v>0</v>
      </c>
      <c r="G593" s="70">
        <f>'RESUMEN TOTAL'!T725</f>
        <v>0</v>
      </c>
      <c r="H593" s="70">
        <f>'RESUMEN TOTAL'!U725</f>
        <v>0</v>
      </c>
      <c r="I593" s="70">
        <f>'RESUMEN TOTAL'!V725</f>
        <v>0</v>
      </c>
      <c r="J593" s="70">
        <f>'RESUMEN TOTAL'!W725</f>
        <v>0</v>
      </c>
      <c r="K593" s="70">
        <f>'RESUMEN TOTAL'!X725</f>
        <v>0</v>
      </c>
      <c r="L593" s="70">
        <f>'RESUMEN TOTAL'!Y725</f>
        <v>0</v>
      </c>
      <c r="M593" s="70">
        <f>'RESUMEN TOTAL'!Z725</f>
        <v>0</v>
      </c>
      <c r="N593" s="70">
        <f>'RESUMEN TOTAL'!AA725</f>
        <v>0</v>
      </c>
      <c r="O593" s="70">
        <f>'RESUMEN TOTAL'!AB725</f>
        <v>0</v>
      </c>
      <c r="P593" s="70">
        <f>'RESUMEN TOTAL'!AC725</f>
        <v>0</v>
      </c>
      <c r="Q593" s="70">
        <f>'RESUMEN TOTAL'!AD725</f>
        <v>0</v>
      </c>
      <c r="R593" s="70">
        <f>'RESUMEN TOTAL'!AE725</f>
        <v>0</v>
      </c>
      <c r="S593" s="70">
        <f>'RESUMEN TOTAL'!AF725</f>
        <v>0</v>
      </c>
      <c r="T593" s="70">
        <f>'RESUMEN TOTAL'!AG725</f>
        <v>0</v>
      </c>
      <c r="U593" s="70">
        <f>'RESUMEN TOTAL'!AH725</f>
        <v>0</v>
      </c>
      <c r="V593" s="70">
        <f>'RESUMEN TOTAL'!AI725</f>
        <v>0</v>
      </c>
      <c r="W593" s="70">
        <f>'RESUMEN TOTAL'!AJ725</f>
        <v>0</v>
      </c>
      <c r="X593" s="70">
        <f>'RESUMEN TOTAL'!AK725</f>
        <v>0</v>
      </c>
      <c r="Y593" s="70">
        <f>'RESUMEN TOTAL'!AL725</f>
        <v>0</v>
      </c>
      <c r="Z593" s="70">
        <f>'RESUMEN TOTAL'!AM725</f>
        <v>0</v>
      </c>
      <c r="AA593" s="70">
        <f>'RESUMEN TOTAL'!AN725</f>
        <v>0</v>
      </c>
      <c r="AB593" s="70">
        <f>'RESUMEN TOTAL'!AO725</f>
        <v>0</v>
      </c>
      <c r="AC593" s="70">
        <f>'RESUMEN TOTAL'!AP725</f>
        <v>0</v>
      </c>
      <c r="AD593" s="70">
        <f>'RESUMEN TOTAL'!AQ725</f>
        <v>0</v>
      </c>
      <c r="AE593" s="70">
        <f>'RESUMEN TOTAL'!AR725</f>
        <v>0</v>
      </c>
      <c r="AF593" s="70">
        <f>'RESUMEN TOTAL'!AS725</f>
        <v>0</v>
      </c>
      <c r="AG593" s="70">
        <f>'RESUMEN TOTAL'!AT725</f>
        <v>0</v>
      </c>
      <c r="AH593" s="70">
        <f>'RESUMEN TOTAL'!AU725</f>
        <v>0</v>
      </c>
      <c r="AI593" s="70">
        <f>'RESUMEN TOTAL'!AV725</f>
        <v>0</v>
      </c>
      <c r="AJ593" s="70" t="e">
        <f>'RESUMEN TOTAL'!#REF!</f>
        <v>#REF!</v>
      </c>
    </row>
    <row r="594" spans="1:36" x14ac:dyDescent="0.25">
      <c r="A594">
        <f>'RESUMEN TOTAL'!F726</f>
        <v>0</v>
      </c>
      <c r="B594">
        <f>'RESUMEN TOTAL'!G726</f>
        <v>0</v>
      </c>
      <c r="C594">
        <f>'RESUMEN TOTAL'!I726</f>
        <v>0</v>
      </c>
      <c r="D594" s="30">
        <f>'RESUMEN TOTAL'!J726</f>
        <v>0</v>
      </c>
      <c r="E594" s="30">
        <f>'RESUMEN TOTAL'!K726</f>
        <v>0</v>
      </c>
      <c r="F594" s="70">
        <f>'RESUMEN TOTAL'!S726</f>
        <v>0</v>
      </c>
      <c r="G594" s="70">
        <f>'RESUMEN TOTAL'!T726</f>
        <v>0</v>
      </c>
      <c r="H594" s="70">
        <f>'RESUMEN TOTAL'!U726</f>
        <v>0</v>
      </c>
      <c r="I594" s="70">
        <f>'RESUMEN TOTAL'!V726</f>
        <v>0</v>
      </c>
      <c r="J594" s="70">
        <f>'RESUMEN TOTAL'!W726</f>
        <v>0</v>
      </c>
      <c r="K594" s="70">
        <f>'RESUMEN TOTAL'!X726</f>
        <v>0</v>
      </c>
      <c r="L594" s="70">
        <f>'RESUMEN TOTAL'!Y726</f>
        <v>0</v>
      </c>
      <c r="M594" s="70">
        <f>'RESUMEN TOTAL'!Z726</f>
        <v>0</v>
      </c>
      <c r="N594" s="70">
        <f>'RESUMEN TOTAL'!AA726</f>
        <v>0</v>
      </c>
      <c r="O594" s="70">
        <f>'RESUMEN TOTAL'!AB726</f>
        <v>0</v>
      </c>
      <c r="P594" s="70">
        <f>'RESUMEN TOTAL'!AC726</f>
        <v>0</v>
      </c>
      <c r="Q594" s="70">
        <f>'RESUMEN TOTAL'!AD726</f>
        <v>0</v>
      </c>
      <c r="R594" s="70">
        <f>'RESUMEN TOTAL'!AE726</f>
        <v>0</v>
      </c>
      <c r="S594" s="70">
        <f>'RESUMEN TOTAL'!AF726</f>
        <v>0</v>
      </c>
      <c r="T594" s="70">
        <f>'RESUMEN TOTAL'!AG726</f>
        <v>0</v>
      </c>
      <c r="U594" s="70">
        <f>'RESUMEN TOTAL'!AH726</f>
        <v>0</v>
      </c>
      <c r="V594" s="70">
        <f>'RESUMEN TOTAL'!AI726</f>
        <v>0</v>
      </c>
      <c r="W594" s="70">
        <f>'RESUMEN TOTAL'!AJ726</f>
        <v>0</v>
      </c>
      <c r="X594" s="70">
        <f>'RESUMEN TOTAL'!AK726</f>
        <v>0</v>
      </c>
      <c r="Y594" s="70">
        <f>'RESUMEN TOTAL'!AL726</f>
        <v>0</v>
      </c>
      <c r="Z594" s="70">
        <f>'RESUMEN TOTAL'!AM726</f>
        <v>0</v>
      </c>
      <c r="AA594" s="70">
        <f>'RESUMEN TOTAL'!AN726</f>
        <v>0</v>
      </c>
      <c r="AB594" s="70">
        <f>'RESUMEN TOTAL'!AO726</f>
        <v>0</v>
      </c>
      <c r="AC594" s="70">
        <f>'RESUMEN TOTAL'!AP726</f>
        <v>0</v>
      </c>
      <c r="AD594" s="70">
        <f>'RESUMEN TOTAL'!AQ726</f>
        <v>0</v>
      </c>
      <c r="AE594" s="70">
        <f>'RESUMEN TOTAL'!AR726</f>
        <v>0</v>
      </c>
      <c r="AF594" s="70">
        <f>'RESUMEN TOTAL'!AS726</f>
        <v>0</v>
      </c>
      <c r="AG594" s="70">
        <f>'RESUMEN TOTAL'!AT726</f>
        <v>0</v>
      </c>
      <c r="AH594" s="70">
        <f>'RESUMEN TOTAL'!AU726</f>
        <v>0</v>
      </c>
      <c r="AI594" s="70">
        <f>'RESUMEN TOTAL'!AV726</f>
        <v>0</v>
      </c>
      <c r="AJ594" s="70" t="e">
        <f>'RESUMEN TOTAL'!#REF!</f>
        <v>#REF!</v>
      </c>
    </row>
    <row r="595" spans="1:36" x14ac:dyDescent="0.25">
      <c r="A595">
        <f>'RESUMEN TOTAL'!F727</f>
        <v>0</v>
      </c>
      <c r="B595">
        <f>'RESUMEN TOTAL'!G727</f>
        <v>0</v>
      </c>
      <c r="C595">
        <f>'RESUMEN TOTAL'!I727</f>
        <v>0</v>
      </c>
      <c r="D595" s="30">
        <f>'RESUMEN TOTAL'!J727</f>
        <v>0</v>
      </c>
      <c r="E595" s="30">
        <f>'RESUMEN TOTAL'!K727</f>
        <v>0</v>
      </c>
      <c r="F595" s="70">
        <f>'RESUMEN TOTAL'!S727</f>
        <v>0</v>
      </c>
      <c r="G595" s="70">
        <f>'RESUMEN TOTAL'!T727</f>
        <v>0</v>
      </c>
      <c r="H595" s="70">
        <f>'RESUMEN TOTAL'!U727</f>
        <v>0</v>
      </c>
      <c r="I595" s="70">
        <f>'RESUMEN TOTAL'!V727</f>
        <v>0</v>
      </c>
      <c r="J595" s="70">
        <f>'RESUMEN TOTAL'!W727</f>
        <v>0</v>
      </c>
      <c r="K595" s="70">
        <f>'RESUMEN TOTAL'!X727</f>
        <v>0</v>
      </c>
      <c r="L595" s="70">
        <f>'RESUMEN TOTAL'!Y727</f>
        <v>0</v>
      </c>
      <c r="M595" s="70">
        <f>'RESUMEN TOTAL'!Z727</f>
        <v>0</v>
      </c>
      <c r="N595" s="70">
        <f>'RESUMEN TOTAL'!AA727</f>
        <v>0</v>
      </c>
      <c r="O595" s="70">
        <f>'RESUMEN TOTAL'!AB727</f>
        <v>0</v>
      </c>
      <c r="P595" s="70">
        <f>'RESUMEN TOTAL'!AC727</f>
        <v>0</v>
      </c>
      <c r="Q595" s="70">
        <f>'RESUMEN TOTAL'!AD727</f>
        <v>0</v>
      </c>
      <c r="R595" s="70">
        <f>'RESUMEN TOTAL'!AE727</f>
        <v>0</v>
      </c>
      <c r="S595" s="70">
        <f>'RESUMEN TOTAL'!AF727</f>
        <v>0</v>
      </c>
      <c r="T595" s="70">
        <f>'RESUMEN TOTAL'!AG727</f>
        <v>0</v>
      </c>
      <c r="U595" s="70">
        <f>'RESUMEN TOTAL'!AH727</f>
        <v>0</v>
      </c>
      <c r="V595" s="70">
        <f>'RESUMEN TOTAL'!AI727</f>
        <v>0</v>
      </c>
      <c r="W595" s="70">
        <f>'RESUMEN TOTAL'!AJ727</f>
        <v>0</v>
      </c>
      <c r="X595" s="70">
        <f>'RESUMEN TOTAL'!AK727</f>
        <v>0</v>
      </c>
      <c r="Y595" s="70">
        <f>'RESUMEN TOTAL'!AL727</f>
        <v>0</v>
      </c>
      <c r="Z595" s="70">
        <f>'RESUMEN TOTAL'!AM727</f>
        <v>0</v>
      </c>
      <c r="AA595" s="70">
        <f>'RESUMEN TOTAL'!AN727</f>
        <v>0</v>
      </c>
      <c r="AB595" s="70">
        <f>'RESUMEN TOTAL'!AO727</f>
        <v>0</v>
      </c>
      <c r="AC595" s="70">
        <f>'RESUMEN TOTAL'!AP727</f>
        <v>0</v>
      </c>
      <c r="AD595" s="70">
        <f>'RESUMEN TOTAL'!AQ727</f>
        <v>0</v>
      </c>
      <c r="AE595" s="70">
        <f>'RESUMEN TOTAL'!AR727</f>
        <v>0</v>
      </c>
      <c r="AF595" s="70">
        <f>'RESUMEN TOTAL'!AS727</f>
        <v>0</v>
      </c>
      <c r="AG595" s="70">
        <f>'RESUMEN TOTAL'!AT727</f>
        <v>0</v>
      </c>
      <c r="AH595" s="70">
        <f>'RESUMEN TOTAL'!AU727</f>
        <v>0</v>
      </c>
      <c r="AI595" s="70">
        <f>'RESUMEN TOTAL'!AV727</f>
        <v>0</v>
      </c>
      <c r="AJ595" s="70" t="e">
        <f>'RESUMEN TOTAL'!#REF!</f>
        <v>#REF!</v>
      </c>
    </row>
    <row r="596" spans="1:36" x14ac:dyDescent="0.25">
      <c r="A596">
        <f>'RESUMEN TOTAL'!F728</f>
        <v>0</v>
      </c>
      <c r="B596">
        <f>'RESUMEN TOTAL'!G728</f>
        <v>0</v>
      </c>
      <c r="C596">
        <f>'RESUMEN TOTAL'!I728</f>
        <v>0</v>
      </c>
      <c r="D596" s="30">
        <f>'RESUMEN TOTAL'!J728</f>
        <v>0</v>
      </c>
      <c r="E596" s="30">
        <f>'RESUMEN TOTAL'!K728</f>
        <v>0</v>
      </c>
      <c r="F596" s="70">
        <f>'RESUMEN TOTAL'!S728</f>
        <v>0</v>
      </c>
      <c r="G596" s="70">
        <f>'RESUMEN TOTAL'!T728</f>
        <v>0</v>
      </c>
      <c r="H596" s="70">
        <f>'RESUMEN TOTAL'!U728</f>
        <v>0</v>
      </c>
      <c r="I596" s="70">
        <f>'RESUMEN TOTAL'!V728</f>
        <v>0</v>
      </c>
      <c r="J596" s="70">
        <f>'RESUMEN TOTAL'!W728</f>
        <v>0</v>
      </c>
      <c r="K596" s="70">
        <f>'RESUMEN TOTAL'!X728</f>
        <v>0</v>
      </c>
      <c r="L596" s="70">
        <f>'RESUMEN TOTAL'!Y728</f>
        <v>0</v>
      </c>
      <c r="M596" s="70">
        <f>'RESUMEN TOTAL'!Z728</f>
        <v>0</v>
      </c>
      <c r="N596" s="70">
        <f>'RESUMEN TOTAL'!AA728</f>
        <v>0</v>
      </c>
      <c r="O596" s="70">
        <f>'RESUMEN TOTAL'!AB728</f>
        <v>0</v>
      </c>
      <c r="P596" s="70">
        <f>'RESUMEN TOTAL'!AC728</f>
        <v>0</v>
      </c>
      <c r="Q596" s="70">
        <f>'RESUMEN TOTAL'!AD728</f>
        <v>0</v>
      </c>
      <c r="R596" s="70">
        <f>'RESUMEN TOTAL'!AE728</f>
        <v>0</v>
      </c>
      <c r="S596" s="70">
        <f>'RESUMEN TOTAL'!AF728</f>
        <v>0</v>
      </c>
      <c r="T596" s="70">
        <f>'RESUMEN TOTAL'!AG728</f>
        <v>0</v>
      </c>
      <c r="U596" s="70">
        <f>'RESUMEN TOTAL'!AH728</f>
        <v>0</v>
      </c>
      <c r="V596" s="70">
        <f>'RESUMEN TOTAL'!AI728</f>
        <v>0</v>
      </c>
      <c r="W596" s="70">
        <f>'RESUMEN TOTAL'!AJ728</f>
        <v>0</v>
      </c>
      <c r="X596" s="70">
        <f>'RESUMEN TOTAL'!AK728</f>
        <v>0</v>
      </c>
      <c r="Y596" s="70">
        <f>'RESUMEN TOTAL'!AL728</f>
        <v>0</v>
      </c>
      <c r="Z596" s="70">
        <f>'RESUMEN TOTAL'!AM728</f>
        <v>0</v>
      </c>
      <c r="AA596" s="70">
        <f>'RESUMEN TOTAL'!AN728</f>
        <v>0</v>
      </c>
      <c r="AB596" s="70">
        <f>'RESUMEN TOTAL'!AO728</f>
        <v>0</v>
      </c>
      <c r="AC596" s="70">
        <f>'RESUMEN TOTAL'!AP728</f>
        <v>0</v>
      </c>
      <c r="AD596" s="70">
        <f>'RESUMEN TOTAL'!AQ728</f>
        <v>0</v>
      </c>
      <c r="AE596" s="70">
        <f>'RESUMEN TOTAL'!AR728</f>
        <v>0</v>
      </c>
      <c r="AF596" s="70">
        <f>'RESUMEN TOTAL'!AS728</f>
        <v>0</v>
      </c>
      <c r="AG596" s="70">
        <f>'RESUMEN TOTAL'!AT728</f>
        <v>0</v>
      </c>
      <c r="AH596" s="70">
        <f>'RESUMEN TOTAL'!AU728</f>
        <v>0</v>
      </c>
      <c r="AI596" s="70">
        <f>'RESUMEN TOTAL'!AV728</f>
        <v>0</v>
      </c>
      <c r="AJ596" s="70" t="e">
        <f>'RESUMEN TOTAL'!#REF!</f>
        <v>#REF!</v>
      </c>
    </row>
    <row r="597" spans="1:36" x14ac:dyDescent="0.25">
      <c r="A597">
        <f>'RESUMEN TOTAL'!F729</f>
        <v>0</v>
      </c>
      <c r="B597">
        <f>'RESUMEN TOTAL'!G729</f>
        <v>0</v>
      </c>
      <c r="C597">
        <f>'RESUMEN TOTAL'!I729</f>
        <v>0</v>
      </c>
      <c r="D597" s="30">
        <f>'RESUMEN TOTAL'!J729</f>
        <v>0</v>
      </c>
      <c r="E597" s="30">
        <f>'RESUMEN TOTAL'!K729</f>
        <v>0</v>
      </c>
      <c r="F597" s="70">
        <f>'RESUMEN TOTAL'!S729</f>
        <v>0</v>
      </c>
      <c r="G597" s="70">
        <f>'RESUMEN TOTAL'!T729</f>
        <v>0</v>
      </c>
      <c r="H597" s="70">
        <f>'RESUMEN TOTAL'!U729</f>
        <v>0</v>
      </c>
      <c r="I597" s="70">
        <f>'RESUMEN TOTAL'!V729</f>
        <v>0</v>
      </c>
      <c r="J597" s="70">
        <f>'RESUMEN TOTAL'!W729</f>
        <v>0</v>
      </c>
      <c r="K597" s="70">
        <f>'RESUMEN TOTAL'!X729</f>
        <v>0</v>
      </c>
      <c r="L597" s="70">
        <f>'RESUMEN TOTAL'!Y729</f>
        <v>0</v>
      </c>
      <c r="M597" s="70">
        <f>'RESUMEN TOTAL'!Z729</f>
        <v>0</v>
      </c>
      <c r="N597" s="70">
        <f>'RESUMEN TOTAL'!AA729</f>
        <v>0</v>
      </c>
      <c r="O597" s="70">
        <f>'RESUMEN TOTAL'!AB729</f>
        <v>0</v>
      </c>
      <c r="P597" s="70">
        <f>'RESUMEN TOTAL'!AC729</f>
        <v>0</v>
      </c>
      <c r="Q597" s="70">
        <f>'RESUMEN TOTAL'!AD729</f>
        <v>0</v>
      </c>
      <c r="R597" s="70">
        <f>'RESUMEN TOTAL'!AE729</f>
        <v>0</v>
      </c>
      <c r="S597" s="70">
        <f>'RESUMEN TOTAL'!AF729</f>
        <v>0</v>
      </c>
      <c r="T597" s="70">
        <f>'RESUMEN TOTAL'!AG729</f>
        <v>0</v>
      </c>
      <c r="U597" s="70">
        <f>'RESUMEN TOTAL'!AH729</f>
        <v>0</v>
      </c>
      <c r="V597" s="70">
        <f>'RESUMEN TOTAL'!AI729</f>
        <v>0</v>
      </c>
      <c r="W597" s="70">
        <f>'RESUMEN TOTAL'!AJ729</f>
        <v>0</v>
      </c>
      <c r="X597" s="70">
        <f>'RESUMEN TOTAL'!AK729</f>
        <v>0</v>
      </c>
      <c r="Y597" s="70">
        <f>'RESUMEN TOTAL'!AL729</f>
        <v>0</v>
      </c>
      <c r="Z597" s="70">
        <f>'RESUMEN TOTAL'!AM729</f>
        <v>0</v>
      </c>
      <c r="AA597" s="70">
        <f>'RESUMEN TOTAL'!AN729</f>
        <v>0</v>
      </c>
      <c r="AB597" s="70">
        <f>'RESUMEN TOTAL'!AO729</f>
        <v>0</v>
      </c>
      <c r="AC597" s="70">
        <f>'RESUMEN TOTAL'!AP729</f>
        <v>0</v>
      </c>
      <c r="AD597" s="70">
        <f>'RESUMEN TOTAL'!AQ729</f>
        <v>0</v>
      </c>
      <c r="AE597" s="70">
        <f>'RESUMEN TOTAL'!AR729</f>
        <v>0</v>
      </c>
      <c r="AF597" s="70">
        <f>'RESUMEN TOTAL'!AS729</f>
        <v>0</v>
      </c>
      <c r="AG597" s="70">
        <f>'RESUMEN TOTAL'!AT729</f>
        <v>0</v>
      </c>
      <c r="AH597" s="70">
        <f>'RESUMEN TOTAL'!AU729</f>
        <v>0</v>
      </c>
      <c r="AI597" s="70">
        <f>'RESUMEN TOTAL'!AV729</f>
        <v>0</v>
      </c>
      <c r="AJ597" s="70" t="e">
        <f>'RESUMEN TOTAL'!#REF!</f>
        <v>#REF!</v>
      </c>
    </row>
    <row r="598" spans="1:36" x14ac:dyDescent="0.25">
      <c r="A598">
        <f>'RESUMEN TOTAL'!F730</f>
        <v>0</v>
      </c>
      <c r="B598">
        <f>'RESUMEN TOTAL'!G730</f>
        <v>0</v>
      </c>
      <c r="C598">
        <f>'RESUMEN TOTAL'!I730</f>
        <v>0</v>
      </c>
      <c r="D598" s="30">
        <f>'RESUMEN TOTAL'!J730</f>
        <v>0</v>
      </c>
      <c r="E598" s="30">
        <f>'RESUMEN TOTAL'!K730</f>
        <v>0</v>
      </c>
      <c r="F598" s="70">
        <f>'RESUMEN TOTAL'!S730</f>
        <v>0</v>
      </c>
      <c r="G598" s="70">
        <f>'RESUMEN TOTAL'!T730</f>
        <v>0</v>
      </c>
      <c r="H598" s="70">
        <f>'RESUMEN TOTAL'!U730</f>
        <v>0</v>
      </c>
      <c r="I598" s="70">
        <f>'RESUMEN TOTAL'!V730</f>
        <v>0</v>
      </c>
      <c r="J598" s="70">
        <f>'RESUMEN TOTAL'!W730</f>
        <v>0</v>
      </c>
      <c r="K598" s="70">
        <f>'RESUMEN TOTAL'!X730</f>
        <v>0</v>
      </c>
      <c r="L598" s="70">
        <f>'RESUMEN TOTAL'!Y730</f>
        <v>0</v>
      </c>
      <c r="M598" s="70">
        <f>'RESUMEN TOTAL'!Z730</f>
        <v>0</v>
      </c>
      <c r="N598" s="70">
        <f>'RESUMEN TOTAL'!AA730</f>
        <v>0</v>
      </c>
      <c r="O598" s="70">
        <f>'RESUMEN TOTAL'!AB730</f>
        <v>0</v>
      </c>
      <c r="P598" s="70">
        <f>'RESUMEN TOTAL'!AC730</f>
        <v>0</v>
      </c>
      <c r="Q598" s="70">
        <f>'RESUMEN TOTAL'!AD730</f>
        <v>0</v>
      </c>
      <c r="R598" s="70">
        <f>'RESUMEN TOTAL'!AE730</f>
        <v>0</v>
      </c>
      <c r="S598" s="70">
        <f>'RESUMEN TOTAL'!AF730</f>
        <v>0</v>
      </c>
      <c r="T598" s="70">
        <f>'RESUMEN TOTAL'!AG730</f>
        <v>0</v>
      </c>
      <c r="U598" s="70">
        <f>'RESUMEN TOTAL'!AH730</f>
        <v>0</v>
      </c>
      <c r="V598" s="70">
        <f>'RESUMEN TOTAL'!AI730</f>
        <v>0</v>
      </c>
      <c r="W598" s="70">
        <f>'RESUMEN TOTAL'!AJ730</f>
        <v>0</v>
      </c>
      <c r="X598" s="70">
        <f>'RESUMEN TOTAL'!AK730</f>
        <v>0</v>
      </c>
      <c r="Y598" s="70">
        <f>'RESUMEN TOTAL'!AL730</f>
        <v>0</v>
      </c>
      <c r="Z598" s="70">
        <f>'RESUMEN TOTAL'!AM730</f>
        <v>0</v>
      </c>
      <c r="AA598" s="70">
        <f>'RESUMEN TOTAL'!AN730</f>
        <v>0</v>
      </c>
      <c r="AB598" s="70">
        <f>'RESUMEN TOTAL'!AO730</f>
        <v>0</v>
      </c>
      <c r="AC598" s="70">
        <f>'RESUMEN TOTAL'!AP730</f>
        <v>0</v>
      </c>
      <c r="AD598" s="70">
        <f>'RESUMEN TOTAL'!AQ730</f>
        <v>0</v>
      </c>
      <c r="AE598" s="70">
        <f>'RESUMEN TOTAL'!AR730</f>
        <v>0</v>
      </c>
      <c r="AF598" s="70">
        <f>'RESUMEN TOTAL'!AS730</f>
        <v>0</v>
      </c>
      <c r="AG598" s="70">
        <f>'RESUMEN TOTAL'!AT730</f>
        <v>0</v>
      </c>
      <c r="AH598" s="70">
        <f>'RESUMEN TOTAL'!AU730</f>
        <v>0</v>
      </c>
      <c r="AI598" s="70">
        <f>'RESUMEN TOTAL'!AV730</f>
        <v>0</v>
      </c>
      <c r="AJ598" s="70" t="e">
        <f>'RESUMEN TOTAL'!#REF!</f>
        <v>#REF!</v>
      </c>
    </row>
    <row r="599" spans="1:36" x14ac:dyDescent="0.25">
      <c r="A599">
        <f>'RESUMEN TOTAL'!F731</f>
        <v>0</v>
      </c>
      <c r="B599">
        <f>'RESUMEN TOTAL'!G731</f>
        <v>0</v>
      </c>
      <c r="C599">
        <f>'RESUMEN TOTAL'!I731</f>
        <v>0</v>
      </c>
      <c r="D599" s="30">
        <f>'RESUMEN TOTAL'!J731</f>
        <v>0</v>
      </c>
      <c r="E599" s="30">
        <f>'RESUMEN TOTAL'!K731</f>
        <v>0</v>
      </c>
      <c r="F599" s="70">
        <f>'RESUMEN TOTAL'!S731</f>
        <v>0</v>
      </c>
      <c r="G599" s="70">
        <f>'RESUMEN TOTAL'!T731</f>
        <v>0</v>
      </c>
      <c r="H599" s="70">
        <f>'RESUMEN TOTAL'!U731</f>
        <v>0</v>
      </c>
      <c r="I599" s="70">
        <f>'RESUMEN TOTAL'!V731</f>
        <v>0</v>
      </c>
      <c r="J599" s="70">
        <f>'RESUMEN TOTAL'!W731</f>
        <v>0</v>
      </c>
      <c r="K599" s="70">
        <f>'RESUMEN TOTAL'!X731</f>
        <v>0</v>
      </c>
      <c r="L599" s="70">
        <f>'RESUMEN TOTAL'!Y731</f>
        <v>0</v>
      </c>
      <c r="M599" s="70">
        <f>'RESUMEN TOTAL'!Z731</f>
        <v>0</v>
      </c>
      <c r="N599" s="70">
        <f>'RESUMEN TOTAL'!AA731</f>
        <v>0</v>
      </c>
      <c r="O599" s="70">
        <f>'RESUMEN TOTAL'!AB731</f>
        <v>0</v>
      </c>
      <c r="P599" s="70">
        <f>'RESUMEN TOTAL'!AC731</f>
        <v>0</v>
      </c>
      <c r="Q599" s="70">
        <f>'RESUMEN TOTAL'!AD731</f>
        <v>0</v>
      </c>
      <c r="R599" s="70">
        <f>'RESUMEN TOTAL'!AE731</f>
        <v>0</v>
      </c>
      <c r="S599" s="70">
        <f>'RESUMEN TOTAL'!AF731</f>
        <v>0</v>
      </c>
      <c r="T599" s="70">
        <f>'RESUMEN TOTAL'!AG731</f>
        <v>0</v>
      </c>
      <c r="U599" s="70">
        <f>'RESUMEN TOTAL'!AH731</f>
        <v>0</v>
      </c>
      <c r="V599" s="70">
        <f>'RESUMEN TOTAL'!AI731</f>
        <v>0</v>
      </c>
      <c r="W599" s="70">
        <f>'RESUMEN TOTAL'!AJ731</f>
        <v>0</v>
      </c>
      <c r="X599" s="70">
        <f>'RESUMEN TOTAL'!AK731</f>
        <v>0</v>
      </c>
      <c r="Y599" s="70">
        <f>'RESUMEN TOTAL'!AL731</f>
        <v>0</v>
      </c>
      <c r="Z599" s="70">
        <f>'RESUMEN TOTAL'!AM731</f>
        <v>0</v>
      </c>
      <c r="AA599" s="70">
        <f>'RESUMEN TOTAL'!AN731</f>
        <v>0</v>
      </c>
      <c r="AB599" s="70">
        <f>'RESUMEN TOTAL'!AO731</f>
        <v>0</v>
      </c>
      <c r="AC599" s="70">
        <f>'RESUMEN TOTAL'!AP731</f>
        <v>0</v>
      </c>
      <c r="AD599" s="70">
        <f>'RESUMEN TOTAL'!AQ731</f>
        <v>0</v>
      </c>
      <c r="AE599" s="70">
        <f>'RESUMEN TOTAL'!AR731</f>
        <v>0</v>
      </c>
      <c r="AF599" s="70">
        <f>'RESUMEN TOTAL'!AS731</f>
        <v>0</v>
      </c>
      <c r="AG599" s="70">
        <f>'RESUMEN TOTAL'!AT731</f>
        <v>0</v>
      </c>
      <c r="AH599" s="70">
        <f>'RESUMEN TOTAL'!AU731</f>
        <v>0</v>
      </c>
      <c r="AI599" s="70">
        <f>'RESUMEN TOTAL'!AV731</f>
        <v>0</v>
      </c>
      <c r="AJ599" s="70" t="e">
        <f>'RESUMEN TOTAL'!#REF!</f>
        <v>#REF!</v>
      </c>
    </row>
    <row r="600" spans="1:36" x14ac:dyDescent="0.25">
      <c r="A600">
        <f>'RESUMEN TOTAL'!F732</f>
        <v>0</v>
      </c>
      <c r="B600">
        <f>'RESUMEN TOTAL'!G732</f>
        <v>0</v>
      </c>
      <c r="C600">
        <f>'RESUMEN TOTAL'!I732</f>
        <v>0</v>
      </c>
      <c r="D600" s="30">
        <f>'RESUMEN TOTAL'!J732</f>
        <v>0</v>
      </c>
      <c r="E600" s="30">
        <f>'RESUMEN TOTAL'!K732</f>
        <v>0</v>
      </c>
      <c r="F600" s="70">
        <f>'RESUMEN TOTAL'!S732</f>
        <v>0</v>
      </c>
      <c r="G600" s="70">
        <f>'RESUMEN TOTAL'!T732</f>
        <v>0</v>
      </c>
      <c r="H600" s="70">
        <f>'RESUMEN TOTAL'!U732</f>
        <v>0</v>
      </c>
      <c r="I600" s="70">
        <f>'RESUMEN TOTAL'!V732</f>
        <v>0</v>
      </c>
      <c r="J600" s="70">
        <f>'RESUMEN TOTAL'!W732</f>
        <v>0</v>
      </c>
      <c r="K600" s="70">
        <f>'RESUMEN TOTAL'!X732</f>
        <v>0</v>
      </c>
      <c r="L600" s="70">
        <f>'RESUMEN TOTAL'!Y732</f>
        <v>0</v>
      </c>
      <c r="M600" s="70">
        <f>'RESUMEN TOTAL'!Z732</f>
        <v>0</v>
      </c>
      <c r="N600" s="70">
        <f>'RESUMEN TOTAL'!AA732</f>
        <v>0</v>
      </c>
      <c r="O600" s="70">
        <f>'RESUMEN TOTAL'!AB732</f>
        <v>0</v>
      </c>
      <c r="P600" s="70">
        <f>'RESUMEN TOTAL'!AC732</f>
        <v>0</v>
      </c>
      <c r="Q600" s="70">
        <f>'RESUMEN TOTAL'!AD732</f>
        <v>0</v>
      </c>
      <c r="R600" s="70">
        <f>'RESUMEN TOTAL'!AE732</f>
        <v>0</v>
      </c>
      <c r="S600" s="70">
        <f>'RESUMEN TOTAL'!AF732</f>
        <v>0</v>
      </c>
      <c r="T600" s="70">
        <f>'RESUMEN TOTAL'!AG732</f>
        <v>0</v>
      </c>
      <c r="U600" s="70">
        <f>'RESUMEN TOTAL'!AH732</f>
        <v>0</v>
      </c>
      <c r="V600" s="70">
        <f>'RESUMEN TOTAL'!AI732</f>
        <v>0</v>
      </c>
      <c r="W600" s="70">
        <f>'RESUMEN TOTAL'!AJ732</f>
        <v>0</v>
      </c>
      <c r="X600" s="70">
        <f>'RESUMEN TOTAL'!AK732</f>
        <v>0</v>
      </c>
      <c r="Y600" s="70">
        <f>'RESUMEN TOTAL'!AL732</f>
        <v>0</v>
      </c>
      <c r="Z600" s="70">
        <f>'RESUMEN TOTAL'!AM732</f>
        <v>0</v>
      </c>
      <c r="AA600" s="70">
        <f>'RESUMEN TOTAL'!AN732</f>
        <v>0</v>
      </c>
      <c r="AB600" s="70">
        <f>'RESUMEN TOTAL'!AO732</f>
        <v>0</v>
      </c>
      <c r="AC600" s="70">
        <f>'RESUMEN TOTAL'!AP732</f>
        <v>0</v>
      </c>
      <c r="AD600" s="70">
        <f>'RESUMEN TOTAL'!AQ732</f>
        <v>0</v>
      </c>
      <c r="AE600" s="70">
        <f>'RESUMEN TOTAL'!AR732</f>
        <v>0</v>
      </c>
      <c r="AF600" s="70">
        <f>'RESUMEN TOTAL'!AS732</f>
        <v>0</v>
      </c>
      <c r="AG600" s="70">
        <f>'RESUMEN TOTAL'!AT732</f>
        <v>0</v>
      </c>
      <c r="AH600" s="70">
        <f>'RESUMEN TOTAL'!AU732</f>
        <v>0</v>
      </c>
      <c r="AI600" s="70">
        <f>'RESUMEN TOTAL'!AV732</f>
        <v>0</v>
      </c>
      <c r="AJ600" s="70" t="e">
        <f>'RESUMEN TOTAL'!#REF!</f>
        <v>#REF!</v>
      </c>
    </row>
    <row r="601" spans="1:36" x14ac:dyDescent="0.25">
      <c r="A601">
        <f>'RESUMEN TOTAL'!F733</f>
        <v>0</v>
      </c>
      <c r="B601">
        <f>'RESUMEN TOTAL'!G733</f>
        <v>0</v>
      </c>
      <c r="C601">
        <f>'RESUMEN TOTAL'!I733</f>
        <v>0</v>
      </c>
      <c r="D601" s="30">
        <f>'RESUMEN TOTAL'!J733</f>
        <v>0</v>
      </c>
      <c r="E601" s="30">
        <f>'RESUMEN TOTAL'!K733</f>
        <v>0</v>
      </c>
      <c r="F601" s="70">
        <f>'RESUMEN TOTAL'!S733</f>
        <v>0</v>
      </c>
      <c r="G601" s="70">
        <f>'RESUMEN TOTAL'!T733</f>
        <v>0</v>
      </c>
      <c r="H601" s="70">
        <f>'RESUMEN TOTAL'!U733</f>
        <v>0</v>
      </c>
      <c r="I601" s="70">
        <f>'RESUMEN TOTAL'!V733</f>
        <v>0</v>
      </c>
      <c r="J601" s="70">
        <f>'RESUMEN TOTAL'!W733</f>
        <v>0</v>
      </c>
      <c r="K601" s="70">
        <f>'RESUMEN TOTAL'!X733</f>
        <v>0</v>
      </c>
      <c r="L601" s="70">
        <f>'RESUMEN TOTAL'!Y733</f>
        <v>0</v>
      </c>
      <c r="M601" s="70">
        <f>'RESUMEN TOTAL'!Z733</f>
        <v>0</v>
      </c>
      <c r="N601" s="70">
        <f>'RESUMEN TOTAL'!AA733</f>
        <v>0</v>
      </c>
      <c r="O601" s="70">
        <f>'RESUMEN TOTAL'!AB733</f>
        <v>0</v>
      </c>
      <c r="P601" s="70">
        <f>'RESUMEN TOTAL'!AC733</f>
        <v>0</v>
      </c>
      <c r="Q601" s="70">
        <f>'RESUMEN TOTAL'!AD733</f>
        <v>0</v>
      </c>
      <c r="R601" s="70">
        <f>'RESUMEN TOTAL'!AE733</f>
        <v>0</v>
      </c>
      <c r="S601" s="70">
        <f>'RESUMEN TOTAL'!AF733</f>
        <v>0</v>
      </c>
      <c r="T601" s="70">
        <f>'RESUMEN TOTAL'!AG733</f>
        <v>0</v>
      </c>
      <c r="U601" s="70">
        <f>'RESUMEN TOTAL'!AH733</f>
        <v>0</v>
      </c>
      <c r="V601" s="70">
        <f>'RESUMEN TOTAL'!AI733</f>
        <v>0</v>
      </c>
      <c r="W601" s="70">
        <f>'RESUMEN TOTAL'!AJ733</f>
        <v>0</v>
      </c>
      <c r="X601" s="70">
        <f>'RESUMEN TOTAL'!AK733</f>
        <v>0</v>
      </c>
      <c r="Y601" s="70">
        <f>'RESUMEN TOTAL'!AL733</f>
        <v>0</v>
      </c>
      <c r="Z601" s="70">
        <f>'RESUMEN TOTAL'!AM733</f>
        <v>0</v>
      </c>
      <c r="AA601" s="70">
        <f>'RESUMEN TOTAL'!AN733</f>
        <v>0</v>
      </c>
      <c r="AB601" s="70">
        <f>'RESUMEN TOTAL'!AO733</f>
        <v>0</v>
      </c>
      <c r="AC601" s="70">
        <f>'RESUMEN TOTAL'!AP733</f>
        <v>0</v>
      </c>
      <c r="AD601" s="70">
        <f>'RESUMEN TOTAL'!AQ733</f>
        <v>0</v>
      </c>
      <c r="AE601" s="70">
        <f>'RESUMEN TOTAL'!AR733</f>
        <v>0</v>
      </c>
      <c r="AF601" s="70">
        <f>'RESUMEN TOTAL'!AS733</f>
        <v>0</v>
      </c>
      <c r="AG601" s="70">
        <f>'RESUMEN TOTAL'!AT733</f>
        <v>0</v>
      </c>
      <c r="AH601" s="70">
        <f>'RESUMEN TOTAL'!AU733</f>
        <v>0</v>
      </c>
      <c r="AI601" s="70">
        <f>'RESUMEN TOTAL'!AV733</f>
        <v>0</v>
      </c>
      <c r="AJ601" s="70" t="e">
        <f>'RESUMEN TOTAL'!#REF!</f>
        <v>#REF!</v>
      </c>
    </row>
    <row r="602" spans="1:36" x14ac:dyDescent="0.25">
      <c r="A602">
        <f>'RESUMEN TOTAL'!F734</f>
        <v>0</v>
      </c>
      <c r="B602">
        <f>'RESUMEN TOTAL'!G734</f>
        <v>0</v>
      </c>
      <c r="C602">
        <f>'RESUMEN TOTAL'!I734</f>
        <v>0</v>
      </c>
      <c r="D602" s="30">
        <f>'RESUMEN TOTAL'!J734</f>
        <v>0</v>
      </c>
      <c r="E602" s="30">
        <f>'RESUMEN TOTAL'!K734</f>
        <v>0</v>
      </c>
      <c r="F602" s="70">
        <f>'RESUMEN TOTAL'!S734</f>
        <v>0</v>
      </c>
      <c r="G602" s="70">
        <f>'RESUMEN TOTAL'!T734</f>
        <v>0</v>
      </c>
      <c r="H602" s="70">
        <f>'RESUMEN TOTAL'!U734</f>
        <v>0</v>
      </c>
      <c r="I602" s="70">
        <f>'RESUMEN TOTAL'!V734</f>
        <v>0</v>
      </c>
      <c r="J602" s="70">
        <f>'RESUMEN TOTAL'!W734</f>
        <v>0</v>
      </c>
      <c r="K602" s="70">
        <f>'RESUMEN TOTAL'!X734</f>
        <v>0</v>
      </c>
      <c r="L602" s="70">
        <f>'RESUMEN TOTAL'!Y734</f>
        <v>0</v>
      </c>
      <c r="M602" s="70">
        <f>'RESUMEN TOTAL'!Z734</f>
        <v>0</v>
      </c>
      <c r="N602" s="70">
        <f>'RESUMEN TOTAL'!AA734</f>
        <v>0</v>
      </c>
      <c r="O602" s="70">
        <f>'RESUMEN TOTAL'!AB734</f>
        <v>0</v>
      </c>
      <c r="P602" s="70">
        <f>'RESUMEN TOTAL'!AC734</f>
        <v>0</v>
      </c>
      <c r="Q602" s="70">
        <f>'RESUMEN TOTAL'!AD734</f>
        <v>0</v>
      </c>
      <c r="R602" s="70">
        <f>'RESUMEN TOTAL'!AE734</f>
        <v>0</v>
      </c>
      <c r="S602" s="70">
        <f>'RESUMEN TOTAL'!AF734</f>
        <v>0</v>
      </c>
      <c r="T602" s="70">
        <f>'RESUMEN TOTAL'!AG734</f>
        <v>0</v>
      </c>
      <c r="U602" s="70">
        <f>'RESUMEN TOTAL'!AH734</f>
        <v>0</v>
      </c>
      <c r="V602" s="70">
        <f>'RESUMEN TOTAL'!AI734</f>
        <v>0</v>
      </c>
      <c r="W602" s="70">
        <f>'RESUMEN TOTAL'!AJ734</f>
        <v>0</v>
      </c>
      <c r="X602" s="70">
        <f>'RESUMEN TOTAL'!AK734</f>
        <v>0</v>
      </c>
      <c r="Y602" s="70">
        <f>'RESUMEN TOTAL'!AL734</f>
        <v>0</v>
      </c>
      <c r="Z602" s="70">
        <f>'RESUMEN TOTAL'!AM734</f>
        <v>0</v>
      </c>
      <c r="AA602" s="70">
        <f>'RESUMEN TOTAL'!AN734</f>
        <v>0</v>
      </c>
      <c r="AB602" s="70">
        <f>'RESUMEN TOTAL'!AO734</f>
        <v>0</v>
      </c>
      <c r="AC602" s="70">
        <f>'RESUMEN TOTAL'!AP734</f>
        <v>0</v>
      </c>
      <c r="AD602" s="70">
        <f>'RESUMEN TOTAL'!AQ734</f>
        <v>0</v>
      </c>
      <c r="AE602" s="70">
        <f>'RESUMEN TOTAL'!AR734</f>
        <v>0</v>
      </c>
      <c r="AF602" s="70">
        <f>'RESUMEN TOTAL'!AS734</f>
        <v>0</v>
      </c>
      <c r="AG602" s="70">
        <f>'RESUMEN TOTAL'!AT734</f>
        <v>0</v>
      </c>
      <c r="AH602" s="70">
        <f>'RESUMEN TOTAL'!AU734</f>
        <v>0</v>
      </c>
      <c r="AI602" s="70">
        <f>'RESUMEN TOTAL'!AV734</f>
        <v>0</v>
      </c>
      <c r="AJ602" s="70" t="e">
        <f>'RESUMEN TOTAL'!#REF!</f>
        <v>#REF!</v>
      </c>
    </row>
    <row r="603" spans="1:36" x14ac:dyDescent="0.25">
      <c r="A603">
        <f>'RESUMEN TOTAL'!F735</f>
        <v>0</v>
      </c>
      <c r="B603">
        <f>'RESUMEN TOTAL'!G735</f>
        <v>0</v>
      </c>
      <c r="C603">
        <f>'RESUMEN TOTAL'!I735</f>
        <v>0</v>
      </c>
      <c r="D603" s="30">
        <f>'RESUMEN TOTAL'!J735</f>
        <v>0</v>
      </c>
      <c r="E603" s="30">
        <f>'RESUMEN TOTAL'!K735</f>
        <v>0</v>
      </c>
      <c r="F603" s="70">
        <f>'RESUMEN TOTAL'!S735</f>
        <v>0</v>
      </c>
      <c r="G603" s="70">
        <f>'RESUMEN TOTAL'!T735</f>
        <v>0</v>
      </c>
      <c r="H603" s="70">
        <f>'RESUMEN TOTAL'!U735</f>
        <v>0</v>
      </c>
      <c r="I603" s="70">
        <f>'RESUMEN TOTAL'!V735</f>
        <v>0</v>
      </c>
      <c r="J603" s="70">
        <f>'RESUMEN TOTAL'!W735</f>
        <v>0</v>
      </c>
      <c r="K603" s="70">
        <f>'RESUMEN TOTAL'!X735</f>
        <v>0</v>
      </c>
      <c r="L603" s="70">
        <f>'RESUMEN TOTAL'!Y735</f>
        <v>0</v>
      </c>
      <c r="M603" s="70">
        <f>'RESUMEN TOTAL'!Z735</f>
        <v>0</v>
      </c>
      <c r="N603" s="70">
        <f>'RESUMEN TOTAL'!AA735</f>
        <v>0</v>
      </c>
      <c r="O603" s="70">
        <f>'RESUMEN TOTAL'!AB735</f>
        <v>0</v>
      </c>
      <c r="P603" s="70">
        <f>'RESUMEN TOTAL'!AC735</f>
        <v>0</v>
      </c>
      <c r="Q603" s="70">
        <f>'RESUMEN TOTAL'!AD735</f>
        <v>0</v>
      </c>
      <c r="R603" s="70">
        <f>'RESUMEN TOTAL'!AE735</f>
        <v>0</v>
      </c>
      <c r="S603" s="70">
        <f>'RESUMEN TOTAL'!AF735</f>
        <v>0</v>
      </c>
      <c r="T603" s="70">
        <f>'RESUMEN TOTAL'!AG735</f>
        <v>0</v>
      </c>
      <c r="U603" s="70">
        <f>'RESUMEN TOTAL'!AH735</f>
        <v>0</v>
      </c>
      <c r="V603" s="70">
        <f>'RESUMEN TOTAL'!AI735</f>
        <v>0</v>
      </c>
      <c r="W603" s="70">
        <f>'RESUMEN TOTAL'!AJ735</f>
        <v>0</v>
      </c>
      <c r="X603" s="70">
        <f>'RESUMEN TOTAL'!AK735</f>
        <v>0</v>
      </c>
      <c r="Y603" s="70">
        <f>'RESUMEN TOTAL'!AL735</f>
        <v>0</v>
      </c>
      <c r="Z603" s="70">
        <f>'RESUMEN TOTAL'!AM735</f>
        <v>0</v>
      </c>
      <c r="AA603" s="70">
        <f>'RESUMEN TOTAL'!AN735</f>
        <v>0</v>
      </c>
      <c r="AB603" s="70">
        <f>'RESUMEN TOTAL'!AO735</f>
        <v>0</v>
      </c>
      <c r="AC603" s="70">
        <f>'RESUMEN TOTAL'!AP735</f>
        <v>0</v>
      </c>
      <c r="AD603" s="70">
        <f>'RESUMEN TOTAL'!AQ735</f>
        <v>0</v>
      </c>
      <c r="AE603" s="70">
        <f>'RESUMEN TOTAL'!AR735</f>
        <v>0</v>
      </c>
      <c r="AF603" s="70">
        <f>'RESUMEN TOTAL'!AS735</f>
        <v>0</v>
      </c>
      <c r="AG603" s="70">
        <f>'RESUMEN TOTAL'!AT735</f>
        <v>0</v>
      </c>
      <c r="AH603" s="70">
        <f>'RESUMEN TOTAL'!AU735</f>
        <v>0</v>
      </c>
      <c r="AI603" s="70">
        <f>'RESUMEN TOTAL'!AV735</f>
        <v>0</v>
      </c>
      <c r="AJ603" s="70" t="e">
        <f>'RESUMEN TOTAL'!#REF!</f>
        <v>#REF!</v>
      </c>
    </row>
    <row r="604" spans="1:36" x14ac:dyDescent="0.25">
      <c r="A604">
        <f>'RESUMEN TOTAL'!F736</f>
        <v>0</v>
      </c>
      <c r="B604">
        <f>'RESUMEN TOTAL'!G736</f>
        <v>0</v>
      </c>
      <c r="C604">
        <f>'RESUMEN TOTAL'!I736</f>
        <v>0</v>
      </c>
      <c r="D604" s="30">
        <f>'RESUMEN TOTAL'!J736</f>
        <v>0</v>
      </c>
      <c r="E604" s="30">
        <f>'RESUMEN TOTAL'!K736</f>
        <v>0</v>
      </c>
      <c r="F604" s="70">
        <f>'RESUMEN TOTAL'!S736</f>
        <v>0</v>
      </c>
      <c r="G604" s="70">
        <f>'RESUMEN TOTAL'!T736</f>
        <v>0</v>
      </c>
      <c r="H604" s="70">
        <f>'RESUMEN TOTAL'!U736</f>
        <v>0</v>
      </c>
      <c r="I604" s="70">
        <f>'RESUMEN TOTAL'!V736</f>
        <v>0</v>
      </c>
      <c r="J604" s="70">
        <f>'RESUMEN TOTAL'!W736</f>
        <v>0</v>
      </c>
      <c r="K604" s="70">
        <f>'RESUMEN TOTAL'!X736</f>
        <v>0</v>
      </c>
      <c r="L604" s="70">
        <f>'RESUMEN TOTAL'!Y736</f>
        <v>0</v>
      </c>
      <c r="M604" s="70">
        <f>'RESUMEN TOTAL'!Z736</f>
        <v>0</v>
      </c>
      <c r="N604" s="70">
        <f>'RESUMEN TOTAL'!AA736</f>
        <v>0</v>
      </c>
      <c r="O604" s="70">
        <f>'RESUMEN TOTAL'!AB736</f>
        <v>0</v>
      </c>
      <c r="P604" s="70">
        <f>'RESUMEN TOTAL'!AC736</f>
        <v>0</v>
      </c>
      <c r="Q604" s="70">
        <f>'RESUMEN TOTAL'!AD736</f>
        <v>0</v>
      </c>
      <c r="R604" s="70">
        <f>'RESUMEN TOTAL'!AE736</f>
        <v>0</v>
      </c>
      <c r="S604" s="70">
        <f>'RESUMEN TOTAL'!AF736</f>
        <v>0</v>
      </c>
      <c r="T604" s="70">
        <f>'RESUMEN TOTAL'!AG736</f>
        <v>0</v>
      </c>
      <c r="U604" s="70">
        <f>'RESUMEN TOTAL'!AH736</f>
        <v>0</v>
      </c>
      <c r="V604" s="70">
        <f>'RESUMEN TOTAL'!AI736</f>
        <v>0</v>
      </c>
      <c r="W604" s="70">
        <f>'RESUMEN TOTAL'!AJ736</f>
        <v>0</v>
      </c>
      <c r="X604" s="70">
        <f>'RESUMEN TOTAL'!AK736</f>
        <v>0</v>
      </c>
      <c r="Y604" s="70">
        <f>'RESUMEN TOTAL'!AL736</f>
        <v>0</v>
      </c>
      <c r="Z604" s="70">
        <f>'RESUMEN TOTAL'!AM736</f>
        <v>0</v>
      </c>
      <c r="AA604" s="70">
        <f>'RESUMEN TOTAL'!AN736</f>
        <v>0</v>
      </c>
      <c r="AB604" s="70">
        <f>'RESUMEN TOTAL'!AO736</f>
        <v>0</v>
      </c>
      <c r="AC604" s="70">
        <f>'RESUMEN TOTAL'!AP736</f>
        <v>0</v>
      </c>
      <c r="AD604" s="70">
        <f>'RESUMEN TOTAL'!AQ736</f>
        <v>0</v>
      </c>
      <c r="AE604" s="70">
        <f>'RESUMEN TOTAL'!AR736</f>
        <v>0</v>
      </c>
      <c r="AF604" s="70">
        <f>'RESUMEN TOTAL'!AS736</f>
        <v>0</v>
      </c>
      <c r="AG604" s="70">
        <f>'RESUMEN TOTAL'!AT736</f>
        <v>0</v>
      </c>
      <c r="AH604" s="70">
        <f>'RESUMEN TOTAL'!AU736</f>
        <v>0</v>
      </c>
      <c r="AI604" s="70">
        <f>'RESUMEN TOTAL'!AV736</f>
        <v>0</v>
      </c>
      <c r="AJ604" s="70" t="e">
        <f>'RESUMEN TOTAL'!#REF!</f>
        <v>#REF!</v>
      </c>
    </row>
    <row r="605" spans="1:36" x14ac:dyDescent="0.25">
      <c r="A605">
        <f>'RESUMEN TOTAL'!F737</f>
        <v>0</v>
      </c>
      <c r="B605">
        <f>'RESUMEN TOTAL'!G737</f>
        <v>0</v>
      </c>
      <c r="C605">
        <f>'RESUMEN TOTAL'!I737</f>
        <v>0</v>
      </c>
      <c r="D605" s="30">
        <f>'RESUMEN TOTAL'!J737</f>
        <v>0</v>
      </c>
      <c r="E605" s="30">
        <f>'RESUMEN TOTAL'!K737</f>
        <v>0</v>
      </c>
      <c r="F605" s="70">
        <f>'RESUMEN TOTAL'!S737</f>
        <v>0</v>
      </c>
      <c r="G605" s="70">
        <f>'RESUMEN TOTAL'!T737</f>
        <v>0</v>
      </c>
      <c r="H605" s="70">
        <f>'RESUMEN TOTAL'!U737</f>
        <v>0</v>
      </c>
      <c r="I605" s="70">
        <f>'RESUMEN TOTAL'!V737</f>
        <v>0</v>
      </c>
      <c r="J605" s="70">
        <f>'RESUMEN TOTAL'!W737</f>
        <v>0</v>
      </c>
      <c r="K605" s="70">
        <f>'RESUMEN TOTAL'!X737</f>
        <v>0</v>
      </c>
      <c r="L605" s="70">
        <f>'RESUMEN TOTAL'!Y737</f>
        <v>0</v>
      </c>
      <c r="M605" s="70">
        <f>'RESUMEN TOTAL'!Z737</f>
        <v>0</v>
      </c>
      <c r="N605" s="70">
        <f>'RESUMEN TOTAL'!AA737</f>
        <v>0</v>
      </c>
      <c r="O605" s="70">
        <f>'RESUMEN TOTAL'!AB737</f>
        <v>0</v>
      </c>
      <c r="P605" s="70">
        <f>'RESUMEN TOTAL'!AC737</f>
        <v>0</v>
      </c>
      <c r="Q605" s="70">
        <f>'RESUMEN TOTAL'!AD737</f>
        <v>0</v>
      </c>
      <c r="R605" s="70">
        <f>'RESUMEN TOTAL'!AE737</f>
        <v>0</v>
      </c>
      <c r="S605" s="70">
        <f>'RESUMEN TOTAL'!AF737</f>
        <v>0</v>
      </c>
      <c r="T605" s="70">
        <f>'RESUMEN TOTAL'!AG737</f>
        <v>0</v>
      </c>
      <c r="U605" s="70">
        <f>'RESUMEN TOTAL'!AH737</f>
        <v>0</v>
      </c>
      <c r="V605" s="70">
        <f>'RESUMEN TOTAL'!AI737</f>
        <v>0</v>
      </c>
      <c r="W605" s="70">
        <f>'RESUMEN TOTAL'!AJ737</f>
        <v>0</v>
      </c>
      <c r="X605" s="70">
        <f>'RESUMEN TOTAL'!AK737</f>
        <v>0</v>
      </c>
      <c r="Y605" s="70">
        <f>'RESUMEN TOTAL'!AL737</f>
        <v>0</v>
      </c>
      <c r="Z605" s="70">
        <f>'RESUMEN TOTAL'!AM737</f>
        <v>0</v>
      </c>
      <c r="AA605" s="70">
        <f>'RESUMEN TOTAL'!AN737</f>
        <v>0</v>
      </c>
      <c r="AB605" s="70">
        <f>'RESUMEN TOTAL'!AO737</f>
        <v>0</v>
      </c>
      <c r="AC605" s="70">
        <f>'RESUMEN TOTAL'!AP737</f>
        <v>0</v>
      </c>
      <c r="AD605" s="70">
        <f>'RESUMEN TOTAL'!AQ737</f>
        <v>0</v>
      </c>
      <c r="AE605" s="70">
        <f>'RESUMEN TOTAL'!AR737</f>
        <v>0</v>
      </c>
      <c r="AF605" s="70">
        <f>'RESUMEN TOTAL'!AS737</f>
        <v>0</v>
      </c>
      <c r="AG605" s="70">
        <f>'RESUMEN TOTAL'!AT737</f>
        <v>0</v>
      </c>
      <c r="AH605" s="70">
        <f>'RESUMEN TOTAL'!AU737</f>
        <v>0</v>
      </c>
      <c r="AI605" s="70">
        <f>'RESUMEN TOTAL'!AV737</f>
        <v>0</v>
      </c>
      <c r="AJ605" s="70" t="e">
        <f>'RESUMEN TOTAL'!#REF!</f>
        <v>#REF!</v>
      </c>
    </row>
    <row r="606" spans="1:36" x14ac:dyDescent="0.25">
      <c r="A606">
        <f>'RESUMEN TOTAL'!F738</f>
        <v>0</v>
      </c>
      <c r="B606">
        <f>'RESUMEN TOTAL'!G738</f>
        <v>0</v>
      </c>
      <c r="C606">
        <f>'RESUMEN TOTAL'!I738</f>
        <v>0</v>
      </c>
      <c r="D606" s="30">
        <f>'RESUMEN TOTAL'!J738</f>
        <v>0</v>
      </c>
      <c r="E606" s="30">
        <f>'RESUMEN TOTAL'!K738</f>
        <v>0</v>
      </c>
      <c r="F606" s="70">
        <f>'RESUMEN TOTAL'!S738</f>
        <v>0</v>
      </c>
      <c r="G606" s="70">
        <f>'RESUMEN TOTAL'!T738</f>
        <v>0</v>
      </c>
      <c r="H606" s="70">
        <f>'RESUMEN TOTAL'!U738</f>
        <v>0</v>
      </c>
      <c r="I606" s="70">
        <f>'RESUMEN TOTAL'!V738</f>
        <v>0</v>
      </c>
      <c r="J606" s="70">
        <f>'RESUMEN TOTAL'!W738</f>
        <v>0</v>
      </c>
      <c r="K606" s="70">
        <f>'RESUMEN TOTAL'!X738</f>
        <v>0</v>
      </c>
      <c r="L606" s="70">
        <f>'RESUMEN TOTAL'!Y738</f>
        <v>0</v>
      </c>
      <c r="M606" s="70">
        <f>'RESUMEN TOTAL'!Z738</f>
        <v>0</v>
      </c>
      <c r="N606" s="70">
        <f>'RESUMEN TOTAL'!AA738</f>
        <v>0</v>
      </c>
      <c r="O606" s="70">
        <f>'RESUMEN TOTAL'!AB738</f>
        <v>0</v>
      </c>
      <c r="P606" s="70">
        <f>'RESUMEN TOTAL'!AC738</f>
        <v>0</v>
      </c>
      <c r="Q606" s="70">
        <f>'RESUMEN TOTAL'!AD738</f>
        <v>0</v>
      </c>
      <c r="R606" s="70">
        <f>'RESUMEN TOTAL'!AE738</f>
        <v>0</v>
      </c>
      <c r="S606" s="70">
        <f>'RESUMEN TOTAL'!AF738</f>
        <v>0</v>
      </c>
      <c r="T606" s="70">
        <f>'RESUMEN TOTAL'!AG738</f>
        <v>0</v>
      </c>
      <c r="U606" s="70">
        <f>'RESUMEN TOTAL'!AH738</f>
        <v>0</v>
      </c>
      <c r="V606" s="70">
        <f>'RESUMEN TOTAL'!AI738</f>
        <v>0</v>
      </c>
      <c r="W606" s="70">
        <f>'RESUMEN TOTAL'!AJ738</f>
        <v>0</v>
      </c>
      <c r="X606" s="70">
        <f>'RESUMEN TOTAL'!AK738</f>
        <v>0</v>
      </c>
      <c r="Y606" s="70">
        <f>'RESUMEN TOTAL'!AL738</f>
        <v>0</v>
      </c>
      <c r="Z606" s="70">
        <f>'RESUMEN TOTAL'!AM738</f>
        <v>0</v>
      </c>
      <c r="AA606" s="70">
        <f>'RESUMEN TOTAL'!AN738</f>
        <v>0</v>
      </c>
      <c r="AB606" s="70">
        <f>'RESUMEN TOTAL'!AO738</f>
        <v>0</v>
      </c>
      <c r="AC606" s="70">
        <f>'RESUMEN TOTAL'!AP738</f>
        <v>0</v>
      </c>
      <c r="AD606" s="70">
        <f>'RESUMEN TOTAL'!AQ738</f>
        <v>0</v>
      </c>
      <c r="AE606" s="70">
        <f>'RESUMEN TOTAL'!AR738</f>
        <v>0</v>
      </c>
      <c r="AF606" s="70">
        <f>'RESUMEN TOTAL'!AS738</f>
        <v>0</v>
      </c>
      <c r="AG606" s="70">
        <f>'RESUMEN TOTAL'!AT738</f>
        <v>0</v>
      </c>
      <c r="AH606" s="70">
        <f>'RESUMEN TOTAL'!AU738</f>
        <v>0</v>
      </c>
      <c r="AI606" s="70">
        <f>'RESUMEN TOTAL'!AV738</f>
        <v>0</v>
      </c>
      <c r="AJ606" s="70" t="e">
        <f>'RESUMEN TOTAL'!#REF!</f>
        <v>#REF!</v>
      </c>
    </row>
    <row r="607" spans="1:36" x14ac:dyDescent="0.25">
      <c r="A607">
        <f>'RESUMEN TOTAL'!F739</f>
        <v>0</v>
      </c>
      <c r="B607">
        <f>'RESUMEN TOTAL'!G739</f>
        <v>0</v>
      </c>
      <c r="C607">
        <f>'RESUMEN TOTAL'!I739</f>
        <v>0</v>
      </c>
      <c r="D607" s="30">
        <f>'RESUMEN TOTAL'!J739</f>
        <v>0</v>
      </c>
      <c r="E607" s="30">
        <f>'RESUMEN TOTAL'!K739</f>
        <v>0</v>
      </c>
      <c r="F607" s="70">
        <f>'RESUMEN TOTAL'!S739</f>
        <v>0</v>
      </c>
      <c r="G607" s="70">
        <f>'RESUMEN TOTAL'!T739</f>
        <v>0</v>
      </c>
      <c r="H607" s="70">
        <f>'RESUMEN TOTAL'!U739</f>
        <v>0</v>
      </c>
      <c r="I607" s="70">
        <f>'RESUMEN TOTAL'!V739</f>
        <v>0</v>
      </c>
      <c r="J607" s="70">
        <f>'RESUMEN TOTAL'!W739</f>
        <v>0</v>
      </c>
      <c r="K607" s="70">
        <f>'RESUMEN TOTAL'!X739</f>
        <v>0</v>
      </c>
      <c r="L607" s="70">
        <f>'RESUMEN TOTAL'!Y739</f>
        <v>0</v>
      </c>
      <c r="M607" s="70">
        <f>'RESUMEN TOTAL'!Z739</f>
        <v>0</v>
      </c>
      <c r="N607" s="70">
        <f>'RESUMEN TOTAL'!AA739</f>
        <v>0</v>
      </c>
      <c r="O607" s="70">
        <f>'RESUMEN TOTAL'!AB739</f>
        <v>0</v>
      </c>
      <c r="P607" s="70">
        <f>'RESUMEN TOTAL'!AC739</f>
        <v>0</v>
      </c>
      <c r="Q607" s="70">
        <f>'RESUMEN TOTAL'!AD739</f>
        <v>0</v>
      </c>
      <c r="R607" s="70">
        <f>'RESUMEN TOTAL'!AE739</f>
        <v>0</v>
      </c>
      <c r="S607" s="70">
        <f>'RESUMEN TOTAL'!AF739</f>
        <v>0</v>
      </c>
      <c r="T607" s="70">
        <f>'RESUMEN TOTAL'!AG739</f>
        <v>0</v>
      </c>
      <c r="U607" s="70">
        <f>'RESUMEN TOTAL'!AH739</f>
        <v>0</v>
      </c>
      <c r="V607" s="70">
        <f>'RESUMEN TOTAL'!AI739</f>
        <v>0</v>
      </c>
      <c r="W607" s="70">
        <f>'RESUMEN TOTAL'!AJ739</f>
        <v>0</v>
      </c>
      <c r="X607" s="70">
        <f>'RESUMEN TOTAL'!AK739</f>
        <v>0</v>
      </c>
      <c r="Y607" s="70">
        <f>'RESUMEN TOTAL'!AL739</f>
        <v>0</v>
      </c>
      <c r="Z607" s="70">
        <f>'RESUMEN TOTAL'!AM739</f>
        <v>0</v>
      </c>
      <c r="AA607" s="70">
        <f>'RESUMEN TOTAL'!AN739</f>
        <v>0</v>
      </c>
      <c r="AB607" s="70">
        <f>'RESUMEN TOTAL'!AO739</f>
        <v>0</v>
      </c>
      <c r="AC607" s="70">
        <f>'RESUMEN TOTAL'!AP739</f>
        <v>0</v>
      </c>
      <c r="AD607" s="70">
        <f>'RESUMEN TOTAL'!AQ739</f>
        <v>0</v>
      </c>
      <c r="AE607" s="70">
        <f>'RESUMEN TOTAL'!AR739</f>
        <v>0</v>
      </c>
      <c r="AF607" s="70">
        <f>'RESUMEN TOTAL'!AS739</f>
        <v>0</v>
      </c>
      <c r="AG607" s="70">
        <f>'RESUMEN TOTAL'!AT739</f>
        <v>0</v>
      </c>
      <c r="AH607" s="70">
        <f>'RESUMEN TOTAL'!AU739</f>
        <v>0</v>
      </c>
      <c r="AI607" s="70">
        <f>'RESUMEN TOTAL'!AV739</f>
        <v>0</v>
      </c>
      <c r="AJ607" s="70" t="e">
        <f>'RESUMEN TOTAL'!#REF!</f>
        <v>#REF!</v>
      </c>
    </row>
    <row r="608" spans="1:36" x14ac:dyDescent="0.25">
      <c r="A608">
        <f>'RESUMEN TOTAL'!F740</f>
        <v>0</v>
      </c>
      <c r="B608">
        <f>'RESUMEN TOTAL'!G740</f>
        <v>0</v>
      </c>
      <c r="C608">
        <f>'RESUMEN TOTAL'!I740</f>
        <v>0</v>
      </c>
      <c r="D608" s="30">
        <f>'RESUMEN TOTAL'!J740</f>
        <v>0</v>
      </c>
      <c r="E608" s="30">
        <f>'RESUMEN TOTAL'!K740</f>
        <v>0</v>
      </c>
      <c r="F608" s="70">
        <f>'RESUMEN TOTAL'!S740</f>
        <v>0</v>
      </c>
      <c r="G608" s="70">
        <f>'RESUMEN TOTAL'!T740</f>
        <v>0</v>
      </c>
      <c r="H608" s="70">
        <f>'RESUMEN TOTAL'!U740</f>
        <v>0</v>
      </c>
      <c r="I608" s="70">
        <f>'RESUMEN TOTAL'!V740</f>
        <v>0</v>
      </c>
      <c r="J608" s="70">
        <f>'RESUMEN TOTAL'!W740</f>
        <v>0</v>
      </c>
      <c r="K608" s="70">
        <f>'RESUMEN TOTAL'!X740</f>
        <v>0</v>
      </c>
      <c r="L608" s="70">
        <f>'RESUMEN TOTAL'!Y740</f>
        <v>0</v>
      </c>
      <c r="M608" s="70">
        <f>'RESUMEN TOTAL'!Z740</f>
        <v>0</v>
      </c>
      <c r="N608" s="70">
        <f>'RESUMEN TOTAL'!AA740</f>
        <v>0</v>
      </c>
      <c r="O608" s="70">
        <f>'RESUMEN TOTAL'!AB740</f>
        <v>0</v>
      </c>
      <c r="P608" s="70">
        <f>'RESUMEN TOTAL'!AC740</f>
        <v>0</v>
      </c>
      <c r="Q608" s="70">
        <f>'RESUMEN TOTAL'!AD740</f>
        <v>0</v>
      </c>
      <c r="R608" s="70">
        <f>'RESUMEN TOTAL'!AE740</f>
        <v>0</v>
      </c>
      <c r="S608" s="70">
        <f>'RESUMEN TOTAL'!AF740</f>
        <v>0</v>
      </c>
      <c r="T608" s="70">
        <f>'RESUMEN TOTAL'!AG740</f>
        <v>0</v>
      </c>
      <c r="U608" s="70">
        <f>'RESUMEN TOTAL'!AH740</f>
        <v>0</v>
      </c>
      <c r="V608" s="70">
        <f>'RESUMEN TOTAL'!AI740</f>
        <v>0</v>
      </c>
      <c r="W608" s="70">
        <f>'RESUMEN TOTAL'!AJ740</f>
        <v>0</v>
      </c>
      <c r="X608" s="70">
        <f>'RESUMEN TOTAL'!AK740</f>
        <v>0</v>
      </c>
      <c r="Y608" s="70">
        <f>'RESUMEN TOTAL'!AL740</f>
        <v>0</v>
      </c>
      <c r="Z608" s="70">
        <f>'RESUMEN TOTAL'!AM740</f>
        <v>0</v>
      </c>
      <c r="AA608" s="70">
        <f>'RESUMEN TOTAL'!AN740</f>
        <v>0</v>
      </c>
      <c r="AB608" s="70">
        <f>'RESUMEN TOTAL'!AO740</f>
        <v>0</v>
      </c>
      <c r="AC608" s="70">
        <f>'RESUMEN TOTAL'!AP740</f>
        <v>0</v>
      </c>
      <c r="AD608" s="70">
        <f>'RESUMEN TOTAL'!AQ740</f>
        <v>0</v>
      </c>
      <c r="AE608" s="70">
        <f>'RESUMEN TOTAL'!AR740</f>
        <v>0</v>
      </c>
      <c r="AF608" s="70">
        <f>'RESUMEN TOTAL'!AS740</f>
        <v>0</v>
      </c>
      <c r="AG608" s="70">
        <f>'RESUMEN TOTAL'!AT740</f>
        <v>0</v>
      </c>
      <c r="AH608" s="70">
        <f>'RESUMEN TOTAL'!AU740</f>
        <v>0</v>
      </c>
      <c r="AI608" s="70">
        <f>'RESUMEN TOTAL'!AV740</f>
        <v>0</v>
      </c>
      <c r="AJ608" s="70" t="e">
        <f>'RESUMEN TOTAL'!#REF!</f>
        <v>#REF!</v>
      </c>
    </row>
    <row r="609" spans="1:36" x14ac:dyDescent="0.25">
      <c r="A609">
        <f>'RESUMEN TOTAL'!F741</f>
        <v>0</v>
      </c>
      <c r="B609">
        <f>'RESUMEN TOTAL'!G741</f>
        <v>0</v>
      </c>
      <c r="C609">
        <f>'RESUMEN TOTAL'!I741</f>
        <v>0</v>
      </c>
      <c r="D609" s="30">
        <f>'RESUMEN TOTAL'!J741</f>
        <v>0</v>
      </c>
      <c r="E609" s="30">
        <f>'RESUMEN TOTAL'!K741</f>
        <v>0</v>
      </c>
      <c r="F609" s="70">
        <f>'RESUMEN TOTAL'!S741</f>
        <v>0</v>
      </c>
      <c r="G609" s="70">
        <f>'RESUMEN TOTAL'!T741</f>
        <v>0</v>
      </c>
      <c r="H609" s="70">
        <f>'RESUMEN TOTAL'!U741</f>
        <v>0</v>
      </c>
      <c r="I609" s="70">
        <f>'RESUMEN TOTAL'!V741</f>
        <v>0</v>
      </c>
      <c r="J609" s="70">
        <f>'RESUMEN TOTAL'!W741</f>
        <v>0</v>
      </c>
      <c r="K609" s="70">
        <f>'RESUMEN TOTAL'!X741</f>
        <v>0</v>
      </c>
      <c r="L609" s="70">
        <f>'RESUMEN TOTAL'!Y741</f>
        <v>0</v>
      </c>
      <c r="M609" s="70">
        <f>'RESUMEN TOTAL'!Z741</f>
        <v>0</v>
      </c>
      <c r="N609" s="70">
        <f>'RESUMEN TOTAL'!AA741</f>
        <v>0</v>
      </c>
      <c r="O609" s="70">
        <f>'RESUMEN TOTAL'!AB741</f>
        <v>0</v>
      </c>
      <c r="P609" s="70">
        <f>'RESUMEN TOTAL'!AC741</f>
        <v>0</v>
      </c>
      <c r="Q609" s="70">
        <f>'RESUMEN TOTAL'!AD741</f>
        <v>0</v>
      </c>
      <c r="R609" s="70">
        <f>'RESUMEN TOTAL'!AE741</f>
        <v>0</v>
      </c>
      <c r="S609" s="70">
        <f>'RESUMEN TOTAL'!AF741</f>
        <v>0</v>
      </c>
      <c r="T609" s="70">
        <f>'RESUMEN TOTAL'!AG741</f>
        <v>0</v>
      </c>
      <c r="U609" s="70">
        <f>'RESUMEN TOTAL'!AH741</f>
        <v>0</v>
      </c>
      <c r="V609" s="70">
        <f>'RESUMEN TOTAL'!AI741</f>
        <v>0</v>
      </c>
      <c r="W609" s="70">
        <f>'RESUMEN TOTAL'!AJ741</f>
        <v>0</v>
      </c>
      <c r="X609" s="70">
        <f>'RESUMEN TOTAL'!AK741</f>
        <v>0</v>
      </c>
      <c r="Y609" s="70">
        <f>'RESUMEN TOTAL'!AL741</f>
        <v>0</v>
      </c>
      <c r="Z609" s="70">
        <f>'RESUMEN TOTAL'!AM741</f>
        <v>0</v>
      </c>
      <c r="AA609" s="70">
        <f>'RESUMEN TOTAL'!AN741</f>
        <v>0</v>
      </c>
      <c r="AB609" s="70">
        <f>'RESUMEN TOTAL'!AO741</f>
        <v>0</v>
      </c>
      <c r="AC609" s="70">
        <f>'RESUMEN TOTAL'!AP741</f>
        <v>0</v>
      </c>
      <c r="AD609" s="70">
        <f>'RESUMEN TOTAL'!AQ741</f>
        <v>0</v>
      </c>
      <c r="AE609" s="70">
        <f>'RESUMEN TOTAL'!AR741</f>
        <v>0</v>
      </c>
      <c r="AF609" s="70">
        <f>'RESUMEN TOTAL'!AS741</f>
        <v>0</v>
      </c>
      <c r="AG609" s="70">
        <f>'RESUMEN TOTAL'!AT741</f>
        <v>0</v>
      </c>
      <c r="AH609" s="70">
        <f>'RESUMEN TOTAL'!AU741</f>
        <v>0</v>
      </c>
      <c r="AI609" s="70">
        <f>'RESUMEN TOTAL'!AV741</f>
        <v>0</v>
      </c>
      <c r="AJ609" s="70" t="e">
        <f>'RESUMEN TOTAL'!#REF!</f>
        <v>#REF!</v>
      </c>
    </row>
    <row r="610" spans="1:36" x14ac:dyDescent="0.25">
      <c r="A610">
        <f>'RESUMEN TOTAL'!F742</f>
        <v>0</v>
      </c>
      <c r="B610">
        <f>'RESUMEN TOTAL'!G742</f>
        <v>0</v>
      </c>
      <c r="C610">
        <f>'RESUMEN TOTAL'!I742</f>
        <v>0</v>
      </c>
      <c r="D610" s="30">
        <f>'RESUMEN TOTAL'!J742</f>
        <v>0</v>
      </c>
      <c r="E610" s="30">
        <f>'RESUMEN TOTAL'!K742</f>
        <v>0</v>
      </c>
      <c r="F610" s="70">
        <f>'RESUMEN TOTAL'!S742</f>
        <v>0</v>
      </c>
      <c r="G610" s="70">
        <f>'RESUMEN TOTAL'!T742</f>
        <v>0</v>
      </c>
      <c r="H610" s="70">
        <f>'RESUMEN TOTAL'!U742</f>
        <v>0</v>
      </c>
      <c r="I610" s="70">
        <f>'RESUMEN TOTAL'!V742</f>
        <v>0</v>
      </c>
      <c r="J610" s="70">
        <f>'RESUMEN TOTAL'!W742</f>
        <v>0</v>
      </c>
      <c r="K610" s="70">
        <f>'RESUMEN TOTAL'!X742</f>
        <v>0</v>
      </c>
      <c r="L610" s="70">
        <f>'RESUMEN TOTAL'!Y742</f>
        <v>0</v>
      </c>
      <c r="M610" s="70">
        <f>'RESUMEN TOTAL'!Z742</f>
        <v>0</v>
      </c>
      <c r="N610" s="70">
        <f>'RESUMEN TOTAL'!AA742</f>
        <v>0</v>
      </c>
      <c r="O610" s="70">
        <f>'RESUMEN TOTAL'!AB742</f>
        <v>0</v>
      </c>
      <c r="P610" s="70">
        <f>'RESUMEN TOTAL'!AC742</f>
        <v>0</v>
      </c>
      <c r="Q610" s="70">
        <f>'RESUMEN TOTAL'!AD742</f>
        <v>0</v>
      </c>
      <c r="R610" s="70">
        <f>'RESUMEN TOTAL'!AE742</f>
        <v>0</v>
      </c>
      <c r="S610" s="70">
        <f>'RESUMEN TOTAL'!AF742</f>
        <v>0</v>
      </c>
      <c r="T610" s="70">
        <f>'RESUMEN TOTAL'!AG742</f>
        <v>0</v>
      </c>
      <c r="U610" s="70">
        <f>'RESUMEN TOTAL'!AH742</f>
        <v>0</v>
      </c>
      <c r="V610" s="70">
        <f>'RESUMEN TOTAL'!AI742</f>
        <v>0</v>
      </c>
      <c r="W610" s="70">
        <f>'RESUMEN TOTAL'!AJ742</f>
        <v>0</v>
      </c>
      <c r="X610" s="70">
        <f>'RESUMEN TOTAL'!AK742</f>
        <v>0</v>
      </c>
      <c r="Y610" s="70">
        <f>'RESUMEN TOTAL'!AL742</f>
        <v>0</v>
      </c>
      <c r="Z610" s="70">
        <f>'RESUMEN TOTAL'!AM742</f>
        <v>0</v>
      </c>
      <c r="AA610" s="70">
        <f>'RESUMEN TOTAL'!AN742</f>
        <v>0</v>
      </c>
      <c r="AB610" s="70">
        <f>'RESUMEN TOTAL'!AO742</f>
        <v>0</v>
      </c>
      <c r="AC610" s="70">
        <f>'RESUMEN TOTAL'!AP742</f>
        <v>0</v>
      </c>
      <c r="AD610" s="70">
        <f>'RESUMEN TOTAL'!AQ742</f>
        <v>0</v>
      </c>
      <c r="AE610" s="70">
        <f>'RESUMEN TOTAL'!AR742</f>
        <v>0</v>
      </c>
      <c r="AF610" s="70">
        <f>'RESUMEN TOTAL'!AS742</f>
        <v>0</v>
      </c>
      <c r="AG610" s="70">
        <f>'RESUMEN TOTAL'!AT742</f>
        <v>0</v>
      </c>
      <c r="AH610" s="70">
        <f>'RESUMEN TOTAL'!AU742</f>
        <v>0</v>
      </c>
      <c r="AI610" s="70">
        <f>'RESUMEN TOTAL'!AV742</f>
        <v>0</v>
      </c>
      <c r="AJ610" s="70" t="e">
        <f>'RESUMEN TOTAL'!#REF!</f>
        <v>#REF!</v>
      </c>
    </row>
    <row r="611" spans="1:36" x14ac:dyDescent="0.25">
      <c r="A611">
        <f>'RESUMEN TOTAL'!F743</f>
        <v>0</v>
      </c>
      <c r="B611">
        <f>'RESUMEN TOTAL'!G743</f>
        <v>0</v>
      </c>
      <c r="C611">
        <f>'RESUMEN TOTAL'!I743</f>
        <v>0</v>
      </c>
      <c r="D611" s="30">
        <f>'RESUMEN TOTAL'!J743</f>
        <v>0</v>
      </c>
      <c r="E611" s="30">
        <f>'RESUMEN TOTAL'!K743</f>
        <v>0</v>
      </c>
      <c r="F611" s="70">
        <f>'RESUMEN TOTAL'!S743</f>
        <v>0</v>
      </c>
      <c r="G611" s="70">
        <f>'RESUMEN TOTAL'!T743</f>
        <v>0</v>
      </c>
      <c r="H611" s="70">
        <f>'RESUMEN TOTAL'!U743</f>
        <v>0</v>
      </c>
      <c r="I611" s="70">
        <f>'RESUMEN TOTAL'!V743</f>
        <v>0</v>
      </c>
      <c r="J611" s="70">
        <f>'RESUMEN TOTAL'!W743</f>
        <v>0</v>
      </c>
      <c r="K611" s="70">
        <f>'RESUMEN TOTAL'!X743</f>
        <v>0</v>
      </c>
      <c r="L611" s="70">
        <f>'RESUMEN TOTAL'!Y743</f>
        <v>0</v>
      </c>
      <c r="M611" s="70">
        <f>'RESUMEN TOTAL'!Z743</f>
        <v>0</v>
      </c>
      <c r="N611" s="70">
        <f>'RESUMEN TOTAL'!AA743</f>
        <v>0</v>
      </c>
      <c r="O611" s="70">
        <f>'RESUMEN TOTAL'!AB743</f>
        <v>0</v>
      </c>
      <c r="P611" s="70">
        <f>'RESUMEN TOTAL'!AC743</f>
        <v>0</v>
      </c>
      <c r="Q611" s="70">
        <f>'RESUMEN TOTAL'!AD743</f>
        <v>0</v>
      </c>
      <c r="R611" s="70">
        <f>'RESUMEN TOTAL'!AE743</f>
        <v>0</v>
      </c>
      <c r="S611" s="70">
        <f>'RESUMEN TOTAL'!AF743</f>
        <v>0</v>
      </c>
      <c r="T611" s="70">
        <f>'RESUMEN TOTAL'!AG743</f>
        <v>0</v>
      </c>
      <c r="U611" s="70">
        <f>'RESUMEN TOTAL'!AH743</f>
        <v>0</v>
      </c>
      <c r="V611" s="70">
        <f>'RESUMEN TOTAL'!AI743</f>
        <v>0</v>
      </c>
      <c r="W611" s="70">
        <f>'RESUMEN TOTAL'!AJ743</f>
        <v>0</v>
      </c>
      <c r="X611" s="70">
        <f>'RESUMEN TOTAL'!AK743</f>
        <v>0</v>
      </c>
      <c r="Y611" s="70">
        <f>'RESUMEN TOTAL'!AL743</f>
        <v>0</v>
      </c>
      <c r="Z611" s="70">
        <f>'RESUMEN TOTAL'!AM743</f>
        <v>0</v>
      </c>
      <c r="AA611" s="70">
        <f>'RESUMEN TOTAL'!AN743</f>
        <v>0</v>
      </c>
      <c r="AB611" s="70">
        <f>'RESUMEN TOTAL'!AO743</f>
        <v>0</v>
      </c>
      <c r="AC611" s="70">
        <f>'RESUMEN TOTAL'!AP743</f>
        <v>0</v>
      </c>
      <c r="AD611" s="70">
        <f>'RESUMEN TOTAL'!AQ743</f>
        <v>0</v>
      </c>
      <c r="AE611" s="70">
        <f>'RESUMEN TOTAL'!AR743</f>
        <v>0</v>
      </c>
      <c r="AF611" s="70">
        <f>'RESUMEN TOTAL'!AS743</f>
        <v>0</v>
      </c>
      <c r="AG611" s="70">
        <f>'RESUMEN TOTAL'!AT743</f>
        <v>0</v>
      </c>
      <c r="AH611" s="70">
        <f>'RESUMEN TOTAL'!AU743</f>
        <v>0</v>
      </c>
      <c r="AI611" s="70">
        <f>'RESUMEN TOTAL'!AV743</f>
        <v>0</v>
      </c>
      <c r="AJ611" s="70" t="e">
        <f>'RESUMEN TOTAL'!#REF!</f>
        <v>#REF!</v>
      </c>
    </row>
    <row r="612" spans="1:36" x14ac:dyDescent="0.25">
      <c r="A612">
        <f>'RESUMEN TOTAL'!F744</f>
        <v>0</v>
      </c>
      <c r="B612">
        <f>'RESUMEN TOTAL'!G744</f>
        <v>0</v>
      </c>
      <c r="C612">
        <f>'RESUMEN TOTAL'!I744</f>
        <v>0</v>
      </c>
      <c r="D612" s="30">
        <f>'RESUMEN TOTAL'!J744</f>
        <v>0</v>
      </c>
      <c r="E612" s="30">
        <f>'RESUMEN TOTAL'!K744</f>
        <v>0</v>
      </c>
      <c r="F612" s="70">
        <f>'RESUMEN TOTAL'!S744</f>
        <v>0</v>
      </c>
      <c r="G612" s="70">
        <f>'RESUMEN TOTAL'!T744</f>
        <v>0</v>
      </c>
      <c r="H612" s="70">
        <f>'RESUMEN TOTAL'!U744</f>
        <v>0</v>
      </c>
      <c r="I612" s="70">
        <f>'RESUMEN TOTAL'!V744</f>
        <v>0</v>
      </c>
      <c r="J612" s="70">
        <f>'RESUMEN TOTAL'!W744</f>
        <v>0</v>
      </c>
      <c r="K612" s="70">
        <f>'RESUMEN TOTAL'!X744</f>
        <v>0</v>
      </c>
      <c r="L612" s="70">
        <f>'RESUMEN TOTAL'!Y744</f>
        <v>0</v>
      </c>
      <c r="M612" s="70">
        <f>'RESUMEN TOTAL'!Z744</f>
        <v>0</v>
      </c>
      <c r="N612" s="70">
        <f>'RESUMEN TOTAL'!AA744</f>
        <v>0</v>
      </c>
      <c r="O612" s="70">
        <f>'RESUMEN TOTAL'!AB744</f>
        <v>0</v>
      </c>
      <c r="P612" s="70">
        <f>'RESUMEN TOTAL'!AC744</f>
        <v>0</v>
      </c>
      <c r="Q612" s="70">
        <f>'RESUMEN TOTAL'!AD744</f>
        <v>0</v>
      </c>
      <c r="R612" s="70">
        <f>'RESUMEN TOTAL'!AE744</f>
        <v>0</v>
      </c>
      <c r="S612" s="70">
        <f>'RESUMEN TOTAL'!AF744</f>
        <v>0</v>
      </c>
      <c r="T612" s="70">
        <f>'RESUMEN TOTAL'!AG744</f>
        <v>0</v>
      </c>
      <c r="U612" s="70">
        <f>'RESUMEN TOTAL'!AH744</f>
        <v>0</v>
      </c>
      <c r="V612" s="70">
        <f>'RESUMEN TOTAL'!AI744</f>
        <v>0</v>
      </c>
      <c r="W612" s="70">
        <f>'RESUMEN TOTAL'!AJ744</f>
        <v>0</v>
      </c>
      <c r="X612" s="70">
        <f>'RESUMEN TOTAL'!AK744</f>
        <v>0</v>
      </c>
      <c r="Y612" s="70">
        <f>'RESUMEN TOTAL'!AL744</f>
        <v>0</v>
      </c>
      <c r="Z612" s="70">
        <f>'RESUMEN TOTAL'!AM744</f>
        <v>0</v>
      </c>
      <c r="AA612" s="70">
        <f>'RESUMEN TOTAL'!AN744</f>
        <v>0</v>
      </c>
      <c r="AB612" s="70">
        <f>'RESUMEN TOTAL'!AO744</f>
        <v>0</v>
      </c>
      <c r="AC612" s="70">
        <f>'RESUMEN TOTAL'!AP744</f>
        <v>0</v>
      </c>
      <c r="AD612" s="70">
        <f>'RESUMEN TOTAL'!AQ744</f>
        <v>0</v>
      </c>
      <c r="AE612" s="70">
        <f>'RESUMEN TOTAL'!AR744</f>
        <v>0</v>
      </c>
      <c r="AF612" s="70">
        <f>'RESUMEN TOTAL'!AS744</f>
        <v>0</v>
      </c>
      <c r="AG612" s="70">
        <f>'RESUMEN TOTAL'!AT744</f>
        <v>0</v>
      </c>
      <c r="AH612" s="70">
        <f>'RESUMEN TOTAL'!AU744</f>
        <v>0</v>
      </c>
      <c r="AI612" s="70">
        <f>'RESUMEN TOTAL'!AV744</f>
        <v>0</v>
      </c>
      <c r="AJ612" s="70" t="e">
        <f>'RESUMEN TOTAL'!#REF!</f>
        <v>#REF!</v>
      </c>
    </row>
    <row r="613" spans="1:36" x14ac:dyDescent="0.25">
      <c r="A613">
        <f>'RESUMEN TOTAL'!F745</f>
        <v>0</v>
      </c>
      <c r="B613">
        <f>'RESUMEN TOTAL'!G745</f>
        <v>0</v>
      </c>
      <c r="C613">
        <f>'RESUMEN TOTAL'!I745</f>
        <v>0</v>
      </c>
      <c r="D613" s="30">
        <f>'RESUMEN TOTAL'!J745</f>
        <v>0</v>
      </c>
      <c r="E613" s="30">
        <f>'RESUMEN TOTAL'!K745</f>
        <v>0</v>
      </c>
      <c r="F613" s="70">
        <f>'RESUMEN TOTAL'!S745</f>
        <v>0</v>
      </c>
      <c r="G613" s="70">
        <f>'RESUMEN TOTAL'!T745</f>
        <v>0</v>
      </c>
      <c r="H613" s="70">
        <f>'RESUMEN TOTAL'!U745</f>
        <v>0</v>
      </c>
      <c r="I613" s="70">
        <f>'RESUMEN TOTAL'!V745</f>
        <v>0</v>
      </c>
      <c r="J613" s="70">
        <f>'RESUMEN TOTAL'!W745</f>
        <v>0</v>
      </c>
      <c r="K613" s="70">
        <f>'RESUMEN TOTAL'!X745</f>
        <v>0</v>
      </c>
      <c r="L613" s="70">
        <f>'RESUMEN TOTAL'!Y745</f>
        <v>0</v>
      </c>
      <c r="M613" s="70">
        <f>'RESUMEN TOTAL'!Z745</f>
        <v>0</v>
      </c>
      <c r="N613" s="70">
        <f>'RESUMEN TOTAL'!AA745</f>
        <v>0</v>
      </c>
      <c r="O613" s="70">
        <f>'RESUMEN TOTAL'!AB745</f>
        <v>0</v>
      </c>
      <c r="P613" s="70">
        <f>'RESUMEN TOTAL'!AC745</f>
        <v>0</v>
      </c>
      <c r="Q613" s="70">
        <f>'RESUMEN TOTAL'!AD745</f>
        <v>0</v>
      </c>
      <c r="R613" s="70">
        <f>'RESUMEN TOTAL'!AE745</f>
        <v>0</v>
      </c>
      <c r="S613" s="70">
        <f>'RESUMEN TOTAL'!AF745</f>
        <v>0</v>
      </c>
      <c r="T613" s="70">
        <f>'RESUMEN TOTAL'!AG745</f>
        <v>0</v>
      </c>
      <c r="U613" s="70">
        <f>'RESUMEN TOTAL'!AH745</f>
        <v>0</v>
      </c>
      <c r="V613" s="70">
        <f>'RESUMEN TOTAL'!AI745</f>
        <v>0</v>
      </c>
      <c r="W613" s="70">
        <f>'RESUMEN TOTAL'!AJ745</f>
        <v>0</v>
      </c>
      <c r="X613" s="70">
        <f>'RESUMEN TOTAL'!AK745</f>
        <v>0</v>
      </c>
      <c r="Y613" s="70">
        <f>'RESUMEN TOTAL'!AL745</f>
        <v>0</v>
      </c>
      <c r="Z613" s="70">
        <f>'RESUMEN TOTAL'!AM745</f>
        <v>0</v>
      </c>
      <c r="AA613" s="70">
        <f>'RESUMEN TOTAL'!AN745</f>
        <v>0</v>
      </c>
      <c r="AB613" s="70">
        <f>'RESUMEN TOTAL'!AO745</f>
        <v>0</v>
      </c>
      <c r="AC613" s="70">
        <f>'RESUMEN TOTAL'!AP745</f>
        <v>0</v>
      </c>
      <c r="AD613" s="70">
        <f>'RESUMEN TOTAL'!AQ745</f>
        <v>0</v>
      </c>
      <c r="AE613" s="70">
        <f>'RESUMEN TOTAL'!AR745</f>
        <v>0</v>
      </c>
      <c r="AF613" s="70">
        <f>'RESUMEN TOTAL'!AS745</f>
        <v>0</v>
      </c>
      <c r="AG613" s="70">
        <f>'RESUMEN TOTAL'!AT745</f>
        <v>0</v>
      </c>
      <c r="AH613" s="70">
        <f>'RESUMEN TOTAL'!AU745</f>
        <v>0</v>
      </c>
      <c r="AI613" s="70">
        <f>'RESUMEN TOTAL'!AV745</f>
        <v>0</v>
      </c>
      <c r="AJ613" s="70" t="e">
        <f>'RESUMEN TOTAL'!#REF!</f>
        <v>#REF!</v>
      </c>
    </row>
    <row r="614" spans="1:36" x14ac:dyDescent="0.25">
      <c r="A614">
        <f>'RESUMEN TOTAL'!F746</f>
        <v>0</v>
      </c>
      <c r="B614">
        <f>'RESUMEN TOTAL'!G746</f>
        <v>0</v>
      </c>
      <c r="C614">
        <f>'RESUMEN TOTAL'!I746</f>
        <v>0</v>
      </c>
      <c r="D614" s="30">
        <f>'RESUMEN TOTAL'!J746</f>
        <v>0</v>
      </c>
      <c r="E614" s="30">
        <f>'RESUMEN TOTAL'!K746</f>
        <v>0</v>
      </c>
      <c r="F614" s="70">
        <f>'RESUMEN TOTAL'!S746</f>
        <v>0</v>
      </c>
      <c r="G614" s="70">
        <f>'RESUMEN TOTAL'!T746</f>
        <v>0</v>
      </c>
      <c r="H614" s="70">
        <f>'RESUMEN TOTAL'!U746</f>
        <v>0</v>
      </c>
      <c r="I614" s="70">
        <f>'RESUMEN TOTAL'!V746</f>
        <v>0</v>
      </c>
      <c r="J614" s="70">
        <f>'RESUMEN TOTAL'!W746</f>
        <v>0</v>
      </c>
      <c r="K614" s="70">
        <f>'RESUMEN TOTAL'!X746</f>
        <v>0</v>
      </c>
      <c r="L614" s="70">
        <f>'RESUMEN TOTAL'!Y746</f>
        <v>0</v>
      </c>
      <c r="M614" s="70">
        <f>'RESUMEN TOTAL'!Z746</f>
        <v>0</v>
      </c>
      <c r="N614" s="70">
        <f>'RESUMEN TOTAL'!AA746</f>
        <v>0</v>
      </c>
      <c r="O614" s="70">
        <f>'RESUMEN TOTAL'!AB746</f>
        <v>0</v>
      </c>
      <c r="P614" s="70">
        <f>'RESUMEN TOTAL'!AC746</f>
        <v>0</v>
      </c>
      <c r="Q614" s="70">
        <f>'RESUMEN TOTAL'!AD746</f>
        <v>0</v>
      </c>
      <c r="R614" s="70">
        <f>'RESUMEN TOTAL'!AE746</f>
        <v>0</v>
      </c>
      <c r="S614" s="70">
        <f>'RESUMEN TOTAL'!AF746</f>
        <v>0</v>
      </c>
      <c r="T614" s="70">
        <f>'RESUMEN TOTAL'!AG746</f>
        <v>0</v>
      </c>
      <c r="U614" s="70">
        <f>'RESUMEN TOTAL'!AH746</f>
        <v>0</v>
      </c>
      <c r="V614" s="70">
        <f>'RESUMEN TOTAL'!AI746</f>
        <v>0</v>
      </c>
      <c r="W614" s="70">
        <f>'RESUMEN TOTAL'!AJ746</f>
        <v>0</v>
      </c>
      <c r="X614" s="70">
        <f>'RESUMEN TOTAL'!AK746</f>
        <v>0</v>
      </c>
      <c r="Y614" s="70">
        <f>'RESUMEN TOTAL'!AL746</f>
        <v>0</v>
      </c>
      <c r="Z614" s="70">
        <f>'RESUMEN TOTAL'!AM746</f>
        <v>0</v>
      </c>
      <c r="AA614" s="70">
        <f>'RESUMEN TOTAL'!AN746</f>
        <v>0</v>
      </c>
      <c r="AB614" s="70">
        <f>'RESUMEN TOTAL'!AO746</f>
        <v>0</v>
      </c>
      <c r="AC614" s="70">
        <f>'RESUMEN TOTAL'!AP746</f>
        <v>0</v>
      </c>
      <c r="AD614" s="70">
        <f>'RESUMEN TOTAL'!AQ746</f>
        <v>0</v>
      </c>
      <c r="AE614" s="70">
        <f>'RESUMEN TOTAL'!AR746</f>
        <v>0</v>
      </c>
      <c r="AF614" s="70">
        <f>'RESUMEN TOTAL'!AS746</f>
        <v>0</v>
      </c>
      <c r="AG614" s="70">
        <f>'RESUMEN TOTAL'!AT746</f>
        <v>0</v>
      </c>
      <c r="AH614" s="70">
        <f>'RESUMEN TOTAL'!AU746</f>
        <v>0</v>
      </c>
      <c r="AI614" s="70">
        <f>'RESUMEN TOTAL'!AV746</f>
        <v>0</v>
      </c>
      <c r="AJ614" s="70" t="e">
        <f>'RESUMEN TOTAL'!#REF!</f>
        <v>#REF!</v>
      </c>
    </row>
    <row r="615" spans="1:36" x14ac:dyDescent="0.25">
      <c r="A615">
        <f>'RESUMEN TOTAL'!F747</f>
        <v>0</v>
      </c>
      <c r="B615">
        <f>'RESUMEN TOTAL'!G747</f>
        <v>0</v>
      </c>
      <c r="C615">
        <f>'RESUMEN TOTAL'!I747</f>
        <v>0</v>
      </c>
      <c r="D615" s="30">
        <f>'RESUMEN TOTAL'!J747</f>
        <v>0</v>
      </c>
      <c r="E615" s="30">
        <f>'RESUMEN TOTAL'!K747</f>
        <v>0</v>
      </c>
      <c r="F615" s="70">
        <f>'RESUMEN TOTAL'!S747</f>
        <v>0</v>
      </c>
      <c r="G615" s="70">
        <f>'RESUMEN TOTAL'!T747</f>
        <v>0</v>
      </c>
      <c r="H615" s="70">
        <f>'RESUMEN TOTAL'!U747</f>
        <v>0</v>
      </c>
      <c r="I615" s="70">
        <f>'RESUMEN TOTAL'!V747</f>
        <v>0</v>
      </c>
      <c r="J615" s="70">
        <f>'RESUMEN TOTAL'!W747</f>
        <v>0</v>
      </c>
      <c r="K615" s="70">
        <f>'RESUMEN TOTAL'!X747</f>
        <v>0</v>
      </c>
      <c r="L615" s="70">
        <f>'RESUMEN TOTAL'!Y747</f>
        <v>0</v>
      </c>
      <c r="M615" s="70">
        <f>'RESUMEN TOTAL'!Z747</f>
        <v>0</v>
      </c>
      <c r="N615" s="70">
        <f>'RESUMEN TOTAL'!AA747</f>
        <v>0</v>
      </c>
      <c r="O615" s="70">
        <f>'RESUMEN TOTAL'!AB747</f>
        <v>0</v>
      </c>
      <c r="P615" s="70">
        <f>'RESUMEN TOTAL'!AC747</f>
        <v>0</v>
      </c>
      <c r="Q615" s="70">
        <f>'RESUMEN TOTAL'!AD747</f>
        <v>0</v>
      </c>
      <c r="R615" s="70">
        <f>'RESUMEN TOTAL'!AE747</f>
        <v>0</v>
      </c>
      <c r="S615" s="70">
        <f>'RESUMEN TOTAL'!AF747</f>
        <v>0</v>
      </c>
      <c r="T615" s="70">
        <f>'RESUMEN TOTAL'!AG747</f>
        <v>0</v>
      </c>
      <c r="U615" s="70">
        <f>'RESUMEN TOTAL'!AH747</f>
        <v>0</v>
      </c>
      <c r="V615" s="70">
        <f>'RESUMEN TOTAL'!AI747</f>
        <v>0</v>
      </c>
      <c r="W615" s="70">
        <f>'RESUMEN TOTAL'!AJ747</f>
        <v>0</v>
      </c>
      <c r="X615" s="70">
        <f>'RESUMEN TOTAL'!AK747</f>
        <v>0</v>
      </c>
      <c r="Y615" s="70">
        <f>'RESUMEN TOTAL'!AL747</f>
        <v>0</v>
      </c>
      <c r="Z615" s="70">
        <f>'RESUMEN TOTAL'!AM747</f>
        <v>0</v>
      </c>
      <c r="AA615" s="70">
        <f>'RESUMEN TOTAL'!AN747</f>
        <v>0</v>
      </c>
      <c r="AB615" s="70">
        <f>'RESUMEN TOTAL'!AO747</f>
        <v>0</v>
      </c>
      <c r="AC615" s="70">
        <f>'RESUMEN TOTAL'!AP747</f>
        <v>0</v>
      </c>
      <c r="AD615" s="70">
        <f>'RESUMEN TOTAL'!AQ747</f>
        <v>0</v>
      </c>
      <c r="AE615" s="70">
        <f>'RESUMEN TOTAL'!AR747</f>
        <v>0</v>
      </c>
      <c r="AF615" s="70">
        <f>'RESUMEN TOTAL'!AS747</f>
        <v>0</v>
      </c>
      <c r="AG615" s="70">
        <f>'RESUMEN TOTAL'!AT747</f>
        <v>0</v>
      </c>
      <c r="AH615" s="70">
        <f>'RESUMEN TOTAL'!AU747</f>
        <v>0</v>
      </c>
      <c r="AI615" s="70">
        <f>'RESUMEN TOTAL'!AV747</f>
        <v>0</v>
      </c>
      <c r="AJ615" s="70" t="e">
        <f>'RESUMEN TOTAL'!#REF!</f>
        <v>#REF!</v>
      </c>
    </row>
    <row r="616" spans="1:36" x14ac:dyDescent="0.25">
      <c r="A616">
        <f>'RESUMEN TOTAL'!F748</f>
        <v>0</v>
      </c>
      <c r="B616">
        <f>'RESUMEN TOTAL'!G748</f>
        <v>0</v>
      </c>
      <c r="C616">
        <f>'RESUMEN TOTAL'!I748</f>
        <v>0</v>
      </c>
      <c r="D616" s="30">
        <f>'RESUMEN TOTAL'!J748</f>
        <v>0</v>
      </c>
      <c r="E616" s="30">
        <f>'RESUMEN TOTAL'!K748</f>
        <v>0</v>
      </c>
      <c r="F616" s="70">
        <f>'RESUMEN TOTAL'!S748</f>
        <v>0</v>
      </c>
      <c r="G616" s="70">
        <f>'RESUMEN TOTAL'!T748</f>
        <v>0</v>
      </c>
      <c r="H616" s="70">
        <f>'RESUMEN TOTAL'!U748</f>
        <v>0</v>
      </c>
      <c r="I616" s="70">
        <f>'RESUMEN TOTAL'!V748</f>
        <v>0</v>
      </c>
      <c r="J616" s="70">
        <f>'RESUMEN TOTAL'!W748</f>
        <v>0</v>
      </c>
      <c r="K616" s="70">
        <f>'RESUMEN TOTAL'!X748</f>
        <v>0</v>
      </c>
      <c r="L616" s="70">
        <f>'RESUMEN TOTAL'!Y748</f>
        <v>0</v>
      </c>
      <c r="M616" s="70">
        <f>'RESUMEN TOTAL'!Z748</f>
        <v>0</v>
      </c>
      <c r="N616" s="70">
        <f>'RESUMEN TOTAL'!AA748</f>
        <v>0</v>
      </c>
      <c r="O616" s="70">
        <f>'RESUMEN TOTAL'!AB748</f>
        <v>0</v>
      </c>
      <c r="P616" s="70">
        <f>'RESUMEN TOTAL'!AC748</f>
        <v>0</v>
      </c>
      <c r="Q616" s="70">
        <f>'RESUMEN TOTAL'!AD748</f>
        <v>0</v>
      </c>
      <c r="R616" s="70">
        <f>'RESUMEN TOTAL'!AE748</f>
        <v>0</v>
      </c>
      <c r="S616" s="70">
        <f>'RESUMEN TOTAL'!AF748</f>
        <v>0</v>
      </c>
      <c r="T616" s="70">
        <f>'RESUMEN TOTAL'!AG748</f>
        <v>0</v>
      </c>
      <c r="U616" s="70">
        <f>'RESUMEN TOTAL'!AH748</f>
        <v>0</v>
      </c>
      <c r="V616" s="70">
        <f>'RESUMEN TOTAL'!AI748</f>
        <v>0</v>
      </c>
      <c r="W616" s="70">
        <f>'RESUMEN TOTAL'!AJ748</f>
        <v>0</v>
      </c>
      <c r="X616" s="70">
        <f>'RESUMEN TOTAL'!AK748</f>
        <v>0</v>
      </c>
      <c r="Y616" s="70">
        <f>'RESUMEN TOTAL'!AL748</f>
        <v>0</v>
      </c>
      <c r="Z616" s="70">
        <f>'RESUMEN TOTAL'!AM748</f>
        <v>0</v>
      </c>
      <c r="AA616" s="70">
        <f>'RESUMEN TOTAL'!AN748</f>
        <v>0</v>
      </c>
      <c r="AB616" s="70">
        <f>'RESUMEN TOTAL'!AO748</f>
        <v>0</v>
      </c>
      <c r="AC616" s="70">
        <f>'RESUMEN TOTAL'!AP748</f>
        <v>0</v>
      </c>
      <c r="AD616" s="70">
        <f>'RESUMEN TOTAL'!AQ748</f>
        <v>0</v>
      </c>
      <c r="AE616" s="70">
        <f>'RESUMEN TOTAL'!AR748</f>
        <v>0</v>
      </c>
      <c r="AF616" s="70">
        <f>'RESUMEN TOTAL'!AS748</f>
        <v>0</v>
      </c>
      <c r="AG616" s="70">
        <f>'RESUMEN TOTAL'!AT748</f>
        <v>0</v>
      </c>
      <c r="AH616" s="70">
        <f>'RESUMEN TOTAL'!AU748</f>
        <v>0</v>
      </c>
      <c r="AI616" s="70">
        <f>'RESUMEN TOTAL'!AV748</f>
        <v>0</v>
      </c>
      <c r="AJ616" s="70" t="e">
        <f>'RESUMEN TOTAL'!#REF!</f>
        <v>#REF!</v>
      </c>
    </row>
    <row r="617" spans="1:36" x14ac:dyDescent="0.25">
      <c r="A617">
        <f>'RESUMEN TOTAL'!F749</f>
        <v>0</v>
      </c>
      <c r="B617">
        <f>'RESUMEN TOTAL'!G749</f>
        <v>0</v>
      </c>
      <c r="C617">
        <f>'RESUMEN TOTAL'!I749</f>
        <v>0</v>
      </c>
      <c r="D617" s="30">
        <f>'RESUMEN TOTAL'!J749</f>
        <v>0</v>
      </c>
      <c r="E617" s="30">
        <f>'RESUMEN TOTAL'!K749</f>
        <v>0</v>
      </c>
      <c r="F617" s="70">
        <f>'RESUMEN TOTAL'!S749</f>
        <v>0</v>
      </c>
      <c r="G617" s="70">
        <f>'RESUMEN TOTAL'!T749</f>
        <v>0</v>
      </c>
      <c r="H617" s="70">
        <f>'RESUMEN TOTAL'!U749</f>
        <v>0</v>
      </c>
      <c r="I617" s="70">
        <f>'RESUMEN TOTAL'!V749</f>
        <v>0</v>
      </c>
      <c r="J617" s="70">
        <f>'RESUMEN TOTAL'!W749</f>
        <v>0</v>
      </c>
      <c r="K617" s="70">
        <f>'RESUMEN TOTAL'!X749</f>
        <v>0</v>
      </c>
      <c r="L617" s="70">
        <f>'RESUMEN TOTAL'!Y749</f>
        <v>0</v>
      </c>
      <c r="M617" s="70">
        <f>'RESUMEN TOTAL'!Z749</f>
        <v>0</v>
      </c>
      <c r="N617" s="70">
        <f>'RESUMEN TOTAL'!AA749</f>
        <v>0</v>
      </c>
      <c r="O617" s="70">
        <f>'RESUMEN TOTAL'!AB749</f>
        <v>0</v>
      </c>
      <c r="P617" s="70">
        <f>'RESUMEN TOTAL'!AC749</f>
        <v>0</v>
      </c>
      <c r="Q617" s="70">
        <f>'RESUMEN TOTAL'!AD749</f>
        <v>0</v>
      </c>
      <c r="R617" s="70">
        <f>'RESUMEN TOTAL'!AE749</f>
        <v>0</v>
      </c>
      <c r="S617" s="70">
        <f>'RESUMEN TOTAL'!AF749</f>
        <v>0</v>
      </c>
      <c r="T617" s="70">
        <f>'RESUMEN TOTAL'!AG749</f>
        <v>0</v>
      </c>
      <c r="U617" s="70">
        <f>'RESUMEN TOTAL'!AH749</f>
        <v>0</v>
      </c>
      <c r="V617" s="70">
        <f>'RESUMEN TOTAL'!AI749</f>
        <v>0</v>
      </c>
      <c r="W617" s="70">
        <f>'RESUMEN TOTAL'!AJ749</f>
        <v>0</v>
      </c>
      <c r="X617" s="70">
        <f>'RESUMEN TOTAL'!AK749</f>
        <v>0</v>
      </c>
      <c r="Y617" s="70">
        <f>'RESUMEN TOTAL'!AL749</f>
        <v>0</v>
      </c>
      <c r="Z617" s="70">
        <f>'RESUMEN TOTAL'!AM749</f>
        <v>0</v>
      </c>
      <c r="AA617" s="70">
        <f>'RESUMEN TOTAL'!AN749</f>
        <v>0</v>
      </c>
      <c r="AB617" s="70">
        <f>'RESUMEN TOTAL'!AO749</f>
        <v>0</v>
      </c>
      <c r="AC617" s="70">
        <f>'RESUMEN TOTAL'!AP749</f>
        <v>0</v>
      </c>
      <c r="AD617" s="70">
        <f>'RESUMEN TOTAL'!AQ749</f>
        <v>0</v>
      </c>
      <c r="AE617" s="70">
        <f>'RESUMEN TOTAL'!AR749</f>
        <v>0</v>
      </c>
      <c r="AF617" s="70">
        <f>'RESUMEN TOTAL'!AS749</f>
        <v>0</v>
      </c>
      <c r="AG617" s="70">
        <f>'RESUMEN TOTAL'!AT749</f>
        <v>0</v>
      </c>
      <c r="AH617" s="70">
        <f>'RESUMEN TOTAL'!AU749</f>
        <v>0</v>
      </c>
      <c r="AI617" s="70">
        <f>'RESUMEN TOTAL'!AV749</f>
        <v>0</v>
      </c>
      <c r="AJ617" s="70" t="e">
        <f>'RESUMEN TOTAL'!#REF!</f>
        <v>#REF!</v>
      </c>
    </row>
    <row r="618" spans="1:36" x14ac:dyDescent="0.25">
      <c r="A618">
        <f>'RESUMEN TOTAL'!F750</f>
        <v>0</v>
      </c>
      <c r="B618">
        <f>'RESUMEN TOTAL'!G750</f>
        <v>0</v>
      </c>
      <c r="C618">
        <f>'RESUMEN TOTAL'!I750</f>
        <v>0</v>
      </c>
      <c r="D618" s="30">
        <f>'RESUMEN TOTAL'!J750</f>
        <v>0</v>
      </c>
      <c r="E618" s="30">
        <f>'RESUMEN TOTAL'!K750</f>
        <v>0</v>
      </c>
      <c r="F618" s="70">
        <f>'RESUMEN TOTAL'!S750</f>
        <v>0</v>
      </c>
      <c r="G618" s="70">
        <f>'RESUMEN TOTAL'!T750</f>
        <v>0</v>
      </c>
      <c r="H618" s="70">
        <f>'RESUMEN TOTAL'!U750</f>
        <v>0</v>
      </c>
      <c r="I618" s="70">
        <f>'RESUMEN TOTAL'!V750</f>
        <v>0</v>
      </c>
      <c r="J618" s="70">
        <f>'RESUMEN TOTAL'!W750</f>
        <v>0</v>
      </c>
      <c r="K618" s="70">
        <f>'RESUMEN TOTAL'!X750</f>
        <v>0</v>
      </c>
      <c r="L618" s="70">
        <f>'RESUMEN TOTAL'!Y750</f>
        <v>0</v>
      </c>
      <c r="M618" s="70">
        <f>'RESUMEN TOTAL'!Z750</f>
        <v>0</v>
      </c>
      <c r="N618" s="70">
        <f>'RESUMEN TOTAL'!AA750</f>
        <v>0</v>
      </c>
      <c r="O618" s="70">
        <f>'RESUMEN TOTAL'!AB750</f>
        <v>0</v>
      </c>
      <c r="P618" s="70">
        <f>'RESUMEN TOTAL'!AC750</f>
        <v>0</v>
      </c>
      <c r="Q618" s="70">
        <f>'RESUMEN TOTAL'!AD750</f>
        <v>0</v>
      </c>
      <c r="R618" s="70">
        <f>'RESUMEN TOTAL'!AE750</f>
        <v>0</v>
      </c>
      <c r="S618" s="70">
        <f>'RESUMEN TOTAL'!AF750</f>
        <v>0</v>
      </c>
      <c r="T618" s="70">
        <f>'RESUMEN TOTAL'!AG750</f>
        <v>0</v>
      </c>
      <c r="U618" s="70">
        <f>'RESUMEN TOTAL'!AH750</f>
        <v>0</v>
      </c>
      <c r="V618" s="70">
        <f>'RESUMEN TOTAL'!AI750</f>
        <v>0</v>
      </c>
      <c r="W618" s="70">
        <f>'RESUMEN TOTAL'!AJ750</f>
        <v>0</v>
      </c>
      <c r="X618" s="70">
        <f>'RESUMEN TOTAL'!AK750</f>
        <v>0</v>
      </c>
      <c r="Y618" s="70">
        <f>'RESUMEN TOTAL'!AL750</f>
        <v>0</v>
      </c>
      <c r="Z618" s="70">
        <f>'RESUMEN TOTAL'!AM750</f>
        <v>0</v>
      </c>
      <c r="AA618" s="70">
        <f>'RESUMEN TOTAL'!AN750</f>
        <v>0</v>
      </c>
      <c r="AB618" s="70">
        <f>'RESUMEN TOTAL'!AO750</f>
        <v>0</v>
      </c>
      <c r="AC618" s="70">
        <f>'RESUMEN TOTAL'!AP750</f>
        <v>0</v>
      </c>
      <c r="AD618" s="70">
        <f>'RESUMEN TOTAL'!AQ750</f>
        <v>0</v>
      </c>
      <c r="AE618" s="70">
        <f>'RESUMEN TOTAL'!AR750</f>
        <v>0</v>
      </c>
      <c r="AF618" s="70">
        <f>'RESUMEN TOTAL'!AS750</f>
        <v>0</v>
      </c>
      <c r="AG618" s="70">
        <f>'RESUMEN TOTAL'!AT750</f>
        <v>0</v>
      </c>
      <c r="AH618" s="70">
        <f>'RESUMEN TOTAL'!AU750</f>
        <v>0</v>
      </c>
      <c r="AI618" s="70">
        <f>'RESUMEN TOTAL'!AV750</f>
        <v>0</v>
      </c>
      <c r="AJ618" s="70" t="e">
        <f>'RESUMEN TOTAL'!#REF!</f>
        <v>#REF!</v>
      </c>
    </row>
    <row r="619" spans="1:36" x14ac:dyDescent="0.25">
      <c r="A619">
        <f>'RESUMEN TOTAL'!F751</f>
        <v>0</v>
      </c>
      <c r="B619">
        <f>'RESUMEN TOTAL'!G751</f>
        <v>0</v>
      </c>
      <c r="C619">
        <f>'RESUMEN TOTAL'!I751</f>
        <v>0</v>
      </c>
      <c r="D619" s="30">
        <f>'RESUMEN TOTAL'!J751</f>
        <v>0</v>
      </c>
      <c r="E619" s="30">
        <f>'RESUMEN TOTAL'!K751</f>
        <v>0</v>
      </c>
      <c r="F619" s="70">
        <f>'RESUMEN TOTAL'!S751</f>
        <v>0</v>
      </c>
      <c r="G619" s="70">
        <f>'RESUMEN TOTAL'!T751</f>
        <v>0</v>
      </c>
      <c r="H619" s="70">
        <f>'RESUMEN TOTAL'!U751</f>
        <v>0</v>
      </c>
      <c r="I619" s="70">
        <f>'RESUMEN TOTAL'!V751</f>
        <v>0</v>
      </c>
      <c r="J619" s="70">
        <f>'RESUMEN TOTAL'!W751</f>
        <v>0</v>
      </c>
      <c r="K619" s="70">
        <f>'RESUMEN TOTAL'!X751</f>
        <v>0</v>
      </c>
      <c r="L619" s="70">
        <f>'RESUMEN TOTAL'!Y751</f>
        <v>0</v>
      </c>
      <c r="M619" s="70">
        <f>'RESUMEN TOTAL'!Z751</f>
        <v>0</v>
      </c>
      <c r="N619" s="70">
        <f>'RESUMEN TOTAL'!AA751</f>
        <v>0</v>
      </c>
      <c r="O619" s="70">
        <f>'RESUMEN TOTAL'!AB751</f>
        <v>0</v>
      </c>
      <c r="P619" s="70">
        <f>'RESUMEN TOTAL'!AC751</f>
        <v>0</v>
      </c>
      <c r="Q619" s="70">
        <f>'RESUMEN TOTAL'!AD751</f>
        <v>0</v>
      </c>
      <c r="R619" s="70">
        <f>'RESUMEN TOTAL'!AE751</f>
        <v>0</v>
      </c>
      <c r="S619" s="70">
        <f>'RESUMEN TOTAL'!AF751</f>
        <v>0</v>
      </c>
      <c r="T619" s="70">
        <f>'RESUMEN TOTAL'!AG751</f>
        <v>0</v>
      </c>
      <c r="U619" s="70">
        <f>'RESUMEN TOTAL'!AH751</f>
        <v>0</v>
      </c>
      <c r="V619" s="70">
        <f>'RESUMEN TOTAL'!AI751</f>
        <v>0</v>
      </c>
      <c r="W619" s="70">
        <f>'RESUMEN TOTAL'!AJ751</f>
        <v>0</v>
      </c>
      <c r="X619" s="70">
        <f>'RESUMEN TOTAL'!AK751</f>
        <v>0</v>
      </c>
      <c r="Y619" s="70">
        <f>'RESUMEN TOTAL'!AL751</f>
        <v>0</v>
      </c>
      <c r="Z619" s="70">
        <f>'RESUMEN TOTAL'!AM751</f>
        <v>0</v>
      </c>
      <c r="AA619" s="70">
        <f>'RESUMEN TOTAL'!AN751</f>
        <v>0</v>
      </c>
      <c r="AB619" s="70">
        <f>'RESUMEN TOTAL'!AO751</f>
        <v>0</v>
      </c>
      <c r="AC619" s="70">
        <f>'RESUMEN TOTAL'!AP751</f>
        <v>0</v>
      </c>
      <c r="AD619" s="70">
        <f>'RESUMEN TOTAL'!AQ751</f>
        <v>0</v>
      </c>
      <c r="AE619" s="70">
        <f>'RESUMEN TOTAL'!AR751</f>
        <v>0</v>
      </c>
      <c r="AF619" s="70">
        <f>'RESUMEN TOTAL'!AS751</f>
        <v>0</v>
      </c>
      <c r="AG619" s="70">
        <f>'RESUMEN TOTAL'!AT751</f>
        <v>0</v>
      </c>
      <c r="AH619" s="70">
        <f>'RESUMEN TOTAL'!AU751</f>
        <v>0</v>
      </c>
      <c r="AI619" s="70">
        <f>'RESUMEN TOTAL'!AV751</f>
        <v>0</v>
      </c>
      <c r="AJ619" s="70" t="e">
        <f>'RESUMEN TOTAL'!#REF!</f>
        <v>#REF!</v>
      </c>
    </row>
    <row r="620" spans="1:36" x14ac:dyDescent="0.25">
      <c r="A620">
        <f>'RESUMEN TOTAL'!F752</f>
        <v>0</v>
      </c>
      <c r="B620">
        <f>'RESUMEN TOTAL'!G752</f>
        <v>0</v>
      </c>
      <c r="C620">
        <f>'RESUMEN TOTAL'!I752</f>
        <v>0</v>
      </c>
      <c r="D620" s="30">
        <f>'RESUMEN TOTAL'!J752</f>
        <v>0</v>
      </c>
      <c r="E620" s="30">
        <f>'RESUMEN TOTAL'!K752</f>
        <v>0</v>
      </c>
      <c r="F620" s="70">
        <f>'RESUMEN TOTAL'!S752</f>
        <v>0</v>
      </c>
      <c r="G620" s="70">
        <f>'RESUMEN TOTAL'!T752</f>
        <v>0</v>
      </c>
      <c r="H620" s="70">
        <f>'RESUMEN TOTAL'!U752</f>
        <v>0</v>
      </c>
      <c r="I620" s="70">
        <f>'RESUMEN TOTAL'!V752</f>
        <v>0</v>
      </c>
      <c r="J620" s="70">
        <f>'RESUMEN TOTAL'!W752</f>
        <v>0</v>
      </c>
      <c r="K620" s="70">
        <f>'RESUMEN TOTAL'!X752</f>
        <v>0</v>
      </c>
      <c r="L620" s="70">
        <f>'RESUMEN TOTAL'!Y752</f>
        <v>0</v>
      </c>
      <c r="M620" s="70">
        <f>'RESUMEN TOTAL'!Z752</f>
        <v>0</v>
      </c>
      <c r="N620" s="70">
        <f>'RESUMEN TOTAL'!AA752</f>
        <v>0</v>
      </c>
      <c r="O620" s="70">
        <f>'RESUMEN TOTAL'!AB752</f>
        <v>0</v>
      </c>
      <c r="P620" s="70">
        <f>'RESUMEN TOTAL'!AC752</f>
        <v>0</v>
      </c>
      <c r="Q620" s="70">
        <f>'RESUMEN TOTAL'!AD752</f>
        <v>0</v>
      </c>
      <c r="R620" s="70">
        <f>'RESUMEN TOTAL'!AE752</f>
        <v>0</v>
      </c>
      <c r="S620" s="70">
        <f>'RESUMEN TOTAL'!AF752</f>
        <v>0</v>
      </c>
      <c r="T620" s="70">
        <f>'RESUMEN TOTAL'!AG752</f>
        <v>0</v>
      </c>
      <c r="U620" s="70">
        <f>'RESUMEN TOTAL'!AH752</f>
        <v>0</v>
      </c>
      <c r="V620" s="70">
        <f>'RESUMEN TOTAL'!AI752</f>
        <v>0</v>
      </c>
      <c r="W620" s="70">
        <f>'RESUMEN TOTAL'!AJ752</f>
        <v>0</v>
      </c>
      <c r="X620" s="70">
        <f>'RESUMEN TOTAL'!AK752</f>
        <v>0</v>
      </c>
      <c r="Y620" s="70">
        <f>'RESUMEN TOTAL'!AL752</f>
        <v>0</v>
      </c>
      <c r="Z620" s="70">
        <f>'RESUMEN TOTAL'!AM752</f>
        <v>0</v>
      </c>
      <c r="AA620" s="70">
        <f>'RESUMEN TOTAL'!AN752</f>
        <v>0</v>
      </c>
      <c r="AB620" s="70">
        <f>'RESUMEN TOTAL'!AO752</f>
        <v>0</v>
      </c>
      <c r="AC620" s="70">
        <f>'RESUMEN TOTAL'!AP752</f>
        <v>0</v>
      </c>
      <c r="AD620" s="70">
        <f>'RESUMEN TOTAL'!AQ752</f>
        <v>0</v>
      </c>
      <c r="AE620" s="70">
        <f>'RESUMEN TOTAL'!AR752</f>
        <v>0</v>
      </c>
      <c r="AF620" s="70">
        <f>'RESUMEN TOTAL'!AS752</f>
        <v>0</v>
      </c>
      <c r="AG620" s="70">
        <f>'RESUMEN TOTAL'!AT752</f>
        <v>0</v>
      </c>
      <c r="AH620" s="70">
        <f>'RESUMEN TOTAL'!AU752</f>
        <v>0</v>
      </c>
      <c r="AI620" s="70">
        <f>'RESUMEN TOTAL'!AV752</f>
        <v>0</v>
      </c>
      <c r="AJ620" s="70" t="e">
        <f>'RESUMEN TOTAL'!#REF!</f>
        <v>#REF!</v>
      </c>
    </row>
    <row r="621" spans="1:36" x14ac:dyDescent="0.25">
      <c r="A621">
        <f>'RESUMEN TOTAL'!F753</f>
        <v>0</v>
      </c>
      <c r="B621">
        <f>'RESUMEN TOTAL'!G753</f>
        <v>0</v>
      </c>
      <c r="C621">
        <f>'RESUMEN TOTAL'!I753</f>
        <v>0</v>
      </c>
      <c r="D621" s="30">
        <f>'RESUMEN TOTAL'!J753</f>
        <v>0</v>
      </c>
      <c r="E621" s="30">
        <f>'RESUMEN TOTAL'!K753</f>
        <v>0</v>
      </c>
      <c r="F621" s="70">
        <f>'RESUMEN TOTAL'!S753</f>
        <v>0</v>
      </c>
      <c r="G621" s="70">
        <f>'RESUMEN TOTAL'!T753</f>
        <v>0</v>
      </c>
      <c r="H621" s="70">
        <f>'RESUMEN TOTAL'!U753</f>
        <v>0</v>
      </c>
      <c r="I621" s="70">
        <f>'RESUMEN TOTAL'!V753</f>
        <v>0</v>
      </c>
      <c r="J621" s="70">
        <f>'RESUMEN TOTAL'!W753</f>
        <v>0</v>
      </c>
      <c r="K621" s="70">
        <f>'RESUMEN TOTAL'!X753</f>
        <v>0</v>
      </c>
      <c r="L621" s="70">
        <f>'RESUMEN TOTAL'!Y753</f>
        <v>0</v>
      </c>
      <c r="M621" s="70">
        <f>'RESUMEN TOTAL'!Z753</f>
        <v>0</v>
      </c>
      <c r="N621" s="70">
        <f>'RESUMEN TOTAL'!AA753</f>
        <v>0</v>
      </c>
      <c r="O621" s="70">
        <f>'RESUMEN TOTAL'!AB753</f>
        <v>0</v>
      </c>
      <c r="P621" s="70">
        <f>'RESUMEN TOTAL'!AC753</f>
        <v>0</v>
      </c>
      <c r="Q621" s="70">
        <f>'RESUMEN TOTAL'!AD753</f>
        <v>0</v>
      </c>
      <c r="R621" s="70">
        <f>'RESUMEN TOTAL'!AE753</f>
        <v>0</v>
      </c>
      <c r="S621" s="70">
        <f>'RESUMEN TOTAL'!AF753</f>
        <v>0</v>
      </c>
      <c r="T621" s="70">
        <f>'RESUMEN TOTAL'!AG753</f>
        <v>0</v>
      </c>
      <c r="U621" s="70">
        <f>'RESUMEN TOTAL'!AH753</f>
        <v>0</v>
      </c>
      <c r="V621" s="70">
        <f>'RESUMEN TOTAL'!AI753</f>
        <v>0</v>
      </c>
      <c r="W621" s="70">
        <f>'RESUMEN TOTAL'!AJ753</f>
        <v>0</v>
      </c>
      <c r="X621" s="70">
        <f>'RESUMEN TOTAL'!AK753</f>
        <v>0</v>
      </c>
      <c r="Y621" s="70">
        <f>'RESUMEN TOTAL'!AL753</f>
        <v>0</v>
      </c>
      <c r="Z621" s="70">
        <f>'RESUMEN TOTAL'!AM753</f>
        <v>0</v>
      </c>
      <c r="AA621" s="70">
        <f>'RESUMEN TOTAL'!AN753</f>
        <v>0</v>
      </c>
      <c r="AB621" s="70">
        <f>'RESUMEN TOTAL'!AO753</f>
        <v>0</v>
      </c>
      <c r="AC621" s="70">
        <f>'RESUMEN TOTAL'!AP753</f>
        <v>0</v>
      </c>
      <c r="AD621" s="70">
        <f>'RESUMEN TOTAL'!AQ753</f>
        <v>0</v>
      </c>
      <c r="AE621" s="70">
        <f>'RESUMEN TOTAL'!AR753</f>
        <v>0</v>
      </c>
      <c r="AF621" s="70">
        <f>'RESUMEN TOTAL'!AS753</f>
        <v>0</v>
      </c>
      <c r="AG621" s="70">
        <f>'RESUMEN TOTAL'!AT753</f>
        <v>0</v>
      </c>
      <c r="AH621" s="70">
        <f>'RESUMEN TOTAL'!AU753</f>
        <v>0</v>
      </c>
      <c r="AI621" s="70">
        <f>'RESUMEN TOTAL'!AV753</f>
        <v>0</v>
      </c>
      <c r="AJ621" s="70" t="e">
        <f>'RESUMEN TOTAL'!#REF!</f>
        <v>#REF!</v>
      </c>
    </row>
    <row r="622" spans="1:36" x14ac:dyDescent="0.25">
      <c r="A622">
        <f>'RESUMEN TOTAL'!F754</f>
        <v>0</v>
      </c>
      <c r="B622">
        <f>'RESUMEN TOTAL'!G754</f>
        <v>0</v>
      </c>
      <c r="C622">
        <f>'RESUMEN TOTAL'!I754</f>
        <v>0</v>
      </c>
      <c r="D622" s="30">
        <f>'RESUMEN TOTAL'!J754</f>
        <v>0</v>
      </c>
      <c r="E622" s="30">
        <f>'RESUMEN TOTAL'!K754</f>
        <v>0</v>
      </c>
      <c r="F622" s="70">
        <f>'RESUMEN TOTAL'!S754</f>
        <v>0</v>
      </c>
      <c r="G622" s="70">
        <f>'RESUMEN TOTAL'!T754</f>
        <v>0</v>
      </c>
      <c r="H622" s="70">
        <f>'RESUMEN TOTAL'!U754</f>
        <v>0</v>
      </c>
      <c r="I622" s="70">
        <f>'RESUMEN TOTAL'!V754</f>
        <v>0</v>
      </c>
      <c r="J622" s="70">
        <f>'RESUMEN TOTAL'!W754</f>
        <v>0</v>
      </c>
      <c r="K622" s="70">
        <f>'RESUMEN TOTAL'!X754</f>
        <v>0</v>
      </c>
      <c r="L622" s="70">
        <f>'RESUMEN TOTAL'!Y754</f>
        <v>0</v>
      </c>
      <c r="M622" s="70">
        <f>'RESUMEN TOTAL'!Z754</f>
        <v>0</v>
      </c>
      <c r="N622" s="70">
        <f>'RESUMEN TOTAL'!AA754</f>
        <v>0</v>
      </c>
      <c r="O622" s="70">
        <f>'RESUMEN TOTAL'!AB754</f>
        <v>0</v>
      </c>
      <c r="P622" s="70">
        <f>'RESUMEN TOTAL'!AC754</f>
        <v>0</v>
      </c>
      <c r="Q622" s="70">
        <f>'RESUMEN TOTAL'!AD754</f>
        <v>0</v>
      </c>
      <c r="R622" s="70">
        <f>'RESUMEN TOTAL'!AE754</f>
        <v>0</v>
      </c>
      <c r="S622" s="70">
        <f>'RESUMEN TOTAL'!AF754</f>
        <v>0</v>
      </c>
      <c r="T622" s="70">
        <f>'RESUMEN TOTAL'!AG754</f>
        <v>0</v>
      </c>
      <c r="U622" s="70">
        <f>'RESUMEN TOTAL'!AH754</f>
        <v>0</v>
      </c>
      <c r="V622" s="70">
        <f>'RESUMEN TOTAL'!AI754</f>
        <v>0</v>
      </c>
      <c r="W622" s="70">
        <f>'RESUMEN TOTAL'!AJ754</f>
        <v>0</v>
      </c>
      <c r="X622" s="70">
        <f>'RESUMEN TOTAL'!AK754</f>
        <v>0</v>
      </c>
      <c r="Y622" s="70">
        <f>'RESUMEN TOTAL'!AL754</f>
        <v>0</v>
      </c>
      <c r="Z622" s="70">
        <f>'RESUMEN TOTAL'!AM754</f>
        <v>0</v>
      </c>
      <c r="AA622" s="70">
        <f>'RESUMEN TOTAL'!AN754</f>
        <v>0</v>
      </c>
      <c r="AB622" s="70">
        <f>'RESUMEN TOTAL'!AO754</f>
        <v>0</v>
      </c>
      <c r="AC622" s="70">
        <f>'RESUMEN TOTAL'!AP754</f>
        <v>0</v>
      </c>
      <c r="AD622" s="70">
        <f>'RESUMEN TOTAL'!AQ754</f>
        <v>0</v>
      </c>
      <c r="AE622" s="70">
        <f>'RESUMEN TOTAL'!AR754</f>
        <v>0</v>
      </c>
      <c r="AF622" s="70">
        <f>'RESUMEN TOTAL'!AS754</f>
        <v>0</v>
      </c>
      <c r="AG622" s="70">
        <f>'RESUMEN TOTAL'!AT754</f>
        <v>0</v>
      </c>
      <c r="AH622" s="70">
        <f>'RESUMEN TOTAL'!AU754</f>
        <v>0</v>
      </c>
      <c r="AI622" s="70">
        <f>'RESUMEN TOTAL'!AV754</f>
        <v>0</v>
      </c>
      <c r="AJ622" s="70" t="e">
        <f>'RESUMEN TOTAL'!#REF!</f>
        <v>#REF!</v>
      </c>
    </row>
    <row r="623" spans="1:36" x14ac:dyDescent="0.25">
      <c r="A623">
        <f>'RESUMEN TOTAL'!F755</f>
        <v>0</v>
      </c>
      <c r="B623">
        <f>'RESUMEN TOTAL'!G755</f>
        <v>0</v>
      </c>
      <c r="C623">
        <f>'RESUMEN TOTAL'!I755</f>
        <v>0</v>
      </c>
      <c r="D623" s="30">
        <f>'RESUMEN TOTAL'!J755</f>
        <v>0</v>
      </c>
      <c r="E623" s="30">
        <f>'RESUMEN TOTAL'!K755</f>
        <v>0</v>
      </c>
      <c r="F623" s="70">
        <f>'RESUMEN TOTAL'!S755</f>
        <v>0</v>
      </c>
      <c r="G623" s="70">
        <f>'RESUMEN TOTAL'!T755</f>
        <v>0</v>
      </c>
      <c r="H623" s="70">
        <f>'RESUMEN TOTAL'!U755</f>
        <v>0</v>
      </c>
      <c r="I623" s="70">
        <f>'RESUMEN TOTAL'!V755</f>
        <v>0</v>
      </c>
      <c r="J623" s="70">
        <f>'RESUMEN TOTAL'!W755</f>
        <v>0</v>
      </c>
      <c r="K623" s="70">
        <f>'RESUMEN TOTAL'!X755</f>
        <v>0</v>
      </c>
      <c r="L623" s="70">
        <f>'RESUMEN TOTAL'!Y755</f>
        <v>0</v>
      </c>
      <c r="M623" s="70">
        <f>'RESUMEN TOTAL'!Z755</f>
        <v>0</v>
      </c>
      <c r="N623" s="70">
        <f>'RESUMEN TOTAL'!AA755</f>
        <v>0</v>
      </c>
      <c r="O623" s="70">
        <f>'RESUMEN TOTAL'!AB755</f>
        <v>0</v>
      </c>
      <c r="P623" s="70">
        <f>'RESUMEN TOTAL'!AC755</f>
        <v>0</v>
      </c>
      <c r="Q623" s="70">
        <f>'RESUMEN TOTAL'!AD755</f>
        <v>0</v>
      </c>
      <c r="R623" s="70">
        <f>'RESUMEN TOTAL'!AE755</f>
        <v>0</v>
      </c>
      <c r="S623" s="70">
        <f>'RESUMEN TOTAL'!AF755</f>
        <v>0</v>
      </c>
      <c r="T623" s="70">
        <f>'RESUMEN TOTAL'!AG755</f>
        <v>0</v>
      </c>
      <c r="U623" s="70">
        <f>'RESUMEN TOTAL'!AH755</f>
        <v>0</v>
      </c>
      <c r="V623" s="70">
        <f>'RESUMEN TOTAL'!AI755</f>
        <v>0</v>
      </c>
      <c r="W623" s="70">
        <f>'RESUMEN TOTAL'!AJ755</f>
        <v>0</v>
      </c>
      <c r="X623" s="70">
        <f>'RESUMEN TOTAL'!AK755</f>
        <v>0</v>
      </c>
      <c r="Y623" s="70">
        <f>'RESUMEN TOTAL'!AL755</f>
        <v>0</v>
      </c>
      <c r="Z623" s="70">
        <f>'RESUMEN TOTAL'!AM755</f>
        <v>0</v>
      </c>
      <c r="AA623" s="70">
        <f>'RESUMEN TOTAL'!AN755</f>
        <v>0</v>
      </c>
      <c r="AB623" s="70">
        <f>'RESUMEN TOTAL'!AO755</f>
        <v>0</v>
      </c>
      <c r="AC623" s="70">
        <f>'RESUMEN TOTAL'!AP755</f>
        <v>0</v>
      </c>
      <c r="AD623" s="70">
        <f>'RESUMEN TOTAL'!AQ755</f>
        <v>0</v>
      </c>
      <c r="AE623" s="70">
        <f>'RESUMEN TOTAL'!AR755</f>
        <v>0</v>
      </c>
      <c r="AF623" s="70">
        <f>'RESUMEN TOTAL'!AS755</f>
        <v>0</v>
      </c>
      <c r="AG623" s="70">
        <f>'RESUMEN TOTAL'!AT755</f>
        <v>0</v>
      </c>
      <c r="AH623" s="70">
        <f>'RESUMEN TOTAL'!AU755</f>
        <v>0</v>
      </c>
      <c r="AI623" s="70">
        <f>'RESUMEN TOTAL'!AV755</f>
        <v>0</v>
      </c>
      <c r="AJ623" s="70" t="e">
        <f>'RESUMEN TOTAL'!#REF!</f>
        <v>#REF!</v>
      </c>
    </row>
    <row r="624" spans="1:36" x14ac:dyDescent="0.25">
      <c r="A624">
        <f>'RESUMEN TOTAL'!F756</f>
        <v>0</v>
      </c>
      <c r="B624">
        <f>'RESUMEN TOTAL'!G756</f>
        <v>0</v>
      </c>
      <c r="C624">
        <f>'RESUMEN TOTAL'!I756</f>
        <v>0</v>
      </c>
      <c r="D624" s="30">
        <f>'RESUMEN TOTAL'!J756</f>
        <v>0</v>
      </c>
      <c r="E624" s="30">
        <f>'RESUMEN TOTAL'!K756</f>
        <v>0</v>
      </c>
      <c r="F624" s="70">
        <f>'RESUMEN TOTAL'!S756</f>
        <v>0</v>
      </c>
      <c r="G624" s="70">
        <f>'RESUMEN TOTAL'!T756</f>
        <v>0</v>
      </c>
      <c r="H624" s="70">
        <f>'RESUMEN TOTAL'!U756</f>
        <v>0</v>
      </c>
      <c r="I624" s="70">
        <f>'RESUMEN TOTAL'!V756</f>
        <v>0</v>
      </c>
      <c r="J624" s="70">
        <f>'RESUMEN TOTAL'!W756</f>
        <v>0</v>
      </c>
      <c r="K624" s="70">
        <f>'RESUMEN TOTAL'!X756</f>
        <v>0</v>
      </c>
      <c r="L624" s="70">
        <f>'RESUMEN TOTAL'!Y756</f>
        <v>0</v>
      </c>
      <c r="M624" s="70">
        <f>'RESUMEN TOTAL'!Z756</f>
        <v>0</v>
      </c>
      <c r="N624" s="70">
        <f>'RESUMEN TOTAL'!AA756</f>
        <v>0</v>
      </c>
      <c r="O624" s="70">
        <f>'RESUMEN TOTAL'!AB756</f>
        <v>0</v>
      </c>
      <c r="P624" s="70">
        <f>'RESUMEN TOTAL'!AC756</f>
        <v>0</v>
      </c>
      <c r="Q624" s="70">
        <f>'RESUMEN TOTAL'!AD756</f>
        <v>0</v>
      </c>
      <c r="R624" s="70">
        <f>'RESUMEN TOTAL'!AE756</f>
        <v>0</v>
      </c>
      <c r="S624" s="70">
        <f>'RESUMEN TOTAL'!AF756</f>
        <v>0</v>
      </c>
      <c r="T624" s="70">
        <f>'RESUMEN TOTAL'!AG756</f>
        <v>0</v>
      </c>
      <c r="U624" s="70">
        <f>'RESUMEN TOTAL'!AH756</f>
        <v>0</v>
      </c>
      <c r="V624" s="70">
        <f>'RESUMEN TOTAL'!AI756</f>
        <v>0</v>
      </c>
      <c r="W624" s="70">
        <f>'RESUMEN TOTAL'!AJ756</f>
        <v>0</v>
      </c>
      <c r="X624" s="70">
        <f>'RESUMEN TOTAL'!AK756</f>
        <v>0</v>
      </c>
      <c r="Y624" s="70">
        <f>'RESUMEN TOTAL'!AL756</f>
        <v>0</v>
      </c>
      <c r="Z624" s="70">
        <f>'RESUMEN TOTAL'!AM756</f>
        <v>0</v>
      </c>
      <c r="AA624" s="70">
        <f>'RESUMEN TOTAL'!AN756</f>
        <v>0</v>
      </c>
      <c r="AB624" s="70">
        <f>'RESUMEN TOTAL'!AO756</f>
        <v>0</v>
      </c>
      <c r="AC624" s="70">
        <f>'RESUMEN TOTAL'!AP756</f>
        <v>0</v>
      </c>
      <c r="AD624" s="70">
        <f>'RESUMEN TOTAL'!AQ756</f>
        <v>0</v>
      </c>
      <c r="AE624" s="70">
        <f>'RESUMEN TOTAL'!AR756</f>
        <v>0</v>
      </c>
      <c r="AF624" s="70">
        <f>'RESUMEN TOTAL'!AS756</f>
        <v>0</v>
      </c>
      <c r="AG624" s="70">
        <f>'RESUMEN TOTAL'!AT756</f>
        <v>0</v>
      </c>
      <c r="AH624" s="70">
        <f>'RESUMEN TOTAL'!AU756</f>
        <v>0</v>
      </c>
      <c r="AI624" s="70">
        <f>'RESUMEN TOTAL'!AV756</f>
        <v>0</v>
      </c>
      <c r="AJ624" s="70" t="e">
        <f>'RESUMEN TOTAL'!#REF!</f>
        <v>#REF!</v>
      </c>
    </row>
    <row r="625" spans="1:36" x14ac:dyDescent="0.25">
      <c r="A625">
        <f>'RESUMEN TOTAL'!F757</f>
        <v>0</v>
      </c>
      <c r="B625">
        <f>'RESUMEN TOTAL'!G757</f>
        <v>0</v>
      </c>
      <c r="C625">
        <f>'RESUMEN TOTAL'!I757</f>
        <v>0</v>
      </c>
      <c r="D625" s="30">
        <f>'RESUMEN TOTAL'!J757</f>
        <v>0</v>
      </c>
      <c r="E625" s="30">
        <f>'RESUMEN TOTAL'!K757</f>
        <v>0</v>
      </c>
      <c r="F625" s="70">
        <f>'RESUMEN TOTAL'!S757</f>
        <v>0</v>
      </c>
      <c r="G625" s="70">
        <f>'RESUMEN TOTAL'!T757</f>
        <v>0</v>
      </c>
      <c r="H625" s="70">
        <f>'RESUMEN TOTAL'!U757</f>
        <v>0</v>
      </c>
      <c r="I625" s="70">
        <f>'RESUMEN TOTAL'!V757</f>
        <v>0</v>
      </c>
      <c r="J625" s="70">
        <f>'RESUMEN TOTAL'!W757</f>
        <v>0</v>
      </c>
      <c r="K625" s="70">
        <f>'RESUMEN TOTAL'!X757</f>
        <v>0</v>
      </c>
      <c r="L625" s="70">
        <f>'RESUMEN TOTAL'!Y757</f>
        <v>0</v>
      </c>
      <c r="M625" s="70">
        <f>'RESUMEN TOTAL'!Z757</f>
        <v>0</v>
      </c>
      <c r="N625" s="70">
        <f>'RESUMEN TOTAL'!AA757</f>
        <v>0</v>
      </c>
      <c r="O625" s="70">
        <f>'RESUMEN TOTAL'!AB757</f>
        <v>0</v>
      </c>
      <c r="P625" s="70">
        <f>'RESUMEN TOTAL'!AC757</f>
        <v>0</v>
      </c>
      <c r="Q625" s="70">
        <f>'RESUMEN TOTAL'!AD757</f>
        <v>0</v>
      </c>
      <c r="R625" s="70">
        <f>'RESUMEN TOTAL'!AE757</f>
        <v>0</v>
      </c>
      <c r="S625" s="70">
        <f>'RESUMEN TOTAL'!AF757</f>
        <v>0</v>
      </c>
      <c r="T625" s="70">
        <f>'RESUMEN TOTAL'!AG757</f>
        <v>0</v>
      </c>
      <c r="U625" s="70">
        <f>'RESUMEN TOTAL'!AH757</f>
        <v>0</v>
      </c>
      <c r="V625" s="70">
        <f>'RESUMEN TOTAL'!AI757</f>
        <v>0</v>
      </c>
      <c r="W625" s="70">
        <f>'RESUMEN TOTAL'!AJ757</f>
        <v>0</v>
      </c>
      <c r="X625" s="70">
        <f>'RESUMEN TOTAL'!AK757</f>
        <v>0</v>
      </c>
      <c r="Y625" s="70">
        <f>'RESUMEN TOTAL'!AL757</f>
        <v>0</v>
      </c>
      <c r="Z625" s="70">
        <f>'RESUMEN TOTAL'!AM757</f>
        <v>0</v>
      </c>
      <c r="AA625" s="70">
        <f>'RESUMEN TOTAL'!AN757</f>
        <v>0</v>
      </c>
      <c r="AB625" s="70">
        <f>'RESUMEN TOTAL'!AO757</f>
        <v>0</v>
      </c>
      <c r="AC625" s="70">
        <f>'RESUMEN TOTAL'!AP757</f>
        <v>0</v>
      </c>
      <c r="AD625" s="70">
        <f>'RESUMEN TOTAL'!AQ757</f>
        <v>0</v>
      </c>
      <c r="AE625" s="70">
        <f>'RESUMEN TOTAL'!AR757</f>
        <v>0</v>
      </c>
      <c r="AF625" s="70">
        <f>'RESUMEN TOTAL'!AS757</f>
        <v>0</v>
      </c>
      <c r="AG625" s="70">
        <f>'RESUMEN TOTAL'!AT757</f>
        <v>0</v>
      </c>
      <c r="AH625" s="70">
        <f>'RESUMEN TOTAL'!AU757</f>
        <v>0</v>
      </c>
      <c r="AI625" s="70">
        <f>'RESUMEN TOTAL'!AV757</f>
        <v>0</v>
      </c>
      <c r="AJ625" s="70" t="e">
        <f>'RESUMEN TOTAL'!#REF!</f>
        <v>#REF!</v>
      </c>
    </row>
    <row r="626" spans="1:36" x14ac:dyDescent="0.25">
      <c r="A626">
        <f>'RESUMEN TOTAL'!F758</f>
        <v>0</v>
      </c>
      <c r="B626">
        <f>'RESUMEN TOTAL'!G758</f>
        <v>0</v>
      </c>
      <c r="C626">
        <f>'RESUMEN TOTAL'!I758</f>
        <v>0</v>
      </c>
      <c r="D626" s="30">
        <f>'RESUMEN TOTAL'!J758</f>
        <v>0</v>
      </c>
      <c r="E626" s="30">
        <f>'RESUMEN TOTAL'!K758</f>
        <v>0</v>
      </c>
      <c r="F626" s="70">
        <f>'RESUMEN TOTAL'!S758</f>
        <v>0</v>
      </c>
      <c r="G626" s="70">
        <f>'RESUMEN TOTAL'!T758</f>
        <v>0</v>
      </c>
      <c r="H626" s="70">
        <f>'RESUMEN TOTAL'!U758</f>
        <v>0</v>
      </c>
      <c r="I626" s="70">
        <f>'RESUMEN TOTAL'!V758</f>
        <v>0</v>
      </c>
      <c r="J626" s="70">
        <f>'RESUMEN TOTAL'!W758</f>
        <v>0</v>
      </c>
      <c r="K626" s="70">
        <f>'RESUMEN TOTAL'!X758</f>
        <v>0</v>
      </c>
      <c r="L626" s="70">
        <f>'RESUMEN TOTAL'!Y758</f>
        <v>0</v>
      </c>
      <c r="M626" s="70">
        <f>'RESUMEN TOTAL'!Z758</f>
        <v>0</v>
      </c>
      <c r="N626" s="70">
        <f>'RESUMEN TOTAL'!AA758</f>
        <v>0</v>
      </c>
      <c r="O626" s="70">
        <f>'RESUMEN TOTAL'!AB758</f>
        <v>0</v>
      </c>
      <c r="P626" s="70">
        <f>'RESUMEN TOTAL'!AC758</f>
        <v>0</v>
      </c>
      <c r="Q626" s="70">
        <f>'RESUMEN TOTAL'!AD758</f>
        <v>0</v>
      </c>
      <c r="R626" s="70">
        <f>'RESUMEN TOTAL'!AE758</f>
        <v>0</v>
      </c>
      <c r="S626" s="70">
        <f>'RESUMEN TOTAL'!AF758</f>
        <v>0</v>
      </c>
      <c r="T626" s="70">
        <f>'RESUMEN TOTAL'!AG758</f>
        <v>0</v>
      </c>
      <c r="U626" s="70">
        <f>'RESUMEN TOTAL'!AH758</f>
        <v>0</v>
      </c>
      <c r="V626" s="70">
        <f>'RESUMEN TOTAL'!AI758</f>
        <v>0</v>
      </c>
      <c r="W626" s="70">
        <f>'RESUMEN TOTAL'!AJ758</f>
        <v>0</v>
      </c>
      <c r="X626" s="70">
        <f>'RESUMEN TOTAL'!AK758</f>
        <v>0</v>
      </c>
      <c r="Y626" s="70">
        <f>'RESUMEN TOTAL'!AL758</f>
        <v>0</v>
      </c>
      <c r="Z626" s="70">
        <f>'RESUMEN TOTAL'!AM758</f>
        <v>0</v>
      </c>
      <c r="AA626" s="70">
        <f>'RESUMEN TOTAL'!AN758</f>
        <v>0</v>
      </c>
      <c r="AB626" s="70">
        <f>'RESUMEN TOTAL'!AO758</f>
        <v>0</v>
      </c>
      <c r="AC626" s="70">
        <f>'RESUMEN TOTAL'!AP758</f>
        <v>0</v>
      </c>
      <c r="AD626" s="70">
        <f>'RESUMEN TOTAL'!AQ758</f>
        <v>0</v>
      </c>
      <c r="AE626" s="70">
        <f>'RESUMEN TOTAL'!AR758</f>
        <v>0</v>
      </c>
      <c r="AF626" s="70">
        <f>'RESUMEN TOTAL'!AS758</f>
        <v>0</v>
      </c>
      <c r="AG626" s="70">
        <f>'RESUMEN TOTAL'!AT758</f>
        <v>0</v>
      </c>
      <c r="AH626" s="70">
        <f>'RESUMEN TOTAL'!AU758</f>
        <v>0</v>
      </c>
      <c r="AI626" s="70">
        <f>'RESUMEN TOTAL'!AV758</f>
        <v>0</v>
      </c>
      <c r="AJ626" s="70" t="e">
        <f>'RESUMEN TOTAL'!#REF!</f>
        <v>#REF!</v>
      </c>
    </row>
    <row r="627" spans="1:36" x14ac:dyDescent="0.25">
      <c r="A627">
        <f>'RESUMEN TOTAL'!F759</f>
        <v>0</v>
      </c>
      <c r="B627">
        <f>'RESUMEN TOTAL'!G759</f>
        <v>0</v>
      </c>
      <c r="C627">
        <f>'RESUMEN TOTAL'!I759</f>
        <v>0</v>
      </c>
      <c r="D627" s="30">
        <f>'RESUMEN TOTAL'!J759</f>
        <v>0</v>
      </c>
      <c r="E627" s="30">
        <f>'RESUMEN TOTAL'!K759</f>
        <v>0</v>
      </c>
      <c r="F627" s="70">
        <f>'RESUMEN TOTAL'!S759</f>
        <v>0</v>
      </c>
      <c r="G627" s="70">
        <f>'RESUMEN TOTAL'!T759</f>
        <v>0</v>
      </c>
      <c r="H627" s="70">
        <f>'RESUMEN TOTAL'!U759</f>
        <v>0</v>
      </c>
      <c r="I627" s="70">
        <f>'RESUMEN TOTAL'!V759</f>
        <v>0</v>
      </c>
      <c r="J627" s="70">
        <f>'RESUMEN TOTAL'!W759</f>
        <v>0</v>
      </c>
      <c r="K627" s="70">
        <f>'RESUMEN TOTAL'!X759</f>
        <v>0</v>
      </c>
      <c r="L627" s="70">
        <f>'RESUMEN TOTAL'!Y759</f>
        <v>0</v>
      </c>
      <c r="M627" s="70">
        <f>'RESUMEN TOTAL'!Z759</f>
        <v>0</v>
      </c>
      <c r="N627" s="70">
        <f>'RESUMEN TOTAL'!AA759</f>
        <v>0</v>
      </c>
      <c r="O627" s="70">
        <f>'RESUMEN TOTAL'!AB759</f>
        <v>0</v>
      </c>
      <c r="P627" s="70">
        <f>'RESUMEN TOTAL'!AC759</f>
        <v>0</v>
      </c>
      <c r="Q627" s="70">
        <f>'RESUMEN TOTAL'!AD759</f>
        <v>0</v>
      </c>
      <c r="R627" s="70">
        <f>'RESUMEN TOTAL'!AE759</f>
        <v>0</v>
      </c>
      <c r="S627" s="70">
        <f>'RESUMEN TOTAL'!AF759</f>
        <v>0</v>
      </c>
      <c r="T627" s="70">
        <f>'RESUMEN TOTAL'!AG759</f>
        <v>0</v>
      </c>
      <c r="U627" s="70">
        <f>'RESUMEN TOTAL'!AH759</f>
        <v>0</v>
      </c>
      <c r="V627" s="70">
        <f>'RESUMEN TOTAL'!AI759</f>
        <v>0</v>
      </c>
      <c r="W627" s="70">
        <f>'RESUMEN TOTAL'!AJ759</f>
        <v>0</v>
      </c>
      <c r="X627" s="70">
        <f>'RESUMEN TOTAL'!AK759</f>
        <v>0</v>
      </c>
      <c r="Y627" s="70">
        <f>'RESUMEN TOTAL'!AL759</f>
        <v>0</v>
      </c>
      <c r="Z627" s="70">
        <f>'RESUMEN TOTAL'!AM759</f>
        <v>0</v>
      </c>
      <c r="AA627" s="70">
        <f>'RESUMEN TOTAL'!AN759</f>
        <v>0</v>
      </c>
      <c r="AB627" s="70">
        <f>'RESUMEN TOTAL'!AO759</f>
        <v>0</v>
      </c>
      <c r="AC627" s="70">
        <f>'RESUMEN TOTAL'!AP759</f>
        <v>0</v>
      </c>
      <c r="AD627" s="70">
        <f>'RESUMEN TOTAL'!AQ759</f>
        <v>0</v>
      </c>
      <c r="AE627" s="70">
        <f>'RESUMEN TOTAL'!AR759</f>
        <v>0</v>
      </c>
      <c r="AF627" s="70">
        <f>'RESUMEN TOTAL'!AS759</f>
        <v>0</v>
      </c>
      <c r="AG627" s="70">
        <f>'RESUMEN TOTAL'!AT759</f>
        <v>0</v>
      </c>
      <c r="AH627" s="70">
        <f>'RESUMEN TOTAL'!AU759</f>
        <v>0</v>
      </c>
      <c r="AI627" s="70">
        <f>'RESUMEN TOTAL'!AV759</f>
        <v>0</v>
      </c>
      <c r="AJ627" s="70" t="e">
        <f>'RESUMEN TOTAL'!#REF!</f>
        <v>#REF!</v>
      </c>
    </row>
    <row r="628" spans="1:36" x14ac:dyDescent="0.25">
      <c r="A628">
        <f>'RESUMEN TOTAL'!F760</f>
        <v>0</v>
      </c>
      <c r="B628">
        <f>'RESUMEN TOTAL'!G760</f>
        <v>0</v>
      </c>
      <c r="C628">
        <f>'RESUMEN TOTAL'!I760</f>
        <v>0</v>
      </c>
      <c r="D628" s="30">
        <f>'RESUMEN TOTAL'!J760</f>
        <v>0</v>
      </c>
      <c r="E628" s="30">
        <f>'RESUMEN TOTAL'!K760</f>
        <v>0</v>
      </c>
      <c r="F628" s="70">
        <f>'RESUMEN TOTAL'!S760</f>
        <v>0</v>
      </c>
      <c r="G628" s="70">
        <f>'RESUMEN TOTAL'!T760</f>
        <v>0</v>
      </c>
      <c r="H628" s="70">
        <f>'RESUMEN TOTAL'!U760</f>
        <v>0</v>
      </c>
      <c r="I628" s="70">
        <f>'RESUMEN TOTAL'!V760</f>
        <v>0</v>
      </c>
      <c r="J628" s="70">
        <f>'RESUMEN TOTAL'!W760</f>
        <v>0</v>
      </c>
      <c r="K628" s="70">
        <f>'RESUMEN TOTAL'!X760</f>
        <v>0</v>
      </c>
      <c r="L628" s="70">
        <f>'RESUMEN TOTAL'!Y760</f>
        <v>0</v>
      </c>
      <c r="M628" s="70">
        <f>'RESUMEN TOTAL'!Z760</f>
        <v>0</v>
      </c>
      <c r="N628" s="70">
        <f>'RESUMEN TOTAL'!AA760</f>
        <v>0</v>
      </c>
      <c r="O628" s="70">
        <f>'RESUMEN TOTAL'!AB760</f>
        <v>0</v>
      </c>
      <c r="P628" s="70">
        <f>'RESUMEN TOTAL'!AC760</f>
        <v>0</v>
      </c>
      <c r="Q628" s="70">
        <f>'RESUMEN TOTAL'!AD760</f>
        <v>0</v>
      </c>
      <c r="R628" s="70">
        <f>'RESUMEN TOTAL'!AE760</f>
        <v>0</v>
      </c>
      <c r="S628" s="70">
        <f>'RESUMEN TOTAL'!AF760</f>
        <v>0</v>
      </c>
      <c r="T628" s="70">
        <f>'RESUMEN TOTAL'!AG760</f>
        <v>0</v>
      </c>
      <c r="U628" s="70">
        <f>'RESUMEN TOTAL'!AH760</f>
        <v>0</v>
      </c>
      <c r="V628" s="70">
        <f>'RESUMEN TOTAL'!AI760</f>
        <v>0</v>
      </c>
      <c r="W628" s="70">
        <f>'RESUMEN TOTAL'!AJ760</f>
        <v>0</v>
      </c>
      <c r="X628" s="70">
        <f>'RESUMEN TOTAL'!AK760</f>
        <v>0</v>
      </c>
      <c r="Y628" s="70">
        <f>'RESUMEN TOTAL'!AL760</f>
        <v>0</v>
      </c>
      <c r="Z628" s="70">
        <f>'RESUMEN TOTAL'!AM760</f>
        <v>0</v>
      </c>
      <c r="AA628" s="70">
        <f>'RESUMEN TOTAL'!AN760</f>
        <v>0</v>
      </c>
      <c r="AB628" s="70">
        <f>'RESUMEN TOTAL'!AO760</f>
        <v>0</v>
      </c>
      <c r="AC628" s="70">
        <f>'RESUMEN TOTAL'!AP760</f>
        <v>0</v>
      </c>
      <c r="AD628" s="70">
        <f>'RESUMEN TOTAL'!AQ760</f>
        <v>0</v>
      </c>
      <c r="AE628" s="70">
        <f>'RESUMEN TOTAL'!AR760</f>
        <v>0</v>
      </c>
      <c r="AF628" s="70">
        <f>'RESUMEN TOTAL'!AS760</f>
        <v>0</v>
      </c>
      <c r="AG628" s="70">
        <f>'RESUMEN TOTAL'!AT760</f>
        <v>0</v>
      </c>
      <c r="AH628" s="70">
        <f>'RESUMEN TOTAL'!AU760</f>
        <v>0</v>
      </c>
      <c r="AI628" s="70">
        <f>'RESUMEN TOTAL'!AV760</f>
        <v>0</v>
      </c>
      <c r="AJ628" s="70" t="e">
        <f>'RESUMEN TOTAL'!#REF!</f>
        <v>#REF!</v>
      </c>
    </row>
    <row r="629" spans="1:36" x14ac:dyDescent="0.25">
      <c r="A629">
        <f>'RESUMEN TOTAL'!F761</f>
        <v>0</v>
      </c>
      <c r="B629">
        <f>'RESUMEN TOTAL'!G761</f>
        <v>0</v>
      </c>
      <c r="C629">
        <f>'RESUMEN TOTAL'!I761</f>
        <v>0</v>
      </c>
      <c r="D629" s="30">
        <f>'RESUMEN TOTAL'!J761</f>
        <v>0</v>
      </c>
      <c r="E629" s="30">
        <f>'RESUMEN TOTAL'!K761</f>
        <v>0</v>
      </c>
      <c r="F629" s="70">
        <f>'RESUMEN TOTAL'!S761</f>
        <v>0</v>
      </c>
      <c r="G629" s="70">
        <f>'RESUMEN TOTAL'!T761</f>
        <v>0</v>
      </c>
      <c r="H629" s="70">
        <f>'RESUMEN TOTAL'!U761</f>
        <v>0</v>
      </c>
      <c r="I629" s="70">
        <f>'RESUMEN TOTAL'!V761</f>
        <v>0</v>
      </c>
      <c r="J629" s="70">
        <f>'RESUMEN TOTAL'!W761</f>
        <v>0</v>
      </c>
      <c r="K629" s="70">
        <f>'RESUMEN TOTAL'!X761</f>
        <v>0</v>
      </c>
      <c r="L629" s="70">
        <f>'RESUMEN TOTAL'!Y761</f>
        <v>0</v>
      </c>
      <c r="M629" s="70">
        <f>'RESUMEN TOTAL'!Z761</f>
        <v>0</v>
      </c>
      <c r="N629" s="70">
        <f>'RESUMEN TOTAL'!AA761</f>
        <v>0</v>
      </c>
      <c r="O629" s="70">
        <f>'RESUMEN TOTAL'!AB761</f>
        <v>0</v>
      </c>
      <c r="P629" s="70">
        <f>'RESUMEN TOTAL'!AC761</f>
        <v>0</v>
      </c>
      <c r="Q629" s="70">
        <f>'RESUMEN TOTAL'!AD761</f>
        <v>0</v>
      </c>
      <c r="R629" s="70">
        <f>'RESUMEN TOTAL'!AE761</f>
        <v>0</v>
      </c>
      <c r="S629" s="70">
        <f>'RESUMEN TOTAL'!AF761</f>
        <v>0</v>
      </c>
      <c r="T629" s="70">
        <f>'RESUMEN TOTAL'!AG761</f>
        <v>0</v>
      </c>
      <c r="U629" s="70">
        <f>'RESUMEN TOTAL'!AH761</f>
        <v>0</v>
      </c>
      <c r="V629" s="70">
        <f>'RESUMEN TOTAL'!AI761</f>
        <v>0</v>
      </c>
      <c r="W629" s="70">
        <f>'RESUMEN TOTAL'!AJ761</f>
        <v>0</v>
      </c>
      <c r="X629" s="70">
        <f>'RESUMEN TOTAL'!AK761</f>
        <v>0</v>
      </c>
      <c r="Y629" s="70">
        <f>'RESUMEN TOTAL'!AL761</f>
        <v>0</v>
      </c>
      <c r="Z629" s="70">
        <f>'RESUMEN TOTAL'!AM761</f>
        <v>0</v>
      </c>
      <c r="AA629" s="70">
        <f>'RESUMEN TOTAL'!AN761</f>
        <v>0</v>
      </c>
      <c r="AB629" s="70">
        <f>'RESUMEN TOTAL'!AO761</f>
        <v>0</v>
      </c>
      <c r="AC629" s="70">
        <f>'RESUMEN TOTAL'!AP761</f>
        <v>0</v>
      </c>
      <c r="AD629" s="70">
        <f>'RESUMEN TOTAL'!AQ761</f>
        <v>0</v>
      </c>
      <c r="AE629" s="70">
        <f>'RESUMEN TOTAL'!AR761</f>
        <v>0</v>
      </c>
      <c r="AF629" s="70">
        <f>'RESUMEN TOTAL'!AS761</f>
        <v>0</v>
      </c>
      <c r="AG629" s="70">
        <f>'RESUMEN TOTAL'!AT761</f>
        <v>0</v>
      </c>
      <c r="AH629" s="70">
        <f>'RESUMEN TOTAL'!AU761</f>
        <v>0</v>
      </c>
      <c r="AI629" s="70">
        <f>'RESUMEN TOTAL'!AV761</f>
        <v>0</v>
      </c>
      <c r="AJ629" s="70" t="e">
        <f>'RESUMEN TOTAL'!#REF!</f>
        <v>#REF!</v>
      </c>
    </row>
    <row r="630" spans="1:36" x14ac:dyDescent="0.25">
      <c r="A630">
        <f>'RESUMEN TOTAL'!F762</f>
        <v>0</v>
      </c>
      <c r="B630">
        <f>'RESUMEN TOTAL'!G762</f>
        <v>0</v>
      </c>
      <c r="C630">
        <f>'RESUMEN TOTAL'!I762</f>
        <v>0</v>
      </c>
      <c r="D630" s="30">
        <f>'RESUMEN TOTAL'!J762</f>
        <v>0</v>
      </c>
      <c r="E630" s="30">
        <f>'RESUMEN TOTAL'!K762</f>
        <v>0</v>
      </c>
      <c r="F630" s="70">
        <f>'RESUMEN TOTAL'!S762</f>
        <v>0</v>
      </c>
      <c r="G630" s="70">
        <f>'RESUMEN TOTAL'!T762</f>
        <v>0</v>
      </c>
      <c r="H630" s="70">
        <f>'RESUMEN TOTAL'!U762</f>
        <v>0</v>
      </c>
      <c r="I630" s="70">
        <f>'RESUMEN TOTAL'!V762</f>
        <v>0</v>
      </c>
      <c r="J630" s="70">
        <f>'RESUMEN TOTAL'!W762</f>
        <v>0</v>
      </c>
      <c r="K630" s="70">
        <f>'RESUMEN TOTAL'!X762</f>
        <v>0</v>
      </c>
      <c r="L630" s="70">
        <f>'RESUMEN TOTAL'!Y762</f>
        <v>0</v>
      </c>
      <c r="M630" s="70">
        <f>'RESUMEN TOTAL'!Z762</f>
        <v>0</v>
      </c>
      <c r="N630" s="70">
        <f>'RESUMEN TOTAL'!AA762</f>
        <v>0</v>
      </c>
      <c r="O630" s="70">
        <f>'RESUMEN TOTAL'!AB762</f>
        <v>0</v>
      </c>
      <c r="P630" s="70">
        <f>'RESUMEN TOTAL'!AC762</f>
        <v>0</v>
      </c>
      <c r="Q630" s="70">
        <f>'RESUMEN TOTAL'!AD762</f>
        <v>0</v>
      </c>
      <c r="R630" s="70">
        <f>'RESUMEN TOTAL'!AE762</f>
        <v>0</v>
      </c>
      <c r="S630" s="70">
        <f>'RESUMEN TOTAL'!AF762</f>
        <v>0</v>
      </c>
      <c r="T630" s="70">
        <f>'RESUMEN TOTAL'!AG762</f>
        <v>0</v>
      </c>
      <c r="U630" s="70">
        <f>'RESUMEN TOTAL'!AH762</f>
        <v>0</v>
      </c>
      <c r="V630" s="70">
        <f>'RESUMEN TOTAL'!AI762</f>
        <v>0</v>
      </c>
      <c r="W630" s="70">
        <f>'RESUMEN TOTAL'!AJ762</f>
        <v>0</v>
      </c>
      <c r="X630" s="70">
        <f>'RESUMEN TOTAL'!AK762</f>
        <v>0</v>
      </c>
      <c r="Y630" s="70">
        <f>'RESUMEN TOTAL'!AL762</f>
        <v>0</v>
      </c>
      <c r="Z630" s="70">
        <f>'RESUMEN TOTAL'!AM762</f>
        <v>0</v>
      </c>
      <c r="AA630" s="70">
        <f>'RESUMEN TOTAL'!AN762</f>
        <v>0</v>
      </c>
      <c r="AB630" s="70">
        <f>'RESUMEN TOTAL'!AO762</f>
        <v>0</v>
      </c>
      <c r="AC630" s="70">
        <f>'RESUMEN TOTAL'!AP762</f>
        <v>0</v>
      </c>
      <c r="AD630" s="70">
        <f>'RESUMEN TOTAL'!AQ762</f>
        <v>0</v>
      </c>
      <c r="AE630" s="70">
        <f>'RESUMEN TOTAL'!AR762</f>
        <v>0</v>
      </c>
      <c r="AF630" s="70">
        <f>'RESUMEN TOTAL'!AS762</f>
        <v>0</v>
      </c>
      <c r="AG630" s="70">
        <f>'RESUMEN TOTAL'!AT762</f>
        <v>0</v>
      </c>
      <c r="AH630" s="70">
        <f>'RESUMEN TOTAL'!AU762</f>
        <v>0</v>
      </c>
      <c r="AI630" s="70">
        <f>'RESUMEN TOTAL'!AV762</f>
        <v>0</v>
      </c>
      <c r="AJ630" s="70" t="e">
        <f>'RESUMEN TOTAL'!#REF!</f>
        <v>#REF!</v>
      </c>
    </row>
    <row r="631" spans="1:36" x14ac:dyDescent="0.25">
      <c r="A631">
        <f>'RESUMEN TOTAL'!F763</f>
        <v>0</v>
      </c>
      <c r="B631">
        <f>'RESUMEN TOTAL'!G763</f>
        <v>0</v>
      </c>
      <c r="C631">
        <f>'RESUMEN TOTAL'!I763</f>
        <v>0</v>
      </c>
      <c r="D631" s="30">
        <f>'RESUMEN TOTAL'!J763</f>
        <v>0</v>
      </c>
      <c r="E631" s="30">
        <f>'RESUMEN TOTAL'!K763</f>
        <v>0</v>
      </c>
      <c r="F631" s="70">
        <f>'RESUMEN TOTAL'!S763</f>
        <v>0</v>
      </c>
      <c r="G631" s="70">
        <f>'RESUMEN TOTAL'!T763</f>
        <v>0</v>
      </c>
      <c r="H631" s="70">
        <f>'RESUMEN TOTAL'!U763</f>
        <v>0</v>
      </c>
      <c r="I631" s="70">
        <f>'RESUMEN TOTAL'!V763</f>
        <v>0</v>
      </c>
      <c r="J631" s="70">
        <f>'RESUMEN TOTAL'!W763</f>
        <v>0</v>
      </c>
      <c r="K631" s="70">
        <f>'RESUMEN TOTAL'!X763</f>
        <v>0</v>
      </c>
      <c r="L631" s="70">
        <f>'RESUMEN TOTAL'!Y763</f>
        <v>0</v>
      </c>
      <c r="M631" s="70">
        <f>'RESUMEN TOTAL'!Z763</f>
        <v>0</v>
      </c>
      <c r="N631" s="70">
        <f>'RESUMEN TOTAL'!AA763</f>
        <v>0</v>
      </c>
      <c r="O631" s="70">
        <f>'RESUMEN TOTAL'!AB763</f>
        <v>0</v>
      </c>
      <c r="P631" s="70">
        <f>'RESUMEN TOTAL'!AC763</f>
        <v>0</v>
      </c>
      <c r="Q631" s="70">
        <f>'RESUMEN TOTAL'!AD763</f>
        <v>0</v>
      </c>
      <c r="R631" s="70">
        <f>'RESUMEN TOTAL'!AE763</f>
        <v>0</v>
      </c>
      <c r="S631" s="70">
        <f>'RESUMEN TOTAL'!AF763</f>
        <v>0</v>
      </c>
      <c r="T631" s="70">
        <f>'RESUMEN TOTAL'!AG763</f>
        <v>0</v>
      </c>
      <c r="U631" s="70">
        <f>'RESUMEN TOTAL'!AH763</f>
        <v>0</v>
      </c>
      <c r="V631" s="70">
        <f>'RESUMEN TOTAL'!AI763</f>
        <v>0</v>
      </c>
      <c r="W631" s="70">
        <f>'RESUMEN TOTAL'!AJ763</f>
        <v>0</v>
      </c>
      <c r="X631" s="70">
        <f>'RESUMEN TOTAL'!AK763</f>
        <v>0</v>
      </c>
      <c r="Y631" s="70">
        <f>'RESUMEN TOTAL'!AL763</f>
        <v>0</v>
      </c>
      <c r="Z631" s="70">
        <f>'RESUMEN TOTAL'!AM763</f>
        <v>0</v>
      </c>
      <c r="AA631" s="70">
        <f>'RESUMEN TOTAL'!AN763</f>
        <v>0</v>
      </c>
      <c r="AB631" s="70">
        <f>'RESUMEN TOTAL'!AO763</f>
        <v>0</v>
      </c>
      <c r="AC631" s="70">
        <f>'RESUMEN TOTAL'!AP763</f>
        <v>0</v>
      </c>
      <c r="AD631" s="70">
        <f>'RESUMEN TOTAL'!AQ763</f>
        <v>0</v>
      </c>
      <c r="AE631" s="70">
        <f>'RESUMEN TOTAL'!AR763</f>
        <v>0</v>
      </c>
      <c r="AF631" s="70">
        <f>'RESUMEN TOTAL'!AS763</f>
        <v>0</v>
      </c>
      <c r="AG631" s="70">
        <f>'RESUMEN TOTAL'!AT763</f>
        <v>0</v>
      </c>
      <c r="AH631" s="70">
        <f>'RESUMEN TOTAL'!AU763</f>
        <v>0</v>
      </c>
      <c r="AI631" s="70">
        <f>'RESUMEN TOTAL'!AV763</f>
        <v>0</v>
      </c>
      <c r="AJ631" s="70" t="e">
        <f>'RESUMEN TOTAL'!#REF!</f>
        <v>#REF!</v>
      </c>
    </row>
    <row r="632" spans="1:36" x14ac:dyDescent="0.25">
      <c r="A632">
        <f>'RESUMEN TOTAL'!F764</f>
        <v>0</v>
      </c>
      <c r="B632">
        <f>'RESUMEN TOTAL'!G764</f>
        <v>0</v>
      </c>
      <c r="C632">
        <f>'RESUMEN TOTAL'!I764</f>
        <v>0</v>
      </c>
      <c r="D632" s="30">
        <f>'RESUMEN TOTAL'!J764</f>
        <v>0</v>
      </c>
      <c r="E632" s="30">
        <f>'RESUMEN TOTAL'!K764</f>
        <v>0</v>
      </c>
      <c r="F632" s="70">
        <f>'RESUMEN TOTAL'!S764</f>
        <v>0</v>
      </c>
      <c r="G632" s="70">
        <f>'RESUMEN TOTAL'!T764</f>
        <v>0</v>
      </c>
      <c r="H632" s="70">
        <f>'RESUMEN TOTAL'!U764</f>
        <v>0</v>
      </c>
      <c r="I632" s="70">
        <f>'RESUMEN TOTAL'!V764</f>
        <v>0</v>
      </c>
      <c r="J632" s="70">
        <f>'RESUMEN TOTAL'!W764</f>
        <v>0</v>
      </c>
      <c r="K632" s="70">
        <f>'RESUMEN TOTAL'!X764</f>
        <v>0</v>
      </c>
      <c r="L632" s="70">
        <f>'RESUMEN TOTAL'!Y764</f>
        <v>0</v>
      </c>
      <c r="M632" s="70">
        <f>'RESUMEN TOTAL'!Z764</f>
        <v>0</v>
      </c>
      <c r="N632" s="70">
        <f>'RESUMEN TOTAL'!AA764</f>
        <v>0</v>
      </c>
      <c r="O632" s="70">
        <f>'RESUMEN TOTAL'!AB764</f>
        <v>0</v>
      </c>
      <c r="P632" s="70">
        <f>'RESUMEN TOTAL'!AC764</f>
        <v>0</v>
      </c>
      <c r="Q632" s="70">
        <f>'RESUMEN TOTAL'!AD764</f>
        <v>0</v>
      </c>
      <c r="R632" s="70">
        <f>'RESUMEN TOTAL'!AE764</f>
        <v>0</v>
      </c>
      <c r="S632" s="70">
        <f>'RESUMEN TOTAL'!AF764</f>
        <v>0</v>
      </c>
      <c r="T632" s="70">
        <f>'RESUMEN TOTAL'!AG764</f>
        <v>0</v>
      </c>
      <c r="U632" s="70">
        <f>'RESUMEN TOTAL'!AH764</f>
        <v>0</v>
      </c>
      <c r="V632" s="70">
        <f>'RESUMEN TOTAL'!AI764</f>
        <v>0</v>
      </c>
      <c r="W632" s="70">
        <f>'RESUMEN TOTAL'!AJ764</f>
        <v>0</v>
      </c>
      <c r="X632" s="70">
        <f>'RESUMEN TOTAL'!AK764</f>
        <v>0</v>
      </c>
      <c r="Y632" s="70">
        <f>'RESUMEN TOTAL'!AL764</f>
        <v>0</v>
      </c>
      <c r="Z632" s="70">
        <f>'RESUMEN TOTAL'!AM764</f>
        <v>0</v>
      </c>
      <c r="AA632" s="70">
        <f>'RESUMEN TOTAL'!AN764</f>
        <v>0</v>
      </c>
      <c r="AB632" s="70">
        <f>'RESUMEN TOTAL'!AO764</f>
        <v>0</v>
      </c>
      <c r="AC632" s="70">
        <f>'RESUMEN TOTAL'!AP764</f>
        <v>0</v>
      </c>
      <c r="AD632" s="70">
        <f>'RESUMEN TOTAL'!AQ764</f>
        <v>0</v>
      </c>
      <c r="AE632" s="70">
        <f>'RESUMEN TOTAL'!AR764</f>
        <v>0</v>
      </c>
      <c r="AF632" s="70">
        <f>'RESUMEN TOTAL'!AS764</f>
        <v>0</v>
      </c>
      <c r="AG632" s="70">
        <f>'RESUMEN TOTAL'!AT764</f>
        <v>0</v>
      </c>
      <c r="AH632" s="70">
        <f>'RESUMEN TOTAL'!AU764</f>
        <v>0</v>
      </c>
      <c r="AI632" s="70">
        <f>'RESUMEN TOTAL'!AV764</f>
        <v>0</v>
      </c>
      <c r="AJ632" s="70" t="e">
        <f>'RESUMEN TOTAL'!#REF!</f>
        <v>#REF!</v>
      </c>
    </row>
    <row r="633" spans="1:36" x14ac:dyDescent="0.25">
      <c r="A633">
        <f>'RESUMEN TOTAL'!F765</f>
        <v>0</v>
      </c>
      <c r="B633">
        <f>'RESUMEN TOTAL'!G765</f>
        <v>0</v>
      </c>
      <c r="C633">
        <f>'RESUMEN TOTAL'!I765</f>
        <v>0</v>
      </c>
      <c r="D633" s="30">
        <f>'RESUMEN TOTAL'!J765</f>
        <v>0</v>
      </c>
      <c r="E633" s="30">
        <f>'RESUMEN TOTAL'!K765</f>
        <v>0</v>
      </c>
      <c r="F633" s="70">
        <f>'RESUMEN TOTAL'!S765</f>
        <v>0</v>
      </c>
      <c r="G633" s="70">
        <f>'RESUMEN TOTAL'!T765</f>
        <v>0</v>
      </c>
      <c r="H633" s="70">
        <f>'RESUMEN TOTAL'!U765</f>
        <v>0</v>
      </c>
      <c r="I633" s="70">
        <f>'RESUMEN TOTAL'!V765</f>
        <v>0</v>
      </c>
      <c r="J633" s="70">
        <f>'RESUMEN TOTAL'!W765</f>
        <v>0</v>
      </c>
      <c r="K633" s="70">
        <f>'RESUMEN TOTAL'!X765</f>
        <v>0</v>
      </c>
      <c r="L633" s="70">
        <f>'RESUMEN TOTAL'!Y765</f>
        <v>0</v>
      </c>
      <c r="M633" s="70">
        <f>'RESUMEN TOTAL'!Z765</f>
        <v>0</v>
      </c>
      <c r="N633" s="70">
        <f>'RESUMEN TOTAL'!AA765</f>
        <v>0</v>
      </c>
      <c r="O633" s="70">
        <f>'RESUMEN TOTAL'!AB765</f>
        <v>0</v>
      </c>
      <c r="P633" s="70">
        <f>'RESUMEN TOTAL'!AC765</f>
        <v>0</v>
      </c>
      <c r="Q633" s="70">
        <f>'RESUMEN TOTAL'!AD765</f>
        <v>0</v>
      </c>
      <c r="R633" s="70">
        <f>'RESUMEN TOTAL'!AE765</f>
        <v>0</v>
      </c>
      <c r="S633" s="70">
        <f>'RESUMEN TOTAL'!AF765</f>
        <v>0</v>
      </c>
      <c r="T633" s="70">
        <f>'RESUMEN TOTAL'!AG765</f>
        <v>0</v>
      </c>
      <c r="U633" s="70">
        <f>'RESUMEN TOTAL'!AH765</f>
        <v>0</v>
      </c>
      <c r="V633" s="70">
        <f>'RESUMEN TOTAL'!AI765</f>
        <v>0</v>
      </c>
      <c r="W633" s="70">
        <f>'RESUMEN TOTAL'!AJ765</f>
        <v>0</v>
      </c>
      <c r="X633" s="70">
        <f>'RESUMEN TOTAL'!AK765</f>
        <v>0</v>
      </c>
      <c r="Y633" s="70">
        <f>'RESUMEN TOTAL'!AL765</f>
        <v>0</v>
      </c>
      <c r="Z633" s="70">
        <f>'RESUMEN TOTAL'!AM765</f>
        <v>0</v>
      </c>
      <c r="AA633" s="70">
        <f>'RESUMEN TOTAL'!AN765</f>
        <v>0</v>
      </c>
      <c r="AB633" s="70">
        <f>'RESUMEN TOTAL'!AO765</f>
        <v>0</v>
      </c>
      <c r="AC633" s="70">
        <f>'RESUMEN TOTAL'!AP765</f>
        <v>0</v>
      </c>
      <c r="AD633" s="70">
        <f>'RESUMEN TOTAL'!AQ765</f>
        <v>0</v>
      </c>
      <c r="AE633" s="70">
        <f>'RESUMEN TOTAL'!AR765</f>
        <v>0</v>
      </c>
      <c r="AF633" s="70">
        <f>'RESUMEN TOTAL'!AS765</f>
        <v>0</v>
      </c>
      <c r="AG633" s="70">
        <f>'RESUMEN TOTAL'!AT765</f>
        <v>0</v>
      </c>
      <c r="AH633" s="70">
        <f>'RESUMEN TOTAL'!AU765</f>
        <v>0</v>
      </c>
      <c r="AI633" s="70">
        <f>'RESUMEN TOTAL'!AV765</f>
        <v>0</v>
      </c>
      <c r="AJ633" s="70" t="e">
        <f>'RESUMEN TOTAL'!#REF!</f>
        <v>#REF!</v>
      </c>
    </row>
    <row r="634" spans="1:36" x14ac:dyDescent="0.25">
      <c r="A634">
        <f>'RESUMEN TOTAL'!F766</f>
        <v>0</v>
      </c>
      <c r="B634">
        <f>'RESUMEN TOTAL'!G766</f>
        <v>0</v>
      </c>
      <c r="C634">
        <f>'RESUMEN TOTAL'!I766</f>
        <v>0</v>
      </c>
      <c r="D634" s="30">
        <f>'RESUMEN TOTAL'!J766</f>
        <v>0</v>
      </c>
      <c r="E634" s="30">
        <f>'RESUMEN TOTAL'!K766</f>
        <v>0</v>
      </c>
      <c r="F634" s="70">
        <f>'RESUMEN TOTAL'!S766</f>
        <v>0</v>
      </c>
      <c r="G634" s="70">
        <f>'RESUMEN TOTAL'!T766</f>
        <v>0</v>
      </c>
      <c r="H634" s="70">
        <f>'RESUMEN TOTAL'!U766</f>
        <v>0</v>
      </c>
      <c r="I634" s="70">
        <f>'RESUMEN TOTAL'!V766</f>
        <v>0</v>
      </c>
      <c r="J634" s="70">
        <f>'RESUMEN TOTAL'!W766</f>
        <v>0</v>
      </c>
      <c r="K634" s="70">
        <f>'RESUMEN TOTAL'!X766</f>
        <v>0</v>
      </c>
      <c r="L634" s="70">
        <f>'RESUMEN TOTAL'!Y766</f>
        <v>0</v>
      </c>
      <c r="M634" s="70">
        <f>'RESUMEN TOTAL'!Z766</f>
        <v>0</v>
      </c>
      <c r="N634" s="70">
        <f>'RESUMEN TOTAL'!AA766</f>
        <v>0</v>
      </c>
      <c r="O634" s="70">
        <f>'RESUMEN TOTAL'!AB766</f>
        <v>0</v>
      </c>
      <c r="P634" s="70">
        <f>'RESUMEN TOTAL'!AC766</f>
        <v>0</v>
      </c>
      <c r="Q634" s="70">
        <f>'RESUMEN TOTAL'!AD766</f>
        <v>0</v>
      </c>
      <c r="R634" s="70">
        <f>'RESUMEN TOTAL'!AE766</f>
        <v>0</v>
      </c>
      <c r="S634" s="70">
        <f>'RESUMEN TOTAL'!AF766</f>
        <v>0</v>
      </c>
      <c r="T634" s="70">
        <f>'RESUMEN TOTAL'!AG766</f>
        <v>0</v>
      </c>
      <c r="U634" s="70">
        <f>'RESUMEN TOTAL'!AH766</f>
        <v>0</v>
      </c>
      <c r="V634" s="70">
        <f>'RESUMEN TOTAL'!AI766</f>
        <v>0</v>
      </c>
      <c r="W634" s="70">
        <f>'RESUMEN TOTAL'!AJ766</f>
        <v>0</v>
      </c>
      <c r="X634" s="70">
        <f>'RESUMEN TOTAL'!AK766</f>
        <v>0</v>
      </c>
      <c r="Y634" s="70">
        <f>'RESUMEN TOTAL'!AL766</f>
        <v>0</v>
      </c>
      <c r="Z634" s="70">
        <f>'RESUMEN TOTAL'!AM766</f>
        <v>0</v>
      </c>
      <c r="AA634" s="70">
        <f>'RESUMEN TOTAL'!AN766</f>
        <v>0</v>
      </c>
      <c r="AB634" s="70">
        <f>'RESUMEN TOTAL'!AO766</f>
        <v>0</v>
      </c>
      <c r="AC634" s="70">
        <f>'RESUMEN TOTAL'!AP766</f>
        <v>0</v>
      </c>
      <c r="AD634" s="70">
        <f>'RESUMEN TOTAL'!AQ766</f>
        <v>0</v>
      </c>
      <c r="AE634" s="70">
        <f>'RESUMEN TOTAL'!AR766</f>
        <v>0</v>
      </c>
      <c r="AF634" s="70">
        <f>'RESUMEN TOTAL'!AS766</f>
        <v>0</v>
      </c>
      <c r="AG634" s="70">
        <f>'RESUMEN TOTAL'!AT766</f>
        <v>0</v>
      </c>
      <c r="AH634" s="70">
        <f>'RESUMEN TOTAL'!AU766</f>
        <v>0</v>
      </c>
      <c r="AI634" s="70">
        <f>'RESUMEN TOTAL'!AV766</f>
        <v>0</v>
      </c>
      <c r="AJ634" s="70" t="e">
        <f>'RESUMEN TOTAL'!#REF!</f>
        <v>#REF!</v>
      </c>
    </row>
    <row r="635" spans="1:36" x14ac:dyDescent="0.25">
      <c r="A635">
        <f>'RESUMEN TOTAL'!F767</f>
        <v>0</v>
      </c>
      <c r="B635">
        <f>'RESUMEN TOTAL'!G767</f>
        <v>0</v>
      </c>
      <c r="C635">
        <f>'RESUMEN TOTAL'!I767</f>
        <v>0</v>
      </c>
      <c r="D635" s="30">
        <f>'RESUMEN TOTAL'!J767</f>
        <v>0</v>
      </c>
      <c r="E635" s="30">
        <f>'RESUMEN TOTAL'!K767</f>
        <v>0</v>
      </c>
      <c r="F635" s="70">
        <f>'RESUMEN TOTAL'!S767</f>
        <v>0</v>
      </c>
      <c r="G635" s="70">
        <f>'RESUMEN TOTAL'!T767</f>
        <v>0</v>
      </c>
      <c r="H635" s="70">
        <f>'RESUMEN TOTAL'!U767</f>
        <v>0</v>
      </c>
      <c r="I635" s="70">
        <f>'RESUMEN TOTAL'!V767</f>
        <v>0</v>
      </c>
      <c r="J635" s="70">
        <f>'RESUMEN TOTAL'!W767</f>
        <v>0</v>
      </c>
      <c r="K635" s="70">
        <f>'RESUMEN TOTAL'!X767</f>
        <v>0</v>
      </c>
      <c r="L635" s="70">
        <f>'RESUMEN TOTAL'!Y767</f>
        <v>0</v>
      </c>
      <c r="M635" s="70">
        <f>'RESUMEN TOTAL'!Z767</f>
        <v>0</v>
      </c>
      <c r="N635" s="70">
        <f>'RESUMEN TOTAL'!AA767</f>
        <v>0</v>
      </c>
      <c r="O635" s="70">
        <f>'RESUMEN TOTAL'!AB767</f>
        <v>0</v>
      </c>
      <c r="P635" s="70">
        <f>'RESUMEN TOTAL'!AC767</f>
        <v>0</v>
      </c>
      <c r="Q635" s="70">
        <f>'RESUMEN TOTAL'!AD767</f>
        <v>0</v>
      </c>
      <c r="R635" s="70">
        <f>'RESUMEN TOTAL'!AE767</f>
        <v>0</v>
      </c>
      <c r="S635" s="70">
        <f>'RESUMEN TOTAL'!AF767</f>
        <v>0</v>
      </c>
      <c r="T635" s="70">
        <f>'RESUMEN TOTAL'!AG767</f>
        <v>0</v>
      </c>
      <c r="U635" s="70">
        <f>'RESUMEN TOTAL'!AH767</f>
        <v>0</v>
      </c>
      <c r="V635" s="70">
        <f>'RESUMEN TOTAL'!AI767</f>
        <v>0</v>
      </c>
      <c r="W635" s="70">
        <f>'RESUMEN TOTAL'!AJ767</f>
        <v>0</v>
      </c>
      <c r="X635" s="70">
        <f>'RESUMEN TOTAL'!AK767</f>
        <v>0</v>
      </c>
      <c r="Y635" s="70">
        <f>'RESUMEN TOTAL'!AL767</f>
        <v>0</v>
      </c>
      <c r="Z635" s="70">
        <f>'RESUMEN TOTAL'!AM767</f>
        <v>0</v>
      </c>
      <c r="AA635" s="70">
        <f>'RESUMEN TOTAL'!AN767</f>
        <v>0</v>
      </c>
      <c r="AB635" s="70">
        <f>'RESUMEN TOTAL'!AO767</f>
        <v>0</v>
      </c>
      <c r="AC635" s="70">
        <f>'RESUMEN TOTAL'!AP767</f>
        <v>0</v>
      </c>
      <c r="AD635" s="70">
        <f>'RESUMEN TOTAL'!AQ767</f>
        <v>0</v>
      </c>
      <c r="AE635" s="70">
        <f>'RESUMEN TOTAL'!AR767</f>
        <v>0</v>
      </c>
      <c r="AF635" s="70">
        <f>'RESUMEN TOTAL'!AS767</f>
        <v>0</v>
      </c>
      <c r="AG635" s="70">
        <f>'RESUMEN TOTAL'!AT767</f>
        <v>0</v>
      </c>
      <c r="AH635" s="70">
        <f>'RESUMEN TOTAL'!AU767</f>
        <v>0</v>
      </c>
      <c r="AI635" s="70">
        <f>'RESUMEN TOTAL'!AV767</f>
        <v>0</v>
      </c>
      <c r="AJ635" s="70" t="e">
        <f>'RESUMEN TOTAL'!#REF!</f>
        <v>#REF!</v>
      </c>
    </row>
    <row r="636" spans="1:36" x14ac:dyDescent="0.25">
      <c r="A636">
        <f>'RESUMEN TOTAL'!F768</f>
        <v>0</v>
      </c>
      <c r="B636">
        <f>'RESUMEN TOTAL'!G768</f>
        <v>0</v>
      </c>
      <c r="C636">
        <f>'RESUMEN TOTAL'!I768</f>
        <v>0</v>
      </c>
      <c r="D636" s="30">
        <f>'RESUMEN TOTAL'!J768</f>
        <v>0</v>
      </c>
      <c r="E636" s="30">
        <f>'RESUMEN TOTAL'!K768</f>
        <v>0</v>
      </c>
      <c r="F636" s="70">
        <f>'RESUMEN TOTAL'!S768</f>
        <v>0</v>
      </c>
      <c r="G636" s="70">
        <f>'RESUMEN TOTAL'!T768</f>
        <v>0</v>
      </c>
      <c r="H636" s="70">
        <f>'RESUMEN TOTAL'!U768</f>
        <v>0</v>
      </c>
      <c r="I636" s="70">
        <f>'RESUMEN TOTAL'!V768</f>
        <v>0</v>
      </c>
      <c r="J636" s="70">
        <f>'RESUMEN TOTAL'!W768</f>
        <v>0</v>
      </c>
      <c r="K636" s="70">
        <f>'RESUMEN TOTAL'!X768</f>
        <v>0</v>
      </c>
      <c r="L636" s="70">
        <f>'RESUMEN TOTAL'!Y768</f>
        <v>0</v>
      </c>
      <c r="M636" s="70">
        <f>'RESUMEN TOTAL'!Z768</f>
        <v>0</v>
      </c>
      <c r="N636" s="70">
        <f>'RESUMEN TOTAL'!AA768</f>
        <v>0</v>
      </c>
      <c r="O636" s="70">
        <f>'RESUMEN TOTAL'!AB768</f>
        <v>0</v>
      </c>
      <c r="P636" s="70">
        <f>'RESUMEN TOTAL'!AC768</f>
        <v>0</v>
      </c>
      <c r="Q636" s="70">
        <f>'RESUMEN TOTAL'!AD768</f>
        <v>0</v>
      </c>
      <c r="R636" s="70">
        <f>'RESUMEN TOTAL'!AE768</f>
        <v>0</v>
      </c>
      <c r="S636" s="70">
        <f>'RESUMEN TOTAL'!AF768</f>
        <v>0</v>
      </c>
      <c r="T636" s="70">
        <f>'RESUMEN TOTAL'!AG768</f>
        <v>0</v>
      </c>
      <c r="U636" s="70">
        <f>'RESUMEN TOTAL'!AH768</f>
        <v>0</v>
      </c>
      <c r="V636" s="70">
        <f>'RESUMEN TOTAL'!AI768</f>
        <v>0</v>
      </c>
      <c r="W636" s="70">
        <f>'RESUMEN TOTAL'!AJ768</f>
        <v>0</v>
      </c>
      <c r="X636" s="70">
        <f>'RESUMEN TOTAL'!AK768</f>
        <v>0</v>
      </c>
      <c r="Y636" s="70">
        <f>'RESUMEN TOTAL'!AL768</f>
        <v>0</v>
      </c>
      <c r="Z636" s="70">
        <f>'RESUMEN TOTAL'!AM768</f>
        <v>0</v>
      </c>
      <c r="AA636" s="70">
        <f>'RESUMEN TOTAL'!AN768</f>
        <v>0</v>
      </c>
      <c r="AB636" s="70">
        <f>'RESUMEN TOTAL'!AO768</f>
        <v>0</v>
      </c>
      <c r="AC636" s="70">
        <f>'RESUMEN TOTAL'!AP768</f>
        <v>0</v>
      </c>
      <c r="AD636" s="70">
        <f>'RESUMEN TOTAL'!AQ768</f>
        <v>0</v>
      </c>
      <c r="AE636" s="70">
        <f>'RESUMEN TOTAL'!AR768</f>
        <v>0</v>
      </c>
      <c r="AF636" s="70">
        <f>'RESUMEN TOTAL'!AS768</f>
        <v>0</v>
      </c>
      <c r="AG636" s="70">
        <f>'RESUMEN TOTAL'!AT768</f>
        <v>0</v>
      </c>
      <c r="AH636" s="70">
        <f>'RESUMEN TOTAL'!AU768</f>
        <v>0</v>
      </c>
      <c r="AI636" s="70">
        <f>'RESUMEN TOTAL'!AV768</f>
        <v>0</v>
      </c>
      <c r="AJ636" s="70" t="e">
        <f>'RESUMEN TOTAL'!#REF!</f>
        <v>#REF!</v>
      </c>
    </row>
    <row r="637" spans="1:36" x14ac:dyDescent="0.25">
      <c r="A637">
        <f>'RESUMEN TOTAL'!F769</f>
        <v>0</v>
      </c>
      <c r="B637">
        <f>'RESUMEN TOTAL'!G769</f>
        <v>0</v>
      </c>
      <c r="C637">
        <f>'RESUMEN TOTAL'!I769</f>
        <v>0</v>
      </c>
      <c r="D637" s="30">
        <f>'RESUMEN TOTAL'!J769</f>
        <v>0</v>
      </c>
      <c r="E637" s="30">
        <f>'RESUMEN TOTAL'!K769</f>
        <v>0</v>
      </c>
      <c r="F637" s="70">
        <f>'RESUMEN TOTAL'!S769</f>
        <v>0</v>
      </c>
      <c r="G637" s="70">
        <f>'RESUMEN TOTAL'!T769</f>
        <v>0</v>
      </c>
      <c r="H637" s="70">
        <f>'RESUMEN TOTAL'!U769</f>
        <v>0</v>
      </c>
      <c r="I637" s="70">
        <f>'RESUMEN TOTAL'!V769</f>
        <v>0</v>
      </c>
      <c r="J637" s="70">
        <f>'RESUMEN TOTAL'!W769</f>
        <v>0</v>
      </c>
      <c r="K637" s="70">
        <f>'RESUMEN TOTAL'!X769</f>
        <v>0</v>
      </c>
      <c r="L637" s="70">
        <f>'RESUMEN TOTAL'!Y769</f>
        <v>0</v>
      </c>
      <c r="M637" s="70">
        <f>'RESUMEN TOTAL'!Z769</f>
        <v>0</v>
      </c>
      <c r="N637" s="70">
        <f>'RESUMEN TOTAL'!AA769</f>
        <v>0</v>
      </c>
      <c r="O637" s="70">
        <f>'RESUMEN TOTAL'!AB769</f>
        <v>0</v>
      </c>
      <c r="P637" s="70">
        <f>'RESUMEN TOTAL'!AC769</f>
        <v>0</v>
      </c>
      <c r="Q637" s="70">
        <f>'RESUMEN TOTAL'!AD769</f>
        <v>0</v>
      </c>
      <c r="R637" s="70">
        <f>'RESUMEN TOTAL'!AE769</f>
        <v>0</v>
      </c>
      <c r="S637" s="70">
        <f>'RESUMEN TOTAL'!AF769</f>
        <v>0</v>
      </c>
      <c r="T637" s="70">
        <f>'RESUMEN TOTAL'!AG769</f>
        <v>0</v>
      </c>
      <c r="U637" s="70">
        <f>'RESUMEN TOTAL'!AH769</f>
        <v>0</v>
      </c>
      <c r="V637" s="70">
        <f>'RESUMEN TOTAL'!AI769</f>
        <v>0</v>
      </c>
      <c r="W637" s="70">
        <f>'RESUMEN TOTAL'!AJ769</f>
        <v>0</v>
      </c>
      <c r="X637" s="70">
        <f>'RESUMEN TOTAL'!AK769</f>
        <v>0</v>
      </c>
      <c r="Y637" s="70">
        <f>'RESUMEN TOTAL'!AL769</f>
        <v>0</v>
      </c>
      <c r="Z637" s="70">
        <f>'RESUMEN TOTAL'!AM769</f>
        <v>0</v>
      </c>
      <c r="AA637" s="70">
        <f>'RESUMEN TOTAL'!AN769</f>
        <v>0</v>
      </c>
      <c r="AB637" s="70">
        <f>'RESUMEN TOTAL'!AO769</f>
        <v>0</v>
      </c>
      <c r="AC637" s="70">
        <f>'RESUMEN TOTAL'!AP769</f>
        <v>0</v>
      </c>
      <c r="AD637" s="70">
        <f>'RESUMEN TOTAL'!AQ769</f>
        <v>0</v>
      </c>
      <c r="AE637" s="70">
        <f>'RESUMEN TOTAL'!AR769</f>
        <v>0</v>
      </c>
      <c r="AF637" s="70">
        <f>'RESUMEN TOTAL'!AS769</f>
        <v>0</v>
      </c>
      <c r="AG637" s="70">
        <f>'RESUMEN TOTAL'!AT769</f>
        <v>0</v>
      </c>
      <c r="AH637" s="70">
        <f>'RESUMEN TOTAL'!AU769</f>
        <v>0</v>
      </c>
      <c r="AI637" s="70">
        <f>'RESUMEN TOTAL'!AV769</f>
        <v>0</v>
      </c>
      <c r="AJ637" s="70" t="e">
        <f>'RESUMEN TOTAL'!#REF!</f>
        <v>#REF!</v>
      </c>
    </row>
    <row r="638" spans="1:36" x14ac:dyDescent="0.25">
      <c r="A638">
        <f>'RESUMEN TOTAL'!F770</f>
        <v>0</v>
      </c>
      <c r="B638">
        <f>'RESUMEN TOTAL'!G770</f>
        <v>0</v>
      </c>
      <c r="C638">
        <f>'RESUMEN TOTAL'!I770</f>
        <v>0</v>
      </c>
      <c r="D638" s="30">
        <f>'RESUMEN TOTAL'!J770</f>
        <v>0</v>
      </c>
      <c r="E638" s="30">
        <f>'RESUMEN TOTAL'!K770</f>
        <v>0</v>
      </c>
      <c r="F638" s="70">
        <f>'RESUMEN TOTAL'!S770</f>
        <v>0</v>
      </c>
      <c r="G638" s="70">
        <f>'RESUMEN TOTAL'!T770</f>
        <v>0</v>
      </c>
      <c r="H638" s="70">
        <f>'RESUMEN TOTAL'!U770</f>
        <v>0</v>
      </c>
      <c r="I638" s="70">
        <f>'RESUMEN TOTAL'!V770</f>
        <v>0</v>
      </c>
      <c r="J638" s="70">
        <f>'RESUMEN TOTAL'!W770</f>
        <v>0</v>
      </c>
      <c r="K638" s="70">
        <f>'RESUMEN TOTAL'!X770</f>
        <v>0</v>
      </c>
      <c r="L638" s="70">
        <f>'RESUMEN TOTAL'!Y770</f>
        <v>0</v>
      </c>
      <c r="M638" s="70">
        <f>'RESUMEN TOTAL'!Z770</f>
        <v>0</v>
      </c>
      <c r="N638" s="70">
        <f>'RESUMEN TOTAL'!AA770</f>
        <v>0</v>
      </c>
      <c r="O638" s="70">
        <f>'RESUMEN TOTAL'!AB770</f>
        <v>0</v>
      </c>
      <c r="P638" s="70">
        <f>'RESUMEN TOTAL'!AC770</f>
        <v>0</v>
      </c>
      <c r="Q638" s="70">
        <f>'RESUMEN TOTAL'!AD770</f>
        <v>0</v>
      </c>
      <c r="R638" s="70">
        <f>'RESUMEN TOTAL'!AE770</f>
        <v>0</v>
      </c>
      <c r="S638" s="70">
        <f>'RESUMEN TOTAL'!AF770</f>
        <v>0</v>
      </c>
      <c r="T638" s="70">
        <f>'RESUMEN TOTAL'!AG770</f>
        <v>0</v>
      </c>
      <c r="U638" s="70">
        <f>'RESUMEN TOTAL'!AH770</f>
        <v>0</v>
      </c>
      <c r="V638" s="70">
        <f>'RESUMEN TOTAL'!AI770</f>
        <v>0</v>
      </c>
      <c r="W638" s="70">
        <f>'RESUMEN TOTAL'!AJ770</f>
        <v>0</v>
      </c>
      <c r="X638" s="70">
        <f>'RESUMEN TOTAL'!AK770</f>
        <v>0</v>
      </c>
      <c r="Y638" s="70">
        <f>'RESUMEN TOTAL'!AL770</f>
        <v>0</v>
      </c>
      <c r="Z638" s="70">
        <f>'RESUMEN TOTAL'!AM770</f>
        <v>0</v>
      </c>
      <c r="AA638" s="70">
        <f>'RESUMEN TOTAL'!AN770</f>
        <v>0</v>
      </c>
      <c r="AB638" s="70">
        <f>'RESUMEN TOTAL'!AO770</f>
        <v>0</v>
      </c>
      <c r="AC638" s="70">
        <f>'RESUMEN TOTAL'!AP770</f>
        <v>0</v>
      </c>
      <c r="AD638" s="70">
        <f>'RESUMEN TOTAL'!AQ770</f>
        <v>0</v>
      </c>
      <c r="AE638" s="70">
        <f>'RESUMEN TOTAL'!AR770</f>
        <v>0</v>
      </c>
      <c r="AF638" s="70">
        <f>'RESUMEN TOTAL'!AS770</f>
        <v>0</v>
      </c>
      <c r="AG638" s="70">
        <f>'RESUMEN TOTAL'!AT770</f>
        <v>0</v>
      </c>
      <c r="AH638" s="70">
        <f>'RESUMEN TOTAL'!AU770</f>
        <v>0</v>
      </c>
      <c r="AI638" s="70">
        <f>'RESUMEN TOTAL'!AV770</f>
        <v>0</v>
      </c>
      <c r="AJ638" s="70" t="e">
        <f>'RESUMEN TOTAL'!#REF!</f>
        <v>#REF!</v>
      </c>
    </row>
    <row r="639" spans="1:36" x14ac:dyDescent="0.25">
      <c r="A639">
        <f>'RESUMEN TOTAL'!F771</f>
        <v>0</v>
      </c>
      <c r="B639">
        <f>'RESUMEN TOTAL'!G771</f>
        <v>0</v>
      </c>
      <c r="C639">
        <f>'RESUMEN TOTAL'!I771</f>
        <v>0</v>
      </c>
      <c r="D639" s="30">
        <f>'RESUMEN TOTAL'!J771</f>
        <v>0</v>
      </c>
      <c r="E639" s="30">
        <f>'RESUMEN TOTAL'!K771</f>
        <v>0</v>
      </c>
      <c r="F639" s="70">
        <f>'RESUMEN TOTAL'!S771</f>
        <v>0</v>
      </c>
      <c r="G639" s="70">
        <f>'RESUMEN TOTAL'!T771</f>
        <v>0</v>
      </c>
      <c r="H639" s="70">
        <f>'RESUMEN TOTAL'!U771</f>
        <v>0</v>
      </c>
      <c r="I639" s="70">
        <f>'RESUMEN TOTAL'!V771</f>
        <v>0</v>
      </c>
      <c r="J639" s="70">
        <f>'RESUMEN TOTAL'!W771</f>
        <v>0</v>
      </c>
      <c r="K639" s="70">
        <f>'RESUMEN TOTAL'!X771</f>
        <v>0</v>
      </c>
      <c r="L639" s="70">
        <f>'RESUMEN TOTAL'!Y771</f>
        <v>0</v>
      </c>
      <c r="M639" s="70">
        <f>'RESUMEN TOTAL'!Z771</f>
        <v>0</v>
      </c>
      <c r="N639" s="70">
        <f>'RESUMEN TOTAL'!AA771</f>
        <v>0</v>
      </c>
      <c r="O639" s="70">
        <f>'RESUMEN TOTAL'!AB771</f>
        <v>0</v>
      </c>
      <c r="P639" s="70">
        <f>'RESUMEN TOTAL'!AC771</f>
        <v>0</v>
      </c>
      <c r="Q639" s="70">
        <f>'RESUMEN TOTAL'!AD771</f>
        <v>0</v>
      </c>
      <c r="R639" s="70">
        <f>'RESUMEN TOTAL'!AE771</f>
        <v>0</v>
      </c>
      <c r="S639" s="70">
        <f>'RESUMEN TOTAL'!AF771</f>
        <v>0</v>
      </c>
      <c r="T639" s="70">
        <f>'RESUMEN TOTAL'!AG771</f>
        <v>0</v>
      </c>
      <c r="U639" s="70">
        <f>'RESUMEN TOTAL'!AH771</f>
        <v>0</v>
      </c>
      <c r="V639" s="70">
        <f>'RESUMEN TOTAL'!AI771</f>
        <v>0</v>
      </c>
      <c r="W639" s="70">
        <f>'RESUMEN TOTAL'!AJ771</f>
        <v>0</v>
      </c>
      <c r="X639" s="70">
        <f>'RESUMEN TOTAL'!AK771</f>
        <v>0</v>
      </c>
      <c r="Y639" s="70">
        <f>'RESUMEN TOTAL'!AL771</f>
        <v>0</v>
      </c>
      <c r="Z639" s="70">
        <f>'RESUMEN TOTAL'!AM771</f>
        <v>0</v>
      </c>
      <c r="AA639" s="70">
        <f>'RESUMEN TOTAL'!AN771</f>
        <v>0</v>
      </c>
      <c r="AB639" s="70">
        <f>'RESUMEN TOTAL'!AO771</f>
        <v>0</v>
      </c>
      <c r="AC639" s="70">
        <f>'RESUMEN TOTAL'!AP771</f>
        <v>0</v>
      </c>
      <c r="AD639" s="70">
        <f>'RESUMEN TOTAL'!AQ771</f>
        <v>0</v>
      </c>
      <c r="AE639" s="70">
        <f>'RESUMEN TOTAL'!AR771</f>
        <v>0</v>
      </c>
      <c r="AF639" s="70">
        <f>'RESUMEN TOTAL'!AS771</f>
        <v>0</v>
      </c>
      <c r="AG639" s="70">
        <f>'RESUMEN TOTAL'!AT771</f>
        <v>0</v>
      </c>
      <c r="AH639" s="70">
        <f>'RESUMEN TOTAL'!AU771</f>
        <v>0</v>
      </c>
      <c r="AI639" s="70">
        <f>'RESUMEN TOTAL'!AV771</f>
        <v>0</v>
      </c>
      <c r="AJ639" s="70" t="e">
        <f>'RESUMEN TOTAL'!#REF!</f>
        <v>#REF!</v>
      </c>
    </row>
    <row r="640" spans="1:36" x14ac:dyDescent="0.25">
      <c r="A640">
        <f>'RESUMEN TOTAL'!F772</f>
        <v>0</v>
      </c>
      <c r="B640">
        <f>'RESUMEN TOTAL'!G772</f>
        <v>0</v>
      </c>
      <c r="C640">
        <f>'RESUMEN TOTAL'!I772</f>
        <v>0</v>
      </c>
      <c r="D640" s="30">
        <f>'RESUMEN TOTAL'!J772</f>
        <v>0</v>
      </c>
      <c r="E640" s="30">
        <f>'RESUMEN TOTAL'!K772</f>
        <v>0</v>
      </c>
      <c r="F640" s="70">
        <f>'RESUMEN TOTAL'!S772</f>
        <v>0</v>
      </c>
      <c r="G640" s="70">
        <f>'RESUMEN TOTAL'!T772</f>
        <v>0</v>
      </c>
      <c r="H640" s="70">
        <f>'RESUMEN TOTAL'!U772</f>
        <v>0</v>
      </c>
      <c r="I640" s="70">
        <f>'RESUMEN TOTAL'!V772</f>
        <v>0</v>
      </c>
      <c r="J640" s="70">
        <f>'RESUMEN TOTAL'!W772</f>
        <v>0</v>
      </c>
      <c r="K640" s="70">
        <f>'RESUMEN TOTAL'!X772</f>
        <v>0</v>
      </c>
      <c r="L640" s="70">
        <f>'RESUMEN TOTAL'!Y772</f>
        <v>0</v>
      </c>
      <c r="M640" s="70">
        <f>'RESUMEN TOTAL'!Z772</f>
        <v>0</v>
      </c>
      <c r="N640" s="70">
        <f>'RESUMEN TOTAL'!AA772</f>
        <v>0</v>
      </c>
      <c r="O640" s="70">
        <f>'RESUMEN TOTAL'!AB772</f>
        <v>0</v>
      </c>
      <c r="P640" s="70">
        <f>'RESUMEN TOTAL'!AC772</f>
        <v>0</v>
      </c>
      <c r="Q640" s="70">
        <f>'RESUMEN TOTAL'!AD772</f>
        <v>0</v>
      </c>
      <c r="R640" s="70">
        <f>'RESUMEN TOTAL'!AE772</f>
        <v>0</v>
      </c>
      <c r="S640" s="70">
        <f>'RESUMEN TOTAL'!AF772</f>
        <v>0</v>
      </c>
      <c r="T640" s="70">
        <f>'RESUMEN TOTAL'!AG772</f>
        <v>0</v>
      </c>
      <c r="U640" s="70">
        <f>'RESUMEN TOTAL'!AH772</f>
        <v>0</v>
      </c>
      <c r="V640" s="70">
        <f>'RESUMEN TOTAL'!AI772</f>
        <v>0</v>
      </c>
      <c r="W640" s="70">
        <f>'RESUMEN TOTAL'!AJ772</f>
        <v>0</v>
      </c>
      <c r="X640" s="70">
        <f>'RESUMEN TOTAL'!AK772</f>
        <v>0</v>
      </c>
      <c r="Y640" s="70">
        <f>'RESUMEN TOTAL'!AL772</f>
        <v>0</v>
      </c>
      <c r="Z640" s="70">
        <f>'RESUMEN TOTAL'!AM772</f>
        <v>0</v>
      </c>
      <c r="AA640" s="70">
        <f>'RESUMEN TOTAL'!AN772</f>
        <v>0</v>
      </c>
      <c r="AB640" s="70">
        <f>'RESUMEN TOTAL'!AO772</f>
        <v>0</v>
      </c>
      <c r="AC640" s="70">
        <f>'RESUMEN TOTAL'!AP772</f>
        <v>0</v>
      </c>
      <c r="AD640" s="70">
        <f>'RESUMEN TOTAL'!AQ772</f>
        <v>0</v>
      </c>
      <c r="AE640" s="70">
        <f>'RESUMEN TOTAL'!AR772</f>
        <v>0</v>
      </c>
      <c r="AF640" s="70">
        <f>'RESUMEN TOTAL'!AS772</f>
        <v>0</v>
      </c>
      <c r="AG640" s="70">
        <f>'RESUMEN TOTAL'!AT772</f>
        <v>0</v>
      </c>
      <c r="AH640" s="70">
        <f>'RESUMEN TOTAL'!AU772</f>
        <v>0</v>
      </c>
      <c r="AI640" s="70">
        <f>'RESUMEN TOTAL'!AV772</f>
        <v>0</v>
      </c>
      <c r="AJ640" s="70" t="e">
        <f>'RESUMEN TOTAL'!#REF!</f>
        <v>#REF!</v>
      </c>
    </row>
    <row r="641" spans="1:36" x14ac:dyDescent="0.25">
      <c r="A641">
        <f>'RESUMEN TOTAL'!F773</f>
        <v>0</v>
      </c>
      <c r="B641">
        <f>'RESUMEN TOTAL'!G773</f>
        <v>0</v>
      </c>
      <c r="C641">
        <f>'RESUMEN TOTAL'!I773</f>
        <v>0</v>
      </c>
      <c r="D641" s="30">
        <f>'RESUMEN TOTAL'!J773</f>
        <v>0</v>
      </c>
      <c r="E641" s="30">
        <f>'RESUMEN TOTAL'!K773</f>
        <v>0</v>
      </c>
      <c r="F641" s="70">
        <f>'RESUMEN TOTAL'!S773</f>
        <v>0</v>
      </c>
      <c r="G641" s="70">
        <f>'RESUMEN TOTAL'!T773</f>
        <v>0</v>
      </c>
      <c r="H641" s="70">
        <f>'RESUMEN TOTAL'!U773</f>
        <v>0</v>
      </c>
      <c r="I641" s="70">
        <f>'RESUMEN TOTAL'!V773</f>
        <v>0</v>
      </c>
      <c r="J641" s="70">
        <f>'RESUMEN TOTAL'!W773</f>
        <v>0</v>
      </c>
      <c r="K641" s="70">
        <f>'RESUMEN TOTAL'!X773</f>
        <v>0</v>
      </c>
      <c r="L641" s="70">
        <f>'RESUMEN TOTAL'!Y773</f>
        <v>0</v>
      </c>
      <c r="M641" s="70">
        <f>'RESUMEN TOTAL'!Z773</f>
        <v>0</v>
      </c>
      <c r="N641" s="70">
        <f>'RESUMEN TOTAL'!AA773</f>
        <v>0</v>
      </c>
      <c r="O641" s="70">
        <f>'RESUMEN TOTAL'!AB773</f>
        <v>0</v>
      </c>
      <c r="P641" s="70">
        <f>'RESUMEN TOTAL'!AC773</f>
        <v>0</v>
      </c>
      <c r="Q641" s="70">
        <f>'RESUMEN TOTAL'!AD773</f>
        <v>0</v>
      </c>
      <c r="R641" s="70">
        <f>'RESUMEN TOTAL'!AE773</f>
        <v>0</v>
      </c>
      <c r="S641" s="70">
        <f>'RESUMEN TOTAL'!AF773</f>
        <v>0</v>
      </c>
      <c r="T641" s="70">
        <f>'RESUMEN TOTAL'!AG773</f>
        <v>0</v>
      </c>
      <c r="U641" s="70">
        <f>'RESUMEN TOTAL'!AH773</f>
        <v>0</v>
      </c>
      <c r="V641" s="70">
        <f>'RESUMEN TOTAL'!AI773</f>
        <v>0</v>
      </c>
      <c r="W641" s="70">
        <f>'RESUMEN TOTAL'!AJ773</f>
        <v>0</v>
      </c>
      <c r="X641" s="70">
        <f>'RESUMEN TOTAL'!AK773</f>
        <v>0</v>
      </c>
      <c r="Y641" s="70">
        <f>'RESUMEN TOTAL'!AL773</f>
        <v>0</v>
      </c>
      <c r="Z641" s="70">
        <f>'RESUMEN TOTAL'!AM773</f>
        <v>0</v>
      </c>
      <c r="AA641" s="70">
        <f>'RESUMEN TOTAL'!AN773</f>
        <v>0</v>
      </c>
      <c r="AB641" s="70">
        <f>'RESUMEN TOTAL'!AO773</f>
        <v>0</v>
      </c>
      <c r="AC641" s="70">
        <f>'RESUMEN TOTAL'!AP773</f>
        <v>0</v>
      </c>
      <c r="AD641" s="70">
        <f>'RESUMEN TOTAL'!AQ773</f>
        <v>0</v>
      </c>
      <c r="AE641" s="70">
        <f>'RESUMEN TOTAL'!AR773</f>
        <v>0</v>
      </c>
      <c r="AF641" s="70">
        <f>'RESUMEN TOTAL'!AS773</f>
        <v>0</v>
      </c>
      <c r="AG641" s="70">
        <f>'RESUMEN TOTAL'!AT773</f>
        <v>0</v>
      </c>
      <c r="AH641" s="70">
        <f>'RESUMEN TOTAL'!AU773</f>
        <v>0</v>
      </c>
      <c r="AI641" s="70">
        <f>'RESUMEN TOTAL'!AV773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TOTAL'!S774</f>
        <v>0</v>
      </c>
      <c r="G642" s="70">
        <f>'RESUMEN TOTAL'!T774</f>
        <v>0</v>
      </c>
      <c r="H642" s="70">
        <f>'RESUMEN TOTAL'!U774</f>
        <v>0</v>
      </c>
      <c r="I642" s="70">
        <f>'RESUMEN TOTAL'!V774</f>
        <v>0</v>
      </c>
      <c r="J642" s="70">
        <f>'RESUMEN TOTAL'!W774</f>
        <v>0</v>
      </c>
      <c r="K642" s="70">
        <f>'RESUMEN TOTAL'!X774</f>
        <v>0</v>
      </c>
      <c r="L642" s="70">
        <f>'RESUMEN TOTAL'!Y774</f>
        <v>0</v>
      </c>
      <c r="M642" s="70">
        <f>'RESUMEN TOTAL'!Z774</f>
        <v>0</v>
      </c>
      <c r="N642" s="70">
        <f>'RESUMEN TOTAL'!AA774</f>
        <v>0</v>
      </c>
      <c r="O642" s="70">
        <f>'RESUMEN TOTAL'!AB774</f>
        <v>0</v>
      </c>
      <c r="P642" s="70">
        <f>'RESUMEN TOTAL'!AC774</f>
        <v>0</v>
      </c>
      <c r="Q642" s="70">
        <f>'RESUMEN TOTAL'!AD774</f>
        <v>0</v>
      </c>
      <c r="R642" s="70">
        <f>'RESUMEN TOTAL'!AE774</f>
        <v>0</v>
      </c>
      <c r="S642" s="70">
        <f>'RESUMEN TOTAL'!AF774</f>
        <v>0</v>
      </c>
      <c r="T642" s="70">
        <f>'RESUMEN TOTAL'!AG774</f>
        <v>0</v>
      </c>
      <c r="U642" s="70">
        <f>'RESUMEN TOTAL'!AH774</f>
        <v>0</v>
      </c>
      <c r="V642" s="70">
        <f>'RESUMEN TOTAL'!AI774</f>
        <v>0</v>
      </c>
      <c r="W642" s="70">
        <f>'RESUMEN TOTAL'!AJ774</f>
        <v>0</v>
      </c>
      <c r="X642" s="70">
        <f>'RESUMEN TOTAL'!AK774</f>
        <v>0</v>
      </c>
      <c r="Y642" s="70">
        <f>'RESUMEN TOTAL'!AL774</f>
        <v>0</v>
      </c>
      <c r="Z642" s="70">
        <f>'RESUMEN TOTAL'!AM774</f>
        <v>0</v>
      </c>
      <c r="AA642" s="70">
        <f>'RESUMEN TOTAL'!AN774</f>
        <v>0</v>
      </c>
      <c r="AB642" s="70">
        <f>'RESUMEN TOTAL'!AO774</f>
        <v>0</v>
      </c>
      <c r="AC642" s="70">
        <f>'RESUMEN TOTAL'!AP774</f>
        <v>0</v>
      </c>
      <c r="AD642" s="70">
        <f>'RESUMEN TOTAL'!AQ774</f>
        <v>0</v>
      </c>
      <c r="AE642" s="70">
        <f>'RESUMEN TOTAL'!AR774</f>
        <v>0</v>
      </c>
      <c r="AF642" s="70">
        <f>'RESUMEN TOTAL'!AS774</f>
        <v>0</v>
      </c>
      <c r="AG642" s="70">
        <f>'RESUMEN TOTAL'!AT774</f>
        <v>0</v>
      </c>
      <c r="AH642" s="70">
        <f>'RESUMEN TOTAL'!AU774</f>
        <v>0</v>
      </c>
      <c r="AI642" s="70">
        <f>'RESUMEN TOTAL'!AV774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TOTAL'!S775</f>
        <v>0</v>
      </c>
      <c r="G643" s="70">
        <f>'RESUMEN TOTAL'!T775</f>
        <v>0</v>
      </c>
      <c r="H643" s="70">
        <f>'RESUMEN TOTAL'!U775</f>
        <v>0</v>
      </c>
      <c r="I643" s="70">
        <f>'RESUMEN TOTAL'!V775</f>
        <v>0</v>
      </c>
      <c r="J643" s="70">
        <f>'RESUMEN TOTAL'!W775</f>
        <v>0</v>
      </c>
      <c r="K643" s="70">
        <f>'RESUMEN TOTAL'!X775</f>
        <v>0</v>
      </c>
      <c r="L643" s="70">
        <f>'RESUMEN TOTAL'!Y775</f>
        <v>0</v>
      </c>
      <c r="M643" s="70">
        <f>'RESUMEN TOTAL'!Z775</f>
        <v>0</v>
      </c>
      <c r="N643" s="70">
        <f>'RESUMEN TOTAL'!AA775</f>
        <v>0</v>
      </c>
      <c r="O643" s="70">
        <f>'RESUMEN TOTAL'!AB775</f>
        <v>0</v>
      </c>
      <c r="P643" s="70">
        <f>'RESUMEN TOTAL'!AC775</f>
        <v>0</v>
      </c>
      <c r="Q643" s="70">
        <f>'RESUMEN TOTAL'!AD775</f>
        <v>0</v>
      </c>
      <c r="R643" s="70">
        <f>'RESUMEN TOTAL'!AE775</f>
        <v>0</v>
      </c>
      <c r="S643" s="70">
        <f>'RESUMEN TOTAL'!AF775</f>
        <v>0</v>
      </c>
      <c r="T643" s="70">
        <f>'RESUMEN TOTAL'!AG775</f>
        <v>0</v>
      </c>
      <c r="U643" s="70">
        <f>'RESUMEN TOTAL'!AH775</f>
        <v>0</v>
      </c>
      <c r="V643" s="70">
        <f>'RESUMEN TOTAL'!AI775</f>
        <v>0</v>
      </c>
      <c r="W643" s="70">
        <f>'RESUMEN TOTAL'!AJ775</f>
        <v>0</v>
      </c>
      <c r="X643" s="70">
        <f>'RESUMEN TOTAL'!AK775</f>
        <v>0</v>
      </c>
      <c r="Y643" s="70">
        <f>'RESUMEN TOTAL'!AL775</f>
        <v>0</v>
      </c>
      <c r="Z643" s="70">
        <f>'RESUMEN TOTAL'!AM775</f>
        <v>0</v>
      </c>
      <c r="AA643" s="70">
        <f>'RESUMEN TOTAL'!AN775</f>
        <v>0</v>
      </c>
      <c r="AB643" s="70">
        <f>'RESUMEN TOTAL'!AO775</f>
        <v>0</v>
      </c>
      <c r="AC643" s="70">
        <f>'RESUMEN TOTAL'!AP775</f>
        <v>0</v>
      </c>
      <c r="AD643" s="70">
        <f>'RESUMEN TOTAL'!AQ775</f>
        <v>0</v>
      </c>
      <c r="AE643" s="70">
        <f>'RESUMEN TOTAL'!AR775</f>
        <v>0</v>
      </c>
      <c r="AF643" s="70">
        <f>'RESUMEN TOTAL'!AS775</f>
        <v>0</v>
      </c>
      <c r="AG643" s="70">
        <f>'RESUMEN TOTAL'!AT775</f>
        <v>0</v>
      </c>
      <c r="AH643" s="70">
        <f>'RESUMEN TOTAL'!AU775</f>
        <v>0</v>
      </c>
      <c r="AI643" s="70">
        <f>'RESUMEN TOTAL'!AV775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TOTAL'!H8:H629,"=BONOMO")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TOTAL'!W8:W706,"=APAGADO",'RESUMEN TOTAL'!H8:H706,"=BONOMO")</f>
        <v>44</v>
      </c>
      <c r="K3" s="46">
        <f>COUNTIFS('RESUMEN TOTAL'!X8:X706,"=APAGADO",'RESUMEN TOTAL'!I8:I706,"=BONOMO")</f>
        <v>0</v>
      </c>
      <c r="L3" s="46">
        <f>COUNTIFS('RESUMEN TOTAL'!Y8:Y706,"=APAGADO",'RESUMEN TOTAL'!J8:J706,"=BONOMO")</f>
        <v>0</v>
      </c>
      <c r="M3" s="46">
        <f>COUNTIFS('RESUMEN TOTAL'!Z8:Z706,"=APAGADO",'RESUMEN TOTAL'!K8:K706,"=BONOMO")</f>
        <v>0</v>
      </c>
      <c r="N3" s="46">
        <f>COUNTIFS('RESUMEN TOTAL'!AA8:AA706,"=APAGADO",'RESUMEN TOTAL'!L8:L706,"=BONOMO")</f>
        <v>0</v>
      </c>
      <c r="O3" s="46">
        <f>COUNTIFS('RESUMEN TOTAL'!AB8:AB706,"=APAGADO",'RESUMEN TOTAL'!M8:M706,"=BONOMO")</f>
        <v>0</v>
      </c>
      <c r="P3" s="46">
        <f>COUNTIFS('RESUMEN TOTAL'!AC8:AC706,"=APAGADO",'RESUMEN TOTAL'!N8:N706,"=BONOMO")</f>
        <v>0</v>
      </c>
      <c r="Q3" s="46">
        <f>COUNTIFS('RESUMEN TOTAL'!AD8:AD706,"=APAGADO",'RESUMEN TOTAL'!O8:O706,"=BONOMO")</f>
        <v>0</v>
      </c>
      <c r="R3" s="46">
        <f>COUNTIFS('RESUMEN TOTAL'!AE8:AE706,"=APAGADO",'RESUMEN TOTAL'!P8:P706,"=BONOMO")</f>
        <v>0</v>
      </c>
      <c r="S3" s="46">
        <f>COUNTIFS('RESUMEN TOTAL'!AF8:AF706,"=APAGADO",'RESUMEN TOTAL'!Q8:Q706,"=BONOMO")</f>
        <v>0</v>
      </c>
      <c r="T3" s="46">
        <f>COUNTIFS('RESUMEN TOTAL'!AG8:AG706,"=APAGADO",'RESUMEN TOTAL'!R8:R706,"=BONOMO")</f>
        <v>0</v>
      </c>
      <c r="U3" s="46">
        <f>COUNTIFS('RESUMEN TOTAL'!AH8:AH706,"=APAGADO",'RESUMEN TOTAL'!S8:S706,"=BONOMO")</f>
        <v>0</v>
      </c>
      <c r="V3" s="46">
        <f>COUNTIFS('RESUMEN TOTAL'!AI8:AI706,"=APAGADO",'RESUMEN TOTAL'!T8:T706,"=BONOMO")</f>
        <v>0</v>
      </c>
      <c r="W3" s="46">
        <f>COUNTIFS('RESUMEN TOTAL'!AJ8:AJ706,"=APAGADO",'RESUMEN TOTAL'!U8:U706,"=BONOMO")</f>
        <v>0</v>
      </c>
      <c r="X3" s="46">
        <f>COUNTIFS('RESUMEN TOTAL'!AK8:AK706,"=APAGADO",'RESUMEN TOTAL'!V8:V706,"=BONOMO")</f>
        <v>0</v>
      </c>
      <c r="Y3" s="46">
        <f>COUNTIFS('RESUMEN TOTAL'!AL8:AL706,"=APAGADO",'RESUMEN TOTAL'!W8:W706,"=BONOMO")</f>
        <v>0</v>
      </c>
      <c r="Z3" s="46">
        <f>COUNTIFS('RESUMEN TOTAL'!AM8:AM706,"=APAGADO",'RESUMEN TOTAL'!X8:X706,"=BONOMO")</f>
        <v>0</v>
      </c>
      <c r="AA3" s="46">
        <f>COUNTIFS('RESUMEN TOTAL'!AN8:AN706,"=APAGADO",'RESUMEN TOTAL'!Y8:Y706,"=BONOMO")</f>
        <v>0</v>
      </c>
      <c r="AB3" s="46">
        <f>COUNTIFS('RESUMEN TOTAL'!AO8:AO706,"=APAGADO",'RESUMEN TOTAL'!Z8:Z706,"=BONOMO")</f>
        <v>0</v>
      </c>
      <c r="AC3" s="46">
        <f>COUNTIFS('RESUMEN TOTAL'!AP8:AP706,"=APAGADO",'RESUMEN TOTAL'!AA8:AA706,"=BONOMO")</f>
        <v>0</v>
      </c>
      <c r="AD3" s="46">
        <f>COUNTIFS('RESUMEN TOTAL'!AQ8:AQ706,"=APAGADO",'RESUMEN TOTAL'!AB8:AB706,"=BONOMO")</f>
        <v>0</v>
      </c>
      <c r="AE3" s="46">
        <f>COUNTIFS('RESUMEN TOTAL'!AR8:AR706,"=APAGADO",'RESUMEN TOTAL'!AC8:AC706,"=BONOMO")</f>
        <v>0</v>
      </c>
      <c r="AF3" s="46">
        <f>COUNTIFS('RESUMEN TOTAL'!AS8:AS706,"=APAGADO",'RESUMEN TOTAL'!AD8:AD706,"=BONOMO")</f>
        <v>0</v>
      </c>
      <c r="AG3" s="46">
        <f>COUNTIFS('RESUMEN TOTAL'!AT8:AT706,"=APAGADO",'RESUMEN TOTAL'!AE8:AE706,"=BONOMO")</f>
        <v>0</v>
      </c>
      <c r="AH3" s="46">
        <f>COUNTIFS('RESUMEN TOTAL'!AU8:AU706,"=APAGADO",'RESUMEN TOTAL'!AF8:AF706,"=BONOMO")</f>
        <v>0</v>
      </c>
      <c r="AI3" s="46">
        <f>COUNTIFS('RESUMEN TOTAL'!AV8:AV706,"=APAGADO",'RESUMEN TOTAL'!AG8:AG706,"=BONOMO")</f>
        <v>0</v>
      </c>
      <c r="AJ3" s="46">
        <f>COUNTIFS('RESUMEN TOTAL'!AW8:AW706,"=APAGADO",'RESUMEN TOTAL'!AH8:AH706,"=BONOMO")</f>
        <v>0</v>
      </c>
    </row>
    <row r="4" spans="1:36" ht="16.5" thickTop="1" thickBot="1" x14ac:dyDescent="0.3">
      <c r="A4" s="48" t="s">
        <v>1042</v>
      </c>
      <c r="B4" s="41">
        <f>COUNTIFS('RESUMEN TOTAL'!H8:H629,"=COSEIDI")</f>
        <v>283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TOTAL'!W10:W708,"=APAGADO",'RESUMEN TOTAL'!H10:H708,"=COSEIDI")</f>
        <v>67</v>
      </c>
      <c r="K5" s="46">
        <f>COUNTIFS('RESUMEN TOTAL'!X10:X708,"=APAGADO",'RESUMEN TOTAL'!I10:I708,"=COSEIDI")</f>
        <v>0</v>
      </c>
      <c r="L5" s="46">
        <f>COUNTIFS('RESUMEN TOTAL'!Y10:Y708,"=APAGADO",'RESUMEN TOTAL'!J10:J708,"=COSEIDI")</f>
        <v>0</v>
      </c>
      <c r="M5" s="46">
        <f>COUNTIFS('RESUMEN TOTAL'!Z10:Z708,"=APAGADO",'RESUMEN TOTAL'!K10:K708,"=COSEIDI")</f>
        <v>0</v>
      </c>
      <c r="N5" s="46">
        <f>COUNTIFS('RESUMEN TOTAL'!AA10:AA708,"=APAGADO",'RESUMEN TOTAL'!L10:L708,"=COSEIDI")</f>
        <v>0</v>
      </c>
      <c r="O5" s="46">
        <f>COUNTIFS('RESUMEN TOTAL'!AB10:AB708,"=APAGADO",'RESUMEN TOTAL'!M10:M708,"=COSEIDI")</f>
        <v>0</v>
      </c>
      <c r="P5" s="46">
        <f>COUNTIFS('RESUMEN TOTAL'!AC10:AC708,"=APAGADO",'RESUMEN TOTAL'!N10:N708,"=COSEIDI")</f>
        <v>0</v>
      </c>
      <c r="Q5" s="46">
        <f>COUNTIFS('RESUMEN TOTAL'!AD10:AD708,"=APAGADO",'RESUMEN TOTAL'!O10:O708,"=COSEIDI")</f>
        <v>0</v>
      </c>
      <c r="R5" s="46">
        <f>COUNTIFS('RESUMEN TOTAL'!AE10:AE708,"=APAGADO",'RESUMEN TOTAL'!P10:P708,"=COSEIDI")</f>
        <v>0</v>
      </c>
      <c r="S5" s="46">
        <f>COUNTIFS('RESUMEN TOTAL'!AF10:AF708,"=APAGADO",'RESUMEN TOTAL'!Q10:Q708,"=COSEIDI")</f>
        <v>0</v>
      </c>
      <c r="T5" s="46">
        <f>COUNTIFS('RESUMEN TOTAL'!AG10:AG708,"=APAGADO",'RESUMEN TOTAL'!R10:R708,"=COSEIDI")</f>
        <v>0</v>
      </c>
      <c r="U5" s="46">
        <f>COUNTIFS('RESUMEN TOTAL'!AH10:AH708,"=APAGADO",'RESUMEN TOTAL'!S10:S708,"=COSEIDI")</f>
        <v>0</v>
      </c>
      <c r="V5" s="46">
        <f>COUNTIFS('RESUMEN TOTAL'!AI10:AI708,"=APAGADO",'RESUMEN TOTAL'!T10:T708,"=COSEIDI")</f>
        <v>0</v>
      </c>
      <c r="W5" s="46">
        <f>COUNTIFS('RESUMEN TOTAL'!AJ10:AJ708,"=APAGADO",'RESUMEN TOTAL'!U10:U708,"=COSEIDI")</f>
        <v>0</v>
      </c>
      <c r="X5" s="46">
        <f>COUNTIFS('RESUMEN TOTAL'!AK10:AK708,"=APAGADO",'RESUMEN TOTAL'!V10:V708,"=COSEIDI")</f>
        <v>0</v>
      </c>
      <c r="Y5" s="46">
        <f>COUNTIFS('RESUMEN TOTAL'!AL10:AL708,"=APAGADO",'RESUMEN TOTAL'!W10:W708,"=COSEIDI")</f>
        <v>0</v>
      </c>
      <c r="Z5" s="46">
        <f>COUNTIFS('RESUMEN TOTAL'!AM10:AM708,"=APAGADO",'RESUMEN TOTAL'!X10:X708,"=COSEIDI")</f>
        <v>0</v>
      </c>
      <c r="AA5" s="46">
        <f>COUNTIFS('RESUMEN TOTAL'!AN10:AN708,"=APAGADO",'RESUMEN TOTAL'!Y10:Y708,"=COSEIDI")</f>
        <v>0</v>
      </c>
      <c r="AB5" s="46">
        <f>COUNTIFS('RESUMEN TOTAL'!AO10:AO708,"=APAGADO",'RESUMEN TOTAL'!Z10:Z708,"=COSEIDI")</f>
        <v>0</v>
      </c>
      <c r="AC5" s="46">
        <f>COUNTIFS('RESUMEN TOTAL'!AP10:AP708,"=APAGADO",'RESUMEN TOTAL'!AA10:AA708,"=COSEIDI")</f>
        <v>0</v>
      </c>
      <c r="AD5" s="46">
        <f>COUNTIFS('RESUMEN TOTAL'!AQ10:AQ708,"=APAGADO",'RESUMEN TOTAL'!AB10:AB708,"=COSEIDI")</f>
        <v>0</v>
      </c>
      <c r="AE5" s="46">
        <f>COUNTIFS('RESUMEN TOTAL'!AR10:AR708,"=APAGADO",'RESUMEN TOTAL'!AC10:AC708,"=COSEIDI")</f>
        <v>0</v>
      </c>
      <c r="AF5" s="46">
        <f>COUNTIFS('RESUMEN TOTAL'!AS10:AS708,"=APAGADO",'RESUMEN TOTAL'!AD10:AD708,"=COSEIDI")</f>
        <v>0</v>
      </c>
      <c r="AG5" s="46">
        <f>COUNTIFS('RESUMEN TOTAL'!AT10:AT708,"=APAGADO",'RESUMEN TOTAL'!AE10:AE708,"=COSEIDI")</f>
        <v>0</v>
      </c>
      <c r="AH5" s="46">
        <f>COUNTIFS('RESUMEN TOTAL'!AU10:AU708,"=APAGADO",'RESUMEN TOTAL'!AF10:AF708,"=COSEIDI")</f>
        <v>0</v>
      </c>
      <c r="AI5" s="46">
        <f>COUNTIFS('RESUMEN TOTAL'!AV10:AV708,"=APAGADO",'RESUMEN TOTAL'!AG10:AG708,"=COSEIDI")</f>
        <v>0</v>
      </c>
      <c r="AJ5" s="46">
        <f>COUNTIFS('RESUMEN TOTAL'!AW10:AW708,"=APAGADO",'RESUMEN TOTAL'!AH10:AH708,"=COSEIDI")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0.14487632508833923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81" zoomScaleNormal="100" workbookViewId="0">
      <selection activeCell="D301" sqref="D30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591</v>
      </c>
      <c r="D2" s="98"/>
      <c r="E2" s="103"/>
      <c r="F2" s="158">
        <v>46113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0</v>
      </c>
      <c r="D3" s="54"/>
      <c r="E3" s="55">
        <f>C3/C2</f>
        <v>0</v>
      </c>
      <c r="F3" s="159"/>
    </row>
    <row r="4" spans="1:6" x14ac:dyDescent="0.25">
      <c r="A4" s="76"/>
      <c r="B4" s="53" t="s">
        <v>1220</v>
      </c>
      <c r="C4" s="67">
        <v>17</v>
      </c>
      <c r="D4" s="100">
        <f>C3-C4</f>
        <v>-17</v>
      </c>
      <c r="E4" s="55">
        <f>D4/C2</f>
        <v>-2.8764805414551606E-2</v>
      </c>
      <c r="F4" s="159"/>
    </row>
    <row r="5" spans="1:6" x14ac:dyDescent="0.25">
      <c r="A5" s="76"/>
      <c r="B5" s="53" t="s">
        <v>1221</v>
      </c>
      <c r="C5" s="67">
        <v>11</v>
      </c>
      <c r="D5" s="100">
        <f>D4-C5</f>
        <v>-28</v>
      </c>
      <c r="E5" s="55">
        <f>D5/C2</f>
        <v>-4.7377326565143825E-2</v>
      </c>
      <c r="F5" s="159"/>
    </row>
    <row r="6" spans="1:6" x14ac:dyDescent="0.25">
      <c r="A6" s="94" t="s">
        <v>1446</v>
      </c>
      <c r="B6" s="53" t="s">
        <v>15</v>
      </c>
      <c r="C6" s="91">
        <v>16</v>
      </c>
      <c r="D6" s="100">
        <f>D5-C6</f>
        <v>-44</v>
      </c>
      <c r="E6" s="55">
        <f>D6/C2</f>
        <v>-7.4450084602368863E-2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59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39</v>
      </c>
      <c r="E9" s="102">
        <f>D9/C9</f>
        <v>0.12703583061889251</v>
      </c>
      <c r="F9" s="159"/>
    </row>
    <row r="10" spans="1:6" ht="15.75" thickBot="1" x14ac:dyDescent="0.3">
      <c r="A10" t="s">
        <v>1448</v>
      </c>
      <c r="B10" s="109" t="s">
        <v>1042</v>
      </c>
      <c r="C10" s="110">
        <f>COSEIDIcam</f>
        <v>283</v>
      </c>
      <c r="D10" s="110">
        <v>68</v>
      </c>
      <c r="E10" s="111">
        <f>D10/C10</f>
        <v>0.24028268551236748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591</v>
      </c>
      <c r="D13" s="98"/>
      <c r="E13" s="103"/>
      <c r="F13" s="158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0.14720812182741116</v>
      </c>
      <c r="F14" s="159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0.14213197969543148</v>
      </c>
      <c r="F15" s="159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0.13028764805414553</v>
      </c>
      <c r="F16" s="159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0.12182741116751269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59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59"/>
    </row>
    <row r="21" spans="1:6" ht="15.75" thickBot="1" x14ac:dyDescent="0.3">
      <c r="A21" t="s">
        <v>1449</v>
      </c>
      <c r="B21" s="109" t="s">
        <v>1042</v>
      </c>
      <c r="C21" s="110">
        <f>COSEIDIcam</f>
        <v>283</v>
      </c>
      <c r="D21" s="110">
        <v>55</v>
      </c>
      <c r="E21" s="111">
        <f>D21/C21</f>
        <v>0.19434628975265017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591</v>
      </c>
      <c r="D24" s="98"/>
      <c r="E24" s="103"/>
      <c r="F24" s="158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9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-1.015228426395939E-2</v>
      </c>
      <c r="F26" s="159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-2.1996615905245348E-2</v>
      </c>
      <c r="F27" s="159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-2.1996615905245348E-2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59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59"/>
    </row>
    <row r="32" spans="1:6" ht="15.75" thickBot="1" x14ac:dyDescent="0.3">
      <c r="B32" s="109" t="s">
        <v>1042</v>
      </c>
      <c r="C32" s="110">
        <f>COSEIDIcam</f>
        <v>283</v>
      </c>
      <c r="D32" s="110">
        <v>52</v>
      </c>
      <c r="E32" s="111">
        <f>D32/C32</f>
        <v>0.18374558303886926</v>
      </c>
      <c r="F32" s="160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591</v>
      </c>
      <c r="D35" s="98"/>
      <c r="E35" s="103"/>
      <c r="F35" s="158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115</v>
      </c>
      <c r="D36" s="54"/>
      <c r="E36" s="55">
        <f>C36/C35</f>
        <v>0.19458544839255498</v>
      </c>
      <c r="F36" s="159"/>
    </row>
    <row r="37" spans="1:6" x14ac:dyDescent="0.25">
      <c r="B37" s="53" t="s">
        <v>1220</v>
      </c>
      <c r="C37" s="67">
        <v>6</v>
      </c>
      <c r="D37" s="100">
        <f>C36-C37</f>
        <v>109</v>
      </c>
      <c r="E37" s="55">
        <f>D37/C35</f>
        <v>0.18443316412859559</v>
      </c>
      <c r="F37" s="159"/>
    </row>
    <row r="38" spans="1:6" x14ac:dyDescent="0.25">
      <c r="B38" s="53" t="s">
        <v>1221</v>
      </c>
      <c r="C38" s="67">
        <v>12</v>
      </c>
      <c r="D38" s="100">
        <f>D37-C38</f>
        <v>97</v>
      </c>
      <c r="E38" s="55">
        <f>D38/C35</f>
        <v>0.16412859560067683</v>
      </c>
      <c r="F38" s="159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92</v>
      </c>
      <c r="E39" s="55">
        <f>D39/C35</f>
        <v>0.155668358714044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59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59"/>
    </row>
    <row r="43" spans="1:6" ht="15.75" thickBot="1" x14ac:dyDescent="0.3">
      <c r="B43" s="109" t="s">
        <v>1042</v>
      </c>
      <c r="C43" s="110">
        <f>COSEIDIcam</f>
        <v>283</v>
      </c>
      <c r="D43" s="110">
        <v>68</v>
      </c>
      <c r="E43" s="111">
        <f>D43/C43</f>
        <v>0.24028268551236748</v>
      </c>
      <c r="F43" s="160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591</v>
      </c>
      <c r="D46" s="98"/>
      <c r="E46" s="103"/>
      <c r="F46" s="158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111</v>
      </c>
      <c r="D47" s="54"/>
      <c r="E47" s="55">
        <f>C47/C46</f>
        <v>0.18781725888324874</v>
      </c>
      <c r="F47" s="159"/>
    </row>
    <row r="48" spans="1:6" x14ac:dyDescent="0.25">
      <c r="B48" s="53" t="s">
        <v>1220</v>
      </c>
      <c r="C48" s="67">
        <v>3</v>
      </c>
      <c r="D48" s="100">
        <f>C47-C48</f>
        <v>108</v>
      </c>
      <c r="E48" s="55">
        <f>D48/C46</f>
        <v>0.18274111675126903</v>
      </c>
      <c r="F48" s="159"/>
    </row>
    <row r="49" spans="1:6" x14ac:dyDescent="0.25">
      <c r="B49" s="53" t="s">
        <v>1221</v>
      </c>
      <c r="C49" s="67">
        <v>12</v>
      </c>
      <c r="D49" s="100">
        <f>D48-C49</f>
        <v>96</v>
      </c>
      <c r="E49" s="55">
        <f>D49/C46</f>
        <v>0.16243654822335024</v>
      </c>
      <c r="F49" s="159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0.15397631133671744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59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59"/>
    </row>
    <row r="54" spans="1:6" ht="15.75" thickBot="1" x14ac:dyDescent="0.3">
      <c r="B54" s="109" t="s">
        <v>1042</v>
      </c>
      <c r="C54" s="110">
        <f>COSEIDIcam</f>
        <v>283</v>
      </c>
      <c r="D54" s="110">
        <f>Hoja1!J5</f>
        <v>67</v>
      </c>
      <c r="E54" s="111">
        <f>D54/C54</f>
        <v>0.23674911660777384</v>
      </c>
      <c r="F54" s="160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591</v>
      </c>
      <c r="D57" s="98"/>
      <c r="E57" s="103"/>
      <c r="F57" s="158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110</v>
      </c>
      <c r="D58" s="54"/>
      <c r="E58" s="55">
        <f>C58/C57</f>
        <v>0.18612521150592218</v>
      </c>
      <c r="F58" s="159"/>
    </row>
    <row r="59" spans="1:6" x14ac:dyDescent="0.25">
      <c r="B59" s="53" t="s">
        <v>1220</v>
      </c>
      <c r="C59" s="67">
        <v>8</v>
      </c>
      <c r="D59" s="100">
        <f>C58-C59</f>
        <v>102</v>
      </c>
      <c r="E59" s="55">
        <f>D59/C57</f>
        <v>0.17258883248730963</v>
      </c>
      <c r="F59" s="159"/>
    </row>
    <row r="60" spans="1:6" x14ac:dyDescent="0.25">
      <c r="B60" s="53" t="s">
        <v>1221</v>
      </c>
      <c r="C60" s="67">
        <v>12</v>
      </c>
      <c r="D60" s="100">
        <f>D59-C60</f>
        <v>90</v>
      </c>
      <c r="E60" s="55">
        <f>D60/C57</f>
        <v>0.15228426395939088</v>
      </c>
      <c r="F60" s="159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84</v>
      </c>
      <c r="E61" s="55">
        <f>D61/C57</f>
        <v>0.14213197969543148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59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59"/>
    </row>
    <row r="65" spans="1:6" ht="15.75" thickBot="1" x14ac:dyDescent="0.3">
      <c r="B65" s="109" t="s">
        <v>1042</v>
      </c>
      <c r="C65" s="110">
        <f>COSEIDIcam</f>
        <v>283</v>
      </c>
      <c r="D65" s="110">
        <v>68</v>
      </c>
      <c r="E65" s="111">
        <f>D65/C65</f>
        <v>0.24028268551236748</v>
      </c>
      <c r="F65" s="160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591</v>
      </c>
      <c r="D68" s="98"/>
      <c r="E68" s="103"/>
      <c r="F68" s="158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116</v>
      </c>
      <c r="D69" s="54"/>
      <c r="E69" s="55">
        <f>C69/C68</f>
        <v>0.19627749576988154</v>
      </c>
      <c r="F69" s="159"/>
    </row>
    <row r="70" spans="1:6" x14ac:dyDescent="0.25">
      <c r="B70" s="53" t="s">
        <v>1220</v>
      </c>
      <c r="C70" s="67">
        <v>11</v>
      </c>
      <c r="D70" s="100">
        <f>C69-C70</f>
        <v>105</v>
      </c>
      <c r="E70" s="55">
        <f>D70/C68</f>
        <v>0.17766497461928935</v>
      </c>
      <c r="F70" s="159"/>
    </row>
    <row r="71" spans="1:6" x14ac:dyDescent="0.25">
      <c r="B71" s="53" t="s">
        <v>1221</v>
      </c>
      <c r="C71" s="67">
        <v>12</v>
      </c>
      <c r="D71" s="100">
        <f>D70-C71</f>
        <v>93</v>
      </c>
      <c r="E71" s="55">
        <f>D71/C68</f>
        <v>0.15736040609137056</v>
      </c>
      <c r="F71" s="159"/>
    </row>
    <row r="72" spans="1:6" x14ac:dyDescent="0.25">
      <c r="A72" t="s">
        <v>1443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0.14720812182741116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59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1042</v>
      </c>
      <c r="C76" s="110">
        <f>COSEIDIcam</f>
        <v>283</v>
      </c>
      <c r="D76" s="110">
        <v>78</v>
      </c>
      <c r="E76" s="111">
        <f>D76/C76</f>
        <v>0.2756183745583039</v>
      </c>
      <c r="F76" s="160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591</v>
      </c>
      <c r="D79" s="98"/>
      <c r="E79" s="103"/>
      <c r="F79" s="158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98</v>
      </c>
      <c r="D80" s="54"/>
      <c r="E80" s="55">
        <f>C80/C79</f>
        <v>0.16582064297800339</v>
      </c>
      <c r="F80" s="159"/>
    </row>
    <row r="81" spans="1:6" x14ac:dyDescent="0.25">
      <c r="B81" s="53" t="s">
        <v>1220</v>
      </c>
      <c r="C81" s="67">
        <v>6</v>
      </c>
      <c r="D81" s="100">
        <f>C80-C81</f>
        <v>92</v>
      </c>
      <c r="E81" s="55">
        <f>D81/C79</f>
        <v>0.155668358714044</v>
      </c>
      <c r="F81" s="159"/>
    </row>
    <row r="82" spans="1:6" x14ac:dyDescent="0.25">
      <c r="B82" s="53" t="s">
        <v>1221</v>
      </c>
      <c r="C82" s="67">
        <v>12</v>
      </c>
      <c r="D82" s="100">
        <f>D81-C82</f>
        <v>80</v>
      </c>
      <c r="E82" s="55">
        <f>D82/C79</f>
        <v>0.13536379018612521</v>
      </c>
      <c r="F82" s="159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75</v>
      </c>
      <c r="E83" s="55">
        <f>D83/C79</f>
        <v>0.12690355329949238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59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59"/>
    </row>
    <row r="87" spans="1:6" ht="15.75" thickBot="1" x14ac:dyDescent="0.3">
      <c r="B87" s="109" t="s">
        <v>1042</v>
      </c>
      <c r="C87" s="110">
        <f>COSEIDIcam</f>
        <v>283</v>
      </c>
      <c r="D87" s="110">
        <v>62</v>
      </c>
      <c r="E87" s="111">
        <f>D87/C87</f>
        <v>0.21908127208480566</v>
      </c>
      <c r="F87" s="160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591</v>
      </c>
      <c r="D90" s="98"/>
      <c r="E90" s="103"/>
      <c r="F90" s="158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-8.4602368866328256E-3</v>
      </c>
      <c r="F92" s="159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-1.8612521150592216E-2</v>
      </c>
      <c r="F93" s="159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-2.7072758037225041E-2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59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59"/>
    </row>
    <row r="98" spans="1:6" ht="15.75" thickBot="1" x14ac:dyDescent="0.3">
      <c r="B98" s="109" t="s">
        <v>1042</v>
      </c>
      <c r="C98" s="110">
        <f>COSEIDIcam</f>
        <v>283</v>
      </c>
      <c r="D98" s="110">
        <f>Hoja1!N5</f>
        <v>0</v>
      </c>
      <c r="E98" s="111">
        <f>D98/C98</f>
        <v>0</v>
      </c>
      <c r="F98" s="160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591</v>
      </c>
      <c r="D101" s="98"/>
      <c r="E101" s="103"/>
      <c r="F101" s="158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0.23857868020304568</v>
      </c>
      <c r="F102" s="159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0.23857868020304568</v>
      </c>
      <c r="F103" s="159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0.21996615905245348</v>
      </c>
      <c r="F104" s="159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0.17089678510998307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59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59"/>
    </row>
    <row r="109" spans="1:6" ht="15.75" thickBot="1" x14ac:dyDescent="0.3">
      <c r="B109" s="109" t="s">
        <v>1042</v>
      </c>
      <c r="C109" s="110">
        <f>COSEIDIcam</f>
        <v>283</v>
      </c>
      <c r="D109" s="110">
        <v>72</v>
      </c>
      <c r="E109" s="111">
        <f>D109/C109</f>
        <v>0.25441696113074203</v>
      </c>
      <c r="F109" s="160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591</v>
      </c>
      <c r="D112" s="98"/>
      <c r="E112" s="103"/>
      <c r="F112" s="158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0.17597292724196278</v>
      </c>
      <c r="F113" s="159"/>
    </row>
    <row r="114" spans="2:6" x14ac:dyDescent="0.25">
      <c r="B114" s="53" t="s">
        <v>1220</v>
      </c>
      <c r="C114" s="67">
        <v>4</v>
      </c>
      <c r="D114" s="100">
        <f>C113-C114</f>
        <v>100</v>
      </c>
      <c r="E114" s="55">
        <f>D114/C112</f>
        <v>0.16920473773265651</v>
      </c>
      <c r="F114" s="159"/>
    </row>
    <row r="115" spans="2:6" x14ac:dyDescent="0.25">
      <c r="B115" s="53" t="s">
        <v>1221</v>
      </c>
      <c r="C115" s="67">
        <v>12</v>
      </c>
      <c r="D115" s="100">
        <f>D114-C115</f>
        <v>88</v>
      </c>
      <c r="E115" s="55">
        <f>D115/C112</f>
        <v>0.14890016920473773</v>
      </c>
      <c r="F115" s="159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0.13874788494077833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59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59"/>
    </row>
    <row r="120" spans="2:6" ht="15.75" thickBot="1" x14ac:dyDescent="0.3">
      <c r="B120" s="109" t="s">
        <v>1042</v>
      </c>
      <c r="C120" s="110">
        <f>COSEIDIcam</f>
        <v>283</v>
      </c>
      <c r="D120" s="110">
        <v>63</v>
      </c>
      <c r="E120" s="111">
        <f>D120/C120</f>
        <v>0.22261484098939929</v>
      </c>
      <c r="F120" s="160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591</v>
      </c>
      <c r="D123" s="98"/>
      <c r="E123" s="103"/>
      <c r="F123" s="158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0.18104906937394247</v>
      </c>
      <c r="F124" s="159"/>
    </row>
    <row r="125" spans="2:6" x14ac:dyDescent="0.25">
      <c r="B125" s="53" t="s">
        <v>1220</v>
      </c>
      <c r="C125" s="67">
        <v>5</v>
      </c>
      <c r="D125" s="100">
        <f>C124-C125</f>
        <v>102</v>
      </c>
      <c r="E125" s="55">
        <f>D125/C123</f>
        <v>0.17258883248730963</v>
      </c>
      <c r="F125" s="159"/>
    </row>
    <row r="126" spans="2:6" x14ac:dyDescent="0.25">
      <c r="B126" s="53" t="s">
        <v>1221</v>
      </c>
      <c r="C126" s="67">
        <v>12</v>
      </c>
      <c r="D126" s="100">
        <f>D125-C126</f>
        <v>90</v>
      </c>
      <c r="E126" s="55">
        <f>D126/C123</f>
        <v>0.15228426395939088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0.14382402707275804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59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59"/>
    </row>
    <row r="131" spans="2:6" ht="15.75" thickBot="1" x14ac:dyDescent="0.3">
      <c r="B131" s="109" t="s">
        <v>1042</v>
      </c>
      <c r="C131" s="110">
        <f>COSEIDIcam</f>
        <v>283</v>
      </c>
      <c r="D131" s="110">
        <v>67</v>
      </c>
      <c r="E131" s="111">
        <f>D131/C131</f>
        <v>0.23674911660777384</v>
      </c>
      <c r="F131" s="160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591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0.19627749576988154</v>
      </c>
      <c r="F135" s="159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0.18104906937394247</v>
      </c>
      <c r="F136" s="159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0.16074450084602368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0.15059221658206429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59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1042</v>
      </c>
      <c r="C142" s="110">
        <f>COSEIDIcam</f>
        <v>283</v>
      </c>
      <c r="D142" s="110">
        <v>72</v>
      </c>
      <c r="E142" s="111">
        <f>D142/C142</f>
        <v>0.25441696113074203</v>
      </c>
      <c r="F142" s="160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591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119</v>
      </c>
      <c r="D146" s="54"/>
      <c r="E146" s="55">
        <f>C146/C145</f>
        <v>0.20135363790186125</v>
      </c>
      <c r="F146" s="159"/>
    </row>
    <row r="147" spans="2:6" x14ac:dyDescent="0.25">
      <c r="B147" s="53" t="s">
        <v>1220</v>
      </c>
      <c r="C147" s="67">
        <v>7</v>
      </c>
      <c r="D147" s="100">
        <f>C146-C147</f>
        <v>112</v>
      </c>
      <c r="E147" s="55">
        <f>D147/C145</f>
        <v>0.1895093062605753</v>
      </c>
      <c r="F147" s="159"/>
    </row>
    <row r="148" spans="2:6" x14ac:dyDescent="0.25">
      <c r="B148" s="53" t="s">
        <v>1221</v>
      </c>
      <c r="C148" s="67">
        <v>12</v>
      </c>
      <c r="D148" s="100">
        <f>D147-C148</f>
        <v>100</v>
      </c>
      <c r="E148" s="55">
        <f>D148/C145</f>
        <v>0.16920473773265651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95</v>
      </c>
      <c r="E149" s="55">
        <f>D149/C145</f>
        <v>0.16074450084602368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59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1042</v>
      </c>
      <c r="C153" s="110">
        <f>COSEIDIcam</f>
        <v>283</v>
      </c>
      <c r="D153" s="110">
        <v>72</v>
      </c>
      <c r="E153" s="111">
        <f>D153/C153</f>
        <v>0.25441696113074203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591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121</v>
      </c>
      <c r="D157" s="54"/>
      <c r="E157" s="55">
        <f>C157/C156</f>
        <v>0.20473773265651438</v>
      </c>
      <c r="F157" s="159"/>
    </row>
    <row r="158" spans="2:6" x14ac:dyDescent="0.25">
      <c r="B158" s="53" t="s">
        <v>1220</v>
      </c>
      <c r="C158" s="67">
        <v>15</v>
      </c>
      <c r="D158" s="100">
        <f>C157-C158</f>
        <v>106</v>
      </c>
      <c r="E158" s="55">
        <f>D158/C156</f>
        <v>0.17935702199661591</v>
      </c>
      <c r="F158" s="159"/>
    </row>
    <row r="159" spans="2:6" x14ac:dyDescent="0.25">
      <c r="B159" s="53" t="s">
        <v>1221</v>
      </c>
      <c r="C159" s="67">
        <v>12</v>
      </c>
      <c r="D159" s="100">
        <f>D158-C159</f>
        <v>94</v>
      </c>
      <c r="E159" s="55">
        <f>D159/C156</f>
        <v>0.15905245346869712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90</v>
      </c>
      <c r="E160" s="55">
        <f>D160/C156</f>
        <v>0.15228426395939088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59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1042</v>
      </c>
      <c r="C164" s="110">
        <f>COSEIDIcam</f>
        <v>283</v>
      </c>
      <c r="D164" s="110">
        <v>77</v>
      </c>
      <c r="E164" s="111">
        <f>D164/C164</f>
        <v>0.27208480565371024</v>
      </c>
      <c r="F164" s="160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591</v>
      </c>
      <c r="D167" s="98"/>
      <c r="E167" s="103"/>
      <c r="F167" s="158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9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-3.3840947546531302E-3</v>
      </c>
      <c r="F169" s="159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-2.3688663282571912E-2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-3.2148900169204735E-2</v>
      </c>
      <c r="F171" s="159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-3.2148900169204735E-2</v>
      </c>
      <c r="F172" s="159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59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59"/>
    </row>
    <row r="175" spans="2:6" ht="15.75" thickBot="1" x14ac:dyDescent="0.3">
      <c r="B175" s="109" t="s">
        <v>1042</v>
      </c>
      <c r="C175" s="110">
        <f>COSEIDIcam</f>
        <v>283</v>
      </c>
      <c r="D175" s="110">
        <v>40</v>
      </c>
      <c r="E175" s="111">
        <f>D175/C175</f>
        <v>0.14134275618374559</v>
      </c>
      <c r="F175" s="160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591</v>
      </c>
      <c r="D178" s="98"/>
      <c r="E178" s="103"/>
      <c r="F178" s="158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-3.3840947546531303E-2</v>
      </c>
      <c r="F180" s="159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-5.4145516074450083E-2</v>
      </c>
      <c r="F181" s="159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-6.2605752961082908E-2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59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59"/>
    </row>
    <row r="186" spans="2:6" ht="15.75" thickBot="1" x14ac:dyDescent="0.3">
      <c r="B186" s="109" t="s">
        <v>1042</v>
      </c>
      <c r="C186" s="110">
        <f>COSEIDIcam</f>
        <v>283</v>
      </c>
      <c r="D186" s="110">
        <f>Hoja1!V5</f>
        <v>0</v>
      </c>
      <c r="E186" s="111">
        <f>D186/C186</f>
        <v>0</v>
      </c>
      <c r="F186" s="160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591</v>
      </c>
      <c r="D189" s="98"/>
      <c r="E189" s="103"/>
      <c r="F189" s="158">
        <v>46160</v>
      </c>
    </row>
    <row r="190" spans="2:6" x14ac:dyDescent="0.25">
      <c r="B190" s="53" t="s">
        <v>6</v>
      </c>
      <c r="C190" s="66">
        <f>'RESUMEN TOTAL'!AJ3</f>
        <v>110</v>
      </c>
      <c r="D190" s="54"/>
      <c r="E190" s="55">
        <f>C190/C189</f>
        <v>0.18612521150592218</v>
      </c>
      <c r="F190" s="159"/>
    </row>
    <row r="191" spans="2:6" x14ac:dyDescent="0.25">
      <c r="B191" s="53" t="s">
        <v>1220</v>
      </c>
      <c r="C191" s="67">
        <v>10</v>
      </c>
      <c r="D191" s="100">
        <f>C190-C191</f>
        <v>100</v>
      </c>
      <c r="E191" s="55">
        <f>D191/C189</f>
        <v>0.16920473773265651</v>
      </c>
      <c r="F191" s="159"/>
    </row>
    <row r="192" spans="2:6" x14ac:dyDescent="0.25">
      <c r="B192" s="53" t="s">
        <v>1221</v>
      </c>
      <c r="C192" s="67">
        <v>12</v>
      </c>
      <c r="D192" s="100">
        <f>D191-C192</f>
        <v>88</v>
      </c>
      <c r="E192" s="55">
        <f>D192/C189</f>
        <v>0.14890016920473773</v>
      </c>
      <c r="F192" s="159"/>
    </row>
    <row r="193" spans="2:6" x14ac:dyDescent="0.25">
      <c r="B193" s="53" t="s">
        <v>15</v>
      </c>
      <c r="C193" s="91">
        <v>6</v>
      </c>
      <c r="D193" s="100">
        <f>D192-C193</f>
        <v>82</v>
      </c>
      <c r="E193" s="55">
        <f>D193/C189</f>
        <v>0.13874788494077833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59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59"/>
    </row>
    <row r="197" spans="2:6" ht="15.75" thickBot="1" x14ac:dyDescent="0.3">
      <c r="B197" s="109" t="s">
        <v>1042</v>
      </c>
      <c r="C197" s="110">
        <f>COSEIDIcam</f>
        <v>283</v>
      </c>
      <c r="D197" s="110">
        <v>67</v>
      </c>
      <c r="E197" s="111">
        <f>D197/C197</f>
        <v>0.23674911660777384</v>
      </c>
      <c r="F197" s="160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591</v>
      </c>
      <c r="D200" s="98"/>
      <c r="E200" s="103"/>
      <c r="F200" s="158">
        <v>46100</v>
      </c>
    </row>
    <row r="201" spans="2:6" x14ac:dyDescent="0.25">
      <c r="B201" s="53" t="s">
        <v>6</v>
      </c>
      <c r="C201" s="66">
        <f>'RESUMEN TOTAL'!AK3</f>
        <v>108</v>
      </c>
      <c r="D201" s="54"/>
      <c r="E201" s="55">
        <f>C201/C200</f>
        <v>0.18274111675126903</v>
      </c>
      <c r="F201" s="159"/>
    </row>
    <row r="202" spans="2:6" x14ac:dyDescent="0.25">
      <c r="B202" s="53" t="s">
        <v>1220</v>
      </c>
      <c r="C202" s="67">
        <v>7</v>
      </c>
      <c r="D202" s="100">
        <f>C201-C202</f>
        <v>101</v>
      </c>
      <c r="E202" s="55">
        <f>D202/C200</f>
        <v>0.17089678510998307</v>
      </c>
      <c r="F202" s="159"/>
    </row>
    <row r="203" spans="2:6" x14ac:dyDescent="0.25">
      <c r="B203" s="53" t="s">
        <v>1221</v>
      </c>
      <c r="C203" s="67">
        <v>12</v>
      </c>
      <c r="D203" s="100">
        <f>D202-C203</f>
        <v>89</v>
      </c>
      <c r="E203" s="55">
        <f>D203/C200</f>
        <v>0.15059221658206429</v>
      </c>
      <c r="F203" s="159"/>
    </row>
    <row r="204" spans="2:6" x14ac:dyDescent="0.25">
      <c r="B204" s="53" t="s">
        <v>15</v>
      </c>
      <c r="C204" s="91">
        <v>6</v>
      </c>
      <c r="D204" s="100">
        <f>D203-C204</f>
        <v>83</v>
      </c>
      <c r="E204" s="55">
        <f>D204/C200</f>
        <v>0.14043993231810489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59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59"/>
    </row>
    <row r="208" spans="2:6" ht="15.75" thickBot="1" x14ac:dyDescent="0.3">
      <c r="B208" s="109" t="s">
        <v>1042</v>
      </c>
      <c r="C208" s="110">
        <f>COSEIDIcam</f>
        <v>283</v>
      </c>
      <c r="D208" s="110">
        <v>70</v>
      </c>
      <c r="E208" s="111">
        <f>D208/C208</f>
        <v>0.24734982332155478</v>
      </c>
      <c r="F208" s="160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591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100</v>
      </c>
      <c r="D212" s="54"/>
      <c r="E212" s="55">
        <f>C212/C211</f>
        <v>0.16920473773265651</v>
      </c>
      <c r="F212" s="159"/>
    </row>
    <row r="213" spans="2:6" x14ac:dyDescent="0.25">
      <c r="B213" s="53" t="s">
        <v>1220</v>
      </c>
      <c r="C213" s="67">
        <v>16</v>
      </c>
      <c r="D213" s="100">
        <f>C212-C213</f>
        <v>84</v>
      </c>
      <c r="E213" s="55">
        <f>D213/C211</f>
        <v>0.14213197969543148</v>
      </c>
      <c r="F213" s="159"/>
    </row>
    <row r="214" spans="2:6" x14ac:dyDescent="0.25">
      <c r="B214" s="53" t="s">
        <v>1221</v>
      </c>
      <c r="C214" s="67">
        <v>12</v>
      </c>
      <c r="D214" s="100">
        <f>D213-C214</f>
        <v>72</v>
      </c>
      <c r="E214" s="55">
        <f>D214/C211</f>
        <v>0.12182741116751269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66</v>
      </c>
      <c r="E215" s="55">
        <f>D215/C211</f>
        <v>0.1116751269035533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59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1042</v>
      </c>
      <c r="C219" s="110">
        <f>COSEIDIcam</f>
        <v>283</v>
      </c>
      <c r="D219" s="110">
        <v>67</v>
      </c>
      <c r="E219" s="111">
        <f>D219/C219</f>
        <v>0.23674911660777384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591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0.14043993231810489</v>
      </c>
      <c r="F224" s="159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0.13028764805414553</v>
      </c>
      <c r="F225" s="159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0.10998307952622674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0.10152284263959391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59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1042</v>
      </c>
      <c r="C231" s="110">
        <f>COSEIDIcam</f>
        <v>283</v>
      </c>
      <c r="D231" s="110">
        <v>51</v>
      </c>
      <c r="E231" s="111">
        <f>D231/C231</f>
        <v>0.18021201413427562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591</v>
      </c>
      <c r="D235" s="98"/>
      <c r="E235" s="103"/>
      <c r="F235" s="158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0.13536379018612521</v>
      </c>
      <c r="F236" s="159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0.12859560067681894</v>
      </c>
      <c r="F237" s="159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0.10829103214890017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9.9830795262267347E-2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59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59"/>
    </row>
    <row r="243" spans="2:6" ht="15.75" thickBot="1" x14ac:dyDescent="0.3">
      <c r="B243" s="109" t="s">
        <v>1042</v>
      </c>
      <c r="C243" s="110">
        <f>COSEIDIcam</f>
        <v>283</v>
      </c>
      <c r="D243" s="110">
        <v>49</v>
      </c>
      <c r="E243" s="111">
        <f>D243/C243</f>
        <v>0.17314487632508835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591</v>
      </c>
      <c r="D247" s="98"/>
      <c r="E247" s="103"/>
      <c r="F247" s="158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0.20981387478849409</v>
      </c>
      <c r="F248" s="159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0.19458544839255498</v>
      </c>
      <c r="F249" s="159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0.17428087986463622</v>
      </c>
      <c r="F250" s="159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0.16582064297800339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59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59"/>
    </row>
    <row r="255" spans="2:6" ht="15.75" thickBot="1" x14ac:dyDescent="0.3">
      <c r="B255" s="109" t="s">
        <v>1042</v>
      </c>
      <c r="C255" s="110">
        <f>COSEIDIcam</f>
        <v>283</v>
      </c>
      <c r="D255" s="110">
        <v>63</v>
      </c>
      <c r="E255" s="111">
        <f>D255/C255</f>
        <v>0.22261484098939929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591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0.19627749576988154</v>
      </c>
      <c r="F260" s="159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0.18443316412859559</v>
      </c>
      <c r="F261" s="159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0.16412859560067683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0.155668358714044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59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1042</v>
      </c>
      <c r="C267" s="110">
        <f>COSEIDIcam</f>
        <v>283</v>
      </c>
      <c r="D267" s="110">
        <v>59</v>
      </c>
      <c r="E267" s="111">
        <f>D267/C267</f>
        <v>0.20848056537102475</v>
      </c>
      <c r="F267" s="160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591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-1.015228426395939E-2</v>
      </c>
      <c r="F272" s="159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-2.7072758037225041E-2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-3.7225042301184431E-2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59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1042</v>
      </c>
      <c r="C278" s="110">
        <f>COSEIDIcam</f>
        <v>283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591</v>
      </c>
      <c r="D281" s="98"/>
      <c r="E281" s="103"/>
      <c r="F281" s="158">
        <v>46168</v>
      </c>
    </row>
    <row r="282" spans="2:6" x14ac:dyDescent="0.25">
      <c r="B282" s="53" t="s">
        <v>6</v>
      </c>
      <c r="C282" s="66">
        <f>'RESUMEN TOTAL'!AR3</f>
        <v>86</v>
      </c>
      <c r="D282" s="54"/>
      <c r="E282" s="55">
        <f>C282/C281</f>
        <v>0.1455160744500846</v>
      </c>
      <c r="F282" s="159"/>
    </row>
    <row r="283" spans="2:6" x14ac:dyDescent="0.25">
      <c r="B283" s="53" t="s">
        <v>1220</v>
      </c>
      <c r="C283" s="67">
        <v>7</v>
      </c>
      <c r="D283" s="100">
        <f>C282-C283</f>
        <v>79</v>
      </c>
      <c r="E283" s="55">
        <f>D283/C281</f>
        <v>0.13367174280879865</v>
      </c>
      <c r="F283" s="159"/>
    </row>
    <row r="284" spans="2:6" x14ac:dyDescent="0.25">
      <c r="B284" s="53" t="s">
        <v>1221</v>
      </c>
      <c r="C284" s="67">
        <v>12</v>
      </c>
      <c r="D284" s="100">
        <f>D283-C284</f>
        <v>67</v>
      </c>
      <c r="E284" s="55">
        <f>D284/C281</f>
        <v>0.11336717428087986</v>
      </c>
      <c r="F284" s="159"/>
    </row>
    <row r="285" spans="2:6" x14ac:dyDescent="0.25">
      <c r="B285" s="53" t="s">
        <v>15</v>
      </c>
      <c r="C285" s="91">
        <v>5</v>
      </c>
      <c r="D285" s="100">
        <f>D284-C285</f>
        <v>62</v>
      </c>
      <c r="E285" s="55">
        <f>D285/C281</f>
        <v>0.10490693739424704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59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59"/>
    </row>
    <row r="289" spans="2:6" ht="15.75" thickBot="1" x14ac:dyDescent="0.3">
      <c r="B289" s="109" t="s">
        <v>1042</v>
      </c>
      <c r="C289" s="110">
        <f>COSEIDIcam</f>
        <v>283</v>
      </c>
      <c r="D289" s="110">
        <v>54</v>
      </c>
      <c r="E289" s="111">
        <f>D289/C289</f>
        <v>0.19081272084805653</v>
      </c>
      <c r="F289" s="160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591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84</v>
      </c>
      <c r="D293" s="54"/>
      <c r="E293" s="55">
        <f>C293/C292</f>
        <v>0.14213197969543148</v>
      </c>
      <c r="F293" s="159"/>
    </row>
    <row r="294" spans="2:6" x14ac:dyDescent="0.25">
      <c r="B294" s="53" t="s">
        <v>1220</v>
      </c>
      <c r="C294" s="67">
        <v>8</v>
      </c>
      <c r="D294" s="100">
        <f>C293-C294</f>
        <v>76</v>
      </c>
      <c r="E294" s="55">
        <f>D294/C292</f>
        <v>0.12859560067681894</v>
      </c>
      <c r="F294" s="159"/>
    </row>
    <row r="295" spans="2:6" x14ac:dyDescent="0.25">
      <c r="B295" s="53" t="s">
        <v>1221</v>
      </c>
      <c r="C295" s="67">
        <v>12</v>
      </c>
      <c r="D295" s="100">
        <f>D294-C295</f>
        <v>64</v>
      </c>
      <c r="E295" s="55">
        <f>D295/C292</f>
        <v>0.10829103214890017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59</v>
      </c>
      <c r="E296" s="55">
        <f>D296/C292</f>
        <v>9.9830795262267347E-2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59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1042</v>
      </c>
      <c r="C300" s="110">
        <f>COSEIDIcam</f>
        <v>283</v>
      </c>
      <c r="D300" s="110">
        <v>57</v>
      </c>
      <c r="E300" s="111">
        <f>D300/C300</f>
        <v>0.20141342756183744</v>
      </c>
      <c r="F300" s="160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591</v>
      </c>
      <c r="D303" s="98"/>
      <c r="E303" s="103"/>
      <c r="F303" s="158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0.20642978003384094</v>
      </c>
      <c r="F304" s="159"/>
    </row>
    <row r="305" spans="2:6" x14ac:dyDescent="0.25">
      <c r="B305" s="53" t="s">
        <v>1220</v>
      </c>
      <c r="C305" s="67">
        <v>9</v>
      </c>
      <c r="D305" s="100">
        <f>C304-C305</f>
        <v>113</v>
      </c>
      <c r="E305" s="55">
        <f>D305/C303</f>
        <v>0.19120135363790186</v>
      </c>
      <c r="F305" s="159"/>
    </row>
    <row r="306" spans="2:6" x14ac:dyDescent="0.25">
      <c r="B306" s="53" t="s">
        <v>1221</v>
      </c>
      <c r="C306" s="67">
        <v>12</v>
      </c>
      <c r="D306" s="100">
        <f>D305-C306</f>
        <v>101</v>
      </c>
      <c r="E306" s="55">
        <f>D306/C303</f>
        <v>0.17089678510998307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0.16243654822335024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59"/>
    </row>
    <row r="310" spans="2:6" ht="16.5" thickTop="1" thickBot="1" x14ac:dyDescent="0.3">
      <c r="B310" s="95" t="s">
        <v>1041</v>
      </c>
      <c r="C310" s="96">
        <v>307</v>
      </c>
      <c r="D310" s="112">
        <v>53</v>
      </c>
      <c r="E310" s="102">
        <f>D310/C310</f>
        <v>0.17263843648208468</v>
      </c>
      <c r="F310" s="159"/>
    </row>
    <row r="311" spans="2:6" ht="15.75" thickBot="1" x14ac:dyDescent="0.3">
      <c r="B311" s="109" t="s">
        <v>1042</v>
      </c>
      <c r="C311" s="110">
        <f>COSEIDIcam</f>
        <v>283</v>
      </c>
      <c r="D311" s="110">
        <v>69</v>
      </c>
      <c r="E311" s="111">
        <f>D311/C311</f>
        <v>0.24381625441696114</v>
      </c>
      <c r="F311" s="160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591</v>
      </c>
      <c r="D314" s="98"/>
      <c r="E314" s="103"/>
      <c r="F314" s="158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0.19627749576988154</v>
      </c>
      <c r="F315" s="159"/>
    </row>
    <row r="316" spans="2:6" x14ac:dyDescent="0.25">
      <c r="B316" s="53" t="s">
        <v>1220</v>
      </c>
      <c r="C316" s="67">
        <v>8</v>
      </c>
      <c r="D316" s="100">
        <f>C315-C316</f>
        <v>108</v>
      </c>
      <c r="E316" s="55">
        <f>D316/C314</f>
        <v>0.18274111675126903</v>
      </c>
      <c r="F316" s="159"/>
    </row>
    <row r="317" spans="2:6" x14ac:dyDescent="0.25">
      <c r="B317" s="53" t="s">
        <v>1221</v>
      </c>
      <c r="C317" s="67">
        <v>12</v>
      </c>
      <c r="D317" s="100">
        <f>D316-C318</f>
        <v>103</v>
      </c>
      <c r="E317" s="55">
        <f>D317/C314</f>
        <v>0.17428087986463622</v>
      </c>
      <c r="F317" s="159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0.16582064297800339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59"/>
    </row>
    <row r="321" spans="2:6" ht="16.5" thickTop="1" thickBot="1" x14ac:dyDescent="0.3">
      <c r="B321" s="95" t="s">
        <v>1041</v>
      </c>
      <c r="C321" s="96">
        <v>307</v>
      </c>
      <c r="D321" s="112">
        <v>49</v>
      </c>
      <c r="E321" s="102">
        <f>D321/C321</f>
        <v>0.15960912052117263</v>
      </c>
      <c r="F321" s="159"/>
    </row>
    <row r="322" spans="2:6" ht="15.75" thickBot="1" x14ac:dyDescent="0.3">
      <c r="B322" s="109" t="s">
        <v>1042</v>
      </c>
      <c r="C322" s="110">
        <f>COSEIDIcam</f>
        <v>283</v>
      </c>
      <c r="D322" s="110">
        <v>67</v>
      </c>
      <c r="E322" s="102">
        <f>D322/C322</f>
        <v>0.23674911660777384</v>
      </c>
      <c r="F322" s="160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591</v>
      </c>
      <c r="D325" s="98"/>
      <c r="E325" s="103"/>
      <c r="F325" s="158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-1.015228426395939E-2</v>
      </c>
      <c r="F327" s="159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-3.0456852791878174E-2</v>
      </c>
      <c r="F328" s="159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-3.8917089678510999E-2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59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59"/>
    </row>
    <row r="333" spans="2:6" ht="15.75" thickBot="1" x14ac:dyDescent="0.3">
      <c r="B333" s="109" t="s">
        <v>1042</v>
      </c>
      <c r="C333" s="110">
        <f>COSEIDIcam</f>
        <v>283</v>
      </c>
      <c r="D333" s="110">
        <v>66</v>
      </c>
      <c r="E333" s="111">
        <f>D333/C333</f>
        <v>0.2332155477031802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591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59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1042</v>
      </c>
      <c r="C345" s="110">
        <f>COSEIDIcam</f>
        <v>283</v>
      </c>
      <c r="D345" s="110">
        <v>77</v>
      </c>
      <c r="E345" s="111">
        <f>D345/C345</f>
        <v>0.27208480565371024</v>
      </c>
      <c r="F345" s="160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2026-05-27T18:57:52Z</dcterms:modified>
</cp:coreProperties>
</file>