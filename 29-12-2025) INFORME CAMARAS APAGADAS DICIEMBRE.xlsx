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13_ncr:1_{DEB0A13F-4A5C-4352-8B5D-A0C5B38FC814}" xr6:coauthVersionLast="47" xr6:coauthVersionMax="47" xr10:uidLastSave="{00000000-0000-0000-0000-000000000000}"/>
  <bookViews>
    <workbookView minimized="1" xWindow="5460" yWindow="2940" windowWidth="15375" windowHeight="8325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<sst xmlns="http://schemas.openxmlformats.org/spreadsheetml/2006/main" count="7644" uniqueCount="2289">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</sst>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33</c:v>
                </c:pt>
                <c:pt idx="28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0.10891089108910891</c:v>
                      </c:pt>
                      <c:pt idx="28">
                        <c:v>0.12211221122112212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0.22222222222222221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0.10891089108910891</c:v>
                </c:pt>
                <c:pt idx="28">
                  <c:v>0.12211221122112212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33</c:v>
                      </c:pt>
                      <c:pt idx="28">
                        <c:v>37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60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36</c:v>
                </c:pt>
                <c:pt idx="27">
                  <c:v>33</c:v>
                </c:pt>
                <c:pt idx="2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68</c:v>
                </c:pt>
                <c:pt idx="27">
                  <c:v>0</c:v>
                </c:pt>
                <c:pt idx="28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0.11881188118811881</c:v>
                      </c:pt>
                      <c:pt idx="27">
                        <c:v>0.10891089108910891</c:v>
                      </c:pt>
                      <c:pt idx="28">
                        <c:v>0.12211221122112212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0.25185185185185183</c:v>
                      </c:pt>
                      <c:pt idx="27">
                        <c:v>0</c:v>
                      </c:pt>
                      <c:pt idx="28">
                        <c:v>0.22222222222222221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0.11881188118811881</c:v>
                </c:pt>
                <c:pt idx="27">
                  <c:v>0.10891089108910891</c:v>
                </c:pt>
                <c:pt idx="28">
                  <c:v>0.12211221122112212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0.25185185185185183</c:v>
                </c:pt>
                <c:pt idx="27">
                  <c:v>0</c:v>
                </c:pt>
                <c:pt idx="28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36</c:v>
                      </c:pt>
                      <c:pt idx="27">
                        <c:v>33</c:v>
                      </c:pt>
                      <c:pt idx="28">
                        <c:v>37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68</c:v>
                      </c:pt>
                      <c:pt idx="27">
                        <c:v>0</c:v>
                      </c:pt>
                      <c:pt idx="28">
                        <c:v>60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zoomScale="57" zoomScaleNormal="57" workbookViewId="0">
      <pane xSplit="12" ySplit="7" topLeftCell="AO420" activePane="bottomRight" state="frozen"/>
      <selection pane="topRight" activeCell="M1" sqref="M1"/>
      <selection pane="bottomLeft" activeCell="A5" sqref="A5"/>
      <selection pane="bottomRight" activeCell="D547" sqref="D54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0.13554216867469879</v>
      </c>
      <c r="AK1" s="3">
        <f t="shared" si="1"/>
        <v>0.15712187958883994</v>
      </c>
      <c r="AL1" s="3">
        <f t="shared" si="1"/>
        <v>0.14200298953662183</v>
      </c>
      <c r="AM1" s="3">
        <f t="shared" si="1"/>
        <v>0.15339233038348082</v>
      </c>
      <c r="AN1" s="3">
        <f t="shared" si="1"/>
        <v>0.14836795252225518</v>
      </c>
      <c r="AO1" s="3">
        <f t="shared" si="1"/>
        <v>0.14456035767511177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90</v>
      </c>
      <c r="AK3" s="126">
        <f t="shared" si="4"/>
        <v>107</v>
      </c>
      <c r="AL3" s="126">
        <f t="shared" si="4"/>
        <v>95</v>
      </c>
      <c r="AM3" s="126">
        <f t="shared" si="4"/>
        <v>104</v>
      </c>
      <c r="AN3" s="126">
        <f t="shared" si="4"/>
        <v>100</v>
      </c>
      <c r="AO3" s="126">
        <f t="shared" si="4"/>
        <v>97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38</v>
      </c>
      <c r="AK4" s="10">
        <f>COUNTIFS(AK8:AK689, "=APAGADO",F8:F689,"=Fibra Optica")</f>
        <v>57</v>
      </c>
      <c r="AL4" s="10">
        <f>COUNTIFS(AL8:AL689, "=APAGADO",F8:F689,"=Fibra Optica")</f>
        <v>46</v>
      </c>
      <c r="AM4" s="10">
        <f>COUNTIFS(AM8:AM689, "=APAGADO",F8:F689,"=Fibra Optica")</f>
        <v>61</v>
      </c>
      <c r="AN4" s="10">
        <f>COUNTIFS(AN8:AN689, "=APAGADO",F8:F689,"=Fibra Optica")</f>
        <v>55</v>
      </c>
      <c r="AO4" s="10">
        <f>COUNTIFS(AO8:AO689, "=APAGADO",F8:F689,"=Fibra Optica")</f>
        <v>50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5</v>
      </c>
      <c r="AK5" s="130">
        <f>COUNTIFS(AK8:AK689, "=APAGADO",F8:F689,"=RADIO")</f>
        <v>5</v>
      </c>
      <c r="AL5" s="130">
        <f>COUNTIFS(AL8:AL689, "=APAGADO",F8:F689,"=RADIO")</f>
        <v>5</v>
      </c>
      <c r="AM5" s="130">
        <f>COUNTIFS(AM8:AM689, "=APAGADO",F8:F689,"=RADIO")</f>
        <v>6</v>
      </c>
      <c r="AN5" s="130">
        <f>COUNTIFS(AN8:AN689, "=APAGADO",F8:F689,"=RADIO")</f>
        <v>5</v>
      </c>
      <c r="AO5" s="130">
        <f>COUNTIFS(AO8:AO689, "=APAGADO",F8:F689,"=RADIO")</f>
        <v>5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14</v>
      </c>
      <c r="AK6" s="10">
        <f>COUNTIFS(AK8:AK689, "=APAGADO",F8:F689,"=PTO A FO")</f>
        <v>12</v>
      </c>
      <c r="AL6" s="10">
        <f>COUNTIFS(AL8:AL689, "=APAGADO",F8:F689,"=PTO A FO")</f>
        <v>12</v>
      </c>
      <c r="AM6" s="10">
        <f>COUNTIFS(AM8:AM689, "=APAGADO",F8:F689,"=PTO A FO")</f>
        <v>11</v>
      </c>
      <c r="AN6" s="10">
        <f>COUNTIFS(AN8:AN689, "=APAGADO",F8:F689,"=PTO A FO")</f>
        <v>10</v>
      </c>
      <c r="AO6" s="10">
        <f>COUNTIFS(AO8:AO689, "=APAGADO",F8:F689,"=PTO A FO")</f>
        <v>10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15</v>
      </c>
      <c r="J8" s="147" t="s">
        <v>1667</v>
      </c>
      <c r="K8" s="31">
        <f t="shared" ref="K8:K85" si="6">COUNTIF(M8:AN8,"APAGADO")</f>
        <v>13</v>
      </c>
      <c r="L8" s="32">
        <f t="shared" ref="L8:L85" si="7">(I8)/(K8+I8)</f>
        <v>0.5357142857142857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 t="s">
        <v>2213</v>
      </c>
      <c r="AK8" s="70" t="s">
        <v>2213</v>
      </c>
      <c r="AL8" s="70" t="s">
        <v>2213</v>
      </c>
      <c r="AM8" s="70" t="s">
        <v>2213</v>
      </c>
      <c r="AN8" s="70" t="s">
        <v>2213</v>
      </c>
      <c r="AO8" s="70" t="s">
        <v>2213</v>
      </c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15</v>
      </c>
      <c r="J9" s="147" t="s">
        <v>1668</v>
      </c>
      <c r="K9" s="31">
        <f t="shared" si="6"/>
        <v>13</v>
      </c>
      <c r="L9" s="32">
        <f t="shared" si="7"/>
        <v>0.5357142857142857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 t="s">
        <v>2213</v>
      </c>
      <c r="AK9" s="70" t="s">
        <v>2213</v>
      </c>
      <c r="AL9" s="70" t="s">
        <v>2213</v>
      </c>
      <c r="AM9" s="70" t="s">
        <v>2213</v>
      </c>
      <c r="AN9" s="70" t="s">
        <v>2213</v>
      </c>
      <c r="AO9" s="70" t="s">
        <v>2213</v>
      </c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16</v>
      </c>
      <c r="J14" s="147" t="s">
        <v>1673</v>
      </c>
      <c r="K14" s="31">
        <f t="shared" si="6"/>
        <v>12</v>
      </c>
      <c r="L14" s="32">
        <f t="shared" si="7"/>
        <v>0.5714285714285714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 t="s">
        <v>2213</v>
      </c>
      <c r="AK14" s="70" t="s">
        <v>2213</v>
      </c>
      <c r="AL14" s="70" t="s">
        <v>2213</v>
      </c>
      <c r="AM14" s="70" t="s">
        <v>2213</v>
      </c>
      <c r="AN14" s="70"/>
      <c r="AO14" s="70" t="s">
        <v>2213</v>
      </c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1</v>
      </c>
      <c r="J17" s="150" t="s">
        <v>1676</v>
      </c>
      <c r="K17" s="142">
        <f t="shared" si="6"/>
        <v>27</v>
      </c>
      <c r="L17" s="143">
        <f t="shared" si="7"/>
        <v>3.5714285714285712E-2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 t="s">
        <v>2213</v>
      </c>
      <c r="AK17" s="70" t="s">
        <v>2213</v>
      </c>
      <c r="AL17" s="70" t="s">
        <v>2213</v>
      </c>
      <c r="AM17" s="70"/>
      <c r="AN17" s="70" t="s">
        <v>2213</v>
      </c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1</v>
      </c>
      <c r="J19" s="147" t="s">
        <v>1677</v>
      </c>
      <c r="K19" s="31">
        <f t="shared" si="6"/>
        <v>27</v>
      </c>
      <c r="L19" s="32">
        <f t="shared" si="7"/>
        <v>3.5714285714285712E-2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 t="s">
        <v>2213</v>
      </c>
      <c r="AK19" s="70" t="s">
        <v>2213</v>
      </c>
      <c r="AL19" s="70" t="s">
        <v>2213</v>
      </c>
      <c r="AM19" s="70" t="s">
        <v>2213</v>
      </c>
      <c r="AN19" s="70" t="s">
        <v>2213</v>
      </c>
      <c r="AO19" s="70" t="s">
        <v>2213</v>
      </c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1</v>
      </c>
      <c r="J20" s="147" t="s">
        <v>1678</v>
      </c>
      <c r="K20" s="31">
        <f t="shared" si="6"/>
        <v>27</v>
      </c>
      <c r="L20" s="32">
        <f t="shared" si="7"/>
        <v>3.5714285714285712E-2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 t="s">
        <v>2213</v>
      </c>
      <c r="AK20" s="70" t="s">
        <v>2213</v>
      </c>
      <c r="AL20" s="70" t="s">
        <v>2213</v>
      </c>
      <c r="AM20" s="70" t="s">
        <v>2213</v>
      </c>
      <c r="AN20" s="70" t="s">
        <v>2213</v>
      </c>
      <c r="AO20" s="70" t="s">
        <v>2213</v>
      </c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27</v>
      </c>
      <c r="J21" s="147" t="s">
        <v>1679</v>
      </c>
      <c r="K21" s="31">
        <f t="shared" si="6"/>
        <v>1</v>
      </c>
      <c r="L21" s="32">
        <f t="shared" si="7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 t="s">
        <v>2213</v>
      </c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1682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2213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1683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2213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1684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2213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1685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2213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0</v>
      </c>
      <c r="J34" s="147" t="s">
        <v>1689</v>
      </c>
      <c r="K34" s="134">
        <f t="shared" si="6"/>
        <v>28</v>
      </c>
      <c r="L34" s="135">
        <f t="shared" si="7"/>
        <v>0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 t="s">
        <v>2213</v>
      </c>
      <c r="AK34" s="136" t="s">
        <v>2213</v>
      </c>
      <c r="AL34" s="136" t="s">
        <v>2213</v>
      </c>
      <c r="AM34" s="136" t="s">
        <v>2213</v>
      </c>
      <c r="AN34" s="136" t="s">
        <v>2213</v>
      </c>
      <c r="AO34" s="136" t="s">
        <v>2213</v>
      </c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0</v>
      </c>
      <c r="J36" s="87" t="s">
        <v>2157</v>
      </c>
      <c r="K36" s="142">
        <f t="shared" si="6"/>
        <v>28</v>
      </c>
      <c r="L36" s="143">
        <f t="shared" si="7"/>
        <v>0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 t="s">
        <v>2213</v>
      </c>
      <c r="AK36" s="70" t="s">
        <v>2213</v>
      </c>
      <c r="AL36" s="70" t="s">
        <v>2213</v>
      </c>
      <c r="AM36" s="70" t="s">
        <v>2213</v>
      </c>
      <c r="AN36" s="70" t="s">
        <v>2213</v>
      </c>
      <c r="AO36" s="70" t="s">
        <v>2213</v>
      </c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19</v>
      </c>
      <c r="J38" s="147" t="s">
        <v>1690</v>
      </c>
      <c r="K38" s="31">
        <f t="shared" si="6"/>
        <v>9</v>
      </c>
      <c r="L38" s="32">
        <f t="shared" si="7"/>
        <v>0.6785714285714286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 t="s">
        <v>2213</v>
      </c>
      <c r="AL38" s="70"/>
      <c r="AM38" s="70" t="s">
        <v>2213</v>
      </c>
      <c r="AN38" s="70" t="s">
        <v>2213</v>
      </c>
      <c r="AO38" s="70" t="s">
        <v>2213</v>
      </c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19</v>
      </c>
      <c r="J39" s="147" t="s">
        <v>1691</v>
      </c>
      <c r="K39" s="31">
        <f t="shared" si="6"/>
        <v>9</v>
      </c>
      <c r="L39" s="32">
        <f t="shared" si="7"/>
        <v>0.6785714285714286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 t="s">
        <v>2213</v>
      </c>
      <c r="AL39" s="70"/>
      <c r="AM39" s="70" t="s">
        <v>2213</v>
      </c>
      <c r="AN39" s="70" t="s">
        <v>2213</v>
      </c>
      <c r="AO39" s="70" t="s">
        <v>2213</v>
      </c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17</v>
      </c>
      <c r="J43" s="87" t="s">
        <v>2192</v>
      </c>
      <c r="K43" s="31">
        <f t="shared" si="6"/>
        <v>11</v>
      </c>
      <c r="L43" s="32">
        <f t="shared" si="7"/>
        <v>0.6071428571428571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 t="s">
        <v>2213</v>
      </c>
      <c r="AL43" s="70"/>
      <c r="AM43" s="70" t="s">
        <v>2213</v>
      </c>
      <c r="AN43" s="70" t="s">
        <v>2213</v>
      </c>
      <c r="AO43" s="70" t="s">
        <v>2213</v>
      </c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26</v>
      </c>
      <c r="J44" s="153" t="s">
        <v>2248</v>
      </c>
      <c r="K44" s="31">
        <f t="shared" si="6"/>
        <v>2</v>
      </c>
      <c r="L44" s="32">
        <f t="shared" si="7"/>
        <v>0.9285714285714286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 t="s">
        <v>2213</v>
      </c>
      <c r="AN44" s="70" t="s">
        <v>2213</v>
      </c>
      <c r="AO44" s="70" t="s">
        <v>2213</v>
      </c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26</v>
      </c>
      <c r="J45" s="153" t="s">
        <v>2253</v>
      </c>
      <c r="K45" s="31">
        <f t="shared" si="6"/>
        <v>2</v>
      </c>
      <c r="L45" s="32">
        <f t="shared" si="7"/>
        <v>0.9285714285714286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 t="s">
        <v>2213</v>
      </c>
      <c r="AN45" s="70" t="s">
        <v>2213</v>
      </c>
      <c r="AO45" s="70" t="s">
        <v>2213</v>
      </c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1718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 t="s">
        <v>2213</v>
      </c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25</v>
      </c>
      <c r="J88" s="147" t="s">
        <v>1732</v>
      </c>
      <c r="K88" s="31">
        <f t="shared" si="9"/>
        <v>3</v>
      </c>
      <c r="L88" s="32">
        <f t="shared" si="10"/>
        <v>0.8928571428571429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 t="s">
        <v>2213</v>
      </c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2</v>
      </c>
      <c r="J89" s="147" t="s">
        <v>1733</v>
      </c>
      <c r="K89" s="31">
        <f t="shared" si="9"/>
        <v>26</v>
      </c>
      <c r="L89" s="32">
        <f t="shared" si="10"/>
        <v>7.1428571428571425E-2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 t="s">
        <v>2213</v>
      </c>
      <c r="AK89" s="70" t="s">
        <v>2213</v>
      </c>
      <c r="AL89" s="70" t="s">
        <v>2213</v>
      </c>
      <c r="AM89" s="70"/>
      <c r="AN89" s="70" t="s">
        <v>2213</v>
      </c>
      <c r="AO89" s="70" t="s">
        <v>2213</v>
      </c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24</v>
      </c>
      <c r="J95" s="147" t="s">
        <v>1739</v>
      </c>
      <c r="K95" s="142">
        <f t="shared" si="9"/>
        <v>4</v>
      </c>
      <c r="L95" s="143">
        <f t="shared" si="10"/>
        <v>0.8571428571428571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 t="s">
        <v>2213</v>
      </c>
      <c r="AK95" s="70" t="s">
        <v>2213</v>
      </c>
      <c r="AL95" s="70" t="s">
        <v>2213</v>
      </c>
      <c r="AM95" s="70"/>
      <c r="AN95" s="70" t="s">
        <v>2213</v>
      </c>
      <c r="AO95" s="70" t="s">
        <v>2213</v>
      </c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 t="s">
        <v>2213</v>
      </c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1</v>
      </c>
      <c r="J99" s="147" t="s">
        <v>1743</v>
      </c>
      <c r="K99" s="142">
        <f t="shared" si="9"/>
        <v>27</v>
      </c>
      <c r="L99" s="143">
        <f t="shared" si="10"/>
        <v>3.5714285714285712E-2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 t="s">
        <v>2213</v>
      </c>
      <c r="AK99" s="70" t="s">
        <v>2213</v>
      </c>
      <c r="AL99" s="70" t="s">
        <v>2213</v>
      </c>
      <c r="AM99" s="70"/>
      <c r="AN99" s="70" t="s">
        <v>2213</v>
      </c>
      <c r="AO99" s="70" t="s">
        <v>2213</v>
      </c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23</v>
      </c>
      <c r="J112" s="147" t="s">
        <v>1756</v>
      </c>
      <c r="K112" s="142">
        <f t="shared" si="9"/>
        <v>5</v>
      </c>
      <c r="L112" s="143">
        <f t="shared" si="10"/>
        <v>0.8214285714285714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 t="s">
        <v>2213</v>
      </c>
      <c r="AK112" s="70" t="s">
        <v>2213</v>
      </c>
      <c r="AL112" s="70" t="s">
        <v>2213</v>
      </c>
      <c r="AM112" s="70" t="s">
        <v>2213</v>
      </c>
      <c r="AN112" s="70" t="s">
        <v>2213</v>
      </c>
      <c r="AO112" s="70" t="s">
        <v>2213</v>
      </c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23</v>
      </c>
      <c r="J113" s="147" t="s">
        <v>1755</v>
      </c>
      <c r="K113" s="142">
        <f t="shared" si="9"/>
        <v>5</v>
      </c>
      <c r="L113" s="143">
        <f t="shared" si="10"/>
        <v>0.8214285714285714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 t="s">
        <v>2213</v>
      </c>
      <c r="AK113" s="70" t="s">
        <v>2213</v>
      </c>
      <c r="AL113" s="70" t="s">
        <v>2213</v>
      </c>
      <c r="AM113" s="70" t="s">
        <v>2213</v>
      </c>
      <c r="AN113" s="70" t="s">
        <v>2213</v>
      </c>
      <c r="AO113" s="70" t="s">
        <v>2213</v>
      </c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 t="s">
        <v>2213</v>
      </c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16</v>
      </c>
      <c r="J130" s="147" t="s">
        <v>1773</v>
      </c>
      <c r="K130" s="31">
        <f t="shared" si="9"/>
        <v>12</v>
      </c>
      <c r="L130" s="32">
        <f t="shared" si="10"/>
        <v>0.5714285714285714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 t="s">
        <v>2213</v>
      </c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25</v>
      </c>
      <c r="J132" s="147" t="s">
        <v>1775</v>
      </c>
      <c r="K132" s="142">
        <f t="shared" si="9"/>
        <v>3</v>
      </c>
      <c r="L132" s="143">
        <f t="shared" si="10"/>
        <v>0.8928571428571429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 t="s">
        <v>2213</v>
      </c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16</v>
      </c>
      <c r="J151" s="87"/>
      <c r="K151" s="31">
        <f t="shared" si="9"/>
        <v>12</v>
      </c>
      <c r="L151" s="32">
        <f t="shared" si="10"/>
        <v>0.5714285714285714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 t="s">
        <v>2213</v>
      </c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0</v>
      </c>
      <c r="J168" s="147" t="s">
        <v>1801</v>
      </c>
      <c r="K168" s="31">
        <f t="shared" si="12"/>
        <v>28</v>
      </c>
      <c r="L168" s="32">
        <f t="shared" si="13"/>
        <v>0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 t="s">
        <v>2213</v>
      </c>
      <c r="AK168" s="70" t="s">
        <v>2213</v>
      </c>
      <c r="AL168" s="70" t="s">
        <v>2213</v>
      </c>
      <c r="AM168" s="70" t="s">
        <v>2213</v>
      </c>
      <c r="AN168" s="70" t="s">
        <v>2213</v>
      </c>
      <c r="AO168" s="70" t="s">
        <v>2213</v>
      </c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17</v>
      </c>
      <c r="J169" s="147" t="s">
        <v>1802</v>
      </c>
      <c r="K169" s="31">
        <f t="shared" si="12"/>
        <v>11</v>
      </c>
      <c r="L169" s="32">
        <f t="shared" si="13"/>
        <v>0.6071428571428571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 t="s">
        <v>2213</v>
      </c>
      <c r="AK169" s="70" t="s">
        <v>2213</v>
      </c>
      <c r="AL169" s="70" t="s">
        <v>2213</v>
      </c>
      <c r="AM169" s="70" t="s">
        <v>2213</v>
      </c>
      <c r="AN169" s="70" t="s">
        <v>2213</v>
      </c>
      <c r="AO169" s="70" t="s">
        <v>2213</v>
      </c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16</v>
      </c>
      <c r="J180" s="147" t="s">
        <v>1812</v>
      </c>
      <c r="K180" s="31">
        <f t="shared" si="12"/>
        <v>12</v>
      </c>
      <c r="L180" s="32">
        <f t="shared" si="13"/>
        <v>0.5714285714285714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 t="s">
        <v>2213</v>
      </c>
      <c r="AK180" s="70" t="s">
        <v>2213</v>
      </c>
      <c r="AL180" s="70" t="s">
        <v>2213</v>
      </c>
      <c r="AM180" s="70" t="s">
        <v>2213</v>
      </c>
      <c r="AN180" s="70" t="s">
        <v>2213</v>
      </c>
      <c r="AO180" s="70" t="s">
        <v>2213</v>
      </c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16</v>
      </c>
      <c r="J181" s="147" t="s">
        <v>1813</v>
      </c>
      <c r="K181" s="31">
        <f t="shared" si="12"/>
        <v>12</v>
      </c>
      <c r="L181" s="32">
        <f t="shared" si="13"/>
        <v>0.5714285714285714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 t="s">
        <v>2213</v>
      </c>
      <c r="AK181" s="70" t="s">
        <v>2213</v>
      </c>
      <c r="AL181" s="70" t="s">
        <v>2213</v>
      </c>
      <c r="AM181" s="70" t="s">
        <v>2213</v>
      </c>
      <c r="AN181" s="70" t="s">
        <v>2213</v>
      </c>
      <c r="AO181" s="70" t="s">
        <v>2213</v>
      </c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16</v>
      </c>
      <c r="J182" s="147" t="s">
        <v>1814</v>
      </c>
      <c r="K182" s="31">
        <f t="shared" si="12"/>
        <v>12</v>
      </c>
      <c r="L182" s="32">
        <f t="shared" si="13"/>
        <v>0.5714285714285714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 t="s">
        <v>2213</v>
      </c>
      <c r="AK182" s="70" t="s">
        <v>2213</v>
      </c>
      <c r="AL182" s="70" t="s">
        <v>2213</v>
      </c>
      <c r="AM182" s="70" t="s">
        <v>2213</v>
      </c>
      <c r="AN182" s="70" t="s">
        <v>2213</v>
      </c>
      <c r="AO182" s="70" t="s">
        <v>2213</v>
      </c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14</v>
      </c>
      <c r="J183" s="147" t="s">
        <v>1815</v>
      </c>
      <c r="K183" s="31">
        <f t="shared" si="12"/>
        <v>14</v>
      </c>
      <c r="L183" s="32">
        <f t="shared" si="13"/>
        <v>0.5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 t="s">
        <v>2213</v>
      </c>
      <c r="AK183" s="70" t="s">
        <v>2213</v>
      </c>
      <c r="AL183" s="70" t="s">
        <v>2213</v>
      </c>
      <c r="AM183" s="70" t="s">
        <v>2213</v>
      </c>
      <c r="AN183" s="70" t="s">
        <v>2213</v>
      </c>
      <c r="AO183" s="70" t="s">
        <v>2213</v>
      </c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26</v>
      </c>
      <c r="J191" s="147" t="s">
        <v>1820</v>
      </c>
      <c r="K191" s="31">
        <f t="shared" si="12"/>
        <v>2</v>
      </c>
      <c r="L191" s="32">
        <f t="shared" si="13"/>
        <v>0.9285714285714286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 t="s">
        <v>2213</v>
      </c>
      <c r="AN191" s="70" t="s">
        <v>2213</v>
      </c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26</v>
      </c>
      <c r="J192" s="147" t="s">
        <v>1821</v>
      </c>
      <c r="K192" s="31">
        <f t="shared" si="12"/>
        <v>2</v>
      </c>
      <c r="L192" s="32">
        <f t="shared" si="13"/>
        <v>0.9285714285714286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 t="s">
        <v>2213</v>
      </c>
      <c r="AN192" s="70" t="s">
        <v>2213</v>
      </c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1</v>
      </c>
      <c r="J193" s="87"/>
      <c r="K193" s="138">
        <f t="shared" si="12"/>
        <v>27</v>
      </c>
      <c r="L193" s="139">
        <f t="shared" si="13"/>
        <v>3.5714285714285712E-2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 t="s">
        <v>2213</v>
      </c>
      <c r="AK193" s="140" t="s">
        <v>2213</v>
      </c>
      <c r="AL193" s="140" t="s">
        <v>2213</v>
      </c>
      <c r="AM193" s="140" t="s">
        <v>2213</v>
      </c>
      <c r="AN193" s="140" t="s">
        <v>2213</v>
      </c>
      <c r="AO193" s="140" t="s">
        <v>2213</v>
      </c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12</v>
      </c>
      <c r="J194" s="147" t="s">
        <v>1822</v>
      </c>
      <c r="K194" s="142">
        <f t="shared" si="12"/>
        <v>16</v>
      </c>
      <c r="L194" s="143">
        <f t="shared" si="13"/>
        <v>0.42857142857142855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 t="s">
        <v>2213</v>
      </c>
      <c r="AK194" s="70" t="s">
        <v>2213</v>
      </c>
      <c r="AL194" s="70" t="s">
        <v>2213</v>
      </c>
      <c r="AM194" s="70" t="s">
        <v>2213</v>
      </c>
      <c r="AN194" s="70"/>
      <c r="AO194" s="70" t="s">
        <v>2213</v>
      </c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9</v>
      </c>
      <c r="J195" s="147" t="s">
        <v>1823</v>
      </c>
      <c r="K195" s="142">
        <f t="shared" si="12"/>
        <v>19</v>
      </c>
      <c r="L195" s="143">
        <f t="shared" si="13"/>
        <v>0.32142857142857145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 t="s">
        <v>2213</v>
      </c>
      <c r="AK195" s="70" t="s">
        <v>2213</v>
      </c>
      <c r="AL195" s="70" t="s">
        <v>2213</v>
      </c>
      <c r="AM195" s="70" t="s">
        <v>2213</v>
      </c>
      <c r="AN195" s="70"/>
      <c r="AO195" s="70" t="s">
        <v>2213</v>
      </c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19</v>
      </c>
      <c r="J200" s="147" t="s">
        <v>1827</v>
      </c>
      <c r="K200" s="142">
        <f t="shared" si="12"/>
        <v>9</v>
      </c>
      <c r="L200" s="143">
        <f t="shared" si="13"/>
        <v>0.6785714285714286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 t="s">
        <v>2213</v>
      </c>
      <c r="AK200" s="70"/>
      <c r="AL200" s="70" t="s">
        <v>2213</v>
      </c>
      <c r="AM200" s="70"/>
      <c r="AN200" s="70"/>
      <c r="AO200" s="70" t="s">
        <v>2213</v>
      </c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0</v>
      </c>
      <c r="J201" s="147" t="s">
        <v>1828</v>
      </c>
      <c r="K201" s="31">
        <f t="shared" si="12"/>
        <v>28</v>
      </c>
      <c r="L201" s="32">
        <f t="shared" si="13"/>
        <v>0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 t="s">
        <v>2213</v>
      </c>
      <c r="AK201" s="70" t="s">
        <v>2213</v>
      </c>
      <c r="AL201" s="70" t="s">
        <v>2213</v>
      </c>
      <c r="AM201" s="70" t="s">
        <v>2213</v>
      </c>
      <c r="AN201" s="70" t="s">
        <v>2213</v>
      </c>
      <c r="AO201" s="70" t="s">
        <v>2213</v>
      </c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 t="s">
        <v>2213</v>
      </c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26</v>
      </c>
      <c r="J205" s="147" t="s">
        <v>1832</v>
      </c>
      <c r="K205" s="31">
        <f t="shared" si="12"/>
        <v>2</v>
      </c>
      <c r="L205" s="32">
        <f t="shared" si="13"/>
        <v>0.9285714285714286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 t="s">
        <v>2213</v>
      </c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26</v>
      </c>
      <c r="J206" s="147" t="s">
        <v>1833</v>
      </c>
      <c r="K206" s="31">
        <f t="shared" si="12"/>
        <v>2</v>
      </c>
      <c r="L206" s="32">
        <f t="shared" si="13"/>
        <v>0.9285714285714286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 t="s">
        <v>2213</v>
      </c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10</v>
      </c>
      <c r="J211" s="147" t="s">
        <v>1837</v>
      </c>
      <c r="K211" s="142">
        <f t="shared" si="12"/>
        <v>18</v>
      </c>
      <c r="L211" s="143">
        <f t="shared" si="13"/>
        <v>0.35714285714285715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 t="s">
        <v>2213</v>
      </c>
      <c r="AK211" s="70" t="s">
        <v>2213</v>
      </c>
      <c r="AL211" s="70" t="s">
        <v>2213</v>
      </c>
      <c r="AM211" s="70" t="s">
        <v>2213</v>
      </c>
      <c r="AN211" s="70" t="s">
        <v>2213</v>
      </c>
      <c r="AO211" s="70" t="s">
        <v>2213</v>
      </c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8</v>
      </c>
      <c r="J219" s="87"/>
      <c r="K219" s="31">
        <f t="shared" si="12"/>
        <v>20</v>
      </c>
      <c r="L219" s="32">
        <f t="shared" si="13"/>
        <v>0.2857142857142857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 t="s">
        <v>2213</v>
      </c>
      <c r="AK219" s="70" t="s">
        <v>2213</v>
      </c>
      <c r="AL219" s="70" t="s">
        <v>2213</v>
      </c>
      <c r="AM219" s="70" t="s">
        <v>2213</v>
      </c>
      <c r="AN219" s="70" t="s">
        <v>2213</v>
      </c>
      <c r="AO219" s="70" t="s">
        <v>2213</v>
      </c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8</v>
      </c>
      <c r="J220" s="87"/>
      <c r="K220" s="31">
        <f t="shared" si="12"/>
        <v>20</v>
      </c>
      <c r="L220" s="32">
        <f t="shared" si="13"/>
        <v>0.2857142857142857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 t="s">
        <v>2213</v>
      </c>
      <c r="AK220" s="70" t="s">
        <v>2213</v>
      </c>
      <c r="AL220" s="70" t="s">
        <v>2213</v>
      </c>
      <c r="AM220" s="70" t="s">
        <v>2213</v>
      </c>
      <c r="AN220" s="70" t="s">
        <v>2213</v>
      </c>
      <c r="AO220" s="70" t="s">
        <v>2213</v>
      </c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15</v>
      </c>
      <c r="J232" s="147" t="s">
        <v>1852</v>
      </c>
      <c r="K232" s="31">
        <f t="shared" si="12"/>
        <v>13</v>
      </c>
      <c r="L232" s="32">
        <f t="shared" si="13"/>
        <v>0.5357142857142857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 t="s">
        <v>2213</v>
      </c>
      <c r="AK232" s="70" t="s">
        <v>2213</v>
      </c>
      <c r="AL232" s="70" t="s">
        <v>2213</v>
      </c>
      <c r="AM232" s="70" t="s">
        <v>2213</v>
      </c>
      <c r="AN232" s="70" t="s">
        <v>2213</v>
      </c>
      <c r="AO232" s="70" t="s">
        <v>2213</v>
      </c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25</v>
      </c>
      <c r="J233" s="147" t="s">
        <v>1853</v>
      </c>
      <c r="K233" s="31">
        <f t="shared" si="12"/>
        <v>3</v>
      </c>
      <c r="L233" s="32">
        <f t="shared" si="13"/>
        <v>0.8928571428571429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 t="s">
        <v>2213</v>
      </c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1</v>
      </c>
      <c r="J234" s="147" t="s">
        <v>1854</v>
      </c>
      <c r="K234" s="31">
        <f t="shared" si="12"/>
        <v>27</v>
      </c>
      <c r="L234" s="32">
        <f t="shared" si="13"/>
        <v>3.5714285714285712E-2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 t="s">
        <v>2213</v>
      </c>
      <c r="AK234" s="70" t="s">
        <v>2213</v>
      </c>
      <c r="AL234" s="70" t="s">
        <v>2213</v>
      </c>
      <c r="AM234" s="70" t="s">
        <v>2213</v>
      </c>
      <c r="AN234" s="70" t="s">
        <v>2213</v>
      </c>
      <c r="AO234" s="70" t="s">
        <v>2213</v>
      </c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25</v>
      </c>
      <c r="J242" s="147" t="s">
        <v>1862</v>
      </c>
      <c r="K242" s="31">
        <f t="shared" si="15"/>
        <v>3</v>
      </c>
      <c r="L242" s="32">
        <f t="shared" si="16"/>
        <v>0.8928571428571429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 t="s">
        <v>2213</v>
      </c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25</v>
      </c>
      <c r="J243" s="147" t="s">
        <v>1863</v>
      </c>
      <c r="K243" s="31">
        <f t="shared" si="15"/>
        <v>3</v>
      </c>
      <c r="L243" s="32">
        <f t="shared" si="16"/>
        <v>0.8928571428571429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 t="s">
        <v>2213</v>
      </c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22</v>
      </c>
      <c r="J246" s="147" t="s">
        <v>1866</v>
      </c>
      <c r="K246" s="31">
        <f t="shared" si="15"/>
        <v>6</v>
      </c>
      <c r="L246" s="32">
        <f t="shared" si="16"/>
        <v>0.7857142857142857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 t="s">
        <v>2213</v>
      </c>
      <c r="AL246" s="70" t="s">
        <v>2213</v>
      </c>
      <c r="AM246" s="70" t="s">
        <v>2213</v>
      </c>
      <c r="AN246" s="70" t="s">
        <v>2213</v>
      </c>
      <c r="AO246" s="70" t="s">
        <v>2213</v>
      </c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24</v>
      </c>
      <c r="J260" s="147" t="s">
        <v>1876</v>
      </c>
      <c r="K260" s="31">
        <f t="shared" si="15"/>
        <v>4</v>
      </c>
      <c r="L260" s="32">
        <f t="shared" si="16"/>
        <v>0.8571428571428571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 t="s">
        <v>2213</v>
      </c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24</v>
      </c>
      <c r="J262" s="147" t="s">
        <v>1864</v>
      </c>
      <c r="K262" s="31">
        <f t="shared" si="15"/>
        <v>4</v>
      </c>
      <c r="L262" s="32">
        <f t="shared" si="16"/>
        <v>0.8571428571428571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 t="s">
        <v>2213</v>
      </c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27</v>
      </c>
      <c r="J264" s="147" t="s">
        <v>1879</v>
      </c>
      <c r="K264" s="31">
        <f t="shared" si="15"/>
        <v>1</v>
      </c>
      <c r="L264" s="32">
        <f t="shared" si="16"/>
        <v>0.9642857142857143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 t="s">
        <v>2213</v>
      </c>
      <c r="AO264" s="70" t="s">
        <v>2213</v>
      </c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1</v>
      </c>
      <c r="J281" s="147" t="s">
        <v>1893</v>
      </c>
      <c r="K281" s="31">
        <f t="shared" si="15"/>
        <v>27</v>
      </c>
      <c r="L281" s="32">
        <f t="shared" si="16"/>
        <v>3.5714285714285712E-2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 t="s">
        <v>2213</v>
      </c>
      <c r="AK281" s="70" t="s">
        <v>2213</v>
      </c>
      <c r="AL281" s="70" t="s">
        <v>2213</v>
      </c>
      <c r="AM281" s="70" t="s">
        <v>2213</v>
      </c>
      <c r="AN281" s="70" t="s">
        <v>2213</v>
      </c>
      <c r="AO281" s="70" t="s">
        <v>2213</v>
      </c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12</v>
      </c>
      <c r="J290" s="147" t="s">
        <v>1901</v>
      </c>
      <c r="K290" s="31">
        <f t="shared" si="15"/>
        <v>16</v>
      </c>
      <c r="L290" s="32">
        <f t="shared" si="16"/>
        <v>0.42857142857142855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 t="s">
        <v>2213</v>
      </c>
      <c r="AK290" s="70" t="s">
        <v>2213</v>
      </c>
      <c r="AL290" s="70" t="s">
        <v>2213</v>
      </c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12</v>
      </c>
      <c r="J291" s="147" t="s">
        <v>1902</v>
      </c>
      <c r="K291" s="31">
        <f t="shared" si="15"/>
        <v>16</v>
      </c>
      <c r="L291" s="32">
        <f t="shared" si="16"/>
        <v>0.42857142857142855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 t="s">
        <v>2213</v>
      </c>
      <c r="AK291" s="70" t="s">
        <v>2213</v>
      </c>
      <c r="AL291" s="70" t="s">
        <v>2213</v>
      </c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0</v>
      </c>
      <c r="J296" s="147" t="s">
        <v>1907</v>
      </c>
      <c r="K296" s="31">
        <f t="shared" si="15"/>
        <v>28</v>
      </c>
      <c r="L296" s="32">
        <f t="shared" si="16"/>
        <v>0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 t="s">
        <v>2213</v>
      </c>
      <c r="AK296" s="70" t="s">
        <v>2213</v>
      </c>
      <c r="AL296" s="70" t="s">
        <v>2213</v>
      </c>
      <c r="AM296" s="70" t="s">
        <v>2213</v>
      </c>
      <c r="AN296" s="70" t="s">
        <v>2213</v>
      </c>
      <c r="AO296" s="70" t="s">
        <v>2213</v>
      </c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0</v>
      </c>
      <c r="J308" s="147" t="s">
        <v>1918</v>
      </c>
      <c r="K308" s="142">
        <f t="shared" si="15"/>
        <v>28</v>
      </c>
      <c r="L308" s="143">
        <f t="shared" si="16"/>
        <v>0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 t="s">
        <v>2213</v>
      </c>
      <c r="AK308" s="70" t="s">
        <v>2213</v>
      </c>
      <c r="AL308" s="70" t="s">
        <v>2213</v>
      </c>
      <c r="AM308" s="70" t="s">
        <v>2213</v>
      </c>
      <c r="AN308" s="70" t="s">
        <v>2213</v>
      </c>
      <c r="AO308" s="70" t="s">
        <v>2213</v>
      </c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0</v>
      </c>
      <c r="J310" s="147" t="s">
        <v>1919</v>
      </c>
      <c r="K310" s="31">
        <f t="shared" ref="K310:K380" si="18">COUNTIF(M310:AN310,"APAGADO")</f>
        <v>28</v>
      </c>
      <c r="L310" s="32">
        <f t="shared" ref="L310:L380" si="19">(I310)/(K310+I310)</f>
        <v>0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 t="s">
        <v>2213</v>
      </c>
      <c r="AK310" s="70" t="s">
        <v>2213</v>
      </c>
      <c r="AL310" s="70" t="s">
        <v>2213</v>
      </c>
      <c r="AM310" s="70" t="s">
        <v>2213</v>
      </c>
      <c r="AN310" s="70" t="s">
        <v>2213</v>
      </c>
      <c r="AO310" s="70" t="s">
        <v>2213</v>
      </c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0</v>
      </c>
      <c r="J311" s="147" t="s">
        <v>1920</v>
      </c>
      <c r="K311" s="142">
        <f t="shared" si="18"/>
        <v>28</v>
      </c>
      <c r="L311" s="143">
        <f t="shared" si="19"/>
        <v>0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 t="s">
        <v>2213</v>
      </c>
      <c r="AK311" s="70" t="s">
        <v>2213</v>
      </c>
      <c r="AL311" s="70" t="s">
        <v>2213</v>
      </c>
      <c r="AM311" s="70" t="s">
        <v>2213</v>
      </c>
      <c r="AN311" s="70" t="s">
        <v>2213</v>
      </c>
      <c r="AO311" s="70" t="s">
        <v>2213</v>
      </c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0</v>
      </c>
      <c r="J312" s="87" t="s">
        <v>2197</v>
      </c>
      <c r="K312" s="142">
        <f t="shared" si="18"/>
        <v>28</v>
      </c>
      <c r="L312" s="143">
        <f t="shared" si="19"/>
        <v>0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 t="s">
        <v>2213</v>
      </c>
      <c r="AK312" s="70" t="s">
        <v>2213</v>
      </c>
      <c r="AL312" s="70" t="s">
        <v>2213</v>
      </c>
      <c r="AM312" s="70" t="s">
        <v>2213</v>
      </c>
      <c r="AN312" s="70" t="s">
        <v>2213</v>
      </c>
      <c r="AO312" s="70" t="s">
        <v>2213</v>
      </c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0</v>
      </c>
      <c r="J313" s="147" t="s">
        <v>1921</v>
      </c>
      <c r="K313" s="142">
        <f t="shared" si="18"/>
        <v>28</v>
      </c>
      <c r="L313" s="143">
        <f t="shared" si="19"/>
        <v>0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 t="s">
        <v>2213</v>
      </c>
      <c r="AK313" s="70" t="s">
        <v>2213</v>
      </c>
      <c r="AL313" s="70" t="s">
        <v>2213</v>
      </c>
      <c r="AM313" s="70" t="s">
        <v>2213</v>
      </c>
      <c r="AN313" s="70" t="s">
        <v>2213</v>
      </c>
      <c r="AO313" s="70" t="s">
        <v>2213</v>
      </c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2</v>
      </c>
      <c r="J314" s="147" t="s">
        <v>1922</v>
      </c>
      <c r="K314" s="31">
        <f t="shared" si="18"/>
        <v>26</v>
      </c>
      <c r="L314" s="32">
        <f t="shared" si="19"/>
        <v>7.1428571428571425E-2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 t="s">
        <v>2213</v>
      </c>
      <c r="AK314" s="70" t="s">
        <v>2213</v>
      </c>
      <c r="AL314" s="70" t="s">
        <v>2213</v>
      </c>
      <c r="AM314" s="70" t="s">
        <v>2213</v>
      </c>
      <c r="AN314" s="70" t="s">
        <v>2213</v>
      </c>
      <c r="AO314" s="70" t="s">
        <v>2213</v>
      </c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13</v>
      </c>
      <c r="J315" s="147" t="s">
        <v>1923</v>
      </c>
      <c r="K315" s="31">
        <f t="shared" si="18"/>
        <v>15</v>
      </c>
      <c r="L315" s="32">
        <f t="shared" si="19"/>
        <v>0.4642857142857143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 t="s">
        <v>2213</v>
      </c>
      <c r="AK315" s="70" t="s">
        <v>2213</v>
      </c>
      <c r="AL315" s="70" t="s">
        <v>2213</v>
      </c>
      <c r="AM315" s="70" t="s">
        <v>2213</v>
      </c>
      <c r="AN315" s="70" t="s">
        <v>2213</v>
      </c>
      <c r="AO315" s="70" t="s">
        <v>2213</v>
      </c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20</v>
      </c>
      <c r="J316" s="147" t="s">
        <v>1924</v>
      </c>
      <c r="K316" s="31">
        <f t="shared" si="18"/>
        <v>8</v>
      </c>
      <c r="L316" s="32">
        <f t="shared" si="19"/>
        <v>0.7142857142857143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 t="s">
        <v>2213</v>
      </c>
      <c r="AK316" s="70" t="s">
        <v>2213</v>
      </c>
      <c r="AL316" s="70" t="s">
        <v>2213</v>
      </c>
      <c r="AM316" s="70" t="s">
        <v>2213</v>
      </c>
      <c r="AN316" s="70" t="s">
        <v>2213</v>
      </c>
      <c r="AO316" s="70" t="s">
        <v>2213</v>
      </c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18</v>
      </c>
      <c r="J326" s="147" t="s">
        <v>1934</v>
      </c>
      <c r="K326" s="31">
        <f t="shared" si="18"/>
        <v>10</v>
      </c>
      <c r="L326" s="32">
        <f t="shared" si="19"/>
        <v>0.6428571428571429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 t="s">
        <v>2213</v>
      </c>
      <c r="AL326" s="70"/>
      <c r="AM326" s="70" t="s">
        <v>2213</v>
      </c>
      <c r="AN326" s="70" t="s">
        <v>2213</v>
      </c>
      <c r="AO326" s="70" t="s">
        <v>2213</v>
      </c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17</v>
      </c>
      <c r="J327" s="147" t="s">
        <v>1935</v>
      </c>
      <c r="K327" s="31">
        <f t="shared" si="18"/>
        <v>11</v>
      </c>
      <c r="L327" s="32">
        <f t="shared" si="19"/>
        <v>0.6071428571428571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 t="s">
        <v>2213</v>
      </c>
      <c r="AL327" s="70"/>
      <c r="AM327" s="70" t="s">
        <v>2213</v>
      </c>
      <c r="AN327" s="70" t="s">
        <v>2213</v>
      </c>
      <c r="AO327" s="70" t="s">
        <v>2213</v>
      </c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17</v>
      </c>
      <c r="J328" s="147" t="s">
        <v>1936</v>
      </c>
      <c r="K328" s="31">
        <f t="shared" si="18"/>
        <v>11</v>
      </c>
      <c r="L328" s="32">
        <f t="shared" si="19"/>
        <v>0.6071428571428571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 t="s">
        <v>2213</v>
      </c>
      <c r="AL328" s="70"/>
      <c r="AM328" s="70" t="s">
        <v>2213</v>
      </c>
      <c r="AN328" s="70" t="s">
        <v>2213</v>
      </c>
      <c r="AO328" s="70" t="s">
        <v>2213</v>
      </c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17</v>
      </c>
      <c r="J329" s="147" t="s">
        <v>1937</v>
      </c>
      <c r="K329" s="31">
        <f t="shared" si="18"/>
        <v>11</v>
      </c>
      <c r="L329" s="32">
        <f t="shared" si="19"/>
        <v>0.6071428571428571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 t="s">
        <v>2213</v>
      </c>
      <c r="AL329" s="70"/>
      <c r="AM329" s="70" t="s">
        <v>2213</v>
      </c>
      <c r="AN329" s="70" t="s">
        <v>2213</v>
      </c>
      <c r="AO329" s="70" t="s">
        <v>2213</v>
      </c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17</v>
      </c>
      <c r="J330" s="153" t="s">
        <v>2241</v>
      </c>
      <c r="K330" s="31">
        <f t="shared" si="18"/>
        <v>11</v>
      </c>
      <c r="L330" s="32">
        <f t="shared" si="19"/>
        <v>0.6071428571428571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 t="s">
        <v>2213</v>
      </c>
      <c r="AL330" s="70"/>
      <c r="AM330" s="70" t="s">
        <v>2213</v>
      </c>
      <c r="AN330" s="70" t="s">
        <v>2213</v>
      </c>
      <c r="AO330" s="70" t="s">
        <v>2213</v>
      </c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17</v>
      </c>
      <c r="J331" s="147" t="s">
        <v>2245</v>
      </c>
      <c r="K331" s="31">
        <f t="shared" si="18"/>
        <v>11</v>
      </c>
      <c r="L331" s="32">
        <f t="shared" si="19"/>
        <v>0.6071428571428571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 t="s">
        <v>2213</v>
      </c>
      <c r="AL331" s="70"/>
      <c r="AM331" s="70" t="s">
        <v>2213</v>
      </c>
      <c r="AN331" s="70" t="s">
        <v>2213</v>
      </c>
      <c r="AO331" s="70" t="s">
        <v>2213</v>
      </c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27</v>
      </c>
      <c r="J337" s="147" t="s">
        <v>1943</v>
      </c>
      <c r="K337" s="31">
        <f t="shared" si="18"/>
        <v>1</v>
      </c>
      <c r="L337" s="32">
        <f t="shared" si="19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 t="s">
        <v>2213</v>
      </c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25</v>
      </c>
      <c r="J350" s="147" t="s">
        <v>1952</v>
      </c>
      <c r="K350" s="31">
        <f t="shared" si="18"/>
        <v>3</v>
      </c>
      <c r="L350" s="32">
        <f t="shared" si="19"/>
        <v>0.8928571428571429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 t="s">
        <v>2213</v>
      </c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</v>
      </c>
      <c r="J351" s="147" t="s">
        <v>1953</v>
      </c>
      <c r="K351" s="142">
        <f t="shared" si="18"/>
        <v>26</v>
      </c>
      <c r="L351" s="143">
        <f t="shared" si="19"/>
        <v>7.1428571428571425E-2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 t="s">
        <v>2213</v>
      </c>
      <c r="AK351" s="70" t="s">
        <v>2213</v>
      </c>
      <c r="AL351" s="70" t="s">
        <v>2213</v>
      </c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</v>
      </c>
      <c r="J352" s="147" t="s">
        <v>1954</v>
      </c>
      <c r="K352" s="142">
        <f t="shared" si="18"/>
        <v>26</v>
      </c>
      <c r="L352" s="143">
        <f t="shared" si="19"/>
        <v>7.1428571428571425E-2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 t="s">
        <v>2213</v>
      </c>
      <c r="AK352" s="70" t="s">
        <v>2213</v>
      </c>
      <c r="AL352" s="70" t="s">
        <v>2213</v>
      </c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27</v>
      </c>
      <c r="J364" s="147" t="s">
        <v>2147</v>
      </c>
      <c r="K364" s="31">
        <f t="shared" si="18"/>
        <v>1</v>
      </c>
      <c r="L364" s="32">
        <f t="shared" si="19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 t="s">
        <v>2213</v>
      </c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1</v>
      </c>
      <c r="J375" s="73"/>
      <c r="K375" s="31">
        <f t="shared" si="18"/>
        <v>27</v>
      </c>
      <c r="L375" s="32">
        <f t="shared" si="19"/>
        <v>3.5714285714285712E-2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 t="s">
        <v>2213</v>
      </c>
      <c r="AK375" s="93" t="s">
        <v>2213</v>
      </c>
      <c r="AL375" s="93" t="s">
        <v>2213</v>
      </c>
      <c r="AM375" s="93" t="s">
        <v>2213</v>
      </c>
      <c r="AN375" s="93" t="s">
        <v>2213</v>
      </c>
      <c r="AO375" s="93" t="s">
        <v>2213</v>
      </c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19</v>
      </c>
      <c r="J378" s="147" t="s">
        <v>1975</v>
      </c>
      <c r="K378" s="31">
        <f t="shared" si="18"/>
        <v>9</v>
      </c>
      <c r="L378" s="32">
        <f t="shared" si="19"/>
        <v>0.6785714285714286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 t="s">
        <v>2213</v>
      </c>
      <c r="AL378" s="70" t="s">
        <v>2213</v>
      </c>
      <c r="AM378" s="70" t="s">
        <v>2213</v>
      </c>
      <c r="AN378" s="70" t="s">
        <v>2213</v>
      </c>
      <c r="AO378" s="70" t="s">
        <v>2213</v>
      </c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19</v>
      </c>
      <c r="J379" s="147" t="s">
        <v>1976</v>
      </c>
      <c r="K379" s="31">
        <f t="shared" si="18"/>
        <v>9</v>
      </c>
      <c r="L379" s="32">
        <f t="shared" si="19"/>
        <v>0.6785714285714286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 t="s">
        <v>2213</v>
      </c>
      <c r="AL379" s="70" t="s">
        <v>2213</v>
      </c>
      <c r="AM379" s="70" t="s">
        <v>2213</v>
      </c>
      <c r="AN379" s="70" t="s">
        <v>2213</v>
      </c>
      <c r="AO379" s="70" t="s">
        <v>2213</v>
      </c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19</v>
      </c>
      <c r="J380" s="147" t="s">
        <v>1977</v>
      </c>
      <c r="K380" s="31">
        <f t="shared" si="18"/>
        <v>9</v>
      </c>
      <c r="L380" s="32">
        <f t="shared" si="19"/>
        <v>0.6785714285714286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 t="s">
        <v>2213</v>
      </c>
      <c r="AL380" s="70" t="s">
        <v>2213</v>
      </c>
      <c r="AM380" s="70" t="s">
        <v>2213</v>
      </c>
      <c r="AN380" s="70" t="s">
        <v>2213</v>
      </c>
      <c r="AO380" s="70" t="s">
        <v>2213</v>
      </c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20</v>
      </c>
      <c r="J383" s="147" t="s">
        <v>1980</v>
      </c>
      <c r="K383" s="31">
        <f t="shared" si="21"/>
        <v>8</v>
      </c>
      <c r="L383" s="32">
        <f t="shared" si="22"/>
        <v>0.7142857142857143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 t="s">
        <v>2213</v>
      </c>
      <c r="AL383" s="70" t="s">
        <v>2213</v>
      </c>
      <c r="AM383" s="70" t="s">
        <v>2213</v>
      </c>
      <c r="AN383" s="70" t="s">
        <v>2213</v>
      </c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20</v>
      </c>
      <c r="J384" s="147" t="s">
        <v>1981</v>
      </c>
      <c r="K384" s="31">
        <f t="shared" si="21"/>
        <v>8</v>
      </c>
      <c r="L384" s="32">
        <f t="shared" si="22"/>
        <v>0.7142857142857143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 t="s">
        <v>2213</v>
      </c>
      <c r="AL384" s="70" t="s">
        <v>2213</v>
      </c>
      <c r="AM384" s="70" t="s">
        <v>2213</v>
      </c>
      <c r="AN384" s="70" t="s">
        <v>2213</v>
      </c>
      <c r="AO384" s="70" t="s">
        <v>2213</v>
      </c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21</v>
      </c>
      <c r="J385" s="147" t="s">
        <v>1982</v>
      </c>
      <c r="K385" s="31">
        <f t="shared" si="21"/>
        <v>7</v>
      </c>
      <c r="L385" s="32">
        <f t="shared" si="22"/>
        <v>0.75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 t="s">
        <v>2213</v>
      </c>
      <c r="AL385" s="70" t="s">
        <v>2213</v>
      </c>
      <c r="AM385" s="70" t="s">
        <v>2213</v>
      </c>
      <c r="AN385" s="70" t="s">
        <v>2213</v>
      </c>
      <c r="AO385" s="70" t="s">
        <v>2213</v>
      </c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21</v>
      </c>
      <c r="J386" s="147" t="s">
        <v>1983</v>
      </c>
      <c r="K386" s="31">
        <f t="shared" si="21"/>
        <v>7</v>
      </c>
      <c r="L386" s="32">
        <f t="shared" si="22"/>
        <v>0.75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2213</v>
      </c>
      <c r="AL386" s="70" t="s">
        <v>2213</v>
      </c>
      <c r="AM386" s="70" t="s">
        <v>2213</v>
      </c>
      <c r="AN386" s="70" t="s">
        <v>2213</v>
      </c>
      <c r="AO386" s="70" t="s">
        <v>2213</v>
      </c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0</v>
      </c>
      <c r="J388" s="147" t="s">
        <v>1985</v>
      </c>
      <c r="K388" s="31">
        <f t="shared" si="21"/>
        <v>28</v>
      </c>
      <c r="L388" s="32">
        <f t="shared" si="22"/>
        <v>0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 t="s">
        <v>2213</v>
      </c>
      <c r="AK388" s="70" t="s">
        <v>2213</v>
      </c>
      <c r="AL388" s="70" t="s">
        <v>2213</v>
      </c>
      <c r="AM388" s="70" t="s">
        <v>2213</v>
      </c>
      <c r="AN388" s="70" t="s">
        <v>2213</v>
      </c>
      <c r="AO388" s="70" t="s">
        <v>2213</v>
      </c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0</v>
      </c>
      <c r="J389" s="147" t="s">
        <v>1986</v>
      </c>
      <c r="K389" s="31">
        <f t="shared" si="21"/>
        <v>28</v>
      </c>
      <c r="L389" s="32">
        <f t="shared" si="22"/>
        <v>0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 t="s">
        <v>2213</v>
      </c>
      <c r="AK389" s="70" t="s">
        <v>2213</v>
      </c>
      <c r="AL389" s="70" t="s">
        <v>2213</v>
      </c>
      <c r="AM389" s="70" t="s">
        <v>2213</v>
      </c>
      <c r="AN389" s="70" t="s">
        <v>2213</v>
      </c>
      <c r="AO389" s="70" t="s">
        <v>2213</v>
      </c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0</v>
      </c>
      <c r="J393" s="87"/>
      <c r="K393" s="31">
        <f t="shared" si="21"/>
        <v>28</v>
      </c>
      <c r="L393" s="32">
        <f t="shared" si="22"/>
        <v>0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 t="s">
        <v>2213</v>
      </c>
      <c r="AK393" s="84" t="s">
        <v>2213</v>
      </c>
      <c r="AL393" s="84" t="s">
        <v>2213</v>
      </c>
      <c r="AM393" s="84" t="s">
        <v>2213</v>
      </c>
      <c r="AN393" s="84" t="s">
        <v>2213</v>
      </c>
      <c r="AO393" s="84" t="s">
        <v>2213</v>
      </c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10</v>
      </c>
      <c r="J395" s="87"/>
      <c r="K395" s="31">
        <f t="shared" si="21"/>
        <v>18</v>
      </c>
      <c r="L395" s="32">
        <f t="shared" si="22"/>
        <v>0.35714285714285715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 t="s">
        <v>2213</v>
      </c>
      <c r="AK395" s="70" t="s">
        <v>2213</v>
      </c>
      <c r="AL395" s="70" t="s">
        <v>2213</v>
      </c>
      <c r="AM395" s="70" t="s">
        <v>2213</v>
      </c>
      <c r="AN395" s="70" t="s">
        <v>2213</v>
      </c>
      <c r="AO395" s="70" t="s">
        <v>2213</v>
      </c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0</v>
      </c>
      <c r="J399" s="147" t="s">
        <v>1991</v>
      </c>
      <c r="K399" s="87">
        <f t="shared" si="21"/>
        <v>28</v>
      </c>
      <c r="L399" s="88">
        <f t="shared" si="22"/>
        <v>0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 t="s">
        <v>2213</v>
      </c>
      <c r="AK399" s="89" t="s">
        <v>2213</v>
      </c>
      <c r="AL399" s="89" t="s">
        <v>2213</v>
      </c>
      <c r="AM399" s="89" t="s">
        <v>2213</v>
      </c>
      <c r="AN399" s="89" t="s">
        <v>2213</v>
      </c>
      <c r="AO399" s="89" t="s">
        <v>2213</v>
      </c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0</v>
      </c>
      <c r="J401" s="147" t="s">
        <v>1992</v>
      </c>
      <c r="K401" s="31">
        <f t="shared" si="21"/>
        <v>28</v>
      </c>
      <c r="L401" s="32">
        <f t="shared" si="22"/>
        <v>0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 t="s">
        <v>2213</v>
      </c>
      <c r="AK401" s="70" t="s">
        <v>2213</v>
      </c>
      <c r="AL401" s="70" t="s">
        <v>2213</v>
      </c>
      <c r="AM401" s="70" t="s">
        <v>2213</v>
      </c>
      <c r="AN401" s="70" t="s">
        <v>2213</v>
      </c>
      <c r="AO401" s="70" t="s">
        <v>2213</v>
      </c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0</v>
      </c>
      <c r="J402" s="147" t="s">
        <v>1993</v>
      </c>
      <c r="K402" s="31">
        <f t="shared" si="21"/>
        <v>28</v>
      </c>
      <c r="L402" s="32">
        <f t="shared" si="22"/>
        <v>0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 t="s">
        <v>2213</v>
      </c>
      <c r="AK402" s="70" t="s">
        <v>2213</v>
      </c>
      <c r="AL402" s="70" t="s">
        <v>2213</v>
      </c>
      <c r="AM402" s="70" t="s">
        <v>2213</v>
      </c>
      <c r="AN402" s="70" t="s">
        <v>2213</v>
      </c>
      <c r="AO402" s="70" t="s">
        <v>2213</v>
      </c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7</v>
      </c>
      <c r="J407" s="87" t="s">
        <v>2152</v>
      </c>
      <c r="K407" s="142">
        <f t="shared" si="21"/>
        <v>21</v>
      </c>
      <c r="L407" s="143">
        <f t="shared" si="22"/>
        <v>0.25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 t="s">
        <v>2213</v>
      </c>
      <c r="AK407" s="70" t="s">
        <v>2213</v>
      </c>
      <c r="AL407" s="70" t="s">
        <v>2213</v>
      </c>
      <c r="AM407" s="70" t="s">
        <v>2213</v>
      </c>
      <c r="AN407" s="70" t="s">
        <v>2213</v>
      </c>
      <c r="AO407" s="70" t="s">
        <v>2213</v>
      </c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3</v>
      </c>
      <c r="J413" s="147" t="s">
        <v>1998</v>
      </c>
      <c r="K413" s="142">
        <f t="shared" si="21"/>
        <v>25</v>
      </c>
      <c r="L413" s="143">
        <f t="shared" si="22"/>
        <v>0.10714285714285714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 t="s">
        <v>2213</v>
      </c>
      <c r="AK413" s="70" t="s">
        <v>2213</v>
      </c>
      <c r="AL413" s="70" t="s">
        <v>2213</v>
      </c>
      <c r="AM413" s="70" t="s">
        <v>2213</v>
      </c>
      <c r="AN413" s="70" t="s">
        <v>2213</v>
      </c>
      <c r="AO413" s="70" t="s">
        <v>2213</v>
      </c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0</v>
      </c>
      <c r="J415" s="87"/>
      <c r="K415" s="31">
        <f t="shared" si="21"/>
        <v>28</v>
      </c>
      <c r="L415" s="32">
        <f t="shared" si="22"/>
        <v>0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 t="s">
        <v>2213</v>
      </c>
      <c r="AK415" s="93" t="s">
        <v>2213</v>
      </c>
      <c r="AL415" s="93" t="s">
        <v>2213</v>
      </c>
      <c r="AM415" s="93" t="s">
        <v>2213</v>
      </c>
      <c r="AN415" s="93" t="s">
        <v>2213</v>
      </c>
      <c r="AO415" s="93" t="s">
        <v>2213</v>
      </c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5</v>
      </c>
      <c r="J416" s="147" t="s">
        <v>2000</v>
      </c>
      <c r="K416" s="142">
        <f t="shared" si="21"/>
        <v>23</v>
      </c>
      <c r="L416" s="143">
        <f t="shared" si="22"/>
        <v>0.17857142857142858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 t="s">
        <v>2213</v>
      </c>
      <c r="AK416" s="70" t="s">
        <v>2213</v>
      </c>
      <c r="AL416" s="70" t="s">
        <v>2213</v>
      </c>
      <c r="AM416" s="70" t="s">
        <v>2213</v>
      </c>
      <c r="AN416" s="70" t="s">
        <v>2213</v>
      </c>
      <c r="AO416" s="70" t="s">
        <v>2213</v>
      </c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2001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 t="s">
        <v>2213</v>
      </c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2</v>
      </c>
      <c r="J420" s="147" t="s">
        <v>2003</v>
      </c>
      <c r="K420" s="31">
        <f t="shared" si="21"/>
        <v>26</v>
      </c>
      <c r="L420" s="32">
        <f t="shared" si="22"/>
        <v>7.1428571428571425E-2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 t="s">
        <v>2213</v>
      </c>
      <c r="AK420" s="70" t="s">
        <v>2213</v>
      </c>
      <c r="AL420" s="70" t="s">
        <v>2213</v>
      </c>
      <c r="AM420" s="70" t="s">
        <v>2213</v>
      </c>
      <c r="AN420" s="70" t="s">
        <v>2213</v>
      </c>
      <c r="AO420" s="70" t="s">
        <v>2213</v>
      </c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2</v>
      </c>
      <c r="J421" s="147" t="s">
        <v>2004</v>
      </c>
      <c r="K421" s="31">
        <f t="shared" si="21"/>
        <v>26</v>
      </c>
      <c r="L421" s="32">
        <f t="shared" si="22"/>
        <v>7.1428571428571425E-2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 t="s">
        <v>2213</v>
      </c>
      <c r="AK421" s="70" t="s">
        <v>2213</v>
      </c>
      <c r="AL421" s="70" t="s">
        <v>2213</v>
      </c>
      <c r="AM421" s="70" t="s">
        <v>2213</v>
      </c>
      <c r="AN421" s="70" t="s">
        <v>2213</v>
      </c>
      <c r="AO421" s="70" t="s">
        <v>2213</v>
      </c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14</v>
      </c>
      <c r="J429" s="147" t="s">
        <v>2011</v>
      </c>
      <c r="K429" s="31">
        <f t="shared" si="21"/>
        <v>14</v>
      </c>
      <c r="L429" s="32">
        <f t="shared" si="22"/>
        <v>0.5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 t="s">
        <v>2213</v>
      </c>
      <c r="AK429" s="70" t="s">
        <v>2213</v>
      </c>
      <c r="AL429" s="70" t="s">
        <v>2213</v>
      </c>
      <c r="AM429" s="70" t="s">
        <v>2213</v>
      </c>
      <c r="AN429" s="70" t="s">
        <v>2213</v>
      </c>
      <c r="AO429" s="70" t="s">
        <v>2213</v>
      </c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9</v>
      </c>
      <c r="J430" s="147" t="s">
        <v>2012</v>
      </c>
      <c r="K430" s="31">
        <f t="shared" si="21"/>
        <v>19</v>
      </c>
      <c r="L430" s="32">
        <f t="shared" si="22"/>
        <v>0.32142857142857145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 t="s">
        <v>2213</v>
      </c>
      <c r="AK430" s="70" t="s">
        <v>2213</v>
      </c>
      <c r="AL430" s="70" t="s">
        <v>2213</v>
      </c>
      <c r="AM430" s="70" t="s">
        <v>2213</v>
      </c>
      <c r="AN430" s="70" t="s">
        <v>2213</v>
      </c>
      <c r="AO430" s="70" t="s">
        <v>2213</v>
      </c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2</v>
      </c>
      <c r="J436" s="147" t="s">
        <v>2017</v>
      </c>
      <c r="K436" s="31">
        <f t="shared" si="21"/>
        <v>26</v>
      </c>
      <c r="L436" s="32">
        <f t="shared" si="22"/>
        <v>7.1428571428571425E-2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 t="s">
        <v>2213</v>
      </c>
      <c r="AK436" s="70" t="s">
        <v>2213</v>
      </c>
      <c r="AL436" s="70" t="s">
        <v>2213</v>
      </c>
      <c r="AM436" s="70" t="s">
        <v>2213</v>
      </c>
      <c r="AN436" s="70" t="s">
        <v>2213</v>
      </c>
      <c r="AO436" s="70" t="s">
        <v>2213</v>
      </c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10</v>
      </c>
      <c r="J441" s="147" t="s">
        <v>2018</v>
      </c>
      <c r="K441" s="31">
        <f t="shared" si="21"/>
        <v>18</v>
      </c>
      <c r="L441" s="32">
        <f t="shared" si="22"/>
        <v>0.35714285714285715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 t="s">
        <v>2213</v>
      </c>
      <c r="AK441" s="70" t="s">
        <v>2213</v>
      </c>
      <c r="AL441" s="70" t="s">
        <v>2213</v>
      </c>
      <c r="AM441" s="70" t="s">
        <v>2213</v>
      </c>
      <c r="AN441" s="70" t="s">
        <v>2213</v>
      </c>
      <c r="AO441" s="70" t="s">
        <v>2213</v>
      </c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0</v>
      </c>
      <c r="J442" s="147" t="s">
        <v>2019</v>
      </c>
      <c r="K442" s="31">
        <f t="shared" si="21"/>
        <v>28</v>
      </c>
      <c r="L442" s="32">
        <f t="shared" si="22"/>
        <v>0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 t="s">
        <v>2213</v>
      </c>
      <c r="AK442" s="70" t="s">
        <v>2213</v>
      </c>
      <c r="AL442" s="70" t="s">
        <v>2213</v>
      </c>
      <c r="AM442" s="70" t="s">
        <v>2213</v>
      </c>
      <c r="AN442" s="70" t="s">
        <v>2213</v>
      </c>
      <c r="AO442" s="70" t="s">
        <v>2213</v>
      </c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27</v>
      </c>
      <c r="J444" s="147" t="s">
        <v>2021</v>
      </c>
      <c r="K444" s="142">
        <f t="shared" si="21"/>
        <v>1</v>
      </c>
      <c r="L444" s="143">
        <f t="shared" si="22"/>
        <v>0.9642857142857143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 t="s">
        <v>2213</v>
      </c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27</v>
      </c>
      <c r="J445" s="147" t="s">
        <v>2022</v>
      </c>
      <c r="K445" s="142">
        <f t="shared" si="21"/>
        <v>1</v>
      </c>
      <c r="L445" s="143">
        <f t="shared" si="22"/>
        <v>0.9642857142857143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 t="s">
        <v>2213</v>
      </c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14</v>
      </c>
      <c r="J446" s="147" t="s">
        <v>2023</v>
      </c>
      <c r="K446" s="31">
        <f t="shared" si="21"/>
        <v>14</v>
      </c>
      <c r="L446" s="32">
        <f t="shared" si="22"/>
        <v>0.5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 t="s">
        <v>2213</v>
      </c>
      <c r="AK446" s="70" t="s">
        <v>2213</v>
      </c>
      <c r="AL446" s="70" t="s">
        <v>2213</v>
      </c>
      <c r="AM446" s="70" t="s">
        <v>2213</v>
      </c>
      <c r="AN446" s="70" t="s">
        <v>2213</v>
      </c>
      <c r="AO446" s="70" t="s">
        <v>2213</v>
      </c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13</v>
      </c>
      <c r="J447" s="147" t="s">
        <v>2024</v>
      </c>
      <c r="K447" s="31">
        <f t="shared" si="21"/>
        <v>15</v>
      </c>
      <c r="L447" s="32">
        <f t="shared" si="22"/>
        <v>0.4642857142857143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 t="s">
        <v>2213</v>
      </c>
      <c r="AK447" s="70" t="s">
        <v>2213</v>
      </c>
      <c r="AL447" s="70" t="s">
        <v>2213</v>
      </c>
      <c r="AM447" s="70" t="s">
        <v>2213</v>
      </c>
      <c r="AN447" s="70" t="s">
        <v>2213</v>
      </c>
      <c r="AO447" s="70" t="s">
        <v>2213</v>
      </c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0</v>
      </c>
      <c r="J456" s="147" t="s">
        <v>2027</v>
      </c>
      <c r="K456" s="142">
        <f t="shared" si="21"/>
        <v>28</v>
      </c>
      <c r="L456" s="143">
        <f t="shared" si="22"/>
        <v>0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 t="s">
        <v>2213</v>
      </c>
      <c r="AK456" s="70" t="s">
        <v>2213</v>
      </c>
      <c r="AL456" s="70" t="s">
        <v>2213</v>
      </c>
      <c r="AM456" s="70" t="s">
        <v>2213</v>
      </c>
      <c r="AN456" s="70" t="s">
        <v>2213</v>
      </c>
      <c r="AO456" s="70" t="s">
        <v>2213</v>
      </c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0</v>
      </c>
      <c r="J457" s="147" t="s">
        <v>2028</v>
      </c>
      <c r="K457" s="142">
        <f t="shared" si="21"/>
        <v>28</v>
      </c>
      <c r="L457" s="143">
        <f t="shared" si="22"/>
        <v>0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 t="s">
        <v>2213</v>
      </c>
      <c r="AK457" s="70" t="s">
        <v>2213</v>
      </c>
      <c r="AL457" s="70" t="s">
        <v>2213</v>
      </c>
      <c r="AM457" s="70" t="s">
        <v>2213</v>
      </c>
      <c r="AN457" s="70" t="s">
        <v>2213</v>
      </c>
      <c r="AO457" s="70" t="s">
        <v>2213</v>
      </c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1</v>
      </c>
      <c r="J458" s="87"/>
      <c r="K458" s="142">
        <f t="shared" si="21"/>
        <v>27</v>
      </c>
      <c r="L458" s="143">
        <f t="shared" si="22"/>
        <v>3.5714285714285712E-2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 t="s">
        <v>2213</v>
      </c>
      <c r="AK458" s="70" t="s">
        <v>2213</v>
      </c>
      <c r="AL458" s="70" t="s">
        <v>2213</v>
      </c>
      <c r="AM458" s="70" t="s">
        <v>2213</v>
      </c>
      <c r="AN458" s="70"/>
      <c r="AO458" s="70" t="s">
        <v>2213</v>
      </c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21</v>
      </c>
      <c r="J460" s="153"/>
      <c r="K460" s="142">
        <f t="shared" si="21"/>
        <v>7</v>
      </c>
      <c r="L460" s="143">
        <f t="shared" si="22"/>
        <v>0.75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 t="s">
        <v>2213</v>
      </c>
      <c r="AK460" s="70" t="s">
        <v>2213</v>
      </c>
      <c r="AL460" s="70" t="s">
        <v>2213</v>
      </c>
      <c r="AM460" s="70" t="s">
        <v>2213</v>
      </c>
      <c r="AN460" s="70" t="s">
        <v>2213</v>
      </c>
      <c r="AO460" s="70" t="s">
        <v>2213</v>
      </c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21</v>
      </c>
      <c r="J496" s="147" t="s">
        <v>2055</v>
      </c>
      <c r="K496" s="31">
        <f t="shared" si="24"/>
        <v>7</v>
      </c>
      <c r="L496" s="32">
        <f t="shared" si="25"/>
        <v>0.75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 t="s">
        <v>2213</v>
      </c>
      <c r="AK496" s="70" t="s">
        <v>2213</v>
      </c>
      <c r="AL496" s="70" t="s">
        <v>2213</v>
      </c>
      <c r="AM496" s="70" t="s">
        <v>2213</v>
      </c>
      <c r="AN496" s="70" t="s">
        <v>2213</v>
      </c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27</v>
      </c>
      <c r="J502" s="147" t="s">
        <v>2061</v>
      </c>
      <c r="K502" s="31">
        <f t="shared" si="24"/>
        <v>1</v>
      </c>
      <c r="L502" s="32">
        <f t="shared" si="25"/>
        <v>0.9642857142857143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 t="s">
        <v>2213</v>
      </c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21</v>
      </c>
      <c r="J503" s="147" t="s">
        <v>2062</v>
      </c>
      <c r="K503" s="31">
        <f t="shared" si="24"/>
        <v>7</v>
      </c>
      <c r="L503" s="32">
        <f t="shared" si="25"/>
        <v>0.75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 t="s">
        <v>2213</v>
      </c>
      <c r="AK503" s="70" t="s">
        <v>2213</v>
      </c>
      <c r="AL503" s="70" t="s">
        <v>2213</v>
      </c>
      <c r="AM503" s="70" t="s">
        <v>2213</v>
      </c>
      <c r="AN503" s="70" t="s">
        <v>2213</v>
      </c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17</v>
      </c>
      <c r="J505" s="147" t="s">
        <v>2064</v>
      </c>
      <c r="K505" s="31">
        <f t="shared" si="24"/>
        <v>11</v>
      </c>
      <c r="L505" s="32">
        <f t="shared" si="25"/>
        <v>0.6071428571428571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 t="s">
        <v>2213</v>
      </c>
      <c r="AN505" s="70"/>
      <c r="AO505" s="70" t="s">
        <v>2213</v>
      </c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21</v>
      </c>
      <c r="J508" s="147" t="s">
        <v>2067</v>
      </c>
      <c r="K508" s="31">
        <f t="shared" si="24"/>
        <v>7</v>
      </c>
      <c r="L508" s="32">
        <f t="shared" si="25"/>
        <v>0.75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 t="s">
        <v>2213</v>
      </c>
      <c r="AK508" s="70" t="s">
        <v>2213</v>
      </c>
      <c r="AL508" s="70" t="s">
        <v>2213</v>
      </c>
      <c r="AM508" s="70" t="s">
        <v>2213</v>
      </c>
      <c r="AN508" s="70" t="s">
        <v>2213</v>
      </c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27</v>
      </c>
      <c r="J509" s="147" t="s">
        <v>2068</v>
      </c>
      <c r="K509" s="31">
        <f t="shared" si="24"/>
        <v>1</v>
      </c>
      <c r="L509" s="32">
        <f t="shared" si="25"/>
        <v>0.9642857142857143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 t="s">
        <v>2213</v>
      </c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0</v>
      </c>
      <c r="J510" s="147" t="s">
        <v>2069</v>
      </c>
      <c r="K510" s="31">
        <f t="shared" si="24"/>
        <v>28</v>
      </c>
      <c r="L510" s="32">
        <f t="shared" si="25"/>
        <v>0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 t="s">
        <v>2213</v>
      </c>
      <c r="AK510" s="70" t="s">
        <v>2213</v>
      </c>
      <c r="AL510" s="70" t="s">
        <v>2213</v>
      </c>
      <c r="AM510" s="70" t="s">
        <v>2213</v>
      </c>
      <c r="AN510" s="70" t="s">
        <v>2213</v>
      </c>
      <c r="AO510" s="70" t="s">
        <v>2213</v>
      </c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21</v>
      </c>
      <c r="J511" s="147" t="s">
        <v>2070</v>
      </c>
      <c r="K511" s="31">
        <f t="shared" si="24"/>
        <v>7</v>
      </c>
      <c r="L511" s="32">
        <f t="shared" si="25"/>
        <v>0.75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 t="s">
        <v>2213</v>
      </c>
      <c r="AK511" s="70" t="s">
        <v>2213</v>
      </c>
      <c r="AL511" s="70" t="s">
        <v>2213</v>
      </c>
      <c r="AM511" s="70" t="s">
        <v>2213</v>
      </c>
      <c r="AN511" s="70" t="s">
        <v>2213</v>
      </c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21</v>
      </c>
      <c r="J514" s="147" t="s">
        <v>2072</v>
      </c>
      <c r="K514" s="31">
        <f t="shared" si="24"/>
        <v>7</v>
      </c>
      <c r="L514" s="32">
        <f t="shared" si="25"/>
        <v>0.75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 t="s">
        <v>2213</v>
      </c>
      <c r="AK514" s="70" t="s">
        <v>2213</v>
      </c>
      <c r="AL514" s="70" t="s">
        <v>2213</v>
      </c>
      <c r="AM514" s="70" t="s">
        <v>2213</v>
      </c>
      <c r="AN514" s="70" t="s">
        <v>2213</v>
      </c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21</v>
      </c>
      <c r="J515" s="147" t="s">
        <v>2073</v>
      </c>
      <c r="K515" s="31">
        <f t="shared" si="24"/>
        <v>7</v>
      </c>
      <c r="L515" s="32">
        <f t="shared" si="25"/>
        <v>0.75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 t="s">
        <v>2213</v>
      </c>
      <c r="AK515" s="70" t="s">
        <v>2213</v>
      </c>
      <c r="AL515" s="70" t="s">
        <v>2213</v>
      </c>
      <c r="AM515" s="70" t="s">
        <v>2213</v>
      </c>
      <c r="AN515" s="70" t="s">
        <v>2213</v>
      </c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3</v>
      </c>
      <c r="J520" s="147" t="s">
        <v>2078</v>
      </c>
      <c r="K520" s="142">
        <f t="shared" si="24"/>
        <v>25</v>
      </c>
      <c r="L520" s="143">
        <f t="shared" si="25"/>
        <v>0.10714285714285714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 t="s">
        <v>2213</v>
      </c>
      <c r="AK520" s="70" t="s">
        <v>2213</v>
      </c>
      <c r="AL520" s="70" t="s">
        <v>2213</v>
      </c>
      <c r="AM520" s="70" t="s">
        <v>2213</v>
      </c>
      <c r="AN520" s="70" t="s">
        <v>2213</v>
      </c>
      <c r="AO520" s="70" t="s">
        <v>2213</v>
      </c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11</v>
      </c>
      <c r="J525" s="147" t="s">
        <v>2234</v>
      </c>
      <c r="K525" s="142">
        <f t="shared" si="24"/>
        <v>17</v>
      </c>
      <c r="L525" s="143">
        <f t="shared" si="25"/>
        <v>0.39285714285714285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 t="s">
        <v>2213</v>
      </c>
      <c r="AK525" s="70" t="s">
        <v>2213</v>
      </c>
      <c r="AL525" s="70" t="s">
        <v>2213</v>
      </c>
      <c r="AM525" s="70"/>
      <c r="AN525" s="70" t="s">
        <v>2213</v>
      </c>
      <c r="AO525" s="70" t="s">
        <v>2213</v>
      </c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2</v>
      </c>
      <c r="J539" s="147" t="s">
        <v>2094</v>
      </c>
      <c r="K539" s="142">
        <f t="shared" si="27"/>
        <v>26</v>
      </c>
      <c r="L539" s="143">
        <f t="shared" si="28"/>
        <v>7.1428571428571425E-2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 t="s">
        <v>2213</v>
      </c>
      <c r="AK539" s="70" t="s">
        <v>2213</v>
      </c>
      <c r="AL539" s="70" t="s">
        <v>2213</v>
      </c>
      <c r="AM539" s="70"/>
      <c r="AN539" s="70" t="s">
        <v>2213</v>
      </c>
      <c r="AO539" s="70" t="s">
        <v>2213</v>
      </c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23</v>
      </c>
      <c r="J547" s="87"/>
      <c r="K547" s="142">
        <f t="shared" si="27"/>
        <v>5</v>
      </c>
      <c r="L547" s="143">
        <f t="shared" si="28"/>
        <v>0.8214285714285714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 t="s">
        <v>2213</v>
      </c>
      <c r="AK547" s="70" t="s">
        <v>2213</v>
      </c>
      <c r="AL547" s="70" t="s">
        <v>2213</v>
      </c>
      <c r="AM547" s="70" t="s">
        <v>2213</v>
      </c>
      <c r="AN547" s="70" t="s">
        <v>2213</v>
      </c>
      <c r="AO547" s="70" t="s">
        <v>2213</v>
      </c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0</v>
      </c>
      <c r="J548" s="87" t="s">
        <v>2189</v>
      </c>
      <c r="K548" s="142">
        <f t="shared" si="27"/>
        <v>28</v>
      </c>
      <c r="L548" s="143">
        <f t="shared" si="28"/>
        <v>0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 t="s">
        <v>2213</v>
      </c>
      <c r="AK548" s="70" t="s">
        <v>2213</v>
      </c>
      <c r="AL548" s="70" t="s">
        <v>2213</v>
      </c>
      <c r="AM548" s="70" t="s">
        <v>2213</v>
      </c>
      <c r="AN548" s="70" t="s">
        <v>2213</v>
      </c>
      <c r="AO548" s="70" t="s">
        <v>2213</v>
      </c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4</v>
      </c>
      <c r="J550" s="147" t="s">
        <v>2099</v>
      </c>
      <c r="K550" s="31">
        <f t="shared" si="27"/>
        <v>24</v>
      </c>
      <c r="L550" s="32">
        <f t="shared" si="28"/>
        <v>0.14285714285714285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 t="s">
        <v>2213</v>
      </c>
      <c r="AK550" s="70" t="s">
        <v>2213</v>
      </c>
      <c r="AL550" s="70" t="s">
        <v>2213</v>
      </c>
      <c r="AM550" s="70" t="s">
        <v>2213</v>
      </c>
      <c r="AN550" s="70"/>
      <c r="AO550" s="70" t="s">
        <v>2213</v>
      </c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3</v>
      </c>
      <c r="J552" s="147" t="s">
        <v>2100</v>
      </c>
      <c r="K552" s="31">
        <f t="shared" si="27"/>
        <v>25</v>
      </c>
      <c r="L552" s="32">
        <f t="shared" si="28"/>
        <v>0.10714285714285714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 t="s">
        <v>2213</v>
      </c>
      <c r="AK552" s="70" t="s">
        <v>2213</v>
      </c>
      <c r="AL552" s="70" t="s">
        <v>2213</v>
      </c>
      <c r="AM552" s="70" t="s">
        <v>2213</v>
      </c>
      <c r="AN552" s="70" t="s">
        <v>2213</v>
      </c>
      <c r="AO552" s="70" t="s">
        <v>2213</v>
      </c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4</v>
      </c>
      <c r="J553" s="147" t="s">
        <v>2101</v>
      </c>
      <c r="K553" s="142">
        <f t="shared" si="27"/>
        <v>24</v>
      </c>
      <c r="L553" s="143">
        <f t="shared" si="28"/>
        <v>0.14285714285714285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 t="s">
        <v>2213</v>
      </c>
      <c r="AK553" s="70" t="s">
        <v>2213</v>
      </c>
      <c r="AL553" s="70"/>
      <c r="AM553" s="70" t="s">
        <v>2213</v>
      </c>
      <c r="AN553" s="70" t="s">
        <v>2213</v>
      </c>
      <c r="AO553" s="70" t="s">
        <v>2213</v>
      </c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0</v>
      </c>
      <c r="J559" s="147" t="s">
        <v>2105</v>
      </c>
      <c r="K559" s="31">
        <f t="shared" si="27"/>
        <v>28</v>
      </c>
      <c r="L559" s="32">
        <f t="shared" si="28"/>
        <v>0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 t="s">
        <v>2213</v>
      </c>
      <c r="AK559" s="70" t="s">
        <v>2213</v>
      </c>
      <c r="AL559" s="70" t="s">
        <v>2213</v>
      </c>
      <c r="AM559" s="70" t="s">
        <v>2213</v>
      </c>
      <c r="AN559" s="70" t="s">
        <v>2213</v>
      </c>
      <c r="AO559" s="70" t="s">
        <v>2213</v>
      </c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1</v>
      </c>
      <c r="J577" s="147" t="s">
        <v>2116</v>
      </c>
      <c r="K577" s="142">
        <f t="shared" si="27"/>
        <v>27</v>
      </c>
      <c r="L577" s="143">
        <f t="shared" si="28"/>
        <v>3.5714285714285712E-2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 t="s">
        <v>2213</v>
      </c>
      <c r="AK577" s="70" t="s">
        <v>2213</v>
      </c>
      <c r="AL577" s="70" t="s">
        <v>2213</v>
      </c>
      <c r="AM577" s="70" t="s">
        <v>2213</v>
      </c>
      <c r="AN577" s="70" t="s">
        <v>2213</v>
      </c>
      <c r="AO577" s="70" t="s">
        <v>2213</v>
      </c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abSelected="1" topLeftCell="A303" zoomScale="84" zoomScaleNormal="84" workbookViewId="0">
      <selection activeCell="B313" sqref="B313:F3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97</v>
      </c>
      <c r="D315" s="54"/>
      <c r="E315" s="55">
        <f>C315/C314</f>
        <v>0.16898954703832753</v>
      </c>
      <c r="F315" s="155"/>
    </row>
    <row r="316" spans="2:6" x14ac:dyDescent="0.25">
      <c r="B316" s="53" t="s">
        <v>1243</v>
      </c>
      <c r="C316" s="67">
        <v>4</v>
      </c>
      <c r="D316" s="103">
        <v>93</v>
      </c>
      <c r="E316" s="55">
        <f>D316/C314</f>
        <v>0.16202090592334495</v>
      </c>
      <c r="F316" s="155"/>
    </row>
    <row r="317" spans="2:6" x14ac:dyDescent="0.25">
      <c r="B317" s="53" t="s">
        <v>1244</v>
      </c>
      <c r="C317" s="67">
        <v>3</v>
      </c>
      <c r="D317" s="103">
        <v>90</v>
      </c>
      <c r="E317" s="55">
        <f>D317/C314</f>
        <v>0.156794425087108</v>
      </c>
      <c r="F317" s="155"/>
    </row>
    <row r="318" spans="2:6" x14ac:dyDescent="0.25">
      <c r="B318" s="53" t="s">
        <v>16</v>
      </c>
      <c r="C318" s="94">
        <v>5</v>
      </c>
      <c r="D318" s="103">
        <v>85</v>
      </c>
      <c r="E318" s="55">
        <f>D318/C314</f>
        <v>0.1480836236933798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37</v>
      </c>
      <c r="E321" s="105">
        <v>0.12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60</v>
      </c>
      <c r="E322" s="114">
        <v>0.22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 t="str">
        <f>'RESUMEN TOTAL'!AM8</f>
        <v>APAGADO</v>
      </c>
      <c r="AG5" s="70" t="str">
        <f>'RESUMEN TOTAL'!AN8</f>
        <v>APAGADO</v>
      </c>
      <c r="AH5" s="70" t="str">
        <f>'RESUMEN TOTAL'!AO8</f>
        <v>APAGADO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 t="str">
        <f>'RESUMEN TOTAL'!AM9</f>
        <v>APAGADO</v>
      </c>
      <c r="AG6" s="70" t="str">
        <f>'RESUMEN TOTAL'!AN9</f>
        <v>APAGADO</v>
      </c>
      <c r="AH6" s="70" t="str">
        <f>'RESUMEN TOTAL'!AO9</f>
        <v>APAGADO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 t="str">
        <f>'RESUMEN TOTAL'!AL14</f>
        <v>APAGADO</v>
      </c>
      <c r="AF11" s="70" t="str">
        <f>'RESUMEN TOTAL'!AM14</f>
        <v>APAGADO</v>
      </c>
      <c r="AG11" s="70">
        <f>'RESUMEN TOTAL'!AN14</f>
        <v>0</v>
      </c>
      <c r="AH11" s="70" t="str">
        <f>'RESUMEN TOTAL'!AO14</f>
        <v>APAGADO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 t="str">
        <f>'RESUMEN TOTAL'!AJ17</f>
        <v>APAGADO</v>
      </c>
      <c r="AD14" s="70" t="str">
        <f>'RESUMEN TOTAL'!AK17</f>
        <v>APAGADO</v>
      </c>
      <c r="AE14" s="70" t="str">
        <f>'RESUMEN TOTAL'!AL17</f>
        <v>APAGADO</v>
      </c>
      <c r="AF14" s="70">
        <f>'RESUMEN TOTAL'!AM17</f>
        <v>0</v>
      </c>
      <c r="AG14" s="70" t="str">
        <f>'RESUMEN TOTAL'!AN17</f>
        <v>APAGADO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 t="str">
        <f>'RESUMEN TOTAL'!AM19</f>
        <v>APAGADO</v>
      </c>
      <c r="AG16" s="70" t="str">
        <f>'RESUMEN TOTAL'!AN19</f>
        <v>APAGADO</v>
      </c>
      <c r="AH16" s="70" t="str">
        <f>'RESUMEN TOTAL'!AO19</f>
        <v>APAGADO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 t="str">
        <f>'RESUMEN TOTAL'!AK74</f>
        <v>APAGADO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 t="str">
        <f>'RESUMEN TOTAL'!AK88</f>
        <v>APAGADO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 t="str">
        <f>'RESUMEN TOTAL'!AJ89</f>
        <v>APAGADO</v>
      </c>
      <c r="AD68" s="70" t="str">
        <f>'RESUMEN TOTAL'!AK89</f>
        <v>APAGADO</v>
      </c>
      <c r="AE68" s="70" t="str">
        <f>'RESUMEN TOTAL'!AL89</f>
        <v>APAGADO</v>
      </c>
      <c r="AF68" s="70">
        <f>'RESUMEN TOTAL'!AM89</f>
        <v>0</v>
      </c>
      <c r="AG68" s="70" t="str">
        <f>'RESUMEN TOTAL'!AN89</f>
        <v>APAGADO</v>
      </c>
      <c r="AH68" s="70" t="str">
        <f>'RESUMEN TOTAL'!AO89</f>
        <v>APAGADO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 t="str">
        <f>'RESUMEN TOTAL'!AJ95</f>
        <v>APAGADO</v>
      </c>
      <c r="AD74" s="70" t="str">
        <f>'RESUMEN TOTAL'!AK95</f>
        <v>APAGADO</v>
      </c>
      <c r="AE74" s="70" t="str">
        <f>'RESUMEN TOTAL'!AL95</f>
        <v>APAGADO</v>
      </c>
      <c r="AF74" s="70">
        <f>'RESUMEN TOTAL'!AM95</f>
        <v>0</v>
      </c>
      <c r="AG74" s="70" t="str">
        <f>'RESUMEN TOTAL'!AN95</f>
        <v>APAGADO</v>
      </c>
      <c r="AH74" s="70" t="str">
        <f>'RESUMEN TOTAL'!AO95</f>
        <v>APAGADO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 t="str">
        <f>'RESUMEN TOTAL'!AO96</f>
        <v>APAGADO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 t="str">
        <f>'RESUMEN TOTAL'!AL99</f>
        <v>APAGADO</v>
      </c>
      <c r="AF78" s="70">
        <f>'RESUMEN TOTAL'!AM99</f>
        <v>0</v>
      </c>
      <c r="AG78" s="70" t="str">
        <f>'RESUMEN TOTAL'!AN99</f>
        <v>APAGADO</v>
      </c>
      <c r="AH78" s="70" t="str">
        <f>'RESUMEN TOTAL'!AO99</f>
        <v>APAGADO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 t="str">
        <f>'RESUMEN TOTAL'!AJ112</f>
        <v>APAGADO</v>
      </c>
      <c r="AD91" s="70" t="str">
        <f>'RESUMEN TOTAL'!AK112</f>
        <v>APAGADO</v>
      </c>
      <c r="AE91" s="70" t="str">
        <f>'RESUMEN TOTAL'!AL112</f>
        <v>APAGADO</v>
      </c>
      <c r="AF91" s="70" t="str">
        <f>'RESUMEN TOTAL'!AM112</f>
        <v>APAGADO</v>
      </c>
      <c r="AG91" s="70" t="str">
        <f>'RESUMEN TOTAL'!AN112</f>
        <v>APAGADO</v>
      </c>
      <c r="AH91" s="70" t="str">
        <f>'RESUMEN TOTAL'!AO112</f>
        <v>APAGADO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 t="str">
        <f>'RESUMEN TOTAL'!AJ113</f>
        <v>APAGADO</v>
      </c>
      <c r="AD92" s="70" t="str">
        <f>'RESUMEN TOTAL'!AK113</f>
        <v>APAGADO</v>
      </c>
      <c r="AE92" s="70" t="str">
        <f>'RESUMEN TOTAL'!AL113</f>
        <v>APAGADO</v>
      </c>
      <c r="AF92" s="70" t="str">
        <f>'RESUMEN TOTAL'!AM113</f>
        <v>APAGADO</v>
      </c>
      <c r="AG92" s="70" t="str">
        <f>'RESUMEN TOTAL'!AN113</f>
        <v>APAGADO</v>
      </c>
      <c r="AH92" s="70" t="str">
        <f>'RESUMEN TOTAL'!AO113</f>
        <v>APAGADO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 t="str">
        <f>'RESUMEN TOTAL'!AO120</f>
        <v>APAGADO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 t="str">
        <f>'RESUMEN TOTAL'!AL130</f>
        <v>APAGADO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 t="str">
        <f>'RESUMEN TOTAL'!AM151</f>
        <v>APAGADO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 t="str">
        <f>'RESUMEN TOTAL'!AJ180</f>
        <v>APAGADO</v>
      </c>
      <c r="AD140" s="70" t="str">
        <f>'RESUMEN TOTAL'!AK180</f>
        <v>APAGADO</v>
      </c>
      <c r="AE140" s="70" t="str">
        <f>'RESUMEN TOTAL'!AL180</f>
        <v>APAGADO</v>
      </c>
      <c r="AF140" s="70" t="str">
        <f>'RESUMEN TOTAL'!AM180</f>
        <v>APAGADO</v>
      </c>
      <c r="AG140" s="70" t="str">
        <f>'RESUMEN TOTAL'!AN180</f>
        <v>APAGADO</v>
      </c>
      <c r="AH140" s="70" t="str">
        <f>'RESUMEN TOTAL'!AO180</f>
        <v>APAGADO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 t="str">
        <f>'RESUMEN TOTAL'!AJ181</f>
        <v>APAGADO</v>
      </c>
      <c r="AD141" s="70" t="str">
        <f>'RESUMEN TOTAL'!AK181</f>
        <v>APAGADO</v>
      </c>
      <c r="AE141" s="70" t="str">
        <f>'RESUMEN TOTAL'!AL181</f>
        <v>APAGADO</v>
      </c>
      <c r="AF141" s="70" t="str">
        <f>'RESUMEN TOTAL'!AM181</f>
        <v>APAGADO</v>
      </c>
      <c r="AG141" s="70" t="str">
        <f>'RESUMEN TOTAL'!AN181</f>
        <v>APAGADO</v>
      </c>
      <c r="AH141" s="70" t="str">
        <f>'RESUMEN TOTAL'!AO181</f>
        <v>APAGADO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 t="str">
        <f>'RESUMEN TOTAL'!AJ182</f>
        <v>APAGADO</v>
      </c>
      <c r="AD142" s="70" t="str">
        <f>'RESUMEN TOTAL'!AK182</f>
        <v>APAGADO</v>
      </c>
      <c r="AE142" s="70" t="str">
        <f>'RESUMEN TOTAL'!AL182</f>
        <v>APAGADO</v>
      </c>
      <c r="AF142" s="70" t="str">
        <f>'RESUMEN TOTAL'!AM182</f>
        <v>APAGADO</v>
      </c>
      <c r="AG142" s="70" t="str">
        <f>'RESUMEN TOTAL'!AN182</f>
        <v>APAGADO</v>
      </c>
      <c r="AH142" s="70" t="str">
        <f>'RESUMEN TOTAL'!AO182</f>
        <v>APAGADO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 t="str">
        <f>'RESUMEN TOTAL'!AJ183</f>
        <v>APAGADO</v>
      </c>
      <c r="AD143" s="70" t="str">
        <f>'RESUMEN TOTAL'!AK183</f>
        <v>APAGADO</v>
      </c>
      <c r="AE143" s="70" t="str">
        <f>'RESUMEN TOTAL'!AL183</f>
        <v>APAGADO</v>
      </c>
      <c r="AF143" s="70" t="str">
        <f>'RESUMEN TOTAL'!AM183</f>
        <v>APAGADO</v>
      </c>
      <c r="AG143" s="70" t="str">
        <f>'RESUMEN TOTAL'!AN183</f>
        <v>APAGADO</v>
      </c>
      <c r="AH143" s="70" t="str">
        <f>'RESUMEN TOTAL'!AO183</f>
        <v>APAGADO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 t="str">
        <f>'RESUMEN TOTAL'!AM191</f>
        <v>APAGADO</v>
      </c>
      <c r="AG146" s="70" t="str">
        <f>'RESUMEN TOTAL'!AN191</f>
        <v>APAGADO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 t="str">
        <f>'RESUMEN TOTAL'!AM192</f>
        <v>APAGADO</v>
      </c>
      <c r="AG147" s="70" t="str">
        <f>'RESUMEN TOTAL'!AN192</f>
        <v>APAGADO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 t="str">
        <f>'RESUMEN TOTAL'!AK193</f>
        <v>APAGADO</v>
      </c>
      <c r="AE148" s="70" t="str">
        <f>'RESUMEN TOTAL'!AL193</f>
        <v>APAGADO</v>
      </c>
      <c r="AF148" s="70" t="str">
        <f>'RESUMEN TOTAL'!AM193</f>
        <v>APAGADO</v>
      </c>
      <c r="AG148" s="70" t="str">
        <f>'RESUMEN TOTAL'!AN193</f>
        <v>APAGADO</v>
      </c>
      <c r="AH148" s="70" t="str">
        <f>'RESUMEN TOTAL'!AO193</f>
        <v>APAGADO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 t="str">
        <f>'RESUMEN TOTAL'!AL194</f>
        <v>APAGADO</v>
      </c>
      <c r="AF149" s="70" t="str">
        <f>'RESUMEN TOTAL'!AM194</f>
        <v>APAGADO</v>
      </c>
      <c r="AG149" s="70">
        <f>'RESUMEN TOTAL'!AN194</f>
        <v>0</v>
      </c>
      <c r="AH149" s="70" t="str">
        <f>'RESUMEN TOTAL'!AO194</f>
        <v>APAGADO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 t="str">
        <f>'RESUMEN TOTAL'!AJ195</f>
        <v>APAGADO</v>
      </c>
      <c r="AD150" s="70" t="str">
        <f>'RESUMEN TOTAL'!AK195</f>
        <v>APAGADO</v>
      </c>
      <c r="AE150" s="70" t="str">
        <f>'RESUMEN TOTAL'!AL195</f>
        <v>APAGADO</v>
      </c>
      <c r="AF150" s="70" t="str">
        <f>'RESUMEN TOTAL'!AM195</f>
        <v>APAGADO</v>
      </c>
      <c r="AG150" s="70">
        <f>'RESUMEN TOTAL'!AN195</f>
        <v>0</v>
      </c>
      <c r="AH150" s="70" t="str">
        <f>'RESUMEN TOTAL'!AO195</f>
        <v>APAGADO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 t="str">
        <f>'RESUMEN TOTAL'!AL200</f>
        <v>APAGADO</v>
      </c>
      <c r="AF155" s="70">
        <f>'RESUMEN TOTAL'!AM200</f>
        <v>0</v>
      </c>
      <c r="AG155" s="70">
        <f>'RESUMEN TOTAL'!AN200</f>
        <v>0</v>
      </c>
      <c r="AH155" s="70" t="str">
        <f>'RESUMEN TOTAL'!AO200</f>
        <v>APAGADO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 t="str">
        <f>'RESUMEN TOTAL'!AJ201</f>
        <v>APAGADO</v>
      </c>
      <c r="AD156" s="70" t="str">
        <f>'RESUMEN TOTAL'!AK201</f>
        <v>APAGADO</v>
      </c>
      <c r="AE156" s="70" t="str">
        <f>'RESUMEN TOTAL'!AL201</f>
        <v>APAGADO</v>
      </c>
      <c r="AF156" s="70" t="str">
        <f>'RESUMEN TOTAL'!AM201</f>
        <v>APAGADO</v>
      </c>
      <c r="AG156" s="70" t="str">
        <f>'RESUMEN TOTAL'!AN201</f>
        <v>APAGADO</v>
      </c>
      <c r="AH156" s="70" t="str">
        <f>'RESUMEN TOTAL'!AO201</f>
        <v>APAGADO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 t="str">
        <f>'RESUMEN TOTAL'!AO204</f>
        <v>APAGADO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 t="str">
        <f>'RESUMEN TOTAL'!AL205</f>
        <v>APAGADO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 t="str">
        <f>'RESUMEN TOTAL'!AL206</f>
        <v>APAGADO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 t="str">
        <f>'RESUMEN TOTAL'!AJ211</f>
        <v>APAGADO</v>
      </c>
      <c r="AD166" s="70" t="str">
        <f>'RESUMEN TOTAL'!AK211</f>
        <v>APAGADO</v>
      </c>
      <c r="AE166" s="70" t="str">
        <f>'RESUMEN TOTAL'!AL211</f>
        <v>APAGADO</v>
      </c>
      <c r="AF166" s="70" t="str">
        <f>'RESUMEN TOTAL'!AM211</f>
        <v>APAGADO</v>
      </c>
      <c r="AG166" s="70" t="str">
        <f>'RESUMEN TOTAL'!AN211</f>
        <v>APAGADO</v>
      </c>
      <c r="AH166" s="70" t="str">
        <f>'RESUMEN TOTAL'!AO211</f>
        <v>APAGADO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 t="str">
        <f>'RESUMEN TOTAL'!AJ219</f>
        <v>APAGADO</v>
      </c>
      <c r="AD170" s="70" t="str">
        <f>'RESUMEN TOTAL'!AK219</f>
        <v>APAGADO</v>
      </c>
      <c r="AE170" s="70" t="str">
        <f>'RESUMEN TOTAL'!AL219</f>
        <v>APAGADO</v>
      </c>
      <c r="AF170" s="70" t="str">
        <f>'RESUMEN TOTAL'!AM219</f>
        <v>APAGADO</v>
      </c>
      <c r="AG170" s="70" t="str">
        <f>'RESUMEN TOTAL'!AN219</f>
        <v>APAGADO</v>
      </c>
      <c r="AH170" s="70" t="str">
        <f>'RESUMEN TOTAL'!AO219</f>
        <v>APAGADO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 t="str">
        <f>'RESUMEN TOTAL'!AJ220</f>
        <v>APAGADO</v>
      </c>
      <c r="AD171" s="70" t="str">
        <f>'RESUMEN TOTAL'!AK220</f>
        <v>APAGADO</v>
      </c>
      <c r="AE171" s="70" t="str">
        <f>'RESUMEN TOTAL'!AL220</f>
        <v>APAGADO</v>
      </c>
      <c r="AF171" s="70" t="str">
        <f>'RESUMEN TOTAL'!AM220</f>
        <v>APAGADO</v>
      </c>
      <c r="AG171" s="70" t="str">
        <f>'RESUMEN TOTAL'!AN220</f>
        <v>APAGADO</v>
      </c>
      <c r="AH171" s="70" t="str">
        <f>'RESUMEN TOTAL'!AO220</f>
        <v>APAGADO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 t="str">
        <f>'RESUMEN TOTAL'!AJ232</f>
        <v>APAGADO</v>
      </c>
      <c r="AD179" s="70" t="str">
        <f>'RESUMEN TOTAL'!AK232</f>
        <v>APAGADO</v>
      </c>
      <c r="AE179" s="70" t="str">
        <f>'RESUMEN TOTAL'!AL232</f>
        <v>APAGADO</v>
      </c>
      <c r="AF179" s="70" t="str">
        <f>'RESUMEN TOTAL'!AM232</f>
        <v>APAGADO</v>
      </c>
      <c r="AG179" s="70" t="str">
        <f>'RESUMEN TOTAL'!AN232</f>
        <v>APAGADO</v>
      </c>
      <c r="AH179" s="70" t="str">
        <f>'RESUMEN TOTAL'!AO232</f>
        <v>APAGADO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 t="str">
        <f>'RESUMEN TOTAL'!AM233</f>
        <v>APAGADO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 t="str">
        <f>'RESUMEN TOTAL'!AK234</f>
        <v>APAGADO</v>
      </c>
      <c r="AE181" s="70" t="str">
        <f>'RESUMEN TOTAL'!AL234</f>
        <v>APAGADO</v>
      </c>
      <c r="AF181" s="70" t="str">
        <f>'RESUMEN TOTAL'!AM234</f>
        <v>APAGADO</v>
      </c>
      <c r="AG181" s="70" t="str">
        <f>'RESUMEN TOTAL'!AN234</f>
        <v>APAGADO</v>
      </c>
      <c r="AH181" s="70" t="str">
        <f>'RESUMEN TOTAL'!AO234</f>
        <v>APAGADO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 t="str">
        <f>'RESUMEN TOTAL'!AM242</f>
        <v>APAGADO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 t="str">
        <f>'RESUMEN TOTAL'!AM243</f>
        <v>APAGADO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 t="str">
        <f>'RESUMEN TOTAL'!AK246</f>
        <v>APAGADO</v>
      </c>
      <c r="AE193" s="70" t="str">
        <f>'RESUMEN TOTAL'!AL246</f>
        <v>APAGADO</v>
      </c>
      <c r="AF193" s="70" t="str">
        <f>'RESUMEN TOTAL'!AM246</f>
        <v>APAGADO</v>
      </c>
      <c r="AG193" s="70" t="str">
        <f>'RESUMEN TOTAL'!AN246</f>
        <v>APAGADO</v>
      </c>
      <c r="AH193" s="70" t="str">
        <f>'RESUMEN TOTAL'!AO246</f>
        <v>APAGADO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 t="str">
        <f>'RESUMEN TOTAL'!AM260</f>
        <v>APAGADO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 t="str">
        <f>'RESUMEN TOTAL'!AM262</f>
        <v>APAGADO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 t="str">
        <f>'RESUMEN TOTAL'!AN264</f>
        <v>APAGADO</v>
      </c>
      <c r="AH211" s="70" t="str">
        <f>'RESUMEN TOTAL'!AO264</f>
        <v>APAGADO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 t="str">
        <f>'RESUMEN TOTAL'!AK281</f>
        <v>APAGADO</v>
      </c>
      <c r="AE224" s="70" t="str">
        <f>'RESUMEN TOTAL'!AL281</f>
        <v>APAGADO</v>
      </c>
      <c r="AF224" s="70" t="str">
        <f>'RESUMEN TOTAL'!AM281</f>
        <v>APAGADO</v>
      </c>
      <c r="AG224" s="70" t="str">
        <f>'RESUMEN TOTAL'!AN281</f>
        <v>APAGADO</v>
      </c>
      <c r="AH224" s="70" t="str">
        <f>'RESUMEN TOTAL'!AO281</f>
        <v>APAGADO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 t="str">
        <f>'RESUMEN TOTAL'!AJ290</f>
        <v>APAGADO</v>
      </c>
      <c r="AD230" s="70" t="str">
        <f>'RESUMEN TOTAL'!AK290</f>
        <v>APAGADO</v>
      </c>
      <c r="AE230" s="70" t="str">
        <f>'RESUMEN TOTAL'!AL290</f>
        <v>APAGADO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 t="str">
        <f>'RESUMEN TOTAL'!AJ291</f>
        <v>APAGADO</v>
      </c>
      <c r="AD231" s="70" t="str">
        <f>'RESUMEN TOTAL'!AK291</f>
        <v>APAGADO</v>
      </c>
      <c r="AE231" s="70" t="str">
        <f>'RESUMEN TOTAL'!AL291</f>
        <v>APAGADO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 t="str">
        <f>'RESUMEN TOTAL'!AK296</f>
        <v>APAGADO</v>
      </c>
      <c r="AE236" s="70" t="str">
        <f>'RESUMEN TOTAL'!AL296</f>
        <v>APAGADO</v>
      </c>
      <c r="AF236" s="70" t="str">
        <f>'RESUMEN TOTAL'!AM296</f>
        <v>APAGADO</v>
      </c>
      <c r="AG236" s="70" t="str">
        <f>'RESUMEN TOTAL'!AN296</f>
        <v>APAGADO</v>
      </c>
      <c r="AH236" s="70" t="str">
        <f>'RESUMEN TOTAL'!AO296</f>
        <v>APAGADO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 t="str">
        <f>'RESUMEN TOTAL'!AK308</f>
        <v>APAGADO</v>
      </c>
      <c r="AE248" s="70" t="str">
        <f>'RESUMEN TOTAL'!AL308</f>
        <v>APAGADO</v>
      </c>
      <c r="AF248" s="70" t="str">
        <f>'RESUMEN TOTAL'!AM308</f>
        <v>APAGADO</v>
      </c>
      <c r="AG248" s="70" t="str">
        <f>'RESUMEN TOTAL'!AN308</f>
        <v>APAGADO</v>
      </c>
      <c r="AH248" s="70" t="str">
        <f>'RESUMEN TOTAL'!AO308</f>
        <v>APAGADO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 t="str">
        <f>'RESUMEN TOTAL'!AK310</f>
        <v>APAGADO</v>
      </c>
      <c r="AE250" s="70" t="str">
        <f>'RESUMEN TOTAL'!AL310</f>
        <v>APAGADO</v>
      </c>
      <c r="AF250" s="70" t="str">
        <f>'RESUMEN TOTAL'!AM310</f>
        <v>APAGADO</v>
      </c>
      <c r="AG250" s="70" t="str">
        <f>'RESUMEN TOTAL'!AN310</f>
        <v>APAGADO</v>
      </c>
      <c r="AH250" s="70" t="str">
        <f>'RESUMEN TOTAL'!AO310</f>
        <v>APAGADO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 t="str">
        <f>'RESUMEN TOTAL'!AK311</f>
        <v>APAGADO</v>
      </c>
      <c r="AE251" s="70" t="str">
        <f>'RESUMEN TOTAL'!AL311</f>
        <v>APAGADO</v>
      </c>
      <c r="AF251" s="70" t="str">
        <f>'RESUMEN TOTAL'!AM311</f>
        <v>APAGADO</v>
      </c>
      <c r="AG251" s="70" t="str">
        <f>'RESUMEN TOTAL'!AN311</f>
        <v>APAGADO</v>
      </c>
      <c r="AH251" s="70" t="str">
        <f>'RESUMEN TOTAL'!AO311</f>
        <v>APAGADO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 t="str">
        <f>'RESUMEN TOTAL'!AK312</f>
        <v>APAGADO</v>
      </c>
      <c r="AE252" s="70" t="str">
        <f>'RESUMEN TOTAL'!AL312</f>
        <v>APAGADO</v>
      </c>
      <c r="AF252" s="70" t="str">
        <f>'RESUMEN TOTAL'!AM312</f>
        <v>APAGADO</v>
      </c>
      <c r="AG252" s="70" t="str">
        <f>'RESUMEN TOTAL'!AN312</f>
        <v>APAGADO</v>
      </c>
      <c r="AH252" s="70" t="str">
        <f>'RESUMEN TOTAL'!AO312</f>
        <v>APAGADO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 t="str">
        <f>'RESUMEN TOTAL'!AK313</f>
        <v>APAGADO</v>
      </c>
      <c r="AE253" s="70" t="str">
        <f>'RESUMEN TOTAL'!AL313</f>
        <v>APAGADO</v>
      </c>
      <c r="AF253" s="70" t="str">
        <f>'RESUMEN TOTAL'!AM313</f>
        <v>APAGADO</v>
      </c>
      <c r="AG253" s="70" t="str">
        <f>'RESUMEN TOTAL'!AN313</f>
        <v>APAGADO</v>
      </c>
      <c r="AH253" s="70" t="str">
        <f>'RESUMEN TOTAL'!AO313</f>
        <v>APAGADO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 t="str">
        <f>'RESUMEN TOTAL'!AK314</f>
        <v>APAGADO</v>
      </c>
      <c r="AE254" s="70" t="str">
        <f>'RESUMEN TOTAL'!AL314</f>
        <v>APAGADO</v>
      </c>
      <c r="AF254" s="70" t="str">
        <f>'RESUMEN TOTAL'!AM314</f>
        <v>APAGADO</v>
      </c>
      <c r="AG254" s="70" t="str">
        <f>'RESUMEN TOTAL'!AN314</f>
        <v>APAGADO</v>
      </c>
      <c r="AH254" s="70" t="str">
        <f>'RESUMEN TOTAL'!AO314</f>
        <v>APAGADO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 t="str">
        <f>'RESUMEN TOTAL'!AJ315</f>
        <v>APAGADO</v>
      </c>
      <c r="AD255" s="70" t="str">
        <f>'RESUMEN TOTAL'!AK315</f>
        <v>APAGADO</v>
      </c>
      <c r="AE255" s="70" t="str">
        <f>'RESUMEN TOTAL'!AL315</f>
        <v>APAGADO</v>
      </c>
      <c r="AF255" s="70" t="str">
        <f>'RESUMEN TOTAL'!AM315</f>
        <v>APAGADO</v>
      </c>
      <c r="AG255" s="70" t="str">
        <f>'RESUMEN TOTAL'!AN315</f>
        <v>APAGADO</v>
      </c>
      <c r="AH255" s="70" t="str">
        <f>'RESUMEN TOTAL'!AO315</f>
        <v>APAGADO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 t="str">
        <f>'RESUMEN TOTAL'!AJ316</f>
        <v>APAGADO</v>
      </c>
      <c r="AD256" s="70" t="str">
        <f>'RESUMEN TOTAL'!AK316</f>
        <v>APAGADO</v>
      </c>
      <c r="AE256" s="70" t="str">
        <f>'RESUMEN TOTAL'!AL316</f>
        <v>APAGADO</v>
      </c>
      <c r="AF256" s="70" t="str">
        <f>'RESUMEN TOTAL'!AM316</f>
        <v>APAGADO</v>
      </c>
      <c r="AG256" s="70" t="str">
        <f>'RESUMEN TOTAL'!AN316</f>
        <v>APAGADO</v>
      </c>
      <c r="AH256" s="70" t="str">
        <f>'RESUMEN TOTAL'!AO316</f>
        <v>APAGADO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 t="str">
        <f>'RESUMEN TOTAL'!AJ337</f>
        <v>APAGADO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 t="str">
        <f>'RESUMEN TOTAL'!AM350</f>
        <v>APAGADO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 t="str">
        <f>'RESUMEN TOTAL'!AJ351</f>
        <v>APAGADO</v>
      </c>
      <c r="AD282" s="70" t="str">
        <f>'RESUMEN TOTAL'!AK351</f>
        <v>APAGADO</v>
      </c>
      <c r="AE282" s="70" t="str">
        <f>'RESUMEN TOTAL'!AL351</f>
        <v>APAGADO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 t="str">
        <f>'RESUMEN TOTAL'!AJ352</f>
        <v>APAGADO</v>
      </c>
      <c r="AD283" s="70" t="str">
        <f>'RESUMEN TOTAL'!AK352</f>
        <v>APAGADO</v>
      </c>
      <c r="AE283" s="70" t="str">
        <f>'RESUMEN TOTAL'!AL352</f>
        <v>APAGADO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 t="str">
        <f>'RESUMEN TOTAL'!AK375</f>
        <v>APAGADO</v>
      </c>
      <c r="AE301" s="70" t="str">
        <f>'RESUMEN TOTAL'!AL375</f>
        <v>APAGADO</v>
      </c>
      <c r="AF301" s="70" t="str">
        <f>'RESUMEN TOTAL'!AM375</f>
        <v>APAGADO</v>
      </c>
      <c r="AG301" s="70" t="str">
        <f>'RESUMEN TOTAL'!AN375</f>
        <v>APAGADO</v>
      </c>
      <c r="AH301" s="70" t="str">
        <f>'RESUMEN TOTAL'!AO375</f>
        <v>APAGADO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 t="str">
        <f>'RESUMEN TOTAL'!AK378</f>
        <v>APAGADO</v>
      </c>
      <c r="AE304" s="70" t="str">
        <f>'RESUMEN TOTAL'!AL378</f>
        <v>APAGADO</v>
      </c>
      <c r="AF304" s="70" t="str">
        <f>'RESUMEN TOTAL'!AM378</f>
        <v>APAGADO</v>
      </c>
      <c r="AG304" s="70" t="str">
        <f>'RESUMEN TOTAL'!AN378</f>
        <v>APAGADO</v>
      </c>
      <c r="AH304" s="70" t="str">
        <f>'RESUMEN TOTAL'!AO378</f>
        <v>APAGADO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 t="str">
        <f>'RESUMEN TOTAL'!AK379</f>
        <v>APAGADO</v>
      </c>
      <c r="AE305" s="70" t="str">
        <f>'RESUMEN TOTAL'!AL379</f>
        <v>APAGADO</v>
      </c>
      <c r="AF305" s="70" t="str">
        <f>'RESUMEN TOTAL'!AM379</f>
        <v>APAGADO</v>
      </c>
      <c r="AG305" s="70" t="str">
        <f>'RESUMEN TOTAL'!AN379</f>
        <v>APAGADO</v>
      </c>
      <c r="AH305" s="70" t="str">
        <f>'RESUMEN TOTAL'!AO379</f>
        <v>APAGADO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 t="str">
        <f>'RESUMEN TOTAL'!AK380</f>
        <v>APAGADO</v>
      </c>
      <c r="AE306" s="70" t="str">
        <f>'RESUMEN TOTAL'!AL380</f>
        <v>APAGADO</v>
      </c>
      <c r="AF306" s="70" t="str">
        <f>'RESUMEN TOTAL'!AM380</f>
        <v>APAGADO</v>
      </c>
      <c r="AG306" s="70" t="str">
        <f>'RESUMEN TOTAL'!AN380</f>
        <v>APAGADO</v>
      </c>
      <c r="AH306" s="70" t="str">
        <f>'RESUMEN TOTAL'!AO380</f>
        <v>APAGADO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 t="str">
        <f>'RESUMEN TOTAL'!AK383</f>
        <v>APAGADO</v>
      </c>
      <c r="AE309" s="70" t="str">
        <f>'RESUMEN TOTAL'!AL383</f>
        <v>APAGADO</v>
      </c>
      <c r="AF309" s="70" t="str">
        <f>'RESUMEN TOTAL'!AM383</f>
        <v>APAGADO</v>
      </c>
      <c r="AG309" s="70" t="str">
        <f>'RESUMEN TOTAL'!AN383</f>
        <v>APAGADO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 t="str">
        <f>'RESUMEN TOTAL'!AK384</f>
        <v>APAGADO</v>
      </c>
      <c r="AE310" s="70" t="str">
        <f>'RESUMEN TOTAL'!AL384</f>
        <v>APAGADO</v>
      </c>
      <c r="AF310" s="70" t="str">
        <f>'RESUMEN TOTAL'!AM384</f>
        <v>APAGADO</v>
      </c>
      <c r="AG310" s="70" t="str">
        <f>'RESUMEN TOTAL'!AN384</f>
        <v>APAGADO</v>
      </c>
      <c r="AH310" s="70" t="str">
        <f>'RESUMEN TOTAL'!AO384</f>
        <v>APAGADO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 t="str">
        <f>'RESUMEN TOTAL'!AK385</f>
        <v>APAGADO</v>
      </c>
      <c r="AE311" s="70" t="str">
        <f>'RESUMEN TOTAL'!AL385</f>
        <v>APAGADO</v>
      </c>
      <c r="AF311" s="70" t="str">
        <f>'RESUMEN TOTAL'!AM385</f>
        <v>APAGADO</v>
      </c>
      <c r="AG311" s="70" t="str">
        <f>'RESUMEN TOTAL'!AN385</f>
        <v>APAGADO</v>
      </c>
      <c r="AH311" s="70" t="str">
        <f>'RESUMEN TOTAL'!AO385</f>
        <v>APAGADO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 t="str">
        <f>'RESUMEN TOTAL'!AK386</f>
        <v>APAGADO</v>
      </c>
      <c r="AE312" s="70" t="str">
        <f>'RESUMEN TOTAL'!AL386</f>
        <v>APAGADO</v>
      </c>
      <c r="AF312" s="70" t="str">
        <f>'RESUMEN TOTAL'!AM386</f>
        <v>APAGADO</v>
      </c>
      <c r="AG312" s="70" t="str">
        <f>'RESUMEN TOTAL'!AN386</f>
        <v>APAGADO</v>
      </c>
      <c r="AH312" s="70" t="str">
        <f>'RESUMEN TOTAL'!AO386</f>
        <v>APAGADO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 t="str">
        <f>'RESUMEN TOTAL'!AK388</f>
        <v>APAGADO</v>
      </c>
      <c r="AE314" s="70" t="str">
        <f>'RESUMEN TOTAL'!AL388</f>
        <v>APAGADO</v>
      </c>
      <c r="AF314" s="70" t="str">
        <f>'RESUMEN TOTAL'!AM388</f>
        <v>APAGADO</v>
      </c>
      <c r="AG314" s="70" t="str">
        <f>'RESUMEN TOTAL'!AN388</f>
        <v>APAGADO</v>
      </c>
      <c r="AH314" s="70" t="str">
        <f>'RESUMEN TOTAL'!AO388</f>
        <v>APAGADO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 t="str">
        <f>'RESUMEN TOTAL'!AK389</f>
        <v>APAGADO</v>
      </c>
      <c r="AE315" s="70" t="str">
        <f>'RESUMEN TOTAL'!AL389</f>
        <v>APAGADO</v>
      </c>
      <c r="AF315" s="70" t="str">
        <f>'RESUMEN TOTAL'!AM389</f>
        <v>APAGADO</v>
      </c>
      <c r="AG315" s="70" t="str">
        <f>'RESUMEN TOTAL'!AN389</f>
        <v>APAGADO</v>
      </c>
      <c r="AH315" s="70" t="str">
        <f>'RESUMEN TOTAL'!AO389</f>
        <v>APAGADO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 t="str">
        <f>'RESUMEN TOTAL'!AJ395</f>
        <v>APAGADO</v>
      </c>
      <c r="AD316" s="70" t="str">
        <f>'RESUMEN TOTAL'!AK395</f>
        <v>APAGADO</v>
      </c>
      <c r="AE316" s="70" t="str">
        <f>'RESUMEN TOTAL'!AL395</f>
        <v>APAGADO</v>
      </c>
      <c r="AF316" s="70" t="str">
        <f>'RESUMEN TOTAL'!AM395</f>
        <v>APAGADO</v>
      </c>
      <c r="AG316" s="70" t="str">
        <f>'RESUMEN TOTAL'!AN395</f>
        <v>APAGADO</v>
      </c>
      <c r="AH316" s="70" t="str">
        <f>'RESUMEN TOTAL'!AO395</f>
        <v>APAGADO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 t="str">
        <f>'RESUMEN TOTAL'!AK399</f>
        <v>APAGADO</v>
      </c>
      <c r="AE320" s="70" t="str">
        <f>'RESUMEN TOTAL'!AL399</f>
        <v>APAGADO</v>
      </c>
      <c r="AF320" s="70" t="str">
        <f>'RESUMEN TOTAL'!AM399</f>
        <v>APAGADO</v>
      </c>
      <c r="AG320" s="70" t="str">
        <f>'RESUMEN TOTAL'!AN399</f>
        <v>APAGADO</v>
      </c>
      <c r="AH320" s="70" t="str">
        <f>'RESUMEN TOTAL'!AO399</f>
        <v>APAGADO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 t="str">
        <f>'RESUMEN TOTAL'!AK401</f>
        <v>APAGADO</v>
      </c>
      <c r="AE322" s="70" t="str">
        <f>'RESUMEN TOTAL'!AL401</f>
        <v>APAGADO</v>
      </c>
      <c r="AF322" s="70" t="str">
        <f>'RESUMEN TOTAL'!AM401</f>
        <v>APAGADO</v>
      </c>
      <c r="AG322" s="70" t="str">
        <f>'RESUMEN TOTAL'!AN401</f>
        <v>APAGADO</v>
      </c>
      <c r="AH322" s="70" t="str">
        <f>'RESUMEN TOTAL'!AO401</f>
        <v>APAGADO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 t="str">
        <f>'RESUMEN TOTAL'!AK402</f>
        <v>APAGADO</v>
      </c>
      <c r="AE323" s="70" t="str">
        <f>'RESUMEN TOTAL'!AL402</f>
        <v>APAGADO</v>
      </c>
      <c r="AF323" s="70" t="str">
        <f>'RESUMEN TOTAL'!AM402</f>
        <v>APAGADO</v>
      </c>
      <c r="AG323" s="70" t="str">
        <f>'RESUMEN TOTAL'!AN402</f>
        <v>APAGADO</v>
      </c>
      <c r="AH323" s="70" t="str">
        <f>'RESUMEN TOTAL'!AO402</f>
        <v>APAGADO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 t="str">
        <f>'RESUMEN TOTAL'!AJ413</f>
        <v>APAGADO</v>
      </c>
      <c r="AD327" s="70" t="str">
        <f>'RESUMEN TOTAL'!AK413</f>
        <v>APAGADO</v>
      </c>
      <c r="AE327" s="70" t="str">
        <f>'RESUMEN TOTAL'!AL413</f>
        <v>APAGADO</v>
      </c>
      <c r="AF327" s="70" t="str">
        <f>'RESUMEN TOTAL'!AM413</f>
        <v>APAGADO</v>
      </c>
      <c r="AG327" s="70" t="str">
        <f>'RESUMEN TOTAL'!AN413</f>
        <v>APAGADO</v>
      </c>
      <c r="AH327" s="70" t="str">
        <f>'RESUMEN TOTAL'!AO413</f>
        <v>APAGADO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 t="str">
        <f>'RESUMEN TOTAL'!AK415</f>
        <v>APAGADO</v>
      </c>
      <c r="AE329" s="70" t="str">
        <f>'RESUMEN TOTAL'!AL415</f>
        <v>APAGADO</v>
      </c>
      <c r="AF329" s="70" t="str">
        <f>'RESUMEN TOTAL'!AM415</f>
        <v>APAGADO</v>
      </c>
      <c r="AG329" s="70" t="str">
        <f>'RESUMEN TOTAL'!AN415</f>
        <v>APAGADO</v>
      </c>
      <c r="AH329" s="70" t="str">
        <f>'RESUMEN TOTAL'!AO415</f>
        <v>APAGADO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 t="str">
        <f>'RESUMEN TOTAL'!AJ416</f>
        <v>APAGADO</v>
      </c>
      <c r="AD330" s="70" t="str">
        <f>'RESUMEN TOTAL'!AK416</f>
        <v>APAGADO</v>
      </c>
      <c r="AE330" s="70" t="str">
        <f>'RESUMEN TOTAL'!AL416</f>
        <v>APAGADO</v>
      </c>
      <c r="AF330" s="70" t="str">
        <f>'RESUMEN TOTAL'!AM416</f>
        <v>APAGADO</v>
      </c>
      <c r="AG330" s="70" t="str">
        <f>'RESUMEN TOTAL'!AN416</f>
        <v>APAGADO</v>
      </c>
      <c r="AH330" s="70" t="str">
        <f>'RESUMEN TOTAL'!AO416</f>
        <v>APAGADO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 t="str">
        <f>'RESUMEN TOTAL'!AK417</f>
        <v>APAGADO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 t="str">
        <f>'RESUMEN TOTAL'!AJ420</f>
        <v>APAGADO</v>
      </c>
      <c r="AD334" s="70" t="str">
        <f>'RESUMEN TOTAL'!AK420</f>
        <v>APAGADO</v>
      </c>
      <c r="AE334" s="70" t="str">
        <f>'RESUMEN TOTAL'!AL420</f>
        <v>APAGADO</v>
      </c>
      <c r="AF334" s="70" t="str">
        <f>'RESUMEN TOTAL'!AM420</f>
        <v>APAGADO</v>
      </c>
      <c r="AG334" s="70" t="str">
        <f>'RESUMEN TOTAL'!AN420</f>
        <v>APAGADO</v>
      </c>
      <c r="AH334" s="70" t="str">
        <f>'RESUMEN TOTAL'!AO420</f>
        <v>APAGADO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 t="str">
        <f>'RESUMEN TOTAL'!AJ421</f>
        <v>APAGADO</v>
      </c>
      <c r="AD335" s="70" t="str">
        <f>'RESUMEN TOTAL'!AK421</f>
        <v>APAGADO</v>
      </c>
      <c r="AE335" s="70" t="str">
        <f>'RESUMEN TOTAL'!AL421</f>
        <v>APAGADO</v>
      </c>
      <c r="AF335" s="70" t="str">
        <f>'RESUMEN TOTAL'!AM421</f>
        <v>APAGADO</v>
      </c>
      <c r="AG335" s="70" t="str">
        <f>'RESUMEN TOTAL'!AN421</f>
        <v>APAGADO</v>
      </c>
      <c r="AH335" s="70" t="str">
        <f>'RESUMEN TOTAL'!AO421</f>
        <v>APAGADO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 t="str">
        <f>'RESUMEN TOTAL'!AJ429</f>
        <v>APAGADO</v>
      </c>
      <c r="AD340" s="70" t="str">
        <f>'RESUMEN TOTAL'!AK429</f>
        <v>APAGADO</v>
      </c>
      <c r="AE340" s="70" t="str">
        <f>'RESUMEN TOTAL'!AL429</f>
        <v>APAGADO</v>
      </c>
      <c r="AF340" s="70" t="str">
        <f>'RESUMEN TOTAL'!AM429</f>
        <v>APAGADO</v>
      </c>
      <c r="AG340" s="70" t="str">
        <f>'RESUMEN TOTAL'!AN429</f>
        <v>APAGADO</v>
      </c>
      <c r="AH340" s="70" t="str">
        <f>'RESUMEN TOTAL'!AO429</f>
        <v>APAGADO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 t="str">
        <f>'RESUMEN TOTAL'!AK430</f>
        <v>APAGADO</v>
      </c>
      <c r="AE341" s="70" t="str">
        <f>'RESUMEN TOTAL'!AL430</f>
        <v>APAGADO</v>
      </c>
      <c r="AF341" s="70" t="str">
        <f>'RESUMEN TOTAL'!AM430</f>
        <v>APAGADO</v>
      </c>
      <c r="AG341" s="70" t="str">
        <f>'RESUMEN TOTAL'!AN430</f>
        <v>APAGADO</v>
      </c>
      <c r="AH341" s="70" t="str">
        <f>'RESUMEN TOTAL'!AO430</f>
        <v>APAGADO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 t="str">
        <f>'RESUMEN TOTAL'!AJ436</f>
        <v>APAGADO</v>
      </c>
      <c r="AD347" s="70" t="str">
        <f>'RESUMEN TOTAL'!AK436</f>
        <v>APAGADO</v>
      </c>
      <c r="AE347" s="70" t="str">
        <f>'RESUMEN TOTAL'!AL436</f>
        <v>APAGADO</v>
      </c>
      <c r="AF347" s="70" t="str">
        <f>'RESUMEN TOTAL'!AM436</f>
        <v>APAGADO</v>
      </c>
      <c r="AG347" s="70" t="str">
        <f>'RESUMEN TOTAL'!AN436</f>
        <v>APAGADO</v>
      </c>
      <c r="AH347" s="70" t="str">
        <f>'RESUMEN TOTAL'!AO436</f>
        <v>APAGADO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 t="str">
        <f>'RESUMEN TOTAL'!AJ441</f>
        <v>APAGADO</v>
      </c>
      <c r="AD352" s="70" t="str">
        <f>'RESUMEN TOTAL'!AK441</f>
        <v>APAGADO</v>
      </c>
      <c r="AE352" s="70" t="str">
        <f>'RESUMEN TOTAL'!AL441</f>
        <v>APAGADO</v>
      </c>
      <c r="AF352" s="70" t="str">
        <f>'RESUMEN TOTAL'!AM441</f>
        <v>APAGADO</v>
      </c>
      <c r="AG352" s="70" t="str">
        <f>'RESUMEN TOTAL'!AN441</f>
        <v>APAGADO</v>
      </c>
      <c r="AH352" s="70" t="str">
        <f>'RESUMEN TOTAL'!AO441</f>
        <v>APAGADO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 t="str">
        <f>'RESUMEN TOTAL'!AK442</f>
        <v>APAGADO</v>
      </c>
      <c r="AE353" s="70" t="str">
        <f>'RESUMEN TOTAL'!AL442</f>
        <v>APAGADO</v>
      </c>
      <c r="AF353" s="70" t="str">
        <f>'RESUMEN TOTAL'!AM442</f>
        <v>APAGADO</v>
      </c>
      <c r="AG353" s="70" t="str">
        <f>'RESUMEN TOTAL'!AN442</f>
        <v>APAGADO</v>
      </c>
      <c r="AH353" s="70" t="str">
        <f>'RESUMEN TOTAL'!AO442</f>
        <v>APAGADO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 t="str">
        <f>'RESUMEN TOTAL'!AN444</f>
        <v>APAGADO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 t="str">
        <f>'RESUMEN TOTAL'!AN445</f>
        <v>APAGADO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 t="str">
        <f>'RESUMEN TOTAL'!AJ446</f>
        <v>APAGADO</v>
      </c>
      <c r="AD357" s="70" t="str">
        <f>'RESUMEN TOTAL'!AK446</f>
        <v>APAGADO</v>
      </c>
      <c r="AE357" s="70" t="str">
        <f>'RESUMEN TOTAL'!AL446</f>
        <v>APAGADO</v>
      </c>
      <c r="AF357" s="70" t="str">
        <f>'RESUMEN TOTAL'!AM446</f>
        <v>APAGADO</v>
      </c>
      <c r="AG357" s="70" t="str">
        <f>'RESUMEN TOTAL'!AN446</f>
        <v>APAGADO</v>
      </c>
      <c r="AH357" s="70" t="str">
        <f>'RESUMEN TOTAL'!AO446</f>
        <v>APAGADO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 t="str">
        <f>'RESUMEN TOTAL'!AJ447</f>
        <v>APAGADO</v>
      </c>
      <c r="AD358" s="70" t="str">
        <f>'RESUMEN TOTAL'!AK447</f>
        <v>APAGADO</v>
      </c>
      <c r="AE358" s="70" t="str">
        <f>'RESUMEN TOTAL'!AL447</f>
        <v>APAGADO</v>
      </c>
      <c r="AF358" s="70" t="str">
        <f>'RESUMEN TOTAL'!AM447</f>
        <v>APAGADO</v>
      </c>
      <c r="AG358" s="70" t="str">
        <f>'RESUMEN TOTAL'!AN447</f>
        <v>APAGADO</v>
      </c>
      <c r="AH358" s="70" t="str">
        <f>'RESUMEN TOTAL'!AO447</f>
        <v>APAGADO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 t="str">
        <f>'RESUMEN TOTAL'!AK456</f>
        <v>APAGADO</v>
      </c>
      <c r="AE361" s="70" t="str">
        <f>'RESUMEN TOTAL'!AL456</f>
        <v>APAGADO</v>
      </c>
      <c r="AF361" s="70" t="str">
        <f>'RESUMEN TOTAL'!AM456</f>
        <v>APAGADO</v>
      </c>
      <c r="AG361" s="70" t="str">
        <f>'RESUMEN TOTAL'!AN456</f>
        <v>APAGADO</v>
      </c>
      <c r="AH361" s="70" t="str">
        <f>'RESUMEN TOTAL'!AO456</f>
        <v>APAGADO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 t="str">
        <f>'RESUMEN TOTAL'!AK457</f>
        <v>APAGADO</v>
      </c>
      <c r="AE362" s="70" t="str">
        <f>'RESUMEN TOTAL'!AL457</f>
        <v>APAGADO</v>
      </c>
      <c r="AF362" s="70" t="str">
        <f>'RESUMEN TOTAL'!AM457</f>
        <v>APAGADO</v>
      </c>
      <c r="AG362" s="70" t="str">
        <f>'RESUMEN TOTAL'!AN457</f>
        <v>APAGADO</v>
      </c>
      <c r="AH362" s="70" t="str">
        <f>'RESUMEN TOTAL'!AO457</f>
        <v>APAGADO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 t="str">
        <f>'RESUMEN TOTAL'!AK458</f>
        <v>APAGADO</v>
      </c>
      <c r="AE363" s="70" t="str">
        <f>'RESUMEN TOTAL'!AL458</f>
        <v>APAGADO</v>
      </c>
      <c r="AF363" s="70" t="str">
        <f>'RESUMEN TOTAL'!AM458</f>
        <v>APAGADO</v>
      </c>
      <c r="AG363" s="70">
        <f>'RESUMEN TOTAL'!AN458</f>
        <v>0</v>
      </c>
      <c r="AH363" s="70" t="str">
        <f>'RESUMEN TOTAL'!AO458</f>
        <v>APAGADO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 t="str">
        <f>'RESUMEN TOTAL'!AJ496</f>
        <v>APAGADO</v>
      </c>
      <c r="AD393" s="70" t="str">
        <f>'RESUMEN TOTAL'!AK496</f>
        <v>APAGADO</v>
      </c>
      <c r="AE393" s="70" t="str">
        <f>'RESUMEN TOTAL'!AL496</f>
        <v>APAGADO</v>
      </c>
      <c r="AF393" s="70" t="str">
        <f>'RESUMEN TOTAL'!AM496</f>
        <v>APAGADO</v>
      </c>
      <c r="AG393" s="70" t="str">
        <f>'RESUMEN TOTAL'!AN496</f>
        <v>APAGADO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 t="str">
        <f>'RESUMEN TOTAL'!AK502</f>
        <v>APAGADO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 t="str">
        <f>'RESUMEN TOTAL'!AJ503</f>
        <v>APAGADO</v>
      </c>
      <c r="AD400" s="70" t="str">
        <f>'RESUMEN TOTAL'!AK503</f>
        <v>APAGADO</v>
      </c>
      <c r="AE400" s="70" t="str">
        <f>'RESUMEN TOTAL'!AL503</f>
        <v>APAGADO</v>
      </c>
      <c r="AF400" s="70" t="str">
        <f>'RESUMEN TOTAL'!AM503</f>
        <v>APAGADO</v>
      </c>
      <c r="AG400" s="70" t="str">
        <f>'RESUMEN TOTAL'!AN503</f>
        <v>APAGADO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 t="str">
        <f>'RESUMEN TOTAL'!AM505</f>
        <v>APAGADO</v>
      </c>
      <c r="AG402" s="70">
        <f>'RESUMEN TOTAL'!AN505</f>
        <v>0</v>
      </c>
      <c r="AH402" s="70" t="str">
        <f>'RESUMEN TOTAL'!AO505</f>
        <v>APAGADO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 t="str">
        <f>'RESUMEN TOTAL'!AJ508</f>
        <v>APAGADO</v>
      </c>
      <c r="AD405" s="70" t="str">
        <f>'RESUMEN TOTAL'!AK508</f>
        <v>APAGADO</v>
      </c>
      <c r="AE405" s="70" t="str">
        <f>'RESUMEN TOTAL'!AL508</f>
        <v>APAGADO</v>
      </c>
      <c r="AF405" s="70" t="str">
        <f>'RESUMEN TOTAL'!AM508</f>
        <v>APAGADO</v>
      </c>
      <c r="AG405" s="70" t="str">
        <f>'RESUMEN TOTAL'!AN508</f>
        <v>APAGADO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 t="str">
        <f>'RESUMEN TOTAL'!AK509</f>
        <v>APAGADO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 t="str">
        <f>'RESUMEN TOTAL'!AK510</f>
        <v>APAGADO</v>
      </c>
      <c r="AE407" s="70" t="str">
        <f>'RESUMEN TOTAL'!AL510</f>
        <v>APAGADO</v>
      </c>
      <c r="AF407" s="70" t="str">
        <f>'RESUMEN TOTAL'!AM510</f>
        <v>APAGADO</v>
      </c>
      <c r="AG407" s="70" t="str">
        <f>'RESUMEN TOTAL'!AN510</f>
        <v>APAGADO</v>
      </c>
      <c r="AH407" s="70" t="str">
        <f>'RESUMEN TOTAL'!AO510</f>
        <v>APAGADO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 t="str">
        <f>'RESUMEN TOTAL'!AJ511</f>
        <v>APAGADO</v>
      </c>
      <c r="AD408" s="70" t="str">
        <f>'RESUMEN TOTAL'!AK511</f>
        <v>APAGADO</v>
      </c>
      <c r="AE408" s="70" t="str">
        <f>'RESUMEN TOTAL'!AL511</f>
        <v>APAGADO</v>
      </c>
      <c r="AF408" s="70" t="str">
        <f>'RESUMEN TOTAL'!AM511</f>
        <v>APAGADO</v>
      </c>
      <c r="AG408" s="70" t="str">
        <f>'RESUMEN TOTAL'!AN511</f>
        <v>APAGADO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 t="str">
        <f>'RESUMEN TOTAL'!AJ514</f>
        <v>APAGADO</v>
      </c>
      <c r="AD411" s="70" t="str">
        <f>'RESUMEN TOTAL'!AK514</f>
        <v>APAGADO</v>
      </c>
      <c r="AE411" s="70" t="str">
        <f>'RESUMEN TOTAL'!AL514</f>
        <v>APAGADO</v>
      </c>
      <c r="AF411" s="70" t="str">
        <f>'RESUMEN TOTAL'!AM514</f>
        <v>APAGADO</v>
      </c>
      <c r="AG411" s="70" t="str">
        <f>'RESUMEN TOTAL'!AN514</f>
        <v>APAGADO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 t="str">
        <f>'RESUMEN TOTAL'!AJ515</f>
        <v>APAGADO</v>
      </c>
      <c r="AD412" s="70" t="str">
        <f>'RESUMEN TOTAL'!AK515</f>
        <v>APAGADO</v>
      </c>
      <c r="AE412" s="70" t="str">
        <f>'RESUMEN TOTAL'!AL515</f>
        <v>APAGADO</v>
      </c>
      <c r="AF412" s="70" t="str">
        <f>'RESUMEN TOTAL'!AM515</f>
        <v>APAGADO</v>
      </c>
      <c r="AG412" s="70" t="str">
        <f>'RESUMEN TOTAL'!AN515</f>
        <v>APAGADO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 t="str">
        <f>'RESUMEN TOTAL'!AJ520</f>
        <v>APAGADO</v>
      </c>
      <c r="AD417" s="70" t="str">
        <f>'RESUMEN TOTAL'!AK520</f>
        <v>APAGADO</v>
      </c>
      <c r="AE417" s="70" t="str">
        <f>'RESUMEN TOTAL'!AL520</f>
        <v>APAGADO</v>
      </c>
      <c r="AF417" s="70" t="str">
        <f>'RESUMEN TOTAL'!AM520</f>
        <v>APAGADO</v>
      </c>
      <c r="AG417" s="70" t="str">
        <f>'RESUMEN TOTAL'!AN520</f>
        <v>APAGADO</v>
      </c>
      <c r="AH417" s="70" t="str">
        <f>'RESUMEN TOTAL'!AO520</f>
        <v>APAGADO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 t="str">
        <f>'RESUMEN TOTAL'!AJ539</f>
        <v>APAGADO</v>
      </c>
      <c r="AD430" s="70" t="str">
        <f>'RESUMEN TOTAL'!AK539</f>
        <v>APAGADO</v>
      </c>
      <c r="AE430" s="70" t="str">
        <f>'RESUMEN TOTAL'!AL539</f>
        <v>APAGADO</v>
      </c>
      <c r="AF430" s="70">
        <f>'RESUMEN TOTAL'!AM539</f>
        <v>0</v>
      </c>
      <c r="AG430" s="70" t="str">
        <f>'RESUMEN TOTAL'!AN539</f>
        <v>APAGADO</v>
      </c>
      <c r="AH430" s="70" t="str">
        <f>'RESUMEN TOTAL'!AO539</f>
        <v>APAGADO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 t="str">
        <f>'RESUMEN TOTAL'!AJ550</f>
        <v>APAGADO</v>
      </c>
      <c r="AD437" s="70" t="str">
        <f>'RESUMEN TOTAL'!AK550</f>
        <v>APAGADO</v>
      </c>
      <c r="AE437" s="70" t="str">
        <f>'RESUMEN TOTAL'!AL550</f>
        <v>APAGADO</v>
      </c>
      <c r="AF437" s="70" t="str">
        <f>'RESUMEN TOTAL'!AM550</f>
        <v>APAGADO</v>
      </c>
      <c r="AG437" s="70">
        <f>'RESUMEN TOTAL'!AN550</f>
        <v>0</v>
      </c>
      <c r="AH437" s="70" t="str">
        <f>'RESUMEN TOTAL'!AO550</f>
        <v>APAGADO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 t="str">
        <f>'RESUMEN TOTAL'!AJ552</f>
        <v>APAGADO</v>
      </c>
      <c r="AD439" s="70" t="str">
        <f>'RESUMEN TOTAL'!AK552</f>
        <v>APAGADO</v>
      </c>
      <c r="AE439" s="70" t="str">
        <f>'RESUMEN TOTAL'!AL552</f>
        <v>APAGADO</v>
      </c>
      <c r="AF439" s="70" t="str">
        <f>'RESUMEN TOTAL'!AM552</f>
        <v>APAGADO</v>
      </c>
      <c r="AG439" s="70" t="str">
        <f>'RESUMEN TOTAL'!AN552</f>
        <v>APAGADO</v>
      </c>
      <c r="AH439" s="70" t="str">
        <f>'RESUMEN TOTAL'!AO552</f>
        <v>APAGADO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 t="str">
        <f>'RESUMEN TOTAL'!AJ553</f>
        <v>APAGADO</v>
      </c>
      <c r="AD440" s="70" t="str">
        <f>'RESUMEN TOTAL'!AK553</f>
        <v>APAGADO</v>
      </c>
      <c r="AE440" s="70">
        <f>'RESUMEN TOTAL'!AL553</f>
        <v>0</v>
      </c>
      <c r="AF440" s="70" t="str">
        <f>'RESUMEN TOTAL'!AM553</f>
        <v>APAGADO</v>
      </c>
      <c r="AG440" s="70" t="str">
        <f>'RESUMEN TOTAL'!AN553</f>
        <v>APAGADO</v>
      </c>
      <c r="AH440" s="70" t="str">
        <f>'RESUMEN TOTAL'!AO553</f>
        <v>APAGADO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 t="str">
        <f>'RESUMEN TOTAL'!AK559</f>
        <v>APAGADO</v>
      </c>
      <c r="AE445" s="70" t="str">
        <f>'RESUMEN TOTAL'!AL559</f>
        <v>APAGADO</v>
      </c>
      <c r="AF445" s="70" t="str">
        <f>'RESUMEN TOTAL'!AM559</f>
        <v>APAGADO</v>
      </c>
      <c r="AG445" s="70" t="str">
        <f>'RESUMEN TOTAL'!AN559</f>
        <v>APAGADO</v>
      </c>
      <c r="AH445" s="70" t="str">
        <f>'RESUMEN TOTAL'!AO559</f>
        <v>APAGADO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 t="str">
        <f>'RESUMEN TOTAL'!AJ577</f>
        <v>APAGADO</v>
      </c>
      <c r="AD460" s="70" t="str">
        <f>'RESUMEN TOTAL'!AK577</f>
        <v>APAGADO</v>
      </c>
      <c r="AE460" s="70" t="str">
        <f>'RESUMEN TOTAL'!AL577</f>
        <v>APAGADO</v>
      </c>
      <c r="AF460" s="70" t="str">
        <f>'RESUMEN TOTAL'!AM577</f>
        <v>APAGADO</v>
      </c>
      <c r="AG460" s="70" t="str">
        <f>'RESUMEN TOTAL'!AN577</f>
        <v>APAGADO</v>
      </c>
      <c r="AH460" s="70" t="str">
        <f>'RESUMEN TOTAL'!AO577</f>
        <v>APAGADO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AD1" zoomScale="90" zoomScaleNormal="90" workbookViewId="0">
      <selection activeCell="AB3" sqref="AB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28</v>
      </c>
      <c r="AD3" s="46">
        <f>COUNTIFS('RESUMEN TOTAL'!AK8:AK689,"=APAGADO",'RESUMEN TOTAL'!C8:C689,"=BONOMO")</f>
        <v>39</v>
      </c>
      <c r="AE3" s="46">
        <v>0</v>
      </c>
      <c r="AF3" s="46">
        <f>COUNTIFS('RESUMEN TOTAL'!AM8:AM689,"=APAGADO",'RESUMEN TOTAL'!C8:C689,"=BONOMO")</f>
        <v>36</v>
      </c>
      <c r="AG3" s="46">
        <f>COUNTIFS('RESUMEN TOTAL'!AN8:AN689,"=APAGADO",'RESUMEN TOTAL'!C8:C689,"=BONOMO")</f>
        <v>33</v>
      </c>
      <c r="AH3" s="46">
        <f>COUNTIFS('RESUMEN TOTAL'!AO8:AO689,"=APAGADO",'RESUMEN TOTAL'!C8:C689,"=BONOMO")</f>
        <v>37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0.12871287128712872</v>
      </c>
      <c r="AE4" s="50">
        <f t="shared" si="0"/>
        <v>0</v>
      </c>
      <c r="AF4" s="50">
        <f t="shared" si="0"/>
        <v>0.11881188118811881</v>
      </c>
      <c r="AG4" s="50">
        <f t="shared" si="0"/>
        <v>0.10891089108910891</v>
      </c>
      <c r="AH4" s="50">
        <f t="shared" si="0"/>
        <v>0.12211221122112212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62</v>
      </c>
      <c r="AD5" s="46">
        <f>COUNTIFS('RESUMEN TOTAL'!AK10:AK691,"=APAGADO",'RESUMEN TOTAL'!C10:C691,"=COSEIDI")</f>
        <v>68</v>
      </c>
      <c r="AE5" s="46">
        <f>COUNTIFS('RESUMEN TOTAL'!AL10:AL691,"=APAGADO",'RESUMEN TOTAL'!C10:C691,"=COSEIDI")</f>
        <v>56</v>
      </c>
      <c r="AF5" s="46">
        <f>COUNTIFS('RESUMEN TOTAL'!AM10:AM691,"=APAGADO",'RESUMEN TOTAL'!C10:C691,"=COSEIDI")</f>
        <v>68</v>
      </c>
      <c r="AG5" s="46">
        <v>0</v>
      </c>
      <c r="AH5" s="46">
        <f>COUNTIFS('RESUMEN TOTAL'!AO10:AO691,"=APAGADO",'RESUMEN TOTAL'!C10:C691,"=COSEIDI")</f>
        <v>60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0.25185185185185183</v>
      </c>
      <c r="AE6" s="50">
        <f t="shared" si="1"/>
        <v>0.2074074074074074</v>
      </c>
      <c r="AF6" s="50">
        <f t="shared" si="1"/>
        <v>0.25185185185185183</v>
      </c>
      <c r="AG6" s="50">
        <v>0</v>
      </c>
      <c r="AH6" s="50">
        <f t="shared" si="1"/>
        <v>0.22222222222222221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2025-12-29T14:19:25Z</dcterms:modified>
</cp:coreProperties>
</file>