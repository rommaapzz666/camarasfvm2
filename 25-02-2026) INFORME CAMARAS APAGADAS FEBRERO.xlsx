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7789D9A5-AF65-48BF-886D-62CA1A6F94F7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5" l="1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D272" i="24" s="1"/>
  <c r="D273" i="24" s="1"/>
  <c r="D274" i="24" s="1"/>
  <c r="AL3" i="2"/>
  <c r="AM3" i="2"/>
  <c r="AN3" i="2"/>
  <c r="AE5" i="25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49" i="24" l="1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C259" i="24" s="1"/>
  <c r="V3" i="2"/>
  <c r="U3" i="2"/>
  <c r="C91" i="24" s="1"/>
  <c r="Q3" i="2"/>
  <c r="C47" i="24" s="1"/>
  <c r="P3" i="2"/>
  <c r="C36" i="24" s="1"/>
  <c r="O3" i="2"/>
  <c r="C25" i="24" s="1"/>
  <c r="T3" i="2"/>
  <c r="C247" i="24" l="1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9" i="24" l="1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<sst xmlns="http://schemas.openxmlformats.org/spreadsheetml/2006/main" count="6531" uniqueCount="2324">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</sst>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0.18840579710144928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0.18840579710144928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0.18840579710144928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0.18840579710144928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view="pageBreakPreview" zoomScale="120" zoomScaleNormal="80" zoomScaleSheetLayoutView="120" workbookViewId="0">
      <pane xSplit="12" ySplit="7" topLeftCell="AK313" activePane="bottomRight" state="frozen"/>
      <selection pane="topRight" activeCell="M1" sqref="M1"/>
      <selection pane="bottomLeft" activeCell="A5" sqref="A5"/>
      <selection pane="bottomRight" activeCell="AL322" sqref="AL322"/>
    </sheetView>
  </sheetViews>
  <sheetFormatPr baseColWidth="10" defaultColWidth="11.5703125" defaultRowHeight="15" x14ac:dyDescent="0.25"/>
  <cols>
    <col min="1" max="1" width="12.28515625" hidden="1" customWidth="1"/>
    <col min="2" max="2" width="42" style="30" customWidth="1"/>
    <col min="3" max="3" width="15.85546875" style="30" hidden="1" customWidth="1"/>
    <col min="4" max="4" width="32.5703125" hidden="1" customWidth="1"/>
    <col min="5" max="5" width="16.28515625" style="61" hidden="1" customWidth="1"/>
    <col min="6" max="6" width="16.85546875" style="65" hidden="1" customWidth="1"/>
    <col min="7" max="7" width="18.28515625" style="65" hidden="1" customWidth="1"/>
    <col min="8" max="8" width="17.8554687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0.13737075332348597</v>
      </c>
      <c r="AK1" s="3">
        <f t="shared" si="1"/>
        <v>0.14868804664723032</v>
      </c>
      <c r="AL1" s="3">
        <f t="shared" si="1"/>
        <v>0.12835820895522387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93</v>
      </c>
      <c r="AK3" s="125">
        <f t="shared" si="3"/>
        <v>102</v>
      </c>
      <c r="AL3" s="125">
        <f t="shared" si="3"/>
        <v>86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47</v>
      </c>
      <c r="AK4" s="10">
        <f>COUNTIFS(AK8:AK698, "=APAGADO",F8:F698,"=Fibra Optica")</f>
        <v>53</v>
      </c>
      <c r="AL4" s="10">
        <f>COUNTIFS(AL8:AL698, "=APAGADO",F8:F698,"=Fibra Optica")</f>
        <v>47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2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3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3</v>
      </c>
      <c r="AJ5" s="129">
        <f>COUNTIFS(AJ8:AJ698, "=APAGADO",F8:F698,"=RADIO")</f>
        <v>4</v>
      </c>
      <c r="AK5" s="129">
        <f>COUNTIFS(AK8:AK698, "=APAGADO",F8:F698,"=RADIO")</f>
        <v>2</v>
      </c>
      <c r="AL5" s="129">
        <f>COUNTIFS(AL8:AL698, "=APAGADO",F8:F698,"=RADIO")</f>
        <v>2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11</v>
      </c>
      <c r="AK6" s="10">
        <f>COUNTIFS(AK8:AK698, "=APAGADO",F8:F698,"=PTO A FO")</f>
        <v>15</v>
      </c>
      <c r="AL6" s="10">
        <f>COUNTIFS(AL8:AL698, "=APAGADO",F8:F698,"=PTO A FO")</f>
        <v>11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13</v>
      </c>
      <c r="J8" s="146" t="s">
        <v>1657</v>
      </c>
      <c r="K8" s="31">
        <f t="shared" ref="K8:K86" si="5">COUNTIF(M8:AN8,"APAGADO")</f>
        <v>15</v>
      </c>
      <c r="L8" s="32">
        <f t="shared" ref="L8:L86" si="6">(I8)/(K8+I8)</f>
        <v>0.4642857142857143</v>
      </c>
      <c r="M8" s="70"/>
      <c r="N8" s="70"/>
      <c r="O8" s="70"/>
      <c r="P8" s="70" t="s">
        <v>2278</v>
      </c>
      <c r="Q8" s="70" t="s">
        <v>2278</v>
      </c>
      <c r="R8" s="70" t="s">
        <v>2278</v>
      </c>
      <c r="S8" s="70"/>
      <c r="T8" s="70"/>
      <c r="U8" s="70" t="s">
        <v>2278</v>
      </c>
      <c r="V8" s="70" t="s">
        <v>2278</v>
      </c>
      <c r="W8" s="70" t="s">
        <v>2278</v>
      </c>
      <c r="X8" s="70" t="s">
        <v>2278</v>
      </c>
      <c r="Y8" s="70" t="s">
        <v>2278</v>
      </c>
      <c r="Z8" s="70"/>
      <c r="AA8" s="70"/>
      <c r="AB8" s="70"/>
      <c r="AC8" s="70"/>
      <c r="AD8" s="70" t="s">
        <v>2278</v>
      </c>
      <c r="AE8" s="70" t="s">
        <v>2278</v>
      </c>
      <c r="AF8" s="70" t="s">
        <v>2278</v>
      </c>
      <c r="AG8" s="70"/>
      <c r="AH8" s="70"/>
      <c r="AI8" s="70" t="s">
        <v>2278</v>
      </c>
      <c r="AJ8" s="70" t="s">
        <v>2278</v>
      </c>
      <c r="AK8" s="70" t="s">
        <v>2278</v>
      </c>
      <c r="AL8" s="70" t="s">
        <v>2278</v>
      </c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4"/>
        <v>11</v>
      </c>
      <c r="J9" s="146" t="s">
        <v>1658</v>
      </c>
      <c r="K9" s="31">
        <f t="shared" si="5"/>
        <v>17</v>
      </c>
      <c r="L9" s="32">
        <f t="shared" si="6"/>
        <v>0.39285714285714285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 t="s">
        <v>2278</v>
      </c>
      <c r="R9" s="70" t="s">
        <v>2278</v>
      </c>
      <c r="S9" s="70"/>
      <c r="T9" s="70"/>
      <c r="U9" s="70" t="s">
        <v>2278</v>
      </c>
      <c r="V9" s="70" t="s">
        <v>2278</v>
      </c>
      <c r="W9" s="70" t="s">
        <v>2278</v>
      </c>
      <c r="X9" s="70" t="s">
        <v>2278</v>
      </c>
      <c r="Y9" s="70" t="s">
        <v>2278</v>
      </c>
      <c r="Z9" s="70"/>
      <c r="AA9" s="70"/>
      <c r="AB9" s="70"/>
      <c r="AC9" s="70"/>
      <c r="AD9" s="70" t="s">
        <v>2278</v>
      </c>
      <c r="AE9" s="70" t="s">
        <v>2278</v>
      </c>
      <c r="AF9" s="70" t="s">
        <v>2278</v>
      </c>
      <c r="AG9" s="70"/>
      <c r="AH9" s="70"/>
      <c r="AI9" s="70" t="s">
        <v>2278</v>
      </c>
      <c r="AJ9" s="70" t="s">
        <v>2278</v>
      </c>
      <c r="AK9" s="70" t="s">
        <v>2278</v>
      </c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4"/>
        <v>28</v>
      </c>
      <c r="J10" s="146" t="s">
        <v>1659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4"/>
        <v>28</v>
      </c>
      <c r="J11" s="146" t="s">
        <v>1660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4"/>
        <v>28</v>
      </c>
      <c r="J12" s="148" t="s">
        <v>1661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4"/>
        <v>28</v>
      </c>
      <c r="J13" s="146" t="s">
        <v>1662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4"/>
        <v>14</v>
      </c>
      <c r="J14" s="146" t="s">
        <v>1663</v>
      </c>
      <c r="K14" s="31">
        <f t="shared" si="5"/>
        <v>14</v>
      </c>
      <c r="L14" s="32">
        <f t="shared" si="6"/>
        <v>0.5</v>
      </c>
      <c r="M14" s="70"/>
      <c r="N14" s="70"/>
      <c r="O14" s="70"/>
      <c r="P14" s="70" t="s">
        <v>2278</v>
      </c>
      <c r="Q14" s="70" t="s">
        <v>2278</v>
      </c>
      <c r="R14" s="70" t="s">
        <v>2278</v>
      </c>
      <c r="S14" s="70"/>
      <c r="T14" s="70"/>
      <c r="U14" s="70" t="s">
        <v>2278</v>
      </c>
      <c r="V14" s="70" t="s">
        <v>2278</v>
      </c>
      <c r="W14" s="70" t="s">
        <v>2278</v>
      </c>
      <c r="X14" s="70" t="s">
        <v>2278</v>
      </c>
      <c r="Y14" s="70" t="s">
        <v>2278</v>
      </c>
      <c r="Z14" s="70"/>
      <c r="AA14" s="70"/>
      <c r="AB14" s="70"/>
      <c r="AC14" s="70"/>
      <c r="AD14" s="70" t="s">
        <v>2278</v>
      </c>
      <c r="AE14" s="70" t="s">
        <v>2278</v>
      </c>
      <c r="AF14" s="70" t="s">
        <v>2278</v>
      </c>
      <c r="AG14" s="70"/>
      <c r="AH14" s="70"/>
      <c r="AI14" s="70" t="s">
        <v>2278</v>
      </c>
      <c r="AJ14" s="70" t="s">
        <v>2278</v>
      </c>
      <c r="AK14" s="70" t="s">
        <v>2278</v>
      </c>
      <c r="AL14" s="70"/>
      <c r="AM14" s="70"/>
      <c r="AN14" s="70"/>
    </row>
    <row r="15" spans="1:40" ht="15.75" hidden="1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4"/>
        <v>28</v>
      </c>
      <c r="J17" s="149" t="s">
        <v>1666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4"/>
        <v>28</v>
      </c>
      <c r="J18" s="87" t="s">
        <v>2149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10</v>
      </c>
      <c r="J19" s="146" t="s">
        <v>1667</v>
      </c>
      <c r="K19" s="31">
        <f t="shared" si="5"/>
        <v>18</v>
      </c>
      <c r="L19" s="32">
        <f t="shared" si="6"/>
        <v>0.35714285714285715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 t="s">
        <v>2278</v>
      </c>
      <c r="R19" s="70" t="s">
        <v>2278</v>
      </c>
      <c r="S19" s="70"/>
      <c r="T19" s="70"/>
      <c r="U19" s="70" t="s">
        <v>2278</v>
      </c>
      <c r="V19" s="70" t="s">
        <v>2278</v>
      </c>
      <c r="W19" s="70" t="s">
        <v>2278</v>
      </c>
      <c r="X19" s="70" t="s">
        <v>2278</v>
      </c>
      <c r="Y19" s="70" t="s">
        <v>2278</v>
      </c>
      <c r="Z19" s="71"/>
      <c r="AA19" s="70"/>
      <c r="AB19" s="70"/>
      <c r="AC19" s="70"/>
      <c r="AD19" s="70" t="s">
        <v>2278</v>
      </c>
      <c r="AE19" s="70" t="s">
        <v>2278</v>
      </c>
      <c r="AF19" s="70" t="s">
        <v>2278</v>
      </c>
      <c r="AG19" s="70"/>
      <c r="AH19" s="70"/>
      <c r="AI19" s="70" t="s">
        <v>2278</v>
      </c>
      <c r="AJ19" s="70" t="s">
        <v>2278</v>
      </c>
      <c r="AK19" s="70" t="s">
        <v>2278</v>
      </c>
      <c r="AL19" s="70" t="s">
        <v>2278</v>
      </c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4"/>
        <v>10</v>
      </c>
      <c r="J20" s="146" t="s">
        <v>1668</v>
      </c>
      <c r="K20" s="31">
        <f t="shared" si="5"/>
        <v>18</v>
      </c>
      <c r="L20" s="32">
        <f t="shared" si="6"/>
        <v>0.35714285714285715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 t="s">
        <v>2278</v>
      </c>
      <c r="R20" s="70" t="s">
        <v>2278</v>
      </c>
      <c r="S20" s="70"/>
      <c r="T20" s="70"/>
      <c r="U20" s="70" t="s">
        <v>2278</v>
      </c>
      <c r="V20" s="70" t="s">
        <v>2278</v>
      </c>
      <c r="W20" s="70" t="s">
        <v>2278</v>
      </c>
      <c r="X20" s="70" t="s">
        <v>2278</v>
      </c>
      <c r="Y20" s="70" t="s">
        <v>2278</v>
      </c>
      <c r="Z20" s="71"/>
      <c r="AA20" s="70"/>
      <c r="AB20" s="70"/>
      <c r="AC20" s="70"/>
      <c r="AD20" s="70" t="s">
        <v>2278</v>
      </c>
      <c r="AE20" s="70" t="s">
        <v>2278</v>
      </c>
      <c r="AF20" s="70" t="s">
        <v>2278</v>
      </c>
      <c r="AG20" s="70"/>
      <c r="AH20" s="70"/>
      <c r="AI20" s="70" t="s">
        <v>2278</v>
      </c>
      <c r="AJ20" s="70" t="s">
        <v>2278</v>
      </c>
      <c r="AK20" s="70" t="s">
        <v>2278</v>
      </c>
      <c r="AL20" s="70" t="s">
        <v>2278</v>
      </c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4"/>
        <v>28</v>
      </c>
      <c r="J21" s="146" t="s">
        <v>1669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4"/>
        <v>28</v>
      </c>
      <c r="J23" s="146" t="s">
        <v>1671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4"/>
        <v>22</v>
      </c>
      <c r="J24" s="146" t="s">
        <v>1672</v>
      </c>
      <c r="K24" s="31">
        <f t="shared" si="5"/>
        <v>6</v>
      </c>
      <c r="L24" s="32">
        <f t="shared" si="6"/>
        <v>0.7857142857142857</v>
      </c>
      <c r="M24" s="70"/>
      <c r="N24" s="70"/>
      <c r="O24" s="70"/>
      <c r="P24" s="70"/>
      <c r="Q24" s="70" t="s">
        <v>2278</v>
      </c>
      <c r="R24" s="70" t="s">
        <v>2278</v>
      </c>
      <c r="S24" s="70"/>
      <c r="T24" s="70"/>
      <c r="U24" s="70" t="s">
        <v>2278</v>
      </c>
      <c r="V24" s="70" t="s">
        <v>2278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 t="s">
        <v>2278</v>
      </c>
      <c r="AL24" s="70" t="s">
        <v>2278</v>
      </c>
      <c r="AM24" s="70"/>
      <c r="AN24" s="70"/>
    </row>
    <row r="25" spans="1:40" ht="15.75" hidden="1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4"/>
        <v>22</v>
      </c>
      <c r="J25" s="146" t="s">
        <v>1673</v>
      </c>
      <c r="K25" s="31">
        <f t="shared" si="5"/>
        <v>6</v>
      </c>
      <c r="L25" s="32">
        <f t="shared" si="6"/>
        <v>0.7857142857142857</v>
      </c>
      <c r="M25" s="70"/>
      <c r="N25" s="70"/>
      <c r="O25" s="70"/>
      <c r="P25" s="70"/>
      <c r="Q25" s="70" t="s">
        <v>2278</v>
      </c>
      <c r="R25" s="70" t="s">
        <v>2278</v>
      </c>
      <c r="S25" s="70"/>
      <c r="T25" s="70"/>
      <c r="U25" s="70" t="s">
        <v>2278</v>
      </c>
      <c r="V25" s="70" t="s">
        <v>2278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 t="s">
        <v>2278</v>
      </c>
      <c r="AL25" s="70" t="s">
        <v>2278</v>
      </c>
      <c r="AM25" s="70"/>
      <c r="AN25" s="70"/>
    </row>
    <row r="26" spans="1:40" ht="15.75" hidden="1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4"/>
        <v>22</v>
      </c>
      <c r="J26" s="146" t="s">
        <v>1674</v>
      </c>
      <c r="K26" s="31">
        <f t="shared" si="5"/>
        <v>6</v>
      </c>
      <c r="L26" s="32">
        <f t="shared" si="6"/>
        <v>0.7857142857142857</v>
      </c>
      <c r="M26" s="70"/>
      <c r="N26" s="70"/>
      <c r="O26" s="70"/>
      <c r="P26" s="70"/>
      <c r="Q26" s="70" t="s">
        <v>2278</v>
      </c>
      <c r="R26" s="70" t="s">
        <v>2278</v>
      </c>
      <c r="S26" s="70"/>
      <c r="T26" s="70"/>
      <c r="U26" s="70" t="s">
        <v>2278</v>
      </c>
      <c r="V26" s="70" t="s">
        <v>2278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 t="s">
        <v>2278</v>
      </c>
      <c r="AL26" s="70" t="s">
        <v>2278</v>
      </c>
      <c r="AM26" s="70"/>
      <c r="AN26" s="70"/>
    </row>
    <row r="27" spans="1:40" ht="15.75" hidden="1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4"/>
        <v>22</v>
      </c>
      <c r="J27" s="146" t="s">
        <v>1675</v>
      </c>
      <c r="K27" s="31">
        <f t="shared" si="5"/>
        <v>6</v>
      </c>
      <c r="L27" s="32">
        <f t="shared" si="6"/>
        <v>0.7857142857142857</v>
      </c>
      <c r="M27" s="70"/>
      <c r="N27" s="70"/>
      <c r="O27" s="70"/>
      <c r="P27" s="70"/>
      <c r="Q27" s="70" t="s">
        <v>2278</v>
      </c>
      <c r="R27" s="70" t="s">
        <v>2278</v>
      </c>
      <c r="S27" s="70"/>
      <c r="T27" s="70"/>
      <c r="U27" s="70" t="s">
        <v>2278</v>
      </c>
      <c r="V27" s="70" t="s">
        <v>2278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 t="s">
        <v>2278</v>
      </c>
      <c r="AL27" s="70" t="s">
        <v>2278</v>
      </c>
      <c r="AM27" s="70"/>
      <c r="AN27" s="70"/>
    </row>
    <row r="28" spans="1:40" ht="15.75" hidden="1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4"/>
        <v>28</v>
      </c>
      <c r="J28" s="146" t="s">
        <v>1676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4"/>
        <v>28</v>
      </c>
      <c r="J29" s="146" t="s">
        <v>1677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4"/>
        <v>28</v>
      </c>
      <c r="J30" s="146" t="s">
        <v>1678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4"/>
        <v>28</v>
      </c>
      <c r="J31" s="87" t="s">
        <v>2150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4"/>
        <v>28</v>
      </c>
      <c r="J32" s="87" t="s">
        <v>2151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4"/>
        <v>28</v>
      </c>
      <c r="J33" s="87" t="s">
        <v>2152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4"/>
        <v>28</v>
      </c>
      <c r="J34" s="151" t="s">
        <v>2303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4"/>
        <v>16</v>
      </c>
      <c r="J35" s="146" t="s">
        <v>1679</v>
      </c>
      <c r="K35" s="133">
        <f t="shared" si="5"/>
        <v>12</v>
      </c>
      <c r="L35" s="134">
        <f t="shared" si="6"/>
        <v>0.5714285714285714</v>
      </c>
      <c r="M35" s="135" t="s">
        <v>2278</v>
      </c>
      <c r="N35" s="135" t="s">
        <v>2278</v>
      </c>
      <c r="O35" s="135" t="s">
        <v>2278</v>
      </c>
      <c r="P35" s="135" t="s">
        <v>2278</v>
      </c>
      <c r="Q35" s="135" t="s">
        <v>2278</v>
      </c>
      <c r="R35" s="135" t="s">
        <v>2278</v>
      </c>
      <c r="S35" s="135"/>
      <c r="T35" s="135"/>
      <c r="U35" s="135" t="s">
        <v>2278</v>
      </c>
      <c r="V35" s="135" t="s">
        <v>2278</v>
      </c>
      <c r="W35" s="135" t="s">
        <v>2278</v>
      </c>
      <c r="X35" s="135" t="s">
        <v>2278</v>
      </c>
      <c r="Y35" s="135" t="s">
        <v>2278</v>
      </c>
      <c r="Z35" s="135"/>
      <c r="AA35" s="135"/>
      <c r="AB35" s="135"/>
      <c r="AC35" s="135"/>
      <c r="AD35" s="135" t="s">
        <v>2278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4"/>
        <v>12</v>
      </c>
      <c r="J36" s="87" t="s">
        <v>2153</v>
      </c>
      <c r="K36" s="141">
        <f t="shared" si="5"/>
        <v>16</v>
      </c>
      <c r="L36" s="142">
        <f t="shared" si="6"/>
        <v>0.42857142857142855</v>
      </c>
      <c r="M36" s="70"/>
      <c r="N36" s="70"/>
      <c r="O36" s="70" t="s">
        <v>2278</v>
      </c>
      <c r="P36" s="70" t="s">
        <v>2278</v>
      </c>
      <c r="Q36" s="70" t="s">
        <v>2278</v>
      </c>
      <c r="R36" s="70" t="s">
        <v>2278</v>
      </c>
      <c r="S36" s="70"/>
      <c r="T36" s="70"/>
      <c r="U36" s="70" t="s">
        <v>2278</v>
      </c>
      <c r="V36" s="70" t="s">
        <v>2278</v>
      </c>
      <c r="W36" s="70" t="s">
        <v>2278</v>
      </c>
      <c r="X36" s="70" t="s">
        <v>2278</v>
      </c>
      <c r="Y36" s="70" t="s">
        <v>2278</v>
      </c>
      <c r="Z36" s="70"/>
      <c r="AA36" s="70"/>
      <c r="AB36" s="70"/>
      <c r="AC36" s="70"/>
      <c r="AD36" s="70" t="s">
        <v>2278</v>
      </c>
      <c r="AE36" s="153" t="s">
        <v>2278</v>
      </c>
      <c r="AF36" s="70" t="s">
        <v>2278</v>
      </c>
      <c r="AG36" s="70"/>
      <c r="AH36" s="70"/>
      <c r="AI36" s="70" t="s">
        <v>2278</v>
      </c>
      <c r="AJ36" s="70" t="s">
        <v>2278</v>
      </c>
      <c r="AK36" s="70" t="s">
        <v>2278</v>
      </c>
      <c r="AL36" s="70" t="s">
        <v>2278</v>
      </c>
      <c r="AM36" s="70"/>
      <c r="AN36" s="70"/>
    </row>
    <row r="37" spans="1:40" s="73" customFormat="1" ht="15.75" hidden="1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4"/>
        <v>10</v>
      </c>
      <c r="J37" s="87" t="s">
        <v>2147</v>
      </c>
      <c r="K37" s="141">
        <f t="shared" si="5"/>
        <v>18</v>
      </c>
      <c r="L37" s="142">
        <f t="shared" si="6"/>
        <v>0.35714285714285715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 t="s">
        <v>2278</v>
      </c>
      <c r="R37" s="70" t="s">
        <v>2278</v>
      </c>
      <c r="S37" s="70"/>
      <c r="T37" s="70"/>
      <c r="U37" s="70" t="s">
        <v>2278</v>
      </c>
      <c r="V37" s="70" t="s">
        <v>2278</v>
      </c>
      <c r="W37" s="70" t="s">
        <v>2278</v>
      </c>
      <c r="X37" s="70" t="s">
        <v>2278</v>
      </c>
      <c r="Y37" s="70" t="s">
        <v>2278</v>
      </c>
      <c r="Z37" s="70"/>
      <c r="AA37" s="70"/>
      <c r="AB37" s="70"/>
      <c r="AC37" s="70"/>
      <c r="AD37" s="70" t="s">
        <v>2278</v>
      </c>
      <c r="AE37" s="70" t="s">
        <v>2278</v>
      </c>
      <c r="AF37" s="70" t="s">
        <v>2278</v>
      </c>
      <c r="AG37" s="70"/>
      <c r="AH37" s="70"/>
      <c r="AI37" s="70" t="s">
        <v>2278</v>
      </c>
      <c r="AJ37" s="70" t="s">
        <v>2278</v>
      </c>
      <c r="AK37" s="70" t="s">
        <v>2278</v>
      </c>
      <c r="AL37" s="70" t="s">
        <v>2278</v>
      </c>
      <c r="AM37" s="70"/>
      <c r="AN37" s="70"/>
    </row>
    <row r="38" spans="1:40" s="73" customFormat="1" ht="15.75" hidden="1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4"/>
        <v>28</v>
      </c>
      <c r="J38" s="87" t="s">
        <v>2154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4"/>
        <v>21</v>
      </c>
      <c r="J39" s="146" t="s">
        <v>1680</v>
      </c>
      <c r="K39" s="31">
        <f t="shared" si="5"/>
        <v>7</v>
      </c>
      <c r="L39" s="32">
        <f t="shared" si="6"/>
        <v>0.75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2278</v>
      </c>
      <c r="Z39" s="70"/>
      <c r="AA39" s="70"/>
      <c r="AB39" s="70"/>
      <c r="AC39" s="70"/>
      <c r="AD39" s="70" t="s">
        <v>2278</v>
      </c>
      <c r="AE39" s="70" t="s">
        <v>2278</v>
      </c>
      <c r="AF39" s="70" t="s">
        <v>2278</v>
      </c>
      <c r="AG39" s="70"/>
      <c r="AH39" s="70"/>
      <c r="AI39" s="70" t="s">
        <v>2278</v>
      </c>
      <c r="AJ39" s="70" t="s">
        <v>2278</v>
      </c>
      <c r="AK39" s="70"/>
      <c r="AL39" s="70" t="s">
        <v>2278</v>
      </c>
      <c r="AM39" s="70"/>
      <c r="AN39" s="70"/>
    </row>
    <row r="40" spans="1:40" ht="15.75" hidden="1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4"/>
        <v>21</v>
      </c>
      <c r="J40" s="146" t="s">
        <v>1681</v>
      </c>
      <c r="K40" s="31">
        <f t="shared" si="5"/>
        <v>7</v>
      </c>
      <c r="L40" s="32">
        <f t="shared" si="6"/>
        <v>0.75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2278</v>
      </c>
      <c r="Z40" s="70"/>
      <c r="AA40" s="70"/>
      <c r="AB40" s="70"/>
      <c r="AC40" s="70"/>
      <c r="AD40" s="70" t="s">
        <v>2278</v>
      </c>
      <c r="AE40" s="70" t="s">
        <v>2278</v>
      </c>
      <c r="AF40" s="70" t="s">
        <v>2278</v>
      </c>
      <c r="AG40" s="70"/>
      <c r="AH40" s="70"/>
      <c r="AI40" s="70" t="s">
        <v>2278</v>
      </c>
      <c r="AJ40" s="70" t="s">
        <v>2278</v>
      </c>
      <c r="AK40" s="70"/>
      <c r="AL40" s="70" t="s">
        <v>2278</v>
      </c>
      <c r="AM40" s="70"/>
      <c r="AN40" s="70"/>
    </row>
    <row r="41" spans="1:40" ht="15.75" hidden="1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4"/>
        <v>28</v>
      </c>
      <c r="J41" s="87" t="s">
        <v>2155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4"/>
        <v>28</v>
      </c>
      <c r="J42" s="87" t="s">
        <v>2180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4"/>
        <v>28</v>
      </c>
      <c r="J43" s="87" t="s">
        <v>2181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4"/>
        <v>19</v>
      </c>
      <c r="J44" s="87" t="s">
        <v>2182</v>
      </c>
      <c r="K44" s="31">
        <f t="shared" si="5"/>
        <v>9</v>
      </c>
      <c r="L44" s="32">
        <f t="shared" si="6"/>
        <v>0.6785714285714286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2278</v>
      </c>
      <c r="W44" s="70" t="s">
        <v>2278</v>
      </c>
      <c r="X44" s="70"/>
      <c r="Y44" s="70" t="s">
        <v>2278</v>
      </c>
      <c r="Z44" s="70"/>
      <c r="AA44" s="70"/>
      <c r="AB44" s="70"/>
      <c r="AC44" s="70"/>
      <c r="AD44" s="70" t="s">
        <v>2278</v>
      </c>
      <c r="AE44" s="70" t="s">
        <v>2278</v>
      </c>
      <c r="AF44" s="70" t="s">
        <v>2278</v>
      </c>
      <c r="AG44" s="70"/>
      <c r="AH44" s="70"/>
      <c r="AI44" s="70" t="s">
        <v>2278</v>
      </c>
      <c r="AJ44" s="70" t="s">
        <v>2278</v>
      </c>
      <c r="AK44" s="70"/>
      <c r="AL44" s="70" t="s">
        <v>2278</v>
      </c>
      <c r="AM44" s="70"/>
      <c r="AN44" s="70"/>
    </row>
    <row r="45" spans="1:40" ht="15.75" hidden="1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4"/>
        <v>27</v>
      </c>
      <c r="J45" s="151" t="s">
        <v>2237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2278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4"/>
        <v>27</v>
      </c>
      <c r="J46" s="151" t="s">
        <v>2242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2278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1682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1683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1684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1685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1686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24</v>
      </c>
      <c r="J52" s="146"/>
      <c r="K52" s="31">
        <f t="shared" si="5"/>
        <v>4</v>
      </c>
      <c r="L52" s="32">
        <f t="shared" si="6"/>
        <v>0.8571428571428571</v>
      </c>
      <c r="M52" s="70"/>
      <c r="N52" s="70"/>
      <c r="O52" s="70"/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 t="s">
        <v>2278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2278</v>
      </c>
      <c r="AJ52" s="70" t="s">
        <v>2278</v>
      </c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1687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1688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1689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1690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1691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1692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4"/>
        <v>28</v>
      </c>
      <c r="J59" s="146" t="s">
        <v>1693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1694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4"/>
        <v>24</v>
      </c>
      <c r="J61" s="146" t="s">
        <v>1695</v>
      </c>
      <c r="K61" s="141">
        <f t="shared" si="5"/>
        <v>4</v>
      </c>
      <c r="L61" s="142">
        <f t="shared" si="6"/>
        <v>0.8571428571428571</v>
      </c>
      <c r="M61" s="70"/>
      <c r="N61" s="70"/>
      <c r="O61" s="70"/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 t="s">
        <v>2278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2278</v>
      </c>
      <c r="AJ61" s="70" t="s">
        <v>2278</v>
      </c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1696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4"/>
        <v>28</v>
      </c>
      <c r="J63" s="146" t="s">
        <v>1697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1698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1699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4"/>
        <v>28</v>
      </c>
      <c r="J66" s="146" t="s">
        <v>1700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4"/>
        <v>28</v>
      </c>
      <c r="J68" s="146" t="s">
        <v>1701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1702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4"/>
        <v>28</v>
      </c>
      <c r="J70" s="146" t="s">
        <v>1703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1704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4"/>
        <v>28</v>
      </c>
      <c r="J72" s="146" t="s">
        <v>1705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4"/>
        <v>28</v>
      </c>
      <c r="J73" s="146" t="s">
        <v>1706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1707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25</v>
      </c>
      <c r="J75" s="146" t="s">
        <v>1708</v>
      </c>
      <c r="K75" s="31">
        <f t="shared" si="5"/>
        <v>3</v>
      </c>
      <c r="L75" s="32">
        <f t="shared" si="6"/>
        <v>0.8928571428571429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2278</v>
      </c>
      <c r="X75" s="70"/>
      <c r="Y75" s="70"/>
      <c r="Z75" s="70"/>
      <c r="AA75" s="70"/>
      <c r="AB75" s="70"/>
      <c r="AC75" s="70"/>
      <c r="AD75" s="70"/>
      <c r="AE75" s="70"/>
      <c r="AF75" s="70" t="s">
        <v>2278</v>
      </c>
      <c r="AG75" s="70"/>
      <c r="AH75" s="70"/>
      <c r="AI75" s="70"/>
      <c r="AJ75" s="70" t="s">
        <v>2278</v>
      </c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1709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1710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1711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1712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1713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1714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1715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1716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1717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1718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1719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1720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7"/>
        <v>28</v>
      </c>
      <c r="J88" s="146" t="s">
        <v>1721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1722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2278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12</v>
      </c>
      <c r="J90" s="146" t="s">
        <v>1723</v>
      </c>
      <c r="K90" s="31">
        <f t="shared" si="8"/>
        <v>16</v>
      </c>
      <c r="L90" s="32">
        <f t="shared" si="9"/>
        <v>0.42857142857142855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 t="s">
        <v>2278</v>
      </c>
      <c r="R90" s="70" t="s">
        <v>2278</v>
      </c>
      <c r="S90" s="70"/>
      <c r="T90" s="70"/>
      <c r="U90" s="70" t="s">
        <v>2278</v>
      </c>
      <c r="V90" s="70" t="s">
        <v>2278</v>
      </c>
      <c r="W90" s="70" t="s">
        <v>2278</v>
      </c>
      <c r="X90" s="70" t="s">
        <v>2278</v>
      </c>
      <c r="Y90" s="70" t="s">
        <v>2278</v>
      </c>
      <c r="Z90" s="70"/>
      <c r="AA90" s="70"/>
      <c r="AB90" s="70"/>
      <c r="AC90" s="70"/>
      <c r="AD90" s="70" t="s">
        <v>2278</v>
      </c>
      <c r="AE90" s="70"/>
      <c r="AF90" s="70" t="s">
        <v>2278</v>
      </c>
      <c r="AG90" s="70"/>
      <c r="AH90" s="70"/>
      <c r="AI90" s="70" t="s">
        <v>2278</v>
      </c>
      <c r="AJ90" s="70" t="s">
        <v>2278</v>
      </c>
      <c r="AK90" s="70" t="s">
        <v>2278</v>
      </c>
      <c r="AL90" s="70"/>
      <c r="AM90" s="70"/>
      <c r="AN90" s="70"/>
    </row>
    <row r="91" spans="1:40" ht="15.75" hidden="1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1724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1725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1726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7"/>
        <v>28</v>
      </c>
      <c r="J94" s="146" t="s">
        <v>1727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7"/>
        <v>21</v>
      </c>
      <c r="J95" s="149" t="s">
        <v>1728</v>
      </c>
      <c r="K95" s="31">
        <f t="shared" si="8"/>
        <v>7</v>
      </c>
      <c r="L95" s="32">
        <f t="shared" si="9"/>
        <v>0.75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2278</v>
      </c>
      <c r="AE95" s="70" t="s">
        <v>2278</v>
      </c>
      <c r="AF95" s="70" t="s">
        <v>2278</v>
      </c>
      <c r="AG95" s="70"/>
      <c r="AH95" s="70"/>
      <c r="AI95" s="70" t="s">
        <v>2278</v>
      </c>
      <c r="AJ95" s="70" t="s">
        <v>2278</v>
      </c>
      <c r="AK95" s="70" t="s">
        <v>2278</v>
      </c>
      <c r="AL95" s="70" t="s">
        <v>2278</v>
      </c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7"/>
        <v>26</v>
      </c>
      <c r="J96" s="146" t="s">
        <v>1729</v>
      </c>
      <c r="K96" s="141">
        <f t="shared" si="8"/>
        <v>2</v>
      </c>
      <c r="L96" s="142">
        <f t="shared" si="9"/>
        <v>0.9285714285714286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2278</v>
      </c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7"/>
        <v>28</v>
      </c>
      <c r="J97" s="146" t="s">
        <v>1730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7"/>
        <v>28</v>
      </c>
      <c r="J98" s="146" t="s">
        <v>1731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7"/>
        <v>25</v>
      </c>
      <c r="J99" s="146" t="s">
        <v>1732</v>
      </c>
      <c r="K99" s="141">
        <f t="shared" si="8"/>
        <v>3</v>
      </c>
      <c r="L99" s="142">
        <f t="shared" si="9"/>
        <v>0.8928571428571429</v>
      </c>
      <c r="M99" s="70" t="s">
        <v>2278</v>
      </c>
      <c r="N99" s="70" t="s">
        <v>2278</v>
      </c>
      <c r="O99" s="70" t="s">
        <v>2278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7"/>
        <v>25</v>
      </c>
      <c r="J100" s="146" t="s">
        <v>1733</v>
      </c>
      <c r="K100" s="141">
        <f t="shared" si="8"/>
        <v>3</v>
      </c>
      <c r="L100" s="142">
        <f t="shared" si="9"/>
        <v>0.8928571428571429</v>
      </c>
      <c r="M100" s="70" t="s">
        <v>2278</v>
      </c>
      <c r="N100" s="70" t="s">
        <v>2278</v>
      </c>
      <c r="O100" s="70" t="s">
        <v>2278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7"/>
        <v>28</v>
      </c>
      <c r="J101" s="146" t="s">
        <v>1734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7"/>
        <v>28</v>
      </c>
      <c r="J102" s="146" t="s">
        <v>1735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7"/>
        <v>28</v>
      </c>
      <c r="J103" s="146" t="s">
        <v>1736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1737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7"/>
        <v>28</v>
      </c>
      <c r="J105" s="146" t="s">
        <v>1738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7"/>
        <v>28</v>
      </c>
      <c r="J106" s="146" t="s">
        <v>1739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7"/>
        <v>28</v>
      </c>
      <c r="J107" s="146" t="s">
        <v>1740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7"/>
        <v>28</v>
      </c>
      <c r="J108" s="146" t="s">
        <v>1741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1742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1743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7"/>
        <v>28</v>
      </c>
      <c r="J111" s="146" t="s">
        <v>1744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7"/>
        <v>28</v>
      </c>
      <c r="J112" s="146" t="s">
        <v>1744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7"/>
        <v>28</v>
      </c>
      <c r="J113" s="146" t="s">
        <v>1746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7"/>
        <v>28</v>
      </c>
      <c r="J114" s="146" t="s">
        <v>1745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1747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1748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7"/>
        <v>28</v>
      </c>
      <c r="J117" s="146" t="s">
        <v>1749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1750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1751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1752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7"/>
        <v>20</v>
      </c>
      <c r="J121" s="146" t="s">
        <v>1753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2278</v>
      </c>
      <c r="Q121" s="70" t="s">
        <v>2278</v>
      </c>
      <c r="R121" s="70"/>
      <c r="S121" s="70"/>
      <c r="T121" s="70"/>
      <c r="U121" s="70"/>
      <c r="V121" s="70" t="s">
        <v>2278</v>
      </c>
      <c r="W121" s="70" t="s">
        <v>2278</v>
      </c>
      <c r="X121" s="70"/>
      <c r="Y121" s="70"/>
      <c r="Z121" s="70"/>
      <c r="AA121" s="70"/>
      <c r="AB121" s="70"/>
      <c r="AC121" s="70"/>
      <c r="AD121" s="70" t="s">
        <v>2278</v>
      </c>
      <c r="AE121" s="70" t="s">
        <v>2278</v>
      </c>
      <c r="AF121" s="70" t="s">
        <v>2278</v>
      </c>
      <c r="AG121" s="70"/>
      <c r="AH121" s="70"/>
      <c r="AI121" s="70" t="s">
        <v>2278</v>
      </c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7"/>
        <v>28</v>
      </c>
      <c r="J122" s="146" t="s">
        <v>1754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7"/>
        <v>28</v>
      </c>
      <c r="J123" s="146" t="s">
        <v>1755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7"/>
        <v>28</v>
      </c>
      <c r="J124" s="146" t="s">
        <v>1756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7"/>
        <v>28</v>
      </c>
      <c r="J125" s="146" t="s">
        <v>1757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7"/>
        <v>28</v>
      </c>
      <c r="J126" s="146" t="s">
        <v>1758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7"/>
        <v>24</v>
      </c>
      <c r="J127" s="146" t="s">
        <v>1759</v>
      </c>
      <c r="K127" s="31">
        <f t="shared" si="8"/>
        <v>4</v>
      </c>
      <c r="L127" s="32">
        <f t="shared" si="9"/>
        <v>0.8571428571428571</v>
      </c>
      <c r="M127" s="70"/>
      <c r="N127" s="70"/>
      <c r="O127" s="70"/>
      <c r="P127" s="70" t="s">
        <v>2278</v>
      </c>
      <c r="Q127" s="70"/>
      <c r="R127" s="70"/>
      <c r="S127" s="70"/>
      <c r="T127" s="70"/>
      <c r="U127" s="70"/>
      <c r="V127" s="70"/>
      <c r="W127" s="70"/>
      <c r="X127" s="70"/>
      <c r="Y127" s="70" t="s">
        <v>2278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2278</v>
      </c>
      <c r="AJ127" s="70" t="s">
        <v>2278</v>
      </c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7"/>
        <v>26</v>
      </c>
      <c r="J128" s="147" t="s">
        <v>1760</v>
      </c>
      <c r="K128" s="141">
        <f t="shared" si="8"/>
        <v>2</v>
      </c>
      <c r="L128" s="142">
        <f t="shared" si="9"/>
        <v>0.9285714285714286</v>
      </c>
      <c r="M128" s="70"/>
      <c r="N128" s="70"/>
      <c r="O128" s="70"/>
      <c r="P128" s="70"/>
      <c r="Q128" s="70" t="s">
        <v>2278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 t="s">
        <v>2278</v>
      </c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7"/>
        <v>28</v>
      </c>
      <c r="J129" s="146" t="s">
        <v>1761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7"/>
        <v>28</v>
      </c>
      <c r="J130" s="146" t="s">
        <v>1762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7"/>
        <v>17</v>
      </c>
      <c r="J131" s="146" t="s">
        <v>1763</v>
      </c>
      <c r="K131" s="31">
        <f t="shared" si="8"/>
        <v>11</v>
      </c>
      <c r="L131" s="32">
        <f t="shared" si="9"/>
        <v>0.6071428571428571</v>
      </c>
      <c r="M131" s="70" t="s">
        <v>2278</v>
      </c>
      <c r="N131" s="70" t="s">
        <v>2278</v>
      </c>
      <c r="O131" s="70" t="s">
        <v>2278</v>
      </c>
      <c r="P131" s="70" t="s">
        <v>2278</v>
      </c>
      <c r="Q131" s="70"/>
      <c r="R131" s="70"/>
      <c r="S131" s="70"/>
      <c r="T131" s="70"/>
      <c r="U131" s="70" t="s">
        <v>2278</v>
      </c>
      <c r="V131" s="70" t="s">
        <v>2278</v>
      </c>
      <c r="W131" s="70" t="s">
        <v>2278</v>
      </c>
      <c r="X131" s="70" t="s">
        <v>2278</v>
      </c>
      <c r="Y131" s="70" t="s">
        <v>2278</v>
      </c>
      <c r="Z131" s="70"/>
      <c r="AA131" s="70"/>
      <c r="AB131" s="70"/>
      <c r="AC131" s="70"/>
      <c r="AD131" s="70"/>
      <c r="AE131" s="70"/>
      <c r="AF131" s="70" t="s">
        <v>2278</v>
      </c>
      <c r="AG131" s="70"/>
      <c r="AH131" s="70"/>
      <c r="AI131" s="70" t="s">
        <v>2278</v>
      </c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7"/>
        <v>28</v>
      </c>
      <c r="J132" s="146" t="s">
        <v>1764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7"/>
        <v>28</v>
      </c>
      <c r="J133" s="146" t="s">
        <v>1765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7"/>
        <v>28</v>
      </c>
      <c r="J134" s="146" t="s">
        <v>1766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7"/>
        <v>28</v>
      </c>
      <c r="J135" s="146" t="s">
        <v>1767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7"/>
        <v>28</v>
      </c>
      <c r="J136" s="146" t="s">
        <v>1768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7"/>
        <v>28</v>
      </c>
      <c r="J137" s="146" t="s">
        <v>1769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7"/>
        <v>28</v>
      </c>
      <c r="J138" s="146" t="s">
        <v>1770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7"/>
        <v>28</v>
      </c>
      <c r="J139" s="146" t="s">
        <v>1771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7"/>
        <v>28</v>
      </c>
      <c r="J140" s="87" t="s">
        <v>2183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7"/>
        <v>27</v>
      </c>
      <c r="J141" s="146" t="s">
        <v>1772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2278</v>
      </c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7"/>
        <v>28</v>
      </c>
      <c r="J142" s="146" t="s">
        <v>1773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7"/>
        <v>28</v>
      </c>
      <c r="J143" s="146" t="s">
        <v>2185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7"/>
        <v>28</v>
      </c>
      <c r="J144" s="146" t="s">
        <v>2215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7"/>
        <v>28</v>
      </c>
      <c r="J145" s="146" t="s">
        <v>2253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7"/>
        <v>27</v>
      </c>
      <c r="J146" s="146" t="s">
        <v>2313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2278</v>
      </c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7"/>
        <v>28</v>
      </c>
      <c r="J147" s="146" t="s">
        <v>1774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1775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1776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7"/>
        <v>28</v>
      </c>
      <c r="J151" s="146" t="s">
        <v>1777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7"/>
        <v>16</v>
      </c>
      <c r="J152" s="146" t="s">
        <v>1778</v>
      </c>
      <c r="K152" s="31">
        <f t="shared" si="8"/>
        <v>12</v>
      </c>
      <c r="L152" s="32">
        <f t="shared" si="9"/>
        <v>0.5714285714285714</v>
      </c>
      <c r="M152" s="70"/>
      <c r="N152" s="70" t="s">
        <v>2278</v>
      </c>
      <c r="O152" s="70"/>
      <c r="P152" s="70"/>
      <c r="Q152" s="70"/>
      <c r="R152" s="70"/>
      <c r="S152" s="70"/>
      <c r="T152" s="70"/>
      <c r="U152" s="70" t="s">
        <v>2278</v>
      </c>
      <c r="V152" s="70" t="s">
        <v>2278</v>
      </c>
      <c r="W152" s="70" t="s">
        <v>2278</v>
      </c>
      <c r="X152" s="70" t="s">
        <v>2278</v>
      </c>
      <c r="Y152" s="70" t="s">
        <v>2278</v>
      </c>
      <c r="Z152" s="70"/>
      <c r="AA152" s="70"/>
      <c r="AB152" s="70"/>
      <c r="AC152" s="70"/>
      <c r="AD152" s="70" t="s">
        <v>2278</v>
      </c>
      <c r="AE152" s="70" t="s">
        <v>2278</v>
      </c>
      <c r="AF152" s="70"/>
      <c r="AG152" s="70"/>
      <c r="AH152" s="70"/>
      <c r="AI152" s="70" t="s">
        <v>2278</v>
      </c>
      <c r="AJ152" s="70" t="s">
        <v>2278</v>
      </c>
      <c r="AK152" s="70" t="s">
        <v>2278</v>
      </c>
      <c r="AL152" s="70" t="s">
        <v>2278</v>
      </c>
      <c r="AM152" s="70"/>
      <c r="AN152" s="70"/>
    </row>
    <row r="153" spans="1:40" ht="15.75" hidden="1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7"/>
        <v>28</v>
      </c>
      <c r="J154" s="146" t="s">
        <v>1779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2278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7"/>
        <v>28</v>
      </c>
      <c r="J156" s="146" t="s">
        <v>1780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7"/>
        <v>28</v>
      </c>
      <c r="J157" s="146" t="s">
        <v>1781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7"/>
        <v>28</v>
      </c>
      <c r="J160" s="146" t="s">
        <v>1782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7"/>
        <v>28</v>
      </c>
      <c r="J161" s="146" t="s">
        <v>1783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7"/>
        <v>28</v>
      </c>
      <c r="J162" s="146" t="s">
        <v>1784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7"/>
        <v>28</v>
      </c>
      <c r="J164" s="146" t="s">
        <v>1785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0">COUNTIF(M165:AN165,"")</f>
        <v>28</v>
      </c>
      <c r="J165" s="146" t="s">
        <v>1786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1787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2278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1788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2278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0"/>
        <v>27</v>
      </c>
      <c r="J169" s="146" t="s">
        <v>1789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2278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1790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2278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0"/>
        <v>10</v>
      </c>
      <c r="J171" s="146" t="s">
        <v>1791</v>
      </c>
      <c r="K171" s="31">
        <f t="shared" si="11"/>
        <v>18</v>
      </c>
      <c r="L171" s="32">
        <f t="shared" si="12"/>
        <v>0.35714285714285715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 t="s">
        <v>2278</v>
      </c>
      <c r="R171" s="70" t="s">
        <v>2278</v>
      </c>
      <c r="S171" s="70"/>
      <c r="T171" s="70"/>
      <c r="U171" s="70" t="s">
        <v>2278</v>
      </c>
      <c r="V171" s="70" t="s">
        <v>2278</v>
      </c>
      <c r="W171" s="70" t="s">
        <v>2278</v>
      </c>
      <c r="X171" s="70" t="s">
        <v>2278</v>
      </c>
      <c r="Y171" s="70" t="s">
        <v>2278</v>
      </c>
      <c r="Z171" s="70"/>
      <c r="AA171" s="70"/>
      <c r="AB171" s="70"/>
      <c r="AC171" s="70"/>
      <c r="AD171" s="70" t="s">
        <v>2278</v>
      </c>
      <c r="AE171" s="70" t="s">
        <v>2278</v>
      </c>
      <c r="AF171" s="70" t="s">
        <v>2278</v>
      </c>
      <c r="AG171" s="70"/>
      <c r="AH171" s="70"/>
      <c r="AI171" s="70" t="s">
        <v>2278</v>
      </c>
      <c r="AJ171" s="70" t="s">
        <v>2278</v>
      </c>
      <c r="AK171" s="70" t="s">
        <v>2278</v>
      </c>
      <c r="AL171" s="70" t="s">
        <v>2278</v>
      </c>
      <c r="AM171" s="70"/>
      <c r="AN171" s="70"/>
    </row>
    <row r="172" spans="1:40" ht="15.75" hidden="1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0"/>
        <v>12</v>
      </c>
      <c r="J172" s="146" t="s">
        <v>1792</v>
      </c>
      <c r="K172" s="31">
        <f t="shared" si="11"/>
        <v>16</v>
      </c>
      <c r="L172" s="32">
        <f t="shared" si="12"/>
        <v>0.42857142857142855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 t="s">
        <v>2278</v>
      </c>
      <c r="R172" s="70" t="s">
        <v>2278</v>
      </c>
      <c r="S172" s="70"/>
      <c r="T172" s="70"/>
      <c r="U172" s="70" t="s">
        <v>2278</v>
      </c>
      <c r="V172" s="70" t="s">
        <v>2278</v>
      </c>
      <c r="W172" s="70" t="s">
        <v>2278</v>
      </c>
      <c r="X172" s="70"/>
      <c r="Y172" s="70"/>
      <c r="Z172" s="70"/>
      <c r="AA172" s="70"/>
      <c r="AB172" s="70"/>
      <c r="AC172" s="70"/>
      <c r="AD172" s="70" t="s">
        <v>2278</v>
      </c>
      <c r="AE172" s="70" t="s">
        <v>2278</v>
      </c>
      <c r="AF172" s="70" t="s">
        <v>2278</v>
      </c>
      <c r="AG172" s="70"/>
      <c r="AH172" s="70"/>
      <c r="AI172" s="70" t="s">
        <v>2278</v>
      </c>
      <c r="AJ172" s="70" t="s">
        <v>2278</v>
      </c>
      <c r="AK172" s="70" t="s">
        <v>2278</v>
      </c>
      <c r="AL172" s="70" t="s">
        <v>2278</v>
      </c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0"/>
        <v>28</v>
      </c>
      <c r="J173" s="146" t="s">
        <v>1793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0"/>
        <v>27</v>
      </c>
      <c r="J174" s="146" t="s">
        <v>1794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2278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0"/>
        <v>28</v>
      </c>
      <c r="J175" s="146" t="s">
        <v>1795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1796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1797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0"/>
        <v>21</v>
      </c>
      <c r="J178" s="146" t="s">
        <v>1798</v>
      </c>
      <c r="K178" s="141">
        <f t="shared" si="11"/>
        <v>7</v>
      </c>
      <c r="L178" s="142">
        <f t="shared" si="12"/>
        <v>0.75</v>
      </c>
      <c r="M178" s="70" t="s">
        <v>2278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2278</v>
      </c>
      <c r="Z178" s="70"/>
      <c r="AA178" s="70"/>
      <c r="AB178" s="70"/>
      <c r="AC178" s="70"/>
      <c r="AD178" s="70" t="s">
        <v>2278</v>
      </c>
      <c r="AE178" s="70"/>
      <c r="AF178" s="70" t="s">
        <v>2278</v>
      </c>
      <c r="AG178" s="70"/>
      <c r="AH178" s="70"/>
      <c r="AI178" s="70" t="s">
        <v>2278</v>
      </c>
      <c r="AJ178" s="70"/>
      <c r="AK178" s="70" t="s">
        <v>2278</v>
      </c>
      <c r="AL178" s="70" t="s">
        <v>2278</v>
      </c>
      <c r="AM178" s="70"/>
      <c r="AN178" s="70"/>
    </row>
    <row r="179" spans="1:40" ht="15.75" hidden="1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0"/>
        <v>28</v>
      </c>
      <c r="J179" s="146" t="s">
        <v>1799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1801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1802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1803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0"/>
        <v>28</v>
      </c>
      <c r="J185" s="146" t="s">
        <v>1804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0"/>
        <v>28</v>
      </c>
      <c r="J186" s="146" t="s">
        <v>1805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0"/>
        <v>21</v>
      </c>
      <c r="J187" s="146" t="s">
        <v>1806</v>
      </c>
      <c r="K187" s="31">
        <f t="shared" si="11"/>
        <v>7</v>
      </c>
      <c r="L187" s="32">
        <f t="shared" si="12"/>
        <v>0.75</v>
      </c>
      <c r="M187" s="70"/>
      <c r="N187" s="70"/>
      <c r="O187" s="70"/>
      <c r="P187" s="70"/>
      <c r="Q187" s="70"/>
      <c r="R187" s="70"/>
      <c r="S187" s="70"/>
      <c r="T187" s="70"/>
      <c r="U187" s="70" t="s">
        <v>2278</v>
      </c>
      <c r="V187" s="70" t="s">
        <v>2278</v>
      </c>
      <c r="W187" s="70" t="s">
        <v>2278</v>
      </c>
      <c r="X187" s="70" t="s">
        <v>2278</v>
      </c>
      <c r="Y187" s="70" t="s">
        <v>2278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2278</v>
      </c>
      <c r="AL187" s="70" t="s">
        <v>2278</v>
      </c>
      <c r="AM187" s="70"/>
      <c r="AN187" s="70"/>
    </row>
    <row r="188" spans="1:40" ht="15.75" hidden="1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0"/>
        <v>21</v>
      </c>
      <c r="J188" s="146" t="s">
        <v>1807</v>
      </c>
      <c r="K188" s="31">
        <f t="shared" si="11"/>
        <v>7</v>
      </c>
      <c r="L188" s="32">
        <f t="shared" si="12"/>
        <v>0.75</v>
      </c>
      <c r="M188" s="70"/>
      <c r="N188" s="70"/>
      <c r="O188" s="70"/>
      <c r="P188" s="70"/>
      <c r="Q188" s="70"/>
      <c r="R188" s="70"/>
      <c r="S188" s="70"/>
      <c r="T188" s="70"/>
      <c r="U188" s="70" t="s">
        <v>2278</v>
      </c>
      <c r="V188" s="70" t="s">
        <v>2278</v>
      </c>
      <c r="W188" s="70" t="s">
        <v>2278</v>
      </c>
      <c r="X188" s="70" t="s">
        <v>2278</v>
      </c>
      <c r="Y188" s="70" t="s">
        <v>2278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 t="s">
        <v>2278</v>
      </c>
      <c r="AL188" s="70" t="s">
        <v>2278</v>
      </c>
      <c r="AM188" s="70"/>
      <c r="AN188" s="70"/>
    </row>
    <row r="189" spans="1:40" ht="15.75" hidden="1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0"/>
        <v>28</v>
      </c>
      <c r="J190" s="146" t="s">
        <v>1808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0"/>
        <v>28</v>
      </c>
      <c r="J192" s="146" t="s">
        <v>2163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0"/>
        <v>28</v>
      </c>
      <c r="J193" s="146" t="s">
        <v>2163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0"/>
        <v>28</v>
      </c>
      <c r="J194" s="146" t="s">
        <v>1809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1810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2278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1811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2278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12</v>
      </c>
      <c r="J197" s="87"/>
      <c r="K197" s="137">
        <f t="shared" si="11"/>
        <v>16</v>
      </c>
      <c r="L197" s="138">
        <f t="shared" si="12"/>
        <v>0.42857142857142855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 t="s">
        <v>2278</v>
      </c>
      <c r="R197" s="139"/>
      <c r="S197" s="139"/>
      <c r="T197" s="139"/>
      <c r="U197" s="139" t="s">
        <v>2278</v>
      </c>
      <c r="V197" s="139" t="s">
        <v>2278</v>
      </c>
      <c r="W197" s="139" t="s">
        <v>2278</v>
      </c>
      <c r="X197" s="139" t="s">
        <v>2278</v>
      </c>
      <c r="Y197" s="139" t="s">
        <v>2278</v>
      </c>
      <c r="Z197" s="139"/>
      <c r="AA197" s="139"/>
      <c r="AB197" s="139"/>
      <c r="AC197" s="139"/>
      <c r="AD197" s="139" t="s">
        <v>2278</v>
      </c>
      <c r="AE197" s="139" t="s">
        <v>2278</v>
      </c>
      <c r="AF197" s="139" t="s">
        <v>2278</v>
      </c>
      <c r="AG197" s="70"/>
      <c r="AH197" s="139"/>
      <c r="AI197" s="139" t="s">
        <v>2278</v>
      </c>
      <c r="AJ197" s="139" t="s">
        <v>2278</v>
      </c>
      <c r="AK197" s="139"/>
      <c r="AL197" s="139" t="s">
        <v>2278</v>
      </c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0"/>
        <v>10</v>
      </c>
      <c r="J198" s="146" t="s">
        <v>1812</v>
      </c>
      <c r="K198" s="141">
        <f t="shared" si="11"/>
        <v>18</v>
      </c>
      <c r="L198" s="142">
        <f t="shared" si="12"/>
        <v>0.35714285714285715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 t="s">
        <v>2278</v>
      </c>
      <c r="R198" s="70" t="s">
        <v>2278</v>
      </c>
      <c r="S198" s="70"/>
      <c r="T198" s="70"/>
      <c r="U198" s="70" t="s">
        <v>2278</v>
      </c>
      <c r="V198" s="70" t="s">
        <v>2278</v>
      </c>
      <c r="W198" s="70" t="s">
        <v>2278</v>
      </c>
      <c r="X198" s="70" t="s">
        <v>2278</v>
      </c>
      <c r="Y198" s="70" t="s">
        <v>2278</v>
      </c>
      <c r="Z198" s="70"/>
      <c r="AA198" s="70"/>
      <c r="AB198" s="70"/>
      <c r="AC198" s="70"/>
      <c r="AD198" s="70" t="s">
        <v>2278</v>
      </c>
      <c r="AE198" s="70" t="s">
        <v>2278</v>
      </c>
      <c r="AF198" s="70" t="s">
        <v>2278</v>
      </c>
      <c r="AG198" s="70"/>
      <c r="AH198" s="70"/>
      <c r="AI198" s="70" t="s">
        <v>2278</v>
      </c>
      <c r="AJ198" s="70" t="s">
        <v>2278</v>
      </c>
      <c r="AK198" s="70" t="s">
        <v>2278</v>
      </c>
      <c r="AL198" s="70" t="s">
        <v>2278</v>
      </c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0"/>
        <v>21</v>
      </c>
      <c r="J199" s="146" t="s">
        <v>1813</v>
      </c>
      <c r="K199" s="141">
        <f t="shared" si="11"/>
        <v>7</v>
      </c>
      <c r="L199" s="142">
        <f t="shared" si="12"/>
        <v>0.75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2278</v>
      </c>
      <c r="AE199" s="70" t="s">
        <v>2278</v>
      </c>
      <c r="AF199" s="70" t="s">
        <v>2278</v>
      </c>
      <c r="AG199" s="70"/>
      <c r="AH199" s="70"/>
      <c r="AI199" s="70" t="s">
        <v>2278</v>
      </c>
      <c r="AJ199" s="70" t="s">
        <v>2278</v>
      </c>
      <c r="AK199" s="70" t="s">
        <v>2278</v>
      </c>
      <c r="AL199" s="70" t="s">
        <v>2278</v>
      </c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0"/>
        <v>28</v>
      </c>
      <c r="J200" s="146" t="s">
        <v>1814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0"/>
        <v>10</v>
      </c>
      <c r="J201" s="146" t="s">
        <v>1815</v>
      </c>
      <c r="K201" s="31">
        <f t="shared" si="11"/>
        <v>18</v>
      </c>
      <c r="L201" s="32">
        <f t="shared" si="12"/>
        <v>0.35714285714285715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 t="s">
        <v>2278</v>
      </c>
      <c r="R201" s="70" t="s">
        <v>2278</v>
      </c>
      <c r="S201" s="70"/>
      <c r="T201" s="70"/>
      <c r="U201" s="70" t="s">
        <v>2278</v>
      </c>
      <c r="V201" s="70" t="s">
        <v>2278</v>
      </c>
      <c r="W201" s="70" t="s">
        <v>2278</v>
      </c>
      <c r="X201" s="70" t="s">
        <v>2278</v>
      </c>
      <c r="Y201" s="70" t="s">
        <v>2278</v>
      </c>
      <c r="Z201" s="70"/>
      <c r="AA201" s="70"/>
      <c r="AB201" s="70"/>
      <c r="AC201" s="70"/>
      <c r="AD201" s="70" t="s">
        <v>2278</v>
      </c>
      <c r="AE201" s="70" t="s">
        <v>2278</v>
      </c>
      <c r="AF201" s="70" t="s">
        <v>2278</v>
      </c>
      <c r="AG201" s="70"/>
      <c r="AH201" s="70"/>
      <c r="AI201" s="70" t="s">
        <v>2278</v>
      </c>
      <c r="AJ201" s="70" t="s">
        <v>2278</v>
      </c>
      <c r="AK201" s="70" t="s">
        <v>2278</v>
      </c>
      <c r="AL201" s="70" t="s">
        <v>2278</v>
      </c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0"/>
        <v>24</v>
      </c>
      <c r="J202" s="146" t="s">
        <v>1816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2278</v>
      </c>
      <c r="P202" s="70"/>
      <c r="Q202" s="70"/>
      <c r="R202" s="70" t="s">
        <v>2278</v>
      </c>
      <c r="S202" s="70"/>
      <c r="T202" s="70"/>
      <c r="U202" s="70"/>
      <c r="V202" s="70"/>
      <c r="W202" s="70"/>
      <c r="X202" s="70"/>
      <c r="Y202" s="70" t="s">
        <v>2278</v>
      </c>
      <c r="Z202" s="70"/>
      <c r="AA202" s="70"/>
      <c r="AB202" s="70"/>
      <c r="AC202" s="70"/>
      <c r="AD202" s="70" t="s">
        <v>2278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ht="15.75" hidden="1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154" t="s">
        <v>2278</v>
      </c>
      <c r="N203" s="154" t="s">
        <v>2278</v>
      </c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 t="s">
        <v>2278</v>
      </c>
      <c r="AG203" s="154"/>
      <c r="AH203" s="154"/>
      <c r="AI203" s="154" t="s">
        <v>2278</v>
      </c>
      <c r="AJ203" s="154"/>
      <c r="AK203" s="154"/>
      <c r="AL203" s="154"/>
      <c r="AM203" s="154"/>
      <c r="AN203" s="154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0"/>
        <v>25</v>
      </c>
      <c r="J204" s="146" t="s">
        <v>1817</v>
      </c>
      <c r="K204" s="141">
        <f t="shared" si="11"/>
        <v>3</v>
      </c>
      <c r="L204" s="142">
        <f t="shared" si="12"/>
        <v>0.8928571428571429</v>
      </c>
      <c r="M204" s="70"/>
      <c r="N204" s="70"/>
      <c r="O204" s="70" t="s">
        <v>2278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 t="s">
        <v>2278</v>
      </c>
      <c r="AK204" s="70" t="s">
        <v>2278</v>
      </c>
      <c r="AL204" s="70"/>
      <c r="AM204" s="70"/>
      <c r="AN204" s="70"/>
    </row>
    <row r="205" spans="1:40" ht="15.75" hidden="1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0"/>
        <v>11</v>
      </c>
      <c r="J205" s="146" t="s">
        <v>1818</v>
      </c>
      <c r="K205" s="31">
        <f t="shared" si="11"/>
        <v>17</v>
      </c>
      <c r="L205" s="32">
        <f t="shared" si="12"/>
        <v>0.39285714285714285</v>
      </c>
      <c r="M205" s="70" t="s">
        <v>2278</v>
      </c>
      <c r="N205" s="70" t="s">
        <v>2278</v>
      </c>
      <c r="O205" s="70" t="s">
        <v>2278</v>
      </c>
      <c r="P205" s="70" t="s">
        <v>2278</v>
      </c>
      <c r="Q205" s="70" t="s">
        <v>2278</v>
      </c>
      <c r="R205" s="70" t="s">
        <v>2278</v>
      </c>
      <c r="S205" s="70"/>
      <c r="T205" s="70"/>
      <c r="U205" s="70" t="s">
        <v>2278</v>
      </c>
      <c r="V205" s="70" t="s">
        <v>2278</v>
      </c>
      <c r="W205" s="70" t="s">
        <v>2278</v>
      </c>
      <c r="X205" s="70" t="s">
        <v>2278</v>
      </c>
      <c r="Y205" s="70" t="s">
        <v>2278</v>
      </c>
      <c r="Z205" s="70"/>
      <c r="AA205" s="70"/>
      <c r="AB205" s="70"/>
      <c r="AC205" s="70"/>
      <c r="AD205" s="70" t="s">
        <v>2278</v>
      </c>
      <c r="AE205" s="70" t="s">
        <v>2278</v>
      </c>
      <c r="AF205" s="70" t="s">
        <v>2278</v>
      </c>
      <c r="AG205" s="70"/>
      <c r="AH205" s="70"/>
      <c r="AI205" s="70" t="s">
        <v>2278</v>
      </c>
      <c r="AJ205" s="70" t="s">
        <v>2278</v>
      </c>
      <c r="AK205" s="70" t="s">
        <v>2278</v>
      </c>
      <c r="AL205" s="70"/>
      <c r="AM205" s="70"/>
      <c r="AN205" s="70"/>
    </row>
    <row r="206" spans="1:40" ht="15.75" hidden="1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0"/>
        <v>27</v>
      </c>
      <c r="J206" s="146" t="s">
        <v>1819</v>
      </c>
      <c r="K206" s="31">
        <f t="shared" si="11"/>
        <v>1</v>
      </c>
      <c r="L206" s="32">
        <f t="shared" si="12"/>
        <v>0.9642857142857143</v>
      </c>
      <c r="M206" s="70" t="s">
        <v>2278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0"/>
        <v>28</v>
      </c>
      <c r="J207" s="146" t="s">
        <v>1820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0"/>
        <v>26</v>
      </c>
      <c r="J208" s="146" t="s">
        <v>1821</v>
      </c>
      <c r="K208" s="31">
        <f t="shared" si="11"/>
        <v>2</v>
      </c>
      <c r="L208" s="32">
        <f t="shared" si="12"/>
        <v>0.9285714285714286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2278</v>
      </c>
      <c r="AG208" s="70"/>
      <c r="AH208" s="70"/>
      <c r="AI208" s="70"/>
      <c r="AJ208" s="70"/>
      <c r="AK208" s="70" t="s">
        <v>2278</v>
      </c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0"/>
        <v>25</v>
      </c>
      <c r="J209" s="146" t="s">
        <v>1822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2278</v>
      </c>
      <c r="Q209" s="70" t="s">
        <v>2278</v>
      </c>
      <c r="R209" s="70" t="s">
        <v>2278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0"/>
        <v>25</v>
      </c>
      <c r="J210" s="146" t="s">
        <v>1823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2278</v>
      </c>
      <c r="Q210" s="70" t="s">
        <v>2278</v>
      </c>
      <c r="R210" s="70" t="s">
        <v>2278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0"/>
        <v>28</v>
      </c>
      <c r="J211" s="146" t="s">
        <v>1824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0"/>
        <v>28</v>
      </c>
      <c r="J212" s="146" t="s">
        <v>1825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0"/>
        <v>23</v>
      </c>
      <c r="J213" s="146" t="s">
        <v>1826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2278</v>
      </c>
      <c r="Q213" s="70" t="s">
        <v>2278</v>
      </c>
      <c r="R213" s="70" t="s">
        <v>2278</v>
      </c>
      <c r="S213" s="70"/>
      <c r="T213" s="70"/>
      <c r="U213" s="70" t="s">
        <v>2278</v>
      </c>
      <c r="V213" s="70"/>
      <c r="W213" s="70"/>
      <c r="X213" s="70" t="s">
        <v>2278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0"/>
        <v>25</v>
      </c>
      <c r="J214" s="146" t="s">
        <v>1683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2278</v>
      </c>
      <c r="Q214" s="70" t="s">
        <v>2278</v>
      </c>
      <c r="R214" s="70" t="s">
        <v>2278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0"/>
        <v>26</v>
      </c>
      <c r="J215" s="146" t="s">
        <v>1827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2278</v>
      </c>
      <c r="V215" s="70" t="s">
        <v>2278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0"/>
        <v>28</v>
      </c>
      <c r="J216" s="146" t="s">
        <v>1828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0"/>
        <v>28</v>
      </c>
      <c r="J217" s="146" t="s">
        <v>2200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0"/>
        <v>28</v>
      </c>
      <c r="J218" s="146" t="s">
        <v>1829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0"/>
        <v>28</v>
      </c>
      <c r="J219" s="146" t="s">
        <v>1830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0"/>
        <v>28</v>
      </c>
      <c r="J220" s="146" t="s">
        <v>1831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0"/>
        <v>28</v>
      </c>
      <c r="J221" s="146" t="s">
        <v>1832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0"/>
        <v>28</v>
      </c>
      <c r="J222" s="150" t="s">
        <v>2266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0"/>
        <v>28</v>
      </c>
      <c r="J225" s="146" t="s">
        <v>1833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0"/>
        <v>28</v>
      </c>
      <c r="J226" s="146" t="s">
        <v>1834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0"/>
        <v>28</v>
      </c>
      <c r="J227" s="146" t="s">
        <v>1835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0"/>
        <v>28</v>
      </c>
      <c r="J229" s="146" t="s">
        <v>1837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0"/>
        <v>28</v>
      </c>
      <c r="J230" s="146" t="s">
        <v>1838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0"/>
        <v>28</v>
      </c>
      <c r="J232" s="151" t="s">
        <v>2284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0"/>
        <v>28</v>
      </c>
      <c r="J233" s="146" t="s">
        <v>1839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0"/>
        <v>28</v>
      </c>
      <c r="J234" s="146" t="s">
        <v>1840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0"/>
        <v>28</v>
      </c>
      <c r="J235" s="146" t="s">
        <v>1841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0"/>
        <v>28</v>
      </c>
      <c r="J236" s="146" t="s">
        <v>2276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0"/>
        <v>11</v>
      </c>
      <c r="J237" s="146" t="s">
        <v>1842</v>
      </c>
      <c r="K237" s="31">
        <f t="shared" si="11"/>
        <v>17</v>
      </c>
      <c r="L237" s="32">
        <f t="shared" si="12"/>
        <v>0.39285714285714285</v>
      </c>
      <c r="M237" s="70" t="s">
        <v>2278</v>
      </c>
      <c r="N237" s="70" t="s">
        <v>2278</v>
      </c>
      <c r="O237" s="70"/>
      <c r="P237" s="70" t="s">
        <v>2278</v>
      </c>
      <c r="Q237" s="70" t="s">
        <v>2278</v>
      </c>
      <c r="R237" s="70" t="s">
        <v>2278</v>
      </c>
      <c r="S237" s="70"/>
      <c r="T237" s="70"/>
      <c r="U237" s="70" t="s">
        <v>2278</v>
      </c>
      <c r="V237" s="70" t="s">
        <v>2278</v>
      </c>
      <c r="W237" s="70" t="s">
        <v>2278</v>
      </c>
      <c r="X237" s="70" t="s">
        <v>2278</v>
      </c>
      <c r="Y237" s="70" t="s">
        <v>2278</v>
      </c>
      <c r="Z237" s="70"/>
      <c r="AA237" s="70"/>
      <c r="AB237" s="70"/>
      <c r="AC237" s="70"/>
      <c r="AD237" s="70" t="s">
        <v>2278</v>
      </c>
      <c r="AE237" s="70" t="s">
        <v>2278</v>
      </c>
      <c r="AF237" s="70" t="s">
        <v>2278</v>
      </c>
      <c r="AG237" s="70"/>
      <c r="AH237" s="70"/>
      <c r="AI237" s="70" t="s">
        <v>2278</v>
      </c>
      <c r="AJ237" s="70" t="s">
        <v>2278</v>
      </c>
      <c r="AK237" s="70" t="s">
        <v>2278</v>
      </c>
      <c r="AL237" s="70" t="s">
        <v>2278</v>
      </c>
      <c r="AM237" s="70"/>
      <c r="AN237" s="70"/>
    </row>
    <row r="238" spans="1:40" ht="15.75" hidden="1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0"/>
        <v>26</v>
      </c>
      <c r="J238" s="146" t="s">
        <v>1843</v>
      </c>
      <c r="K238" s="31">
        <f t="shared" si="11"/>
        <v>2</v>
      </c>
      <c r="L238" s="32">
        <f t="shared" si="12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 t="s">
        <v>2278</v>
      </c>
      <c r="AK238" s="70" t="s">
        <v>2278</v>
      </c>
      <c r="AL238" s="70"/>
      <c r="AM238" s="70"/>
      <c r="AN238" s="70"/>
    </row>
    <row r="239" spans="1:40" ht="15.75" hidden="1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0"/>
        <v>19</v>
      </c>
      <c r="J239" s="146" t="s">
        <v>1844</v>
      </c>
      <c r="K239" s="31">
        <f t="shared" si="11"/>
        <v>9</v>
      </c>
      <c r="L239" s="32">
        <f t="shared" si="12"/>
        <v>0.6785714285714286</v>
      </c>
      <c r="M239" s="70" t="s">
        <v>2278</v>
      </c>
      <c r="N239" s="70" t="s">
        <v>2278</v>
      </c>
      <c r="O239" s="70" t="s">
        <v>2278</v>
      </c>
      <c r="P239" s="70" t="s">
        <v>2278</v>
      </c>
      <c r="Q239" s="70" t="s">
        <v>2278</v>
      </c>
      <c r="R239" s="70" t="s">
        <v>2278</v>
      </c>
      <c r="S239" s="70"/>
      <c r="T239" s="70"/>
      <c r="U239" s="70"/>
      <c r="V239" s="70" t="s">
        <v>2278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 t="s">
        <v>2278</v>
      </c>
      <c r="AK239" s="70" t="s">
        <v>2278</v>
      </c>
      <c r="AL239" s="70"/>
      <c r="AM239" s="70"/>
      <c r="AN239" s="70"/>
    </row>
    <row r="240" spans="1:40" ht="15.75" hidden="1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0"/>
        <v>26</v>
      </c>
      <c r="J240" s="146" t="s">
        <v>1845</v>
      </c>
      <c r="K240" s="31">
        <f t="shared" si="11"/>
        <v>2</v>
      </c>
      <c r="L240" s="32">
        <f t="shared" si="12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 t="s">
        <v>2278</v>
      </c>
      <c r="AK240" s="70" t="s">
        <v>2278</v>
      </c>
      <c r="AL240" s="70"/>
      <c r="AM240" s="70"/>
      <c r="AN240" s="70"/>
    </row>
    <row r="241" spans="1:40" ht="15.75" hidden="1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0"/>
        <v>26</v>
      </c>
      <c r="J241" s="146" t="s">
        <v>1846</v>
      </c>
      <c r="K241" s="31">
        <f t="shared" si="11"/>
        <v>2</v>
      </c>
      <c r="L241" s="32">
        <f t="shared" si="12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 t="s">
        <v>2278</v>
      </c>
      <c r="AK241" s="70" t="s">
        <v>2278</v>
      </c>
      <c r="AL241" s="70"/>
      <c r="AM241" s="70"/>
      <c r="AN241" s="70"/>
    </row>
    <row r="242" spans="1:40" ht="15.75" hidden="1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0"/>
        <v>28</v>
      </c>
      <c r="J242" s="146" t="s">
        <v>1847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0"/>
        <v>27</v>
      </c>
      <c r="J243" s="146" t="s">
        <v>1848</v>
      </c>
      <c r="K243" s="31">
        <f t="shared" si="11"/>
        <v>1</v>
      </c>
      <c r="L243" s="32">
        <f t="shared" si="12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2278</v>
      </c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0"/>
        <v>28</v>
      </c>
      <c r="J244" s="146" t="s">
        <v>1849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3">COUNTIF(M245:AN245,"")</f>
        <v>28</v>
      </c>
      <c r="J245" s="146" t="s">
        <v>1850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3"/>
        <v>27</v>
      </c>
      <c r="J246" s="146" t="s">
        <v>1851</v>
      </c>
      <c r="K246" s="31">
        <f t="shared" si="14"/>
        <v>1</v>
      </c>
      <c r="L246" s="32">
        <f t="shared" si="15"/>
        <v>0.9642857142857143</v>
      </c>
      <c r="M246" s="70"/>
      <c r="N246" s="70" t="s">
        <v>2278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1852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3"/>
        <v>28</v>
      </c>
      <c r="J248" s="146" t="s">
        <v>1853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3"/>
        <v>26</v>
      </c>
      <c r="J249" s="146" t="s">
        <v>1854</v>
      </c>
      <c r="K249" s="31">
        <f t="shared" si="14"/>
        <v>2</v>
      </c>
      <c r="L249" s="32">
        <f t="shared" si="15"/>
        <v>0.9285714285714286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2278</v>
      </c>
      <c r="AK249" s="70" t="s">
        <v>2278</v>
      </c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3"/>
        <v>21</v>
      </c>
      <c r="J250" s="146" t="s">
        <v>1855</v>
      </c>
      <c r="K250" s="31">
        <f t="shared" si="14"/>
        <v>7</v>
      </c>
      <c r="L250" s="32">
        <f t="shared" si="15"/>
        <v>0.75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2278</v>
      </c>
      <c r="AE250" s="70" t="s">
        <v>2278</v>
      </c>
      <c r="AF250" s="70" t="s">
        <v>2278</v>
      </c>
      <c r="AG250" s="70"/>
      <c r="AH250" s="70"/>
      <c r="AI250" s="70" t="s">
        <v>2278</v>
      </c>
      <c r="AJ250" s="70" t="s">
        <v>2278</v>
      </c>
      <c r="AK250" s="70" t="s">
        <v>2278</v>
      </c>
      <c r="AL250" s="70" t="s">
        <v>2278</v>
      </c>
      <c r="AM250" s="70"/>
      <c r="AN250" s="70"/>
    </row>
    <row r="251" spans="1:40" ht="15.75" hidden="1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3"/>
        <v>12</v>
      </c>
      <c r="J251" s="146" t="s">
        <v>1856</v>
      </c>
      <c r="K251" s="31">
        <f t="shared" si="14"/>
        <v>16</v>
      </c>
      <c r="L251" s="32">
        <f t="shared" si="15"/>
        <v>0.42857142857142855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 t="s">
        <v>2278</v>
      </c>
      <c r="R251" s="70" t="s">
        <v>2278</v>
      </c>
      <c r="S251" s="70"/>
      <c r="T251" s="70"/>
      <c r="U251" s="70"/>
      <c r="V251" s="70" t="s">
        <v>2278</v>
      </c>
      <c r="W251" s="70" t="s">
        <v>2278</v>
      </c>
      <c r="X251" s="70" t="s">
        <v>2278</v>
      </c>
      <c r="Y251" s="70" t="s">
        <v>2278</v>
      </c>
      <c r="Z251" s="70"/>
      <c r="AA251" s="70"/>
      <c r="AB251" s="70"/>
      <c r="AC251" s="70"/>
      <c r="AD251" s="70" t="s">
        <v>2278</v>
      </c>
      <c r="AE251" s="70" t="s">
        <v>2278</v>
      </c>
      <c r="AF251" s="70" t="s">
        <v>2278</v>
      </c>
      <c r="AG251" s="70"/>
      <c r="AH251" s="70"/>
      <c r="AI251" s="70" t="s">
        <v>2278</v>
      </c>
      <c r="AJ251" s="70" t="s">
        <v>2278</v>
      </c>
      <c r="AK251" s="70"/>
      <c r="AL251" s="70" t="s">
        <v>2278</v>
      </c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3"/>
        <v>28</v>
      </c>
      <c r="J253" s="146" t="s">
        <v>1812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3"/>
        <v>10</v>
      </c>
      <c r="J254" s="146" t="s">
        <v>1857</v>
      </c>
      <c r="K254" s="31">
        <f t="shared" si="14"/>
        <v>18</v>
      </c>
      <c r="L254" s="32">
        <f t="shared" si="15"/>
        <v>0.35714285714285715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 t="s">
        <v>2278</v>
      </c>
      <c r="R254" s="70" t="s">
        <v>2278</v>
      </c>
      <c r="S254" s="70"/>
      <c r="T254" s="70"/>
      <c r="U254" s="70" t="s">
        <v>2278</v>
      </c>
      <c r="V254" s="70" t="s">
        <v>2278</v>
      </c>
      <c r="W254" s="70" t="s">
        <v>2278</v>
      </c>
      <c r="X254" s="70" t="s">
        <v>2278</v>
      </c>
      <c r="Y254" s="70" t="s">
        <v>2278</v>
      </c>
      <c r="Z254" s="70"/>
      <c r="AA254" s="70"/>
      <c r="AB254" s="70"/>
      <c r="AC254" s="70"/>
      <c r="AD254" s="70" t="s">
        <v>2278</v>
      </c>
      <c r="AE254" s="70" t="s">
        <v>2278</v>
      </c>
      <c r="AF254" s="70" t="s">
        <v>2278</v>
      </c>
      <c r="AG254" s="70"/>
      <c r="AH254" s="70"/>
      <c r="AI254" s="70" t="s">
        <v>2278</v>
      </c>
      <c r="AJ254" s="70" t="s">
        <v>2278</v>
      </c>
      <c r="AK254" s="70" t="s">
        <v>2278</v>
      </c>
      <c r="AL254" s="70" t="s">
        <v>2278</v>
      </c>
      <c r="AM254" s="70"/>
      <c r="AN254" s="70"/>
    </row>
    <row r="255" spans="1:40" ht="15.75" hidden="1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3"/>
        <v>10</v>
      </c>
      <c r="J255" s="146" t="s">
        <v>2294</v>
      </c>
      <c r="K255" s="31">
        <f t="shared" si="14"/>
        <v>18</v>
      </c>
      <c r="L255" s="32">
        <f t="shared" si="15"/>
        <v>0.35714285714285715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 t="s">
        <v>2278</v>
      </c>
      <c r="R255" s="70" t="s">
        <v>2278</v>
      </c>
      <c r="S255" s="70"/>
      <c r="T255" s="70"/>
      <c r="U255" s="70" t="s">
        <v>2278</v>
      </c>
      <c r="V255" s="70" t="s">
        <v>2278</v>
      </c>
      <c r="W255" s="70" t="s">
        <v>2278</v>
      </c>
      <c r="X255" s="70" t="s">
        <v>2278</v>
      </c>
      <c r="Y255" s="70" t="s">
        <v>2278</v>
      </c>
      <c r="Z255" s="70"/>
      <c r="AA255" s="70"/>
      <c r="AB255" s="70"/>
      <c r="AC255" s="70"/>
      <c r="AD255" s="70" t="s">
        <v>2278</v>
      </c>
      <c r="AE255" s="70" t="s">
        <v>2278</v>
      </c>
      <c r="AF255" s="70" t="s">
        <v>2278</v>
      </c>
      <c r="AG255" s="70"/>
      <c r="AH255" s="70"/>
      <c r="AI255" s="70" t="s">
        <v>2278</v>
      </c>
      <c r="AJ255" s="70" t="s">
        <v>2278</v>
      </c>
      <c r="AK255" s="70" t="s">
        <v>2278</v>
      </c>
      <c r="AL255" s="70" t="s">
        <v>2278</v>
      </c>
      <c r="AM255" s="70"/>
      <c r="AN255" s="70"/>
    </row>
    <row r="256" spans="1:40" ht="15.75" hidden="1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3"/>
        <v>28</v>
      </c>
      <c r="J259" s="146" t="s">
        <v>1858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3"/>
        <v>28</v>
      </c>
      <c r="J260" s="146" t="s">
        <v>1859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3"/>
        <v>28</v>
      </c>
      <c r="J261" s="146" t="s">
        <v>1860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3"/>
        <v>28</v>
      </c>
      <c r="J262" s="146" t="s">
        <v>1861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3"/>
        <v>28</v>
      </c>
      <c r="J263" s="146" t="s">
        <v>1862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3"/>
        <v>27</v>
      </c>
      <c r="J265" s="146" t="s">
        <v>1863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2278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3"/>
        <v>23</v>
      </c>
      <c r="J266" s="146" t="s">
        <v>1864</v>
      </c>
      <c r="K266" s="31">
        <f t="shared" si="14"/>
        <v>5</v>
      </c>
      <c r="L266" s="32">
        <f t="shared" si="15"/>
        <v>0.8214285714285714</v>
      </c>
      <c r="M266" s="70"/>
      <c r="N266" s="70" t="s">
        <v>2278</v>
      </c>
      <c r="O266" s="70" t="s">
        <v>2278</v>
      </c>
      <c r="P266" s="70" t="s">
        <v>2278</v>
      </c>
      <c r="Q266" s="70" t="s">
        <v>2278</v>
      </c>
      <c r="R266" s="70" t="s">
        <v>2278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3"/>
        <v>28</v>
      </c>
      <c r="J267" s="146" t="s">
        <v>1865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3"/>
        <v>26</v>
      </c>
      <c r="J268" s="146" t="s">
        <v>1866</v>
      </c>
      <c r="K268" s="31">
        <f t="shared" si="14"/>
        <v>2</v>
      </c>
      <c r="L268" s="32">
        <f t="shared" si="15"/>
        <v>0.9285714285714286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 t="s">
        <v>2278</v>
      </c>
      <c r="AK268" s="70" t="s">
        <v>2278</v>
      </c>
      <c r="AL268" s="70"/>
      <c r="AM268" s="70"/>
      <c r="AN268" s="70"/>
    </row>
    <row r="269" spans="1:40" ht="15.75" hidden="1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3"/>
        <v>28</v>
      </c>
      <c r="J269" s="146" t="s">
        <v>1867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3"/>
        <v>26</v>
      </c>
      <c r="J270" s="146" t="s">
        <v>1854</v>
      </c>
      <c r="K270" s="31">
        <f t="shared" si="14"/>
        <v>2</v>
      </c>
      <c r="L270" s="32">
        <f t="shared" si="15"/>
        <v>0.9285714285714286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 t="s">
        <v>2278</v>
      </c>
      <c r="AK270" s="70" t="s">
        <v>2278</v>
      </c>
      <c r="AL270" s="70"/>
      <c r="AM270" s="70"/>
      <c r="AN270" s="70"/>
    </row>
    <row r="271" spans="1:40" ht="15.75" hidden="1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3"/>
        <v>28</v>
      </c>
      <c r="J271" s="146" t="s">
        <v>1868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3"/>
        <v>13</v>
      </c>
      <c r="J272" s="146" t="s">
        <v>1869</v>
      </c>
      <c r="K272" s="31">
        <f t="shared" si="14"/>
        <v>15</v>
      </c>
      <c r="L272" s="32">
        <f t="shared" si="15"/>
        <v>0.4642857142857143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 t="s">
        <v>2278</v>
      </c>
      <c r="R272" s="70" t="s">
        <v>2278</v>
      </c>
      <c r="S272" s="70"/>
      <c r="T272" s="70"/>
      <c r="U272" s="70" t="s">
        <v>2278</v>
      </c>
      <c r="V272" s="70"/>
      <c r="W272" s="70"/>
      <c r="X272" s="70" t="s">
        <v>2278</v>
      </c>
      <c r="Y272" s="70" t="s">
        <v>2278</v>
      </c>
      <c r="Z272" s="70"/>
      <c r="AA272" s="70"/>
      <c r="AB272" s="70"/>
      <c r="AC272" s="70"/>
      <c r="AD272" s="70" t="s">
        <v>2278</v>
      </c>
      <c r="AE272" s="70" t="s">
        <v>2278</v>
      </c>
      <c r="AF272" s="70" t="s">
        <v>2278</v>
      </c>
      <c r="AG272" s="70"/>
      <c r="AH272" s="70"/>
      <c r="AI272" s="70"/>
      <c r="AJ272" s="70" t="s">
        <v>2278</v>
      </c>
      <c r="AK272" s="70" t="s">
        <v>2278</v>
      </c>
      <c r="AL272" s="70" t="s">
        <v>2278</v>
      </c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3"/>
        <v>28</v>
      </c>
      <c r="J273" s="146" t="s">
        <v>1870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3"/>
        <v>26</v>
      </c>
      <c r="J274" s="146" t="s">
        <v>1871</v>
      </c>
      <c r="K274" s="31">
        <f t="shared" si="14"/>
        <v>2</v>
      </c>
      <c r="L274" s="32">
        <f t="shared" si="15"/>
        <v>0.9285714285714286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 t="s">
        <v>2278</v>
      </c>
      <c r="AK274" s="70" t="s">
        <v>2278</v>
      </c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3"/>
        <v>28</v>
      </c>
      <c r="J275" s="146" t="s">
        <v>1872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3"/>
        <v>28</v>
      </c>
      <c r="J276" s="149" t="s">
        <v>1873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3"/>
        <v>28</v>
      </c>
      <c r="J277" s="146" t="s">
        <v>1874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3"/>
        <v>27</v>
      </c>
      <c r="J278" s="146" t="s">
        <v>1875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2278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3"/>
        <v>28</v>
      </c>
      <c r="J279" s="146" t="s">
        <v>1876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3"/>
        <v>28</v>
      </c>
      <c r="J280" s="146" t="s">
        <v>1877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3"/>
        <v>28</v>
      </c>
      <c r="J281" s="146" t="s">
        <v>2207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3"/>
        <v>28</v>
      </c>
      <c r="J282" s="146" t="s">
        <v>2211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3"/>
        <v>26</v>
      </c>
      <c r="J283" s="146" t="s">
        <v>1878</v>
      </c>
      <c r="K283" s="31">
        <f t="shared" si="14"/>
        <v>2</v>
      </c>
      <c r="L283" s="32">
        <f t="shared" si="15"/>
        <v>0.9285714285714286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2278</v>
      </c>
      <c r="AG283" s="70"/>
      <c r="AH283" s="70"/>
      <c r="AI283" s="70"/>
      <c r="AJ283" s="70"/>
      <c r="AK283" s="70" t="s">
        <v>2278</v>
      </c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3"/>
        <v>28</v>
      </c>
      <c r="J284" s="146" t="s">
        <v>1879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3"/>
        <v>27</v>
      </c>
      <c r="J285" s="146" t="s">
        <v>1880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 t="s">
        <v>2278</v>
      </c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3"/>
        <v>26</v>
      </c>
      <c r="J286" s="146" t="s">
        <v>1881</v>
      </c>
      <c r="K286" s="141">
        <f t="shared" si="14"/>
        <v>2</v>
      </c>
      <c r="L286" s="14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2278</v>
      </c>
      <c r="AG286" s="70"/>
      <c r="AH286" s="70"/>
      <c r="AI286" s="70"/>
      <c r="AJ286" s="70"/>
      <c r="AK286" s="70" t="s">
        <v>2278</v>
      </c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3"/>
        <v>21</v>
      </c>
      <c r="J287" s="146" t="s">
        <v>1882</v>
      </c>
      <c r="K287" s="141">
        <f t="shared" si="14"/>
        <v>7</v>
      </c>
      <c r="L287" s="142">
        <f t="shared" si="15"/>
        <v>0.75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2278</v>
      </c>
      <c r="AE287" s="70" t="s">
        <v>2278</v>
      </c>
      <c r="AF287" s="70" t="s">
        <v>2278</v>
      </c>
      <c r="AG287" s="70"/>
      <c r="AH287" s="70"/>
      <c r="AI287" s="70" t="s">
        <v>2278</v>
      </c>
      <c r="AJ287" s="70" t="s">
        <v>2278</v>
      </c>
      <c r="AK287" s="70" t="s">
        <v>2278</v>
      </c>
      <c r="AL287" s="70" t="s">
        <v>2278</v>
      </c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3"/>
        <v>27</v>
      </c>
      <c r="J288" s="146" t="s">
        <v>1684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 t="s">
        <v>2278</v>
      </c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3"/>
        <v>25</v>
      </c>
      <c r="J289" s="146" t="s">
        <v>1883</v>
      </c>
      <c r="K289" s="31">
        <f t="shared" si="14"/>
        <v>3</v>
      </c>
      <c r="L289" s="32">
        <f t="shared" si="15"/>
        <v>0.8928571428571429</v>
      </c>
      <c r="M289" s="70" t="s">
        <v>2278</v>
      </c>
      <c r="N289" s="70" t="s">
        <v>2278</v>
      </c>
      <c r="O289" s="70" t="s">
        <v>2278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3"/>
        <v>28</v>
      </c>
      <c r="J290" s="146" t="s">
        <v>1884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3"/>
        <v>21</v>
      </c>
      <c r="J291" s="146" t="s">
        <v>1885</v>
      </c>
      <c r="K291" s="141">
        <f t="shared" si="14"/>
        <v>7</v>
      </c>
      <c r="L291" s="142">
        <f t="shared" si="15"/>
        <v>0.75</v>
      </c>
      <c r="M291" s="70" t="s">
        <v>2278</v>
      </c>
      <c r="N291" s="70" t="s">
        <v>2278</v>
      </c>
      <c r="O291" s="70" t="s">
        <v>2278</v>
      </c>
      <c r="P291" s="70"/>
      <c r="Q291" s="70"/>
      <c r="R291" s="70"/>
      <c r="S291" s="70"/>
      <c r="T291" s="70"/>
      <c r="U291" s="70"/>
      <c r="V291" s="70"/>
      <c r="W291" s="70"/>
      <c r="X291" s="70" t="s">
        <v>2278</v>
      </c>
      <c r="Y291" s="70"/>
      <c r="Z291" s="70"/>
      <c r="AA291" s="70"/>
      <c r="AB291" s="70"/>
      <c r="AC291" s="70"/>
      <c r="AD291" s="70" t="s">
        <v>2278</v>
      </c>
      <c r="AE291" s="70" t="s">
        <v>2278</v>
      </c>
      <c r="AF291" s="70" t="s">
        <v>2278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3"/>
        <v>28</v>
      </c>
      <c r="J292" s="146" t="s">
        <v>1886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3"/>
        <v>28</v>
      </c>
      <c r="J293" s="146" t="s">
        <v>1887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3"/>
        <v>28</v>
      </c>
      <c r="J294" s="87" t="s">
        <v>2186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3"/>
        <v>28</v>
      </c>
      <c r="J295" s="146" t="s">
        <v>1888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3"/>
        <v>28</v>
      </c>
      <c r="J296" s="146" t="s">
        <v>1889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3"/>
        <v>28</v>
      </c>
      <c r="J297" s="146" t="s">
        <v>1890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3"/>
        <v>28</v>
      </c>
      <c r="J298" s="146" t="s">
        <v>1891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3"/>
        <v>28</v>
      </c>
      <c r="J299" s="146" t="s">
        <v>1892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3"/>
        <v>28</v>
      </c>
      <c r="J300" s="146" t="s">
        <v>1893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3"/>
        <v>28</v>
      </c>
      <c r="J301" s="146" t="s">
        <v>1894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3"/>
        <v>28</v>
      </c>
      <c r="J302" s="146" t="s">
        <v>1895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3"/>
        <v>27</v>
      </c>
      <c r="J303" s="146" t="s">
        <v>1896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2278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3"/>
        <v>10</v>
      </c>
      <c r="J304" s="146" t="s">
        <v>1897</v>
      </c>
      <c r="K304" s="31">
        <f t="shared" si="14"/>
        <v>18</v>
      </c>
      <c r="L304" s="32">
        <f t="shared" si="15"/>
        <v>0.35714285714285715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 t="s">
        <v>2278</v>
      </c>
      <c r="R304" s="70" t="s">
        <v>2278</v>
      </c>
      <c r="S304" s="70"/>
      <c r="T304" s="70"/>
      <c r="U304" s="70" t="s">
        <v>2278</v>
      </c>
      <c r="V304" s="70" t="s">
        <v>2278</v>
      </c>
      <c r="W304" s="70" t="s">
        <v>2278</v>
      </c>
      <c r="X304" s="70" t="s">
        <v>2278</v>
      </c>
      <c r="Y304" s="70" t="s">
        <v>2278</v>
      </c>
      <c r="Z304" s="70"/>
      <c r="AA304" s="70"/>
      <c r="AB304" s="70"/>
      <c r="AC304" s="70"/>
      <c r="AD304" s="70" t="s">
        <v>2278</v>
      </c>
      <c r="AE304" s="70" t="s">
        <v>2278</v>
      </c>
      <c r="AF304" s="70" t="s">
        <v>2278</v>
      </c>
      <c r="AG304" s="70"/>
      <c r="AH304" s="70"/>
      <c r="AI304" s="70" t="s">
        <v>2278</v>
      </c>
      <c r="AJ304" s="70" t="s">
        <v>2278</v>
      </c>
      <c r="AK304" s="70" t="s">
        <v>2278</v>
      </c>
      <c r="AL304" s="70" t="s">
        <v>2278</v>
      </c>
      <c r="AM304" s="70"/>
      <c r="AN304" s="70"/>
    </row>
    <row r="305" spans="1:40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3"/>
        <v>26</v>
      </c>
      <c r="J305" s="146" t="s">
        <v>1898</v>
      </c>
      <c r="K305" s="31">
        <f t="shared" si="14"/>
        <v>2</v>
      </c>
      <c r="L305" s="32">
        <f t="shared" si="15"/>
        <v>0.9285714285714286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2278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2278</v>
      </c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3"/>
        <v>27</v>
      </c>
      <c r="J306" s="146" t="s">
        <v>1899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2278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3"/>
        <v>27</v>
      </c>
      <c r="J307" s="146" t="s">
        <v>1900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2278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3"/>
        <v>27</v>
      </c>
      <c r="J308" s="146" t="s">
        <v>1901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2278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3"/>
        <v>21</v>
      </c>
      <c r="J309" s="146" t="s">
        <v>1902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2278</v>
      </c>
      <c r="X309" s="70" t="s">
        <v>2278</v>
      </c>
      <c r="Y309" s="70" t="s">
        <v>2278</v>
      </c>
      <c r="Z309" s="70"/>
      <c r="AA309" s="70"/>
      <c r="AB309" s="70"/>
      <c r="AC309" s="70"/>
      <c r="AD309" s="70" t="s">
        <v>2278</v>
      </c>
      <c r="AE309" s="70" t="s">
        <v>2278</v>
      </c>
      <c r="AF309" s="70" t="s">
        <v>2278</v>
      </c>
      <c r="AG309" s="70"/>
      <c r="AH309" s="70"/>
      <c r="AI309" s="70" t="s">
        <v>2278</v>
      </c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3"/>
        <v>21</v>
      </c>
      <c r="J310" s="146" t="s">
        <v>1903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2278</v>
      </c>
      <c r="X310" s="70" t="s">
        <v>2278</v>
      </c>
      <c r="Y310" s="70" t="s">
        <v>2278</v>
      </c>
      <c r="Z310" s="70"/>
      <c r="AA310" s="70"/>
      <c r="AB310" s="70"/>
      <c r="AC310" s="70"/>
      <c r="AD310" s="70" t="s">
        <v>2278</v>
      </c>
      <c r="AE310" s="70" t="s">
        <v>2278</v>
      </c>
      <c r="AF310" s="70" t="s">
        <v>2278</v>
      </c>
      <c r="AG310" s="70"/>
      <c r="AH310" s="70"/>
      <c r="AI310" s="70" t="s">
        <v>2278</v>
      </c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3"/>
        <v>21</v>
      </c>
      <c r="J311" s="146" t="s">
        <v>1904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2278</v>
      </c>
      <c r="X311" s="70" t="s">
        <v>2278</v>
      </c>
      <c r="Y311" s="70" t="s">
        <v>2278</v>
      </c>
      <c r="Z311" s="70"/>
      <c r="AA311" s="70"/>
      <c r="AB311" s="70"/>
      <c r="AC311" s="70"/>
      <c r="AD311" s="70" t="s">
        <v>2278</v>
      </c>
      <c r="AE311" s="70" t="s">
        <v>2278</v>
      </c>
      <c r="AF311" s="70" t="s">
        <v>2278</v>
      </c>
      <c r="AG311" s="70"/>
      <c r="AH311" s="70"/>
      <c r="AI311" s="70" t="s">
        <v>2278</v>
      </c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3"/>
        <v>28</v>
      </c>
      <c r="J312" s="146" t="s">
        <v>1905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3"/>
        <v>28</v>
      </c>
      <c r="J313" s="146" t="s">
        <v>1906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3"/>
        <v>28</v>
      </c>
      <c r="J314" s="146" t="s">
        <v>1907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3"/>
        <v>10</v>
      </c>
      <c r="J316" s="146" t="s">
        <v>1908</v>
      </c>
      <c r="K316" s="141">
        <f t="shared" si="14"/>
        <v>18</v>
      </c>
      <c r="L316" s="142">
        <f t="shared" si="15"/>
        <v>0.35714285714285715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 t="s">
        <v>2278</v>
      </c>
      <c r="R316" s="70" t="s">
        <v>2278</v>
      </c>
      <c r="S316" s="70"/>
      <c r="T316" s="70"/>
      <c r="U316" s="70" t="s">
        <v>2278</v>
      </c>
      <c r="V316" s="70" t="s">
        <v>2278</v>
      </c>
      <c r="W316" s="70" t="s">
        <v>2278</v>
      </c>
      <c r="X316" s="70" t="s">
        <v>2278</v>
      </c>
      <c r="Y316" s="70" t="s">
        <v>2278</v>
      </c>
      <c r="Z316" s="70"/>
      <c r="AA316" s="70"/>
      <c r="AB316" s="70"/>
      <c r="AC316" s="70"/>
      <c r="AD316" s="70" t="s">
        <v>2278</v>
      </c>
      <c r="AE316" s="70" t="s">
        <v>2278</v>
      </c>
      <c r="AF316" s="70" t="s">
        <v>2278</v>
      </c>
      <c r="AG316" s="70"/>
      <c r="AH316" s="70"/>
      <c r="AI316" s="70" t="s">
        <v>2278</v>
      </c>
      <c r="AJ316" s="70" t="s">
        <v>2278</v>
      </c>
      <c r="AK316" s="70" t="s">
        <v>2278</v>
      </c>
      <c r="AL316" s="70" t="s">
        <v>2278</v>
      </c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3"/>
        <v>28</v>
      </c>
      <c r="J317" s="146" t="s">
        <v>2143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6">COUNTIF(M318:AN318,"")</f>
        <v>12</v>
      </c>
      <c r="J318" s="146" t="s">
        <v>1909</v>
      </c>
      <c r="K318" s="31">
        <f t="shared" ref="K318:K388" si="17">COUNTIF(M318:AN318,"APAGADO")</f>
        <v>16</v>
      </c>
      <c r="L318" s="32">
        <f t="shared" ref="L318:L388" si="18">(I318)/(K318+I318)</f>
        <v>0.42857142857142855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 t="s">
        <v>2278</v>
      </c>
      <c r="R318" s="70" t="s">
        <v>2278</v>
      </c>
      <c r="S318" s="70"/>
      <c r="T318" s="70"/>
      <c r="U318" s="70"/>
      <c r="V318" s="70" t="s">
        <v>2278</v>
      </c>
      <c r="W318" s="70" t="s">
        <v>2278</v>
      </c>
      <c r="X318" s="70" t="s">
        <v>2278</v>
      </c>
      <c r="Y318" s="70" t="s">
        <v>2278</v>
      </c>
      <c r="Z318" s="70"/>
      <c r="AA318" s="70"/>
      <c r="AB318" s="70"/>
      <c r="AC318" s="70"/>
      <c r="AD318" s="70" t="s">
        <v>2278</v>
      </c>
      <c r="AE318" s="70" t="s">
        <v>2278</v>
      </c>
      <c r="AF318" s="70" t="s">
        <v>2278</v>
      </c>
      <c r="AG318" s="70"/>
      <c r="AH318" s="70"/>
      <c r="AI318" s="70" t="s">
        <v>2278</v>
      </c>
      <c r="AJ318" s="70" t="s">
        <v>2278</v>
      </c>
      <c r="AK318" s="70" t="s">
        <v>2278</v>
      </c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6"/>
        <v>11</v>
      </c>
      <c r="J319" s="146" t="s">
        <v>1910</v>
      </c>
      <c r="K319" s="141">
        <f t="shared" si="17"/>
        <v>17</v>
      </c>
      <c r="L319" s="142">
        <f t="shared" si="18"/>
        <v>0.39285714285714285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 t="s">
        <v>2278</v>
      </c>
      <c r="R319" s="70" t="s">
        <v>2278</v>
      </c>
      <c r="S319" s="70"/>
      <c r="T319" s="70"/>
      <c r="U319" s="70"/>
      <c r="V319" s="70" t="s">
        <v>2278</v>
      </c>
      <c r="W319" s="70" t="s">
        <v>2278</v>
      </c>
      <c r="X319" s="70" t="s">
        <v>2278</v>
      </c>
      <c r="Y319" s="70" t="s">
        <v>2278</v>
      </c>
      <c r="Z319" s="70"/>
      <c r="AA319" s="70"/>
      <c r="AB319" s="70"/>
      <c r="AC319" s="70"/>
      <c r="AD319" s="70" t="s">
        <v>2278</v>
      </c>
      <c r="AE319" s="70" t="s">
        <v>2278</v>
      </c>
      <c r="AF319" s="70" t="s">
        <v>2278</v>
      </c>
      <c r="AG319" s="70"/>
      <c r="AH319" s="70"/>
      <c r="AI319" s="70" t="s">
        <v>2278</v>
      </c>
      <c r="AJ319" s="70" t="s">
        <v>2278</v>
      </c>
      <c r="AK319" s="70" t="s">
        <v>2278</v>
      </c>
      <c r="AL319" s="70" t="s">
        <v>2278</v>
      </c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6"/>
        <v>10</v>
      </c>
      <c r="J320" s="87" t="s">
        <v>2187</v>
      </c>
      <c r="K320" s="141">
        <f t="shared" si="17"/>
        <v>18</v>
      </c>
      <c r="L320" s="142">
        <f t="shared" si="18"/>
        <v>0.35714285714285715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 t="s">
        <v>2278</v>
      </c>
      <c r="R320" s="70" t="s">
        <v>2278</v>
      </c>
      <c r="S320" s="70"/>
      <c r="T320" s="70"/>
      <c r="U320" s="70" t="s">
        <v>2278</v>
      </c>
      <c r="V320" s="70" t="s">
        <v>2278</v>
      </c>
      <c r="W320" s="70" t="s">
        <v>2278</v>
      </c>
      <c r="X320" s="70" t="s">
        <v>2278</v>
      </c>
      <c r="Y320" s="70" t="s">
        <v>2278</v>
      </c>
      <c r="Z320" s="70"/>
      <c r="AA320" s="70"/>
      <c r="AB320" s="70"/>
      <c r="AC320" s="70"/>
      <c r="AD320" s="70" t="s">
        <v>2278</v>
      </c>
      <c r="AE320" s="70" t="s">
        <v>2278</v>
      </c>
      <c r="AF320" s="70" t="s">
        <v>2278</v>
      </c>
      <c r="AG320" s="70"/>
      <c r="AH320" s="70"/>
      <c r="AI320" s="70" t="s">
        <v>2278</v>
      </c>
      <c r="AJ320" s="70" t="s">
        <v>2278</v>
      </c>
      <c r="AK320" s="70" t="s">
        <v>2278</v>
      </c>
      <c r="AL320" s="70" t="s">
        <v>2278</v>
      </c>
      <c r="AM320" s="70"/>
      <c r="AN320" s="70"/>
    </row>
    <row r="321" spans="1:40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6"/>
        <v>10</v>
      </c>
      <c r="J321" s="146" t="s">
        <v>1911</v>
      </c>
      <c r="K321" s="141">
        <f t="shared" si="17"/>
        <v>18</v>
      </c>
      <c r="L321" s="142">
        <f t="shared" si="18"/>
        <v>0.35714285714285715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 t="s">
        <v>2278</v>
      </c>
      <c r="R321" s="70" t="s">
        <v>2278</v>
      </c>
      <c r="S321" s="70"/>
      <c r="T321" s="70"/>
      <c r="U321" s="70" t="s">
        <v>2278</v>
      </c>
      <c r="V321" s="70" t="s">
        <v>2278</v>
      </c>
      <c r="W321" s="70" t="s">
        <v>2278</v>
      </c>
      <c r="X321" s="70" t="s">
        <v>2278</v>
      </c>
      <c r="Y321" s="70" t="s">
        <v>2278</v>
      </c>
      <c r="Z321" s="70"/>
      <c r="AA321" s="70"/>
      <c r="AB321" s="70"/>
      <c r="AC321" s="70"/>
      <c r="AD321" s="70" t="s">
        <v>2278</v>
      </c>
      <c r="AE321" s="70" t="s">
        <v>2278</v>
      </c>
      <c r="AF321" s="70" t="s">
        <v>2278</v>
      </c>
      <c r="AG321" s="70"/>
      <c r="AH321" s="70"/>
      <c r="AI321" s="70" t="s">
        <v>2278</v>
      </c>
      <c r="AJ321" s="70" t="s">
        <v>2278</v>
      </c>
      <c r="AK321" s="70" t="s">
        <v>2278</v>
      </c>
      <c r="AL321" s="70" t="s">
        <v>2278</v>
      </c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6"/>
        <v>13</v>
      </c>
      <c r="J322" s="146" t="s">
        <v>1912</v>
      </c>
      <c r="K322" s="31">
        <f t="shared" si="17"/>
        <v>15</v>
      </c>
      <c r="L322" s="32">
        <f t="shared" si="18"/>
        <v>0.4642857142857143</v>
      </c>
      <c r="M322" s="70" t="s">
        <v>2278</v>
      </c>
      <c r="N322" s="70" t="s">
        <v>2278</v>
      </c>
      <c r="O322" s="70" t="s">
        <v>2278</v>
      </c>
      <c r="P322" s="70" t="s">
        <v>2278</v>
      </c>
      <c r="Q322" s="70" t="s">
        <v>2278</v>
      </c>
      <c r="R322" s="70" t="s">
        <v>2278</v>
      </c>
      <c r="S322" s="70"/>
      <c r="T322" s="70"/>
      <c r="U322" s="70" t="s">
        <v>2278</v>
      </c>
      <c r="V322" s="70" t="s">
        <v>2278</v>
      </c>
      <c r="W322" s="70" t="s">
        <v>2278</v>
      </c>
      <c r="X322" s="70" t="s">
        <v>2278</v>
      </c>
      <c r="Y322" s="70" t="s">
        <v>2278</v>
      </c>
      <c r="Z322" s="70"/>
      <c r="AA322" s="70"/>
      <c r="AB322" s="70"/>
      <c r="AC322" s="70"/>
      <c r="AD322" s="70" t="s">
        <v>2278</v>
      </c>
      <c r="AE322" s="70"/>
      <c r="AF322" s="70"/>
      <c r="AG322" s="70"/>
      <c r="AH322" s="70"/>
      <c r="AI322" s="70" t="s">
        <v>2278</v>
      </c>
      <c r="AJ322" s="70" t="s">
        <v>2278</v>
      </c>
      <c r="AK322" s="70" t="s">
        <v>2278</v>
      </c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6"/>
        <v>25</v>
      </c>
      <c r="J323" s="146" t="s">
        <v>1913</v>
      </c>
      <c r="K323" s="31">
        <f t="shared" si="17"/>
        <v>3</v>
      </c>
      <c r="L323" s="32">
        <f t="shared" si="18"/>
        <v>0.8928571428571429</v>
      </c>
      <c r="M323" s="70" t="s">
        <v>2278</v>
      </c>
      <c r="N323" s="70" t="s">
        <v>2278</v>
      </c>
      <c r="O323" s="70" t="s">
        <v>2278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6"/>
        <v>25</v>
      </c>
      <c r="J324" s="146" t="s">
        <v>1914</v>
      </c>
      <c r="K324" s="31">
        <f t="shared" si="17"/>
        <v>3</v>
      </c>
      <c r="L324" s="32">
        <f t="shared" si="18"/>
        <v>0.8928571428571429</v>
      </c>
      <c r="M324" s="70" t="s">
        <v>2278</v>
      </c>
      <c r="N324" s="70" t="s">
        <v>2278</v>
      </c>
      <c r="O324" s="70" t="s">
        <v>2278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6"/>
        <v>28</v>
      </c>
      <c r="J325" s="146" t="s">
        <v>1915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28</v>
      </c>
      <c r="J326" s="146" t="s">
        <v>1916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6"/>
        <v>28</v>
      </c>
      <c r="J327" s="146" t="s">
        <v>1917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6"/>
        <v>27</v>
      </c>
      <c r="J328" s="146" t="s">
        <v>1918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2278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6"/>
        <v>28</v>
      </c>
      <c r="J329" s="146" t="s">
        <v>1919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6"/>
        <v>28</v>
      </c>
      <c r="J330" s="146" t="s">
        <v>1920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6"/>
        <v>28</v>
      </c>
      <c r="J331" s="146" t="s">
        <v>1921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6"/>
        <v>28</v>
      </c>
      <c r="J332" s="146" t="s">
        <v>1922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6"/>
        <v>28</v>
      </c>
      <c r="J333" s="146" t="s">
        <v>1923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6"/>
        <v>21</v>
      </c>
      <c r="J334" s="146" t="s">
        <v>1924</v>
      </c>
      <c r="K334" s="31">
        <f t="shared" si="17"/>
        <v>7</v>
      </c>
      <c r="L334" s="32">
        <f t="shared" si="18"/>
        <v>0.75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2278</v>
      </c>
      <c r="Z334" s="70"/>
      <c r="AA334" s="70"/>
      <c r="AB334" s="70"/>
      <c r="AC334" s="70"/>
      <c r="AD334" s="70" t="s">
        <v>2278</v>
      </c>
      <c r="AE334" s="70" t="s">
        <v>2278</v>
      </c>
      <c r="AF334" s="70" t="s">
        <v>2278</v>
      </c>
      <c r="AG334" s="70"/>
      <c r="AH334" s="70"/>
      <c r="AI334" s="70" t="s">
        <v>2278</v>
      </c>
      <c r="AJ334" s="70" t="s">
        <v>2278</v>
      </c>
      <c r="AK334" s="70"/>
      <c r="AL334" s="70" t="s">
        <v>2278</v>
      </c>
      <c r="AM334" s="70"/>
      <c r="AN334" s="70"/>
    </row>
    <row r="335" spans="1:40" ht="15.75" hidden="1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6"/>
        <v>19</v>
      </c>
      <c r="J335" s="146" t="s">
        <v>1925</v>
      </c>
      <c r="K335" s="31">
        <f t="shared" si="17"/>
        <v>9</v>
      </c>
      <c r="L335" s="32">
        <f t="shared" si="18"/>
        <v>0.6785714285714286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2278</v>
      </c>
      <c r="W335" s="70" t="s">
        <v>2278</v>
      </c>
      <c r="X335" s="70" t="s">
        <v>2278</v>
      </c>
      <c r="Y335" s="70" t="s">
        <v>2278</v>
      </c>
      <c r="Z335" s="70"/>
      <c r="AA335" s="70"/>
      <c r="AB335" s="70"/>
      <c r="AC335" s="70"/>
      <c r="AD335" s="70" t="s">
        <v>2278</v>
      </c>
      <c r="AE335" s="70" t="s">
        <v>2278</v>
      </c>
      <c r="AF335" s="70" t="s">
        <v>2278</v>
      </c>
      <c r="AG335" s="70"/>
      <c r="AH335" s="70"/>
      <c r="AI335" s="70"/>
      <c r="AJ335" s="70" t="s">
        <v>2278</v>
      </c>
      <c r="AK335" s="70"/>
      <c r="AL335" s="70" t="s">
        <v>2278</v>
      </c>
      <c r="AM335" s="70"/>
      <c r="AN335" s="70"/>
    </row>
    <row r="336" spans="1:40" ht="15.75" hidden="1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6"/>
        <v>18</v>
      </c>
      <c r="J336" s="146" t="s">
        <v>1926</v>
      </c>
      <c r="K336" s="31">
        <f t="shared" si="17"/>
        <v>10</v>
      </c>
      <c r="L336" s="32">
        <f t="shared" si="18"/>
        <v>0.6428571428571429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2278</v>
      </c>
      <c r="W336" s="70" t="s">
        <v>2278</v>
      </c>
      <c r="X336" s="70" t="s">
        <v>2278</v>
      </c>
      <c r="Y336" s="70" t="s">
        <v>2278</v>
      </c>
      <c r="Z336" s="70"/>
      <c r="AA336" s="70"/>
      <c r="AB336" s="70"/>
      <c r="AC336" s="70"/>
      <c r="AD336" s="70" t="s">
        <v>2278</v>
      </c>
      <c r="AE336" s="70" t="s">
        <v>2278</v>
      </c>
      <c r="AF336" s="70" t="s">
        <v>2278</v>
      </c>
      <c r="AG336" s="70"/>
      <c r="AH336" s="70"/>
      <c r="AI336" s="70" t="s">
        <v>2278</v>
      </c>
      <c r="AJ336" s="70" t="s">
        <v>2278</v>
      </c>
      <c r="AK336" s="70"/>
      <c r="AL336" s="70" t="s">
        <v>2278</v>
      </c>
      <c r="AM336" s="70"/>
      <c r="AN336" s="70"/>
    </row>
    <row r="337" spans="1:40" ht="15.75" hidden="1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6"/>
        <v>18</v>
      </c>
      <c r="J337" s="146" t="s">
        <v>1927</v>
      </c>
      <c r="K337" s="31">
        <f t="shared" si="17"/>
        <v>10</v>
      </c>
      <c r="L337" s="32">
        <f t="shared" si="18"/>
        <v>0.6428571428571429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2278</v>
      </c>
      <c r="W337" s="70" t="s">
        <v>2278</v>
      </c>
      <c r="X337" s="70" t="s">
        <v>2278</v>
      </c>
      <c r="Y337" s="70" t="s">
        <v>2278</v>
      </c>
      <c r="Z337" s="70"/>
      <c r="AA337" s="70"/>
      <c r="AB337" s="70"/>
      <c r="AC337" s="70"/>
      <c r="AD337" s="70" t="s">
        <v>2278</v>
      </c>
      <c r="AE337" s="70" t="s">
        <v>2278</v>
      </c>
      <c r="AF337" s="70" t="s">
        <v>2278</v>
      </c>
      <c r="AG337" s="70"/>
      <c r="AH337" s="70"/>
      <c r="AI337" s="70" t="s">
        <v>2278</v>
      </c>
      <c r="AJ337" s="70" t="s">
        <v>2278</v>
      </c>
      <c r="AK337" s="70"/>
      <c r="AL337" s="70" t="s">
        <v>2278</v>
      </c>
      <c r="AM337" s="70"/>
      <c r="AN337" s="70"/>
    </row>
    <row r="338" spans="1:40" ht="15.75" hidden="1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6"/>
        <v>18</v>
      </c>
      <c r="J338" s="151" t="s">
        <v>2230</v>
      </c>
      <c r="K338" s="31">
        <f t="shared" si="17"/>
        <v>10</v>
      </c>
      <c r="L338" s="32">
        <f t="shared" si="18"/>
        <v>0.6428571428571429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2278</v>
      </c>
      <c r="W338" s="70" t="s">
        <v>2278</v>
      </c>
      <c r="X338" s="70" t="s">
        <v>2278</v>
      </c>
      <c r="Y338" s="70" t="s">
        <v>2278</v>
      </c>
      <c r="Z338" s="70"/>
      <c r="AA338" s="70"/>
      <c r="AB338" s="70"/>
      <c r="AC338" s="70"/>
      <c r="AD338" s="70" t="s">
        <v>2278</v>
      </c>
      <c r="AE338" s="70" t="s">
        <v>2278</v>
      </c>
      <c r="AF338" s="70" t="s">
        <v>2278</v>
      </c>
      <c r="AG338" s="70"/>
      <c r="AH338" s="70"/>
      <c r="AI338" s="70" t="s">
        <v>2278</v>
      </c>
      <c r="AJ338" s="70" t="s">
        <v>2278</v>
      </c>
      <c r="AK338" s="70"/>
      <c r="AL338" s="70" t="s">
        <v>2278</v>
      </c>
      <c r="AM338" s="70"/>
      <c r="AN338" s="70"/>
    </row>
    <row r="339" spans="1:40" ht="15.75" hidden="1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6"/>
        <v>18</v>
      </c>
      <c r="J339" s="146" t="s">
        <v>2234</v>
      </c>
      <c r="K339" s="31">
        <f t="shared" si="17"/>
        <v>10</v>
      </c>
      <c r="L339" s="32">
        <f t="shared" si="18"/>
        <v>0.6428571428571429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2278</v>
      </c>
      <c r="W339" s="70" t="s">
        <v>2278</v>
      </c>
      <c r="X339" s="70" t="s">
        <v>2278</v>
      </c>
      <c r="Y339" s="70" t="s">
        <v>2278</v>
      </c>
      <c r="Z339" s="70"/>
      <c r="AA339" s="70"/>
      <c r="AB339" s="70"/>
      <c r="AC339" s="70"/>
      <c r="AD339" s="70" t="s">
        <v>2278</v>
      </c>
      <c r="AE339" s="70" t="s">
        <v>2278</v>
      </c>
      <c r="AF339" s="70" t="s">
        <v>2278</v>
      </c>
      <c r="AG339" s="70"/>
      <c r="AH339" s="70"/>
      <c r="AI339" s="70" t="s">
        <v>2278</v>
      </c>
      <c r="AJ339" s="70" t="s">
        <v>2278</v>
      </c>
      <c r="AK339" s="70"/>
      <c r="AL339" s="70" t="s">
        <v>2278</v>
      </c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6"/>
        <v>28</v>
      </c>
      <c r="J340" s="146" t="s">
        <v>1928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6"/>
        <v>28</v>
      </c>
      <c r="J341" s="146" t="s">
        <v>1929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6"/>
        <v>28</v>
      </c>
      <c r="J342" s="146" t="s">
        <v>1930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6"/>
        <v>28</v>
      </c>
      <c r="J343" s="146" t="s">
        <v>1931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6"/>
        <v>28</v>
      </c>
      <c r="J344" s="146" t="s">
        <v>1932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6"/>
        <v>24</v>
      </c>
      <c r="J345" s="146" t="s">
        <v>1933</v>
      </c>
      <c r="K345" s="31">
        <f t="shared" si="17"/>
        <v>4</v>
      </c>
      <c r="L345" s="32">
        <f t="shared" si="18"/>
        <v>0.8571428571428571</v>
      </c>
      <c r="M345" s="70"/>
      <c r="N345" s="70"/>
      <c r="O345" s="70"/>
      <c r="P345" s="70"/>
      <c r="Q345" s="70"/>
      <c r="R345" s="70"/>
      <c r="S345" s="70"/>
      <c r="T345" s="70"/>
      <c r="U345" s="70" t="s">
        <v>2278</v>
      </c>
      <c r="V345" s="70" t="s">
        <v>2278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 t="s">
        <v>2278</v>
      </c>
      <c r="AL345" s="70" t="s">
        <v>2278</v>
      </c>
      <c r="AM345" s="70"/>
      <c r="AN345" s="70"/>
    </row>
    <row r="346" spans="1:40" ht="15.75" hidden="1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6"/>
        <v>28</v>
      </c>
      <c r="J346" s="146" t="s">
        <v>1934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6"/>
        <v>28</v>
      </c>
      <c r="J347" s="146" t="s">
        <v>1935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6"/>
        <v>24</v>
      </c>
      <c r="J348" s="146" t="s">
        <v>1936</v>
      </c>
      <c r="K348" s="31">
        <f t="shared" si="17"/>
        <v>4</v>
      </c>
      <c r="L348" s="32">
        <f t="shared" si="18"/>
        <v>0.8571428571428571</v>
      </c>
      <c r="M348" s="70"/>
      <c r="N348" s="70"/>
      <c r="O348" s="70"/>
      <c r="P348" s="70"/>
      <c r="Q348" s="70"/>
      <c r="R348" s="70"/>
      <c r="S348" s="70"/>
      <c r="T348" s="70"/>
      <c r="U348" s="70" t="s">
        <v>2278</v>
      </c>
      <c r="V348" s="70" t="s">
        <v>2278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 t="s">
        <v>2278</v>
      </c>
      <c r="AL348" s="70" t="s">
        <v>2278</v>
      </c>
      <c r="AM348" s="70"/>
      <c r="AN348" s="70"/>
    </row>
    <row r="349" spans="1:40" ht="15.75" hidden="1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6"/>
        <v>28</v>
      </c>
      <c r="J349" s="146" t="s">
        <v>1937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6"/>
        <v>28</v>
      </c>
      <c r="J350" s="146" t="s">
        <v>1938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6"/>
        <v>28</v>
      </c>
      <c r="J351" s="146" t="s">
        <v>1939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6"/>
        <v>28</v>
      </c>
      <c r="J352" s="146" t="s">
        <v>1940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6"/>
        <v>28</v>
      </c>
      <c r="J355" s="146" t="s">
        <v>1941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6"/>
        <v>28</v>
      </c>
      <c r="J358" s="146" t="s">
        <v>1942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6"/>
        <v>27</v>
      </c>
      <c r="J359" s="146" t="s">
        <v>1943</v>
      </c>
      <c r="K359" s="141">
        <f t="shared" si="17"/>
        <v>1</v>
      </c>
      <c r="L359" s="142">
        <f t="shared" si="18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 t="s">
        <v>2278</v>
      </c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6"/>
        <v>27</v>
      </c>
      <c r="J360" s="146" t="s">
        <v>1944</v>
      </c>
      <c r="K360" s="141">
        <f t="shared" si="17"/>
        <v>1</v>
      </c>
      <c r="L360" s="142">
        <f t="shared" si="18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 t="s">
        <v>2278</v>
      </c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6"/>
        <v>28</v>
      </c>
      <c r="J361" s="146" t="s">
        <v>1945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6"/>
        <v>28</v>
      </c>
      <c r="J362" s="146" t="s">
        <v>1946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6"/>
        <v>28</v>
      </c>
      <c r="J363" s="146" t="s">
        <v>1947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6"/>
        <v>28</v>
      </c>
      <c r="J364" s="146" t="s">
        <v>1948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6"/>
        <v>28</v>
      </c>
      <c r="J365" s="146" t="s">
        <v>1949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6"/>
        <v>28</v>
      </c>
      <c r="J366" s="146" t="s">
        <v>1950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6"/>
        <v>28</v>
      </c>
      <c r="J367" s="146" t="s">
        <v>1951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6"/>
        <v>28</v>
      </c>
      <c r="J368" s="146" t="s">
        <v>1952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6"/>
        <v>28</v>
      </c>
      <c r="J369" s="146" t="s">
        <v>1953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6"/>
        <v>26</v>
      </c>
      <c r="J370" s="146" t="s">
        <v>1954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2278</v>
      </c>
      <c r="V370" s="70" t="s">
        <v>2278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6"/>
        <v>28</v>
      </c>
      <c r="J371" s="146" t="s">
        <v>1955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6"/>
        <v>28</v>
      </c>
      <c r="J372" s="146" t="s">
        <v>2137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6"/>
        <v>28</v>
      </c>
      <c r="J373" s="146" t="s">
        <v>1956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6"/>
        <v>28</v>
      </c>
      <c r="J374" s="146" t="s">
        <v>1957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6"/>
        <v>28</v>
      </c>
      <c r="J376" s="151" t="s">
        <v>2170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6"/>
        <v>28</v>
      </c>
      <c r="J377" s="146" t="s">
        <v>1958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6"/>
        <v>27</v>
      </c>
      <c r="J379" s="146" t="s">
        <v>1959</v>
      </c>
      <c r="K379" s="31">
        <f t="shared" si="17"/>
        <v>1</v>
      </c>
      <c r="L379" s="32">
        <f t="shared" si="18"/>
        <v>0.9642857142857143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 t="s">
        <v>2278</v>
      </c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6"/>
        <v>27</v>
      </c>
      <c r="J380" s="146" t="s">
        <v>1960</v>
      </c>
      <c r="K380" s="31">
        <f t="shared" si="17"/>
        <v>1</v>
      </c>
      <c r="L380" s="32">
        <f t="shared" si="18"/>
        <v>0.9642857142857143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 t="s">
        <v>2278</v>
      </c>
      <c r="AL380" s="70"/>
      <c r="AM380" s="70"/>
      <c r="AN380" s="70"/>
    </row>
    <row r="381" spans="1:40" ht="15.75" hidden="1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6"/>
        <v>28</v>
      </c>
      <c r="J381" s="146" t="s">
        <v>1961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6"/>
        <v>28</v>
      </c>
      <c r="J382" s="146" t="s">
        <v>1962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6"/>
        <v>12</v>
      </c>
      <c r="J383" s="73"/>
      <c r="K383" s="31">
        <f t="shared" si="17"/>
        <v>16</v>
      </c>
      <c r="L383" s="32">
        <f t="shared" si="18"/>
        <v>0.42857142857142855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 t="s">
        <v>2278</v>
      </c>
      <c r="R383" s="70" t="s">
        <v>2278</v>
      </c>
      <c r="S383" s="70"/>
      <c r="T383" s="70"/>
      <c r="U383" s="70" t="s">
        <v>2278</v>
      </c>
      <c r="V383" s="70" t="s">
        <v>2278</v>
      </c>
      <c r="W383" s="70" t="s">
        <v>2278</v>
      </c>
      <c r="X383" s="70" t="s">
        <v>2278</v>
      </c>
      <c r="Y383" s="70" t="s">
        <v>2278</v>
      </c>
      <c r="Z383" s="70"/>
      <c r="AA383" s="70"/>
      <c r="AB383" s="70"/>
      <c r="AC383" s="70"/>
      <c r="AD383" s="70" t="s">
        <v>2278</v>
      </c>
      <c r="AE383" s="92" t="s">
        <v>2278</v>
      </c>
      <c r="AF383" s="92" t="s">
        <v>2278</v>
      </c>
      <c r="AG383" s="70"/>
      <c r="AH383" s="92"/>
      <c r="AI383" s="92" t="s">
        <v>2278</v>
      </c>
      <c r="AJ383" s="92" t="s">
        <v>2278</v>
      </c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6"/>
        <v>23</v>
      </c>
      <c r="J384" s="146" t="s">
        <v>1963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2278</v>
      </c>
      <c r="Q384" s="70" t="s">
        <v>2278</v>
      </c>
      <c r="R384" s="70" t="s">
        <v>2278</v>
      </c>
      <c r="S384" s="70"/>
      <c r="T384" s="70"/>
      <c r="U384" s="70" t="s">
        <v>2278</v>
      </c>
      <c r="V384" s="70" t="s">
        <v>2278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6"/>
        <v>28</v>
      </c>
      <c r="J385" s="146" t="s">
        <v>1964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6"/>
        <v>25</v>
      </c>
      <c r="J386" s="146" t="s">
        <v>1965</v>
      </c>
      <c r="K386" s="31">
        <f t="shared" si="17"/>
        <v>3</v>
      </c>
      <c r="L386" s="32">
        <f t="shared" si="18"/>
        <v>0.8928571428571429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2278</v>
      </c>
      <c r="AL386" s="70" t="s">
        <v>2278</v>
      </c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6"/>
        <v>25</v>
      </c>
      <c r="J387" s="146" t="s">
        <v>1966</v>
      </c>
      <c r="K387" s="31">
        <f t="shared" si="17"/>
        <v>3</v>
      </c>
      <c r="L387" s="32">
        <f t="shared" si="18"/>
        <v>0.8928571428571429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2278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 t="s">
        <v>2278</v>
      </c>
      <c r="AL387" s="70" t="s">
        <v>2278</v>
      </c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6"/>
        <v>25</v>
      </c>
      <c r="J388" s="146" t="s">
        <v>1967</v>
      </c>
      <c r="K388" s="31">
        <f t="shared" si="17"/>
        <v>3</v>
      </c>
      <c r="L388" s="32">
        <f t="shared" si="18"/>
        <v>0.8928571428571429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2278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 t="s">
        <v>2278</v>
      </c>
      <c r="AL388" s="70" t="s">
        <v>2278</v>
      </c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19">COUNTIF(M389:AN389,"")</f>
        <v>10</v>
      </c>
      <c r="J389" s="146" t="s">
        <v>1968</v>
      </c>
      <c r="K389" s="31">
        <f t="shared" ref="K389:K470" si="20">COUNTIF(M389:AN389,"APAGADO")</f>
        <v>18</v>
      </c>
      <c r="L389" s="32">
        <f t="shared" ref="L389:L470" si="21">(I389)/(K389+I389)</f>
        <v>0.35714285714285715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 t="s">
        <v>2278</v>
      </c>
      <c r="R389" s="70" t="s">
        <v>2278</v>
      </c>
      <c r="S389" s="70"/>
      <c r="T389" s="70"/>
      <c r="U389" s="70" t="s">
        <v>2278</v>
      </c>
      <c r="V389" s="70" t="s">
        <v>2278</v>
      </c>
      <c r="W389" s="70" t="s">
        <v>2278</v>
      </c>
      <c r="X389" s="70" t="s">
        <v>2278</v>
      </c>
      <c r="Y389" s="70" t="s">
        <v>2278</v>
      </c>
      <c r="Z389" s="70"/>
      <c r="AA389" s="70"/>
      <c r="AB389" s="70"/>
      <c r="AC389" s="70"/>
      <c r="AD389" s="70" t="s">
        <v>2278</v>
      </c>
      <c r="AE389" s="70" t="s">
        <v>2278</v>
      </c>
      <c r="AF389" s="70" t="s">
        <v>2278</v>
      </c>
      <c r="AG389" s="70"/>
      <c r="AH389" s="70"/>
      <c r="AI389" s="70" t="s">
        <v>2278</v>
      </c>
      <c r="AJ389" s="70" t="s">
        <v>2278</v>
      </c>
      <c r="AK389" s="70" t="s">
        <v>2278</v>
      </c>
      <c r="AL389" s="70" t="s">
        <v>2278</v>
      </c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19"/>
        <v>10</v>
      </c>
      <c r="J390" s="146" t="s">
        <v>1969</v>
      </c>
      <c r="K390" s="31">
        <f t="shared" si="20"/>
        <v>18</v>
      </c>
      <c r="L390" s="32">
        <f t="shared" si="21"/>
        <v>0.35714285714285715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 t="s">
        <v>2278</v>
      </c>
      <c r="R390" s="70" t="s">
        <v>2278</v>
      </c>
      <c r="S390" s="70"/>
      <c r="T390" s="70"/>
      <c r="U390" s="70" t="s">
        <v>2278</v>
      </c>
      <c r="V390" s="70" t="s">
        <v>2278</v>
      </c>
      <c r="W390" s="70" t="s">
        <v>2278</v>
      </c>
      <c r="X390" s="70" t="s">
        <v>2278</v>
      </c>
      <c r="Y390" s="70" t="s">
        <v>2278</v>
      </c>
      <c r="Z390" s="70"/>
      <c r="AA390" s="70"/>
      <c r="AB390" s="70"/>
      <c r="AC390" s="70"/>
      <c r="AD390" s="70" t="s">
        <v>2278</v>
      </c>
      <c r="AE390" s="70" t="s">
        <v>2278</v>
      </c>
      <c r="AF390" s="70" t="s">
        <v>2278</v>
      </c>
      <c r="AG390" s="70"/>
      <c r="AH390" s="70"/>
      <c r="AI390" s="70" t="s">
        <v>2278</v>
      </c>
      <c r="AJ390" s="70" t="s">
        <v>2278</v>
      </c>
      <c r="AK390" s="70" t="s">
        <v>2278</v>
      </c>
      <c r="AL390" s="70" t="s">
        <v>2278</v>
      </c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19"/>
        <v>25</v>
      </c>
      <c r="J391" s="146" t="s">
        <v>1970</v>
      </c>
      <c r="K391" s="31">
        <f t="shared" si="20"/>
        <v>3</v>
      </c>
      <c r="L391" s="32">
        <f t="shared" si="21"/>
        <v>0.8928571428571429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2278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 t="s">
        <v>2278</v>
      </c>
      <c r="AL391" s="70" t="s">
        <v>2278</v>
      </c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19"/>
        <v>25</v>
      </c>
      <c r="J392" s="146" t="s">
        <v>1971</v>
      </c>
      <c r="K392" s="31">
        <f t="shared" si="20"/>
        <v>3</v>
      </c>
      <c r="L392" s="32">
        <f t="shared" si="21"/>
        <v>0.8928571428571429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2278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 t="s">
        <v>2278</v>
      </c>
      <c r="AL392" s="70" t="s">
        <v>2278</v>
      </c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19"/>
        <v>25</v>
      </c>
      <c r="J393" s="146" t="s">
        <v>1972</v>
      </c>
      <c r="K393" s="31">
        <f t="shared" si="20"/>
        <v>3</v>
      </c>
      <c r="L393" s="32">
        <f t="shared" si="21"/>
        <v>0.8928571428571429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2278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 t="s">
        <v>2278</v>
      </c>
      <c r="AL393" s="70" t="s">
        <v>2278</v>
      </c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19"/>
        <v>25</v>
      </c>
      <c r="J394" s="146" t="s">
        <v>1973</v>
      </c>
      <c r="K394" s="31">
        <f t="shared" si="20"/>
        <v>3</v>
      </c>
      <c r="L394" s="32">
        <f t="shared" si="21"/>
        <v>0.8928571428571429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2278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 t="s">
        <v>2278</v>
      </c>
      <c r="AL394" s="70" t="s">
        <v>2278</v>
      </c>
      <c r="AM394" s="70"/>
      <c r="AN394" s="70"/>
    </row>
    <row r="395" spans="1:40" ht="15.75" hidden="1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19"/>
        <v>10</v>
      </c>
      <c r="J395" s="146" t="s">
        <v>1974</v>
      </c>
      <c r="K395" s="31">
        <f t="shared" si="20"/>
        <v>18</v>
      </c>
      <c r="L395" s="32">
        <f t="shared" si="21"/>
        <v>0.35714285714285715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 t="s">
        <v>2278</v>
      </c>
      <c r="R395" s="70" t="s">
        <v>2278</v>
      </c>
      <c r="S395" s="70"/>
      <c r="T395" s="70"/>
      <c r="U395" s="70" t="s">
        <v>2278</v>
      </c>
      <c r="V395" s="70" t="s">
        <v>2278</v>
      </c>
      <c r="W395" s="70" t="s">
        <v>2278</v>
      </c>
      <c r="X395" s="70" t="s">
        <v>2278</v>
      </c>
      <c r="Y395" s="70" t="s">
        <v>2278</v>
      </c>
      <c r="Z395" s="70"/>
      <c r="AA395" s="70"/>
      <c r="AB395" s="70"/>
      <c r="AC395" s="70"/>
      <c r="AD395" s="70" t="s">
        <v>2278</v>
      </c>
      <c r="AE395" s="70" t="s">
        <v>2278</v>
      </c>
      <c r="AF395" s="70" t="s">
        <v>2278</v>
      </c>
      <c r="AG395" s="70"/>
      <c r="AH395" s="70"/>
      <c r="AI395" s="70" t="s">
        <v>2278</v>
      </c>
      <c r="AJ395" s="70" t="s">
        <v>2278</v>
      </c>
      <c r="AK395" s="70" t="s">
        <v>2278</v>
      </c>
      <c r="AL395" s="70" t="s">
        <v>2278</v>
      </c>
      <c r="AM395" s="70"/>
      <c r="AN395" s="70"/>
    </row>
    <row r="396" spans="1:40" ht="15.75" hidden="1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19"/>
        <v>10</v>
      </c>
      <c r="J396" s="146" t="s">
        <v>1975</v>
      </c>
      <c r="K396" s="31">
        <f t="shared" si="20"/>
        <v>18</v>
      </c>
      <c r="L396" s="32">
        <f t="shared" si="21"/>
        <v>0.35714285714285715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 t="s">
        <v>2278</v>
      </c>
      <c r="R396" s="70" t="s">
        <v>2278</v>
      </c>
      <c r="S396" s="70"/>
      <c r="T396" s="70"/>
      <c r="U396" s="70" t="s">
        <v>2278</v>
      </c>
      <c r="V396" s="70" t="s">
        <v>2278</v>
      </c>
      <c r="W396" s="70" t="s">
        <v>2278</v>
      </c>
      <c r="X396" s="70" t="s">
        <v>2278</v>
      </c>
      <c r="Y396" s="70" t="s">
        <v>2278</v>
      </c>
      <c r="Z396" s="70"/>
      <c r="AA396" s="70"/>
      <c r="AB396" s="70"/>
      <c r="AC396" s="70"/>
      <c r="AD396" s="70" t="s">
        <v>2278</v>
      </c>
      <c r="AE396" s="70" t="s">
        <v>2278</v>
      </c>
      <c r="AF396" s="70" t="s">
        <v>2278</v>
      </c>
      <c r="AG396" s="70"/>
      <c r="AH396" s="70"/>
      <c r="AI396" s="70" t="s">
        <v>2278</v>
      </c>
      <c r="AJ396" s="70" t="s">
        <v>2278</v>
      </c>
      <c r="AK396" s="70" t="s">
        <v>2278</v>
      </c>
      <c r="AL396" s="70" t="s">
        <v>2278</v>
      </c>
      <c r="AM396" s="70"/>
      <c r="AN396" s="70"/>
    </row>
    <row r="397" spans="1:40" ht="15.75" hidden="1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19"/>
        <v>22</v>
      </c>
      <c r="J397" s="146" t="s">
        <v>1976</v>
      </c>
      <c r="K397" s="31">
        <f t="shared" si="20"/>
        <v>6</v>
      </c>
      <c r="L397" s="32">
        <f t="shared" si="21"/>
        <v>0.7857142857142857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2278</v>
      </c>
      <c r="Y397" s="70"/>
      <c r="Z397" s="70"/>
      <c r="AA397" s="70"/>
      <c r="AB397" s="70"/>
      <c r="AC397" s="70"/>
      <c r="AD397" s="70"/>
      <c r="AE397" s="70" t="s">
        <v>2278</v>
      </c>
      <c r="AF397" s="70" t="s">
        <v>2278</v>
      </c>
      <c r="AG397" s="70"/>
      <c r="AH397" s="70"/>
      <c r="AI397" s="70" t="s">
        <v>2278</v>
      </c>
      <c r="AJ397" s="70" t="s">
        <v>2278</v>
      </c>
      <c r="AK397" s="70" t="s">
        <v>2278</v>
      </c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19"/>
        <v>28</v>
      </c>
      <c r="J398" s="146" t="s">
        <v>1977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19"/>
        <v>28</v>
      </c>
      <c r="J399" s="146" t="s">
        <v>1978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19"/>
        <v>28</v>
      </c>
      <c r="J400" s="146" t="s">
        <v>1979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19"/>
        <v>25</v>
      </c>
      <c r="J401" s="87"/>
      <c r="K401" s="31">
        <f t="shared" si="20"/>
        <v>3</v>
      </c>
      <c r="L401" s="32">
        <f t="shared" si="21"/>
        <v>0.8928571428571429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2278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 t="s">
        <v>2278</v>
      </c>
      <c r="AL401" s="84" t="s">
        <v>2278</v>
      </c>
      <c r="AM401" s="84"/>
      <c r="AN401" s="84"/>
    </row>
    <row r="402" spans="1:40" ht="15.75" hidden="1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19"/>
        <v>22</v>
      </c>
      <c r="J402" s="87"/>
      <c r="K402" s="31">
        <f t="shared" si="20"/>
        <v>6</v>
      </c>
      <c r="L402" s="32">
        <f t="shared" si="21"/>
        <v>0.7857142857142857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2278</v>
      </c>
      <c r="Y402" s="84"/>
      <c r="Z402" s="84"/>
      <c r="AA402" s="84"/>
      <c r="AB402" s="84"/>
      <c r="AC402" s="84"/>
      <c r="AD402" s="84"/>
      <c r="AE402" s="84"/>
      <c r="AF402" s="84" t="s">
        <v>2278</v>
      </c>
      <c r="AG402" s="84"/>
      <c r="AH402" s="84"/>
      <c r="AI402" s="84" t="s">
        <v>2278</v>
      </c>
      <c r="AJ402" s="84" t="s">
        <v>2278</v>
      </c>
      <c r="AK402" s="84" t="s">
        <v>2278</v>
      </c>
      <c r="AL402" s="84" t="s">
        <v>2278</v>
      </c>
      <c r="AM402" s="84"/>
      <c r="AN402" s="84"/>
    </row>
    <row r="403" spans="1:40" ht="15.75" hidden="1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19"/>
        <v>16</v>
      </c>
      <c r="J403" s="87"/>
      <c r="K403" s="31">
        <f t="shared" si="20"/>
        <v>12</v>
      </c>
      <c r="L403" s="32">
        <f t="shared" si="21"/>
        <v>0.5714285714285714</v>
      </c>
      <c r="M403" s="70"/>
      <c r="N403" s="70"/>
      <c r="O403" s="70"/>
      <c r="P403" s="70"/>
      <c r="Q403" s="70"/>
      <c r="R403" s="70"/>
      <c r="S403" s="70"/>
      <c r="T403" s="70"/>
      <c r="U403" s="70" t="s">
        <v>2278</v>
      </c>
      <c r="V403" s="70" t="s">
        <v>2278</v>
      </c>
      <c r="W403" s="70" t="s">
        <v>2278</v>
      </c>
      <c r="X403" s="70" t="s">
        <v>2278</v>
      </c>
      <c r="Y403" s="70" t="s">
        <v>2278</v>
      </c>
      <c r="Z403" s="70"/>
      <c r="AA403" s="70"/>
      <c r="AB403" s="70"/>
      <c r="AC403" s="70"/>
      <c r="AD403" s="70" t="s">
        <v>2278</v>
      </c>
      <c r="AE403" s="70" t="s">
        <v>2278</v>
      </c>
      <c r="AF403" s="70" t="s">
        <v>2278</v>
      </c>
      <c r="AG403" s="70"/>
      <c r="AH403" s="70"/>
      <c r="AI403" s="70" t="s">
        <v>2278</v>
      </c>
      <c r="AJ403" s="70" t="s">
        <v>2278</v>
      </c>
      <c r="AK403" s="70" t="s">
        <v>2278</v>
      </c>
      <c r="AL403" s="70" t="s">
        <v>2278</v>
      </c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19"/>
        <v>28</v>
      </c>
      <c r="J404" s="146" t="s">
        <v>1980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19"/>
        <v>11</v>
      </c>
      <c r="J407" s="146" t="s">
        <v>1981</v>
      </c>
      <c r="K407" s="87">
        <f t="shared" si="20"/>
        <v>17</v>
      </c>
      <c r="L407" s="88">
        <f t="shared" si="21"/>
        <v>0.39285714285714285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 t="s">
        <v>2278</v>
      </c>
      <c r="R407" s="89" t="s">
        <v>2278</v>
      </c>
      <c r="S407" s="89"/>
      <c r="T407" s="89"/>
      <c r="U407" s="89"/>
      <c r="V407" s="89" t="s">
        <v>2278</v>
      </c>
      <c r="W407" s="89" t="s">
        <v>2278</v>
      </c>
      <c r="X407" s="89" t="s">
        <v>2278</v>
      </c>
      <c r="Y407" s="89" t="s">
        <v>2278</v>
      </c>
      <c r="Z407" s="89"/>
      <c r="AA407" s="89"/>
      <c r="AB407" s="89"/>
      <c r="AC407" s="89"/>
      <c r="AD407" s="89" t="s">
        <v>2278</v>
      </c>
      <c r="AE407" s="89" t="s">
        <v>2278</v>
      </c>
      <c r="AF407" s="89" t="s">
        <v>2278</v>
      </c>
      <c r="AG407" s="89"/>
      <c r="AH407" s="89"/>
      <c r="AI407" s="89" t="s">
        <v>2278</v>
      </c>
      <c r="AJ407" s="89" t="s">
        <v>2278</v>
      </c>
      <c r="AK407" s="89" t="s">
        <v>2278</v>
      </c>
      <c r="AL407" s="89" t="s">
        <v>2278</v>
      </c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19"/>
        <v>10</v>
      </c>
      <c r="J409" s="146" t="s">
        <v>1982</v>
      </c>
      <c r="K409" s="31">
        <f t="shared" si="20"/>
        <v>18</v>
      </c>
      <c r="L409" s="32">
        <f t="shared" si="21"/>
        <v>0.35714285714285715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 t="s">
        <v>2278</v>
      </c>
      <c r="R409" s="70" t="s">
        <v>2278</v>
      </c>
      <c r="S409" s="70"/>
      <c r="T409" s="70"/>
      <c r="U409" s="70" t="s">
        <v>2278</v>
      </c>
      <c r="V409" s="70" t="s">
        <v>2278</v>
      </c>
      <c r="W409" s="70" t="s">
        <v>2278</v>
      </c>
      <c r="X409" s="70" t="s">
        <v>2278</v>
      </c>
      <c r="Y409" s="70" t="s">
        <v>2278</v>
      </c>
      <c r="Z409" s="70"/>
      <c r="AA409" s="70"/>
      <c r="AB409" s="70"/>
      <c r="AC409" s="70"/>
      <c r="AD409" s="70" t="s">
        <v>2278</v>
      </c>
      <c r="AE409" s="70" t="s">
        <v>2278</v>
      </c>
      <c r="AF409" s="70" t="s">
        <v>2278</v>
      </c>
      <c r="AG409" s="70"/>
      <c r="AH409" s="70"/>
      <c r="AI409" s="70" t="s">
        <v>2278</v>
      </c>
      <c r="AJ409" s="70" t="s">
        <v>2278</v>
      </c>
      <c r="AK409" s="70" t="s">
        <v>2278</v>
      </c>
      <c r="AL409" s="70" t="s">
        <v>2278</v>
      </c>
      <c r="AM409" s="70"/>
      <c r="AN409" s="70"/>
    </row>
    <row r="410" spans="1:40" ht="15.75" hidden="1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19"/>
        <v>10</v>
      </c>
      <c r="J410" s="146" t="s">
        <v>1983</v>
      </c>
      <c r="K410" s="31">
        <f t="shared" si="20"/>
        <v>18</v>
      </c>
      <c r="L410" s="32">
        <f t="shared" si="21"/>
        <v>0.35714285714285715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 t="s">
        <v>2278</v>
      </c>
      <c r="R410" s="70" t="s">
        <v>2278</v>
      </c>
      <c r="S410" s="70"/>
      <c r="T410" s="70"/>
      <c r="U410" s="70" t="s">
        <v>2278</v>
      </c>
      <c r="V410" s="70" t="s">
        <v>2278</v>
      </c>
      <c r="W410" s="70" t="s">
        <v>2278</v>
      </c>
      <c r="X410" s="70" t="s">
        <v>2278</v>
      </c>
      <c r="Y410" s="70" t="s">
        <v>2278</v>
      </c>
      <c r="Z410" s="70"/>
      <c r="AA410" s="70"/>
      <c r="AB410" s="70"/>
      <c r="AC410" s="70"/>
      <c r="AD410" s="70" t="s">
        <v>2278</v>
      </c>
      <c r="AE410" s="70" t="s">
        <v>2278</v>
      </c>
      <c r="AF410" s="70" t="s">
        <v>2278</v>
      </c>
      <c r="AG410" s="70"/>
      <c r="AH410" s="70"/>
      <c r="AI410" s="70" t="s">
        <v>2278</v>
      </c>
      <c r="AJ410" s="70" t="s">
        <v>2278</v>
      </c>
      <c r="AK410" s="70" t="s">
        <v>2278</v>
      </c>
      <c r="AL410" s="70" t="s">
        <v>2278</v>
      </c>
      <c r="AM410" s="70"/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19"/>
        <v>16</v>
      </c>
      <c r="J411" s="146" t="s">
        <v>1984</v>
      </c>
      <c r="K411" s="141">
        <f t="shared" si="20"/>
        <v>12</v>
      </c>
      <c r="L411" s="142">
        <f t="shared" si="21"/>
        <v>0.5714285714285714</v>
      </c>
      <c r="M411" s="70"/>
      <c r="N411" s="70"/>
      <c r="O411" s="70"/>
      <c r="P411" s="70"/>
      <c r="Q411" s="70"/>
      <c r="R411" s="70"/>
      <c r="S411" s="70"/>
      <c r="T411" s="70"/>
      <c r="U411" s="70" t="s">
        <v>2278</v>
      </c>
      <c r="V411" s="70" t="s">
        <v>2278</v>
      </c>
      <c r="W411" s="70" t="s">
        <v>2278</v>
      </c>
      <c r="X411" s="70" t="s">
        <v>2278</v>
      </c>
      <c r="Y411" s="70" t="s">
        <v>2278</v>
      </c>
      <c r="Z411" s="70"/>
      <c r="AA411" s="70"/>
      <c r="AB411" s="70"/>
      <c r="AC411" s="70"/>
      <c r="AD411" s="70" t="s">
        <v>2278</v>
      </c>
      <c r="AE411" s="70" t="s">
        <v>2278</v>
      </c>
      <c r="AF411" s="70" t="s">
        <v>2278</v>
      </c>
      <c r="AG411" s="70"/>
      <c r="AH411" s="70"/>
      <c r="AI411" s="70" t="s">
        <v>2278</v>
      </c>
      <c r="AJ411" s="70" t="s">
        <v>2278</v>
      </c>
      <c r="AK411" s="70" t="s">
        <v>2278</v>
      </c>
      <c r="AL411" s="70" t="s">
        <v>2278</v>
      </c>
      <c r="AM411" s="70"/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19"/>
        <v>16</v>
      </c>
      <c r="J412" s="146" t="s">
        <v>1985</v>
      </c>
      <c r="K412" s="141">
        <f t="shared" si="20"/>
        <v>12</v>
      </c>
      <c r="L412" s="142">
        <f t="shared" si="21"/>
        <v>0.5714285714285714</v>
      </c>
      <c r="M412" s="70"/>
      <c r="N412" s="70"/>
      <c r="O412" s="70"/>
      <c r="P412" s="70"/>
      <c r="Q412" s="70"/>
      <c r="R412" s="70"/>
      <c r="S412" s="70"/>
      <c r="T412" s="70"/>
      <c r="U412" s="70" t="s">
        <v>2278</v>
      </c>
      <c r="V412" s="70" t="s">
        <v>2278</v>
      </c>
      <c r="W412" s="70" t="s">
        <v>2278</v>
      </c>
      <c r="X412" s="70" t="s">
        <v>2278</v>
      </c>
      <c r="Y412" s="70" t="s">
        <v>2278</v>
      </c>
      <c r="Z412" s="70"/>
      <c r="AA412" s="70"/>
      <c r="AB412" s="70"/>
      <c r="AC412" s="70"/>
      <c r="AD412" s="70" t="s">
        <v>2278</v>
      </c>
      <c r="AE412" s="70" t="s">
        <v>2278</v>
      </c>
      <c r="AF412" s="70" t="s">
        <v>2278</v>
      </c>
      <c r="AG412" s="70"/>
      <c r="AH412" s="70"/>
      <c r="AI412" s="70" t="s">
        <v>2278</v>
      </c>
      <c r="AJ412" s="70" t="s">
        <v>2278</v>
      </c>
      <c r="AK412" s="70" t="s">
        <v>2278</v>
      </c>
      <c r="AL412" s="70" t="s">
        <v>2278</v>
      </c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19"/>
        <v>28</v>
      </c>
      <c r="J415" s="87" t="s">
        <v>2142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19"/>
        <v>18</v>
      </c>
      <c r="J416" s="87" t="s">
        <v>2141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2278</v>
      </c>
      <c r="Q416" s="70" t="s">
        <v>2278</v>
      </c>
      <c r="R416" s="70" t="s">
        <v>2278</v>
      </c>
      <c r="S416" s="70"/>
      <c r="T416" s="70"/>
      <c r="U416" s="70" t="s">
        <v>2278</v>
      </c>
      <c r="V416" s="70"/>
      <c r="W416" s="70" t="s">
        <v>2278</v>
      </c>
      <c r="X416" s="70" t="s">
        <v>2278</v>
      </c>
      <c r="Y416" s="70" t="s">
        <v>2278</v>
      </c>
      <c r="Z416" s="70"/>
      <c r="AA416" s="70"/>
      <c r="AB416" s="70"/>
      <c r="AC416" s="70"/>
      <c r="AD416" s="70" t="s">
        <v>2278</v>
      </c>
      <c r="AE416" s="70"/>
      <c r="AF416" s="70" t="s">
        <v>2278</v>
      </c>
      <c r="AG416" s="70"/>
      <c r="AH416" s="70"/>
      <c r="AI416" s="70" t="s">
        <v>2278</v>
      </c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19"/>
        <v>28</v>
      </c>
      <c r="J417" s="87" t="s">
        <v>2192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19"/>
        <v>28</v>
      </c>
      <c r="J418" s="146" t="s">
        <v>1986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19"/>
        <v>28</v>
      </c>
      <c r="J419" s="146" t="s">
        <v>1987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19"/>
        <v>28</v>
      </c>
      <c r="J420" s="146" t="s">
        <v>2261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19"/>
        <v>28</v>
      </c>
      <c r="J421" s="146" t="s">
        <v>1988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19"/>
        <v>28</v>
      </c>
      <c r="J422" s="146" t="s">
        <v>1989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19"/>
        <v>10</v>
      </c>
      <c r="J423" s="87"/>
      <c r="K423" s="31">
        <f t="shared" si="20"/>
        <v>18</v>
      </c>
      <c r="L423" s="32">
        <f t="shared" si="21"/>
        <v>0.35714285714285715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 t="s">
        <v>2278</v>
      </c>
      <c r="R423" s="70" t="s">
        <v>2278</v>
      </c>
      <c r="S423" s="70"/>
      <c r="T423" s="70"/>
      <c r="U423" s="70" t="s">
        <v>2278</v>
      </c>
      <c r="V423" s="70" t="s">
        <v>2278</v>
      </c>
      <c r="W423" s="70" t="s">
        <v>2278</v>
      </c>
      <c r="X423" s="70" t="s">
        <v>2278</v>
      </c>
      <c r="Y423" s="70" t="s">
        <v>2278</v>
      </c>
      <c r="Z423" s="70"/>
      <c r="AA423" s="70"/>
      <c r="AB423" s="70"/>
      <c r="AC423" s="70"/>
      <c r="AD423" s="70" t="s">
        <v>2278</v>
      </c>
      <c r="AE423" s="92" t="s">
        <v>2278</v>
      </c>
      <c r="AF423" s="92" t="s">
        <v>2278</v>
      </c>
      <c r="AG423" s="70"/>
      <c r="AH423" s="92"/>
      <c r="AI423" s="92" t="s">
        <v>2278</v>
      </c>
      <c r="AJ423" s="92" t="s">
        <v>2278</v>
      </c>
      <c r="AK423" s="92" t="s">
        <v>2278</v>
      </c>
      <c r="AL423" s="92" t="s">
        <v>2278</v>
      </c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19"/>
        <v>28</v>
      </c>
      <c r="J424" s="146" t="s">
        <v>1990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19"/>
        <v>28</v>
      </c>
      <c r="J425" s="146" t="s">
        <v>1991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19"/>
        <v>28</v>
      </c>
      <c r="J427" s="73" t="s">
        <v>1992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19"/>
        <v>28</v>
      </c>
      <c r="J428" s="146" t="s">
        <v>1993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19"/>
        <v>28</v>
      </c>
      <c r="J429" s="146" t="s">
        <v>1994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19"/>
        <v>24</v>
      </c>
      <c r="J430" s="146" t="s">
        <v>1995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2278</v>
      </c>
      <c r="S430" s="70"/>
      <c r="T430" s="70"/>
      <c r="U430" s="70" t="s">
        <v>2278</v>
      </c>
      <c r="V430" s="70" t="s">
        <v>2278</v>
      </c>
      <c r="W430" s="70" t="s">
        <v>2278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19"/>
        <v>24</v>
      </c>
      <c r="J431" s="146" t="s">
        <v>1996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2278</v>
      </c>
      <c r="S431" s="70"/>
      <c r="T431" s="70"/>
      <c r="U431" s="70" t="s">
        <v>2278</v>
      </c>
      <c r="V431" s="70" t="s">
        <v>2278</v>
      </c>
      <c r="W431" s="70" t="s">
        <v>2278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19"/>
        <v>21</v>
      </c>
      <c r="J432" s="146"/>
      <c r="K432" s="31">
        <f t="shared" si="20"/>
        <v>7</v>
      </c>
      <c r="L432" s="32">
        <f t="shared" si="21"/>
        <v>0.75</v>
      </c>
      <c r="M432" s="70"/>
      <c r="N432" s="70"/>
      <c r="O432" s="70"/>
      <c r="P432" s="70"/>
      <c r="Q432" s="70"/>
      <c r="R432" s="70" t="s">
        <v>2278</v>
      </c>
      <c r="S432" s="70"/>
      <c r="T432" s="70"/>
      <c r="U432" s="70" t="s">
        <v>2278</v>
      </c>
      <c r="V432" s="70" t="s">
        <v>2278</v>
      </c>
      <c r="W432" s="70" t="s">
        <v>2278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 t="s">
        <v>2278</v>
      </c>
      <c r="AK432" s="70" t="s">
        <v>2278</v>
      </c>
      <c r="AL432" s="70" t="s">
        <v>2278</v>
      </c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19"/>
        <v>28</v>
      </c>
      <c r="J433" s="146" t="s">
        <v>1997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19"/>
        <v>28</v>
      </c>
      <c r="J434" s="146" t="s">
        <v>1998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19"/>
        <v>28</v>
      </c>
      <c r="J435" s="146" t="s">
        <v>1999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19"/>
        <v>28</v>
      </c>
      <c r="J436" s="146" t="s">
        <v>2000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19"/>
        <v>25</v>
      </c>
      <c r="J437" s="146" t="s">
        <v>2001</v>
      </c>
      <c r="K437" s="31">
        <f t="shared" si="20"/>
        <v>3</v>
      </c>
      <c r="L437" s="32">
        <f t="shared" si="21"/>
        <v>0.8928571428571429</v>
      </c>
      <c r="M437" s="70" t="s">
        <v>2278</v>
      </c>
      <c r="N437" s="70" t="s">
        <v>2278</v>
      </c>
      <c r="O437" s="70" t="s">
        <v>2278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19"/>
        <v>25</v>
      </c>
      <c r="J438" s="146" t="s">
        <v>2002</v>
      </c>
      <c r="K438" s="31">
        <f t="shared" si="20"/>
        <v>3</v>
      </c>
      <c r="L438" s="32">
        <f t="shared" si="21"/>
        <v>0.8928571428571429</v>
      </c>
      <c r="M438" s="70" t="s">
        <v>2278</v>
      </c>
      <c r="N438" s="70" t="s">
        <v>2278</v>
      </c>
      <c r="O438" s="70" t="s">
        <v>2278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19"/>
        <v>28</v>
      </c>
      <c r="J439" s="146" t="s">
        <v>2003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19"/>
        <v>28</v>
      </c>
      <c r="J440" s="146" t="s">
        <v>2004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19"/>
        <v>28</v>
      </c>
      <c r="J442" s="146" t="s">
        <v>2005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19"/>
        <v>28</v>
      </c>
      <c r="J443" s="146" t="s">
        <v>2006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19"/>
        <v>28</v>
      </c>
      <c r="J444" s="146" t="s">
        <v>2007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2278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19"/>
        <v>25</v>
      </c>
      <c r="J449" s="146" t="s">
        <v>2008</v>
      </c>
      <c r="K449" s="31">
        <f t="shared" si="20"/>
        <v>3</v>
      </c>
      <c r="L449" s="32">
        <f t="shared" si="21"/>
        <v>0.8928571428571429</v>
      </c>
      <c r="M449" s="70" t="s">
        <v>2278</v>
      </c>
      <c r="N449" s="70" t="s">
        <v>2278</v>
      </c>
      <c r="O449" s="70" t="s">
        <v>2278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19"/>
        <v>13</v>
      </c>
      <c r="J450" s="146" t="s">
        <v>2009</v>
      </c>
      <c r="K450" s="31">
        <f t="shared" si="20"/>
        <v>15</v>
      </c>
      <c r="L450" s="32">
        <f t="shared" si="21"/>
        <v>0.4642857142857143</v>
      </c>
      <c r="M450" s="70"/>
      <c r="N450" s="70" t="s">
        <v>2278</v>
      </c>
      <c r="O450" s="70" t="s">
        <v>2278</v>
      </c>
      <c r="P450" s="70" t="s">
        <v>2278</v>
      </c>
      <c r="Q450" s="70" t="s">
        <v>2278</v>
      </c>
      <c r="R450" s="70" t="s">
        <v>2278</v>
      </c>
      <c r="S450" s="70"/>
      <c r="T450" s="70"/>
      <c r="U450" s="70" t="s">
        <v>2278</v>
      </c>
      <c r="V450" s="70" t="s">
        <v>2278</v>
      </c>
      <c r="W450" s="70" t="s">
        <v>2278</v>
      </c>
      <c r="X450" s="70" t="s">
        <v>2278</v>
      </c>
      <c r="Y450" s="70" t="s">
        <v>2278</v>
      </c>
      <c r="Z450" s="70"/>
      <c r="AA450" s="70"/>
      <c r="AB450" s="70"/>
      <c r="AC450" s="70"/>
      <c r="AD450" s="70" t="s">
        <v>2278</v>
      </c>
      <c r="AE450" s="70" t="s">
        <v>2278</v>
      </c>
      <c r="AF450" s="70" t="s">
        <v>2278</v>
      </c>
      <c r="AG450" s="70"/>
      <c r="AH450" s="70"/>
      <c r="AI450" s="70" t="s">
        <v>2278</v>
      </c>
      <c r="AJ450" s="70" t="s">
        <v>2278</v>
      </c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19"/>
        <v>28</v>
      </c>
      <c r="J451" s="146" t="s">
        <v>2010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19"/>
        <v>28</v>
      </c>
      <c r="J452" s="146" t="s">
        <v>2011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19"/>
        <v>28</v>
      </c>
      <c r="J453" s="146" t="s">
        <v>2012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19"/>
        <v>21</v>
      </c>
      <c r="J454" s="146" t="s">
        <v>2013</v>
      </c>
      <c r="K454" s="31">
        <f t="shared" si="20"/>
        <v>7</v>
      </c>
      <c r="L454" s="32">
        <f t="shared" si="21"/>
        <v>0.75</v>
      </c>
      <c r="M454" s="70" t="s">
        <v>2278</v>
      </c>
      <c r="N454" s="70" t="s">
        <v>2278</v>
      </c>
      <c r="O454" s="70" t="s">
        <v>2278</v>
      </c>
      <c r="P454" s="70" t="s">
        <v>2278</v>
      </c>
      <c r="Q454" s="70"/>
      <c r="R454" s="70" t="s">
        <v>2278</v>
      </c>
      <c r="S454" s="70"/>
      <c r="T454" s="70"/>
      <c r="U454" s="70" t="s">
        <v>2278</v>
      </c>
      <c r="V454" s="70" t="s">
        <v>2278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19"/>
        <v>21</v>
      </c>
      <c r="J455" s="146" t="s">
        <v>2014</v>
      </c>
      <c r="K455" s="31">
        <f t="shared" si="20"/>
        <v>7</v>
      </c>
      <c r="L455" s="32">
        <f t="shared" si="21"/>
        <v>0.75</v>
      </c>
      <c r="M455" s="70" t="s">
        <v>2278</v>
      </c>
      <c r="N455" s="70" t="s">
        <v>2278</v>
      </c>
      <c r="O455" s="70" t="s">
        <v>2278</v>
      </c>
      <c r="P455" s="70" t="s">
        <v>2278</v>
      </c>
      <c r="Q455" s="70"/>
      <c r="R455" s="70" t="s">
        <v>2278</v>
      </c>
      <c r="S455" s="70"/>
      <c r="T455" s="70"/>
      <c r="U455" s="70" t="s">
        <v>2278</v>
      </c>
      <c r="V455" s="70" t="s">
        <v>2278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19"/>
        <v>28</v>
      </c>
      <c r="J456" s="146" t="s">
        <v>2015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19"/>
        <v>28</v>
      </c>
      <c r="J457" s="146" t="s">
        <v>2016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19"/>
        <v>11</v>
      </c>
      <c r="J464" s="146" t="s">
        <v>2017</v>
      </c>
      <c r="K464" s="141">
        <f t="shared" si="20"/>
        <v>17</v>
      </c>
      <c r="L464" s="142">
        <f t="shared" si="21"/>
        <v>0.39285714285714285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 t="s">
        <v>2278</v>
      </c>
      <c r="R464" s="70" t="s">
        <v>2278</v>
      </c>
      <c r="S464" s="70"/>
      <c r="T464" s="70"/>
      <c r="U464" s="70" t="s">
        <v>2278</v>
      </c>
      <c r="V464" s="70" t="s">
        <v>2278</v>
      </c>
      <c r="W464" s="70" t="s">
        <v>2278</v>
      </c>
      <c r="X464" s="70"/>
      <c r="Y464" s="70" t="s">
        <v>2278</v>
      </c>
      <c r="Z464" s="70"/>
      <c r="AA464" s="70"/>
      <c r="AB464" s="70"/>
      <c r="AC464" s="70"/>
      <c r="AD464" s="70" t="s">
        <v>2278</v>
      </c>
      <c r="AE464" s="70" t="s">
        <v>2278</v>
      </c>
      <c r="AF464" s="70" t="s">
        <v>2278</v>
      </c>
      <c r="AG464" s="70"/>
      <c r="AH464" s="70"/>
      <c r="AI464" s="70" t="s">
        <v>2278</v>
      </c>
      <c r="AJ464" s="70" t="s">
        <v>2278</v>
      </c>
      <c r="AK464" s="70" t="s">
        <v>2278</v>
      </c>
      <c r="AL464" s="70" t="s">
        <v>2278</v>
      </c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19"/>
        <v>10</v>
      </c>
      <c r="J465" s="146" t="s">
        <v>2018</v>
      </c>
      <c r="K465" s="141">
        <f t="shared" si="20"/>
        <v>18</v>
      </c>
      <c r="L465" s="142">
        <f t="shared" si="21"/>
        <v>0.35714285714285715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 t="s">
        <v>2278</v>
      </c>
      <c r="R465" s="70" t="s">
        <v>2278</v>
      </c>
      <c r="S465" s="70"/>
      <c r="T465" s="70"/>
      <c r="U465" s="70" t="s">
        <v>2278</v>
      </c>
      <c r="V465" s="70" t="s">
        <v>2278</v>
      </c>
      <c r="W465" s="70" t="s">
        <v>2278</v>
      </c>
      <c r="X465" s="70" t="s">
        <v>2278</v>
      </c>
      <c r="Y465" s="70" t="s">
        <v>2278</v>
      </c>
      <c r="Z465" s="70"/>
      <c r="AA465" s="70"/>
      <c r="AB465" s="70"/>
      <c r="AC465" s="70"/>
      <c r="AD465" s="70" t="s">
        <v>2278</v>
      </c>
      <c r="AE465" s="70" t="s">
        <v>2278</v>
      </c>
      <c r="AF465" s="70" t="s">
        <v>2278</v>
      </c>
      <c r="AG465" s="70"/>
      <c r="AH465" s="70"/>
      <c r="AI465" s="70" t="s">
        <v>2278</v>
      </c>
      <c r="AJ465" s="70" t="s">
        <v>2278</v>
      </c>
      <c r="AK465" s="70" t="s">
        <v>2278</v>
      </c>
      <c r="AL465" s="70" t="s">
        <v>2278</v>
      </c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19"/>
        <v>10</v>
      </c>
      <c r="J466" s="87"/>
      <c r="K466" s="141">
        <f t="shared" si="20"/>
        <v>18</v>
      </c>
      <c r="L466" s="142">
        <f t="shared" si="21"/>
        <v>0.35714285714285715</v>
      </c>
      <c r="M466" s="70" t="s">
        <v>2278</v>
      </c>
      <c r="N466" s="70" t="s">
        <v>2278</v>
      </c>
      <c r="O466" s="70" t="s">
        <v>2278</v>
      </c>
      <c r="P466" s="70" t="s">
        <v>2278</v>
      </c>
      <c r="Q466" s="70" t="s">
        <v>2278</v>
      </c>
      <c r="R466" s="70" t="s">
        <v>2278</v>
      </c>
      <c r="S466" s="70"/>
      <c r="T466" s="70"/>
      <c r="U466" s="70" t="s">
        <v>2278</v>
      </c>
      <c r="V466" s="70" t="s">
        <v>2278</v>
      </c>
      <c r="W466" s="70" t="s">
        <v>2278</v>
      </c>
      <c r="X466" s="70" t="s">
        <v>2278</v>
      </c>
      <c r="Y466" s="70" t="s">
        <v>2278</v>
      </c>
      <c r="Z466" s="70"/>
      <c r="AA466" s="70"/>
      <c r="AB466" s="70"/>
      <c r="AC466" s="70"/>
      <c r="AD466" s="70" t="s">
        <v>2278</v>
      </c>
      <c r="AE466" s="70" t="s">
        <v>2278</v>
      </c>
      <c r="AF466" s="70" t="s">
        <v>2278</v>
      </c>
      <c r="AG466" s="70"/>
      <c r="AH466" s="70"/>
      <c r="AI466" s="70" t="s">
        <v>2278</v>
      </c>
      <c r="AJ466" s="70" t="s">
        <v>2278</v>
      </c>
      <c r="AK466" s="70" t="s">
        <v>2278</v>
      </c>
      <c r="AL466" s="70" t="s">
        <v>2278</v>
      </c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19"/>
        <v>28</v>
      </c>
      <c r="J467" s="151" t="s">
        <v>2136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19"/>
        <v>11</v>
      </c>
      <c r="J468" s="151"/>
      <c r="K468" s="141">
        <f t="shared" si="20"/>
        <v>17</v>
      </c>
      <c r="L468" s="142">
        <f t="shared" si="21"/>
        <v>0.39285714285714285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 t="s">
        <v>2278</v>
      </c>
      <c r="R468" s="70" t="s">
        <v>2278</v>
      </c>
      <c r="S468" s="70"/>
      <c r="T468" s="70"/>
      <c r="U468" s="70" t="s">
        <v>2278</v>
      </c>
      <c r="V468" s="70" t="s">
        <v>2278</v>
      </c>
      <c r="W468" s="70" t="s">
        <v>2278</v>
      </c>
      <c r="X468" s="70" t="s">
        <v>2278</v>
      </c>
      <c r="Y468" s="70"/>
      <c r="Z468" s="70"/>
      <c r="AA468" s="70"/>
      <c r="AB468" s="70"/>
      <c r="AC468" s="70"/>
      <c r="AD468" s="70" t="s">
        <v>2278</v>
      </c>
      <c r="AE468" s="70" t="s">
        <v>2278</v>
      </c>
      <c r="AF468" s="70" t="s">
        <v>2278</v>
      </c>
      <c r="AG468" s="70"/>
      <c r="AH468" s="70"/>
      <c r="AI468" s="70" t="s">
        <v>2278</v>
      </c>
      <c r="AJ468" s="70" t="s">
        <v>2278</v>
      </c>
      <c r="AK468" s="70" t="s">
        <v>2278</v>
      </c>
      <c r="AL468" s="70" t="s">
        <v>2278</v>
      </c>
      <c r="AM468" s="70"/>
      <c r="AN468" s="70"/>
    </row>
    <row r="469" spans="1:40" ht="15.75" hidden="1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19"/>
        <v>23</v>
      </c>
      <c r="J469" s="146" t="s">
        <v>2019</v>
      </c>
      <c r="K469" s="31">
        <f t="shared" si="20"/>
        <v>5</v>
      </c>
      <c r="L469" s="32">
        <f t="shared" si="21"/>
        <v>0.8214285714285714</v>
      </c>
      <c r="M469" s="70"/>
      <c r="N469" s="70"/>
      <c r="O469" s="70"/>
      <c r="P469" s="70"/>
      <c r="Q469" s="70"/>
      <c r="R469" s="70"/>
      <c r="S469" s="70"/>
      <c r="T469" s="70"/>
      <c r="U469" s="70" t="s">
        <v>2278</v>
      </c>
      <c r="V469" s="70"/>
      <c r="W469" s="70" t="s">
        <v>2278</v>
      </c>
      <c r="X469" s="70" t="s">
        <v>2278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 t="s">
        <v>2278</v>
      </c>
      <c r="AK469" s="70" t="s">
        <v>2278</v>
      </c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19"/>
        <v>10</v>
      </c>
      <c r="J470" s="146" t="s">
        <v>2020</v>
      </c>
      <c r="K470" s="31">
        <f t="shared" si="20"/>
        <v>18</v>
      </c>
      <c r="L470" s="32">
        <f t="shared" si="21"/>
        <v>0.35714285714285715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 t="s">
        <v>2278</v>
      </c>
      <c r="R470" s="70" t="s">
        <v>2278</v>
      </c>
      <c r="S470" s="70"/>
      <c r="T470" s="70"/>
      <c r="U470" s="70" t="s">
        <v>2278</v>
      </c>
      <c r="V470" s="70" t="s">
        <v>2278</v>
      </c>
      <c r="W470" s="70" t="s">
        <v>2278</v>
      </c>
      <c r="X470" s="70" t="s">
        <v>2278</v>
      </c>
      <c r="Y470" s="70" t="s">
        <v>2278</v>
      </c>
      <c r="Z470" s="70"/>
      <c r="AA470" s="70"/>
      <c r="AB470" s="70"/>
      <c r="AC470" s="70"/>
      <c r="AD470" s="70" t="s">
        <v>2278</v>
      </c>
      <c r="AE470" s="70" t="s">
        <v>2278</v>
      </c>
      <c r="AF470" s="70" t="s">
        <v>2278</v>
      </c>
      <c r="AG470" s="70"/>
      <c r="AH470" s="70"/>
      <c r="AI470" s="70" t="s">
        <v>2278</v>
      </c>
      <c r="AJ470" s="70" t="s">
        <v>2278</v>
      </c>
      <c r="AK470" s="70" t="s">
        <v>2278</v>
      </c>
      <c r="AL470" s="70" t="s">
        <v>2278</v>
      </c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2">COUNTIF(M471:AN471,"")</f>
        <v>28</v>
      </c>
      <c r="J471" s="146" t="s">
        <v>2021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2"/>
        <v>28</v>
      </c>
      <c r="J472" s="146" t="s">
        <v>2022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2"/>
        <v>28</v>
      </c>
      <c r="J473" s="146" t="s">
        <v>2023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2"/>
        <v>28</v>
      </c>
      <c r="J474" s="146" t="s">
        <v>2024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2"/>
        <v>28</v>
      </c>
      <c r="J475" s="146" t="s">
        <v>2025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2"/>
        <v>28</v>
      </c>
      <c r="J476" s="146" t="s">
        <v>2026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2"/>
        <v>28</v>
      </c>
      <c r="J477" s="146" t="s">
        <v>2027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2"/>
        <v>28</v>
      </c>
      <c r="J478" s="146" t="s">
        <v>2028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2"/>
        <v>28</v>
      </c>
      <c r="J479" s="146" t="s">
        <v>2029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2"/>
        <v>28</v>
      </c>
      <c r="J480" s="146" t="s">
        <v>2030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2"/>
        <v>28</v>
      </c>
      <c r="J481" s="146" t="s">
        <v>2031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2"/>
        <v>28</v>
      </c>
      <c r="J482" s="146" t="s">
        <v>2032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2"/>
        <v>28</v>
      </c>
      <c r="J483" s="146" t="s">
        <v>2033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2"/>
        <v>28</v>
      </c>
      <c r="J484" s="87" t="s">
        <v>2156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2"/>
        <v>25</v>
      </c>
      <c r="J485" s="87" t="s">
        <v>2157</v>
      </c>
      <c r="K485" s="87">
        <f t="shared" si="23"/>
        <v>3</v>
      </c>
      <c r="L485" s="88">
        <f t="shared" si="24"/>
        <v>0.8928571428571429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 t="s">
        <v>2278</v>
      </c>
      <c r="AK485" s="89" t="s">
        <v>2278</v>
      </c>
      <c r="AL485" s="70" t="s">
        <v>2278</v>
      </c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2"/>
        <v>28</v>
      </c>
      <c r="J486" s="87" t="s">
        <v>2158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2"/>
        <v>28</v>
      </c>
      <c r="J487" s="87" t="s">
        <v>2159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2"/>
        <v>28</v>
      </c>
      <c r="J488" s="151" t="s">
        <v>2315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2"/>
        <v>28</v>
      </c>
      <c r="J489" s="146" t="s">
        <v>2034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2"/>
        <v>27</v>
      </c>
      <c r="J495" s="146" t="s">
        <v>2035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2278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2"/>
        <v>28</v>
      </c>
      <c r="J496" s="146" t="s">
        <v>2036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2"/>
        <v>28</v>
      </c>
      <c r="J497" s="146" t="s">
        <v>2037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2"/>
        <v>28</v>
      </c>
      <c r="J498" s="146" t="s">
        <v>2038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2"/>
        <v>28</v>
      </c>
      <c r="J499" s="146" t="s">
        <v>2039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2"/>
        <v>28</v>
      </c>
      <c r="J500" s="146" t="s">
        <v>2040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2"/>
        <v>28</v>
      </c>
      <c r="J501" s="146" t="s">
        <v>2041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2"/>
        <v>28</v>
      </c>
      <c r="J502" s="146" t="s">
        <v>2042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2"/>
        <v>28</v>
      </c>
      <c r="J503" s="146" t="s">
        <v>2043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2"/>
        <v>23</v>
      </c>
      <c r="J504" s="146" t="s">
        <v>2044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2278</v>
      </c>
      <c r="V504" s="70" t="s">
        <v>2278</v>
      </c>
      <c r="W504" s="70" t="s">
        <v>2278</v>
      </c>
      <c r="X504" s="70" t="s">
        <v>2278</v>
      </c>
      <c r="Y504" s="70" t="s">
        <v>2278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2"/>
        <v>23</v>
      </c>
      <c r="J505" s="146" t="s">
        <v>2045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2278</v>
      </c>
      <c r="V505" s="70" t="s">
        <v>2278</v>
      </c>
      <c r="W505" s="70" t="s">
        <v>2278</v>
      </c>
      <c r="X505" s="70" t="s">
        <v>2278</v>
      </c>
      <c r="Y505" s="70" t="s">
        <v>2278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2"/>
        <v>28</v>
      </c>
      <c r="J506" s="146" t="s">
        <v>2046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2"/>
        <v>28</v>
      </c>
      <c r="J507" s="146" t="s">
        <v>2047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2"/>
        <v>28</v>
      </c>
      <c r="J508" s="146" t="s">
        <v>2048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2"/>
        <v>28</v>
      </c>
      <c r="J509" s="146" t="s">
        <v>2049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2"/>
        <v>28</v>
      </c>
      <c r="J510" s="146" t="s">
        <v>2050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2"/>
        <v>28</v>
      </c>
      <c r="J511" s="146" t="s">
        <v>2051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2"/>
        <v>22</v>
      </c>
      <c r="J512" s="146" t="s">
        <v>2052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2278</v>
      </c>
      <c r="S512" s="70"/>
      <c r="T512" s="70"/>
      <c r="U512" s="70" t="s">
        <v>2278</v>
      </c>
      <c r="V512" s="70" t="s">
        <v>2278</v>
      </c>
      <c r="W512" s="70" t="s">
        <v>2278</v>
      </c>
      <c r="X512" s="70" t="s">
        <v>2278</v>
      </c>
      <c r="Y512" s="70" t="s">
        <v>2278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2"/>
        <v>28</v>
      </c>
      <c r="J513" s="146" t="s">
        <v>2053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2"/>
        <v>27</v>
      </c>
      <c r="J514" s="146" t="s">
        <v>2054</v>
      </c>
      <c r="K514" s="31">
        <f t="shared" si="23"/>
        <v>1</v>
      </c>
      <c r="L514" s="32">
        <f t="shared" si="24"/>
        <v>0.9642857142857143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 t="s">
        <v>2278</v>
      </c>
      <c r="AM514" s="70"/>
      <c r="AN514" s="70"/>
    </row>
    <row r="515" spans="1:40" ht="15.75" hidden="1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2"/>
        <v>21</v>
      </c>
      <c r="J515" s="146" t="s">
        <v>2055</v>
      </c>
      <c r="K515" s="31">
        <f t="shared" si="23"/>
        <v>7</v>
      </c>
      <c r="L515" s="32">
        <f t="shared" si="24"/>
        <v>0.75</v>
      </c>
      <c r="M515" s="70" t="s">
        <v>2278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2278</v>
      </c>
      <c r="Y515" s="70"/>
      <c r="Z515" s="70"/>
      <c r="AA515" s="70"/>
      <c r="AB515" s="70"/>
      <c r="AC515" s="70"/>
      <c r="AD515" s="70"/>
      <c r="AE515" s="70"/>
      <c r="AF515" s="70" t="s">
        <v>2278</v>
      </c>
      <c r="AG515" s="70"/>
      <c r="AH515" s="70"/>
      <c r="AI515" s="70" t="s">
        <v>2278</v>
      </c>
      <c r="AJ515" s="70" t="s">
        <v>2278</v>
      </c>
      <c r="AK515" s="70" t="s">
        <v>2278</v>
      </c>
      <c r="AL515" s="70" t="s">
        <v>2278</v>
      </c>
      <c r="AM515" s="70"/>
      <c r="AN515" s="70"/>
    </row>
    <row r="516" spans="1:40" ht="15.75" hidden="1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2"/>
        <v>28</v>
      </c>
      <c r="J516" s="146" t="s">
        <v>2056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2"/>
        <v>24</v>
      </c>
      <c r="J517" s="146" t="s">
        <v>2057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2278</v>
      </c>
      <c r="V517" s="70" t="s">
        <v>2278</v>
      </c>
      <c r="W517" s="70" t="s">
        <v>2278</v>
      </c>
      <c r="X517" s="70" t="s">
        <v>2278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2"/>
        <v>28</v>
      </c>
      <c r="J518" s="146" t="s">
        <v>2058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2"/>
        <v>10</v>
      </c>
      <c r="J519" s="146" t="s">
        <v>2059</v>
      </c>
      <c r="K519" s="31">
        <f t="shared" si="23"/>
        <v>18</v>
      </c>
      <c r="L519" s="32">
        <f t="shared" si="24"/>
        <v>0.35714285714285715</v>
      </c>
      <c r="M519" s="70" t="s">
        <v>2278</v>
      </c>
      <c r="N519" s="70" t="s">
        <v>2278</v>
      </c>
      <c r="O519" s="70" t="s">
        <v>2278</v>
      </c>
      <c r="P519" s="70" t="s">
        <v>2278</v>
      </c>
      <c r="Q519" s="70" t="s">
        <v>2278</v>
      </c>
      <c r="R519" s="70" t="s">
        <v>2278</v>
      </c>
      <c r="S519" s="70"/>
      <c r="T519" s="70"/>
      <c r="U519" s="70" t="s">
        <v>2278</v>
      </c>
      <c r="V519" s="70" t="s">
        <v>2278</v>
      </c>
      <c r="W519" s="70" t="s">
        <v>2278</v>
      </c>
      <c r="X519" s="70" t="s">
        <v>2278</v>
      </c>
      <c r="Y519" s="70" t="s">
        <v>2278</v>
      </c>
      <c r="Z519" s="70"/>
      <c r="AA519" s="70"/>
      <c r="AB519" s="70"/>
      <c r="AC519" s="70"/>
      <c r="AD519" s="70" t="s">
        <v>2278</v>
      </c>
      <c r="AE519" s="70" t="s">
        <v>2278</v>
      </c>
      <c r="AF519" s="70" t="s">
        <v>2278</v>
      </c>
      <c r="AG519" s="70"/>
      <c r="AH519" s="70"/>
      <c r="AI519" s="70" t="s">
        <v>2278</v>
      </c>
      <c r="AJ519" s="70" t="s">
        <v>2278</v>
      </c>
      <c r="AK519" s="70" t="s">
        <v>2278</v>
      </c>
      <c r="AL519" s="70" t="s">
        <v>2278</v>
      </c>
      <c r="AM519" s="70"/>
      <c r="AN519" s="70"/>
    </row>
    <row r="520" spans="1:40" ht="15.75" hidden="1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2"/>
        <v>23</v>
      </c>
      <c r="J520" s="146" t="s">
        <v>2060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2278</v>
      </c>
      <c r="V520" s="70" t="s">
        <v>2278</v>
      </c>
      <c r="W520" s="70" t="s">
        <v>2278</v>
      </c>
      <c r="X520" s="70" t="s">
        <v>2278</v>
      </c>
      <c r="Y520" s="70" t="s">
        <v>2278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2"/>
        <v>28</v>
      </c>
      <c r="J522" s="146" t="s">
        <v>2061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2"/>
        <v>23</v>
      </c>
      <c r="J523" s="146" t="s">
        <v>2062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2278</v>
      </c>
      <c r="V523" s="70" t="s">
        <v>2278</v>
      </c>
      <c r="W523" s="70" t="s">
        <v>2278</v>
      </c>
      <c r="X523" s="70" t="s">
        <v>2278</v>
      </c>
      <c r="Y523" s="70" t="s">
        <v>2278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2"/>
        <v>23</v>
      </c>
      <c r="J524" s="146" t="s">
        <v>2063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2278</v>
      </c>
      <c r="V524" s="70" t="s">
        <v>2278</v>
      </c>
      <c r="W524" s="70" t="s">
        <v>2278</v>
      </c>
      <c r="X524" s="70" t="s">
        <v>2278</v>
      </c>
      <c r="Y524" s="70" t="s">
        <v>2278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2"/>
        <v>28</v>
      </c>
      <c r="J526" s="146" t="s">
        <v>2065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2"/>
        <v>28</v>
      </c>
      <c r="J527" s="146" t="s">
        <v>2066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2"/>
        <v>28</v>
      </c>
      <c r="J528" s="146" t="s">
        <v>2067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2"/>
        <v>14</v>
      </c>
      <c r="J529" s="146" t="s">
        <v>2068</v>
      </c>
      <c r="K529" s="141">
        <f t="shared" si="23"/>
        <v>14</v>
      </c>
      <c r="L529" s="142">
        <f t="shared" si="24"/>
        <v>0.5</v>
      </c>
      <c r="M529" s="70" t="s">
        <v>2278</v>
      </c>
      <c r="N529" s="70" t="s">
        <v>2278</v>
      </c>
      <c r="O529" s="70" t="s">
        <v>2278</v>
      </c>
      <c r="P529" s="70" t="s">
        <v>2278</v>
      </c>
      <c r="Q529" s="70" t="s">
        <v>2278</v>
      </c>
      <c r="R529" s="70" t="s">
        <v>2278</v>
      </c>
      <c r="S529" s="70"/>
      <c r="T529" s="70"/>
      <c r="U529" s="70" t="s">
        <v>2278</v>
      </c>
      <c r="V529" s="70" t="s">
        <v>2278</v>
      </c>
      <c r="W529" s="70" t="s">
        <v>2278</v>
      </c>
      <c r="X529" s="70" t="s">
        <v>2278</v>
      </c>
      <c r="Y529" s="70" t="s">
        <v>2278</v>
      </c>
      <c r="Z529" s="70"/>
      <c r="AA529" s="70"/>
      <c r="AB529" s="70"/>
      <c r="AC529" s="70"/>
      <c r="AD529" s="70"/>
      <c r="AE529" s="70" t="s">
        <v>2278</v>
      </c>
      <c r="AF529" s="70" t="s">
        <v>2278</v>
      </c>
      <c r="AG529" s="70"/>
      <c r="AH529" s="70"/>
      <c r="AI529" s="70" t="s">
        <v>2278</v>
      </c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2"/>
        <v>28</v>
      </c>
      <c r="J530" s="146" t="s">
        <v>2069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2"/>
        <v>28</v>
      </c>
      <c r="J531" s="146" t="s">
        <v>2070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2"/>
        <v>28</v>
      </c>
      <c r="J532" s="146" t="s">
        <v>2071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2"/>
        <v>28</v>
      </c>
      <c r="J533" s="146" t="s">
        <v>2219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2"/>
        <v>28</v>
      </c>
      <c r="J534" s="146" t="s">
        <v>2223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2"/>
        <v>27</v>
      </c>
      <c r="J535" s="146" t="s">
        <v>2072</v>
      </c>
      <c r="K535" s="31">
        <f t="shared" si="23"/>
        <v>1</v>
      </c>
      <c r="L535" s="32">
        <f t="shared" si="24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 t="s">
        <v>2278</v>
      </c>
      <c r="AL535" s="70"/>
      <c r="AM535" s="70"/>
      <c r="AN535" s="70"/>
    </row>
    <row r="536" spans="1:40" ht="15.75" hidden="1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2"/>
        <v>27</v>
      </c>
      <c r="J536" s="146" t="s">
        <v>2073</v>
      </c>
      <c r="K536" s="31">
        <f t="shared" si="23"/>
        <v>1</v>
      </c>
      <c r="L536" s="32">
        <f t="shared" si="24"/>
        <v>0.9642857142857143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 t="s">
        <v>2278</v>
      </c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2"/>
        <v>28</v>
      </c>
      <c r="J537" s="146" t="s">
        <v>2074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2"/>
        <v>28</v>
      </c>
      <c r="J538" s="146" t="s">
        <v>2075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2"/>
        <v>26</v>
      </c>
      <c r="J539" s="146" t="s">
        <v>2076</v>
      </c>
      <c r="K539" s="31">
        <f t="shared" si="23"/>
        <v>2</v>
      </c>
      <c r="L539" s="32">
        <f t="shared" si="24"/>
        <v>0.9285714285714286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 t="s">
        <v>2278</v>
      </c>
      <c r="AL539" s="70" t="s">
        <v>2278</v>
      </c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2"/>
        <v>26</v>
      </c>
      <c r="J540" s="146" t="s">
        <v>2077</v>
      </c>
      <c r="K540" s="31">
        <f t="shared" si="23"/>
        <v>2</v>
      </c>
      <c r="L540" s="32">
        <f t="shared" si="24"/>
        <v>0.9285714285714286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 t="s">
        <v>2278</v>
      </c>
      <c r="AL540" s="70" t="s">
        <v>2278</v>
      </c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2"/>
        <v>26</v>
      </c>
      <c r="J541" s="73"/>
      <c r="K541" s="31">
        <f t="shared" si="23"/>
        <v>2</v>
      </c>
      <c r="L541" s="32">
        <f t="shared" si="24"/>
        <v>0.9285714285714286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 t="s">
        <v>2278</v>
      </c>
      <c r="AL541" s="70" t="s">
        <v>2278</v>
      </c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2"/>
        <v>27</v>
      </c>
      <c r="J542" s="146" t="s">
        <v>2078</v>
      </c>
      <c r="K542" s="31">
        <f t="shared" si="23"/>
        <v>1</v>
      </c>
      <c r="L542" s="32">
        <f t="shared" si="24"/>
        <v>0.9642857142857143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 t="s">
        <v>2278</v>
      </c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2"/>
        <v>28</v>
      </c>
      <c r="J543" s="146" t="s">
        <v>2079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2"/>
        <v>28</v>
      </c>
      <c r="J544" s="146" t="s">
        <v>2080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5">COUNTIF(M545:AN545,"")</f>
        <v>15</v>
      </c>
      <c r="J545" s="146" t="s">
        <v>2081</v>
      </c>
      <c r="K545" s="141">
        <f t="shared" ref="K545:K591" si="26">COUNTIF(M545:AN545,"APAGADO")</f>
        <v>13</v>
      </c>
      <c r="L545" s="142">
        <f t="shared" ref="L545:L591" si="27">(I545)/(K545+I545)</f>
        <v>0.5357142857142857</v>
      </c>
      <c r="M545" s="70"/>
      <c r="N545" s="70"/>
      <c r="O545" s="70"/>
      <c r="P545" s="70"/>
      <c r="Q545" s="70"/>
      <c r="R545" s="70" t="s">
        <v>2278</v>
      </c>
      <c r="S545" s="70"/>
      <c r="T545" s="70"/>
      <c r="U545" s="70" t="s">
        <v>2278</v>
      </c>
      <c r="V545" s="70" t="s">
        <v>2278</v>
      </c>
      <c r="W545" s="70" t="s">
        <v>2278</v>
      </c>
      <c r="X545" s="70" t="s">
        <v>2278</v>
      </c>
      <c r="Y545" s="70" t="s">
        <v>2278</v>
      </c>
      <c r="Z545" s="70"/>
      <c r="AA545" s="70"/>
      <c r="AB545" s="70"/>
      <c r="AC545" s="70"/>
      <c r="AD545" s="70" t="s">
        <v>2278</v>
      </c>
      <c r="AE545" s="70" t="s">
        <v>2278</v>
      </c>
      <c r="AF545" s="70" t="s">
        <v>2278</v>
      </c>
      <c r="AG545" s="70"/>
      <c r="AH545" s="70"/>
      <c r="AI545" s="70" t="s">
        <v>2278</v>
      </c>
      <c r="AJ545" s="70" t="s">
        <v>2278</v>
      </c>
      <c r="AK545" s="70" t="s">
        <v>2278</v>
      </c>
      <c r="AL545" s="70" t="s">
        <v>2278</v>
      </c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5"/>
        <v>28</v>
      </c>
      <c r="J546" s="146" t="s">
        <v>2082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5"/>
        <v>28</v>
      </c>
      <c r="J547" s="146" t="s">
        <v>2083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5"/>
        <v>28</v>
      </c>
      <c r="J548" s="146" t="s">
        <v>2084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5"/>
        <v>28</v>
      </c>
      <c r="J549" s="146" t="s">
        <v>2190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5"/>
        <v>28</v>
      </c>
      <c r="J550" s="146" t="s">
        <v>2127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5"/>
        <v>27</v>
      </c>
      <c r="J551" s="146" t="s">
        <v>2085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2278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5"/>
        <v>28</v>
      </c>
      <c r="J552" s="146" t="s">
        <v>2086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5"/>
        <v>28</v>
      </c>
      <c r="J553" s="146" t="s">
        <v>2087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5"/>
        <v>28</v>
      </c>
      <c r="J554" s="146" t="s">
        <v>2088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5"/>
        <v>28</v>
      </c>
      <c r="J555" s="87" t="s">
        <v>2178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5"/>
        <v>22</v>
      </c>
      <c r="J556" s="87"/>
      <c r="K556" s="141">
        <f t="shared" si="26"/>
        <v>6</v>
      </c>
      <c r="L556" s="142">
        <f t="shared" si="27"/>
        <v>0.7857142857142857</v>
      </c>
      <c r="M556" s="70" t="s">
        <v>2278</v>
      </c>
      <c r="N556" s="70" t="s">
        <v>2278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2278</v>
      </c>
      <c r="AE556" s="70"/>
      <c r="AF556" s="70" t="s">
        <v>2278</v>
      </c>
      <c r="AG556" s="70"/>
      <c r="AH556" s="70"/>
      <c r="AI556" s="70"/>
      <c r="AJ556" s="70"/>
      <c r="AK556" s="70" t="s">
        <v>2278</v>
      </c>
      <c r="AL556" s="70" t="s">
        <v>2278</v>
      </c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5"/>
        <v>12</v>
      </c>
      <c r="J557" s="87" t="s">
        <v>2179</v>
      </c>
      <c r="K557" s="141">
        <f t="shared" si="26"/>
        <v>16</v>
      </c>
      <c r="L557" s="142">
        <f t="shared" si="27"/>
        <v>0.42857142857142855</v>
      </c>
      <c r="M557" s="70" t="s">
        <v>2278</v>
      </c>
      <c r="N557" s="70" t="s">
        <v>2278</v>
      </c>
      <c r="O557" s="70"/>
      <c r="P557" s="70" t="s">
        <v>2278</v>
      </c>
      <c r="Q557" s="70" t="s">
        <v>2278</v>
      </c>
      <c r="R557" s="70" t="s">
        <v>2278</v>
      </c>
      <c r="S557" s="70"/>
      <c r="T557" s="70"/>
      <c r="U557" s="70" t="s">
        <v>2278</v>
      </c>
      <c r="V557" s="70" t="s">
        <v>2278</v>
      </c>
      <c r="W557" s="70" t="s">
        <v>2278</v>
      </c>
      <c r="X557" s="70" t="s">
        <v>2278</v>
      </c>
      <c r="Y557" s="70" t="s">
        <v>2278</v>
      </c>
      <c r="Z557" s="70"/>
      <c r="AA557" s="70"/>
      <c r="AB557" s="70"/>
      <c r="AC557" s="70"/>
      <c r="AD557" s="70" t="s">
        <v>2278</v>
      </c>
      <c r="AE557" s="70" t="s">
        <v>2278</v>
      </c>
      <c r="AF557" s="70" t="s">
        <v>2278</v>
      </c>
      <c r="AG557" s="70"/>
      <c r="AH557" s="70"/>
      <c r="AI557" s="70" t="s">
        <v>2278</v>
      </c>
      <c r="AJ557" s="70" t="s">
        <v>2278</v>
      </c>
      <c r="AK557" s="70" t="s">
        <v>2278</v>
      </c>
      <c r="AL557" s="70"/>
      <c r="AM557" s="70"/>
      <c r="AN557" s="70"/>
    </row>
    <row r="558" spans="1:40" ht="15.75" hidden="1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5"/>
        <v>10</v>
      </c>
      <c r="J558" s="87" t="s">
        <v>2175</v>
      </c>
      <c r="K558" s="31">
        <f t="shared" si="26"/>
        <v>18</v>
      </c>
      <c r="L558" s="32">
        <f t="shared" si="27"/>
        <v>0.35714285714285715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 t="s">
        <v>2278</v>
      </c>
      <c r="R558" s="70" t="s">
        <v>2278</v>
      </c>
      <c r="S558" s="70"/>
      <c r="T558" s="70"/>
      <c r="U558" s="70" t="s">
        <v>2278</v>
      </c>
      <c r="V558" s="70" t="s">
        <v>2278</v>
      </c>
      <c r="W558" s="70" t="s">
        <v>2278</v>
      </c>
      <c r="X558" s="70" t="s">
        <v>2278</v>
      </c>
      <c r="Y558" s="70" t="s">
        <v>2278</v>
      </c>
      <c r="Z558" s="70"/>
      <c r="AA558" s="70"/>
      <c r="AB558" s="70"/>
      <c r="AC558" s="70"/>
      <c r="AD558" s="70" t="s">
        <v>2278</v>
      </c>
      <c r="AE558" s="70" t="s">
        <v>2278</v>
      </c>
      <c r="AF558" s="70" t="s">
        <v>2278</v>
      </c>
      <c r="AG558" s="70"/>
      <c r="AH558" s="70"/>
      <c r="AI558" s="70" t="s">
        <v>2278</v>
      </c>
      <c r="AJ558" s="70" t="s">
        <v>2278</v>
      </c>
      <c r="AK558" s="70" t="s">
        <v>2278</v>
      </c>
      <c r="AL558" s="70" t="s">
        <v>2278</v>
      </c>
      <c r="AM558" s="70"/>
      <c r="AN558" s="70"/>
    </row>
    <row r="559" spans="1:40" ht="15.75" hidden="1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5"/>
        <v>28</v>
      </c>
      <c r="J559" s="146" t="s">
        <v>2089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5"/>
        <v>10</v>
      </c>
      <c r="J560" s="87" t="s">
        <v>2176</v>
      </c>
      <c r="K560" s="31">
        <f t="shared" si="26"/>
        <v>18</v>
      </c>
      <c r="L560" s="32">
        <f t="shared" si="27"/>
        <v>0.35714285714285715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 t="s">
        <v>2278</v>
      </c>
      <c r="R560" s="70" t="s">
        <v>2278</v>
      </c>
      <c r="S560" s="70"/>
      <c r="T560" s="70"/>
      <c r="U560" s="70" t="s">
        <v>2278</v>
      </c>
      <c r="V560" s="70" t="s">
        <v>2278</v>
      </c>
      <c r="W560" s="70" t="s">
        <v>2278</v>
      </c>
      <c r="X560" s="70" t="s">
        <v>2278</v>
      </c>
      <c r="Y560" s="70" t="s">
        <v>2278</v>
      </c>
      <c r="Z560" s="70"/>
      <c r="AA560" s="70"/>
      <c r="AB560" s="70"/>
      <c r="AC560" s="70"/>
      <c r="AD560" s="70" t="s">
        <v>2278</v>
      </c>
      <c r="AE560" s="70" t="s">
        <v>2278</v>
      </c>
      <c r="AF560" s="70" t="s">
        <v>2278</v>
      </c>
      <c r="AG560" s="70"/>
      <c r="AH560" s="70"/>
      <c r="AI560" s="70" t="s">
        <v>2278</v>
      </c>
      <c r="AJ560" s="70" t="s">
        <v>2278</v>
      </c>
      <c r="AK560" s="70" t="s">
        <v>2278</v>
      </c>
      <c r="AL560" s="70" t="s">
        <v>2278</v>
      </c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5"/>
        <v>28</v>
      </c>
      <c r="J561" s="146" t="s">
        <v>2090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5"/>
        <v>28</v>
      </c>
      <c r="J562" s="146" t="s">
        <v>2091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5"/>
        <v>28</v>
      </c>
      <c r="J563" s="150" t="s">
        <v>2132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5"/>
        <v>28</v>
      </c>
      <c r="J564" s="87" t="s">
        <v>2177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5"/>
        <v>28</v>
      </c>
      <c r="J565" s="146" t="s">
        <v>2092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5"/>
        <v>28</v>
      </c>
      <c r="J566" s="146" t="s">
        <v>2093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5"/>
        <v>28</v>
      </c>
      <c r="J567" s="146" t="s">
        <v>2094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5"/>
        <v>10</v>
      </c>
      <c r="J568" s="146" t="s">
        <v>2095</v>
      </c>
      <c r="K568" s="31">
        <f t="shared" si="26"/>
        <v>18</v>
      </c>
      <c r="L568" s="32">
        <f t="shared" si="27"/>
        <v>0.35714285714285715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 t="s">
        <v>2278</v>
      </c>
      <c r="R568" s="70" t="s">
        <v>2278</v>
      </c>
      <c r="S568" s="70"/>
      <c r="T568" s="70"/>
      <c r="U568" s="70" t="s">
        <v>2278</v>
      </c>
      <c r="V568" s="70" t="s">
        <v>2278</v>
      </c>
      <c r="W568" s="70" t="s">
        <v>2278</v>
      </c>
      <c r="X568" s="70" t="s">
        <v>2278</v>
      </c>
      <c r="Y568" s="70" t="s">
        <v>2278</v>
      </c>
      <c r="Z568" s="70"/>
      <c r="AA568" s="70"/>
      <c r="AB568" s="70"/>
      <c r="AC568" s="70"/>
      <c r="AD568" s="70" t="s">
        <v>2278</v>
      </c>
      <c r="AE568" s="70" t="s">
        <v>2278</v>
      </c>
      <c r="AF568" s="70" t="s">
        <v>2278</v>
      </c>
      <c r="AG568" s="70"/>
      <c r="AH568" s="70"/>
      <c r="AI568" s="70" t="s">
        <v>2278</v>
      </c>
      <c r="AJ568" s="70" t="s">
        <v>2278</v>
      </c>
      <c r="AK568" s="70" t="s">
        <v>2278</v>
      </c>
      <c r="AL568" s="70" t="s">
        <v>2278</v>
      </c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5"/>
        <v>10</v>
      </c>
      <c r="J569" s="146" t="s">
        <v>2096</v>
      </c>
      <c r="K569" s="31">
        <f t="shared" si="26"/>
        <v>18</v>
      </c>
      <c r="L569" s="32">
        <f t="shared" si="27"/>
        <v>0.35714285714285715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 t="s">
        <v>2278</v>
      </c>
      <c r="R569" s="70" t="s">
        <v>2278</v>
      </c>
      <c r="S569" s="70"/>
      <c r="T569" s="70"/>
      <c r="U569" s="70" t="s">
        <v>2278</v>
      </c>
      <c r="V569" s="70" t="s">
        <v>2278</v>
      </c>
      <c r="W569" s="70" t="s">
        <v>2278</v>
      </c>
      <c r="X569" s="70" t="s">
        <v>2278</v>
      </c>
      <c r="Y569" s="70" t="s">
        <v>2278</v>
      </c>
      <c r="Z569" s="70"/>
      <c r="AA569" s="70"/>
      <c r="AB569" s="70"/>
      <c r="AC569" s="70"/>
      <c r="AD569" s="70" t="s">
        <v>2278</v>
      </c>
      <c r="AE569" s="70" t="s">
        <v>2278</v>
      </c>
      <c r="AF569" s="70" t="s">
        <v>2278</v>
      </c>
      <c r="AG569" s="70"/>
      <c r="AH569" s="70"/>
      <c r="AI569" s="70" t="s">
        <v>2278</v>
      </c>
      <c r="AJ569" s="70" t="s">
        <v>2278</v>
      </c>
      <c r="AK569" s="70" t="s">
        <v>2278</v>
      </c>
      <c r="AL569" s="70" t="s">
        <v>2278</v>
      </c>
      <c r="AM569" s="70"/>
      <c r="AN569" s="70"/>
    </row>
    <row r="570" spans="1:40" ht="15.75" hidden="1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5"/>
        <v>11</v>
      </c>
      <c r="J570" s="146" t="s">
        <v>2097</v>
      </c>
      <c r="K570" s="31">
        <f t="shared" si="26"/>
        <v>17</v>
      </c>
      <c r="L570" s="32">
        <f t="shared" si="27"/>
        <v>0.39285714285714285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 t="s">
        <v>2278</v>
      </c>
      <c r="R570" s="70" t="s">
        <v>2278</v>
      </c>
      <c r="S570" s="70"/>
      <c r="T570" s="70"/>
      <c r="U570" s="70" t="s">
        <v>2278</v>
      </c>
      <c r="V570" s="70" t="s">
        <v>2278</v>
      </c>
      <c r="W570" s="70" t="s">
        <v>2278</v>
      </c>
      <c r="X570" s="70" t="s">
        <v>2278</v>
      </c>
      <c r="Y570" s="70" t="s">
        <v>2278</v>
      </c>
      <c r="Z570" s="70"/>
      <c r="AA570" s="70"/>
      <c r="AB570" s="70"/>
      <c r="AC570" s="70"/>
      <c r="AD570" s="70" t="s">
        <v>2278</v>
      </c>
      <c r="AE570" s="70" t="s">
        <v>2278</v>
      </c>
      <c r="AF570" s="70" t="s">
        <v>2278</v>
      </c>
      <c r="AG570" s="70"/>
      <c r="AH570" s="70"/>
      <c r="AI570" s="70" t="s">
        <v>2278</v>
      </c>
      <c r="AJ570" s="70" t="s">
        <v>2278</v>
      </c>
      <c r="AK570" s="70"/>
      <c r="AL570" s="70" t="s">
        <v>2278</v>
      </c>
      <c r="AM570" s="70"/>
      <c r="AN570" s="70"/>
    </row>
    <row r="571" spans="1:40" ht="15.75" hidden="1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5"/>
        <v>10</v>
      </c>
      <c r="J571" s="146" t="s">
        <v>2098</v>
      </c>
      <c r="K571" s="31">
        <f t="shared" si="26"/>
        <v>18</v>
      </c>
      <c r="L571" s="32">
        <f t="shared" si="27"/>
        <v>0.35714285714285715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 t="s">
        <v>2278</v>
      </c>
      <c r="R571" s="70" t="s">
        <v>2278</v>
      </c>
      <c r="S571" s="70"/>
      <c r="T571" s="70"/>
      <c r="U571" s="70" t="s">
        <v>2278</v>
      </c>
      <c r="V571" s="70" t="s">
        <v>2278</v>
      </c>
      <c r="W571" s="70" t="s">
        <v>2278</v>
      </c>
      <c r="X571" s="70" t="s">
        <v>2278</v>
      </c>
      <c r="Y571" s="70" t="s">
        <v>2278</v>
      </c>
      <c r="Z571" s="70"/>
      <c r="AA571" s="70"/>
      <c r="AB571" s="70"/>
      <c r="AC571" s="70"/>
      <c r="AD571" s="70" t="s">
        <v>2278</v>
      </c>
      <c r="AE571" s="70" t="s">
        <v>2278</v>
      </c>
      <c r="AF571" s="70" t="s">
        <v>2278</v>
      </c>
      <c r="AG571" s="70"/>
      <c r="AH571" s="70"/>
      <c r="AI571" s="70" t="s">
        <v>2278</v>
      </c>
      <c r="AJ571" s="70" t="s">
        <v>2278</v>
      </c>
      <c r="AK571" s="70" t="s">
        <v>2278</v>
      </c>
      <c r="AL571" s="70" t="s">
        <v>2278</v>
      </c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5"/>
        <v>11</v>
      </c>
      <c r="J572" s="146" t="s">
        <v>2099</v>
      </c>
      <c r="K572" s="31">
        <f t="shared" si="26"/>
        <v>17</v>
      </c>
      <c r="L572" s="32">
        <f t="shared" si="27"/>
        <v>0.39285714285714285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 t="s">
        <v>2278</v>
      </c>
      <c r="R572" s="70" t="s">
        <v>2278</v>
      </c>
      <c r="S572" s="70"/>
      <c r="T572" s="70"/>
      <c r="U572" s="70"/>
      <c r="V572" s="70" t="s">
        <v>2278</v>
      </c>
      <c r="W572" s="70" t="s">
        <v>2278</v>
      </c>
      <c r="X572" s="70" t="s">
        <v>2278</v>
      </c>
      <c r="Y572" s="70" t="s">
        <v>2278</v>
      </c>
      <c r="Z572" s="70"/>
      <c r="AA572" s="70"/>
      <c r="AB572" s="70"/>
      <c r="AC572" s="70"/>
      <c r="AD572" s="70" t="s">
        <v>2278</v>
      </c>
      <c r="AE572" s="70" t="s">
        <v>2278</v>
      </c>
      <c r="AF572" s="70" t="s">
        <v>2278</v>
      </c>
      <c r="AG572" s="70"/>
      <c r="AH572" s="70"/>
      <c r="AI572" s="70" t="s">
        <v>2278</v>
      </c>
      <c r="AJ572" s="70" t="s">
        <v>2278</v>
      </c>
      <c r="AK572" s="70" t="s">
        <v>2278</v>
      </c>
      <c r="AL572" s="70" t="s">
        <v>2278</v>
      </c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5"/>
        <v>28</v>
      </c>
      <c r="J573" s="87" t="s">
        <v>2193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5"/>
        <v>28</v>
      </c>
      <c r="J574" s="87" t="s">
        <v>2257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5"/>
        <v>28</v>
      </c>
      <c r="J576" s="87" t="s">
        <v>2194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5"/>
        <v>25</v>
      </c>
      <c r="J577" s="87" t="s">
        <v>2195</v>
      </c>
      <c r="K577" s="31">
        <f t="shared" si="26"/>
        <v>3</v>
      </c>
      <c r="L577" s="32">
        <f t="shared" si="27"/>
        <v>0.8928571428571429</v>
      </c>
      <c r="M577" s="70"/>
      <c r="N577" s="70"/>
      <c r="O577" s="70"/>
      <c r="P577" s="70" t="s">
        <v>2278</v>
      </c>
      <c r="Q577" s="70" t="s">
        <v>2278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 t="s">
        <v>2278</v>
      </c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5"/>
        <v>28</v>
      </c>
      <c r="J578" s="87" t="s">
        <v>2196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5"/>
        <v>28</v>
      </c>
      <c r="J579" s="146" t="s">
        <v>2101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5"/>
        <v>28</v>
      </c>
      <c r="J580" s="146" t="s">
        <v>2100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5"/>
        <v>28</v>
      </c>
      <c r="J581" s="146" t="s">
        <v>2102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5"/>
        <v>28</v>
      </c>
      <c r="J582" s="146" t="s">
        <v>2174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5"/>
        <v>28</v>
      </c>
      <c r="J583" s="146" t="s">
        <v>2103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5"/>
        <v>28</v>
      </c>
      <c r="J584" s="146" t="s">
        <v>2104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5"/>
        <v>28</v>
      </c>
      <c r="J585" s="146" t="s">
        <v>2105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5"/>
        <v>10</v>
      </c>
      <c r="J586" s="146" t="s">
        <v>2106</v>
      </c>
      <c r="K586" s="141">
        <f t="shared" si="26"/>
        <v>18</v>
      </c>
      <c r="L586" s="142">
        <f t="shared" si="27"/>
        <v>0.35714285714285715</v>
      </c>
      <c r="M586" s="70" t="s">
        <v>2278</v>
      </c>
      <c r="N586" s="70" t="s">
        <v>2278</v>
      </c>
      <c r="O586" s="70" t="s">
        <v>2278</v>
      </c>
      <c r="P586" s="70" t="s">
        <v>2278</v>
      </c>
      <c r="Q586" s="70" t="s">
        <v>2278</v>
      </c>
      <c r="R586" s="70" t="s">
        <v>2278</v>
      </c>
      <c r="S586" s="70"/>
      <c r="T586" s="70"/>
      <c r="U586" s="70" t="s">
        <v>2278</v>
      </c>
      <c r="V586" s="70" t="s">
        <v>2278</v>
      </c>
      <c r="W586" s="70" t="s">
        <v>2278</v>
      </c>
      <c r="X586" s="70" t="s">
        <v>2278</v>
      </c>
      <c r="Y586" s="70" t="s">
        <v>2278</v>
      </c>
      <c r="Z586" s="70"/>
      <c r="AA586" s="70"/>
      <c r="AB586" s="70"/>
      <c r="AC586" s="70"/>
      <c r="AD586" s="70" t="s">
        <v>2278</v>
      </c>
      <c r="AE586" s="70" t="s">
        <v>2278</v>
      </c>
      <c r="AF586" s="70" t="s">
        <v>2278</v>
      </c>
      <c r="AG586" s="70"/>
      <c r="AH586" s="70"/>
      <c r="AI586" s="70" t="s">
        <v>2278</v>
      </c>
      <c r="AJ586" s="70" t="s">
        <v>2278</v>
      </c>
      <c r="AK586" s="70" t="s">
        <v>2278</v>
      </c>
      <c r="AL586" s="70" t="s">
        <v>2278</v>
      </c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5"/>
        <v>28</v>
      </c>
      <c r="J587" s="146" t="s">
        <v>2107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5"/>
        <v>28</v>
      </c>
      <c r="J588" s="146" t="s">
        <v>2108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5"/>
        <v>28</v>
      </c>
      <c r="J589" s="146" t="s">
        <v>2109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5"/>
        <v>28</v>
      </c>
      <c r="J590" s="150" t="s">
        <v>2113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5"/>
        <v>21</v>
      </c>
      <c r="J591" s="150" t="s">
        <v>2288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2278</v>
      </c>
      <c r="W591" s="71"/>
      <c r="X591" s="71" t="s">
        <v>2278</v>
      </c>
      <c r="Y591" s="71" t="s">
        <v>2278</v>
      </c>
      <c r="Z591" s="71"/>
      <c r="AA591" s="71"/>
      <c r="AB591" s="71"/>
      <c r="AC591" s="71"/>
      <c r="AD591" s="71" t="s">
        <v>2278</v>
      </c>
      <c r="AE591" s="71" t="s">
        <v>2278</v>
      </c>
      <c r="AF591" s="71" t="s">
        <v>2278</v>
      </c>
      <c r="AG591" s="71"/>
      <c r="AH591" s="71"/>
      <c r="AI591" s="71" t="s">
        <v>2278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 t="str">
        <f>'RESUMEN TOTAL'!AJ52</f>
        <v>APAGADO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 t="str">
        <f>'RESUMEN TOTAL'!AJ61</f>
        <v>APAGADO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 t="str">
        <f>'RESUMEN TOTAL'!AJ75</f>
        <v>APAGADO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 t="str">
        <f>'RESUMEN TOTAL'!AJ90</f>
        <v>APAGADO</v>
      </c>
      <c r="AD68" s="70" t="str">
        <f>'RESUMEN TOTAL'!AK90</f>
        <v>APAGADO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 t="str">
        <f>'RESUMEN TOTAL'!AJ95</f>
        <v>APAGADO</v>
      </c>
      <c r="AD73" s="70" t="str">
        <f>'RESUMEN TOTAL'!AK95</f>
        <v>APAGADO</v>
      </c>
      <c r="AE73" s="70" t="str">
        <f>'RESUMEN TOTAL'!AL95</f>
        <v>APAGADO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 t="str">
        <f>'RESUMEN TOTAL'!AJ127</f>
        <v>APAGADO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 t="str">
        <f>'RESUMEN TOTAL'!AK128</f>
        <v>APAGADO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 t="str">
        <f>'RESUMEN TOTAL'!AJ152</f>
        <v>APAGADO</v>
      </c>
      <c r="AD116" s="70" t="str">
        <f>'RESUMEN TOTAL'!AK152</f>
        <v>APAGADO</v>
      </c>
      <c r="AE116" s="70" t="str">
        <f>'RESUMEN TOTAL'!AL152</f>
        <v>APAGADO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 t="str">
        <f>'RESUMEN TOTAL'!AK178</f>
        <v>APAGADO</v>
      </c>
      <c r="AE135" s="70" t="str">
        <f>'RESUMEN TOTAL'!AL178</f>
        <v>APAGADO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 t="str">
        <f>'RESUMEN TOTAL'!AK187</f>
        <v>APAGADO</v>
      </c>
      <c r="AE144" s="70" t="str">
        <f>'RESUMEN TOTAL'!AL187</f>
        <v>APAGADO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 t="str">
        <f>'RESUMEN TOTAL'!AK188</f>
        <v>APAGADO</v>
      </c>
      <c r="AE145" s="70" t="str">
        <f>'RESUMEN TOTAL'!AL188</f>
        <v>APAGADO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 t="str">
        <f>'RESUMEN TOTAL'!AJ197</f>
        <v>APAGADO</v>
      </c>
      <c r="AD148" s="70">
        <f>'RESUMEN TOTAL'!AK197</f>
        <v>0</v>
      </c>
      <c r="AE148" s="70" t="str">
        <f>'RESUMEN TOTAL'!AL197</f>
        <v>APAGADO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 t="str">
        <f>'RESUMEN TOTAL'!AJ198</f>
        <v>APAGADO</v>
      </c>
      <c r="AD149" s="70" t="str">
        <f>'RESUMEN TOTAL'!AK198</f>
        <v>APAGADO</v>
      </c>
      <c r="AE149" s="70" t="str">
        <f>'RESUMEN TOTAL'!AL198</f>
        <v>APAGADO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 t="str">
        <f>'RESUMEN TOTAL'!AJ199</f>
        <v>APAGADO</v>
      </c>
      <c r="AD150" s="70" t="str">
        <f>'RESUMEN TOTAL'!AK199</f>
        <v>APAGADO</v>
      </c>
      <c r="AE150" s="70" t="str">
        <f>'RESUMEN TOTAL'!AL199</f>
        <v>APAGADO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 t="str">
        <f>'RESUMEN TOTAL'!AJ201</f>
        <v>APAGADO</v>
      </c>
      <c r="AD152" s="70" t="str">
        <f>'RESUMEN TOTAL'!AK201</f>
        <v>APAGADO</v>
      </c>
      <c r="AE152" s="70" t="str">
        <f>'RESUMEN TOTAL'!AL201</f>
        <v>APAGADO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 t="str">
        <f>'RESUMEN TOTAL'!AJ204</f>
        <v>APAGADO</v>
      </c>
      <c r="AD155" s="70" t="str">
        <f>'RESUMEN TOTAL'!AK204</f>
        <v>APAGADO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 t="str">
        <f>'RESUMEN TOTAL'!AJ205</f>
        <v>APAGADO</v>
      </c>
      <c r="AD156" s="70" t="str">
        <f>'RESUMEN TOTAL'!AK205</f>
        <v>APAGADO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 t="str">
        <f>'RESUMEN TOTAL'!AK208</f>
        <v>APAGADO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 t="str">
        <f>'RESUMEN TOTAL'!AJ237</f>
        <v>APAGADO</v>
      </c>
      <c r="AD179" s="70" t="str">
        <f>'RESUMEN TOTAL'!AK237</f>
        <v>APAGADO</v>
      </c>
      <c r="AE179" s="70" t="str">
        <f>'RESUMEN TOTAL'!AL237</f>
        <v>APAGADO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 t="str">
        <f>'RESUMEN TOTAL'!AJ238</f>
        <v>APAGADO</v>
      </c>
      <c r="AD180" s="70" t="str">
        <f>'RESUMEN TOTAL'!AK238</f>
        <v>APAGADO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 t="str">
        <f>'RESUMEN TOTAL'!AJ239</f>
        <v>APAGADO</v>
      </c>
      <c r="AD181" s="70" t="str">
        <f>'RESUMEN TOTAL'!AK239</f>
        <v>APAGADO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 t="str">
        <f>'RESUMEN TOTAL'!AJ240</f>
        <v>APAGADO</v>
      </c>
      <c r="AD182" s="70" t="str">
        <f>'RESUMEN TOTAL'!AK240</f>
        <v>APAGADO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 t="str">
        <f>'RESUMEN TOTAL'!AJ241</f>
        <v>APAGADO</v>
      </c>
      <c r="AD183" s="70" t="str">
        <f>'RESUMEN TOTAL'!AK241</f>
        <v>APAGADO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 t="str">
        <f>'RESUMEN TOTAL'!AJ243</f>
        <v>APAGADO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 t="str">
        <f>'RESUMEN TOTAL'!AJ249</f>
        <v>APAGADO</v>
      </c>
      <c r="AD191" s="70" t="str">
        <f>'RESUMEN TOTAL'!AK249</f>
        <v>APAGADO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 t="str">
        <f>'RESUMEN TOTAL'!AJ250</f>
        <v>APAGADO</v>
      </c>
      <c r="AD192" s="70" t="str">
        <f>'RESUMEN TOTAL'!AK250</f>
        <v>APAGADO</v>
      </c>
      <c r="AE192" s="70" t="str">
        <f>'RESUMEN TOTAL'!AL250</f>
        <v>APAGADO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 t="str">
        <f>'RESUMEN TOTAL'!AJ251</f>
        <v>APAGADO</v>
      </c>
      <c r="AD193" s="70">
        <f>'RESUMEN TOTAL'!AK251</f>
        <v>0</v>
      </c>
      <c r="AE193" s="70" t="str">
        <f>'RESUMEN TOTAL'!AL251</f>
        <v>APAGADO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 t="str">
        <f>'RESUMEN TOTAL'!AJ254</f>
        <v>APAGADO</v>
      </c>
      <c r="AD196" s="70" t="str">
        <f>'RESUMEN TOTAL'!AK254</f>
        <v>APAGADO</v>
      </c>
      <c r="AE196" s="70" t="str">
        <f>'RESUMEN TOTAL'!AL254</f>
        <v>APAGADO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 t="str">
        <f>'RESUMEN TOTAL'!AJ268</f>
        <v>APAGADO</v>
      </c>
      <c r="AD207" s="70" t="str">
        <f>'RESUMEN TOTAL'!AK268</f>
        <v>APAGADO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 t="str">
        <f>'RESUMEN TOTAL'!AJ270</f>
        <v>APAGADO</v>
      </c>
      <c r="AD209" s="70" t="str">
        <f>'RESUMEN TOTAL'!AK270</f>
        <v>APAGADO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 t="str">
        <f>'RESUMEN TOTAL'!AJ272</f>
        <v>APAGADO</v>
      </c>
      <c r="AD211" s="70" t="str">
        <f>'RESUMEN TOTAL'!AK272</f>
        <v>APAGADO</v>
      </c>
      <c r="AE211" s="70" t="str">
        <f>'RESUMEN TOTAL'!AL272</f>
        <v>APAGADO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 t="str">
        <f>'RESUMEN TOTAL'!AJ274</f>
        <v>APAGADO</v>
      </c>
      <c r="AD213" s="70" t="str">
        <f>'RESUMEN TOTAL'!AK274</f>
        <v>APAGADO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 t="str">
        <f>'RESUMEN TOTAL'!AK283</f>
        <v>APAGADO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 t="str">
        <f>'RESUMEN TOTAL'!AK285</f>
        <v>APAGADO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 t="str">
        <f>'RESUMEN TOTAL'!AK286</f>
        <v>APAGADO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 t="str">
        <f>'RESUMEN TOTAL'!AJ287</f>
        <v>APAGADO</v>
      </c>
      <c r="AD222" s="70" t="str">
        <f>'RESUMEN TOTAL'!AK287</f>
        <v>APAGADO</v>
      </c>
      <c r="AE222" s="70" t="str">
        <f>'RESUMEN TOTAL'!AL287</f>
        <v>APAGADO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 t="str">
        <f>'RESUMEN TOTAL'!AJ288</f>
        <v>APAGADO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 t="str">
        <f>'RESUMEN TOTAL'!AJ304</f>
        <v>APAGADO</v>
      </c>
      <c r="AD236" s="70" t="str">
        <f>'RESUMEN TOTAL'!AK304</f>
        <v>APAGADO</v>
      </c>
      <c r="AE236" s="70" t="str">
        <f>'RESUMEN TOTAL'!AL304</f>
        <v>APAGADO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 t="str">
        <f>'RESUMEN TOTAL'!AK305</f>
        <v>APAGADO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 t="str">
        <f>'RESUMEN TOTAL'!AJ316</f>
        <v>APAGADO</v>
      </c>
      <c r="AD248" s="70" t="str">
        <f>'RESUMEN TOTAL'!AK316</f>
        <v>APAGADO</v>
      </c>
      <c r="AE248" s="70" t="str">
        <f>'RESUMEN TOTAL'!AL316</f>
        <v>APAGADO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 t="str">
        <f>'RESUMEN TOTAL'!AJ318</f>
        <v>APAGADO</v>
      </c>
      <c r="AD250" s="70" t="str">
        <f>'RESUMEN TOTAL'!AK318</f>
        <v>APAGADO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 t="str">
        <f>'RESUMEN TOTAL'!AJ319</f>
        <v>APAGADO</v>
      </c>
      <c r="AD251" s="70" t="str">
        <f>'RESUMEN TOTAL'!AK319</f>
        <v>APAGADO</v>
      </c>
      <c r="AE251" s="70" t="str">
        <f>'RESUMEN TOTAL'!AL319</f>
        <v>APAGADO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 t="str">
        <f>'RESUMEN TOTAL'!AJ320</f>
        <v>APAGADO</v>
      </c>
      <c r="AD252" s="70" t="str">
        <f>'RESUMEN TOTAL'!AK320</f>
        <v>APAGADO</v>
      </c>
      <c r="AE252" s="70" t="str">
        <f>'RESUMEN TOTAL'!AL320</f>
        <v>APAGADO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 t="str">
        <f>'RESUMEN TOTAL'!AJ321</f>
        <v>APAGADO</v>
      </c>
      <c r="AD253" s="70" t="str">
        <f>'RESUMEN TOTAL'!AK321</f>
        <v>APAGADO</v>
      </c>
      <c r="AE253" s="70" t="str">
        <f>'RESUMEN TOTAL'!AL321</f>
        <v>APAGADO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 t="str">
        <f>'RESUMEN TOTAL'!AJ322</f>
        <v>APAGADO</v>
      </c>
      <c r="AD254" s="70" t="str">
        <f>'RESUMEN TOTAL'!AK322</f>
        <v>APAGADO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 t="str">
        <f>'RESUMEN TOTAL'!AK345</f>
        <v>APAGADO</v>
      </c>
      <c r="AE271" s="70" t="str">
        <f>'RESUMEN TOTAL'!AL345</f>
        <v>APAGADO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 t="str">
        <f>'RESUMEN TOTAL'!AK348</f>
        <v>APAGADO</v>
      </c>
      <c r="AE274" s="70" t="str">
        <f>'RESUMEN TOTAL'!AL348</f>
        <v>APAGADO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 t="str">
        <f>'RESUMEN TOTAL'!AJ359</f>
        <v>APAGADO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 t="str">
        <f>'RESUMEN TOTAL'!AJ360</f>
        <v>APAGADO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 t="str">
        <f>'RESUMEN TOTAL'!AK379</f>
        <v>APAGADO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 t="str">
        <f>'RESUMEN TOTAL'!AK380</f>
        <v>APAGADO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 t="str">
        <f>'RESUMEN TOTAL'!AJ383</f>
        <v>APAGADO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 t="str">
        <f>'RESUMEN TOTAL'!AK386</f>
        <v>APAGADO</v>
      </c>
      <c r="AE304" s="70" t="str">
        <f>'RESUMEN TOTAL'!AL386</f>
        <v>APAGADO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 t="str">
        <f>'RESUMEN TOTAL'!AK387</f>
        <v>APAGADO</v>
      </c>
      <c r="AE305" s="70" t="str">
        <f>'RESUMEN TOTAL'!AL387</f>
        <v>APAGADO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 t="str">
        <f>'RESUMEN TOTAL'!AK388</f>
        <v>APAGADO</v>
      </c>
      <c r="AE306" s="70" t="str">
        <f>'RESUMEN TOTAL'!AL388</f>
        <v>APAGADO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 t="str">
        <f>'RESUMEN TOTAL'!AJ389</f>
        <v>APAGADO</v>
      </c>
      <c r="AD307" s="70" t="str">
        <f>'RESUMEN TOTAL'!AK389</f>
        <v>APAGADO</v>
      </c>
      <c r="AE307" s="70" t="str">
        <f>'RESUMEN TOTAL'!AL389</f>
        <v>APAGADO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 t="str">
        <f>'RESUMEN TOTAL'!AJ390</f>
        <v>APAGADO</v>
      </c>
      <c r="AD308" s="70" t="str">
        <f>'RESUMEN TOTAL'!AK390</f>
        <v>APAGADO</v>
      </c>
      <c r="AE308" s="70" t="str">
        <f>'RESUMEN TOTAL'!AL390</f>
        <v>APAGADO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 t="str">
        <f>'RESUMEN TOTAL'!AK391</f>
        <v>APAGADO</v>
      </c>
      <c r="AE309" s="70" t="str">
        <f>'RESUMEN TOTAL'!AL391</f>
        <v>APAGADO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 t="str">
        <f>'RESUMEN TOTAL'!AK392</f>
        <v>APAGADO</v>
      </c>
      <c r="AE310" s="70" t="str">
        <f>'RESUMEN TOTAL'!AL392</f>
        <v>APAGADO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 t="str">
        <f>'RESUMEN TOTAL'!AK393</f>
        <v>APAGADO</v>
      </c>
      <c r="AE311" s="70" t="str">
        <f>'RESUMEN TOTAL'!AL393</f>
        <v>APAGADO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 t="str">
        <f>'RESUMEN TOTAL'!AK394</f>
        <v>APAGADO</v>
      </c>
      <c r="AE312" s="70" t="str">
        <f>'RESUMEN TOTAL'!AL394</f>
        <v>APAGADO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 t="str">
        <f>'RESUMEN TOTAL'!AJ395</f>
        <v>APAGADO</v>
      </c>
      <c r="AD313" s="70" t="str">
        <f>'RESUMEN TOTAL'!AK395</f>
        <v>APAGADO</v>
      </c>
      <c r="AE313" s="70" t="str">
        <f>'RESUMEN TOTAL'!AL395</f>
        <v>APAGADO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 t="str">
        <f>'RESUMEN TOTAL'!AJ396</f>
        <v>APAGADO</v>
      </c>
      <c r="AD314" s="70" t="str">
        <f>'RESUMEN TOTAL'!AK396</f>
        <v>APAGADO</v>
      </c>
      <c r="AE314" s="70" t="str">
        <f>'RESUMEN TOTAL'!AL396</f>
        <v>APAGADO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 t="str">
        <f>'RESUMEN TOTAL'!AJ397</f>
        <v>APAGADO</v>
      </c>
      <c r="AD315" s="70" t="str">
        <f>'RESUMEN TOTAL'!AK397</f>
        <v>APAGADO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 t="str">
        <f>'RESUMEN TOTAL'!AJ403</f>
        <v>APAGADO</v>
      </c>
      <c r="AD316" s="70" t="str">
        <f>'RESUMEN TOTAL'!AK403</f>
        <v>APAGADO</v>
      </c>
      <c r="AE316" s="70" t="str">
        <f>'RESUMEN TOTAL'!AL403</f>
        <v>APAGADO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 t="str">
        <f>'RESUMEN TOTAL'!AJ407</f>
        <v>APAGADO</v>
      </c>
      <c r="AD320" s="70" t="str">
        <f>'RESUMEN TOTAL'!AK407</f>
        <v>APAGADO</v>
      </c>
      <c r="AE320" s="70" t="str">
        <f>'RESUMEN TOTAL'!AL407</f>
        <v>APAGADO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 t="str">
        <f>'RESUMEN TOTAL'!AJ409</f>
        <v>APAGADO</v>
      </c>
      <c r="AD322" s="70" t="str">
        <f>'RESUMEN TOTAL'!AK409</f>
        <v>APAGADO</v>
      </c>
      <c r="AE322" s="70" t="str">
        <f>'RESUMEN TOTAL'!AL409</f>
        <v>APAGADO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 t="str">
        <f>'RESUMEN TOTAL'!AJ410</f>
        <v>APAGADO</v>
      </c>
      <c r="AD323" s="70" t="str">
        <f>'RESUMEN TOTAL'!AK410</f>
        <v>APAGADO</v>
      </c>
      <c r="AE323" s="70" t="str">
        <f>'RESUMEN TOTAL'!AL410</f>
        <v>APAGADO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 t="str">
        <f>'RESUMEN TOTAL'!AJ411</f>
        <v>APAGADO</v>
      </c>
      <c r="AD324" s="70" t="str">
        <f>'RESUMEN TOTAL'!AK411</f>
        <v>APAGADO</v>
      </c>
      <c r="AE324" s="70" t="str">
        <f>'RESUMEN TOTAL'!AL411</f>
        <v>APAGADO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 t="str">
        <f>'RESUMEN TOTAL'!AJ412</f>
        <v>APAGADO</v>
      </c>
      <c r="AD325" s="70" t="str">
        <f>'RESUMEN TOTAL'!AK412</f>
        <v>APAGADO</v>
      </c>
      <c r="AE325" s="70" t="str">
        <f>'RESUMEN TOTAL'!AL412</f>
        <v>APAGADO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 t="str">
        <f>'RESUMEN TOTAL'!AJ423</f>
        <v>APAGADO</v>
      </c>
      <c r="AD329" s="70" t="str">
        <f>'RESUMEN TOTAL'!AK423</f>
        <v>APAGADO</v>
      </c>
      <c r="AE329" s="70" t="str">
        <f>'RESUMEN TOTAL'!AL423</f>
        <v>APAGADO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 t="str">
        <f>'RESUMEN TOTAL'!AJ450</f>
        <v>APAGADO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 t="str">
        <f>'RESUMEN TOTAL'!AJ464</f>
        <v>APAGADO</v>
      </c>
      <c r="AD361" s="70" t="str">
        <f>'RESUMEN TOTAL'!AK464</f>
        <v>APAGADO</v>
      </c>
      <c r="AE361" s="70" t="str">
        <f>'RESUMEN TOTAL'!AL464</f>
        <v>APAGADO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 t="str">
        <f>'RESUMEN TOTAL'!AJ465</f>
        <v>APAGADO</v>
      </c>
      <c r="AD362" s="70" t="str">
        <f>'RESUMEN TOTAL'!AK465</f>
        <v>APAGADO</v>
      </c>
      <c r="AE362" s="70" t="str">
        <f>'RESUMEN TOTAL'!AL465</f>
        <v>APAGADO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 t="str">
        <f>'RESUMEN TOTAL'!AJ466</f>
        <v>APAGADO</v>
      </c>
      <c r="AD363" s="70" t="str">
        <f>'RESUMEN TOTAL'!AK466</f>
        <v>APAGADO</v>
      </c>
      <c r="AE363" s="70" t="str">
        <f>'RESUMEN TOTAL'!AL466</f>
        <v>APAGADO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 t="str">
        <f>'RESUMEN TOTAL'!AJ469</f>
        <v>APAGADO</v>
      </c>
      <c r="AD364" s="70" t="str">
        <f>'RESUMEN TOTAL'!AK469</f>
        <v>APAGADO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 t="str">
        <f>'RESUMEN TOTAL'!AJ470</f>
        <v>APAGADO</v>
      </c>
      <c r="AD365" s="70" t="str">
        <f>'RESUMEN TOTAL'!AK470</f>
        <v>APAGADO</v>
      </c>
      <c r="AE365" s="70" t="str">
        <f>'RESUMEN TOTAL'!AL470</f>
        <v>APAGADO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 t="str">
        <f>'RESUMEN TOTAL'!AL514</f>
        <v>APAGADO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 t="str">
        <f>'RESUMEN TOTAL'!AJ515</f>
        <v>APAGADO</v>
      </c>
      <c r="AD403" s="70" t="str">
        <f>'RESUMEN TOTAL'!AK515</f>
        <v>APAGADO</v>
      </c>
      <c r="AE403" s="70" t="str">
        <f>'RESUMEN TOTAL'!AL515</f>
        <v>APAGADO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 t="str">
        <f>'RESUMEN TOTAL'!AJ519</f>
        <v>APAGADO</v>
      </c>
      <c r="AD407" s="70" t="str">
        <f>'RESUMEN TOTAL'!AK519</f>
        <v>APAGADO</v>
      </c>
      <c r="AE407" s="70" t="str">
        <f>'RESUMEN TOTAL'!AL519</f>
        <v>APAGADO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 t="str">
        <f>'RESUMEN TOTAL'!AK535</f>
        <v>APAGADO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 t="str">
        <f>'RESUMEN TOTAL'!AK536</f>
        <v>APAGADO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 t="str">
        <f>'RESUMEN TOTAL'!AK539</f>
        <v>APAGADO</v>
      </c>
      <c r="AE422" s="70" t="str">
        <f>'RESUMEN TOTAL'!AL539</f>
        <v>APAGADO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 t="str">
        <f>'RESUMEN TOTAL'!AK540</f>
        <v>APAGADO</v>
      </c>
      <c r="AE423" s="70" t="str">
        <f>'RESUMEN TOTAL'!AL540</f>
        <v>APAGADO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 t="str">
        <f>'RESUMEN TOTAL'!AK541</f>
        <v>APAGADO</v>
      </c>
      <c r="AE424" s="70" t="str">
        <f>'RESUMEN TOTAL'!AL541</f>
        <v>APAGADO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 t="str">
        <f>'RESUMEN TOTAL'!AK542</f>
        <v>APAGADO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 t="str">
        <f>'RESUMEN TOTAL'!AJ545</f>
        <v>APAGADO</v>
      </c>
      <c r="AD427" s="70" t="str">
        <f>'RESUMEN TOTAL'!AK545</f>
        <v>APAGADO</v>
      </c>
      <c r="AE427" s="70" t="str">
        <f>'RESUMEN TOTAL'!AL545</f>
        <v>APAGADO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 t="str">
        <f>'RESUMEN TOTAL'!AJ558</f>
        <v>APAGADO</v>
      </c>
      <c r="AD436" s="70" t="str">
        <f>'RESUMEN TOTAL'!AK558</f>
        <v>APAGADO</v>
      </c>
      <c r="AE436" s="70" t="str">
        <f>'RESUMEN TOTAL'!AL558</f>
        <v>APAGADO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 t="str">
        <f>'RESUMEN TOTAL'!AJ560</f>
        <v>APAGADO</v>
      </c>
      <c r="AD438" s="70" t="str">
        <f>'RESUMEN TOTAL'!AK560</f>
        <v>APAGADO</v>
      </c>
      <c r="AE438" s="70" t="str">
        <f>'RESUMEN TOTAL'!AL560</f>
        <v>APAGADO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 t="str">
        <f>'RESUMEN TOTAL'!AJ568</f>
        <v>APAGADO</v>
      </c>
      <c r="AD445" s="70" t="str">
        <f>'RESUMEN TOTAL'!AK568</f>
        <v>APAGADO</v>
      </c>
      <c r="AE445" s="70" t="str">
        <f>'RESUMEN TOTAL'!AL568</f>
        <v>APAGADO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 t="str">
        <f>'RESUMEN TOTAL'!AJ569</f>
        <v>APAGADO</v>
      </c>
      <c r="AD446" s="70" t="str">
        <f>'RESUMEN TOTAL'!AK569</f>
        <v>APAGADO</v>
      </c>
      <c r="AE446" s="70" t="str">
        <f>'RESUMEN TOTAL'!AL569</f>
        <v>APAGADO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 t="str">
        <f>'RESUMEN TOTAL'!AJ570</f>
        <v>APAGADO</v>
      </c>
      <c r="AD447" s="70">
        <f>'RESUMEN TOTAL'!AK570</f>
        <v>0</v>
      </c>
      <c r="AE447" s="70" t="str">
        <f>'RESUMEN TOTAL'!AL570</f>
        <v>APAGADO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 t="str">
        <f>'RESUMEN TOTAL'!AJ571</f>
        <v>APAGADO</v>
      </c>
      <c r="AD448" s="70" t="str">
        <f>'RESUMEN TOTAL'!AK571</f>
        <v>APAGADO</v>
      </c>
      <c r="AE448" s="70" t="str">
        <f>'RESUMEN TOTAL'!AL571</f>
        <v>APAGADO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 t="str">
        <f>'RESUMEN TOTAL'!AJ572</f>
        <v>APAGADO</v>
      </c>
      <c r="AD449" s="70" t="str">
        <f>'RESUMEN TOTAL'!AK572</f>
        <v>APAGADO</v>
      </c>
      <c r="AE449" s="70" t="str">
        <f>'RESUMEN TOTAL'!AL572</f>
        <v>APAGADO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 t="str">
        <f>'RESUMEN TOTAL'!AJ577</f>
        <v>APAGADO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 t="str">
        <f>'RESUMEN TOTAL'!AJ586</f>
        <v>APAGADO</v>
      </c>
      <c r="AD460" s="70" t="str">
        <f>'RESUMEN TOTAL'!AK586</f>
        <v>APAGADO</v>
      </c>
      <c r="AE460" s="70" t="str">
        <f>'RESUMEN TOTAL'!AL586</f>
        <v>APAGADO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H1" zoomScale="90" zoomScaleNormal="90" workbookViewId="0">
      <selection activeCell="AC5" sqref="AC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1067</v>
      </c>
      <c r="C1" s="36">
        <v>45992</v>
      </c>
    </row>
    <row r="2" spans="1:33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47</v>
      </c>
      <c r="AD3" s="46">
        <f>COUNTIFS('RESUMEN TOTAL'!AK8:AK698,"=APAGADO",'RESUMEN TOTAL'!C8:C698,"=BONOMO")</f>
        <v>57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0.18506493506493507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46</v>
      </c>
      <c r="AD5" s="46">
        <f>COUNTIFS('RESUMEN TOTAL'!AK10:AK700,"=APAGADO",'RESUMEN TOTAL'!C10:C700,"=COSEIDI")</f>
        <v>45</v>
      </c>
      <c r="AE5" s="46">
        <f>COUNTIFS('RESUMEN TOTAL'!AL10:AL700,"=APAGADO",'RESUMEN TOTAL'!C10:C700,"=COSEIDI")</f>
        <v>52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0.16304347826086957</v>
      </c>
      <c r="AE6" s="50">
        <f t="shared" si="1"/>
        <v>0.18840579710144928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2" zoomScaleNormal="100" workbookViewId="0">
      <selection activeCell="E279" sqref="E27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46054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46055</v>
      </c>
    </row>
    <row r="14" spans="1:6" x14ac:dyDescent="0.25">
      <c r="A14" t="s">
        <v>1472</v>
      </c>
      <c r="B14" s="53" t="s">
        <v>6</v>
      </c>
      <c r="C14" s="66">
        <v>68</v>
      </c>
      <c r="D14" s="54"/>
      <c r="E14" s="55">
        <f>C14/C13</f>
        <v>0.11643835616438356</v>
      </c>
      <c r="F14" s="156"/>
    </row>
    <row r="15" spans="1:6" x14ac:dyDescent="0.25">
      <c r="B15" s="53" t="s">
        <v>1240</v>
      </c>
      <c r="C15" s="67">
        <v>2</v>
      </c>
      <c r="D15" s="102">
        <v>66</v>
      </c>
      <c r="E15" s="55">
        <f>D15/C13</f>
        <v>0.11301369863013698</v>
      </c>
      <c r="F15" s="156"/>
    </row>
    <row r="16" spans="1:6" x14ac:dyDescent="0.25">
      <c r="B16" s="53" t="s">
        <v>1241</v>
      </c>
      <c r="C16" s="67">
        <v>6</v>
      </c>
      <c r="D16" s="102">
        <v>60</v>
      </c>
      <c r="E16" s="55">
        <f>D16/C13</f>
        <v>0.10273972602739725</v>
      </c>
      <c r="F16" s="156"/>
    </row>
    <row r="17" spans="1:6" x14ac:dyDescent="0.25">
      <c r="A17" t="s">
        <v>1472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27</v>
      </c>
      <c r="E20" s="104">
        <f>D20/C20</f>
        <v>8.7947882736156349E-2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41</v>
      </c>
      <c r="E21" s="113">
        <f>D21/C21</f>
        <v>0.14855072463768115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46056</v>
      </c>
    </row>
    <row r="25" spans="1:6" x14ac:dyDescent="0.25">
      <c r="A25" t="s">
        <v>1465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6"/>
    </row>
    <row r="26" spans="1:6" x14ac:dyDescent="0.25">
      <c r="B26" s="53" t="s">
        <v>1240</v>
      </c>
      <c r="C26" s="67">
        <v>9</v>
      </c>
      <c r="D26" s="102">
        <f>C25-C26</f>
        <v>57</v>
      </c>
      <c r="E26" s="55">
        <f>D26/C24</f>
        <v>9.7602739726027399E-2</v>
      </c>
      <c r="F26" s="156"/>
    </row>
    <row r="27" spans="1:6" x14ac:dyDescent="0.25">
      <c r="B27" s="53" t="s">
        <v>1241</v>
      </c>
      <c r="C27" s="67">
        <v>8</v>
      </c>
      <c r="D27" s="102">
        <f>D26-C27</f>
        <v>49</v>
      </c>
      <c r="E27" s="55">
        <f>D27/C24</f>
        <v>8.3904109589041098E-2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6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26</v>
      </c>
      <c r="E31" s="104">
        <f>D31/C31</f>
        <v>8.4690553745928335E-2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40</v>
      </c>
      <c r="E32" s="113">
        <f>D32/C32</f>
        <v>0.14492753623188406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46057</v>
      </c>
    </row>
    <row r="36" spans="1:6" x14ac:dyDescent="0.25">
      <c r="A36" t="s">
        <v>1464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46058</v>
      </c>
    </row>
    <row r="47" spans="1:6" x14ac:dyDescent="0.25">
      <c r="A47" t="s">
        <v>1466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6"/>
    </row>
    <row r="48" spans="1:6" x14ac:dyDescent="0.25">
      <c r="B48" s="53" t="s">
        <v>1240</v>
      </c>
      <c r="C48" s="67">
        <v>8</v>
      </c>
      <c r="D48" s="102">
        <v>60</v>
      </c>
      <c r="E48" s="55">
        <f>D48/C46</f>
        <v>0.10273972602739725</v>
      </c>
      <c r="F48" s="156"/>
    </row>
    <row r="49" spans="1:6" x14ac:dyDescent="0.25">
      <c r="B49" s="53" t="s">
        <v>1241</v>
      </c>
      <c r="C49" s="67">
        <v>8</v>
      </c>
      <c r="D49" s="102">
        <v>52</v>
      </c>
      <c r="E49" s="55">
        <f>D49/C46</f>
        <v>8.9041095890410954E-2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f>Hoja1!J3</f>
        <v>29</v>
      </c>
      <c r="E53" s="104">
        <v>0.09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39</v>
      </c>
      <c r="E54" s="113">
        <v>0.14000000000000001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46059</v>
      </c>
    </row>
    <row r="58" spans="1:6" x14ac:dyDescent="0.25">
      <c r="A58" t="s">
        <v>1467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6"/>
    </row>
    <row r="59" spans="1:6" x14ac:dyDescent="0.25">
      <c r="B59" s="53" t="s">
        <v>1240</v>
      </c>
      <c r="C59" s="67">
        <v>7</v>
      </c>
      <c r="D59" s="102">
        <v>65</v>
      </c>
      <c r="E59" s="55">
        <f>D59/C57</f>
        <v>0.1113013698630137</v>
      </c>
      <c r="F59" s="156"/>
    </row>
    <row r="60" spans="1:6" x14ac:dyDescent="0.25">
      <c r="B60" s="53" t="s">
        <v>1241</v>
      </c>
      <c r="C60" s="67">
        <v>8</v>
      </c>
      <c r="D60" s="102">
        <v>57</v>
      </c>
      <c r="E60" s="55">
        <f>D60/C57</f>
        <v>9.7602739726027399E-2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29</v>
      </c>
      <c r="E64" s="104">
        <f>D64/C64</f>
        <v>9.4462540716612378E-2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46060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46061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46062</v>
      </c>
    </row>
    <row r="91" spans="1:6" x14ac:dyDescent="0.25">
      <c r="A91" t="s">
        <v>1469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1240</v>
      </c>
      <c r="C92" s="67">
        <v>6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8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26</v>
      </c>
      <c r="E97" s="104">
        <f>D97/C97</f>
        <v>8.4690553745928335E-2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54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46063</v>
      </c>
    </row>
    <row r="102" spans="1:6" x14ac:dyDescent="0.25">
      <c r="A102" t="s">
        <v>1470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6"/>
    </row>
    <row r="103" spans="1:6" x14ac:dyDescent="0.25">
      <c r="B103" s="53" t="s">
        <v>1240</v>
      </c>
      <c r="C103" s="67">
        <v>7</v>
      </c>
      <c r="D103" s="102">
        <f>C102-C103</f>
        <v>96</v>
      </c>
      <c r="E103" s="55">
        <f>D103/C101</f>
        <v>0.16438356164383561</v>
      </c>
      <c r="F103" s="156"/>
    </row>
    <row r="104" spans="1:6" x14ac:dyDescent="0.25">
      <c r="B104" s="53" t="s">
        <v>1241</v>
      </c>
      <c r="C104" s="67">
        <v>8</v>
      </c>
      <c r="D104" s="102">
        <f>D103-C104</f>
        <v>88</v>
      </c>
      <c r="E104" s="55">
        <f>D104/C101</f>
        <v>0.15068493150684931</v>
      </c>
      <c r="F104" s="156"/>
    </row>
    <row r="105" spans="1:6" x14ac:dyDescent="0.25">
      <c r="A105" t="s">
        <v>1470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27</v>
      </c>
      <c r="E108" s="104">
        <f>D108/C108</f>
        <v>8.7947882736156349E-2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6"/>
    </row>
    <row r="114" spans="2:6" x14ac:dyDescent="0.25">
      <c r="B114" s="53" t="s">
        <v>1240</v>
      </c>
      <c r="C114" s="67">
        <v>4</v>
      </c>
      <c r="D114" s="102">
        <f>C113-C114</f>
        <v>80</v>
      </c>
      <c r="E114" s="55">
        <f>D114/C112</f>
        <v>0.13698630136986301</v>
      </c>
      <c r="F114" s="156"/>
    </row>
    <row r="115" spans="2:6" x14ac:dyDescent="0.25">
      <c r="B115" s="53" t="s">
        <v>1241</v>
      </c>
      <c r="C115" s="67">
        <v>8</v>
      </c>
      <c r="D115" s="102">
        <f>D114-C115</f>
        <v>72</v>
      </c>
      <c r="E115" s="55">
        <f>D115/C112</f>
        <v>0.12328767123287671</v>
      </c>
      <c r="F115" s="156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25</v>
      </c>
      <c r="E119" s="104">
        <f>D119/C119</f>
        <v>8.143322475570032E-2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6"/>
    </row>
    <row r="125" spans="2:6" x14ac:dyDescent="0.25">
      <c r="B125" s="53" t="s">
        <v>1240</v>
      </c>
      <c r="C125" s="67">
        <v>14</v>
      </c>
      <c r="D125" s="102">
        <f>C124-C125</f>
        <v>78</v>
      </c>
      <c r="E125" s="55">
        <f>D125/C123</f>
        <v>0.13356164383561644</v>
      </c>
      <c r="F125" s="156"/>
    </row>
    <row r="126" spans="2:6" x14ac:dyDescent="0.25">
      <c r="B126" s="53" t="s">
        <v>1241</v>
      </c>
      <c r="C126" s="67">
        <v>8</v>
      </c>
      <c r="D126" s="102">
        <f>D125-C126</f>
        <v>70</v>
      </c>
      <c r="E126" s="55">
        <f>D126/C123</f>
        <v>0.11986301369863013</v>
      </c>
      <c r="F126" s="156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38</v>
      </c>
      <c r="E130" s="104">
        <f>D130/C130</f>
        <v>0.12377850162866449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6"/>
    </row>
    <row r="136" spans="2:6" x14ac:dyDescent="0.25">
      <c r="B136" s="53" t="s">
        <v>1240</v>
      </c>
      <c r="C136" s="67">
        <v>5</v>
      </c>
      <c r="D136" s="102">
        <f>C135-C136</f>
        <v>79</v>
      </c>
      <c r="E136" s="55">
        <f>D136/C134</f>
        <v>0.13527397260273974</v>
      </c>
      <c r="F136" s="156"/>
    </row>
    <row r="137" spans="2:6" x14ac:dyDescent="0.25">
      <c r="B137" s="53" t="s">
        <v>1241</v>
      </c>
      <c r="C137" s="67">
        <v>8</v>
      </c>
      <c r="D137" s="102">
        <f>D136-C137</f>
        <v>71</v>
      </c>
      <c r="E137" s="55">
        <f>D137/C134</f>
        <v>0.12157534246575342</v>
      </c>
      <c r="F137" s="156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6"/>
    </row>
    <row r="191" spans="2:6" x14ac:dyDescent="0.25">
      <c r="B191" s="53" t="s">
        <v>1240</v>
      </c>
      <c r="C191" s="67">
        <v>6</v>
      </c>
      <c r="D191" s="102">
        <f>C190-C191</f>
        <v>75</v>
      </c>
      <c r="E191" s="55">
        <f>D191/C189</f>
        <v>0.12842465753424659</v>
      </c>
      <c r="F191" s="156"/>
    </row>
    <row r="192" spans="2:6" x14ac:dyDescent="0.25">
      <c r="B192" s="53" t="s">
        <v>1241</v>
      </c>
      <c r="C192" s="67">
        <v>8</v>
      </c>
      <c r="D192" s="102">
        <f>D191-C192</f>
        <v>67</v>
      </c>
      <c r="E192" s="55">
        <f>D192/C189</f>
        <v>0.11472602739726027</v>
      </c>
      <c r="F192" s="156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6"/>
    </row>
    <row r="202" spans="2:6" x14ac:dyDescent="0.25">
      <c r="B202" s="53" t="s">
        <v>1240</v>
      </c>
      <c r="C202" s="67">
        <v>4</v>
      </c>
      <c r="D202" s="102">
        <f>C201-C202</f>
        <v>72</v>
      </c>
      <c r="E202" s="55">
        <f>D202/C200</f>
        <v>0.12328767123287671</v>
      </c>
      <c r="F202" s="156"/>
    </row>
    <row r="203" spans="2:6" x14ac:dyDescent="0.25">
      <c r="B203" s="53" t="s">
        <v>1241</v>
      </c>
      <c r="C203" s="67">
        <v>7</v>
      </c>
      <c r="D203" s="102">
        <f>D202-C203</f>
        <v>65</v>
      </c>
      <c r="E203" s="55">
        <f>D203/C200</f>
        <v>0.1113013698630137</v>
      </c>
      <c r="F203" s="156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29</v>
      </c>
      <c r="E207" s="104">
        <f>D207/C207</f>
        <v>9.4462540716612378E-2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6"/>
    </row>
    <row r="213" spans="2:6" x14ac:dyDescent="0.25">
      <c r="B213" s="53" t="s">
        <v>1240</v>
      </c>
      <c r="C213" s="67">
        <v>4</v>
      </c>
      <c r="D213" s="102">
        <f>C212-C213</f>
        <v>82</v>
      </c>
      <c r="E213" s="55">
        <f>D213/C211</f>
        <v>0.1404109589041096</v>
      </c>
      <c r="F213" s="156"/>
    </row>
    <row r="214" spans="2:6" x14ac:dyDescent="0.25">
      <c r="B214" s="53" t="s">
        <v>1241</v>
      </c>
      <c r="C214" s="67">
        <v>7</v>
      </c>
      <c r="D214" s="102">
        <f>D213-C214</f>
        <v>75</v>
      </c>
      <c r="E214" s="55">
        <f>D214/C211</f>
        <v>0.12842465753424659</v>
      </c>
      <c r="F214" s="156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46076</v>
      </c>
    </row>
    <row r="248" spans="2:6" x14ac:dyDescent="0.25">
      <c r="B248" s="53" t="s">
        <v>6</v>
      </c>
      <c r="C248" s="66">
        <f>'RESUMEN TOTAL'!AI3</f>
        <v>86</v>
      </c>
      <c r="D248" s="54"/>
      <c r="E248" s="55">
        <f>C248/C247</f>
        <v>0.14726027397260275</v>
      </c>
      <c r="F248" s="156"/>
    </row>
    <row r="249" spans="2:6" x14ac:dyDescent="0.25">
      <c r="B249" s="53" t="s">
        <v>1240</v>
      </c>
      <c r="C249" s="67">
        <v>5</v>
      </c>
      <c r="D249" s="102">
        <f>C248-C249</f>
        <v>81</v>
      </c>
      <c r="E249" s="55">
        <f>D249/C247</f>
        <v>0.1386986301369863</v>
      </c>
      <c r="F249" s="156"/>
    </row>
    <row r="250" spans="2:6" x14ac:dyDescent="0.25">
      <c r="B250" s="53" t="s">
        <v>1241</v>
      </c>
      <c r="C250" s="67">
        <v>7</v>
      </c>
      <c r="D250" s="102">
        <f>D249-C250</f>
        <v>74</v>
      </c>
      <c r="E250" s="55">
        <f>D250/C247</f>
        <v>0.12671232876712329</v>
      </c>
      <c r="F250" s="156"/>
    </row>
    <row r="251" spans="2:6" x14ac:dyDescent="0.25">
      <c r="B251" s="53" t="s">
        <v>16</v>
      </c>
      <c r="C251" s="93">
        <v>3</v>
      </c>
      <c r="D251" s="102">
        <f>D250-C251</f>
        <v>71</v>
      </c>
      <c r="E251" s="55">
        <f>D251/C247</f>
        <v>0.12157534246575342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37</v>
      </c>
      <c r="E254" s="104">
        <f>D254/C254</f>
        <v>0.12052117263843648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49</v>
      </c>
      <c r="E255" s="113">
        <f>D255/C255</f>
        <v>0.17753623188405798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46077</v>
      </c>
    </row>
    <row r="260" spans="2:6" x14ac:dyDescent="0.25">
      <c r="B260" s="53" t="s">
        <v>6</v>
      </c>
      <c r="C260" s="66">
        <f>'RESUMEN TOTAL'!AJ3</f>
        <v>93</v>
      </c>
      <c r="D260" s="54"/>
      <c r="E260" s="55">
        <f>C260/C259</f>
        <v>0.15924657534246575</v>
      </c>
      <c r="F260" s="156"/>
    </row>
    <row r="261" spans="2:6" x14ac:dyDescent="0.25">
      <c r="B261" s="53" t="s">
        <v>1240</v>
      </c>
      <c r="C261" s="67">
        <v>8</v>
      </c>
      <c r="D261" s="102">
        <f>C260-C261</f>
        <v>85</v>
      </c>
      <c r="E261" s="55">
        <f>D261/C259</f>
        <v>0.14554794520547945</v>
      </c>
      <c r="F261" s="156"/>
    </row>
    <row r="262" spans="2:6" x14ac:dyDescent="0.25">
      <c r="B262" s="53" t="s">
        <v>1241</v>
      </c>
      <c r="C262" s="67">
        <v>7</v>
      </c>
      <c r="D262" s="102">
        <f>D261-C262</f>
        <v>78</v>
      </c>
      <c r="E262" s="55">
        <f>D262/C259</f>
        <v>0.13356164383561644</v>
      </c>
      <c r="F262" s="156"/>
    </row>
    <row r="263" spans="2:6" x14ac:dyDescent="0.25">
      <c r="B263" s="53" t="s">
        <v>16</v>
      </c>
      <c r="C263" s="93">
        <v>4</v>
      </c>
      <c r="D263" s="102">
        <f>D262-C263</f>
        <v>74</v>
      </c>
      <c r="E263" s="55">
        <f>D263/C259</f>
        <v>0.12671232876712329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47</v>
      </c>
      <c r="E266" s="104">
        <f>D266/C266</f>
        <v>0.15309446254071662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46</v>
      </c>
      <c r="E267" s="113">
        <f>D267/C267</f>
        <v>0.16666666666666666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46078</v>
      </c>
    </row>
    <row r="271" spans="2:6" x14ac:dyDescent="0.25">
      <c r="B271" s="53" t="s">
        <v>6</v>
      </c>
      <c r="C271" s="66">
        <f>'RESUMEN TOTAL'!AK3</f>
        <v>102</v>
      </c>
      <c r="D271" s="54"/>
      <c r="E271" s="55">
        <f>C271/C270</f>
        <v>0.17465753424657535</v>
      </c>
      <c r="F271" s="156"/>
    </row>
    <row r="272" spans="2:6" x14ac:dyDescent="0.25">
      <c r="B272" s="53" t="s">
        <v>1240</v>
      </c>
      <c r="C272" s="67">
        <v>14</v>
      </c>
      <c r="D272" s="102">
        <f>C271-C272</f>
        <v>88</v>
      </c>
      <c r="E272" s="55">
        <f>D272/C270</f>
        <v>0.15068493150684931</v>
      </c>
      <c r="F272" s="156"/>
    </row>
    <row r="273" spans="2:6" x14ac:dyDescent="0.25">
      <c r="B273" s="53" t="s">
        <v>1241</v>
      </c>
      <c r="C273" s="67">
        <v>7</v>
      </c>
      <c r="D273" s="102">
        <f>D272-C273</f>
        <v>81</v>
      </c>
      <c r="E273" s="55">
        <f>D273/C270</f>
        <v>0.1386986301369863</v>
      </c>
      <c r="F273" s="156"/>
    </row>
    <row r="274" spans="2:6" x14ac:dyDescent="0.25">
      <c r="B274" s="53" t="s">
        <v>16</v>
      </c>
      <c r="C274" s="93">
        <v>2</v>
      </c>
      <c r="D274" s="102">
        <f>D273-C274</f>
        <v>79</v>
      </c>
      <c r="E274" s="55">
        <f>D274/C270</f>
        <v>0.13527397260273974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57</v>
      </c>
      <c r="E277" s="104">
        <f>D277/C277</f>
        <v>0.18566775244299674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45</v>
      </c>
      <c r="E278" s="113">
        <f>D278/C278</f>
        <v>0.16304347826086957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v>0</v>
      </c>
      <c r="E289" s="113"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5"/>
    </row>
    <row r="315" spans="2:6" x14ac:dyDescent="0.25">
      <c r="B315" s="53"/>
      <c r="C315" s="66"/>
      <c r="D315" s="54"/>
      <c r="E315" s="55"/>
      <c r="F315" s="156"/>
    </row>
    <row r="316" spans="2:6" x14ac:dyDescent="0.25">
      <c r="B316" s="53"/>
      <c r="C316" s="67"/>
      <c r="D316" s="102"/>
      <c r="E316" s="55"/>
      <c r="F316" s="156"/>
    </row>
    <row r="317" spans="2:6" x14ac:dyDescent="0.25">
      <c r="B317" s="53"/>
      <c r="C317" s="67"/>
      <c r="D317" s="102"/>
      <c r="E317" s="55"/>
      <c r="F317" s="156"/>
    </row>
    <row r="318" spans="2:6" x14ac:dyDescent="0.25">
      <c r="B318" s="53"/>
      <c r="C318" s="93"/>
      <c r="D318" s="102"/>
      <c r="E318" s="55"/>
      <c r="F318" s="156"/>
    </row>
    <row r="319" spans="2:6" ht="15.75" thickBot="1" x14ac:dyDescent="0.3">
      <c r="B319" s="56"/>
      <c r="C319" s="130"/>
      <c r="D319" s="103"/>
      <c r="E319" s="74"/>
      <c r="F319" s="156"/>
    </row>
    <row r="320" spans="2:6" ht="16.5" thickTop="1" thickBot="1" x14ac:dyDescent="0.3">
      <c r="B320" s="110"/>
      <c r="C320" s="109"/>
      <c r="D320" s="95"/>
      <c r="E320" s="101"/>
      <c r="F320" s="156"/>
    </row>
    <row r="321" spans="2:6" ht="16.5" thickTop="1" thickBot="1" x14ac:dyDescent="0.3">
      <c r="B321" s="97"/>
      <c r="C321" s="98"/>
      <c r="D321" s="114"/>
      <c r="E321" s="104"/>
      <c r="F321" s="156"/>
    </row>
    <row r="322" spans="2:6" ht="15.75" thickBot="1" x14ac:dyDescent="0.3">
      <c r="B322" s="111"/>
      <c r="C322" s="112"/>
      <c r="D322" s="112"/>
      <c r="E322" s="113"/>
      <c r="F322" s="157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5"/>
    </row>
    <row r="326" spans="2:6" x14ac:dyDescent="0.25">
      <c r="B326" s="53"/>
      <c r="C326" s="66"/>
      <c r="D326" s="54"/>
      <c r="E326" s="55"/>
      <c r="F326" s="156"/>
    </row>
    <row r="327" spans="2:6" x14ac:dyDescent="0.25">
      <c r="B327" s="53"/>
      <c r="C327" s="67"/>
      <c r="D327" s="102"/>
      <c r="E327" s="55"/>
      <c r="F327" s="156"/>
    </row>
    <row r="328" spans="2:6" x14ac:dyDescent="0.25">
      <c r="B328" s="53"/>
      <c r="C328" s="67"/>
      <c r="D328" s="102"/>
      <c r="E328" s="55"/>
      <c r="F328" s="156"/>
    </row>
    <row r="329" spans="2:6" x14ac:dyDescent="0.25">
      <c r="B329" s="53"/>
      <c r="C329" s="93"/>
      <c r="D329" s="102"/>
      <c r="E329" s="55"/>
      <c r="F329" s="156"/>
    </row>
    <row r="330" spans="2:6" ht="15.75" thickBot="1" x14ac:dyDescent="0.3">
      <c r="B330" s="56"/>
      <c r="C330" s="130"/>
      <c r="D330" s="103"/>
      <c r="E330" s="74"/>
      <c r="F330" s="156"/>
    </row>
    <row r="331" spans="2:6" ht="16.5" thickTop="1" thickBot="1" x14ac:dyDescent="0.3">
      <c r="B331" s="110"/>
      <c r="C331" s="109"/>
      <c r="D331" s="95"/>
      <c r="E331" s="101"/>
      <c r="F331" s="156"/>
    </row>
    <row r="332" spans="2:6" ht="16.5" thickTop="1" thickBot="1" x14ac:dyDescent="0.3">
      <c r="B332" s="97"/>
      <c r="C332" s="98"/>
      <c r="D332" s="114"/>
      <c r="E332" s="104"/>
      <c r="F332" s="156"/>
    </row>
    <row r="333" spans="2:6" ht="15.75" thickBot="1" x14ac:dyDescent="0.3">
      <c r="B333" s="111"/>
      <c r="C333" s="112"/>
      <c r="D333" s="112"/>
      <c r="E333" s="113"/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5"/>
    </row>
    <row r="338" spans="2:6" x14ac:dyDescent="0.25">
      <c r="B338" s="53"/>
      <c r="C338" s="66"/>
      <c r="D338" s="54"/>
      <c r="E338" s="55"/>
      <c r="F338" s="156"/>
    </row>
    <row r="339" spans="2:6" x14ac:dyDescent="0.25">
      <c r="B339" s="53"/>
      <c r="C339" s="67"/>
      <c r="D339" s="102"/>
      <c r="E339" s="55"/>
      <c r="F339" s="156"/>
    </row>
    <row r="340" spans="2:6" x14ac:dyDescent="0.25">
      <c r="B340" s="53"/>
      <c r="C340" s="67"/>
      <c r="D340" s="102"/>
      <c r="E340" s="55"/>
      <c r="F340" s="156"/>
    </row>
    <row r="341" spans="2:6" x14ac:dyDescent="0.25">
      <c r="B341" s="53"/>
      <c r="C341" s="93"/>
      <c r="D341" s="102"/>
      <c r="E341" s="55"/>
      <c r="F341" s="156"/>
    </row>
    <row r="342" spans="2:6" ht="15.75" thickBot="1" x14ac:dyDescent="0.3">
      <c r="B342" s="56"/>
      <c r="C342" s="130"/>
      <c r="D342" s="103"/>
      <c r="E342" s="74"/>
      <c r="F342" s="156"/>
    </row>
    <row r="343" spans="2:6" ht="16.5" thickTop="1" thickBot="1" x14ac:dyDescent="0.3">
      <c r="B343" s="110"/>
      <c r="C343" s="109"/>
      <c r="D343" s="95"/>
      <c r="E343" s="101"/>
      <c r="F343" s="156"/>
    </row>
    <row r="344" spans="2:6" ht="16.5" thickTop="1" thickBot="1" x14ac:dyDescent="0.3">
      <c r="B344" s="97"/>
      <c r="C344" s="98"/>
      <c r="D344" s="114"/>
      <c r="E344" s="104"/>
      <c r="F344" s="156"/>
    </row>
    <row r="345" spans="2:6" ht="15.75" thickBot="1" x14ac:dyDescent="0.3">
      <c r="B345" s="111"/>
      <c r="C345" s="112"/>
      <c r="D345" s="112"/>
      <c r="E345" s="113"/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2026-02-26T12:27:02Z</dcterms:modified>
</cp:coreProperties>
</file>