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5A2B70A0-5A2C-4A15-9657-4C4234D3833F}" xr6:coauthVersionLast="47" xr6:coauthVersionMax="47" xr10:uidLastSave="{00000000-0000-0000-0000-000000000000}"/>
  <bookViews>
    <workbookView xWindow="-120" yWindow="-120" windowWidth="1560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TOTAL'!$A$7:$D$488</definedName>
    <definedName name="_25_de_agosto_3" localSheetId="0">'RESUMEN TOTAL'!$A$7:$D$500</definedName>
    <definedName name="_30_mar">#REF!</definedName>
    <definedName name="_xlnm._FilterDatabase" localSheetId="3" hidden="1">paradas!$4:$4</definedName>
    <definedName name="_xlnm._FilterDatabase" localSheetId="0" hidden="1">'RESUMEN TOTAL'!$A$7:$AQ$580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1" i="24" l="1"/>
  <c r="J192" i="24" s="1"/>
  <c r="K231" i="2"/>
  <c r="I231" i="2"/>
  <c r="K394" i="2"/>
  <c r="I394" i="2"/>
  <c r="K565" i="2"/>
  <c r="I565" i="2"/>
  <c r="K218" i="2"/>
  <c r="I218" i="2"/>
  <c r="K412" i="2"/>
  <c r="I412" i="2"/>
  <c r="K564" i="2"/>
  <c r="I564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4" i="2"/>
  <c r="I524" i="2"/>
  <c r="K523" i="2"/>
  <c r="I523" i="2"/>
  <c r="K143" i="2"/>
  <c r="I143" i="2"/>
  <c r="J193" i="24" l="1"/>
  <c r="L565" i="2"/>
  <c r="L394" i="2"/>
  <c r="L231" i="2"/>
  <c r="L412" i="2"/>
  <c r="L218" i="2"/>
  <c r="L564" i="2"/>
  <c r="L144" i="2"/>
  <c r="L330" i="2"/>
  <c r="AJ3" i="26"/>
  <c r="AJ2" i="26"/>
  <c r="L424" i="2"/>
  <c r="L45" i="2"/>
  <c r="L44" i="2"/>
  <c r="L331" i="2"/>
  <c r="L189" i="2"/>
  <c r="L523" i="2"/>
  <c r="L524" i="2"/>
  <c r="L143" i="2"/>
  <c r="K274" i="2" l="1"/>
  <c r="I274" i="2"/>
  <c r="K273" i="2"/>
  <c r="I273" i="2"/>
  <c r="K213" i="2"/>
  <c r="I213" i="2"/>
  <c r="L274" i="2" l="1"/>
  <c r="L273" i="2"/>
  <c r="L213" i="2"/>
  <c r="K572" i="2"/>
  <c r="I572" i="2"/>
  <c r="K368" i="2"/>
  <c r="I368" i="2"/>
  <c r="K455" i="2"/>
  <c r="I455" i="2"/>
  <c r="K188" i="2"/>
  <c r="I188" i="2"/>
  <c r="L368" i="2" l="1"/>
  <c r="L572" i="2"/>
  <c r="L455" i="2"/>
  <c r="L188" i="2"/>
  <c r="K36" i="2" l="1"/>
  <c r="I36" i="2"/>
  <c r="K407" i="2"/>
  <c r="K408" i="2"/>
  <c r="I407" i="2"/>
  <c r="I408" i="2"/>
  <c r="K459" i="2"/>
  <c r="I459" i="2"/>
  <c r="K553" i="2"/>
  <c r="I553" i="2"/>
  <c r="K540" i="2"/>
  <c r="I540" i="2"/>
  <c r="K142" i="2"/>
  <c r="I142" i="2"/>
  <c r="K546" i="2"/>
  <c r="I546" i="2"/>
  <c r="K161" i="2"/>
  <c r="I161" i="2"/>
  <c r="K545" i="2"/>
  <c r="K547" i="2"/>
  <c r="I545" i="2"/>
  <c r="I547" i="2"/>
  <c r="K520" i="2"/>
  <c r="K521" i="2"/>
  <c r="K522" i="2"/>
  <c r="I520" i="2"/>
  <c r="I521" i="2"/>
  <c r="I522" i="2"/>
  <c r="K475" i="2"/>
  <c r="K476" i="2"/>
  <c r="K477" i="2"/>
  <c r="K478" i="2"/>
  <c r="I475" i="2"/>
  <c r="I476" i="2"/>
  <c r="I477" i="2"/>
  <c r="I478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0" i="2"/>
  <c r="I580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6" i="2"/>
  <c r="L41" i="2"/>
  <c r="L362" i="2"/>
  <c r="L36" i="2"/>
  <c r="L408" i="2"/>
  <c r="L407" i="2"/>
  <c r="L477" i="2"/>
  <c r="L459" i="2"/>
  <c r="L478" i="2"/>
  <c r="L43" i="2"/>
  <c r="L475" i="2"/>
  <c r="L450" i="2"/>
  <c r="L142" i="2"/>
  <c r="L553" i="2"/>
  <c r="L540" i="2"/>
  <c r="L139" i="2"/>
  <c r="L135" i="2"/>
  <c r="L453" i="2"/>
  <c r="L271" i="2"/>
  <c r="L285" i="2"/>
  <c r="L422" i="2"/>
  <c r="L138" i="2"/>
  <c r="L33" i="2"/>
  <c r="L521" i="2"/>
  <c r="L32" i="2"/>
  <c r="L217" i="2"/>
  <c r="L190" i="2"/>
  <c r="L452" i="2"/>
  <c r="L454" i="2"/>
  <c r="L187" i="2"/>
  <c r="L227" i="2"/>
  <c r="L546" i="2"/>
  <c r="L40" i="2"/>
  <c r="L140" i="2"/>
  <c r="L136" i="2"/>
  <c r="L31" i="2"/>
  <c r="L451" i="2"/>
  <c r="L520" i="2"/>
  <c r="L134" i="2"/>
  <c r="L42" i="2"/>
  <c r="L363" i="2"/>
  <c r="L547" i="2"/>
  <c r="L393" i="2"/>
  <c r="L160" i="2"/>
  <c r="L21" i="2"/>
  <c r="L186" i="2"/>
  <c r="L272" i="2"/>
  <c r="L286" i="2"/>
  <c r="L423" i="2"/>
  <c r="L522" i="2"/>
  <c r="L545" i="2"/>
  <c r="L161" i="2"/>
  <c r="L20" i="2"/>
  <c r="L141" i="2"/>
  <c r="L137" i="2"/>
  <c r="L212" i="2"/>
  <c r="L37" i="2"/>
  <c r="G6" i="25"/>
  <c r="AB6" i="25"/>
  <c r="W6" i="25"/>
  <c r="L580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7" i="2"/>
  <c r="K578" i="2"/>
  <c r="K579" i="2"/>
  <c r="I577" i="2"/>
  <c r="I578" i="2"/>
  <c r="I579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7" i="2"/>
  <c r="L578" i="2"/>
  <c r="L579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4" i="2"/>
  <c r="I474" i="2"/>
  <c r="K34" i="2"/>
  <c r="I34" i="2"/>
  <c r="K30" i="2"/>
  <c r="I30" i="2"/>
  <c r="D215" i="24" l="1"/>
  <c r="D205" i="24"/>
  <c r="D172" i="24"/>
  <c r="D160" i="24"/>
  <c r="D150" i="24"/>
  <c r="D70" i="24"/>
  <c r="L328" i="2"/>
  <c r="L329" i="2"/>
  <c r="L327" i="2"/>
  <c r="L410" i="2"/>
  <c r="L474" i="2"/>
  <c r="L34" i="2"/>
  <c r="L30" i="2"/>
  <c r="K533" i="2"/>
  <c r="I533" i="2"/>
  <c r="K284" i="2"/>
  <c r="I284" i="2"/>
  <c r="K473" i="2"/>
  <c r="I47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3" i="2"/>
  <c r="L284" i="2"/>
  <c r="L473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39" i="2"/>
  <c r="K539" i="2"/>
  <c r="D73" i="24" l="1"/>
  <c r="AI2" i="26"/>
  <c r="L162" i="2"/>
  <c r="L258" i="2"/>
  <c r="L374" i="2"/>
  <c r="L539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5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2" i="2"/>
  <c r="K462" i="2"/>
  <c r="I537" i="2"/>
  <c r="K537" i="2"/>
  <c r="I538" i="2"/>
  <c r="K538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2" i="2"/>
  <c r="L367" i="2"/>
  <c r="L202" i="2"/>
  <c r="L196" i="2"/>
  <c r="L158" i="2"/>
  <c r="L156" i="2"/>
  <c r="L208" i="2"/>
  <c r="L201" i="2"/>
  <c r="L154" i="2"/>
  <c r="L210" i="2"/>
  <c r="L537" i="2"/>
  <c r="L283" i="2"/>
  <c r="L211" i="2"/>
  <c r="L206" i="2"/>
  <c r="L157" i="2"/>
  <c r="L538" i="2"/>
  <c r="L207" i="2"/>
  <c r="L145" i="2"/>
  <c r="I471" i="2" l="1"/>
  <c r="I472" i="2"/>
  <c r="K471" i="2"/>
  <c r="K472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1" i="2" l="1"/>
  <c r="L152" i="2"/>
  <c r="L472" i="2"/>
  <c r="L360" i="2"/>
  <c r="L359" i="2"/>
  <c r="L257" i="2"/>
  <c r="L130" i="2"/>
  <c r="L129" i="2"/>
  <c r="AO1" i="2" l="1"/>
  <c r="O1" i="2"/>
  <c r="AN1" i="2"/>
  <c r="I519" i="2"/>
  <c r="K519" i="2"/>
  <c r="I246" i="2"/>
  <c r="K246" i="2"/>
  <c r="I571" i="2"/>
  <c r="K571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0" i="2"/>
  <c r="I461" i="2"/>
  <c r="I463" i="2"/>
  <c r="I464" i="2"/>
  <c r="I465" i="2"/>
  <c r="I466" i="2"/>
  <c r="I467" i="2"/>
  <c r="I468" i="2"/>
  <c r="I469" i="2"/>
  <c r="I470" i="2"/>
  <c r="I479" i="2"/>
  <c r="I480" i="2"/>
  <c r="I481" i="2"/>
  <c r="I482" i="2"/>
  <c r="I483" i="2"/>
  <c r="I484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25" i="2"/>
  <c r="I526" i="2"/>
  <c r="I527" i="2"/>
  <c r="I528" i="2"/>
  <c r="I529" i="2"/>
  <c r="I530" i="2"/>
  <c r="I531" i="2"/>
  <c r="I532" i="2"/>
  <c r="I534" i="2"/>
  <c r="I535" i="2"/>
  <c r="I536" i="2"/>
  <c r="I541" i="2"/>
  <c r="I542" i="2"/>
  <c r="I543" i="2"/>
  <c r="I544" i="2"/>
  <c r="I548" i="2"/>
  <c r="I549" i="2"/>
  <c r="I550" i="2"/>
  <c r="I551" i="2"/>
  <c r="I552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570" i="2"/>
  <c r="I573" i="2"/>
  <c r="I574" i="2"/>
  <c r="I575" i="2"/>
  <c r="I576" i="2"/>
  <c r="I9" i="2"/>
  <c r="I10" i="2"/>
  <c r="I11" i="2"/>
  <c r="I12" i="2"/>
  <c r="I13" i="2"/>
  <c r="I14" i="2"/>
  <c r="I15" i="2"/>
  <c r="I8" i="2"/>
  <c r="K576" i="2"/>
  <c r="K575" i="2"/>
  <c r="K574" i="2"/>
  <c r="K573" i="2"/>
  <c r="K570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2" i="2"/>
  <c r="K551" i="2"/>
  <c r="K550" i="2"/>
  <c r="K549" i="2"/>
  <c r="K548" i="2"/>
  <c r="K544" i="2"/>
  <c r="K543" i="2"/>
  <c r="K542" i="2"/>
  <c r="K541" i="2"/>
  <c r="K536" i="2"/>
  <c r="K535" i="2"/>
  <c r="K534" i="2"/>
  <c r="K532" i="2"/>
  <c r="K531" i="2"/>
  <c r="K530" i="2"/>
  <c r="K529" i="2"/>
  <c r="K528" i="2"/>
  <c r="K527" i="2"/>
  <c r="K526" i="2"/>
  <c r="K525" i="2"/>
  <c r="K518" i="2"/>
  <c r="K517" i="2"/>
  <c r="K516" i="2"/>
  <c r="K515" i="2"/>
  <c r="K514" i="2"/>
  <c r="K513" i="2"/>
  <c r="K512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0" i="2"/>
  <c r="K469" i="2"/>
  <c r="K468" i="2"/>
  <c r="K467" i="2"/>
  <c r="K466" i="2"/>
  <c r="K465" i="2"/>
  <c r="K464" i="2"/>
  <c r="K463" i="2"/>
  <c r="K461" i="2"/>
  <c r="K460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1" i="2" l="1"/>
  <c r="L519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3" i="2"/>
  <c r="L563" i="2"/>
  <c r="L182" i="2"/>
  <c r="L236" i="2"/>
  <c r="L253" i="2"/>
  <c r="L484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69" i="2"/>
  <c r="L489" i="2"/>
  <c r="L517" i="2"/>
  <c r="L554" i="2"/>
  <c r="L52" i="2"/>
  <c r="L56" i="2"/>
  <c r="L167" i="2"/>
  <c r="L172" i="2"/>
  <c r="L198" i="2"/>
  <c r="L556" i="2"/>
  <c r="L560" i="2"/>
  <c r="L512" i="2"/>
  <c r="L516" i="2"/>
  <c r="L548" i="2"/>
  <c r="L561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0" i="2"/>
  <c r="L503" i="2"/>
  <c r="L525" i="2"/>
  <c r="L567" i="2"/>
  <c r="L573" i="2"/>
  <c r="L109" i="2"/>
  <c r="L113" i="2"/>
  <c r="L358" i="2"/>
  <c r="L383" i="2"/>
  <c r="L396" i="2"/>
  <c r="L436" i="2"/>
  <c r="L431" i="2"/>
  <c r="L463" i="2"/>
  <c r="L562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4" i="2"/>
  <c r="L481" i="2"/>
  <c r="L488" i="2"/>
  <c r="L508" i="2"/>
  <c r="L530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6" i="2"/>
  <c r="L504" i="2"/>
  <c r="L574" i="2"/>
  <c r="L150" i="2"/>
  <c r="L164" i="2"/>
  <c r="L173" i="2"/>
  <c r="L501" i="2"/>
  <c r="L505" i="2"/>
  <c r="L402" i="2"/>
  <c r="L509" i="2"/>
  <c r="L526" i="2"/>
  <c r="L90" i="2"/>
  <c r="L91" i="2"/>
  <c r="L165" i="2"/>
  <c r="L256" i="2"/>
  <c r="L433" i="2"/>
  <c r="L464" i="2"/>
  <c r="L535" i="2"/>
  <c r="L552" i="2"/>
  <c r="L566" i="2"/>
  <c r="L570" i="2"/>
  <c r="L68" i="2"/>
  <c r="L199" i="2"/>
  <c r="L214" i="2"/>
  <c r="L312" i="2"/>
  <c r="L317" i="2"/>
  <c r="L418" i="2"/>
  <c r="L461" i="2"/>
  <c r="L531" i="2"/>
  <c r="L295" i="2"/>
  <c r="L493" i="2"/>
  <c r="L497" i="2"/>
  <c r="L515" i="2"/>
  <c r="L518" i="2"/>
  <c r="L568" i="2"/>
  <c r="L102" i="2"/>
  <c r="L240" i="2"/>
  <c r="L249" i="2"/>
  <c r="L268" i="2"/>
  <c r="L397" i="2"/>
  <c r="L415" i="2"/>
  <c r="L432" i="2"/>
  <c r="L429" i="2"/>
  <c r="L445" i="2"/>
  <c r="L479" i="2"/>
  <c r="L490" i="2"/>
  <c r="L549" i="2"/>
  <c r="L53" i="2"/>
  <c r="L57" i="2"/>
  <c r="L177" i="2"/>
  <c r="L221" i="2"/>
  <c r="L529" i="2"/>
  <c r="L532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7" i="2"/>
  <c r="L513" i="2"/>
  <c r="L557" i="2"/>
  <c r="L575" i="2"/>
  <c r="L19" i="2"/>
  <c r="L435" i="2"/>
  <c r="L507" i="2"/>
  <c r="L510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2" i="2"/>
  <c r="L551" i="2"/>
  <c r="L555" i="2"/>
  <c r="L59" i="2"/>
  <c r="L82" i="2"/>
  <c r="L86" i="2"/>
  <c r="L304" i="2"/>
  <c r="L315" i="2"/>
  <c r="L313" i="2"/>
  <c r="L348" i="2"/>
  <c r="L352" i="2"/>
  <c r="L400" i="2"/>
  <c r="L403" i="2"/>
  <c r="L421" i="2"/>
  <c r="L470" i="2"/>
  <c r="L527" i="2"/>
  <c r="L252" i="2"/>
  <c r="L320" i="2"/>
  <c r="L339" i="2"/>
  <c r="L340" i="2"/>
  <c r="L334" i="2"/>
  <c r="L456" i="2"/>
  <c r="L342" i="2"/>
  <c r="L335" i="2"/>
  <c r="L333" i="2"/>
  <c r="L321" i="2"/>
  <c r="L322" i="2"/>
  <c r="L542" i="2"/>
  <c r="L541" i="2"/>
  <c r="L534" i="2"/>
  <c r="L468" i="2"/>
  <c r="L263" i="2"/>
  <c r="L224" i="2"/>
  <c r="L125" i="2"/>
  <c r="L74" i="2"/>
  <c r="L558" i="2"/>
  <c r="L485" i="2"/>
  <c r="L467" i="2"/>
  <c r="L465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0" i="2"/>
  <c r="L536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0" i="2"/>
  <c r="L482" i="2"/>
  <c r="L495" i="2"/>
  <c r="L499" i="2"/>
  <c r="L502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6" i="2"/>
  <c r="L491" i="2"/>
  <c r="L494" i="2"/>
  <c r="L506" i="2"/>
  <c r="L514" i="2"/>
  <c r="L528" i="2"/>
  <c r="L550" i="2"/>
  <c r="L559" i="2"/>
  <c r="L569" i="2"/>
  <c r="L576" i="2"/>
  <c r="L446" i="2"/>
  <c r="L430" i="2"/>
  <c r="L457" i="2"/>
  <c r="L483" i="2"/>
  <c r="L486" i="2"/>
  <c r="L49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1" i="2"/>
  <c r="L511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<sst xmlns="http://schemas.openxmlformats.org/spreadsheetml/2006/main" count="6673" uniqueCount="2288">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</sst>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7.9470198675496692E-2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7.9470198675496692E-2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7.9470198675496692E-2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7.9470198675496692E-2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82"/>
  <sheetViews>
    <sheetView zoomScale="42" zoomScaleNormal="42" workbookViewId="0">
      <pane xSplit="12" ySplit="7" topLeftCell="M531" activePane="bottomRight" state="frozen"/>
      <selection pane="topRight" activeCell="M1" sqref="M1"/>
      <selection pane="bottomLeft" activeCell="A5" sqref="A5"/>
      <selection pane="bottomRight" activeCell="A8" sqref="A8:B580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COUNTA(B8:B734)</f>
        <v>573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0.12917933130699089</v>
      </c>
      <c r="N1" s="3">
        <f t="shared" si="0"/>
        <v>0.1088646967340591</v>
      </c>
      <c r="O1" s="3">
        <f t="shared" si="0"/>
        <v>0.1225114854517611</v>
      </c>
      <c r="P1" s="3">
        <f t="shared" si="0"/>
        <v>0.17435158501440923</v>
      </c>
      <c r="Q1" s="3">
        <f t="shared" si="0"/>
        <v>0.16228070175438597</v>
      </c>
      <c r="R1" s="3">
        <f t="shared" si="0"/>
        <v>0.13444108761329304</v>
      </c>
      <c r="S1" s="3">
        <f t="shared" si="0"/>
        <v>0.13704819277108435</v>
      </c>
      <c r="T1" s="3">
        <f t="shared" si="0"/>
        <v>0.14221556886227546</v>
      </c>
      <c r="U1" s="3">
        <f t="shared" si="0"/>
        <v>0.13181818181818181</v>
      </c>
      <c r="V1" s="3">
        <f t="shared" si="0"/>
        <v>0.11981566820276497</v>
      </c>
      <c r="W1" s="3">
        <f t="shared" si="0"/>
        <v>0.13444108761329304</v>
      </c>
      <c r="X1" s="3">
        <f t="shared" si="0"/>
        <v>0.13704819277108435</v>
      </c>
      <c r="Y1" s="3">
        <f t="shared" si="0"/>
        <v>0.12652439024390244</v>
      </c>
      <c r="Z1" s="3"/>
      <c r="AA1" s="3">
        <f t="shared" ref="AA1:AP1" si="1">(AA3)/(AA2+AA3)</f>
        <v>0.13834586466165413</v>
      </c>
      <c r="AB1" s="3">
        <f t="shared" si="1"/>
        <v>0.12385321100917432</v>
      </c>
      <c r="AC1" s="3">
        <f t="shared" si="1"/>
        <v>0.14732142857142858</v>
      </c>
      <c r="AD1" s="3">
        <f t="shared" si="1"/>
        <v>0.16472303206997085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573</v>
      </c>
      <c r="N2" s="7">
        <f t="shared" si="3"/>
        <v>573</v>
      </c>
      <c r="O2" s="7">
        <f t="shared" si="3"/>
        <v>573</v>
      </c>
      <c r="P2" s="7">
        <f t="shared" si="3"/>
        <v>573</v>
      </c>
      <c r="Q2" s="7">
        <f t="shared" si="3"/>
        <v>573</v>
      </c>
      <c r="R2" s="7">
        <f t="shared" si="3"/>
        <v>573</v>
      </c>
      <c r="S2" s="7">
        <f t="shared" si="3"/>
        <v>573</v>
      </c>
      <c r="T2" s="7">
        <f t="shared" si="3"/>
        <v>573</v>
      </c>
      <c r="U2" s="7">
        <f t="shared" si="3"/>
        <v>573</v>
      </c>
      <c r="V2" s="7">
        <f t="shared" si="3"/>
        <v>573</v>
      </c>
      <c r="W2" s="7">
        <f t="shared" si="3"/>
        <v>573</v>
      </c>
      <c r="X2" s="7">
        <f t="shared" si="3"/>
        <v>573</v>
      </c>
      <c r="Y2" s="7">
        <f t="shared" si="3"/>
        <v>573</v>
      </c>
      <c r="Z2" s="7">
        <f t="shared" si="3"/>
        <v>573</v>
      </c>
      <c r="AA2" s="7">
        <f t="shared" si="3"/>
        <v>573</v>
      </c>
      <c r="AB2" s="7">
        <f t="shared" si="3"/>
        <v>573</v>
      </c>
      <c r="AC2" s="7">
        <f t="shared" si="3"/>
        <v>573</v>
      </c>
      <c r="AD2" s="7">
        <f t="shared" si="3"/>
        <v>573</v>
      </c>
      <c r="AE2" s="7">
        <f t="shared" si="3"/>
        <v>573</v>
      </c>
      <c r="AF2" s="7">
        <f t="shared" si="3"/>
        <v>573</v>
      </c>
      <c r="AG2" s="7">
        <f t="shared" si="3"/>
        <v>573</v>
      </c>
      <c r="AH2" s="7">
        <f t="shared" si="3"/>
        <v>573</v>
      </c>
      <c r="AI2" s="7">
        <f t="shared" si="3"/>
        <v>573</v>
      </c>
      <c r="AJ2" s="7">
        <f t="shared" si="3"/>
        <v>573</v>
      </c>
      <c r="AK2" s="7">
        <f t="shared" si="3"/>
        <v>573</v>
      </c>
      <c r="AL2" s="7">
        <f t="shared" si="3"/>
        <v>573</v>
      </c>
      <c r="AM2" s="7">
        <f t="shared" si="3"/>
        <v>573</v>
      </c>
      <c r="AN2" s="7">
        <f t="shared" si="3"/>
        <v>573</v>
      </c>
      <c r="AO2" s="7">
        <f t="shared" si="3"/>
        <v>573</v>
      </c>
      <c r="AP2" s="7">
        <f t="shared" si="3"/>
        <v>573</v>
      </c>
      <c r="AQ2" s="7">
        <f t="shared" si="3"/>
        <v>573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COUNTIF(M7:M734,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COUNTIFS(M8:M688, "=APAGADO",F8:F688,"=Fibra Optica")</f>
        <v>36</v>
      </c>
      <c r="N4" s="10">
        <f>COUNTIFS(N8:N688, "=APAGADO",F8:F688,"=Fibra Optica")</f>
        <v>31</v>
      </c>
      <c r="O4" s="10">
        <f>COUNTIFS(O8:O688, "=APAGADO",F8:F688,"=Fibra Optica")</f>
        <v>41</v>
      </c>
      <c r="P4" s="10">
        <f>COUNTIFS(P8:P688, "=APAGADO",F8:F688,"=Fibra Optica")</f>
        <v>57</v>
      </c>
      <c r="Q4" s="10">
        <f>COUNTIFS(Q8:Q688, "=APAGADO",F8:F688,"=Fibra Optica")</f>
        <v>48</v>
      </c>
      <c r="R4" s="10">
        <f>COUNTIFS(R8:R688, "=APAGADO",F8:F688,"=Fibra Optica")</f>
        <v>30</v>
      </c>
      <c r="S4" s="10">
        <f>COUNTIFS(S8:S688, "=APAGADO",F8:F688,"=Fibra Optica")</f>
        <v>30</v>
      </c>
      <c r="T4" s="10">
        <f>COUNTIFS(T8:T688, "=APAGADO",F8:F688,"=Fibra Optica")</f>
        <v>33</v>
      </c>
      <c r="U4" s="10">
        <f>COUNTIFS(U8:U688, "=APAGADO",F8:F688,"=Fibra Optica")</f>
        <v>27</v>
      </c>
      <c r="V4" s="10">
        <f>COUNTIFS(V8:V688, "=APAGADO",F8:F688,"=Fibra Optica")</f>
        <v>26</v>
      </c>
      <c r="W4" s="10">
        <f>COUNTIFS(W8:W688, "=APAGADO",F8:F688,"=Fibra Optica")</f>
        <v>35</v>
      </c>
      <c r="X4" s="10">
        <f>COUNTIFS(X8:X688, "=APAGADO",F8:F688,"=Fibra Optica")</f>
        <v>37</v>
      </c>
      <c r="Y4" s="10">
        <f>COUNTIFS(Y8:Y688, "=APAGADO",F8:F688,"=Fibra Optica")</f>
        <v>33</v>
      </c>
      <c r="Z4" s="10">
        <f>COUNTIFS(Z8:Z688, "=APAGADO",F8:F688,"=Fibra Optica")</f>
        <v>29</v>
      </c>
      <c r="AA4" s="10">
        <f>COUNTIFS(AA8:AA688, "=APAGADO",F8:F688,"=Fibra Optica")</f>
        <v>32</v>
      </c>
      <c r="AB4" s="10">
        <f>COUNTIFS(AB8:AB688, "=APAGADO",F8:F688,"=Fibra Optica")</f>
        <v>42</v>
      </c>
      <c r="AC4" s="10">
        <f>COUNTIFS(AC8:AC688, "=APAGADO",F8:F688,"=Fibra Optica")</f>
        <v>61</v>
      </c>
      <c r="AD4" s="10">
        <f>COUNTIFS(AD8:AD688, "=APAGADO",F8:F688,"=Fibra Optica")</f>
        <v>72</v>
      </c>
      <c r="AE4" s="10">
        <f>COUNTIFS(AE8:AE688, "=APAGADO",F8:F688,"=Fibra Optica")</f>
        <v>0</v>
      </c>
      <c r="AF4" s="10">
        <f>COUNTIFS(AF8:AF688, "=APAGADO",F8:F688,"=Fibra Optica")</f>
        <v>0</v>
      </c>
      <c r="AG4" s="10">
        <f>COUNTIFS(AG8:AG688, "=APAGADO",F8:F688,"=Fibra Optica")</f>
        <v>0</v>
      </c>
      <c r="AH4" s="10">
        <f>COUNTIFS(AH8:AH688, "=APAGADO",F8:F688,"=Fibra Optica")</f>
        <v>0</v>
      </c>
      <c r="AI4" s="10">
        <f>COUNTIFS(AI8:AI688, "=APAGADO",F8:F688,"=Fibra Optica")</f>
        <v>0</v>
      </c>
      <c r="AJ4" s="10">
        <f>COUNTIFS(AJ8:AJ688, "=APAGADO",F8:F688,"=Fibra Optica")</f>
        <v>0</v>
      </c>
      <c r="AK4" s="10">
        <f>COUNTIFS(AK8:AK688, "=APAGADO",F8:F688,"=Fibra Optica")</f>
        <v>0</v>
      </c>
      <c r="AL4" s="10">
        <f>COUNTIFS(AL8:AL688, "=APAGADO",F8:F688,"=Fibra Optica")</f>
        <v>0</v>
      </c>
      <c r="AM4" s="10">
        <f>COUNTIFS(AM8:AM688, "=APAGADO",F8:F688,"=Fibra Optica")</f>
        <v>0</v>
      </c>
      <c r="AN4" s="10">
        <f>COUNTIFS(AN8:AN688, "=APAGADO",F8:F688,"=Fibra Optica")</f>
        <v>0</v>
      </c>
      <c r="AO4" s="10">
        <f>COUNTIFS(AO8:AO688, "=APAGADO",F8:F688,"=Fibra Optica")</f>
        <v>0</v>
      </c>
      <c r="AP4" s="10">
        <f>COUNTIFS(AP8:AP688, "=APAGADO",F8:F688,"=Fibra Optica")</f>
        <v>0</v>
      </c>
      <c r="AQ4" s="10">
        <f>COUNTIFS(AQ8:AQ688, "=APAGADO",G8:G688,"=Fibra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COUNTIFS(M8:M688, "=APAGADO",F8:F688,"=RADIO")</f>
        <v>9</v>
      </c>
      <c r="N5" s="130">
        <f>COUNTIFS(N8:N688, "=APAGADO",F8:F688,"=RADIO")</f>
        <v>9</v>
      </c>
      <c r="O5" s="130">
        <f>COUNTIFS(O8:O688, "=APAGADO",F8:F688,"=RADIO")</f>
        <v>9</v>
      </c>
      <c r="P5" s="130">
        <f>COUNTIFS(P8:P688, "=APAGADO",F8:F688,"=RADIO")</f>
        <v>16</v>
      </c>
      <c r="Q5" s="130">
        <f>COUNTIFS(Q8:Q688, "=APAGADO",F8:F688,"=RADIO")</f>
        <v>15</v>
      </c>
      <c r="R5" s="130">
        <f>COUNTIFS(R8:R688, "=APAGADO",F8:F688,"=RADIO")</f>
        <v>15</v>
      </c>
      <c r="S5" s="130">
        <f>COUNTIFS(S8:S688, "=APAGADO",F8:F688,"=RADIO")</f>
        <v>15</v>
      </c>
      <c r="T5" s="130">
        <f>COUNTIFS(T8:T688, "=APAGADO",F8:F688,"=RADIO")</f>
        <v>15</v>
      </c>
      <c r="U5" s="130">
        <f>COUNTIFS(U8:U688, "=APAGADO",F8:F688,"=RADIO")</f>
        <v>15</v>
      </c>
      <c r="V5" s="130">
        <f>COUNTIFS(V8:V688, "=APAGADO",F8:F688,"=RADIO")</f>
        <v>8</v>
      </c>
      <c r="W5" s="130">
        <f>COUNTIFS(W8:W688, "=APAGADO",F8:F688,"=RADIO")</f>
        <v>3</v>
      </c>
      <c r="X5" s="130">
        <f>COUNTIFS(X8:X688, "=APAGADO",F8:F688,"=RADIO")</f>
        <v>5</v>
      </c>
      <c r="Y5" s="130">
        <f>COUNTIFS(Y8:Y688, "=APAGADO",F8:F688,"=RADIO")</f>
        <v>2</v>
      </c>
      <c r="Z5" s="130">
        <f>COUNTIFS(Z8:Z688, "=APAGADO",F8:F688,"=RADIO")</f>
        <v>2</v>
      </c>
      <c r="AA5" s="130">
        <f>COUNTIFS(AA8:AA688, "=APAGADO",F8:F688,"=RADIO")</f>
        <v>11</v>
      </c>
      <c r="AB5" s="130">
        <f>COUNTIFS(AB8:AB688, "=APAGADO",F8:F688,"=RADIO")</f>
        <v>2</v>
      </c>
      <c r="AC5" s="130">
        <f>COUNTIFS(AC8:AC688, "=APAGADO",F8:F688,"=RADIO")</f>
        <v>4</v>
      </c>
      <c r="AD5" s="130">
        <f>COUNTIFS(AD8:AD688, "=APAGADO",F8:F688,"=RADIO")</f>
        <v>2</v>
      </c>
      <c r="AE5" s="130">
        <f>COUNTIFS(AE8:AE688, "=APAGADO",F8:F688,"=RADIO")</f>
        <v>0</v>
      </c>
      <c r="AF5" s="130">
        <f>COUNTIFS(AF8:AF688, "=APAGADO",F8:F688,"=RADIO")</f>
        <v>0</v>
      </c>
      <c r="AG5" s="130">
        <f>COUNTIFS(AG8:AG688, "=APAGADO",F8:F688,"=RADIO")</f>
        <v>0</v>
      </c>
      <c r="AH5" s="130">
        <f>COUNTIFS(AH8:AH688, "=APAGADO",F8:F688,"=RADIO")</f>
        <v>0</v>
      </c>
      <c r="AI5" s="130">
        <f>COUNTIFS(AI8:AI688, "=APAGADO",F8:F688,"=RADIO")</f>
        <v>0</v>
      </c>
      <c r="AJ5" s="130">
        <f>COUNTIFS(AJ8:AJ688, "=APAGADO",F8:F688,"=RADIO")</f>
        <v>0</v>
      </c>
      <c r="AK5" s="130">
        <f>COUNTIFS(AK8:AK688, "=APAGADO",F8:F688,"=RADIO")</f>
        <v>0</v>
      </c>
      <c r="AL5" s="130">
        <f>COUNTIFS(AL8:AL688, "=APAGADO",F8:F688,"=RADIO")</f>
        <v>0</v>
      </c>
      <c r="AM5" s="130">
        <f>COUNTIFS(AM8:AM688, "=APAGADO",F8:F688,"=RADIO")</f>
        <v>0</v>
      </c>
      <c r="AN5" s="130">
        <f>COUNTIFS(AN8:AN688, "=APAGADO",F8:F688,"=RADIO")</f>
        <v>0</v>
      </c>
      <c r="AO5" s="130">
        <f>COUNTIFS(AO8:AO688, "=APAGADO",F8:F688,"=RADIO")</f>
        <v>0</v>
      </c>
      <c r="AP5" s="130">
        <f>COUNTIFS(AP8:AP688, "=APAGADO",F8:F688,"=RADIO")</f>
        <v>0</v>
      </c>
      <c r="AQ5" s="130">
        <f>COUNTIFS(AQ8:AQ688, "=APAGADO",G8:G688,"=RADIO")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COUNTIFS(M8:M688, "=APAGADO",F8:F688,"=PTO A FO")</f>
        <v>13</v>
      </c>
      <c r="N6" s="10">
        <f>COUNTIFS(N8:N688, "=APAGADO",F8:F688,"=PTO A FO")</f>
        <v>6</v>
      </c>
      <c r="O6" s="10">
        <f>COUNTIFS(O8:O688, "=APAGADO",F8:F688,"=PTO A FO")</f>
        <v>6</v>
      </c>
      <c r="P6" s="10">
        <f>COUNTIFS(P8:P688, "=APAGADO",F8:F688,"=PTO A FO")</f>
        <v>11</v>
      </c>
      <c r="Q6" s="10">
        <f>COUNTIFS(Q8:Q688, "=APAGADO",F8:F688,"=PTO A FO")</f>
        <v>8</v>
      </c>
      <c r="R6" s="10">
        <f>COUNTIFS(R8:R688, "=APAGADO",F8:F688,"=PTO A FO")</f>
        <v>5</v>
      </c>
      <c r="S6" s="10">
        <f>COUNTIFS(S8:S688, "=APAGADO",F8:F688,"=PTO A FO")</f>
        <v>5</v>
      </c>
      <c r="T6" s="10">
        <f>COUNTIFS(T8:T688, "=APAGADO",F8:F688,"=PTO A FO")</f>
        <v>7</v>
      </c>
      <c r="U6" s="10">
        <f>COUNTIFS(U8:U688, "=APAGADO",F8:F688,"=PTO A FO")</f>
        <v>5</v>
      </c>
      <c r="V6" s="10">
        <f>COUNTIFS(V8:V688, "=APAGADO",F8:F688,"=PTO A FO")</f>
        <v>5</v>
      </c>
      <c r="W6" s="10">
        <f>COUNTIFS(W8:W688, "=APAGADO",F8:F688,"=PTO A FO")</f>
        <v>8</v>
      </c>
      <c r="X6" s="10">
        <f>COUNTIFS(X8:X688, "=APAGADO",F8:F688,"=PTO A FO")</f>
        <v>8</v>
      </c>
      <c r="Y6" s="10">
        <f>COUNTIFS(Y8:Y688, "=APAGADO",F8:F688,"=PTO A FO")</f>
        <v>6</v>
      </c>
      <c r="Z6" s="10">
        <f>COUNTIFS(Z8:Z688, "=APAGADO",F8:F688,"=PTO A FO")</f>
        <v>6</v>
      </c>
      <c r="AA6" s="10">
        <f>COUNTIFS(AA8:AA688, "=APAGADO",F8:F688,"=PTO A FO")</f>
        <v>6</v>
      </c>
      <c r="AB6" s="10">
        <f>COUNTIFS(AB8:AB688, "=APAGADO",F8:F688,"=PTO A FO")</f>
        <v>6</v>
      </c>
      <c r="AC6" s="10">
        <f>COUNTIFS(AC8:AC688, "=APAGADO",F8:F688,"=PTO A FO")</f>
        <v>8</v>
      </c>
      <c r="AD6" s="10">
        <f>COUNTIFS(AD8:AD688, "=APAGADO",F8:F688,"=PTO A FO")</f>
        <v>11</v>
      </c>
      <c r="AE6" s="10">
        <f>COUNTIFS(AE8:AE688, "=APAGADO",F8:F688,"=PTO A FO")</f>
        <v>0</v>
      </c>
      <c r="AF6" s="10">
        <f>COUNTIFS(AF8:AF688, "=APAGADO",F8:F688,"=PTO A FO")</f>
        <v>0</v>
      </c>
      <c r="AG6" s="10">
        <f>COUNTIFS(AG8:AG688, "=APAGADO",F8:F688,"=PTO A FO")</f>
        <v>0</v>
      </c>
      <c r="AH6" s="10">
        <f>COUNTIFS(AH8:AH688, "=APAGADO",F8:F688,"=PTO A FO")</f>
        <v>0</v>
      </c>
      <c r="AI6" s="10">
        <f>COUNTIFS(AI8:AI688, "=APAGADO",F8:F688,"=PTO A FO")</f>
        <v>0</v>
      </c>
      <c r="AJ6" s="10">
        <f>COUNTIFS(AJ8:AJ688, "=APAGADO",F8:F688,"=PTO A FO")</f>
        <v>0</v>
      </c>
      <c r="AK6" s="10">
        <f>COUNTIFS(AK8:AK688, "=APAGADO",F8:F688,"=PTO A FO")</f>
        <v>0</v>
      </c>
      <c r="AL6" s="10">
        <f>COUNTIFS(AL8:AL688, "=APAGADO",F8:F688,"=PTO A FO")</f>
        <v>0</v>
      </c>
      <c r="AM6" s="10">
        <f>COUNTIFS(AM8:AM688, "=APAGADO",F8:F688,"=PTO A FO")</f>
        <v>0</v>
      </c>
      <c r="AN6" s="10">
        <f>COUNTIFS(AN8:AN688, "=APAGADO",F8:F688,"=PTO A FO")</f>
        <v>0</v>
      </c>
      <c r="AO6" s="10">
        <f>COUNTIFS(AO8:AO688, "=APAGADO",F8:F688,"=PTO A FO")</f>
        <v>0</v>
      </c>
      <c r="AP6" s="10">
        <f>COUNTIFS(AP8:AP688, "=APAGADO",F8:F688,"=PTO A FO")</f>
        <v>0</v>
      </c>
      <c r="AQ6" s="10">
        <f>COUNTIFS(AQ8:AQ688, "=APAGADO",G8:G688,"=PTO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21</v>
      </c>
      <c r="J8" s="147" t="s">
        <v>1667</v>
      </c>
      <c r="K8" s="31">
        <f t="shared" ref="K8:K85" si="6">COUNTIF(M8:AN8,"APAGADO")</f>
        <v>7</v>
      </c>
      <c r="L8" s="32">
        <f t="shared" ref="L8:L85" si="7">(I8)/(K8+I8)</f>
        <v>0.75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21</v>
      </c>
      <c r="J9" s="147" t="s">
        <v>1668</v>
      </c>
      <c r="K9" s="31">
        <f t="shared" si="6"/>
        <v>7</v>
      </c>
      <c r="L9" s="32">
        <f t="shared" si="7"/>
        <v>0.75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21</v>
      </c>
      <c r="J14" s="147" t="s">
        <v>1673</v>
      </c>
      <c r="K14" s="31">
        <f t="shared" si="6"/>
        <v>7</v>
      </c>
      <c r="L14" s="32">
        <f t="shared" si="7"/>
        <v>0.75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10</v>
      </c>
      <c r="J17" s="150" t="s">
        <v>1676</v>
      </c>
      <c r="K17" s="142">
        <f t="shared" si="6"/>
        <v>18</v>
      </c>
      <c r="L17" s="143">
        <f t="shared" si="7"/>
        <v>0.35714285714285715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10</v>
      </c>
      <c r="J19" s="147" t="s">
        <v>1677</v>
      </c>
      <c r="K19" s="31">
        <f t="shared" si="6"/>
        <v>18</v>
      </c>
      <c r="L19" s="32">
        <f t="shared" si="7"/>
        <v>0.35714285714285715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10</v>
      </c>
      <c r="J20" s="147" t="s">
        <v>1678</v>
      </c>
      <c r="K20" s="31">
        <f t="shared" si="6"/>
        <v>18</v>
      </c>
      <c r="L20" s="32">
        <f t="shared" si="7"/>
        <v>0.35714285714285715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hidden="1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hidden="1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hidden="1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hidden="1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10</v>
      </c>
      <c r="J34" s="147" t="s">
        <v>1689</v>
      </c>
      <c r="K34" s="134">
        <f t="shared" si="6"/>
        <v>18</v>
      </c>
      <c r="L34" s="135">
        <f t="shared" si="7"/>
        <v>0.35714285714285715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hidden="1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hidden="1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10</v>
      </c>
      <c r="J36" s="87" t="s">
        <v>2157</v>
      </c>
      <c r="K36" s="142">
        <f t="shared" si="6"/>
        <v>18</v>
      </c>
      <c r="L36" s="143">
        <f t="shared" si="7"/>
        <v>0.35714285714285715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hidden="1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hidden="1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25</v>
      </c>
      <c r="J38" s="147" t="s">
        <v>1690</v>
      </c>
      <c r="K38" s="31">
        <f t="shared" si="6"/>
        <v>3</v>
      </c>
      <c r="L38" s="32">
        <f t="shared" si="7"/>
        <v>0.8928571428571429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25</v>
      </c>
      <c r="J39" s="147" t="s">
        <v>1691</v>
      </c>
      <c r="K39" s="31">
        <f t="shared" si="6"/>
        <v>3</v>
      </c>
      <c r="L39" s="32">
        <f t="shared" si="7"/>
        <v>0.8928571428571429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25</v>
      </c>
      <c r="J43" s="87" t="s">
        <v>2192</v>
      </c>
      <c r="K43" s="31">
        <f t="shared" si="6"/>
        <v>3</v>
      </c>
      <c r="L43" s="32">
        <f t="shared" si="7"/>
        <v>0.8928571428571429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11</v>
      </c>
      <c r="J89" s="147" t="s">
        <v>1733</v>
      </c>
      <c r="K89" s="31">
        <f t="shared" si="9"/>
        <v>17</v>
      </c>
      <c r="L89" s="32">
        <f t="shared" si="10"/>
        <v>0.39285714285714285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10</v>
      </c>
      <c r="J99" s="147" t="s">
        <v>1743</v>
      </c>
      <c r="K99" s="142">
        <f t="shared" si="9"/>
        <v>18</v>
      </c>
      <c r="L99" s="143">
        <f t="shared" si="10"/>
        <v>0.35714285714285715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19</v>
      </c>
      <c r="J130" s="147" t="s">
        <v>1773</v>
      </c>
      <c r="K130" s="31">
        <f t="shared" si="9"/>
        <v>9</v>
      </c>
      <c r="L130" s="32">
        <f t="shared" si="10"/>
        <v>0.6785714285714286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hidden="1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hidden="1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hidden="1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hidden="1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hidden="1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hidden="1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10</v>
      </c>
      <c r="J168" s="147" t="s">
        <v>1801</v>
      </c>
      <c r="K168" s="31">
        <f t="shared" si="12"/>
        <v>18</v>
      </c>
      <c r="L168" s="32">
        <f t="shared" si="13"/>
        <v>0.35714285714285715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27</v>
      </c>
      <c r="J169" s="147" t="s">
        <v>1802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hidden="1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hidden="1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hidden="1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hidden="1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26</v>
      </c>
      <c r="J180" s="147" t="s">
        <v>1812</v>
      </c>
      <c r="K180" s="31">
        <f t="shared" si="12"/>
        <v>2</v>
      </c>
      <c r="L180" s="32">
        <f t="shared" si="13"/>
        <v>0.9285714285714286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26</v>
      </c>
      <c r="J181" s="147" t="s">
        <v>1813</v>
      </c>
      <c r="K181" s="31">
        <f t="shared" si="12"/>
        <v>2</v>
      </c>
      <c r="L181" s="32">
        <f t="shared" si="13"/>
        <v>0.9285714285714286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26</v>
      </c>
      <c r="J182" s="147" t="s">
        <v>1814</v>
      </c>
      <c r="K182" s="31">
        <f t="shared" si="12"/>
        <v>2</v>
      </c>
      <c r="L182" s="32">
        <f t="shared" si="13"/>
        <v>0.9285714285714286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24</v>
      </c>
      <c r="J183" s="147" t="s">
        <v>1815</v>
      </c>
      <c r="K183" s="31">
        <f t="shared" si="12"/>
        <v>4</v>
      </c>
      <c r="L183" s="32">
        <f t="shared" si="13"/>
        <v>0.8571428571428571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hidden="1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hidden="1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hidden="1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hidden="1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hidden="1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hidden="1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hidden="1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11</v>
      </c>
      <c r="J193" s="87"/>
      <c r="K193" s="138">
        <f t="shared" si="12"/>
        <v>17</v>
      </c>
      <c r="L193" s="139">
        <f t="shared" si="13"/>
        <v>0.39285714285714285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21</v>
      </c>
      <c r="J194" s="147" t="s">
        <v>1822</v>
      </c>
      <c r="K194" s="142">
        <f t="shared" si="12"/>
        <v>7</v>
      </c>
      <c r="L194" s="143">
        <f t="shared" si="13"/>
        <v>0.75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17</v>
      </c>
      <c r="J195" s="147" t="s">
        <v>1823</v>
      </c>
      <c r="K195" s="142">
        <f t="shared" si="12"/>
        <v>11</v>
      </c>
      <c r="L195" s="143">
        <f t="shared" si="13"/>
        <v>0.6071428571428571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10</v>
      </c>
      <c r="J201" s="147" t="s">
        <v>1828</v>
      </c>
      <c r="K201" s="31">
        <f t="shared" si="12"/>
        <v>18</v>
      </c>
      <c r="L201" s="32">
        <f t="shared" si="13"/>
        <v>0.35714285714285715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20</v>
      </c>
      <c r="J211" s="147" t="s">
        <v>1837</v>
      </c>
      <c r="K211" s="142">
        <f t="shared" si="12"/>
        <v>8</v>
      </c>
      <c r="L211" s="143">
        <f t="shared" si="13"/>
        <v>0.7142857142857143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11</v>
      </c>
      <c r="J217" s="147" t="s">
        <v>1842</v>
      </c>
      <c r="K217" s="142">
        <f t="shared" si="12"/>
        <v>17</v>
      </c>
      <c r="L217" s="143">
        <f t="shared" si="13"/>
        <v>0.39285714285714285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hidden="1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18</v>
      </c>
      <c r="J219" s="87"/>
      <c r="K219" s="31">
        <f t="shared" si="12"/>
        <v>10</v>
      </c>
      <c r="L219" s="32">
        <f t="shared" si="13"/>
        <v>0.6428571428571429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hidden="1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18</v>
      </c>
      <c r="J220" s="87"/>
      <c r="K220" s="31">
        <f t="shared" si="12"/>
        <v>10</v>
      </c>
      <c r="L220" s="32">
        <f t="shared" si="13"/>
        <v>0.6428571428571429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hidden="1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hidden="1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hidden="1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hidden="1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21</v>
      </c>
      <c r="J232" s="147" t="s">
        <v>1852</v>
      </c>
      <c r="K232" s="31">
        <f t="shared" si="12"/>
        <v>7</v>
      </c>
      <c r="L232" s="32">
        <f t="shared" si="13"/>
        <v>0.75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10</v>
      </c>
      <c r="J234" s="147" t="s">
        <v>1854</v>
      </c>
      <c r="K234" s="31">
        <f t="shared" si="12"/>
        <v>18</v>
      </c>
      <c r="L234" s="32">
        <f t="shared" si="13"/>
        <v>0.35714285714285715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26</v>
      </c>
      <c r="J246" s="147" t="s">
        <v>1866</v>
      </c>
      <c r="K246" s="31">
        <f t="shared" si="15"/>
        <v>2</v>
      </c>
      <c r="L246" s="32">
        <f t="shared" si="16"/>
        <v>0.9285714285714286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hidden="1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hidden="1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hidden="1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hidden="1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hidden="1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hidden="1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hidden="1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hidden="1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hidden="1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11</v>
      </c>
      <c r="J281" s="147" t="s">
        <v>1893</v>
      </c>
      <c r="K281" s="31">
        <f t="shared" si="15"/>
        <v>17</v>
      </c>
      <c r="L281" s="32">
        <f t="shared" si="16"/>
        <v>0.39285714285714285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hidden="1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hidden="1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20</v>
      </c>
      <c r="J290" s="147" t="s">
        <v>1901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hidden="1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20</v>
      </c>
      <c r="J291" s="147" t="s">
        <v>1902</v>
      </c>
      <c r="K291" s="31">
        <f t="shared" si="15"/>
        <v>8</v>
      </c>
      <c r="L291" s="32">
        <f t="shared" si="16"/>
        <v>0.7142857142857143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hidden="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10</v>
      </c>
      <c r="J296" s="147" t="s">
        <v>1907</v>
      </c>
      <c r="K296" s="31">
        <f t="shared" si="15"/>
        <v>18</v>
      </c>
      <c r="L296" s="32">
        <f t="shared" si="16"/>
        <v>0.35714285714285715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hidden="1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hidden="1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hidden="1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10</v>
      </c>
      <c r="J308" s="147" t="s">
        <v>1918</v>
      </c>
      <c r="K308" s="142">
        <f t="shared" si="15"/>
        <v>18</v>
      </c>
      <c r="L308" s="143">
        <f t="shared" si="16"/>
        <v>0.35714285714285715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hidden="1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hidden="1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10</v>
      </c>
      <c r="J310" s="147" t="s">
        <v>1919</v>
      </c>
      <c r="K310" s="31">
        <f t="shared" ref="K310:K380" si="18">COUNTIF(M310:AN310,"APAGADO")</f>
        <v>18</v>
      </c>
      <c r="L310" s="32">
        <f t="shared" ref="L310:L380" si="19">(I310)/(K310+I310)</f>
        <v>0.35714285714285715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hidden="1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10</v>
      </c>
      <c r="J311" s="147" t="s">
        <v>1920</v>
      </c>
      <c r="K311" s="142">
        <f t="shared" si="18"/>
        <v>18</v>
      </c>
      <c r="L311" s="143">
        <f t="shared" si="19"/>
        <v>0.35714285714285715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hidden="1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10</v>
      </c>
      <c r="J312" s="87" t="s">
        <v>2197</v>
      </c>
      <c r="K312" s="142">
        <f t="shared" si="18"/>
        <v>18</v>
      </c>
      <c r="L312" s="143">
        <f t="shared" si="19"/>
        <v>0.35714285714285715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hidden="1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10</v>
      </c>
      <c r="J313" s="147" t="s">
        <v>1921</v>
      </c>
      <c r="K313" s="142">
        <f t="shared" si="18"/>
        <v>18</v>
      </c>
      <c r="L313" s="143">
        <f t="shared" si="19"/>
        <v>0.35714285714285715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hidden="1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12</v>
      </c>
      <c r="J314" s="147" t="s">
        <v>1922</v>
      </c>
      <c r="K314" s="31">
        <f t="shared" si="18"/>
        <v>16</v>
      </c>
      <c r="L314" s="32">
        <f t="shared" si="19"/>
        <v>0.42857142857142855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18</v>
      </c>
      <c r="J315" s="147" t="s">
        <v>1923</v>
      </c>
      <c r="K315" s="31">
        <f t="shared" si="18"/>
        <v>10</v>
      </c>
      <c r="L315" s="32">
        <f t="shared" si="19"/>
        <v>0.6428571428571429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hidden="1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25</v>
      </c>
      <c r="J316" s="147" t="s">
        <v>1924</v>
      </c>
      <c r="K316" s="31">
        <f t="shared" si="18"/>
        <v>3</v>
      </c>
      <c r="L316" s="32">
        <f t="shared" si="19"/>
        <v>0.8928571428571429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hidden="1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hidden="1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hidden="1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hidden="1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hidden="1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hidden="1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25</v>
      </c>
      <c r="J326" s="147" t="s">
        <v>1934</v>
      </c>
      <c r="K326" s="31">
        <f t="shared" si="18"/>
        <v>3</v>
      </c>
      <c r="L326" s="32">
        <f t="shared" si="19"/>
        <v>0.8928571428571429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25</v>
      </c>
      <c r="J327" s="147" t="s">
        <v>1935</v>
      </c>
      <c r="K327" s="31">
        <f t="shared" si="18"/>
        <v>3</v>
      </c>
      <c r="L327" s="32">
        <f t="shared" si="19"/>
        <v>0.8928571428571429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25</v>
      </c>
      <c r="J328" s="147" t="s">
        <v>1936</v>
      </c>
      <c r="K328" s="31">
        <f t="shared" si="18"/>
        <v>3</v>
      </c>
      <c r="L328" s="32">
        <f t="shared" si="19"/>
        <v>0.8928571428571429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25</v>
      </c>
      <c r="J329" s="147" t="s">
        <v>1937</v>
      </c>
      <c r="K329" s="31">
        <f t="shared" si="18"/>
        <v>3</v>
      </c>
      <c r="L329" s="32">
        <f t="shared" si="19"/>
        <v>0.8928571428571429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25</v>
      </c>
      <c r="J330" s="153" t="s">
        <v>2241</v>
      </c>
      <c r="K330" s="31">
        <f t="shared" si="18"/>
        <v>3</v>
      </c>
      <c r="L330" s="32">
        <f t="shared" si="19"/>
        <v>0.8928571428571429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25</v>
      </c>
      <c r="J331" s="147" t="s">
        <v>2245</v>
      </c>
      <c r="K331" s="31">
        <f t="shared" si="18"/>
        <v>3</v>
      </c>
      <c r="L331" s="32">
        <f t="shared" si="19"/>
        <v>0.8928571428571429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hidden="1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hidden="1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hidden="1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hidden="1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10</v>
      </c>
      <c r="J351" s="147" t="s">
        <v>1953</v>
      </c>
      <c r="K351" s="142">
        <f t="shared" si="18"/>
        <v>18</v>
      </c>
      <c r="L351" s="143">
        <f t="shared" si="19"/>
        <v>0.35714285714285715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10</v>
      </c>
      <c r="J352" s="147" t="s">
        <v>1954</v>
      </c>
      <c r="K352" s="142">
        <f t="shared" si="18"/>
        <v>18</v>
      </c>
      <c r="L352" s="143">
        <f t="shared" si="19"/>
        <v>0.35714285714285715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hidden="1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11</v>
      </c>
      <c r="J375" s="73"/>
      <c r="K375" s="31">
        <f t="shared" si="18"/>
        <v>17</v>
      </c>
      <c r="L375" s="32">
        <f t="shared" si="19"/>
        <v>0.39285714285714285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24</v>
      </c>
      <c r="J378" s="147" t="s">
        <v>1975</v>
      </c>
      <c r="K378" s="31">
        <f t="shared" si="18"/>
        <v>4</v>
      </c>
      <c r="L378" s="32">
        <f t="shared" si="19"/>
        <v>0.8571428571428571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24</v>
      </c>
      <c r="J379" s="147" t="s">
        <v>1976</v>
      </c>
      <c r="K379" s="31">
        <f t="shared" si="18"/>
        <v>4</v>
      </c>
      <c r="L379" s="32">
        <f t="shared" si="19"/>
        <v>0.8571428571428571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24</v>
      </c>
      <c r="J380" s="147" t="s">
        <v>1977</v>
      </c>
      <c r="K380" s="31">
        <f t="shared" si="18"/>
        <v>4</v>
      </c>
      <c r="L380" s="32">
        <f t="shared" si="19"/>
        <v>0.8571428571428571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1" si="20">COUNTIF(M381:AN381,"")</f>
        <v>25</v>
      </c>
      <c r="J381" s="147" t="s">
        <v>1978</v>
      </c>
      <c r="K381" s="31">
        <f t="shared" ref="K381:K461" si="21">COUNTIF(M381:AN381,"APAGADO")</f>
        <v>3</v>
      </c>
      <c r="L381" s="32">
        <f t="shared" ref="L381:L461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10</v>
      </c>
      <c r="J388" s="147" t="s">
        <v>1985</v>
      </c>
      <c r="K388" s="31">
        <f t="shared" si="21"/>
        <v>18</v>
      </c>
      <c r="L388" s="32">
        <f t="shared" si="22"/>
        <v>0.35714285714285715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10</v>
      </c>
      <c r="J389" s="147" t="s">
        <v>1986</v>
      </c>
      <c r="K389" s="31">
        <f t="shared" si="21"/>
        <v>18</v>
      </c>
      <c r="L389" s="32">
        <f t="shared" si="22"/>
        <v>0.35714285714285715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10</v>
      </c>
      <c r="J393" s="87"/>
      <c r="K393" s="31">
        <f t="shared" si="21"/>
        <v>18</v>
      </c>
      <c r="L393" s="32">
        <f t="shared" si="22"/>
        <v>0.35714285714285715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hidden="1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19</v>
      </c>
      <c r="J395" s="87"/>
      <c r="K395" s="31">
        <f t="shared" si="21"/>
        <v>9</v>
      </c>
      <c r="L395" s="32">
        <f t="shared" si="22"/>
        <v>0.6785714285714286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hidden="1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hidden="1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hidden="1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hidden="1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10</v>
      </c>
      <c r="J399" s="147" t="s">
        <v>1991</v>
      </c>
      <c r="K399" s="87">
        <f t="shared" si="21"/>
        <v>18</v>
      </c>
      <c r="L399" s="88">
        <f t="shared" si="22"/>
        <v>0.35714285714285715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hidden="1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hidden="1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10</v>
      </c>
      <c r="J401" s="147" t="s">
        <v>1992</v>
      </c>
      <c r="K401" s="31">
        <f t="shared" si="21"/>
        <v>18</v>
      </c>
      <c r="L401" s="32">
        <f t="shared" si="22"/>
        <v>0.35714285714285715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hidden="1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10</v>
      </c>
      <c r="J402" s="147" t="s">
        <v>1993</v>
      </c>
      <c r="K402" s="31">
        <f t="shared" si="21"/>
        <v>18</v>
      </c>
      <c r="L402" s="32">
        <f t="shared" si="22"/>
        <v>0.35714285714285715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hidden="1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hidden="1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hidden="1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hidden="1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hidden="1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17</v>
      </c>
      <c r="J407" s="87" t="s">
        <v>2152</v>
      </c>
      <c r="K407" s="142">
        <f t="shared" si="21"/>
        <v>11</v>
      </c>
      <c r="L407" s="143">
        <f t="shared" si="22"/>
        <v>0.6071428571428571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hidden="1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hidden="1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hidden="1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hidden="1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hidden="1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hidden="1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13</v>
      </c>
      <c r="J413" s="147" t="s">
        <v>1998</v>
      </c>
      <c r="K413" s="142">
        <f t="shared" si="21"/>
        <v>15</v>
      </c>
      <c r="L413" s="143">
        <f t="shared" si="22"/>
        <v>0.4642857142857143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hidden="1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hidden="1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10</v>
      </c>
      <c r="J415" s="87"/>
      <c r="K415" s="31">
        <f t="shared" si="21"/>
        <v>18</v>
      </c>
      <c r="L415" s="32">
        <f t="shared" si="22"/>
        <v>0.35714285714285715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hidden="1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15</v>
      </c>
      <c r="J416" s="147" t="s">
        <v>2000</v>
      </c>
      <c r="K416" s="142">
        <f t="shared" si="21"/>
        <v>13</v>
      </c>
      <c r="L416" s="143">
        <f t="shared" si="22"/>
        <v>0.5357142857142857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hidden="1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hidden="1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hidden="1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12</v>
      </c>
      <c r="J420" s="147" t="s">
        <v>2003</v>
      </c>
      <c r="K420" s="31">
        <f t="shared" si="21"/>
        <v>16</v>
      </c>
      <c r="L420" s="32">
        <f t="shared" si="22"/>
        <v>0.42857142857142855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hidden="1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12</v>
      </c>
      <c r="J421" s="147" t="s">
        <v>2004</v>
      </c>
      <c r="K421" s="31">
        <f t="shared" si="21"/>
        <v>16</v>
      </c>
      <c r="L421" s="32">
        <f t="shared" si="22"/>
        <v>0.42857142857142855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hidden="1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hidden="1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hidden="1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hidden="1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19</v>
      </c>
      <c r="J429" s="147" t="s">
        <v>2011</v>
      </c>
      <c r="K429" s="31">
        <f t="shared" si="21"/>
        <v>9</v>
      </c>
      <c r="L429" s="32">
        <f t="shared" si="22"/>
        <v>0.6785714285714286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hidden="1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16</v>
      </c>
      <c r="J430" s="147" t="s">
        <v>2012</v>
      </c>
      <c r="K430" s="31">
        <f t="shared" si="21"/>
        <v>12</v>
      </c>
      <c r="L430" s="32">
        <f t="shared" si="22"/>
        <v>0.5714285714285714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hidden="1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hidden="1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hidden="1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12</v>
      </c>
      <c r="J436" s="147" t="s">
        <v>2017</v>
      </c>
      <c r="K436" s="31">
        <f t="shared" si="21"/>
        <v>16</v>
      </c>
      <c r="L436" s="32">
        <f t="shared" si="22"/>
        <v>0.42857142857142855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hidden="1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hidden="1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15</v>
      </c>
      <c r="J441" s="147" t="s">
        <v>2018</v>
      </c>
      <c r="K441" s="31">
        <f t="shared" si="21"/>
        <v>13</v>
      </c>
      <c r="L441" s="32">
        <f t="shared" si="22"/>
        <v>0.5357142857142857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10</v>
      </c>
      <c r="J442" s="147" t="s">
        <v>2019</v>
      </c>
      <c r="K442" s="31">
        <f t="shared" si="21"/>
        <v>18</v>
      </c>
      <c r="L442" s="32">
        <f t="shared" si="22"/>
        <v>0.35714285714285715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hidden="1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hidden="1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hidden="1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hidden="1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20</v>
      </c>
      <c r="J446" s="147" t="s">
        <v>2023</v>
      </c>
      <c r="K446" s="31">
        <f t="shared" si="21"/>
        <v>8</v>
      </c>
      <c r="L446" s="32">
        <f t="shared" si="22"/>
        <v>0.7142857142857143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19</v>
      </c>
      <c r="J447" s="147" t="s">
        <v>2024</v>
      </c>
      <c r="K447" s="31">
        <f t="shared" si="21"/>
        <v>9</v>
      </c>
      <c r="L447" s="32">
        <f t="shared" si="22"/>
        <v>0.6785714285714286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hidden="1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hidden="1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hidden="1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hidden="1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hidden="1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hidden="1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hidden="1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10</v>
      </c>
      <c r="J456" s="147" t="s">
        <v>2027</v>
      </c>
      <c r="K456" s="142">
        <f t="shared" si="21"/>
        <v>18</v>
      </c>
      <c r="L456" s="143">
        <f t="shared" si="22"/>
        <v>0.35714285714285715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hidden="1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10</v>
      </c>
      <c r="J457" s="147" t="s">
        <v>2028</v>
      </c>
      <c r="K457" s="142">
        <f t="shared" si="21"/>
        <v>18</v>
      </c>
      <c r="L457" s="143">
        <f t="shared" si="22"/>
        <v>0.35714285714285715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hidden="1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10</v>
      </c>
      <c r="J458" s="87"/>
      <c r="K458" s="142">
        <f t="shared" si="21"/>
        <v>18</v>
      </c>
      <c r="L458" s="143">
        <f t="shared" si="22"/>
        <v>0.35714285714285715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ht="15.75" thickBot="1" x14ac:dyDescent="0.3">
      <c r="A460" t="s">
        <v>264</v>
      </c>
      <c r="B460" t="s">
        <v>1033</v>
      </c>
      <c r="C460" t="s">
        <v>1062</v>
      </c>
      <c r="D460" t="s">
        <v>496</v>
      </c>
      <c r="E460" s="30" t="s">
        <v>19</v>
      </c>
      <c r="F460" s="30" t="s">
        <v>1056</v>
      </c>
      <c r="G460" s="30" t="s">
        <v>1257</v>
      </c>
      <c r="H460" s="30" t="s">
        <v>836</v>
      </c>
      <c r="I460" s="31">
        <f t="shared" si="20"/>
        <v>25</v>
      </c>
      <c r="J460" s="147" t="s">
        <v>2029</v>
      </c>
      <c r="K460" s="31">
        <f t="shared" si="21"/>
        <v>3</v>
      </c>
      <c r="L460" s="32">
        <f t="shared" si="22"/>
        <v>0.8928571428571429</v>
      </c>
      <c r="M460" s="70" t="s">
        <v>2213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 t="s">
        <v>2213</v>
      </c>
      <c r="AD460" s="70" t="s">
        <v>2213</v>
      </c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479</v>
      </c>
      <c r="B461" t="s">
        <v>480</v>
      </c>
      <c r="C461" t="s">
        <v>1062</v>
      </c>
      <c r="D461" t="s">
        <v>1615</v>
      </c>
      <c r="E461" s="30" t="s">
        <v>19</v>
      </c>
      <c r="F461" s="30" t="s">
        <v>1056</v>
      </c>
      <c r="G461" s="30" t="s">
        <v>1257</v>
      </c>
      <c r="H461" s="30" t="s">
        <v>828</v>
      </c>
      <c r="I461" s="31">
        <f t="shared" si="20"/>
        <v>26</v>
      </c>
      <c r="J461" s="147" t="s">
        <v>2030</v>
      </c>
      <c r="K461" s="31">
        <f t="shared" si="21"/>
        <v>2</v>
      </c>
      <c r="L461" s="32">
        <f t="shared" si="22"/>
        <v>0.9285714285714286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 t="s">
        <v>2213</v>
      </c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481</v>
      </c>
      <c r="C462" t="s">
        <v>1062</v>
      </c>
      <c r="D462" t="s">
        <v>482</v>
      </c>
      <c r="E462" s="30" t="s">
        <v>19</v>
      </c>
      <c r="F462" s="30" t="s">
        <v>28</v>
      </c>
      <c r="G462" s="30"/>
      <c r="H462" s="30" t="s">
        <v>829</v>
      </c>
      <c r="I462" s="31">
        <f t="shared" ref="I462:I534" si="23">COUNTIF(M462:AN462,"")</f>
        <v>28</v>
      </c>
      <c r="J462" s="147" t="s">
        <v>2031</v>
      </c>
      <c r="K462" s="31">
        <f t="shared" ref="K462:K534" si="24">COUNTIF(M462:AN462,"APAGADO")</f>
        <v>0</v>
      </c>
      <c r="L462" s="32">
        <f t="shared" ref="L462:L534" si="25">(I462)/(K462+I462)</f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483</v>
      </c>
      <c r="B463" t="s">
        <v>484</v>
      </c>
      <c r="C463" t="s">
        <v>1062</v>
      </c>
      <c r="D463" t="s">
        <v>485</v>
      </c>
      <c r="E463" s="30" t="s">
        <v>19</v>
      </c>
      <c r="F463" s="30" t="s">
        <v>28</v>
      </c>
      <c r="G463" s="30"/>
      <c r="H463" s="30" t="s">
        <v>830</v>
      </c>
      <c r="I463" s="31">
        <f t="shared" si="23"/>
        <v>28</v>
      </c>
      <c r="J463" s="147" t="s">
        <v>2032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479</v>
      </c>
      <c r="B464" t="s">
        <v>486</v>
      </c>
      <c r="C464" t="s">
        <v>1062</v>
      </c>
      <c r="D464" t="s">
        <v>487</v>
      </c>
      <c r="E464" s="30" t="s">
        <v>15</v>
      </c>
      <c r="F464" s="30" t="s">
        <v>28</v>
      </c>
      <c r="G464" s="30"/>
      <c r="H464" s="30" t="s">
        <v>831</v>
      </c>
      <c r="I464" s="31">
        <f t="shared" si="23"/>
        <v>28</v>
      </c>
      <c r="J464" s="147" t="s">
        <v>2033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488</v>
      </c>
      <c r="C465" t="s">
        <v>1062</v>
      </c>
      <c r="D465" t="s">
        <v>489</v>
      </c>
      <c r="E465" s="30" t="s">
        <v>19</v>
      </c>
      <c r="F465" s="30" t="s">
        <v>28</v>
      </c>
      <c r="G465" s="30"/>
      <c r="H465" s="30" t="s">
        <v>832</v>
      </c>
      <c r="I465" s="31">
        <f t="shared" si="23"/>
        <v>28</v>
      </c>
      <c r="J465" s="147" t="s">
        <v>2034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479</v>
      </c>
      <c r="B466" s="73" t="s">
        <v>490</v>
      </c>
      <c r="C466" s="73" t="s">
        <v>1062</v>
      </c>
      <c r="D466" s="73" t="s">
        <v>491</v>
      </c>
      <c r="E466" s="85" t="s">
        <v>15</v>
      </c>
      <c r="F466" s="85" t="s">
        <v>1301</v>
      </c>
      <c r="G466" s="85"/>
      <c r="H466" s="85" t="s">
        <v>833</v>
      </c>
      <c r="I466" s="142">
        <f t="shared" si="23"/>
        <v>28</v>
      </c>
      <c r="J466" s="147" t="s">
        <v>2035</v>
      </c>
      <c r="K466" s="142">
        <f t="shared" si="24"/>
        <v>0</v>
      </c>
      <c r="L466" s="143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89"/>
      <c r="AQ466" s="89"/>
    </row>
    <row r="467" spans="1:43" s="73" customFormat="1" ht="15.75" thickBot="1" x14ac:dyDescent="0.3">
      <c r="A467" s="73" t="s">
        <v>479</v>
      </c>
      <c r="B467" s="73" t="s">
        <v>492</v>
      </c>
      <c r="C467" s="73" t="s">
        <v>1062</v>
      </c>
      <c r="D467" s="73" t="s">
        <v>493</v>
      </c>
      <c r="E467" s="85" t="s">
        <v>19</v>
      </c>
      <c r="F467" s="85" t="s">
        <v>1301</v>
      </c>
      <c r="G467" s="85"/>
      <c r="H467" s="85" t="s">
        <v>834</v>
      </c>
      <c r="I467" s="31">
        <f t="shared" si="23"/>
        <v>28</v>
      </c>
      <c r="J467" s="147" t="s">
        <v>2036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ht="15.75" thickBot="1" x14ac:dyDescent="0.3">
      <c r="A468" t="s">
        <v>479</v>
      </c>
      <c r="B468" t="s">
        <v>494</v>
      </c>
      <c r="C468" t="s">
        <v>1062</v>
      </c>
      <c r="D468" t="s">
        <v>495</v>
      </c>
      <c r="E468" s="30" t="s">
        <v>19</v>
      </c>
      <c r="F468" s="30" t="s">
        <v>1056</v>
      </c>
      <c r="G468" s="30" t="s">
        <v>1258</v>
      </c>
      <c r="H468" s="30" t="s">
        <v>835</v>
      </c>
      <c r="I468" s="31">
        <f t="shared" si="23"/>
        <v>28</v>
      </c>
      <c r="J468" s="147" t="s">
        <v>2037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1188</v>
      </c>
      <c r="C469" s="73" t="s">
        <v>1062</v>
      </c>
      <c r="D469" s="73" t="s">
        <v>1189</v>
      </c>
      <c r="E469" s="85" t="s">
        <v>1114</v>
      </c>
      <c r="F469" s="85" t="s">
        <v>1301</v>
      </c>
      <c r="G469" s="85"/>
      <c r="H469" s="85" t="s">
        <v>1190</v>
      </c>
      <c r="I469" s="142">
        <f t="shared" si="23"/>
        <v>28</v>
      </c>
      <c r="J469" s="147" t="s">
        <v>2038</v>
      </c>
      <c r="K469" s="142">
        <f t="shared" si="24"/>
        <v>0</v>
      </c>
      <c r="L469" s="143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  <c r="AQ469" s="89"/>
    </row>
    <row r="470" spans="1:43" s="73" customFormat="1" ht="15.75" thickBot="1" x14ac:dyDescent="0.3">
      <c r="A470" s="73" t="s">
        <v>479</v>
      </c>
      <c r="B470" s="73" t="s">
        <v>1191</v>
      </c>
      <c r="C470" s="73" t="s">
        <v>1062</v>
      </c>
      <c r="D470" s="73" t="s">
        <v>1189</v>
      </c>
      <c r="E470" s="85" t="s">
        <v>1114</v>
      </c>
      <c r="F470" s="85" t="s">
        <v>28</v>
      </c>
      <c r="G470" s="85"/>
      <c r="H470" s="85" t="s">
        <v>1192</v>
      </c>
      <c r="I470" s="87">
        <f t="shared" si="23"/>
        <v>28</v>
      </c>
      <c r="J470" s="147" t="s">
        <v>2039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ht="15.75" thickBot="1" x14ac:dyDescent="0.3">
      <c r="A471" t="s">
        <v>479</v>
      </c>
      <c r="B471" t="s">
        <v>1221</v>
      </c>
      <c r="C471" t="s">
        <v>1062</v>
      </c>
      <c r="D471" t="s">
        <v>1237</v>
      </c>
      <c r="E471" t="s">
        <v>73</v>
      </c>
      <c r="F471" t="s">
        <v>28</v>
      </c>
      <c r="G471"/>
      <c r="H471" s="30" t="s">
        <v>1282</v>
      </c>
      <c r="I471" s="31">
        <f t="shared" si="23"/>
        <v>28</v>
      </c>
      <c r="J471" s="147" t="s">
        <v>2040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479</v>
      </c>
      <c r="B472" t="s">
        <v>1222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1283</v>
      </c>
      <c r="I472" s="31">
        <f t="shared" si="23"/>
        <v>28</v>
      </c>
      <c r="J472" s="147" t="s">
        <v>2041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1340</v>
      </c>
      <c r="C473" t="s">
        <v>1062</v>
      </c>
      <c r="D473" s="68" t="s">
        <v>1341</v>
      </c>
      <c r="E473" t="s">
        <v>73</v>
      </c>
      <c r="F473"/>
      <c r="G473"/>
      <c r="H473" s="30" t="s">
        <v>1330</v>
      </c>
      <c r="I473" s="31">
        <f t="shared" si="23"/>
        <v>28</v>
      </c>
      <c r="J473" s="147" t="s">
        <v>2042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479</v>
      </c>
      <c r="B474" s="73" t="s">
        <v>1352</v>
      </c>
      <c r="C474" s="73" t="s">
        <v>1062</v>
      </c>
      <c r="D474" s="146" t="s">
        <v>1359</v>
      </c>
      <c r="E474" s="73" t="s">
        <v>15</v>
      </c>
      <c r="F474" s="73" t="s">
        <v>1301</v>
      </c>
      <c r="H474" s="85" t="s">
        <v>1422</v>
      </c>
      <c r="I474" s="87">
        <f t="shared" si="23"/>
        <v>28</v>
      </c>
      <c r="J474" s="147" t="s">
        <v>2043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1609</v>
      </c>
      <c r="C475" s="73" t="s">
        <v>1062</v>
      </c>
      <c r="D475" s="146" t="s">
        <v>1614</v>
      </c>
      <c r="E475" s="73" t="s">
        <v>15</v>
      </c>
      <c r="F475" s="73" t="s">
        <v>1301</v>
      </c>
      <c r="H475" s="85" t="s">
        <v>1616</v>
      </c>
      <c r="I475" s="87">
        <f t="shared" si="23"/>
        <v>28</v>
      </c>
      <c r="J475" s="87" t="s">
        <v>2166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1627</v>
      </c>
      <c r="C476" s="73" t="s">
        <v>1062</v>
      </c>
      <c r="D476" s="146" t="s">
        <v>1620</v>
      </c>
      <c r="E476" s="73" t="s">
        <v>19</v>
      </c>
      <c r="F476" s="73" t="s">
        <v>1301</v>
      </c>
      <c r="H476" s="85" t="s">
        <v>1628</v>
      </c>
      <c r="I476" s="87">
        <f t="shared" si="23"/>
        <v>28</v>
      </c>
      <c r="J476" s="87" t="s">
        <v>2167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1622</v>
      </c>
      <c r="C477" s="73" t="s">
        <v>1062</v>
      </c>
      <c r="D477" s="146" t="s">
        <v>1621</v>
      </c>
      <c r="E477" s="73" t="s">
        <v>1114</v>
      </c>
      <c r="F477" s="73" t="s">
        <v>1301</v>
      </c>
      <c r="H477" s="85" t="s">
        <v>1626</v>
      </c>
      <c r="I477" s="87">
        <f t="shared" si="23"/>
        <v>28</v>
      </c>
      <c r="J477" s="87" t="s">
        <v>2168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1623</v>
      </c>
      <c r="C478" s="73" t="s">
        <v>1062</v>
      </c>
      <c r="D478" s="146" t="s">
        <v>1624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2169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hidden="1" thickBot="1" x14ac:dyDescent="0.3">
      <c r="A479" s="73" t="s">
        <v>229</v>
      </c>
      <c r="B479" s="73" t="s">
        <v>497</v>
      </c>
      <c r="C479" s="73" t="s">
        <v>1063</v>
      </c>
      <c r="D479" s="73" t="s">
        <v>498</v>
      </c>
      <c r="E479" s="85" t="s">
        <v>19</v>
      </c>
      <c r="F479" s="85" t="s">
        <v>1301</v>
      </c>
      <c r="G479" s="85"/>
      <c r="H479" s="85" t="s">
        <v>837</v>
      </c>
      <c r="I479" s="142">
        <f t="shared" si="23"/>
        <v>28</v>
      </c>
      <c r="J479" s="147" t="s">
        <v>2044</v>
      </c>
      <c r="K479" s="142">
        <f t="shared" si="24"/>
        <v>0</v>
      </c>
      <c r="L479" s="143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89"/>
      <c r="AQ479" s="89"/>
    </row>
    <row r="480" spans="1:43" ht="15.75" hidden="1" thickBot="1" x14ac:dyDescent="0.3">
      <c r="A480" t="s">
        <v>229</v>
      </c>
      <c r="B480" t="s">
        <v>499</v>
      </c>
      <c r="C480" t="s">
        <v>1063</v>
      </c>
      <c r="D480" t="s">
        <v>500</v>
      </c>
      <c r="E480" s="30" t="s">
        <v>15</v>
      </c>
      <c r="F480" s="30" t="s">
        <v>20</v>
      </c>
      <c r="G480" s="30"/>
      <c r="H480" s="30" t="s">
        <v>838</v>
      </c>
      <c r="I480" s="31">
        <f t="shared" si="23"/>
        <v>17</v>
      </c>
      <c r="J480" s="87"/>
      <c r="K480" s="31">
        <f t="shared" si="24"/>
        <v>11</v>
      </c>
      <c r="L480" s="32">
        <f t="shared" si="25"/>
        <v>0.6071428571428571</v>
      </c>
      <c r="M480" s="70" t="s">
        <v>2213</v>
      </c>
      <c r="N480" s="70" t="s">
        <v>2213</v>
      </c>
      <c r="O480" s="70" t="s">
        <v>2213</v>
      </c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 t="s">
        <v>2213</v>
      </c>
      <c r="W480" s="70"/>
      <c r="X480" s="70"/>
      <c r="Y480" s="70"/>
      <c r="Z480" s="70"/>
      <c r="AA480" s="70" t="s">
        <v>2213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229</v>
      </c>
      <c r="B481" t="s">
        <v>501</v>
      </c>
      <c r="C481" t="s">
        <v>1063</v>
      </c>
      <c r="D481" t="s">
        <v>502</v>
      </c>
      <c r="E481" s="30" t="s">
        <v>73</v>
      </c>
      <c r="F481" s="30" t="s">
        <v>20</v>
      </c>
      <c r="G481" s="30"/>
      <c r="H481" s="30" t="s">
        <v>839</v>
      </c>
      <c r="I481" s="31">
        <f t="shared" si="23"/>
        <v>21</v>
      </c>
      <c r="J481" s="87"/>
      <c r="K481" s="31">
        <f t="shared" si="24"/>
        <v>7</v>
      </c>
      <c r="L481" s="32">
        <f t="shared" si="25"/>
        <v>0.75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229</v>
      </c>
      <c r="B482" t="s">
        <v>503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840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hidden="1" thickBot="1" x14ac:dyDescent="0.3">
      <c r="A483" t="s">
        <v>229</v>
      </c>
      <c r="B483" t="s">
        <v>504</v>
      </c>
      <c r="C483" t="s">
        <v>1063</v>
      </c>
      <c r="D483" t="s">
        <v>505</v>
      </c>
      <c r="E483" s="30" t="s">
        <v>73</v>
      </c>
      <c r="F483" s="30" t="s">
        <v>20</v>
      </c>
      <c r="G483" s="30"/>
      <c r="H483" s="30" t="s">
        <v>841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hidden="1" thickBot="1" x14ac:dyDescent="0.3">
      <c r="A484" t="s">
        <v>229</v>
      </c>
      <c r="B484" t="s">
        <v>506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842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hidden="1" thickBot="1" x14ac:dyDescent="0.3">
      <c r="A485" t="s">
        <v>229</v>
      </c>
      <c r="B485" t="s">
        <v>507</v>
      </c>
      <c r="C485" t="s">
        <v>1063</v>
      </c>
      <c r="D485" t="s">
        <v>508</v>
      </c>
      <c r="E485" s="30" t="s">
        <v>15</v>
      </c>
      <c r="F485" s="30" t="s">
        <v>28</v>
      </c>
      <c r="G485" s="30"/>
      <c r="H485" s="30" t="s">
        <v>843</v>
      </c>
      <c r="I485" s="31">
        <f t="shared" si="23"/>
        <v>27</v>
      </c>
      <c r="J485" s="147" t="s">
        <v>2045</v>
      </c>
      <c r="K485" s="31">
        <f t="shared" si="24"/>
        <v>1</v>
      </c>
      <c r="L485" s="32">
        <f t="shared" si="25"/>
        <v>0.9642857142857143</v>
      </c>
      <c r="M485" s="70" t="s">
        <v>2213</v>
      </c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hidden="1" thickBot="1" x14ac:dyDescent="0.3">
      <c r="A486" t="s">
        <v>229</v>
      </c>
      <c r="B486" t="s">
        <v>1034</v>
      </c>
      <c r="C486" t="s">
        <v>1063</v>
      </c>
      <c r="D486" t="s">
        <v>509</v>
      </c>
      <c r="E486" s="30" t="s">
        <v>73</v>
      </c>
      <c r="F486" s="30" t="s">
        <v>28</v>
      </c>
      <c r="G486" s="30"/>
      <c r="H486" s="30" t="s">
        <v>844</v>
      </c>
      <c r="I486" s="31">
        <f t="shared" si="23"/>
        <v>28</v>
      </c>
      <c r="J486" s="147" t="s">
        <v>2046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hidden="1" thickBot="1" x14ac:dyDescent="0.3">
      <c r="A487" t="s">
        <v>229</v>
      </c>
      <c r="B487" t="s">
        <v>1035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845</v>
      </c>
      <c r="I487" s="31">
        <f t="shared" si="23"/>
        <v>28</v>
      </c>
      <c r="J487" s="147" t="s">
        <v>2047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hidden="1" thickBot="1" x14ac:dyDescent="0.3">
      <c r="A488" t="s">
        <v>229</v>
      </c>
      <c r="B488" t="s">
        <v>510</v>
      </c>
      <c r="C488" t="s">
        <v>1063</v>
      </c>
      <c r="D488" t="s">
        <v>511</v>
      </c>
      <c r="E488" s="30" t="s">
        <v>73</v>
      </c>
      <c r="F488" s="30" t="s">
        <v>28</v>
      </c>
      <c r="G488" s="30"/>
      <c r="H488" s="30" t="s">
        <v>846</v>
      </c>
      <c r="I488" s="31">
        <f t="shared" si="23"/>
        <v>28</v>
      </c>
      <c r="J488" s="147" t="s">
        <v>2048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hidden="1" thickBot="1" x14ac:dyDescent="0.3">
      <c r="A489" t="s">
        <v>229</v>
      </c>
      <c r="B489" t="s">
        <v>512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847</v>
      </c>
      <c r="I489" s="31">
        <f t="shared" si="23"/>
        <v>28</v>
      </c>
      <c r="J489" s="147" t="s">
        <v>2049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229</v>
      </c>
      <c r="B490" s="30" t="s">
        <v>1095</v>
      </c>
      <c r="C490" s="30" t="s">
        <v>1063</v>
      </c>
      <c r="D490" t="s">
        <v>1096</v>
      </c>
      <c r="E490" s="30" t="s">
        <v>19</v>
      </c>
      <c r="F490" s="30" t="s">
        <v>28</v>
      </c>
      <c r="G490" s="30"/>
      <c r="H490" s="30" t="s">
        <v>1097</v>
      </c>
      <c r="I490" s="31">
        <f t="shared" si="23"/>
        <v>26</v>
      </c>
      <c r="J490" s="147" t="s">
        <v>2050</v>
      </c>
      <c r="K490" s="31">
        <f t="shared" si="24"/>
        <v>2</v>
      </c>
      <c r="L490" s="32">
        <f t="shared" si="25"/>
        <v>0.9285714285714286</v>
      </c>
      <c r="M490" s="70" t="s">
        <v>2213</v>
      </c>
      <c r="N490" s="70" t="s">
        <v>2213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229</v>
      </c>
      <c r="B491" s="30" t="s">
        <v>1100</v>
      </c>
      <c r="C491" s="30" t="s">
        <v>1063</v>
      </c>
      <c r="D491" t="s">
        <v>1098</v>
      </c>
      <c r="E491" s="30" t="s">
        <v>19</v>
      </c>
      <c r="F491" s="30" t="s">
        <v>28</v>
      </c>
      <c r="G491" s="30"/>
      <c r="H491" s="30" t="s">
        <v>1099</v>
      </c>
      <c r="I491" s="31">
        <f t="shared" si="23"/>
        <v>28</v>
      </c>
      <c r="J491" s="147" t="s">
        <v>2051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229</v>
      </c>
      <c r="B492" s="30" t="s">
        <v>1101</v>
      </c>
      <c r="C492" s="30" t="s">
        <v>1063</v>
      </c>
      <c r="D492" t="s">
        <v>1102</v>
      </c>
      <c r="E492" s="30" t="s">
        <v>19</v>
      </c>
      <c r="F492" s="30" t="s">
        <v>28</v>
      </c>
      <c r="G492" s="30"/>
      <c r="H492" s="30" t="s">
        <v>1103</v>
      </c>
      <c r="I492" s="31">
        <f t="shared" si="23"/>
        <v>27</v>
      </c>
      <c r="J492" s="147" t="s">
        <v>2052</v>
      </c>
      <c r="K492" s="31">
        <f t="shared" si="24"/>
        <v>1</v>
      </c>
      <c r="L492" s="32">
        <f t="shared" si="25"/>
        <v>0.9642857142857143</v>
      </c>
      <c r="M492" s="70" t="s">
        <v>2213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518</v>
      </c>
      <c r="B493" t="s">
        <v>526</v>
      </c>
      <c r="C493" t="s">
        <v>1063</v>
      </c>
      <c r="D493" t="s">
        <v>2257</v>
      </c>
      <c r="E493" s="30" t="s">
        <v>19</v>
      </c>
      <c r="F493" s="30" t="s">
        <v>28</v>
      </c>
      <c r="G493" s="30"/>
      <c r="H493" s="30" t="s">
        <v>848</v>
      </c>
      <c r="I493" s="31">
        <f t="shared" si="23"/>
        <v>27</v>
      </c>
      <c r="J493" s="147" t="s">
        <v>2053</v>
      </c>
      <c r="K493" s="31">
        <f t="shared" si="24"/>
        <v>1</v>
      </c>
      <c r="L493" s="32">
        <f t="shared" si="25"/>
        <v>0.9642857142857143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 t="s">
        <v>2213</v>
      </c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514</v>
      </c>
      <c r="B494" t="s">
        <v>527</v>
      </c>
      <c r="C494" t="s">
        <v>1063</v>
      </c>
      <c r="D494" t="s">
        <v>1091</v>
      </c>
      <c r="E494" s="30" t="s">
        <v>19</v>
      </c>
      <c r="F494" s="30" t="s">
        <v>28</v>
      </c>
      <c r="G494" s="30"/>
      <c r="H494" s="30" t="s">
        <v>849</v>
      </c>
      <c r="I494" s="31">
        <f t="shared" si="23"/>
        <v>28</v>
      </c>
      <c r="J494" s="147" t="s">
        <v>2054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514</v>
      </c>
      <c r="B495" t="s">
        <v>528</v>
      </c>
      <c r="C495" t="s">
        <v>1063</v>
      </c>
      <c r="D495" t="s">
        <v>529</v>
      </c>
      <c r="E495" s="30" t="s">
        <v>19</v>
      </c>
      <c r="F495" s="30" t="s">
        <v>28</v>
      </c>
      <c r="G495" s="30"/>
      <c r="H495" s="30" t="s">
        <v>850</v>
      </c>
      <c r="I495" s="31">
        <f t="shared" si="23"/>
        <v>26</v>
      </c>
      <c r="J495" s="147" t="s">
        <v>2055</v>
      </c>
      <c r="K495" s="31">
        <f t="shared" si="24"/>
        <v>2</v>
      </c>
      <c r="L495" s="32">
        <f t="shared" si="25"/>
        <v>0.9285714285714286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 t="s">
        <v>2213</v>
      </c>
      <c r="X495" s="70" t="s">
        <v>2213</v>
      </c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s="73" t="s">
        <v>514</v>
      </c>
      <c r="B496" s="73" t="s">
        <v>530</v>
      </c>
      <c r="C496" s="73" t="s">
        <v>1063</v>
      </c>
      <c r="D496" s="73" t="s">
        <v>531</v>
      </c>
      <c r="E496" s="85" t="s">
        <v>19</v>
      </c>
      <c r="F496" s="85" t="s">
        <v>28</v>
      </c>
      <c r="G496" s="85"/>
      <c r="H496" s="85" t="s">
        <v>851</v>
      </c>
      <c r="I496" s="31">
        <f t="shared" si="23"/>
        <v>28</v>
      </c>
      <c r="J496" s="147" t="s">
        <v>2056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hidden="1" thickBot="1" x14ac:dyDescent="0.3">
      <c r="A497" s="73" t="s">
        <v>514</v>
      </c>
      <c r="B497" s="73" t="s">
        <v>532</v>
      </c>
      <c r="C497" s="73" t="s">
        <v>1063</v>
      </c>
      <c r="D497" s="73" t="s">
        <v>533</v>
      </c>
      <c r="E497" s="85" t="s">
        <v>19</v>
      </c>
      <c r="F497" s="85" t="s">
        <v>1301</v>
      </c>
      <c r="G497" s="85"/>
      <c r="H497" s="85" t="s">
        <v>1504</v>
      </c>
      <c r="I497" s="142">
        <f t="shared" si="23"/>
        <v>28</v>
      </c>
      <c r="J497" s="147" t="s">
        <v>2057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hidden="1" thickBot="1" x14ac:dyDescent="0.3">
      <c r="A498" t="s">
        <v>514</v>
      </c>
      <c r="B498" t="s">
        <v>534</v>
      </c>
      <c r="C498" t="s">
        <v>1063</v>
      </c>
      <c r="D498" t="s">
        <v>1069</v>
      </c>
      <c r="E498" s="30" t="s">
        <v>19</v>
      </c>
      <c r="F498" s="30" t="s">
        <v>28</v>
      </c>
      <c r="G498" s="30"/>
      <c r="H498" s="30" t="s">
        <v>852</v>
      </c>
      <c r="I498" s="31">
        <f t="shared" si="23"/>
        <v>28</v>
      </c>
      <c r="J498" s="147" t="s">
        <v>2058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514</v>
      </c>
      <c r="B499" t="s">
        <v>535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853</v>
      </c>
      <c r="I499" s="31">
        <f t="shared" si="23"/>
        <v>28</v>
      </c>
      <c r="J499" s="147" t="s">
        <v>2059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s="73" customFormat="1" ht="15.75" hidden="1" thickBot="1" x14ac:dyDescent="0.3">
      <c r="A500" s="73" t="s">
        <v>518</v>
      </c>
      <c r="B500" s="73" t="s">
        <v>536</v>
      </c>
      <c r="C500" s="73" t="s">
        <v>1063</v>
      </c>
      <c r="D500" s="73" t="s">
        <v>537</v>
      </c>
      <c r="E500" s="85" t="s">
        <v>19</v>
      </c>
      <c r="F500" s="85" t="s">
        <v>1301</v>
      </c>
      <c r="G500" s="85"/>
      <c r="H500" s="85" t="s">
        <v>854</v>
      </c>
      <c r="I500" s="142">
        <f t="shared" si="23"/>
        <v>28</v>
      </c>
      <c r="J500" s="147" t="s">
        <v>2060</v>
      </c>
      <c r="K500" s="142">
        <f t="shared" si="24"/>
        <v>0</v>
      </c>
      <c r="L500" s="143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hidden="1" thickBot="1" x14ac:dyDescent="0.3">
      <c r="A501" t="s">
        <v>518</v>
      </c>
      <c r="B501" t="s">
        <v>538</v>
      </c>
      <c r="C501" t="s">
        <v>1063</v>
      </c>
      <c r="D501" t="s">
        <v>539</v>
      </c>
      <c r="E501" s="30" t="s">
        <v>19</v>
      </c>
      <c r="F501" s="30" t="s">
        <v>28</v>
      </c>
      <c r="G501" s="30"/>
      <c r="H501" s="30" t="s">
        <v>855</v>
      </c>
      <c r="I501" s="31">
        <f t="shared" si="23"/>
        <v>28</v>
      </c>
      <c r="J501" s="147" t="s">
        <v>2061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514</v>
      </c>
      <c r="B502" t="s">
        <v>1036</v>
      </c>
      <c r="C502" t="s">
        <v>1063</v>
      </c>
      <c r="D502" t="s">
        <v>540</v>
      </c>
      <c r="E502" s="30" t="s">
        <v>19</v>
      </c>
      <c r="F502" s="30" t="s">
        <v>28</v>
      </c>
      <c r="G502" s="30"/>
      <c r="H502" s="30" t="s">
        <v>856</v>
      </c>
      <c r="I502" s="31">
        <f t="shared" si="23"/>
        <v>26</v>
      </c>
      <c r="J502" s="147" t="s">
        <v>2062</v>
      </c>
      <c r="K502" s="31">
        <f t="shared" si="24"/>
        <v>2</v>
      </c>
      <c r="L502" s="32">
        <f t="shared" si="25"/>
        <v>0.9285714285714286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 t="s">
        <v>2213</v>
      </c>
      <c r="X502" s="70" t="s">
        <v>2213</v>
      </c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518</v>
      </c>
      <c r="B503" t="s">
        <v>541</v>
      </c>
      <c r="C503" t="s">
        <v>1063</v>
      </c>
      <c r="D503" t="s">
        <v>542</v>
      </c>
      <c r="E503" s="30" t="s">
        <v>19</v>
      </c>
      <c r="F503" s="85" t="s">
        <v>1301</v>
      </c>
      <c r="G503" s="30"/>
      <c r="H503" s="30" t="s">
        <v>857</v>
      </c>
      <c r="I503" s="31">
        <f t="shared" si="23"/>
        <v>28</v>
      </c>
      <c r="J503" s="147" t="s">
        <v>2063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518</v>
      </c>
      <c r="B504" t="s">
        <v>1040</v>
      </c>
      <c r="C504" t="s">
        <v>1063</v>
      </c>
      <c r="D504" t="s">
        <v>513</v>
      </c>
      <c r="E504" s="30" t="s">
        <v>15</v>
      </c>
      <c r="F504" s="30" t="s">
        <v>1056</v>
      </c>
      <c r="G504" s="30" t="s">
        <v>1259</v>
      </c>
      <c r="H504" s="30" t="s">
        <v>858</v>
      </c>
      <c r="I504" s="31">
        <f t="shared" si="23"/>
        <v>18</v>
      </c>
      <c r="J504" s="147" t="s">
        <v>2064</v>
      </c>
      <c r="K504" s="31">
        <f t="shared" si="24"/>
        <v>10</v>
      </c>
      <c r="L504" s="32">
        <f t="shared" si="25"/>
        <v>0.6428571428571429</v>
      </c>
      <c r="M504" s="70" t="s">
        <v>2213</v>
      </c>
      <c r="N504" s="70" t="s">
        <v>2213</v>
      </c>
      <c r="O504" s="70" t="s">
        <v>2213</v>
      </c>
      <c r="P504" s="70" t="s">
        <v>2213</v>
      </c>
      <c r="Q504" s="70" t="s">
        <v>2213</v>
      </c>
      <c r="R504" s="70" t="s">
        <v>2213</v>
      </c>
      <c r="S504" s="70" t="s">
        <v>2213</v>
      </c>
      <c r="T504" s="70" t="s">
        <v>2213</v>
      </c>
      <c r="U504" s="70" t="s">
        <v>2213</v>
      </c>
      <c r="V504" s="70" t="s">
        <v>2213</v>
      </c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514</v>
      </c>
      <c r="B505" t="s">
        <v>1041</v>
      </c>
      <c r="C505" t="s">
        <v>1063</v>
      </c>
      <c r="D505" t="s">
        <v>515</v>
      </c>
      <c r="E505" s="30" t="s">
        <v>19</v>
      </c>
      <c r="F505" s="30" t="s">
        <v>28</v>
      </c>
      <c r="G505" s="30"/>
      <c r="H505" s="30" t="s">
        <v>859</v>
      </c>
      <c r="I505" s="31">
        <f t="shared" si="23"/>
        <v>27</v>
      </c>
      <c r="J505" s="147" t="s">
        <v>2065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2213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t="s">
        <v>518</v>
      </c>
      <c r="B506" t="s">
        <v>1037</v>
      </c>
      <c r="C506" t="s">
        <v>1063</v>
      </c>
      <c r="D506" t="s">
        <v>543</v>
      </c>
      <c r="E506" s="30" t="s">
        <v>15</v>
      </c>
      <c r="F506" s="30" t="s">
        <v>28</v>
      </c>
      <c r="G506" s="30"/>
      <c r="H506" s="30" t="s">
        <v>860</v>
      </c>
      <c r="I506" s="31">
        <f t="shared" si="23"/>
        <v>28</v>
      </c>
      <c r="J506" s="147" t="s">
        <v>2066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hidden="1" thickBot="1" x14ac:dyDescent="0.3">
      <c r="A507" t="s">
        <v>518</v>
      </c>
      <c r="B507" t="s">
        <v>516</v>
      </c>
      <c r="C507" t="s">
        <v>1063</v>
      </c>
      <c r="D507" t="s">
        <v>517</v>
      </c>
      <c r="E507" s="30" t="s">
        <v>15</v>
      </c>
      <c r="F507" s="30" t="s">
        <v>1056</v>
      </c>
      <c r="G507" s="30" t="s">
        <v>1260</v>
      </c>
      <c r="H507" s="30" t="s">
        <v>861</v>
      </c>
      <c r="I507" s="31">
        <f t="shared" si="23"/>
        <v>26</v>
      </c>
      <c r="J507" s="147" t="s">
        <v>2067</v>
      </c>
      <c r="K507" s="31">
        <f t="shared" si="24"/>
        <v>2</v>
      </c>
      <c r="L507" s="32">
        <f t="shared" si="25"/>
        <v>0.9285714285714286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 t="s">
        <v>2213</v>
      </c>
      <c r="X507" s="70" t="s">
        <v>2213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518</v>
      </c>
      <c r="B508" t="s">
        <v>519</v>
      </c>
      <c r="C508" t="s">
        <v>1063</v>
      </c>
      <c r="D508" t="s">
        <v>520</v>
      </c>
      <c r="E508" s="30" t="s">
        <v>15</v>
      </c>
      <c r="F508" s="30" t="s">
        <v>1056</v>
      </c>
      <c r="G508" s="30" t="s">
        <v>1256</v>
      </c>
      <c r="H508" s="30" t="s">
        <v>862</v>
      </c>
      <c r="I508" s="31">
        <f t="shared" si="23"/>
        <v>28</v>
      </c>
      <c r="J508" s="147" t="s">
        <v>2068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518</v>
      </c>
      <c r="B509" t="s">
        <v>521</v>
      </c>
      <c r="C509" t="s">
        <v>1063</v>
      </c>
      <c r="D509" t="s">
        <v>1090</v>
      </c>
      <c r="E509" s="30" t="s">
        <v>15</v>
      </c>
      <c r="F509" s="30" t="s">
        <v>1056</v>
      </c>
      <c r="G509" s="30" t="s">
        <v>1261</v>
      </c>
      <c r="H509" s="30" t="s">
        <v>863</v>
      </c>
      <c r="I509" s="31">
        <f t="shared" si="23"/>
        <v>10</v>
      </c>
      <c r="J509" s="147" t="s">
        <v>2069</v>
      </c>
      <c r="K509" s="31">
        <f t="shared" si="24"/>
        <v>18</v>
      </c>
      <c r="L509" s="32">
        <f t="shared" si="25"/>
        <v>0.35714285714285715</v>
      </c>
      <c r="M509" s="70" t="s">
        <v>2213</v>
      </c>
      <c r="N509" s="70" t="s">
        <v>2213</v>
      </c>
      <c r="O509" s="70" t="s">
        <v>2213</v>
      </c>
      <c r="P509" s="70" t="s">
        <v>2213</v>
      </c>
      <c r="Q509" s="70" t="s">
        <v>2213</v>
      </c>
      <c r="R509" s="70" t="s">
        <v>2213</v>
      </c>
      <c r="S509" s="70" t="s">
        <v>2213</v>
      </c>
      <c r="T509" s="70" t="s">
        <v>2213</v>
      </c>
      <c r="U509" s="70" t="s">
        <v>2213</v>
      </c>
      <c r="V509" s="70" t="s">
        <v>2213</v>
      </c>
      <c r="W509" s="70" t="s">
        <v>2213</v>
      </c>
      <c r="X509" s="70" t="s">
        <v>2213</v>
      </c>
      <c r="Y509" s="70" t="s">
        <v>2213</v>
      </c>
      <c r="Z509" s="70" t="s">
        <v>2213</v>
      </c>
      <c r="AA509" s="70" t="s">
        <v>2213</v>
      </c>
      <c r="AB509" s="70" t="s">
        <v>2213</v>
      </c>
      <c r="AC509" s="70" t="s">
        <v>2213</v>
      </c>
      <c r="AD509" s="70" t="s">
        <v>2213</v>
      </c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hidden="1" thickBot="1" x14ac:dyDescent="0.3">
      <c r="A510" t="s">
        <v>514</v>
      </c>
      <c r="B510" t="s">
        <v>1042</v>
      </c>
      <c r="C510" t="s">
        <v>1063</v>
      </c>
      <c r="D510" t="s">
        <v>522</v>
      </c>
      <c r="E510" s="30" t="s">
        <v>15</v>
      </c>
      <c r="F510" s="30" t="s">
        <v>1056</v>
      </c>
      <c r="G510" s="30" t="s">
        <v>1262</v>
      </c>
      <c r="H510" s="30" t="s">
        <v>864</v>
      </c>
      <c r="I510" s="31">
        <f t="shared" si="23"/>
        <v>26</v>
      </c>
      <c r="J510" s="147" t="s">
        <v>2070</v>
      </c>
      <c r="K510" s="31">
        <f t="shared" si="24"/>
        <v>2</v>
      </c>
      <c r="L510" s="32">
        <f t="shared" si="25"/>
        <v>0.9285714285714286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 t="s">
        <v>2213</v>
      </c>
      <c r="X510" s="70" t="s">
        <v>2213</v>
      </c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514</v>
      </c>
      <c r="B511" t="s">
        <v>1043</v>
      </c>
      <c r="C511" t="s">
        <v>1063</v>
      </c>
      <c r="D511" t="s">
        <v>523</v>
      </c>
      <c r="E511" s="30" t="s">
        <v>15</v>
      </c>
      <c r="F511" s="30" t="s">
        <v>20</v>
      </c>
      <c r="G511" s="30"/>
      <c r="H511" s="30" t="s">
        <v>865</v>
      </c>
      <c r="I511" s="31">
        <f t="shared" si="23"/>
        <v>28</v>
      </c>
      <c r="J511" s="73"/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hidden="1" thickBot="1" x14ac:dyDescent="0.3">
      <c r="A512" s="73" t="s">
        <v>518</v>
      </c>
      <c r="B512" s="73" t="s">
        <v>524</v>
      </c>
      <c r="C512" s="73" t="s">
        <v>1063</v>
      </c>
      <c r="D512" s="73" t="s">
        <v>525</v>
      </c>
      <c r="E512" s="85" t="s">
        <v>46</v>
      </c>
      <c r="F512" s="85" t="s">
        <v>1301</v>
      </c>
      <c r="G512" s="85"/>
      <c r="H512" s="85" t="s">
        <v>1367</v>
      </c>
      <c r="I512" s="142">
        <f t="shared" si="23"/>
        <v>28</v>
      </c>
      <c r="J512" s="147" t="s">
        <v>2071</v>
      </c>
      <c r="K512" s="142">
        <f t="shared" si="24"/>
        <v>0</v>
      </c>
      <c r="L512" s="143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hidden="1" thickBot="1" x14ac:dyDescent="0.3">
      <c r="A513" t="s">
        <v>514</v>
      </c>
      <c r="B513" t="s">
        <v>1038</v>
      </c>
      <c r="C513" t="s">
        <v>1063</v>
      </c>
      <c r="D513" t="s">
        <v>544</v>
      </c>
      <c r="E513" s="30" t="s">
        <v>73</v>
      </c>
      <c r="F513" s="30" t="s">
        <v>28</v>
      </c>
      <c r="G513" s="30"/>
      <c r="H513" s="30" t="s">
        <v>866</v>
      </c>
      <c r="I513" s="31">
        <f t="shared" si="23"/>
        <v>26</v>
      </c>
      <c r="J513" s="147" t="s">
        <v>2072</v>
      </c>
      <c r="K513" s="31">
        <f t="shared" si="24"/>
        <v>2</v>
      </c>
      <c r="L513" s="32">
        <f t="shared" si="25"/>
        <v>0.9285714285714286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 t="s">
        <v>2213</v>
      </c>
      <c r="X513" s="70" t="s">
        <v>2213</v>
      </c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514</v>
      </c>
      <c r="B514" t="s">
        <v>1039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867</v>
      </c>
      <c r="I514" s="31">
        <f t="shared" si="23"/>
        <v>26</v>
      </c>
      <c r="J514" s="147" t="s">
        <v>2073</v>
      </c>
      <c r="K514" s="31">
        <f t="shared" si="24"/>
        <v>2</v>
      </c>
      <c r="L514" s="32">
        <f t="shared" si="25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545</v>
      </c>
      <c r="C515" t="s">
        <v>1062</v>
      </c>
      <c r="D515" t="s">
        <v>546</v>
      </c>
      <c r="E515" s="30" t="s">
        <v>73</v>
      </c>
      <c r="F515" s="30" t="s">
        <v>28</v>
      </c>
      <c r="G515" s="30"/>
      <c r="H515" s="30" t="s">
        <v>671</v>
      </c>
      <c r="I515" s="31">
        <f t="shared" si="23"/>
        <v>28</v>
      </c>
      <c r="J515" s="147" t="s">
        <v>2074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547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868</v>
      </c>
      <c r="I516" s="31">
        <f t="shared" si="23"/>
        <v>28</v>
      </c>
      <c r="J516" s="147" t="s">
        <v>2075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2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514</v>
      </c>
      <c r="B517" t="s">
        <v>1145</v>
      </c>
      <c r="C517" t="s">
        <v>1063</v>
      </c>
      <c r="D517" t="s">
        <v>1147</v>
      </c>
      <c r="E517" s="30" t="s">
        <v>73</v>
      </c>
      <c r="F517" s="30" t="s">
        <v>28</v>
      </c>
      <c r="G517" s="30"/>
      <c r="H517" s="30" t="s">
        <v>1148</v>
      </c>
      <c r="I517" s="31">
        <f t="shared" si="23"/>
        <v>27</v>
      </c>
      <c r="J517" s="147" t="s">
        <v>2076</v>
      </c>
      <c r="K517" s="31">
        <f t="shared" si="24"/>
        <v>1</v>
      </c>
      <c r="L517" s="32">
        <f t="shared" si="25"/>
        <v>0.9642857142857143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 t="s">
        <v>2213</v>
      </c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514</v>
      </c>
      <c r="B518" t="s">
        <v>1146</v>
      </c>
      <c r="C518" t="s">
        <v>1063</v>
      </c>
      <c r="D518" t="s">
        <v>1147</v>
      </c>
      <c r="E518" s="30" t="s">
        <v>1114</v>
      </c>
      <c r="F518" s="30" t="s">
        <v>28</v>
      </c>
      <c r="G518" s="30"/>
      <c r="H518" s="30" t="s">
        <v>1149</v>
      </c>
      <c r="I518" s="31">
        <f t="shared" si="23"/>
        <v>27</v>
      </c>
      <c r="J518" s="147" t="s">
        <v>2077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hidden="1" thickBot="1" x14ac:dyDescent="0.3">
      <c r="A519" s="73" t="s">
        <v>518</v>
      </c>
      <c r="B519" s="85" t="s">
        <v>1208</v>
      </c>
      <c r="C519" s="85" t="s">
        <v>1063</v>
      </c>
      <c r="D519" s="73" t="s">
        <v>1204</v>
      </c>
      <c r="E519" s="85" t="s">
        <v>15</v>
      </c>
      <c r="F519" s="85" t="s">
        <v>1301</v>
      </c>
      <c r="G519" s="85"/>
      <c r="H519" s="85" t="s">
        <v>1205</v>
      </c>
      <c r="I519" s="142">
        <f t="shared" si="23"/>
        <v>10</v>
      </c>
      <c r="J519" s="147" t="s">
        <v>2078</v>
      </c>
      <c r="K519" s="142">
        <f t="shared" si="24"/>
        <v>18</v>
      </c>
      <c r="L519" s="143">
        <f t="shared" si="25"/>
        <v>0.35714285714285715</v>
      </c>
      <c r="M519" s="70" t="s">
        <v>2213</v>
      </c>
      <c r="N519" s="70" t="s">
        <v>2213</v>
      </c>
      <c r="O519" s="70" t="s">
        <v>2213</v>
      </c>
      <c r="P519" s="70" t="s">
        <v>2213</v>
      </c>
      <c r="Q519" s="70" t="s">
        <v>2213</v>
      </c>
      <c r="R519" s="70" t="s">
        <v>2213</v>
      </c>
      <c r="S519" s="70" t="s">
        <v>2213</v>
      </c>
      <c r="T519" s="70" t="s">
        <v>2213</v>
      </c>
      <c r="U519" s="70" t="s">
        <v>2213</v>
      </c>
      <c r="V519" s="70" t="s">
        <v>2213</v>
      </c>
      <c r="W519" s="70" t="s">
        <v>2213</v>
      </c>
      <c r="X519" s="70" t="s">
        <v>2213</v>
      </c>
      <c r="Y519" s="70" t="s">
        <v>2213</v>
      </c>
      <c r="Z519" s="70" t="s">
        <v>2213</v>
      </c>
      <c r="AA519" s="70" t="s">
        <v>2213</v>
      </c>
      <c r="AB519" s="70" t="s">
        <v>2213</v>
      </c>
      <c r="AC519" s="70" t="s">
        <v>2213</v>
      </c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hidden="1" thickBot="1" x14ac:dyDescent="0.3">
      <c r="A520" t="s">
        <v>518</v>
      </c>
      <c r="B520" s="30" t="s">
        <v>1532</v>
      </c>
      <c r="C520" s="30" t="s">
        <v>1063</v>
      </c>
      <c r="D520" t="s">
        <v>1533</v>
      </c>
      <c r="E520" s="30" t="s">
        <v>1114</v>
      </c>
      <c r="F520" s="30" t="s">
        <v>28</v>
      </c>
      <c r="G520" s="30"/>
      <c r="H520" s="30" t="s">
        <v>1534</v>
      </c>
      <c r="I520" s="142">
        <f t="shared" si="23"/>
        <v>27</v>
      </c>
      <c r="J520" s="147" t="s">
        <v>2079</v>
      </c>
      <c r="K520" s="142">
        <f t="shared" si="24"/>
        <v>1</v>
      </c>
      <c r="L520" s="143">
        <f t="shared" si="25"/>
        <v>0.9642857142857143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 t="s">
        <v>2213</v>
      </c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s="73" customFormat="1" ht="15.75" hidden="1" thickBot="1" x14ac:dyDescent="0.3">
      <c r="A521" s="73" t="s">
        <v>518</v>
      </c>
      <c r="B521" s="85" t="s">
        <v>1584</v>
      </c>
      <c r="C521" s="85" t="s">
        <v>1063</v>
      </c>
      <c r="D521" s="73" t="s">
        <v>1585</v>
      </c>
      <c r="E521" s="85" t="s">
        <v>15</v>
      </c>
      <c r="F521" s="85" t="s">
        <v>1301</v>
      </c>
      <c r="G521" s="85"/>
      <c r="H521" s="85" t="s">
        <v>1586</v>
      </c>
      <c r="I521" s="142">
        <f t="shared" si="23"/>
        <v>28</v>
      </c>
      <c r="J521" s="147" t="s">
        <v>2080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hidden="1" thickBot="1" x14ac:dyDescent="0.3">
      <c r="A522" s="73" t="s">
        <v>518</v>
      </c>
      <c r="B522" s="85" t="s">
        <v>1587</v>
      </c>
      <c r="C522" s="85" t="s">
        <v>1063</v>
      </c>
      <c r="D522" s="73" t="s">
        <v>1588</v>
      </c>
      <c r="E522" s="85" t="s">
        <v>15</v>
      </c>
      <c r="F522" s="85" t="s">
        <v>1301</v>
      </c>
      <c r="G522" s="85"/>
      <c r="H522" s="85" t="s">
        <v>1589</v>
      </c>
      <c r="I522" s="142">
        <f t="shared" si="23"/>
        <v>26</v>
      </c>
      <c r="J522" s="147" t="s">
        <v>2081</v>
      </c>
      <c r="K522" s="142">
        <f t="shared" si="24"/>
        <v>2</v>
      </c>
      <c r="L522" s="143">
        <f t="shared" si="25"/>
        <v>0.9285714285714286</v>
      </c>
      <c r="M522" s="70"/>
      <c r="N522" s="70"/>
      <c r="O522" s="70"/>
      <c r="P522" s="70" t="s">
        <v>2213</v>
      </c>
      <c r="Q522" s="70" t="s">
        <v>2213</v>
      </c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hidden="1" thickBot="1" x14ac:dyDescent="0.3">
      <c r="A523" s="73" t="s">
        <v>518</v>
      </c>
      <c r="B523" s="85" t="s">
        <v>2227</v>
      </c>
      <c r="C523" s="85" t="s">
        <v>1063</v>
      </c>
      <c r="D523" s="73" t="s">
        <v>2228</v>
      </c>
      <c r="E523" s="30" t="s">
        <v>73</v>
      </c>
      <c r="F523" s="85" t="s">
        <v>1301</v>
      </c>
      <c r="G523" s="85"/>
      <c r="H523" s="85" t="s">
        <v>2229</v>
      </c>
      <c r="I523" s="142">
        <f t="shared" si="23"/>
        <v>28</v>
      </c>
      <c r="J523" s="147" t="s">
        <v>2230</v>
      </c>
      <c r="K523" s="142">
        <f t="shared" si="24"/>
        <v>0</v>
      </c>
      <c r="L523" s="143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hidden="1" thickBot="1" x14ac:dyDescent="0.3">
      <c r="A524" s="73" t="s">
        <v>518</v>
      </c>
      <c r="B524" s="85" t="s">
        <v>2231</v>
      </c>
      <c r="C524" s="85" t="s">
        <v>1063</v>
      </c>
      <c r="D524" s="73" t="s">
        <v>2232</v>
      </c>
      <c r="E524" s="85" t="s">
        <v>15</v>
      </c>
      <c r="F524" s="85" t="s">
        <v>1301</v>
      </c>
      <c r="G524" s="85"/>
      <c r="H524" s="85" t="s">
        <v>2233</v>
      </c>
      <c r="I524" s="142">
        <f t="shared" si="23"/>
        <v>20</v>
      </c>
      <c r="J524" s="147" t="s">
        <v>2234</v>
      </c>
      <c r="K524" s="142">
        <f t="shared" si="24"/>
        <v>8</v>
      </c>
      <c r="L524" s="143">
        <f t="shared" si="25"/>
        <v>0.7142857142857143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 t="s">
        <v>2213</v>
      </c>
      <c r="X524" s="70" t="s">
        <v>2213</v>
      </c>
      <c r="Y524" s="70" t="s">
        <v>2213</v>
      </c>
      <c r="Z524" s="70" t="s">
        <v>2213</v>
      </c>
      <c r="AA524" s="70" t="s">
        <v>2213</v>
      </c>
      <c r="AB524" s="70" t="s">
        <v>2213</v>
      </c>
      <c r="AC524" s="70" t="s">
        <v>2213</v>
      </c>
      <c r="AD524" s="70" t="s">
        <v>2213</v>
      </c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ht="15.75" thickBot="1" x14ac:dyDescent="0.3">
      <c r="A525" t="s">
        <v>409</v>
      </c>
      <c r="B525" t="s">
        <v>1044</v>
      </c>
      <c r="C525" t="s">
        <v>1062</v>
      </c>
      <c r="D525" t="s">
        <v>550</v>
      </c>
      <c r="E525" s="30" t="s">
        <v>19</v>
      </c>
      <c r="F525" s="30" t="s">
        <v>28</v>
      </c>
      <c r="G525" s="30"/>
      <c r="H525" s="30" t="s">
        <v>871</v>
      </c>
      <c r="I525" s="31">
        <f t="shared" si="23"/>
        <v>25</v>
      </c>
      <c r="J525" s="147" t="s">
        <v>2082</v>
      </c>
      <c r="K525" s="31">
        <f t="shared" si="24"/>
        <v>3</v>
      </c>
      <c r="L525" s="32">
        <f t="shared" si="25"/>
        <v>0.8928571428571429</v>
      </c>
      <c r="M525" s="70"/>
      <c r="N525" s="70"/>
      <c r="O525" s="70" t="s">
        <v>2213</v>
      </c>
      <c r="P525" s="70" t="s">
        <v>2213</v>
      </c>
      <c r="Q525" s="70" t="s">
        <v>2213</v>
      </c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294</v>
      </c>
      <c r="B526" t="s">
        <v>1045</v>
      </c>
      <c r="C526" t="s">
        <v>1062</v>
      </c>
      <c r="D526" t="s">
        <v>551</v>
      </c>
      <c r="E526" s="30" t="s">
        <v>19</v>
      </c>
      <c r="F526" s="30" t="s">
        <v>28</v>
      </c>
      <c r="G526" s="30"/>
      <c r="H526" s="30" t="s">
        <v>872</v>
      </c>
      <c r="I526" s="31">
        <f t="shared" si="23"/>
        <v>25</v>
      </c>
      <c r="J526" s="147" t="s">
        <v>2083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552</v>
      </c>
      <c r="C527" t="s">
        <v>1062</v>
      </c>
      <c r="D527" t="s">
        <v>553</v>
      </c>
      <c r="E527" s="30" t="s">
        <v>73</v>
      </c>
      <c r="F527" s="30" t="s">
        <v>28</v>
      </c>
      <c r="G527" s="30"/>
      <c r="H527" s="30" t="s">
        <v>869</v>
      </c>
      <c r="I527" s="31">
        <f t="shared" si="23"/>
        <v>28</v>
      </c>
      <c r="J527" s="147" t="s">
        <v>2084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554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870</v>
      </c>
      <c r="I528" s="31">
        <f t="shared" si="23"/>
        <v>28</v>
      </c>
      <c r="J528" s="147" t="s">
        <v>2085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555</v>
      </c>
      <c r="C529" t="s">
        <v>1062</v>
      </c>
      <c r="D529" t="s">
        <v>556</v>
      </c>
      <c r="E529" s="30" t="s">
        <v>73</v>
      </c>
      <c r="F529" s="30" t="s">
        <v>28</v>
      </c>
      <c r="G529" s="30"/>
      <c r="H529" s="30" t="s">
        <v>873</v>
      </c>
      <c r="I529" s="31">
        <f t="shared" si="23"/>
        <v>24</v>
      </c>
      <c r="J529" s="147" t="s">
        <v>2086</v>
      </c>
      <c r="K529" s="31">
        <f t="shared" si="24"/>
        <v>4</v>
      </c>
      <c r="L529" s="32">
        <f t="shared" si="25"/>
        <v>0.8571428571428571</v>
      </c>
      <c r="M529" s="70"/>
      <c r="N529" s="70" t="s">
        <v>2213</v>
      </c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557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874</v>
      </c>
      <c r="I530" s="31">
        <f t="shared" si="23"/>
        <v>24</v>
      </c>
      <c r="J530" s="147" t="s">
        <v>2087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91" customFormat="1" ht="15.75" thickBot="1" x14ac:dyDescent="0.3">
      <c r="A531" s="73" t="s">
        <v>409</v>
      </c>
      <c r="B531" s="73" t="s">
        <v>548</v>
      </c>
      <c r="C531" s="91" t="s">
        <v>1062</v>
      </c>
      <c r="D531" s="73" t="s">
        <v>549</v>
      </c>
      <c r="E531" s="92" t="s">
        <v>19</v>
      </c>
      <c r="F531" s="85" t="s">
        <v>28</v>
      </c>
      <c r="G531" s="85"/>
      <c r="H531" s="85" t="s">
        <v>875</v>
      </c>
      <c r="I531" s="31">
        <f t="shared" si="23"/>
        <v>25</v>
      </c>
      <c r="J531" s="73"/>
      <c r="K531" s="31">
        <f t="shared" si="24"/>
        <v>3</v>
      </c>
      <c r="L531" s="32">
        <f t="shared" si="25"/>
        <v>0.8928571428571429</v>
      </c>
      <c r="M531" s="70"/>
      <c r="N531" s="70"/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558</v>
      </c>
      <c r="C532" s="91" t="s">
        <v>1062</v>
      </c>
      <c r="D532" s="73" t="s">
        <v>559</v>
      </c>
      <c r="E532" s="92" t="s">
        <v>15</v>
      </c>
      <c r="F532" s="85" t="s">
        <v>28</v>
      </c>
      <c r="G532" s="85"/>
      <c r="H532" s="85" t="s">
        <v>1506</v>
      </c>
      <c r="I532" s="31">
        <f t="shared" si="23"/>
        <v>24</v>
      </c>
      <c r="J532" s="147" t="s">
        <v>2088</v>
      </c>
      <c r="K532" s="31">
        <f t="shared" si="24"/>
        <v>4</v>
      </c>
      <c r="L532" s="32">
        <f t="shared" si="25"/>
        <v>0.8571428571428571</v>
      </c>
      <c r="M532" s="70"/>
      <c r="N532" s="70" t="s">
        <v>2213</v>
      </c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1344</v>
      </c>
      <c r="C533" s="85" t="s">
        <v>1062</v>
      </c>
      <c r="D533" s="73" t="s">
        <v>1345</v>
      </c>
      <c r="E533" s="92" t="s">
        <v>15</v>
      </c>
      <c r="F533" s="85" t="s">
        <v>1301</v>
      </c>
      <c r="G533" s="85"/>
      <c r="H533" s="85" t="s">
        <v>1351</v>
      </c>
      <c r="I533" s="142">
        <f t="shared" si="23"/>
        <v>28</v>
      </c>
      <c r="J533" s="147" t="s">
        <v>2089</v>
      </c>
      <c r="K533" s="142">
        <f t="shared" si="24"/>
        <v>0</v>
      </c>
      <c r="L533" s="143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483</v>
      </c>
      <c r="B534" t="s">
        <v>560</v>
      </c>
      <c r="C534" t="s">
        <v>1062</v>
      </c>
      <c r="D534" t="s">
        <v>561</v>
      </c>
      <c r="E534" s="30" t="s">
        <v>19</v>
      </c>
      <c r="F534" s="30" t="s">
        <v>28</v>
      </c>
      <c r="G534" s="30"/>
      <c r="H534" s="30" t="s">
        <v>876</v>
      </c>
      <c r="I534" s="31">
        <f t="shared" si="23"/>
        <v>28</v>
      </c>
      <c r="J534" s="147" t="s">
        <v>2090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483</v>
      </c>
      <c r="B535" s="73" t="s">
        <v>562</v>
      </c>
      <c r="C535" s="73" t="s">
        <v>1062</v>
      </c>
      <c r="D535" s="73" t="s">
        <v>563</v>
      </c>
      <c r="E535" s="85" t="s">
        <v>19</v>
      </c>
      <c r="F535" s="85" t="s">
        <v>1301</v>
      </c>
      <c r="G535" s="85"/>
      <c r="H535" s="85" t="s">
        <v>1370</v>
      </c>
      <c r="I535" s="142">
        <f t="shared" ref="I535:I580" si="26">COUNTIF(M535:AN535,"")</f>
        <v>28</v>
      </c>
      <c r="J535" s="147" t="s">
        <v>2091</v>
      </c>
      <c r="K535" s="142">
        <f t="shared" ref="K535:K580" si="27">COUNTIF(M535:AN535,"APAGADO")</f>
        <v>0</v>
      </c>
      <c r="L535" s="143">
        <f t="shared" ref="L535:L580" si="28">(I535)/(K535+I535)</f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s="73" customFormat="1" ht="15.75" thickBot="1" x14ac:dyDescent="0.3">
      <c r="A536" s="73" t="s">
        <v>483</v>
      </c>
      <c r="B536" s="73" t="s">
        <v>564</v>
      </c>
      <c r="C536" s="73" t="s">
        <v>1062</v>
      </c>
      <c r="D536" s="73" t="s">
        <v>565</v>
      </c>
      <c r="E536" s="85" t="s">
        <v>19</v>
      </c>
      <c r="F536" s="85" t="s">
        <v>1301</v>
      </c>
      <c r="G536" s="85"/>
      <c r="H536" s="85" t="s">
        <v>1428</v>
      </c>
      <c r="I536" s="142">
        <f t="shared" si="26"/>
        <v>28</v>
      </c>
      <c r="J536" s="147" t="s">
        <v>2092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483</v>
      </c>
      <c r="B537" t="s">
        <v>566</v>
      </c>
      <c r="C537" t="s">
        <v>1062</v>
      </c>
      <c r="D537" t="s">
        <v>567</v>
      </c>
      <c r="E537" s="30" t="s">
        <v>19</v>
      </c>
      <c r="F537" s="30" t="s">
        <v>1056</v>
      </c>
      <c r="G537" s="30" t="s">
        <v>1263</v>
      </c>
      <c r="H537" s="30" t="s">
        <v>877</v>
      </c>
      <c r="I537" s="31">
        <f t="shared" si="26"/>
        <v>27</v>
      </c>
      <c r="J537" s="147" t="s">
        <v>2093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 t="s">
        <v>1361</v>
      </c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73" customFormat="1" ht="15.75" thickBot="1" x14ac:dyDescent="0.3">
      <c r="A538" s="73" t="s">
        <v>479</v>
      </c>
      <c r="B538" s="73" t="s">
        <v>568</v>
      </c>
      <c r="C538" s="73" t="s">
        <v>1062</v>
      </c>
      <c r="D538" s="73" t="s">
        <v>569</v>
      </c>
      <c r="E538" s="85" t="s">
        <v>19</v>
      </c>
      <c r="F538" s="85" t="s">
        <v>1301</v>
      </c>
      <c r="G538" s="85"/>
      <c r="H538" s="85" t="s">
        <v>1505</v>
      </c>
      <c r="I538" s="142">
        <f t="shared" si="26"/>
        <v>10</v>
      </c>
      <c r="J538" s="147" t="s">
        <v>2094</v>
      </c>
      <c r="K538" s="142">
        <f t="shared" si="27"/>
        <v>18</v>
      </c>
      <c r="L538" s="143">
        <f t="shared" si="28"/>
        <v>0.35714285714285715</v>
      </c>
      <c r="M538" s="70" t="s">
        <v>2213</v>
      </c>
      <c r="N538" s="70" t="s">
        <v>2213</v>
      </c>
      <c r="O538" s="70" t="s">
        <v>2213</v>
      </c>
      <c r="P538" s="70" t="s">
        <v>2213</v>
      </c>
      <c r="Q538" s="70" t="s">
        <v>2213</v>
      </c>
      <c r="R538" s="70" t="s">
        <v>2213</v>
      </c>
      <c r="S538" s="70" t="s">
        <v>2213</v>
      </c>
      <c r="T538" s="70" t="s">
        <v>2213</v>
      </c>
      <c r="U538" s="70" t="s">
        <v>2213</v>
      </c>
      <c r="V538" s="70" t="s">
        <v>2213</v>
      </c>
      <c r="W538" s="70" t="s">
        <v>2213</v>
      </c>
      <c r="X538" s="70" t="s">
        <v>2213</v>
      </c>
      <c r="Y538" s="70" t="s">
        <v>2213</v>
      </c>
      <c r="Z538" s="70" t="s">
        <v>2213</v>
      </c>
      <c r="AA538" s="70" t="s">
        <v>2213</v>
      </c>
      <c r="AB538" s="70" t="s">
        <v>2213</v>
      </c>
      <c r="AC538" s="70" t="s">
        <v>2213</v>
      </c>
      <c r="AD538" s="70" t="s">
        <v>2213</v>
      </c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ht="15.75" thickBot="1" x14ac:dyDescent="0.3">
      <c r="A539" t="s">
        <v>479</v>
      </c>
      <c r="B539" t="s">
        <v>1312</v>
      </c>
      <c r="C539" t="s">
        <v>1062</v>
      </c>
      <c r="D539" t="s">
        <v>2198</v>
      </c>
      <c r="E539" s="85" t="s">
        <v>15</v>
      </c>
      <c r="F539" s="85" t="s">
        <v>1301</v>
      </c>
      <c r="G539" s="30"/>
      <c r="H539" s="30" t="s">
        <v>2199</v>
      </c>
      <c r="I539" s="31">
        <f t="shared" si="26"/>
        <v>28</v>
      </c>
      <c r="J539" s="147" t="s">
        <v>2200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483</v>
      </c>
      <c r="B540" t="s">
        <v>2134</v>
      </c>
      <c r="C540" t="s">
        <v>1062</v>
      </c>
      <c r="D540" s="73" t="s">
        <v>2135</v>
      </c>
      <c r="E540" s="85" t="s">
        <v>15</v>
      </c>
      <c r="F540" s="85" t="s">
        <v>1301</v>
      </c>
      <c r="G540" s="30"/>
      <c r="H540" s="30" t="s">
        <v>2136</v>
      </c>
      <c r="I540" s="31">
        <f t="shared" si="26"/>
        <v>28</v>
      </c>
      <c r="J540" s="147" t="s">
        <v>2137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73" customFormat="1" ht="15.75" hidden="1" thickBot="1" x14ac:dyDescent="0.3">
      <c r="A541" s="73" t="s">
        <v>570</v>
      </c>
      <c r="B541" s="73" t="s">
        <v>571</v>
      </c>
      <c r="C541" s="73" t="s">
        <v>1063</v>
      </c>
      <c r="D541" s="73" t="s">
        <v>572</v>
      </c>
      <c r="E541" s="85" t="s">
        <v>15</v>
      </c>
      <c r="F541" s="85" t="s">
        <v>1301</v>
      </c>
      <c r="G541" s="85"/>
      <c r="H541" s="85" t="s">
        <v>878</v>
      </c>
      <c r="I541" s="142">
        <f t="shared" si="26"/>
        <v>16</v>
      </c>
      <c r="J541" s="147" t="s">
        <v>2095</v>
      </c>
      <c r="K541" s="142">
        <f t="shared" si="27"/>
        <v>12</v>
      </c>
      <c r="L541" s="143">
        <f t="shared" si="28"/>
        <v>0.5714285714285714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 t="s">
        <v>2213</v>
      </c>
      <c r="AA541" s="70" t="s">
        <v>2213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hidden="1" thickBot="1" x14ac:dyDescent="0.3">
      <c r="A542" s="73" t="s">
        <v>570</v>
      </c>
      <c r="B542" s="73" t="s">
        <v>1463</v>
      </c>
      <c r="C542" s="73" t="s">
        <v>1063</v>
      </c>
      <c r="D542" s="73" t="s">
        <v>573</v>
      </c>
      <c r="E542" s="85" t="s">
        <v>15</v>
      </c>
      <c r="F542" s="85" t="s">
        <v>1301</v>
      </c>
      <c r="G542" s="85"/>
      <c r="H542" s="85" t="s">
        <v>879</v>
      </c>
      <c r="I542" s="142">
        <f t="shared" si="26"/>
        <v>16</v>
      </c>
      <c r="J542" s="147" t="s">
        <v>2096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hidden="1" thickBot="1" x14ac:dyDescent="0.3">
      <c r="A543" s="73" t="s">
        <v>570</v>
      </c>
      <c r="B543" s="73" t="s">
        <v>1046</v>
      </c>
      <c r="C543" s="73" t="s">
        <v>1063</v>
      </c>
      <c r="D543" s="73" t="s">
        <v>574</v>
      </c>
      <c r="E543" s="85" t="s">
        <v>73</v>
      </c>
      <c r="F543" s="85" t="s">
        <v>1301</v>
      </c>
      <c r="G543" s="85"/>
      <c r="H543" s="85" t="s">
        <v>880</v>
      </c>
      <c r="I543" s="142">
        <f t="shared" si="26"/>
        <v>13</v>
      </c>
      <c r="J543" s="147" t="s">
        <v>2097</v>
      </c>
      <c r="K543" s="142">
        <f t="shared" si="27"/>
        <v>15</v>
      </c>
      <c r="L543" s="143">
        <f t="shared" si="28"/>
        <v>0.4642857142857143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 t="s">
        <v>2213</v>
      </c>
      <c r="AC543" s="70" t="s">
        <v>2213</v>
      </c>
      <c r="AD543" s="70" t="s">
        <v>2213</v>
      </c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hidden="1" thickBot="1" x14ac:dyDescent="0.3">
      <c r="A544" s="73" t="s">
        <v>570</v>
      </c>
      <c r="B544" s="73" t="s">
        <v>1047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881</v>
      </c>
      <c r="I544" s="142">
        <f t="shared" si="26"/>
        <v>16</v>
      </c>
      <c r="J544" s="147" t="s">
        <v>2098</v>
      </c>
      <c r="K544" s="142">
        <f t="shared" si="27"/>
        <v>12</v>
      </c>
      <c r="L544" s="143">
        <f t="shared" si="28"/>
        <v>0.5714285714285714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hidden="1" thickBot="1" x14ac:dyDescent="0.3">
      <c r="A545" s="73" t="s">
        <v>570</v>
      </c>
      <c r="B545" s="73" t="s">
        <v>1644</v>
      </c>
      <c r="C545" s="73" t="s">
        <v>1063</v>
      </c>
      <c r="D545" s="73" t="s">
        <v>1651</v>
      </c>
      <c r="E545" s="85" t="s">
        <v>1114</v>
      </c>
      <c r="F545" s="85" t="s">
        <v>28</v>
      </c>
      <c r="G545" s="85"/>
      <c r="H545" s="85" t="s">
        <v>1646</v>
      </c>
      <c r="I545" s="142">
        <f t="shared" si="26"/>
        <v>28</v>
      </c>
      <c r="J545" s="87" t="s">
        <v>2188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hidden="1" thickBot="1" x14ac:dyDescent="0.3">
      <c r="A546" s="73" t="s">
        <v>570</v>
      </c>
      <c r="B546" s="73" t="s">
        <v>2128</v>
      </c>
      <c r="C546" s="73" t="s">
        <v>1063</v>
      </c>
      <c r="D546" s="73" t="s">
        <v>2129</v>
      </c>
      <c r="E546" s="30" t="s">
        <v>15</v>
      </c>
      <c r="F546" s="85" t="s">
        <v>1301</v>
      </c>
      <c r="G546" s="85"/>
      <c r="H546" s="85" t="s">
        <v>2131</v>
      </c>
      <c r="I546" s="142">
        <f t="shared" si="26"/>
        <v>28</v>
      </c>
      <c r="J546" s="87"/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hidden="1" thickBot="1" x14ac:dyDescent="0.3">
      <c r="A547" s="73" t="s">
        <v>570</v>
      </c>
      <c r="B547" s="73" t="s">
        <v>1657</v>
      </c>
      <c r="C547" s="73" t="s">
        <v>1063</v>
      </c>
      <c r="D547" s="73" t="s">
        <v>1658</v>
      </c>
      <c r="E547" s="85" t="s">
        <v>15</v>
      </c>
      <c r="F547" s="85" t="s">
        <v>1301</v>
      </c>
      <c r="G547" s="85"/>
      <c r="H547" s="85" t="s">
        <v>1659</v>
      </c>
      <c r="I547" s="142">
        <f t="shared" si="26"/>
        <v>10</v>
      </c>
      <c r="J547" s="87" t="s">
        <v>2189</v>
      </c>
      <c r="K547" s="142">
        <f t="shared" si="27"/>
        <v>18</v>
      </c>
      <c r="L547" s="143">
        <f t="shared" si="28"/>
        <v>0.35714285714285715</v>
      </c>
      <c r="M547" s="70" t="s">
        <v>2213</v>
      </c>
      <c r="N547" s="70" t="s">
        <v>2213</v>
      </c>
      <c r="O547" s="70" t="s">
        <v>2213</v>
      </c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 t="s">
        <v>2213</v>
      </c>
      <c r="AA547" s="70" t="s">
        <v>2213</v>
      </c>
      <c r="AB547" s="70" t="s">
        <v>2213</v>
      </c>
      <c r="AC547" s="70" t="s">
        <v>2213</v>
      </c>
      <c r="AD547" s="70" t="s">
        <v>2213</v>
      </c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hidden="1" thickBot="1" x14ac:dyDescent="0.3">
      <c r="A548" t="s">
        <v>575</v>
      </c>
      <c r="B548" t="s">
        <v>1048</v>
      </c>
      <c r="C548" t="s">
        <v>1063</v>
      </c>
      <c r="D548" t="s">
        <v>576</v>
      </c>
      <c r="E548" s="30" t="s">
        <v>73</v>
      </c>
      <c r="F548" s="85" t="s">
        <v>1301</v>
      </c>
      <c r="G548" s="30"/>
      <c r="H548" s="30" t="s">
        <v>882</v>
      </c>
      <c r="I548" s="31">
        <f t="shared" si="26"/>
        <v>16</v>
      </c>
      <c r="J548" s="87" t="s">
        <v>2185</v>
      </c>
      <c r="K548" s="31">
        <f t="shared" si="27"/>
        <v>12</v>
      </c>
      <c r="L548" s="32">
        <f t="shared" si="28"/>
        <v>0.5714285714285714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575</v>
      </c>
      <c r="B549" t="s">
        <v>1049</v>
      </c>
      <c r="C549" t="s">
        <v>1063</v>
      </c>
      <c r="D549" t="s">
        <v>577</v>
      </c>
      <c r="E549" s="30" t="s">
        <v>15</v>
      </c>
      <c r="F549" s="30" t="s">
        <v>28</v>
      </c>
      <c r="G549" s="30"/>
      <c r="H549" s="30" t="s">
        <v>883</v>
      </c>
      <c r="I549" s="31">
        <f t="shared" si="26"/>
        <v>13</v>
      </c>
      <c r="J549" s="147" t="s">
        <v>2099</v>
      </c>
      <c r="K549" s="31">
        <f t="shared" si="27"/>
        <v>15</v>
      </c>
      <c r="L549" s="32">
        <f t="shared" si="28"/>
        <v>0.4642857142857143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 t="s">
        <v>2213</v>
      </c>
      <c r="AC549" s="70" t="s">
        <v>2213</v>
      </c>
      <c r="AD549" s="70" t="s">
        <v>2213</v>
      </c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575</v>
      </c>
      <c r="B550" t="s">
        <v>578</v>
      </c>
      <c r="C550" t="s">
        <v>1063</v>
      </c>
      <c r="D550" t="s">
        <v>579</v>
      </c>
      <c r="E550" s="30" t="s">
        <v>73</v>
      </c>
      <c r="F550" s="85" t="s">
        <v>1301</v>
      </c>
      <c r="G550" s="30"/>
      <c r="H550" s="30" t="s">
        <v>884</v>
      </c>
      <c r="I550" s="31">
        <f t="shared" si="26"/>
        <v>16</v>
      </c>
      <c r="J550" s="87" t="s">
        <v>2186</v>
      </c>
      <c r="K550" s="31">
        <f t="shared" si="27"/>
        <v>12</v>
      </c>
      <c r="L550" s="32">
        <f t="shared" si="28"/>
        <v>0.5714285714285714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hidden="1" thickBot="1" x14ac:dyDescent="0.3">
      <c r="A551" t="s">
        <v>575</v>
      </c>
      <c r="B551" t="s">
        <v>580</v>
      </c>
      <c r="C551" t="s">
        <v>1063</v>
      </c>
      <c r="D551" t="s">
        <v>581</v>
      </c>
      <c r="E551" s="30" t="s">
        <v>15</v>
      </c>
      <c r="F551" s="30" t="s">
        <v>28</v>
      </c>
      <c r="G551" s="30"/>
      <c r="H551" s="30" t="s">
        <v>885</v>
      </c>
      <c r="I551" s="31">
        <f t="shared" si="26"/>
        <v>13</v>
      </c>
      <c r="J551" s="147" t="s">
        <v>2100</v>
      </c>
      <c r="K551" s="31">
        <f t="shared" si="27"/>
        <v>15</v>
      </c>
      <c r="L551" s="32">
        <f t="shared" si="28"/>
        <v>0.4642857142857143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 t="s">
        <v>2213</v>
      </c>
      <c r="AC551" s="70" t="s">
        <v>2213</v>
      </c>
      <c r="AD551" s="70" t="s">
        <v>2213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575</v>
      </c>
      <c r="B552" s="73" t="s">
        <v>582</v>
      </c>
      <c r="C552" s="73" t="s">
        <v>1063</v>
      </c>
      <c r="D552" s="73" t="s">
        <v>583</v>
      </c>
      <c r="E552" s="85" t="s">
        <v>15</v>
      </c>
      <c r="F552" s="85" t="s">
        <v>1301</v>
      </c>
      <c r="G552" s="85"/>
      <c r="H552" s="85" t="s">
        <v>886</v>
      </c>
      <c r="I552" s="142">
        <f t="shared" si="26"/>
        <v>13</v>
      </c>
      <c r="J552" s="147" t="s">
        <v>2101</v>
      </c>
      <c r="K552" s="142">
        <f t="shared" si="27"/>
        <v>15</v>
      </c>
      <c r="L552" s="143">
        <f t="shared" si="28"/>
        <v>0.4642857142857143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  <c r="AQ552" s="89"/>
    </row>
    <row r="553" spans="1:43" s="73" customFormat="1" ht="15.75" thickBot="1" x14ac:dyDescent="0.3">
      <c r="A553" s="73" t="s">
        <v>2140</v>
      </c>
      <c r="B553" s="73" t="s">
        <v>2138</v>
      </c>
      <c r="C553" t="s">
        <v>1062</v>
      </c>
      <c r="D553" s="73" t="s">
        <v>2139</v>
      </c>
      <c r="E553" s="85" t="s">
        <v>15</v>
      </c>
      <c r="F553" s="85" t="s">
        <v>1301</v>
      </c>
      <c r="G553" s="85"/>
      <c r="H553" s="85" t="s">
        <v>2141</v>
      </c>
      <c r="I553" s="142">
        <f t="shared" si="26"/>
        <v>28</v>
      </c>
      <c r="J553" s="151" t="s">
        <v>2142</v>
      </c>
      <c r="K553" s="142">
        <f t="shared" si="27"/>
        <v>0</v>
      </c>
      <c r="L553" s="143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ht="15.75" hidden="1" thickBot="1" x14ac:dyDescent="0.3">
      <c r="A554" t="s">
        <v>175</v>
      </c>
      <c r="B554" t="s">
        <v>584</v>
      </c>
      <c r="C554" t="s">
        <v>1063</v>
      </c>
      <c r="D554" t="s">
        <v>1092</v>
      </c>
      <c r="E554" s="30" t="s">
        <v>19</v>
      </c>
      <c r="F554" s="30" t="s">
        <v>20</v>
      </c>
      <c r="G554" s="30"/>
      <c r="H554" s="30" t="s">
        <v>1398</v>
      </c>
      <c r="I554" s="31">
        <f t="shared" si="26"/>
        <v>27</v>
      </c>
      <c r="J554" s="87" t="s">
        <v>2187</v>
      </c>
      <c r="K554" s="31">
        <f t="shared" si="27"/>
        <v>1</v>
      </c>
      <c r="L554" s="32">
        <f t="shared" si="28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 t="s">
        <v>2213</v>
      </c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hidden="1" thickBot="1" x14ac:dyDescent="0.3">
      <c r="A555" t="s">
        <v>175</v>
      </c>
      <c r="B555" t="s">
        <v>1050</v>
      </c>
      <c r="C555" t="s">
        <v>1063</v>
      </c>
      <c r="D555" t="s">
        <v>1093</v>
      </c>
      <c r="E555" s="30" t="s">
        <v>73</v>
      </c>
      <c r="F555" s="30" t="s">
        <v>28</v>
      </c>
      <c r="G555" s="30"/>
      <c r="H555" s="30" t="s">
        <v>887</v>
      </c>
      <c r="I555" s="31">
        <f t="shared" si="26"/>
        <v>28</v>
      </c>
      <c r="J555" s="147" t="s">
        <v>2102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hidden="1" thickBot="1" x14ac:dyDescent="0.3">
      <c r="A556" t="s">
        <v>175</v>
      </c>
      <c r="B556" t="s">
        <v>1051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888</v>
      </c>
      <c r="I556" s="31">
        <f t="shared" si="26"/>
        <v>28</v>
      </c>
      <c r="J556" s="147" t="s">
        <v>2103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hidden="1" thickBot="1" x14ac:dyDescent="0.3">
      <c r="A557" t="s">
        <v>175</v>
      </c>
      <c r="B557" t="s">
        <v>1052</v>
      </c>
      <c r="C557" t="s">
        <v>1063</v>
      </c>
      <c r="D557" t="s">
        <v>1107</v>
      </c>
      <c r="E557" s="30" t="s">
        <v>15</v>
      </c>
      <c r="F557" s="30" t="s">
        <v>28</v>
      </c>
      <c r="G557" s="30"/>
      <c r="H557" s="30" t="s">
        <v>889</v>
      </c>
      <c r="I557" s="31">
        <f t="shared" si="26"/>
        <v>28</v>
      </c>
      <c r="J557" s="147" t="s">
        <v>2104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hidden="1" thickBot="1" x14ac:dyDescent="0.3">
      <c r="A558" t="s">
        <v>175</v>
      </c>
      <c r="B558" t="s">
        <v>585</v>
      </c>
      <c r="C558" t="s">
        <v>1063</v>
      </c>
      <c r="D558" t="s">
        <v>1094</v>
      </c>
      <c r="E558" s="30" t="s">
        <v>15</v>
      </c>
      <c r="F558" s="30" t="s">
        <v>28</v>
      </c>
      <c r="G558" s="30"/>
      <c r="H558" s="30" t="s">
        <v>1220</v>
      </c>
      <c r="I558" s="31">
        <f t="shared" si="26"/>
        <v>10</v>
      </c>
      <c r="J558" s="147" t="s">
        <v>2105</v>
      </c>
      <c r="K558" s="31">
        <f t="shared" si="27"/>
        <v>18</v>
      </c>
      <c r="L558" s="32">
        <f t="shared" si="28"/>
        <v>0.35714285714285715</v>
      </c>
      <c r="M558" s="70" t="s">
        <v>2213</v>
      </c>
      <c r="N558" s="70" t="s">
        <v>2213</v>
      </c>
      <c r="O558" s="70" t="s">
        <v>2213</v>
      </c>
      <c r="P558" s="70" t="s">
        <v>2213</v>
      </c>
      <c r="Q558" s="70" t="s">
        <v>2213</v>
      </c>
      <c r="R558" s="70" t="s">
        <v>2213</v>
      </c>
      <c r="S558" s="70" t="s">
        <v>2213</v>
      </c>
      <c r="T558" s="70" t="s">
        <v>2213</v>
      </c>
      <c r="U558" s="70" t="s">
        <v>2213</v>
      </c>
      <c r="V558" s="70" t="s">
        <v>2213</v>
      </c>
      <c r="W558" s="70" t="s">
        <v>2213</v>
      </c>
      <c r="X558" s="70" t="s">
        <v>2213</v>
      </c>
      <c r="Y558" s="70" t="s">
        <v>2213</v>
      </c>
      <c r="Z558" s="70" t="s">
        <v>2213</v>
      </c>
      <c r="AA558" s="70" t="s">
        <v>2213</v>
      </c>
      <c r="AB558" s="70" t="s">
        <v>2213</v>
      </c>
      <c r="AC558" s="70" t="s">
        <v>2213</v>
      </c>
      <c r="AD558" s="70" t="s">
        <v>2213</v>
      </c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586</v>
      </c>
      <c r="B559" t="s">
        <v>587</v>
      </c>
      <c r="C559" t="s">
        <v>1063</v>
      </c>
      <c r="D559" t="s">
        <v>588</v>
      </c>
      <c r="E559" s="30" t="s">
        <v>73</v>
      </c>
      <c r="F559" s="30" t="s">
        <v>28</v>
      </c>
      <c r="G559" s="30"/>
      <c r="H559" s="30" t="s">
        <v>890</v>
      </c>
      <c r="I559" s="31">
        <f t="shared" si="26"/>
        <v>28</v>
      </c>
      <c r="J559" s="147" t="s">
        <v>2106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hidden="1" thickBot="1" x14ac:dyDescent="0.3">
      <c r="A560" t="s">
        <v>586</v>
      </c>
      <c r="B560" t="s">
        <v>1053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891</v>
      </c>
      <c r="I560" s="31">
        <f t="shared" si="26"/>
        <v>28</v>
      </c>
      <c r="J560" s="147" t="s">
        <v>2107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586</v>
      </c>
      <c r="B561" t="s">
        <v>1054</v>
      </c>
      <c r="C561" t="s">
        <v>1063</v>
      </c>
      <c r="D561" t="s">
        <v>589</v>
      </c>
      <c r="E561" s="30" t="s">
        <v>73</v>
      </c>
      <c r="F561" s="30" t="s">
        <v>28</v>
      </c>
      <c r="G561" s="30"/>
      <c r="H561" s="30" t="s">
        <v>892</v>
      </c>
      <c r="I561" s="31">
        <f t="shared" si="26"/>
        <v>27</v>
      </c>
      <c r="J561" s="147" t="s">
        <v>2108</v>
      </c>
      <c r="K561" s="31">
        <f t="shared" si="27"/>
        <v>1</v>
      </c>
      <c r="L561" s="32">
        <f t="shared" si="28"/>
        <v>0.9642857142857143</v>
      </c>
      <c r="M561" s="70"/>
      <c r="N561" s="70" t="s">
        <v>2213</v>
      </c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hidden="1" thickBot="1" x14ac:dyDescent="0.3">
      <c r="A562" t="s">
        <v>586</v>
      </c>
      <c r="B562" t="s">
        <v>590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893</v>
      </c>
      <c r="I562" s="31">
        <f t="shared" si="26"/>
        <v>27</v>
      </c>
      <c r="J562" s="147" t="s">
        <v>2109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591</v>
      </c>
      <c r="B563" s="73" t="s">
        <v>592</v>
      </c>
      <c r="C563" s="73" t="s">
        <v>1063</v>
      </c>
      <c r="D563" s="73" t="s">
        <v>593</v>
      </c>
      <c r="E563" s="85" t="s">
        <v>15</v>
      </c>
      <c r="F563" s="85" t="s">
        <v>1301</v>
      </c>
      <c r="G563" s="85"/>
      <c r="H563" s="85" t="s">
        <v>894</v>
      </c>
      <c r="I563" s="142">
        <f t="shared" si="26"/>
        <v>15</v>
      </c>
      <c r="J563" s="87" t="s">
        <v>2203</v>
      </c>
      <c r="K563" s="142">
        <f t="shared" si="27"/>
        <v>13</v>
      </c>
      <c r="L563" s="143">
        <f t="shared" si="28"/>
        <v>0.5357142857142857</v>
      </c>
      <c r="M563" s="70" t="s">
        <v>2213</v>
      </c>
      <c r="N563" s="70"/>
      <c r="O563" s="70"/>
      <c r="P563" s="70" t="s">
        <v>2213</v>
      </c>
      <c r="Q563" s="70" t="s">
        <v>2213</v>
      </c>
      <c r="R563" s="70" t="s">
        <v>2213</v>
      </c>
      <c r="S563" s="70" t="s">
        <v>2213</v>
      </c>
      <c r="T563" s="70" t="s">
        <v>2213</v>
      </c>
      <c r="U563" s="70" t="s">
        <v>2213</v>
      </c>
      <c r="V563" s="70" t="s">
        <v>2213</v>
      </c>
      <c r="W563" s="70" t="s">
        <v>2213</v>
      </c>
      <c r="X563" s="70" t="s">
        <v>2213</v>
      </c>
      <c r="Y563" s="70" t="s">
        <v>2213</v>
      </c>
      <c r="Z563" s="70" t="s">
        <v>2213</v>
      </c>
      <c r="AA563" s="70" t="s">
        <v>2213</v>
      </c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  <c r="AQ563" s="89"/>
    </row>
    <row r="564" spans="1:43" s="73" customFormat="1" ht="15.75" hidden="1" thickBot="1" x14ac:dyDescent="0.3">
      <c r="A564" s="73" t="s">
        <v>591</v>
      </c>
      <c r="B564" s="73" t="s">
        <v>2265</v>
      </c>
      <c r="C564" s="73" t="s">
        <v>1063</v>
      </c>
      <c r="D564" s="73" t="s">
        <v>2266</v>
      </c>
      <c r="E564" s="85" t="s">
        <v>15</v>
      </c>
      <c r="F564" s="85" t="s">
        <v>1301</v>
      </c>
      <c r="G564" s="85"/>
      <c r="H564" s="85" t="s">
        <v>2267</v>
      </c>
      <c r="I564" s="142">
        <f t="shared" si="26"/>
        <v>28</v>
      </c>
      <c r="J564" s="87" t="s">
        <v>2268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hidden="1" thickBot="1" x14ac:dyDescent="0.3">
      <c r="A565" s="73" t="s">
        <v>591</v>
      </c>
      <c r="B565" s="73" t="s">
        <v>2278</v>
      </c>
      <c r="C565" s="73" t="s">
        <v>1063</v>
      </c>
      <c r="D565" s="73" t="s">
        <v>2279</v>
      </c>
      <c r="E565" s="85" t="s">
        <v>15</v>
      </c>
      <c r="F565" s="85"/>
      <c r="G565" s="85"/>
      <c r="H565" s="85" t="s">
        <v>2280</v>
      </c>
      <c r="I565" s="142">
        <f t="shared" si="26"/>
        <v>28</v>
      </c>
      <c r="J565" s="87"/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ht="14.25" hidden="1" customHeight="1" thickBot="1" x14ac:dyDescent="0.3">
      <c r="A566" t="s">
        <v>594</v>
      </c>
      <c r="B566" t="s">
        <v>1055</v>
      </c>
      <c r="C566" t="s">
        <v>1063</v>
      </c>
      <c r="D566" t="s">
        <v>595</v>
      </c>
      <c r="E566" s="30" t="s">
        <v>15</v>
      </c>
      <c r="F566" s="30" t="s">
        <v>20</v>
      </c>
      <c r="G566" s="30"/>
      <c r="H566" s="30" t="s">
        <v>895</v>
      </c>
      <c r="I566" s="31">
        <f t="shared" si="26"/>
        <v>28</v>
      </c>
      <c r="J566" s="87" t="s">
        <v>2204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594</v>
      </c>
      <c r="B567" t="s">
        <v>596</v>
      </c>
      <c r="C567" t="s">
        <v>1063</v>
      </c>
      <c r="D567" t="s">
        <v>597</v>
      </c>
      <c r="E567" s="30" t="s">
        <v>15</v>
      </c>
      <c r="F567" s="30" t="s">
        <v>20</v>
      </c>
      <c r="G567" s="30"/>
      <c r="H567" s="30" t="s">
        <v>896</v>
      </c>
      <c r="I567" s="31">
        <f t="shared" si="26"/>
        <v>28</v>
      </c>
      <c r="J567" s="87" t="s">
        <v>2205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594</v>
      </c>
      <c r="B568" t="s">
        <v>598</v>
      </c>
      <c r="C568" t="s">
        <v>1063</v>
      </c>
      <c r="D568" t="s">
        <v>599</v>
      </c>
      <c r="E568" s="30" t="s">
        <v>15</v>
      </c>
      <c r="F568" s="30" t="s">
        <v>20</v>
      </c>
      <c r="G568" s="30"/>
      <c r="H568" s="30" t="s">
        <v>897</v>
      </c>
      <c r="I568" s="31">
        <f t="shared" si="26"/>
        <v>28</v>
      </c>
      <c r="J568" s="87" t="s">
        <v>2206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594</v>
      </c>
      <c r="B569" s="30" t="s">
        <v>1115</v>
      </c>
      <c r="C569" s="30" t="s">
        <v>1063</v>
      </c>
      <c r="D569" t="s">
        <v>1117</v>
      </c>
      <c r="E569" s="30" t="s">
        <v>1114</v>
      </c>
      <c r="F569" s="30" t="s">
        <v>28</v>
      </c>
      <c r="G569" s="30"/>
      <c r="H569" s="30" t="s">
        <v>1122</v>
      </c>
      <c r="I569" s="31">
        <f t="shared" si="26"/>
        <v>28</v>
      </c>
      <c r="J569" s="147" t="s">
        <v>2111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594</v>
      </c>
      <c r="B570" s="30" t="s">
        <v>1116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1123</v>
      </c>
      <c r="I570" s="31">
        <f t="shared" si="26"/>
        <v>28</v>
      </c>
      <c r="J570" s="147" t="s">
        <v>2110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594</v>
      </c>
      <c r="B571" s="30" t="s">
        <v>1201</v>
      </c>
      <c r="C571" s="30" t="s">
        <v>1063</v>
      </c>
      <c r="D571" t="s">
        <v>1202</v>
      </c>
      <c r="E571" s="30" t="s">
        <v>15</v>
      </c>
      <c r="F571" s="30" t="s">
        <v>28</v>
      </c>
      <c r="G571" s="30"/>
      <c r="H571" s="30" t="s">
        <v>1203</v>
      </c>
      <c r="I571" s="31">
        <f t="shared" si="26"/>
        <v>28</v>
      </c>
      <c r="J571" s="147" t="s">
        <v>2112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389</v>
      </c>
      <c r="B572" s="30" t="s">
        <v>2181</v>
      </c>
      <c r="C572" s="73" t="s">
        <v>1062</v>
      </c>
      <c r="D572" t="s">
        <v>2182</v>
      </c>
      <c r="E572" s="85" t="s">
        <v>46</v>
      </c>
      <c r="F572" s="30" t="s">
        <v>28</v>
      </c>
      <c r="G572" s="30"/>
      <c r="H572" s="30" t="s">
        <v>2183</v>
      </c>
      <c r="I572" s="31">
        <f t="shared" si="26"/>
        <v>28</v>
      </c>
      <c r="J572" s="147" t="s">
        <v>2184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602</v>
      </c>
      <c r="B573" s="73" t="s">
        <v>603</v>
      </c>
      <c r="C573" s="73" t="s">
        <v>1063</v>
      </c>
      <c r="D573" s="73" t="s">
        <v>604</v>
      </c>
      <c r="E573" s="85" t="s">
        <v>19</v>
      </c>
      <c r="F573" s="85" t="s">
        <v>1301</v>
      </c>
      <c r="G573" s="85"/>
      <c r="H573" s="85" t="s">
        <v>1371</v>
      </c>
      <c r="I573" s="142">
        <f t="shared" si="26"/>
        <v>28</v>
      </c>
      <c r="J573" s="147" t="s">
        <v>2113</v>
      </c>
      <c r="K573" s="142">
        <f t="shared" si="27"/>
        <v>0</v>
      </c>
      <c r="L573" s="143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hidden="1" thickBot="1" x14ac:dyDescent="0.3">
      <c r="A574" s="73" t="s">
        <v>310</v>
      </c>
      <c r="B574" s="73" t="s">
        <v>605</v>
      </c>
      <c r="C574" s="73" t="s">
        <v>1063</v>
      </c>
      <c r="D574" s="73" t="s">
        <v>606</v>
      </c>
      <c r="E574" s="85" t="s">
        <v>19</v>
      </c>
      <c r="F574" s="85" t="s">
        <v>1301</v>
      </c>
      <c r="G574" s="85"/>
      <c r="H574" s="85" t="s">
        <v>1368</v>
      </c>
      <c r="I574" s="142">
        <f t="shared" si="26"/>
        <v>28</v>
      </c>
      <c r="J574" s="147" t="s">
        <v>2114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607</v>
      </c>
      <c r="C575" s="73" t="s">
        <v>1062</v>
      </c>
      <c r="D575" s="73" t="s">
        <v>608</v>
      </c>
      <c r="E575" s="85" t="s">
        <v>15</v>
      </c>
      <c r="F575" s="85" t="s">
        <v>1301</v>
      </c>
      <c r="G575" s="85"/>
      <c r="H575" s="85" t="s">
        <v>1507</v>
      </c>
      <c r="I575" s="142">
        <f t="shared" si="26"/>
        <v>28</v>
      </c>
      <c r="J575" s="147" t="s">
        <v>2115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600</v>
      </c>
      <c r="C576" s="73" t="s">
        <v>1062</v>
      </c>
      <c r="D576" s="73" t="s">
        <v>601</v>
      </c>
      <c r="E576" s="85" t="s">
        <v>19</v>
      </c>
      <c r="F576" s="85" t="s">
        <v>1301</v>
      </c>
      <c r="G576" s="85"/>
      <c r="H576" s="85" t="s">
        <v>1429</v>
      </c>
      <c r="I576" s="142">
        <f t="shared" si="26"/>
        <v>10</v>
      </c>
      <c r="J576" s="147" t="s">
        <v>2116</v>
      </c>
      <c r="K576" s="142">
        <f t="shared" si="27"/>
        <v>18</v>
      </c>
      <c r="L576" s="143">
        <f t="shared" si="28"/>
        <v>0.35714285714285715</v>
      </c>
      <c r="M576" s="70" t="s">
        <v>2213</v>
      </c>
      <c r="N576" s="70" t="s">
        <v>2213</v>
      </c>
      <c r="O576" s="70" t="s">
        <v>2213</v>
      </c>
      <c r="P576" s="70" t="s">
        <v>2213</v>
      </c>
      <c r="Q576" s="70" t="s">
        <v>2213</v>
      </c>
      <c r="R576" s="70" t="s">
        <v>2213</v>
      </c>
      <c r="S576" s="70" t="s">
        <v>2213</v>
      </c>
      <c r="T576" s="70" t="s">
        <v>2213</v>
      </c>
      <c r="U576" s="70" t="s">
        <v>2213</v>
      </c>
      <c r="V576" s="70" t="s">
        <v>2213</v>
      </c>
      <c r="W576" s="70" t="s">
        <v>2213</v>
      </c>
      <c r="X576" s="70" t="s">
        <v>2213</v>
      </c>
      <c r="Y576" s="70" t="s">
        <v>2213</v>
      </c>
      <c r="Z576" s="70" t="s">
        <v>2213</v>
      </c>
      <c r="AA576" s="70" t="s">
        <v>2213</v>
      </c>
      <c r="AB576" s="70" t="s">
        <v>2213</v>
      </c>
      <c r="AC576" s="70" t="s">
        <v>2213</v>
      </c>
      <c r="AD576" s="70" t="s">
        <v>2213</v>
      </c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1447</v>
      </c>
      <c r="C577" s="73" t="s">
        <v>1062</v>
      </c>
      <c r="D577" s="73" t="s">
        <v>1448</v>
      </c>
      <c r="E577" s="85" t="s">
        <v>46</v>
      </c>
      <c r="F577" s="85" t="s">
        <v>1301</v>
      </c>
      <c r="G577" s="85"/>
      <c r="H577" s="85" t="s">
        <v>1453</v>
      </c>
      <c r="I577" s="142">
        <f t="shared" si="26"/>
        <v>28</v>
      </c>
      <c r="J577" s="147" t="s">
        <v>2117</v>
      </c>
      <c r="K577" s="142">
        <f t="shared" si="27"/>
        <v>0</v>
      </c>
      <c r="L577" s="143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1450</v>
      </c>
      <c r="C578" s="73" t="s">
        <v>1062</v>
      </c>
      <c r="D578" s="73" t="s">
        <v>1449</v>
      </c>
      <c r="E578" s="85" t="s">
        <v>73</v>
      </c>
      <c r="F578" s="85" t="s">
        <v>1301</v>
      </c>
      <c r="G578" s="85"/>
      <c r="H578" s="85" t="s">
        <v>1454</v>
      </c>
      <c r="I578" s="142">
        <f t="shared" si="26"/>
        <v>28</v>
      </c>
      <c r="J578" s="147" t="s">
        <v>2118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1451</v>
      </c>
      <c r="C579" s="73" t="s">
        <v>1062</v>
      </c>
      <c r="D579" s="73" t="s">
        <v>1452</v>
      </c>
      <c r="E579" s="85" t="s">
        <v>73</v>
      </c>
      <c r="F579" s="85" t="s">
        <v>1301</v>
      </c>
      <c r="G579" s="85"/>
      <c r="H579" s="85" t="s">
        <v>1455</v>
      </c>
      <c r="I579" s="142">
        <f t="shared" si="26"/>
        <v>28</v>
      </c>
      <c r="J579" s="147" t="s">
        <v>2119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2120</v>
      </c>
      <c r="C580" s="73" t="s">
        <v>1062</v>
      </c>
      <c r="D580" s="73" t="s">
        <v>2121</v>
      </c>
      <c r="E580" s="85" t="s">
        <v>15</v>
      </c>
      <c r="F580" s="85" t="s">
        <v>1301</v>
      </c>
      <c r="G580" s="85"/>
      <c r="H580" s="85" t="s">
        <v>2122</v>
      </c>
      <c r="I580" s="142">
        <f t="shared" si="26"/>
        <v>28</v>
      </c>
      <c r="J580" s="151" t="s">
        <v>2123</v>
      </c>
      <c r="K580" s="142">
        <f t="shared" si="27"/>
        <v>0</v>
      </c>
      <c r="L580" s="143">
        <f t="shared" si="28"/>
        <v>1</v>
      </c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152"/>
      <c r="AQ580" s="152"/>
    </row>
    <row r="661" spans="5:41" x14ac:dyDescent="0.25"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</row>
    <row r="827" spans="5:41" x14ac:dyDescent="0.25">
      <c r="E827" s="30"/>
      <c r="F827" s="30"/>
      <c r="G827" s="30"/>
      <c r="H827" s="30"/>
      <c r="L827" s="13"/>
      <c r="O827" s="70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L830" s="13"/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</sheetData>
  <autoFilter ref="A7:AQ580" xr:uid="{00000000-0001-0000-0000-000000000000}">
    <filterColumn colId="2">
      <filters>
        <filter val="BONOMO"/>
      </filters>
    </filterColumn>
  </autoFilter>
  <sortState xmlns:xlrd2="http://schemas.microsoft.com/office/spreadsheetml/2017/richdata2" ref="A653:AO658">
    <sortCondition ref="B653:B658"/>
  </sortState>
  <phoneticPr fontId="6" type="noConversion"/>
  <conditionalFormatting sqref="C1:C265 D20:D21 D129:D144 D152 D160:D161 D211:D213 D217:D220 D225:D227 D257:D258 D265 C266:D266 C267:C580 D271:D274 D284:D286 D359:D364 D373 C374:D374 D390:D394 D406:D408 D411:D412 D469:D472 D539:D540 C663:C1048576">
    <cfRule type="cellIs" dxfId="141" priority="527" operator="equal">
      <formula>$C$268</formula>
    </cfRule>
  </conditionalFormatting>
  <conditionalFormatting sqref="C1:C265 D20:D21 D160:D161 D217:D220 C266:D266 C267:C580 D271:D274 D284:D286 C374:D374 D390:D394 D406:D408 D411:D412 C663:C1048576 D129:D144 D152 D211:D213 D225:D227 D257:D258 D265 D359:D364 D373 D469:D472 D539:D540">
    <cfRule type="cellIs" dxfId="140" priority="526" operator="equal">
      <formula>$C$287</formula>
    </cfRule>
  </conditionalFormatting>
  <conditionalFormatting sqref="C1:C580 D20:D21 D160:D161 D217:D218 D271:D274 D284:D286 D390:D394 D406:D408 D411:D412 C663:C1048576">
    <cfRule type="cellIs" dxfId="139" priority="72" operator="equal">
      <formula>"IPCOMS"</formula>
    </cfRule>
  </conditionalFormatting>
  <conditionalFormatting sqref="E1:E553 E568:E580 E663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0 E663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5">
    <cfRule type="containsText" dxfId="133" priority="475" operator="containsText" text="Radio">
      <formula>NOT(ISERROR(SEARCH("Radio",E555)))</formula>
    </cfRule>
    <cfRule type="containsText" dxfId="132" priority="474" operator="containsText" text="domo">
      <formula>NOT(ISERROR(SEARCH("domo",E555)))</formula>
    </cfRule>
    <cfRule type="containsText" dxfId="131" priority="473" operator="containsText" text="fija">
      <formula>NOT(ISERROR(SEARCH("fija",E555)))</formula>
    </cfRule>
  </conditionalFormatting>
  <conditionalFormatting sqref="E555:E556">
    <cfRule type="containsText" dxfId="130" priority="469" operator="containsText" text="domo">
      <formula>NOT(ISERROR(SEARCH("domo",E555)))</formula>
    </cfRule>
    <cfRule type="containsText" dxfId="129" priority="468" operator="containsText" text="fija">
      <formula>NOT(ISERROR(SEARCH("fija",E555)))</formula>
    </cfRule>
  </conditionalFormatting>
  <conditionalFormatting sqref="E556">
    <cfRule type="containsText" dxfId="128" priority="467" operator="containsText" text="domo">
      <formula>NOT(ISERROR(SEARCH("domo",E556)))</formula>
    </cfRule>
    <cfRule type="containsText" dxfId="127" priority="466" operator="containsText" text="fija">
      <formula>NOT(ISERROR(SEARCH("fija",E556)))</formula>
    </cfRule>
    <cfRule type="containsText" dxfId="126" priority="470" operator="containsText" text="Radio">
      <formula>NOT(ISERROR(SEARCH("Radio",E556)))</formula>
    </cfRule>
  </conditionalFormatting>
  <conditionalFormatting sqref="E559">
    <cfRule type="containsText" dxfId="125" priority="465" operator="containsText" text="Radio">
      <formula>NOT(ISERROR(SEARCH("Radio",E559)))</formula>
    </cfRule>
    <cfRule type="containsText" dxfId="124" priority="464" operator="containsText" text="domo">
      <formula>NOT(ISERROR(SEARCH("domo",E559)))</formula>
    </cfRule>
    <cfRule type="containsText" dxfId="123" priority="463" operator="containsText" text="fija">
      <formula>NOT(ISERROR(SEARCH("fija",E559)))</formula>
    </cfRule>
  </conditionalFormatting>
  <conditionalFormatting sqref="E559:E560">
    <cfRule type="containsText" dxfId="122" priority="459" operator="containsText" text="domo">
      <formula>NOT(ISERROR(SEARCH("domo",E559)))</formula>
    </cfRule>
    <cfRule type="containsText" dxfId="121" priority="458" operator="containsText" text="fija">
      <formula>NOT(ISERROR(SEARCH("fija",E559)))</formula>
    </cfRule>
  </conditionalFormatting>
  <conditionalFormatting sqref="E560 E46:H132 F133:F134 E158:H225 E227:F227 E228:H388 E389:F389 F390:F394 E395:H410 E411:F412 E413:H553 E568:H580 E663:H1048576 H389 G389:G394">
    <cfRule type="containsText" dxfId="120" priority="460" operator="containsText" text="Radio">
      <formula>NOT(ISERROR(SEARCH("Radio",E46)))</formula>
    </cfRule>
  </conditionalFormatting>
  <conditionalFormatting sqref="E560:E561">
    <cfRule type="containsText" dxfId="119" priority="454" operator="containsText" text="domo">
      <formula>NOT(ISERROR(SEARCH("domo",E560)))</formula>
    </cfRule>
    <cfRule type="containsText" dxfId="118" priority="453" operator="containsText" text="fija">
      <formula>NOT(ISERROR(SEARCH("fija",E560)))</formula>
    </cfRule>
  </conditionalFormatting>
  <conditionalFormatting sqref="E561">
    <cfRule type="containsText" dxfId="117" priority="455" operator="containsText" text="Radio">
      <formula>NOT(ISERROR(SEARCH("Radio",E561)))</formula>
    </cfRule>
  </conditionalFormatting>
  <conditionalFormatting sqref="E561:E562">
    <cfRule type="containsText" dxfId="116" priority="449" operator="containsText" text="domo">
      <formula>NOT(ISERROR(SEARCH("domo",E561)))</formula>
    </cfRule>
    <cfRule type="containsText" dxfId="115" priority="448" operator="containsText" text="fija">
      <formula>NOT(ISERROR(SEARCH("fija",E561)))</formula>
    </cfRule>
  </conditionalFormatting>
  <conditionalFormatting sqref="E562">
    <cfRule type="containsText" dxfId="114" priority="450" operator="containsText" text="Radio">
      <formula>NOT(ISERROR(SEARCH("Radio",E562)))</formula>
    </cfRule>
    <cfRule type="containsText" dxfId="113" priority="447" operator="containsText" text="domo">
      <formula>NOT(ISERROR(SEARCH("domo",E562)))</formula>
    </cfRule>
    <cfRule type="containsText" dxfId="112" priority="446" operator="containsText" text="fija">
      <formula>NOT(ISERROR(SEARCH("fija",E562)))</formula>
    </cfRule>
  </conditionalFormatting>
  <conditionalFormatting sqref="E566">
    <cfRule type="containsText" dxfId="111" priority="745" operator="containsText" text="domo">
      <formula>NOT(ISERROR(SEARCH("domo",E566)))</formula>
    </cfRule>
    <cfRule type="containsText" dxfId="110" priority="744" operator="containsText" text="fija">
      <formula>NOT(ISERROR(SEARCH("fija",E566)))</formula>
    </cfRule>
  </conditionalFormatting>
  <conditionalFormatting sqref="E569:E572">
    <cfRule type="containsText" dxfId="109" priority="477" operator="containsText" text="domo">
      <formula>NOT(ISERROR(SEARCH("domo",E569)))</formula>
    </cfRule>
    <cfRule type="containsText" dxfId="108" priority="476" operator="containsText" text="fija">
      <formula>NOT(ISERROR(SEARCH("fija",E569)))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6:H566 F567">
    <cfRule type="containsText" dxfId="103" priority="1001" operator="containsText" text="Radio">
      <formula>NOT(ISERROR(SEARCH("Radio",E566)))</formula>
    </cfRule>
  </conditionalFormatting>
  <conditionalFormatting sqref="F1:F134 F158:F580 F663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4">
    <cfRule type="cellIs" dxfId="74" priority="124" operator="equal">
      <formula>"PTP A FO"</formula>
    </cfRule>
    <cfRule type="containsText" dxfId="73" priority="123" operator="containsText" text="Radio">
      <formula>NOT(ISERROR(SEARCH("Radio",F554)))</formula>
    </cfRule>
  </conditionalFormatting>
  <conditionalFormatting sqref="F1:G132 F133:F134 F158:G225 F228:G410 F411:F412 F413:G553 F566:G566 F567 F568:G580 F663:G1048576">
    <cfRule type="cellIs" dxfId="72" priority="725" operator="equal">
      <formula>"PTP A FO"</formula>
    </cfRule>
  </conditionalFormatting>
  <conditionalFormatting sqref="F1:G132 F133:F134 F158:G225 F228:G410 F411:F412 F413:G580 F663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0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3:AO739 W663:AH1048576">
    <cfRule type="cellIs" dxfId="60" priority="107" operator="equal">
      <formula>"apagado"</formula>
    </cfRule>
  </conditionalFormatting>
  <conditionalFormatting sqref="M663:AO1048576">
    <cfRule type="containsText" dxfId="59" priority="657" operator="containsText" text="Caida">
      <formula>NOT(ISERROR(SEARCH("Caida",M663)))</formula>
    </cfRule>
    <cfRule type="notContainsText" dxfId="58" priority="990" operator="notContains" text="Caida">
      <formula>ISERROR(SEARCH("Caida",M663))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0 AI663:AO1048576">
    <cfRule type="cellIs" dxfId="57" priority="106" operator="equal">
      <formula>"APAGADO"</formula>
    </cfRule>
  </conditionalFormatting>
  <conditionalFormatting sqref="O663:O1182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NOT(ISERROR(SEARCH("Caida",O663)))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ISERROR(SEARCH("Caida",O663))</formula>
    </cfRule>
  </conditionalFormatting>
  <conditionalFormatting sqref="O663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186" zoomScale="84" zoomScaleNormal="84" workbookViewId="0">
      <selection activeCell="H188" sqref="H188:L1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573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0.14834205933682373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302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573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0.12216404886561955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0.11867364746945899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0.11343804537521815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9.7731239092495634E-2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302</v>
      </c>
      <c r="D20" s="115">
        <f>Hoja1!G3</f>
        <v>29</v>
      </c>
      <c r="E20" s="105">
        <f>D20/C20</f>
        <v>9.602649006622517E-2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573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0.13961605584642234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0.13961605584642234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0.13438045375218149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0.11867364746945899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0.11867364746945899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302</v>
      </c>
      <c r="D31" s="115">
        <f>Hoja1!H3</f>
        <v>37</v>
      </c>
      <c r="E31" s="105">
        <f>D31/C31</f>
        <v>0.12251655629139073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573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0.2111692844677138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0.19720767888307156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0.19197207678883071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0.16404886561954624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302</v>
      </c>
      <c r="D42" s="115">
        <v>48</v>
      </c>
      <c r="E42" s="105">
        <f>D42/C42</f>
        <v>0.15894039735099338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573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0.193717277486911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0.19022687609075042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0.18499127399650961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0.15881326352530542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302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573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0.15532286212914484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7.6788830715532289E-2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7.1553228621291445E-2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6.1082024432809773E-2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302</v>
      </c>
      <c r="D64" s="115">
        <f>Hoja1!K3</f>
        <v>22</v>
      </c>
      <c r="E64" s="105">
        <f>D64/C64</f>
        <v>7.2847682119205295E-2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573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0.15881326352530542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0.15706806282722513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0.15183246073298429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0.1256544502617801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0.1256544502617801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302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573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302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573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0.15183246073298429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0.15008726003490402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0.14485165794066318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0.11867364746945899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302</v>
      </c>
      <c r="D97" s="115">
        <f>Hoja1!N3</f>
        <v>20</v>
      </c>
      <c r="E97" s="105">
        <f>D97/C97</f>
        <v>6.6225165562913912E-2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573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0.13612565445026178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0.12914485165794065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0.12390924956369982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0.1099476439790576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302</v>
      </c>
      <c r="D108" s="115">
        <f>Hoja1!O3</f>
        <v>20</v>
      </c>
      <c r="E108" s="105">
        <f>D108/C108</f>
        <v>6.6225165562913912E-2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573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0.15532286212914484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0.15008726003490402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0.14485165794066318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0.13961605584642234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302</v>
      </c>
      <c r="D119" s="115">
        <f>Hoja1!P3</f>
        <v>22</v>
      </c>
      <c r="E119" s="105">
        <f>D119/C119</f>
        <v>7.2847682119205295E-2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573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0.15881326352530542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0.15008726003490402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0.14485165794066318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0.13438045375218149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0.13438045375218149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302</v>
      </c>
      <c r="D130" s="115">
        <f>Hoja1!Q3</f>
        <v>22</v>
      </c>
      <c r="E130" s="105">
        <f>D130/C130</f>
        <v>7.2847682119205295E-2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573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0.14485165794066318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0.13612565445026178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0.13089005235602094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0.10820244328097731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302</v>
      </c>
      <c r="D141" s="115">
        <v>23</v>
      </c>
      <c r="E141" s="105">
        <f>D141/C141</f>
        <v>7.6158940397350994E-2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573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0.13961605584642234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0.12739965095986039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0.12216404886561955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9.5986038394415357E-2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9.5986038394415357E-2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302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573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0.16055846422338568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0.16055846422338568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0.16055846422338568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0.14136125654450263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0.14136125654450263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302</v>
      </c>
      <c r="D163" s="115">
        <f>Hoja1!T3</f>
        <v>26</v>
      </c>
      <c r="E163" s="105">
        <f>D163/C163</f>
        <v>8.6092715231788075E-2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573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0.14136125654450263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0.14136125654450263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0.13612565445026178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0.13263525305410123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0.13263525305410123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302</v>
      </c>
      <c r="D174" s="115">
        <v>27</v>
      </c>
      <c r="E174" s="105">
        <f>D174/C174</f>
        <v>8.9403973509933773E-2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573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0.17277486910994763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0.17277486910994763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0.16753926701570682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0.16055846422338568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302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573</v>
      </c>
      <c r="D189" s="101"/>
      <c r="E189" s="106"/>
      <c r="F189" s="154">
        <v>46009</v>
      </c>
      <c r="H189" s="52" t="s">
        <v>1242</v>
      </c>
      <c r="I189" s="100">
        <f>CANTIDAD_DE_CAMARAS</f>
        <v>573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0.19720767888307156</v>
      </c>
      <c r="F190" s="155"/>
      <c r="H190" s="53" t="s">
        <v>6</v>
      </c>
      <c r="I190" s="66">
        <v>85</v>
      </c>
      <c r="J190" s="54"/>
      <c r="K190" s="55">
        <f>I190/I189</f>
        <v>0.14834205933682373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0.19546247818499127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0.14659685863874344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0.19022687609075042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0.14136125654450263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0.18673647469458987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0.13787085514834205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302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573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-1.0471204188481676E-2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-1.5706806282722512E-2</v>
      </c>
      <c r="F203" s="155"/>
    </row>
    <row r="204" spans="2:12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-2.6178010471204188E-2</v>
      </c>
      <c r="F204" s="155"/>
    </row>
    <row r="205" spans="2:12" ht="15.75" thickBot="1" x14ac:dyDescent="0.3">
      <c r="B205" s="56"/>
      <c r="C205" s="131">
        <v>0</v>
      </c>
      <c r="D205" s="104">
        <f>D204-C205</f>
        <v>-15</v>
      </c>
      <c r="E205" s="74">
        <f>D205/C200</f>
        <v>-2.6178010471204188E-2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27</v>
      </c>
      <c r="E207" s="105">
        <f>D207/C207</f>
        <v>8.9108910891089105E-2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40</v>
      </c>
      <c r="E208" s="114">
        <f>D208/C208</f>
        <v>0.14814814814814814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573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9.5986038394415357E-2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8.3769633507853408E-2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7.8534031413612565E-2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6.8062827225130892E-2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6.8062827225130892E-2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302</v>
      </c>
      <c r="D218" s="115">
        <v>17</v>
      </c>
      <c r="E218" s="105">
        <f>D218/C218</f>
        <v>5.6291390728476824E-2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573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302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573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302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573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302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573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302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573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302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573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302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573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302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573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302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573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302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573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302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573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302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TOTAL'!A460</f>
        <v>PRESIDENTE SARMIENTO</v>
      </c>
      <c r="B364" t="str">
        <f>'RESUMEN TOTAL'!B460</f>
        <v>VANG 09</v>
      </c>
      <c r="C364" t="str">
        <f>'RESUMEN TOTAL'!D460</f>
        <v>Ruta 36 y Senzabello</v>
      </c>
      <c r="D364" s="30" t="str">
        <f>'RESUMEN TOTAL'!E460</f>
        <v>Domo</v>
      </c>
      <c r="E364" s="30" t="str">
        <f>'RESUMEN TOTAL'!F460</f>
        <v>PTO A FO</v>
      </c>
      <c r="F364" s="70" t="str">
        <f>'RESUMEN TOTAL'!M460</f>
        <v>APAGADO</v>
      </c>
      <c r="G364" s="70">
        <f>'RESUMEN TOTAL'!N460</f>
        <v>0</v>
      </c>
      <c r="H364" s="70">
        <f>'RESUMEN TOTAL'!O460</f>
        <v>0</v>
      </c>
      <c r="I364" s="70">
        <f>'RESUMEN TOTAL'!P460</f>
        <v>0</v>
      </c>
      <c r="J364" s="70">
        <f>'RESUMEN TOTAL'!Q460</f>
        <v>0</v>
      </c>
      <c r="K364" s="70">
        <f>'RESUMEN TOTAL'!R460</f>
        <v>0</v>
      </c>
      <c r="L364" s="70">
        <f>'RESUMEN TOTAL'!S460</f>
        <v>0</v>
      </c>
      <c r="M364" s="70">
        <f>'RESUMEN TOTAL'!T460</f>
        <v>0</v>
      </c>
      <c r="N364" s="70">
        <f>'RESUMEN TOTAL'!U460</f>
        <v>0</v>
      </c>
      <c r="O364" s="70">
        <f>'RESUMEN TOTAL'!V460</f>
        <v>0</v>
      </c>
      <c r="P364" s="70">
        <f>'RESUMEN TOTAL'!W460</f>
        <v>0</v>
      </c>
      <c r="Q364" s="70">
        <f>'RESUMEN TOTAL'!X460</f>
        <v>0</v>
      </c>
      <c r="R364" s="70">
        <f>'RESUMEN TOTAL'!Y460</f>
        <v>0</v>
      </c>
      <c r="S364" s="70">
        <f>'RESUMEN TOTAL'!Z460</f>
        <v>0</v>
      </c>
      <c r="T364" s="70">
        <f>'RESUMEN TOTAL'!AA460</f>
        <v>0</v>
      </c>
      <c r="U364" s="70">
        <f>'RESUMEN TOTAL'!AB460</f>
        <v>0</v>
      </c>
      <c r="V364" s="70" t="str">
        <f>'RESUMEN TOTAL'!AC460</f>
        <v>APAGADO</v>
      </c>
      <c r="W364" s="70" t="str">
        <f>'RESUMEN TOTAL'!AD460</f>
        <v>APAGADO</v>
      </c>
      <c r="X364" s="70">
        <f>'RESUMEN TOTAL'!AE460</f>
        <v>0</v>
      </c>
      <c r="Y364" s="70">
        <f>'RESUMEN TOTAL'!AF460</f>
        <v>0</v>
      </c>
      <c r="Z364" s="70">
        <f>'RESUMEN TOTAL'!AG460</f>
        <v>0</v>
      </c>
      <c r="AA364" s="70">
        <f>'RESUMEN TOTAL'!AH460</f>
        <v>0</v>
      </c>
      <c r="AB364" s="70">
        <f>'RESUMEN TOTAL'!AI460</f>
        <v>0</v>
      </c>
      <c r="AC364" s="70">
        <f>'RESUMEN TOTAL'!AJ460</f>
        <v>0</v>
      </c>
      <c r="AD364" s="70">
        <f>'RESUMEN TOTAL'!AK460</f>
        <v>0</v>
      </c>
      <c r="AE364" s="70">
        <f>'RESUMEN TOTAL'!AL460</f>
        <v>0</v>
      </c>
      <c r="AF364" s="70">
        <f>'RESUMEN TOTAL'!AM460</f>
        <v>0</v>
      </c>
      <c r="AG364" s="70">
        <f>'RESUMEN TOTAL'!AN460</f>
        <v>0</v>
      </c>
      <c r="AH364" s="70">
        <f>'RESUMEN TOTAL'!AO460</f>
        <v>0</v>
      </c>
      <c r="AI364" s="70">
        <f>'RESUMEN TOTAL'!AP460</f>
        <v>0</v>
      </c>
      <c r="AJ364" s="70">
        <f>'RESUMEN TOTAL'!AQ460</f>
        <v>0</v>
      </c>
    </row>
    <row r="365" spans="1:36" x14ac:dyDescent="0.25">
      <c r="A365" t="str">
        <f>'RESUMEN TOTAL'!A461</f>
        <v>VILLA ANGELICA</v>
      </c>
      <c r="B365" t="str">
        <f>'RESUMEN TOTAL'!B461</f>
        <v>VANG01</v>
      </c>
      <c r="C365" t="str">
        <f>'RESUMEN TOTAL'!D461</f>
        <v>SENZABELLO Y REMDIOS DE ESCALADA</v>
      </c>
      <c r="D365" s="30" t="str">
        <f>'RESUMEN TOTAL'!E461</f>
        <v>Domo</v>
      </c>
      <c r="E365" s="30" t="str">
        <f>'RESUMEN TOTAL'!F461</f>
        <v>PTO A FO</v>
      </c>
      <c r="F365" s="70" t="str">
        <f>'RESUMEN TOTAL'!M461</f>
        <v>APAGADO</v>
      </c>
      <c r="G365" s="70">
        <f>'RESUMEN TOTAL'!N461</f>
        <v>0</v>
      </c>
      <c r="H365" s="70">
        <f>'RESUMEN TOTAL'!O461</f>
        <v>0</v>
      </c>
      <c r="I365" s="70">
        <f>'RESUMEN TOTAL'!P461</f>
        <v>0</v>
      </c>
      <c r="J365" s="70">
        <f>'RESUMEN TOTAL'!Q461</f>
        <v>0</v>
      </c>
      <c r="K365" s="70">
        <f>'RESUMEN TOTAL'!R461</f>
        <v>0</v>
      </c>
      <c r="L365" s="70">
        <f>'RESUMEN TOTAL'!S461</f>
        <v>0</v>
      </c>
      <c r="M365" s="70">
        <f>'RESUMEN TOTAL'!T461</f>
        <v>0</v>
      </c>
      <c r="N365" s="70">
        <f>'RESUMEN TOTAL'!U461</f>
        <v>0</v>
      </c>
      <c r="O365" s="70">
        <f>'RESUMEN TOTAL'!V461</f>
        <v>0</v>
      </c>
      <c r="P365" s="70">
        <f>'RESUMEN TOTAL'!W461</f>
        <v>0</v>
      </c>
      <c r="Q365" s="70">
        <f>'RESUMEN TOTAL'!X461</f>
        <v>0</v>
      </c>
      <c r="R365" s="70">
        <f>'RESUMEN TOTAL'!Y461</f>
        <v>0</v>
      </c>
      <c r="S365" s="70">
        <f>'RESUMEN TOTAL'!Z461</f>
        <v>0</v>
      </c>
      <c r="T365" s="70">
        <f>'RESUMEN TOTAL'!AA461</f>
        <v>0</v>
      </c>
      <c r="U365" s="70">
        <f>'RESUMEN TOTAL'!AB461</f>
        <v>0</v>
      </c>
      <c r="V365" s="70">
        <f>'RESUMEN TOTAL'!AC461</f>
        <v>0</v>
      </c>
      <c r="W365" s="70" t="str">
        <f>'RESUMEN TOTAL'!AD461</f>
        <v>APAGADO</v>
      </c>
      <c r="X365" s="70">
        <f>'RESUMEN TOTAL'!AE461</f>
        <v>0</v>
      </c>
      <c r="Y365" s="70">
        <f>'RESUMEN TOTAL'!AF461</f>
        <v>0</v>
      </c>
      <c r="Z365" s="70">
        <f>'RESUMEN TOTAL'!AG461</f>
        <v>0</v>
      </c>
      <c r="AA365" s="70">
        <f>'RESUMEN TOTAL'!AH461</f>
        <v>0</v>
      </c>
      <c r="AB365" s="70">
        <f>'RESUMEN TOTAL'!AI461</f>
        <v>0</v>
      </c>
      <c r="AC365" s="70">
        <f>'RESUMEN TOTAL'!AJ461</f>
        <v>0</v>
      </c>
      <c r="AD365" s="70">
        <f>'RESUMEN TOTAL'!AK461</f>
        <v>0</v>
      </c>
      <c r="AE365" s="70">
        <f>'RESUMEN TOTAL'!AL461</f>
        <v>0</v>
      </c>
      <c r="AF365" s="70">
        <f>'RESUMEN TOTAL'!AM461</f>
        <v>0</v>
      </c>
      <c r="AG365" s="70">
        <f>'RESUMEN TOTAL'!AN461</f>
        <v>0</v>
      </c>
      <c r="AH365" s="70">
        <f>'RESUMEN TOTAL'!AO461</f>
        <v>0</v>
      </c>
      <c r="AI365" s="70">
        <f>'RESUMEN TOTAL'!AP461</f>
        <v>0</v>
      </c>
      <c r="AJ365" s="70">
        <f>'RESUMEN TOTAL'!AQ461</f>
        <v>0</v>
      </c>
    </row>
    <row r="366" spans="1:36" x14ac:dyDescent="0.25">
      <c r="A366" t="str">
        <f>'RESUMEN TOTAL'!A462</f>
        <v>VILLA ANGELICA</v>
      </c>
      <c r="B366" t="str">
        <f>'RESUMEN TOTAL'!B462</f>
        <v>VANG02</v>
      </c>
      <c r="C366" t="str">
        <f>'RESUMEN TOTAL'!D462</f>
        <v>Thevenet y Ruta 36</v>
      </c>
      <c r="D366" s="30" t="str">
        <f>'RESUMEN TOTAL'!E462</f>
        <v>Domo</v>
      </c>
      <c r="E366" s="30" t="str">
        <f>'RESUMEN TOTAL'!F462</f>
        <v>Fibra Optica</v>
      </c>
      <c r="F366" s="70">
        <f>'RESUMEN TOTAL'!M462</f>
        <v>0</v>
      </c>
      <c r="G366" s="70">
        <f>'RESUMEN TOTAL'!N462</f>
        <v>0</v>
      </c>
      <c r="H366" s="70">
        <f>'RESUMEN TOTAL'!O462</f>
        <v>0</v>
      </c>
      <c r="I366" s="70">
        <f>'RESUMEN TOTAL'!P462</f>
        <v>0</v>
      </c>
      <c r="J366" s="70">
        <f>'RESUMEN TOTAL'!Q462</f>
        <v>0</v>
      </c>
      <c r="K366" s="70">
        <f>'RESUMEN TOTAL'!R462</f>
        <v>0</v>
      </c>
      <c r="L366" s="70">
        <f>'RESUMEN TOTAL'!S462</f>
        <v>0</v>
      </c>
      <c r="M366" s="70">
        <f>'RESUMEN TOTAL'!T462</f>
        <v>0</v>
      </c>
      <c r="N366" s="70">
        <f>'RESUMEN TOTAL'!U462</f>
        <v>0</v>
      </c>
      <c r="O366" s="70">
        <f>'RESUMEN TOTAL'!V462</f>
        <v>0</v>
      </c>
      <c r="P366" s="70">
        <f>'RESUMEN TOTAL'!W462</f>
        <v>0</v>
      </c>
      <c r="Q366" s="70">
        <f>'RESUMEN TOTAL'!X462</f>
        <v>0</v>
      </c>
      <c r="R366" s="70">
        <f>'RESUMEN TOTAL'!Y462</f>
        <v>0</v>
      </c>
      <c r="S366" s="70">
        <f>'RESUMEN TOTAL'!Z462</f>
        <v>0</v>
      </c>
      <c r="T366" s="70">
        <f>'RESUMEN TOTAL'!AA462</f>
        <v>0</v>
      </c>
      <c r="U366" s="70">
        <f>'RESUMEN TOTAL'!AB462</f>
        <v>0</v>
      </c>
      <c r="V366" s="70">
        <f>'RESUMEN TOTAL'!AC462</f>
        <v>0</v>
      </c>
      <c r="W366" s="70">
        <f>'RESUMEN TOTAL'!AD462</f>
        <v>0</v>
      </c>
      <c r="X366" s="70">
        <f>'RESUMEN TOTAL'!AE462</f>
        <v>0</v>
      </c>
      <c r="Y366" s="70">
        <f>'RESUMEN TOTAL'!AF462</f>
        <v>0</v>
      </c>
      <c r="Z366" s="70">
        <f>'RESUMEN TOTAL'!AG462</f>
        <v>0</v>
      </c>
      <c r="AA366" s="70">
        <f>'RESUMEN TOTAL'!AH462</f>
        <v>0</v>
      </c>
      <c r="AB366" s="70">
        <f>'RESUMEN TOTAL'!AI462</f>
        <v>0</v>
      </c>
      <c r="AC366" s="70">
        <f>'RESUMEN TOTAL'!AJ462</f>
        <v>0</v>
      </c>
      <c r="AD366" s="70">
        <f>'RESUMEN TOTAL'!AK462</f>
        <v>0</v>
      </c>
      <c r="AE366" s="70">
        <f>'RESUMEN TOTAL'!AL462</f>
        <v>0</v>
      </c>
      <c r="AF366" s="70">
        <f>'RESUMEN TOTAL'!AM462</f>
        <v>0</v>
      </c>
      <c r="AG366" s="70">
        <f>'RESUMEN TOTAL'!AN462</f>
        <v>0</v>
      </c>
      <c r="AH366" s="70">
        <f>'RESUMEN TOTAL'!AO462</f>
        <v>0</v>
      </c>
      <c r="AI366" s="70">
        <f>'RESUMEN TOTAL'!AP462</f>
        <v>0</v>
      </c>
      <c r="AJ366" s="70">
        <f>'RESUMEN TOTAL'!AQ462</f>
        <v>0</v>
      </c>
    </row>
    <row r="367" spans="1:36" x14ac:dyDescent="0.25">
      <c r="A367" t="str">
        <f>'RESUMEN TOTAL'!A463</f>
        <v>VILLA DEL PLATA</v>
      </c>
      <c r="B367" t="str">
        <f>'RESUMEN TOTAL'!B463</f>
        <v>VANG03</v>
      </c>
      <c r="C367" t="str">
        <f>'RESUMEN TOTAL'!D463</f>
        <v>Thevenet 1950</v>
      </c>
      <c r="D367" s="30" t="str">
        <f>'RESUMEN TOTAL'!E463</f>
        <v>Domo</v>
      </c>
      <c r="E367" s="30" t="str">
        <f>'RESUMEN TOTAL'!F463</f>
        <v>Fibra Optica</v>
      </c>
      <c r="F367" s="70">
        <f>'RESUMEN TOTAL'!M463</f>
        <v>0</v>
      </c>
      <c r="G367" s="70">
        <f>'RESUMEN TOTAL'!N463</f>
        <v>0</v>
      </c>
      <c r="H367" s="70">
        <f>'RESUMEN TOTAL'!O463</f>
        <v>0</v>
      </c>
      <c r="I367" s="70">
        <f>'RESUMEN TOTAL'!P463</f>
        <v>0</v>
      </c>
      <c r="J367" s="70">
        <f>'RESUMEN TOTAL'!Q463</f>
        <v>0</v>
      </c>
      <c r="K367" s="70">
        <f>'RESUMEN TOTAL'!R463</f>
        <v>0</v>
      </c>
      <c r="L367" s="70">
        <f>'RESUMEN TOTAL'!S463</f>
        <v>0</v>
      </c>
      <c r="M367" s="70">
        <f>'RESUMEN TOTAL'!T463</f>
        <v>0</v>
      </c>
      <c r="N367" s="70">
        <f>'RESUMEN TOTAL'!U463</f>
        <v>0</v>
      </c>
      <c r="O367" s="70">
        <f>'RESUMEN TOTAL'!V463</f>
        <v>0</v>
      </c>
      <c r="P367" s="70">
        <f>'RESUMEN TOTAL'!W463</f>
        <v>0</v>
      </c>
      <c r="Q367" s="70">
        <f>'RESUMEN TOTAL'!X463</f>
        <v>0</v>
      </c>
      <c r="R367" s="70">
        <f>'RESUMEN TOTAL'!Y463</f>
        <v>0</v>
      </c>
      <c r="S367" s="70">
        <f>'RESUMEN TOTAL'!Z463</f>
        <v>0</v>
      </c>
      <c r="T367" s="70">
        <f>'RESUMEN TOTAL'!AA463</f>
        <v>0</v>
      </c>
      <c r="U367" s="70">
        <f>'RESUMEN TOTAL'!AB463</f>
        <v>0</v>
      </c>
      <c r="V367" s="70">
        <f>'RESUMEN TOTAL'!AC463</f>
        <v>0</v>
      </c>
      <c r="W367" s="70">
        <f>'RESUMEN TOTAL'!AD463</f>
        <v>0</v>
      </c>
      <c r="X367" s="70">
        <f>'RESUMEN TOTAL'!AE463</f>
        <v>0</v>
      </c>
      <c r="Y367" s="70">
        <f>'RESUMEN TOTAL'!AF463</f>
        <v>0</v>
      </c>
      <c r="Z367" s="70">
        <f>'RESUMEN TOTAL'!AG463</f>
        <v>0</v>
      </c>
      <c r="AA367" s="70">
        <f>'RESUMEN TOTAL'!AH463</f>
        <v>0</v>
      </c>
      <c r="AB367" s="70">
        <f>'RESUMEN TOTAL'!AI463</f>
        <v>0</v>
      </c>
      <c r="AC367" s="70">
        <f>'RESUMEN TOTAL'!AJ463</f>
        <v>0</v>
      </c>
      <c r="AD367" s="70">
        <f>'RESUMEN TOTAL'!AK463</f>
        <v>0</v>
      </c>
      <c r="AE367" s="70">
        <f>'RESUMEN TOTAL'!AL463</f>
        <v>0</v>
      </c>
      <c r="AF367" s="70">
        <f>'RESUMEN TOTAL'!AM463</f>
        <v>0</v>
      </c>
      <c r="AG367" s="70">
        <f>'RESUMEN TOTAL'!AN463</f>
        <v>0</v>
      </c>
      <c r="AH367" s="70">
        <f>'RESUMEN TOTAL'!AO463</f>
        <v>0</v>
      </c>
      <c r="AI367" s="70">
        <f>'RESUMEN TOTAL'!AP463</f>
        <v>0</v>
      </c>
      <c r="AJ367" s="70">
        <f>'RESUMEN TOTAL'!AQ463</f>
        <v>0</v>
      </c>
    </row>
    <row r="368" spans="1:36" x14ac:dyDescent="0.25">
      <c r="A368" t="str">
        <f>'RESUMEN TOTAL'!A464</f>
        <v>VILLA ANGELICA</v>
      </c>
      <c r="B368" t="str">
        <f>'RESUMEN TOTAL'!B464</f>
        <v>VANG04</v>
      </c>
      <c r="C368" t="str">
        <f>'RESUMEN TOTAL'!D464</f>
        <v>Storni e/Thevenet y Calle 158</v>
      </c>
      <c r="D368" s="30" t="str">
        <f>'RESUMEN TOTAL'!E464</f>
        <v>DOMO</v>
      </c>
      <c r="E368" s="30" t="str">
        <f>'RESUMEN TOTAL'!F464</f>
        <v>Fibra Optica</v>
      </c>
      <c r="F368" s="70">
        <f>'RESUMEN TOTAL'!M464</f>
        <v>0</v>
      </c>
      <c r="G368" s="70">
        <f>'RESUMEN TOTAL'!N464</f>
        <v>0</v>
      </c>
      <c r="H368" s="70">
        <f>'RESUMEN TOTAL'!O464</f>
        <v>0</v>
      </c>
      <c r="I368" s="70">
        <f>'RESUMEN TOTAL'!P464</f>
        <v>0</v>
      </c>
      <c r="J368" s="70">
        <f>'RESUMEN TOTAL'!Q464</f>
        <v>0</v>
      </c>
      <c r="K368" s="70">
        <f>'RESUMEN TOTAL'!R464</f>
        <v>0</v>
      </c>
      <c r="L368" s="70">
        <f>'RESUMEN TOTAL'!S464</f>
        <v>0</v>
      </c>
      <c r="M368" s="70">
        <f>'RESUMEN TOTAL'!T464</f>
        <v>0</v>
      </c>
      <c r="N368" s="70">
        <f>'RESUMEN TOTAL'!U464</f>
        <v>0</v>
      </c>
      <c r="O368" s="70">
        <f>'RESUMEN TOTAL'!V464</f>
        <v>0</v>
      </c>
      <c r="P368" s="70">
        <f>'RESUMEN TOTAL'!W464</f>
        <v>0</v>
      </c>
      <c r="Q368" s="70">
        <f>'RESUMEN TOTAL'!X464</f>
        <v>0</v>
      </c>
      <c r="R368" s="70">
        <f>'RESUMEN TOTAL'!Y464</f>
        <v>0</v>
      </c>
      <c r="S368" s="70">
        <f>'RESUMEN TOTAL'!Z464</f>
        <v>0</v>
      </c>
      <c r="T368" s="70">
        <f>'RESUMEN TOTAL'!AA464</f>
        <v>0</v>
      </c>
      <c r="U368" s="70">
        <f>'RESUMEN TOTAL'!AB464</f>
        <v>0</v>
      </c>
      <c r="V368" s="70">
        <f>'RESUMEN TOTAL'!AC464</f>
        <v>0</v>
      </c>
      <c r="W368" s="70">
        <f>'RESUMEN TOTAL'!AD464</f>
        <v>0</v>
      </c>
      <c r="X368" s="70">
        <f>'RESUMEN TOTAL'!AE464</f>
        <v>0</v>
      </c>
      <c r="Y368" s="70">
        <f>'RESUMEN TOTAL'!AF464</f>
        <v>0</v>
      </c>
      <c r="Z368" s="70">
        <f>'RESUMEN TOTAL'!AG464</f>
        <v>0</v>
      </c>
      <c r="AA368" s="70">
        <f>'RESUMEN TOTAL'!AH464</f>
        <v>0</v>
      </c>
      <c r="AB368" s="70">
        <f>'RESUMEN TOTAL'!AI464</f>
        <v>0</v>
      </c>
      <c r="AC368" s="70">
        <f>'RESUMEN TOTAL'!AJ464</f>
        <v>0</v>
      </c>
      <c r="AD368" s="70">
        <f>'RESUMEN TOTAL'!AK464</f>
        <v>0</v>
      </c>
      <c r="AE368" s="70">
        <f>'RESUMEN TOTAL'!AL464</f>
        <v>0</v>
      </c>
      <c r="AF368" s="70">
        <f>'RESUMEN TOTAL'!AM464</f>
        <v>0</v>
      </c>
      <c r="AG368" s="70">
        <f>'RESUMEN TOTAL'!AN464</f>
        <v>0</v>
      </c>
      <c r="AH368" s="70">
        <f>'RESUMEN TOTAL'!AO464</f>
        <v>0</v>
      </c>
      <c r="AI368" s="70">
        <f>'RESUMEN TOTAL'!AP464</f>
        <v>0</v>
      </c>
      <c r="AJ368" s="70">
        <f>'RESUMEN TOTAL'!AQ464</f>
        <v>0</v>
      </c>
    </row>
    <row r="369" spans="1:36" x14ac:dyDescent="0.25">
      <c r="A369" t="str">
        <f>'RESUMEN TOTAL'!A465</f>
        <v>VILLA ANGELICA</v>
      </c>
      <c r="B369" t="str">
        <f>'RESUMEN TOTAL'!B465</f>
        <v>VANG05</v>
      </c>
      <c r="C369" t="str">
        <f>'RESUMEN TOTAL'!D465</f>
        <v>Storni y Thevenet</v>
      </c>
      <c r="D369" s="30" t="str">
        <f>'RESUMEN TOTAL'!E465</f>
        <v>Domo</v>
      </c>
      <c r="E369" s="30" t="str">
        <f>'RESUMEN TOTAL'!F465</f>
        <v>Fibra Optica</v>
      </c>
      <c r="F369" s="70">
        <f>'RESUMEN TOTAL'!M465</f>
        <v>0</v>
      </c>
      <c r="G369" s="70">
        <f>'RESUMEN TOTAL'!N465</f>
        <v>0</v>
      </c>
      <c r="H369" s="70">
        <f>'RESUMEN TOTAL'!O465</f>
        <v>0</v>
      </c>
      <c r="I369" s="70">
        <f>'RESUMEN TOTAL'!P465</f>
        <v>0</v>
      </c>
      <c r="J369" s="70">
        <f>'RESUMEN TOTAL'!Q465</f>
        <v>0</v>
      </c>
      <c r="K369" s="70">
        <f>'RESUMEN TOTAL'!R465</f>
        <v>0</v>
      </c>
      <c r="L369" s="70">
        <f>'RESUMEN TOTAL'!S465</f>
        <v>0</v>
      </c>
      <c r="M369" s="70">
        <f>'RESUMEN TOTAL'!T465</f>
        <v>0</v>
      </c>
      <c r="N369" s="70">
        <f>'RESUMEN TOTAL'!U465</f>
        <v>0</v>
      </c>
      <c r="O369" s="70">
        <f>'RESUMEN TOTAL'!V465</f>
        <v>0</v>
      </c>
      <c r="P369" s="70">
        <f>'RESUMEN TOTAL'!W465</f>
        <v>0</v>
      </c>
      <c r="Q369" s="70">
        <f>'RESUMEN TOTAL'!X465</f>
        <v>0</v>
      </c>
      <c r="R369" s="70">
        <f>'RESUMEN TOTAL'!Y465</f>
        <v>0</v>
      </c>
      <c r="S369" s="70">
        <f>'RESUMEN TOTAL'!Z465</f>
        <v>0</v>
      </c>
      <c r="T369" s="70">
        <f>'RESUMEN TOTAL'!AA465</f>
        <v>0</v>
      </c>
      <c r="U369" s="70">
        <f>'RESUMEN TOTAL'!AB465</f>
        <v>0</v>
      </c>
      <c r="V369" s="70">
        <f>'RESUMEN TOTAL'!AC465</f>
        <v>0</v>
      </c>
      <c r="W369" s="70">
        <f>'RESUMEN TOTAL'!AD465</f>
        <v>0</v>
      </c>
      <c r="X369" s="70">
        <f>'RESUMEN TOTAL'!AE465</f>
        <v>0</v>
      </c>
      <c r="Y369" s="70">
        <f>'RESUMEN TOTAL'!AF465</f>
        <v>0</v>
      </c>
      <c r="Z369" s="70">
        <f>'RESUMEN TOTAL'!AG465</f>
        <v>0</v>
      </c>
      <c r="AA369" s="70">
        <f>'RESUMEN TOTAL'!AH465</f>
        <v>0</v>
      </c>
      <c r="AB369" s="70">
        <f>'RESUMEN TOTAL'!AI465</f>
        <v>0</v>
      </c>
      <c r="AC369" s="70">
        <f>'RESUMEN TOTAL'!AJ465</f>
        <v>0</v>
      </c>
      <c r="AD369" s="70">
        <f>'RESUMEN TOTAL'!AK465</f>
        <v>0</v>
      </c>
      <c r="AE369" s="70">
        <f>'RESUMEN TOTAL'!AL465</f>
        <v>0</v>
      </c>
      <c r="AF369" s="70">
        <f>'RESUMEN TOTAL'!AM465</f>
        <v>0</v>
      </c>
      <c r="AG369" s="70">
        <f>'RESUMEN TOTAL'!AN465</f>
        <v>0</v>
      </c>
      <c r="AH369" s="70">
        <f>'RESUMEN TOTAL'!AO465</f>
        <v>0</v>
      </c>
      <c r="AI369" s="70">
        <f>'RESUMEN TOTAL'!AP465</f>
        <v>0</v>
      </c>
      <c r="AJ369" s="70">
        <f>'RESUMEN TOTAL'!AQ465</f>
        <v>0</v>
      </c>
    </row>
    <row r="370" spans="1:36" x14ac:dyDescent="0.25">
      <c r="A370" t="str">
        <f>'RESUMEN TOTAL'!A466</f>
        <v>VILLA ANGELICA</v>
      </c>
      <c r="B370" t="str">
        <f>'RESUMEN TOTAL'!B466</f>
        <v>VANG06</v>
      </c>
      <c r="C370" t="str">
        <f>'RESUMEN TOTAL'!D466</f>
        <v>Arenales e/Thevenet y Calle 158</v>
      </c>
      <c r="D370" s="30" t="str">
        <f>'RESUMEN TOTAL'!E466</f>
        <v>DOMO</v>
      </c>
      <c r="E370" s="30" t="str">
        <f>'RESUMEN TOTAL'!F466</f>
        <v>GPON</v>
      </c>
      <c r="F370" s="70">
        <f>'RESUMEN TOTAL'!M466</f>
        <v>0</v>
      </c>
      <c r="G370" s="70">
        <f>'RESUMEN TOTAL'!N466</f>
        <v>0</v>
      </c>
      <c r="H370" s="70">
        <f>'RESUMEN TOTAL'!O466</f>
        <v>0</v>
      </c>
      <c r="I370" s="70">
        <f>'RESUMEN TOTAL'!P466</f>
        <v>0</v>
      </c>
      <c r="J370" s="70">
        <f>'RESUMEN TOTAL'!Q466</f>
        <v>0</v>
      </c>
      <c r="K370" s="70">
        <f>'RESUMEN TOTAL'!R466</f>
        <v>0</v>
      </c>
      <c r="L370" s="70">
        <f>'RESUMEN TOTAL'!S466</f>
        <v>0</v>
      </c>
      <c r="M370" s="70">
        <f>'RESUMEN TOTAL'!T466</f>
        <v>0</v>
      </c>
      <c r="N370" s="70">
        <f>'RESUMEN TOTAL'!U466</f>
        <v>0</v>
      </c>
      <c r="O370" s="70">
        <f>'RESUMEN TOTAL'!V466</f>
        <v>0</v>
      </c>
      <c r="P370" s="70">
        <f>'RESUMEN TOTAL'!W466</f>
        <v>0</v>
      </c>
      <c r="Q370" s="70">
        <f>'RESUMEN TOTAL'!X466</f>
        <v>0</v>
      </c>
      <c r="R370" s="70">
        <f>'RESUMEN TOTAL'!Y466</f>
        <v>0</v>
      </c>
      <c r="S370" s="70">
        <f>'RESUMEN TOTAL'!Z466</f>
        <v>0</v>
      </c>
      <c r="T370" s="70">
        <f>'RESUMEN TOTAL'!AA466</f>
        <v>0</v>
      </c>
      <c r="U370" s="70">
        <f>'RESUMEN TOTAL'!AB466</f>
        <v>0</v>
      </c>
      <c r="V370" s="70">
        <f>'RESUMEN TOTAL'!AC466</f>
        <v>0</v>
      </c>
      <c r="W370" s="70">
        <f>'RESUMEN TOTAL'!AD466</f>
        <v>0</v>
      </c>
      <c r="X370" s="70">
        <f>'RESUMEN TOTAL'!AE466</f>
        <v>0</v>
      </c>
      <c r="Y370" s="70">
        <f>'RESUMEN TOTAL'!AF466</f>
        <v>0</v>
      </c>
      <c r="Z370" s="70">
        <f>'RESUMEN TOTAL'!AG466</f>
        <v>0</v>
      </c>
      <c r="AA370" s="70">
        <f>'RESUMEN TOTAL'!AH466</f>
        <v>0</v>
      </c>
      <c r="AB370" s="70">
        <f>'RESUMEN TOTAL'!AI466</f>
        <v>0</v>
      </c>
      <c r="AC370" s="70">
        <f>'RESUMEN TOTAL'!AJ466</f>
        <v>0</v>
      </c>
      <c r="AD370" s="70">
        <f>'RESUMEN TOTAL'!AK466</f>
        <v>0</v>
      </c>
      <c r="AE370" s="70">
        <f>'RESUMEN TOTAL'!AL466</f>
        <v>0</v>
      </c>
      <c r="AF370" s="70">
        <f>'RESUMEN TOTAL'!AM466</f>
        <v>0</v>
      </c>
      <c r="AG370" s="70">
        <f>'RESUMEN TOTAL'!AN466</f>
        <v>0</v>
      </c>
      <c r="AH370" s="70">
        <f>'RESUMEN TOTAL'!AO466</f>
        <v>0</v>
      </c>
      <c r="AI370" s="70">
        <f>'RESUMEN TOTAL'!AP466</f>
        <v>0</v>
      </c>
      <c r="AJ370" s="70">
        <f>'RESUMEN TOTAL'!AQ466</f>
        <v>0</v>
      </c>
    </row>
    <row r="371" spans="1:36" x14ac:dyDescent="0.25">
      <c r="A371" t="str">
        <f>'RESUMEN TOTAL'!A467</f>
        <v>VILLA ANGELICA</v>
      </c>
      <c r="B371" t="str">
        <f>'RESUMEN TOTAL'!B467</f>
        <v>VANG07</v>
      </c>
      <c r="C371" t="str">
        <f>'RESUMEN TOTAL'!D467</f>
        <v>Arenales y Thevenet</v>
      </c>
      <c r="D371" s="30" t="str">
        <f>'RESUMEN TOTAL'!E467</f>
        <v>Domo</v>
      </c>
      <c r="E371" s="30" t="str">
        <f>'RESUMEN TOTAL'!F467</f>
        <v>GPON</v>
      </c>
      <c r="F371" s="70">
        <f>'RESUMEN TOTAL'!M467</f>
        <v>0</v>
      </c>
      <c r="G371" s="70">
        <f>'RESUMEN TOTAL'!N467</f>
        <v>0</v>
      </c>
      <c r="H371" s="70">
        <f>'RESUMEN TOTAL'!O467</f>
        <v>0</v>
      </c>
      <c r="I371" s="70">
        <f>'RESUMEN TOTAL'!P467</f>
        <v>0</v>
      </c>
      <c r="J371" s="70">
        <f>'RESUMEN TOTAL'!Q467</f>
        <v>0</v>
      </c>
      <c r="K371" s="70">
        <f>'RESUMEN TOTAL'!R467</f>
        <v>0</v>
      </c>
      <c r="L371" s="70">
        <f>'RESUMEN TOTAL'!S467</f>
        <v>0</v>
      </c>
      <c r="M371" s="70">
        <f>'RESUMEN TOTAL'!T467</f>
        <v>0</v>
      </c>
      <c r="N371" s="70">
        <f>'RESUMEN TOTAL'!U467</f>
        <v>0</v>
      </c>
      <c r="O371" s="70">
        <f>'RESUMEN TOTAL'!V467</f>
        <v>0</v>
      </c>
      <c r="P371" s="70">
        <f>'RESUMEN TOTAL'!W467</f>
        <v>0</v>
      </c>
      <c r="Q371" s="70">
        <f>'RESUMEN TOTAL'!X467</f>
        <v>0</v>
      </c>
      <c r="R371" s="70">
        <f>'RESUMEN TOTAL'!Y467</f>
        <v>0</v>
      </c>
      <c r="S371" s="70">
        <f>'RESUMEN TOTAL'!Z467</f>
        <v>0</v>
      </c>
      <c r="T371" s="70">
        <f>'RESUMEN TOTAL'!AA467</f>
        <v>0</v>
      </c>
      <c r="U371" s="70">
        <f>'RESUMEN TOTAL'!AB467</f>
        <v>0</v>
      </c>
      <c r="V371" s="70">
        <f>'RESUMEN TOTAL'!AC467</f>
        <v>0</v>
      </c>
      <c r="W371" s="70">
        <f>'RESUMEN TOTAL'!AD467</f>
        <v>0</v>
      </c>
      <c r="X371" s="70">
        <f>'RESUMEN TOTAL'!AE467</f>
        <v>0</v>
      </c>
      <c r="Y371" s="70">
        <f>'RESUMEN TOTAL'!AF467</f>
        <v>0</v>
      </c>
      <c r="Z371" s="70">
        <f>'RESUMEN TOTAL'!AG467</f>
        <v>0</v>
      </c>
      <c r="AA371" s="70">
        <f>'RESUMEN TOTAL'!AH467</f>
        <v>0</v>
      </c>
      <c r="AB371" s="70">
        <f>'RESUMEN TOTAL'!AI467</f>
        <v>0</v>
      </c>
      <c r="AC371" s="70">
        <f>'RESUMEN TOTAL'!AJ467</f>
        <v>0</v>
      </c>
      <c r="AD371" s="70">
        <f>'RESUMEN TOTAL'!AK467</f>
        <v>0</v>
      </c>
      <c r="AE371" s="70">
        <f>'RESUMEN TOTAL'!AL467</f>
        <v>0</v>
      </c>
      <c r="AF371" s="70">
        <f>'RESUMEN TOTAL'!AM467</f>
        <v>0</v>
      </c>
      <c r="AG371" s="70">
        <f>'RESUMEN TOTAL'!AN467</f>
        <v>0</v>
      </c>
      <c r="AH371" s="70">
        <f>'RESUMEN TOTAL'!AO467</f>
        <v>0</v>
      </c>
      <c r="AI371" s="70">
        <f>'RESUMEN TOTAL'!AP467</f>
        <v>0</v>
      </c>
      <c r="AJ371" s="70">
        <f>'RESUMEN TOTAL'!AQ467</f>
        <v>0</v>
      </c>
    </row>
    <row r="372" spans="1:36" x14ac:dyDescent="0.25">
      <c r="A372" t="str">
        <f>'RESUMEN TOTAL'!A468</f>
        <v>VILLA ANGELICA</v>
      </c>
      <c r="B372" t="str">
        <f>'RESUMEN TOTAL'!B468</f>
        <v>VANG08</v>
      </c>
      <c r="C372" t="str">
        <f>'RESUMEN TOTAL'!D468</f>
        <v>Calle 158 al 2200</v>
      </c>
      <c r="D372" s="30" t="str">
        <f>'RESUMEN TOTAL'!E468</f>
        <v>Domo</v>
      </c>
      <c r="E372" s="30" t="str">
        <f>'RESUMEN TOTAL'!F468</f>
        <v>PTO A FO</v>
      </c>
      <c r="F372" s="70">
        <f>'RESUMEN TOTAL'!M468</f>
        <v>0</v>
      </c>
      <c r="G372" s="70">
        <f>'RESUMEN TOTAL'!N468</f>
        <v>0</v>
      </c>
      <c r="H372" s="70">
        <f>'RESUMEN TOTAL'!O468</f>
        <v>0</v>
      </c>
      <c r="I372" s="70">
        <f>'RESUMEN TOTAL'!P468</f>
        <v>0</v>
      </c>
      <c r="J372" s="70">
        <f>'RESUMEN TOTAL'!Q468</f>
        <v>0</v>
      </c>
      <c r="K372" s="70">
        <f>'RESUMEN TOTAL'!R468</f>
        <v>0</v>
      </c>
      <c r="L372" s="70">
        <f>'RESUMEN TOTAL'!S468</f>
        <v>0</v>
      </c>
      <c r="M372" s="70">
        <f>'RESUMEN TOTAL'!T468</f>
        <v>0</v>
      </c>
      <c r="N372" s="70">
        <f>'RESUMEN TOTAL'!U468</f>
        <v>0</v>
      </c>
      <c r="O372" s="70">
        <f>'RESUMEN TOTAL'!V468</f>
        <v>0</v>
      </c>
      <c r="P372" s="70">
        <f>'RESUMEN TOTAL'!W468</f>
        <v>0</v>
      </c>
      <c r="Q372" s="70">
        <f>'RESUMEN TOTAL'!X468</f>
        <v>0</v>
      </c>
      <c r="R372" s="70">
        <f>'RESUMEN TOTAL'!Y468</f>
        <v>0</v>
      </c>
      <c r="S372" s="70">
        <f>'RESUMEN TOTAL'!Z468</f>
        <v>0</v>
      </c>
      <c r="T372" s="70">
        <f>'RESUMEN TOTAL'!AA468</f>
        <v>0</v>
      </c>
      <c r="U372" s="70">
        <f>'RESUMEN TOTAL'!AB468</f>
        <v>0</v>
      </c>
      <c r="V372" s="70">
        <f>'RESUMEN TOTAL'!AC468</f>
        <v>0</v>
      </c>
      <c r="W372" s="70">
        <f>'RESUMEN TOTAL'!AD468</f>
        <v>0</v>
      </c>
      <c r="X372" s="70">
        <f>'RESUMEN TOTAL'!AE468</f>
        <v>0</v>
      </c>
      <c r="Y372" s="70">
        <f>'RESUMEN TOTAL'!AF468</f>
        <v>0</v>
      </c>
      <c r="Z372" s="70">
        <f>'RESUMEN TOTAL'!AG468</f>
        <v>0</v>
      </c>
      <c r="AA372" s="70">
        <f>'RESUMEN TOTAL'!AH468</f>
        <v>0</v>
      </c>
      <c r="AB372" s="70">
        <f>'RESUMEN TOTAL'!AI468</f>
        <v>0</v>
      </c>
      <c r="AC372" s="70">
        <f>'RESUMEN TOTAL'!AJ468</f>
        <v>0</v>
      </c>
      <c r="AD372" s="70">
        <f>'RESUMEN TOTAL'!AK468</f>
        <v>0</v>
      </c>
      <c r="AE372" s="70">
        <f>'RESUMEN TOTAL'!AL468</f>
        <v>0</v>
      </c>
      <c r="AF372" s="70">
        <f>'RESUMEN TOTAL'!AM468</f>
        <v>0</v>
      </c>
      <c r="AG372" s="70">
        <f>'RESUMEN TOTAL'!AN468</f>
        <v>0</v>
      </c>
      <c r="AH372" s="70">
        <f>'RESUMEN TOTAL'!AO468</f>
        <v>0</v>
      </c>
      <c r="AI372" s="70">
        <f>'RESUMEN TOTAL'!AP468</f>
        <v>0</v>
      </c>
      <c r="AJ372" s="70">
        <f>'RESUMEN TOTAL'!AQ468</f>
        <v>0</v>
      </c>
    </row>
    <row r="373" spans="1:36" x14ac:dyDescent="0.25">
      <c r="A373" t="str">
        <f>'RESUMEN TOTAL'!A469</f>
        <v>VILLA ANGELICA</v>
      </c>
      <c r="B373" t="str">
        <f>'RESUMEN TOTAL'!B469</f>
        <v>VANG10</v>
      </c>
      <c r="C373" t="str">
        <f>'RESUMEN TOTAL'!D469</f>
        <v>Senzabello y Braile</v>
      </c>
      <c r="D373" s="30" t="str">
        <f>'RESUMEN TOTAL'!E469</f>
        <v>fija</v>
      </c>
      <c r="E373" s="30" t="str">
        <f>'RESUMEN TOTAL'!F469</f>
        <v>GPON</v>
      </c>
      <c r="F373" s="70">
        <f>'RESUMEN TOTAL'!M469</f>
        <v>0</v>
      </c>
      <c r="G373" s="70">
        <f>'RESUMEN TOTAL'!N469</f>
        <v>0</v>
      </c>
      <c r="H373" s="70">
        <f>'RESUMEN TOTAL'!O469</f>
        <v>0</v>
      </c>
      <c r="I373" s="70">
        <f>'RESUMEN TOTAL'!P469</f>
        <v>0</v>
      </c>
      <c r="J373" s="70">
        <f>'RESUMEN TOTAL'!Q469</f>
        <v>0</v>
      </c>
      <c r="K373" s="70">
        <f>'RESUMEN TOTAL'!R469</f>
        <v>0</v>
      </c>
      <c r="L373" s="70">
        <f>'RESUMEN TOTAL'!S469</f>
        <v>0</v>
      </c>
      <c r="M373" s="70">
        <f>'RESUMEN TOTAL'!T469</f>
        <v>0</v>
      </c>
      <c r="N373" s="70">
        <f>'RESUMEN TOTAL'!U469</f>
        <v>0</v>
      </c>
      <c r="O373" s="70">
        <f>'RESUMEN TOTAL'!V469</f>
        <v>0</v>
      </c>
      <c r="P373" s="70">
        <f>'RESUMEN TOTAL'!W469</f>
        <v>0</v>
      </c>
      <c r="Q373" s="70">
        <f>'RESUMEN TOTAL'!X469</f>
        <v>0</v>
      </c>
      <c r="R373" s="70">
        <f>'RESUMEN TOTAL'!Y469</f>
        <v>0</v>
      </c>
      <c r="S373" s="70">
        <f>'RESUMEN TOTAL'!Z469</f>
        <v>0</v>
      </c>
      <c r="T373" s="70">
        <f>'RESUMEN TOTAL'!AA469</f>
        <v>0</v>
      </c>
      <c r="U373" s="70">
        <f>'RESUMEN TOTAL'!AB469</f>
        <v>0</v>
      </c>
      <c r="V373" s="70">
        <f>'RESUMEN TOTAL'!AC469</f>
        <v>0</v>
      </c>
      <c r="W373" s="70">
        <f>'RESUMEN TOTAL'!AD469</f>
        <v>0</v>
      </c>
      <c r="X373" s="70">
        <f>'RESUMEN TOTAL'!AE469</f>
        <v>0</v>
      </c>
      <c r="Y373" s="70">
        <f>'RESUMEN TOTAL'!AF469</f>
        <v>0</v>
      </c>
      <c r="Z373" s="70">
        <f>'RESUMEN TOTAL'!AG469</f>
        <v>0</v>
      </c>
      <c r="AA373" s="70">
        <f>'RESUMEN TOTAL'!AH469</f>
        <v>0</v>
      </c>
      <c r="AB373" s="70">
        <f>'RESUMEN TOTAL'!AI469</f>
        <v>0</v>
      </c>
      <c r="AC373" s="70">
        <f>'RESUMEN TOTAL'!AJ469</f>
        <v>0</v>
      </c>
      <c r="AD373" s="70">
        <f>'RESUMEN TOTAL'!AK469</f>
        <v>0</v>
      </c>
      <c r="AE373" s="70">
        <f>'RESUMEN TOTAL'!AL469</f>
        <v>0</v>
      </c>
      <c r="AF373" s="70">
        <f>'RESUMEN TOTAL'!AM469</f>
        <v>0</v>
      </c>
      <c r="AG373" s="70">
        <f>'RESUMEN TOTAL'!AN469</f>
        <v>0</v>
      </c>
      <c r="AH373" s="70">
        <f>'RESUMEN TOTAL'!AO469</f>
        <v>0</v>
      </c>
      <c r="AI373" s="70">
        <f>'RESUMEN TOTAL'!AP469</f>
        <v>0</v>
      </c>
      <c r="AJ373" s="70">
        <f>'RESUMEN TOTAL'!AQ469</f>
        <v>0</v>
      </c>
    </row>
    <row r="374" spans="1:36" x14ac:dyDescent="0.25">
      <c r="A374" t="str">
        <f>'RESUMEN TOTAL'!A470</f>
        <v>VILLA ANGELICA</v>
      </c>
      <c r="B374" t="str">
        <f>'RESUMEN TOTAL'!B470</f>
        <v>VANG11</v>
      </c>
      <c r="C374" t="str">
        <f>'RESUMEN TOTAL'!D470</f>
        <v>Senzabello y Braile</v>
      </c>
      <c r="D374" s="30" t="str">
        <f>'RESUMEN TOTAL'!E470</f>
        <v>fija</v>
      </c>
      <c r="E374" s="30" t="str">
        <f>'RESUMEN TOTAL'!F470</f>
        <v>Fibra Optica</v>
      </c>
      <c r="F374" s="70">
        <f>'RESUMEN TOTAL'!M470</f>
        <v>0</v>
      </c>
      <c r="G374" s="70">
        <f>'RESUMEN TOTAL'!N470</f>
        <v>0</v>
      </c>
      <c r="H374" s="70">
        <f>'RESUMEN TOTAL'!O470</f>
        <v>0</v>
      </c>
      <c r="I374" s="70">
        <f>'RESUMEN TOTAL'!P470</f>
        <v>0</v>
      </c>
      <c r="J374" s="70">
        <f>'RESUMEN TOTAL'!Q470</f>
        <v>0</v>
      </c>
      <c r="K374" s="70">
        <f>'RESUMEN TOTAL'!R470</f>
        <v>0</v>
      </c>
      <c r="L374" s="70">
        <f>'RESUMEN TOTAL'!S470</f>
        <v>0</v>
      </c>
      <c r="M374" s="70">
        <f>'RESUMEN TOTAL'!T470</f>
        <v>0</v>
      </c>
      <c r="N374" s="70">
        <f>'RESUMEN TOTAL'!U470</f>
        <v>0</v>
      </c>
      <c r="O374" s="70">
        <f>'RESUMEN TOTAL'!V470</f>
        <v>0</v>
      </c>
      <c r="P374" s="70">
        <f>'RESUMEN TOTAL'!W470</f>
        <v>0</v>
      </c>
      <c r="Q374" s="70">
        <f>'RESUMEN TOTAL'!X470</f>
        <v>0</v>
      </c>
      <c r="R374" s="70">
        <f>'RESUMEN TOTAL'!Y470</f>
        <v>0</v>
      </c>
      <c r="S374" s="70">
        <f>'RESUMEN TOTAL'!Z470</f>
        <v>0</v>
      </c>
      <c r="T374" s="70">
        <f>'RESUMEN TOTAL'!AA470</f>
        <v>0</v>
      </c>
      <c r="U374" s="70">
        <f>'RESUMEN TOTAL'!AB470</f>
        <v>0</v>
      </c>
      <c r="V374" s="70">
        <f>'RESUMEN TOTAL'!AC470</f>
        <v>0</v>
      </c>
      <c r="W374" s="70">
        <f>'RESUMEN TOTAL'!AD470</f>
        <v>0</v>
      </c>
      <c r="X374" s="70">
        <f>'RESUMEN TOTAL'!AE470</f>
        <v>0</v>
      </c>
      <c r="Y374" s="70">
        <f>'RESUMEN TOTAL'!AF470</f>
        <v>0</v>
      </c>
      <c r="Z374" s="70">
        <f>'RESUMEN TOTAL'!AG470</f>
        <v>0</v>
      </c>
      <c r="AA374" s="70">
        <f>'RESUMEN TOTAL'!AH470</f>
        <v>0</v>
      </c>
      <c r="AB374" s="70">
        <f>'RESUMEN TOTAL'!AI470</f>
        <v>0</v>
      </c>
      <c r="AC374" s="70">
        <f>'RESUMEN TOTAL'!AJ470</f>
        <v>0</v>
      </c>
      <c r="AD374" s="70">
        <f>'RESUMEN TOTAL'!AK470</f>
        <v>0</v>
      </c>
      <c r="AE374" s="70">
        <f>'RESUMEN TOTAL'!AL470</f>
        <v>0</v>
      </c>
      <c r="AF374" s="70">
        <f>'RESUMEN TOTAL'!AM470</f>
        <v>0</v>
      </c>
      <c r="AG374" s="70">
        <f>'RESUMEN TOTAL'!AN470</f>
        <v>0</v>
      </c>
      <c r="AH374" s="70">
        <f>'RESUMEN TOTAL'!AO470</f>
        <v>0</v>
      </c>
      <c r="AI374" s="70">
        <f>'RESUMEN TOTAL'!AP470</f>
        <v>0</v>
      </c>
      <c r="AJ374" s="70">
        <f>'RESUMEN TOTAL'!AQ470</f>
        <v>0</v>
      </c>
    </row>
    <row r="375" spans="1:36" x14ac:dyDescent="0.25">
      <c r="A375" t="str">
        <f>'RESUMEN TOTAL'!A471</f>
        <v>VILLA ANGELICA</v>
      </c>
      <c r="B375" t="str">
        <f>'RESUMEN TOTAL'!B471</f>
        <v>VANG12</v>
      </c>
      <c r="C375" t="str">
        <f>'RESUMEN TOTAL'!D471</f>
        <v>TAPALQUE E/ BOLIVAR Y GORRITI</v>
      </c>
      <c r="D375" s="30" t="str">
        <f>'RESUMEN TOTAL'!E471</f>
        <v>Fija</v>
      </c>
      <c r="E375" s="30" t="str">
        <f>'RESUMEN TOTAL'!F471</f>
        <v>Fibra Optica</v>
      </c>
      <c r="F375" s="70">
        <f>'RESUMEN TOTAL'!M471</f>
        <v>0</v>
      </c>
      <c r="G375" s="70">
        <f>'RESUMEN TOTAL'!N471</f>
        <v>0</v>
      </c>
      <c r="H375" s="70">
        <f>'RESUMEN TOTAL'!O471</f>
        <v>0</v>
      </c>
      <c r="I375" s="70">
        <f>'RESUMEN TOTAL'!P471</f>
        <v>0</v>
      </c>
      <c r="J375" s="70">
        <f>'RESUMEN TOTAL'!Q471</f>
        <v>0</v>
      </c>
      <c r="K375" s="70">
        <f>'RESUMEN TOTAL'!R471</f>
        <v>0</v>
      </c>
      <c r="L375" s="70">
        <f>'RESUMEN TOTAL'!S471</f>
        <v>0</v>
      </c>
      <c r="M375" s="70">
        <f>'RESUMEN TOTAL'!T471</f>
        <v>0</v>
      </c>
      <c r="N375" s="70">
        <f>'RESUMEN TOTAL'!U471</f>
        <v>0</v>
      </c>
      <c r="O375" s="70">
        <f>'RESUMEN TOTAL'!V471</f>
        <v>0</v>
      </c>
      <c r="P375" s="70">
        <f>'RESUMEN TOTAL'!W471</f>
        <v>0</v>
      </c>
      <c r="Q375" s="70">
        <f>'RESUMEN TOTAL'!X471</f>
        <v>0</v>
      </c>
      <c r="R375" s="70">
        <f>'RESUMEN TOTAL'!Y471</f>
        <v>0</v>
      </c>
      <c r="S375" s="70">
        <f>'RESUMEN TOTAL'!Z471</f>
        <v>0</v>
      </c>
      <c r="T375" s="70">
        <f>'RESUMEN TOTAL'!AA471</f>
        <v>0</v>
      </c>
      <c r="U375" s="70">
        <f>'RESUMEN TOTAL'!AB471</f>
        <v>0</v>
      </c>
      <c r="V375" s="70">
        <f>'RESUMEN TOTAL'!AC471</f>
        <v>0</v>
      </c>
      <c r="W375" s="70">
        <f>'RESUMEN TOTAL'!AD471</f>
        <v>0</v>
      </c>
      <c r="X375" s="70">
        <f>'RESUMEN TOTAL'!AE471</f>
        <v>0</v>
      </c>
      <c r="Y375" s="70">
        <f>'RESUMEN TOTAL'!AF471</f>
        <v>0</v>
      </c>
      <c r="Z375" s="70">
        <f>'RESUMEN TOTAL'!AG471</f>
        <v>0</v>
      </c>
      <c r="AA375" s="70">
        <f>'RESUMEN TOTAL'!AH471</f>
        <v>0</v>
      </c>
      <c r="AB375" s="70">
        <f>'RESUMEN TOTAL'!AI471</f>
        <v>0</v>
      </c>
      <c r="AC375" s="70">
        <f>'RESUMEN TOTAL'!AJ471</f>
        <v>0</v>
      </c>
      <c r="AD375" s="70">
        <f>'RESUMEN TOTAL'!AK471</f>
        <v>0</v>
      </c>
      <c r="AE375" s="70">
        <f>'RESUMEN TOTAL'!AL471</f>
        <v>0</v>
      </c>
      <c r="AF375" s="70">
        <f>'RESUMEN TOTAL'!AM471</f>
        <v>0</v>
      </c>
      <c r="AG375" s="70">
        <f>'RESUMEN TOTAL'!AN471</f>
        <v>0</v>
      </c>
      <c r="AH375" s="70">
        <f>'RESUMEN TOTAL'!AO471</f>
        <v>0</v>
      </c>
      <c r="AI375" s="70">
        <f>'RESUMEN TOTAL'!AP471</f>
        <v>0</v>
      </c>
      <c r="AJ375" s="70">
        <f>'RESUMEN TOTAL'!AQ471</f>
        <v>0</v>
      </c>
    </row>
    <row r="376" spans="1:36" x14ac:dyDescent="0.25">
      <c r="A376" t="str">
        <f>'RESUMEN TOTAL'!A472</f>
        <v>VILLA ANGELICA</v>
      </c>
      <c r="B376" t="str">
        <f>'RESUMEN TOTAL'!B472</f>
        <v>VANG13</v>
      </c>
      <c r="C376" t="str">
        <f>'RESUMEN TOTAL'!D472</f>
        <v>TAPALQUE E/ BOLIVAR Y GORRITI</v>
      </c>
      <c r="D376" s="30" t="str">
        <f>'RESUMEN TOTAL'!E472</f>
        <v>Fija</v>
      </c>
      <c r="E376" s="30" t="str">
        <f>'RESUMEN TOTAL'!F472</f>
        <v>Fibra Optica</v>
      </c>
      <c r="F376" s="70">
        <f>'RESUMEN TOTAL'!M472</f>
        <v>0</v>
      </c>
      <c r="G376" s="70">
        <f>'RESUMEN TOTAL'!N472</f>
        <v>0</v>
      </c>
      <c r="H376" s="70">
        <f>'RESUMEN TOTAL'!O472</f>
        <v>0</v>
      </c>
      <c r="I376" s="70">
        <f>'RESUMEN TOTAL'!P472</f>
        <v>0</v>
      </c>
      <c r="J376" s="70">
        <f>'RESUMEN TOTAL'!Q472</f>
        <v>0</v>
      </c>
      <c r="K376" s="70">
        <f>'RESUMEN TOTAL'!R472</f>
        <v>0</v>
      </c>
      <c r="L376" s="70">
        <f>'RESUMEN TOTAL'!S472</f>
        <v>0</v>
      </c>
      <c r="M376" s="70">
        <f>'RESUMEN TOTAL'!T472</f>
        <v>0</v>
      </c>
      <c r="N376" s="70">
        <f>'RESUMEN TOTAL'!U472</f>
        <v>0</v>
      </c>
      <c r="O376" s="70">
        <f>'RESUMEN TOTAL'!V472</f>
        <v>0</v>
      </c>
      <c r="P376" s="70">
        <f>'RESUMEN TOTAL'!W472</f>
        <v>0</v>
      </c>
      <c r="Q376" s="70">
        <f>'RESUMEN TOTAL'!X472</f>
        <v>0</v>
      </c>
      <c r="R376" s="70">
        <f>'RESUMEN TOTAL'!Y472</f>
        <v>0</v>
      </c>
      <c r="S376" s="70">
        <f>'RESUMEN TOTAL'!Z472</f>
        <v>0</v>
      </c>
      <c r="T376" s="70">
        <f>'RESUMEN TOTAL'!AA472</f>
        <v>0</v>
      </c>
      <c r="U376" s="70">
        <f>'RESUMEN TOTAL'!AB472</f>
        <v>0</v>
      </c>
      <c r="V376" s="70">
        <f>'RESUMEN TOTAL'!AC472</f>
        <v>0</v>
      </c>
      <c r="W376" s="70">
        <f>'RESUMEN TOTAL'!AD472</f>
        <v>0</v>
      </c>
      <c r="X376" s="70">
        <f>'RESUMEN TOTAL'!AE472</f>
        <v>0</v>
      </c>
      <c r="Y376" s="70">
        <f>'RESUMEN TOTAL'!AF472</f>
        <v>0</v>
      </c>
      <c r="Z376" s="70">
        <f>'RESUMEN TOTAL'!AG472</f>
        <v>0</v>
      </c>
      <c r="AA376" s="70">
        <f>'RESUMEN TOTAL'!AH472</f>
        <v>0</v>
      </c>
      <c r="AB376" s="70">
        <f>'RESUMEN TOTAL'!AI472</f>
        <v>0</v>
      </c>
      <c r="AC376" s="70">
        <f>'RESUMEN TOTAL'!AJ472</f>
        <v>0</v>
      </c>
      <c r="AD376" s="70">
        <f>'RESUMEN TOTAL'!AK472</f>
        <v>0</v>
      </c>
      <c r="AE376" s="70">
        <f>'RESUMEN TOTAL'!AL472</f>
        <v>0</v>
      </c>
      <c r="AF376" s="70">
        <f>'RESUMEN TOTAL'!AM472</f>
        <v>0</v>
      </c>
      <c r="AG376" s="70">
        <f>'RESUMEN TOTAL'!AN472</f>
        <v>0</v>
      </c>
      <c r="AH376" s="70">
        <f>'RESUMEN TOTAL'!AO472</f>
        <v>0</v>
      </c>
      <c r="AI376" s="70">
        <f>'RESUMEN TOTAL'!AP472</f>
        <v>0</v>
      </c>
      <c r="AJ376" s="70">
        <f>'RESUMEN TOTAL'!AQ472</f>
        <v>0</v>
      </c>
    </row>
    <row r="377" spans="1:36" x14ac:dyDescent="0.25">
      <c r="A377" t="str">
        <f>'RESUMEN TOTAL'!A479</f>
        <v>VILLA ARGENTINA</v>
      </c>
      <c r="B377" t="str">
        <f>'RESUMEN TOTAL'!B479</f>
        <v>VAR 01</v>
      </c>
      <c r="C377" t="str">
        <f>'RESUMEN TOTAL'!D479</f>
        <v>Calle 519 y 546</v>
      </c>
      <c r="D377" s="30" t="str">
        <f>'RESUMEN TOTAL'!E479</f>
        <v>Domo</v>
      </c>
      <c r="E377" s="30" t="str">
        <f>'RESUMEN TOTAL'!F479</f>
        <v>GPON</v>
      </c>
      <c r="F377" s="70">
        <f>'RESUMEN TOTAL'!M479</f>
        <v>0</v>
      </c>
      <c r="G377" s="70">
        <f>'RESUMEN TOTAL'!N479</f>
        <v>0</v>
      </c>
      <c r="H377" s="70">
        <f>'RESUMEN TOTAL'!O479</f>
        <v>0</v>
      </c>
      <c r="I377" s="70">
        <f>'RESUMEN TOTAL'!P479</f>
        <v>0</v>
      </c>
      <c r="J377" s="70">
        <f>'RESUMEN TOTAL'!Q479</f>
        <v>0</v>
      </c>
      <c r="K377" s="70">
        <f>'RESUMEN TOTAL'!R479</f>
        <v>0</v>
      </c>
      <c r="L377" s="70">
        <f>'RESUMEN TOTAL'!S479</f>
        <v>0</v>
      </c>
      <c r="M377" s="70">
        <f>'RESUMEN TOTAL'!T479</f>
        <v>0</v>
      </c>
      <c r="N377" s="70">
        <f>'RESUMEN TOTAL'!U479</f>
        <v>0</v>
      </c>
      <c r="O377" s="70">
        <f>'RESUMEN TOTAL'!V479</f>
        <v>0</v>
      </c>
      <c r="P377" s="70">
        <f>'RESUMEN TOTAL'!W479</f>
        <v>0</v>
      </c>
      <c r="Q377" s="70">
        <f>'RESUMEN TOTAL'!X479</f>
        <v>0</v>
      </c>
      <c r="R377" s="70">
        <f>'RESUMEN TOTAL'!Y479</f>
        <v>0</v>
      </c>
      <c r="S377" s="70">
        <f>'RESUMEN TOTAL'!Z479</f>
        <v>0</v>
      </c>
      <c r="T377" s="70">
        <f>'RESUMEN TOTAL'!AA479</f>
        <v>0</v>
      </c>
      <c r="U377" s="70">
        <f>'RESUMEN TOTAL'!AB479</f>
        <v>0</v>
      </c>
      <c r="V377" s="70">
        <f>'RESUMEN TOTAL'!AC479</f>
        <v>0</v>
      </c>
      <c r="W377" s="70">
        <f>'RESUMEN TOTAL'!AD479</f>
        <v>0</v>
      </c>
      <c r="X377" s="70">
        <f>'RESUMEN TOTAL'!AE479</f>
        <v>0</v>
      </c>
      <c r="Y377" s="70">
        <f>'RESUMEN TOTAL'!AF479</f>
        <v>0</v>
      </c>
      <c r="Z377" s="70">
        <f>'RESUMEN TOTAL'!AG479</f>
        <v>0</v>
      </c>
      <c r="AA377" s="70">
        <f>'RESUMEN TOTAL'!AH479</f>
        <v>0</v>
      </c>
      <c r="AB377" s="70">
        <f>'RESUMEN TOTAL'!AI479</f>
        <v>0</v>
      </c>
      <c r="AC377" s="70">
        <f>'RESUMEN TOTAL'!AJ479</f>
        <v>0</v>
      </c>
      <c r="AD377" s="70">
        <f>'RESUMEN TOTAL'!AK479</f>
        <v>0</v>
      </c>
      <c r="AE377" s="70">
        <f>'RESUMEN TOTAL'!AL479</f>
        <v>0</v>
      </c>
      <c r="AF377" s="70">
        <f>'RESUMEN TOTAL'!AM479</f>
        <v>0</v>
      </c>
      <c r="AG377" s="70">
        <f>'RESUMEN TOTAL'!AN479</f>
        <v>0</v>
      </c>
      <c r="AH377" s="70">
        <f>'RESUMEN TOTAL'!AO479</f>
        <v>0</v>
      </c>
      <c r="AI377" s="70">
        <f>'RESUMEN TOTAL'!AP479</f>
        <v>0</v>
      </c>
      <c r="AJ377" s="70">
        <f>'RESUMEN TOTAL'!AQ479</f>
        <v>0</v>
      </c>
    </row>
    <row r="378" spans="1:36" x14ac:dyDescent="0.25">
      <c r="A378" t="str">
        <f>'RESUMEN TOTAL'!A480</f>
        <v>VILLA ARGENTINA</v>
      </c>
      <c r="B378" t="str">
        <f>'RESUMEN TOTAL'!B480</f>
        <v>VAR 02</v>
      </c>
      <c r="C378" t="str">
        <f>'RESUMEN TOTAL'!D480</f>
        <v>DIAGONAL LOS TILOS Y 542</v>
      </c>
      <c r="D378" s="30" t="str">
        <f>'RESUMEN TOTAL'!E480</f>
        <v>DOMO</v>
      </c>
      <c r="E378" s="30" t="str">
        <f>'RESUMEN TOTAL'!F480</f>
        <v>Radio</v>
      </c>
      <c r="F378" s="70" t="str">
        <f>'RESUMEN TOTAL'!M480</f>
        <v>APAGADO</v>
      </c>
      <c r="G378" s="70" t="str">
        <f>'RESUMEN TOTAL'!N480</f>
        <v>APAGADO</v>
      </c>
      <c r="H378" s="70" t="str">
        <f>'RESUMEN TOTAL'!O480</f>
        <v>APAGADO</v>
      </c>
      <c r="I378" s="70" t="str">
        <f>'RESUMEN TOTAL'!P480</f>
        <v>APAGADO</v>
      </c>
      <c r="J378" s="70" t="str">
        <f>'RESUMEN TOTAL'!Q480</f>
        <v>APAGADO</v>
      </c>
      <c r="K378" s="70" t="str">
        <f>'RESUMEN TOTAL'!R480</f>
        <v>APAGADO</v>
      </c>
      <c r="L378" s="70" t="str">
        <f>'RESUMEN TOTAL'!S480</f>
        <v>APAGADO</v>
      </c>
      <c r="M378" s="70" t="str">
        <f>'RESUMEN TOTAL'!T480</f>
        <v>APAGADO</v>
      </c>
      <c r="N378" s="70" t="str">
        <f>'RESUMEN TOTAL'!U480</f>
        <v>APAGADO</v>
      </c>
      <c r="O378" s="70" t="str">
        <f>'RESUMEN TOTAL'!V480</f>
        <v>APAGADO</v>
      </c>
      <c r="P378" s="70">
        <f>'RESUMEN TOTAL'!W480</f>
        <v>0</v>
      </c>
      <c r="Q378" s="70">
        <f>'RESUMEN TOTAL'!X480</f>
        <v>0</v>
      </c>
      <c r="R378" s="70">
        <f>'RESUMEN TOTAL'!Y480</f>
        <v>0</v>
      </c>
      <c r="S378" s="70">
        <f>'RESUMEN TOTAL'!Z480</f>
        <v>0</v>
      </c>
      <c r="T378" s="70" t="str">
        <f>'RESUMEN TOTAL'!AA480</f>
        <v>APAGADO</v>
      </c>
      <c r="U378" s="70">
        <f>'RESUMEN TOTAL'!AB480</f>
        <v>0</v>
      </c>
      <c r="V378" s="70">
        <f>'RESUMEN TOTAL'!AC480</f>
        <v>0</v>
      </c>
      <c r="W378" s="70">
        <f>'RESUMEN TOTAL'!AD480</f>
        <v>0</v>
      </c>
      <c r="X378" s="70">
        <f>'RESUMEN TOTAL'!AE480</f>
        <v>0</v>
      </c>
      <c r="Y378" s="70">
        <f>'RESUMEN TOTAL'!AF480</f>
        <v>0</v>
      </c>
      <c r="Z378" s="70">
        <f>'RESUMEN TOTAL'!AG480</f>
        <v>0</v>
      </c>
      <c r="AA378" s="70">
        <f>'RESUMEN TOTAL'!AH480</f>
        <v>0</v>
      </c>
      <c r="AB378" s="70">
        <f>'RESUMEN TOTAL'!AI480</f>
        <v>0</v>
      </c>
      <c r="AC378" s="70">
        <f>'RESUMEN TOTAL'!AJ480</f>
        <v>0</v>
      </c>
      <c r="AD378" s="70">
        <f>'RESUMEN TOTAL'!AK480</f>
        <v>0</v>
      </c>
      <c r="AE378" s="70">
        <f>'RESUMEN TOTAL'!AL480</f>
        <v>0</v>
      </c>
      <c r="AF378" s="70">
        <f>'RESUMEN TOTAL'!AM480</f>
        <v>0</v>
      </c>
      <c r="AG378" s="70">
        <f>'RESUMEN TOTAL'!AN480</f>
        <v>0</v>
      </c>
      <c r="AH378" s="70">
        <f>'RESUMEN TOTAL'!AO480</f>
        <v>0</v>
      </c>
      <c r="AI378" s="70">
        <f>'RESUMEN TOTAL'!AP480</f>
        <v>0</v>
      </c>
      <c r="AJ378" s="70">
        <f>'RESUMEN TOTAL'!AQ480</f>
        <v>0</v>
      </c>
    </row>
    <row r="379" spans="1:36" x14ac:dyDescent="0.25">
      <c r="A379" t="str">
        <f>'RESUMEN TOTAL'!A481</f>
        <v>VILLA ARGENTINA</v>
      </c>
      <c r="B379" t="str">
        <f>'RESUMEN TOTAL'!B481</f>
        <v>VAR03 (fija 1)</v>
      </c>
      <c r="C379" t="str">
        <f>'RESUMEN TOTAL'!D481</f>
        <v>509 y 546</v>
      </c>
      <c r="D379" s="30" t="str">
        <f>'RESUMEN TOTAL'!E481</f>
        <v>Fija</v>
      </c>
      <c r="E379" s="30" t="str">
        <f>'RESUMEN TOTAL'!F481</f>
        <v>Radio</v>
      </c>
      <c r="F379" s="70">
        <f>'RESUMEN TOTAL'!M481</f>
        <v>0</v>
      </c>
      <c r="G379" s="70">
        <f>'RESUMEN TOTAL'!N481</f>
        <v>0</v>
      </c>
      <c r="H379" s="70">
        <f>'RESUMEN TOTAL'!O481</f>
        <v>0</v>
      </c>
      <c r="I379" s="70" t="str">
        <f>'RESUMEN TOTAL'!P481</f>
        <v>APAGADO</v>
      </c>
      <c r="J379" s="70" t="str">
        <f>'RESUMEN TOTAL'!Q481</f>
        <v>APAGADO</v>
      </c>
      <c r="K379" s="70" t="str">
        <f>'RESUMEN TOTAL'!R481</f>
        <v>APAGADO</v>
      </c>
      <c r="L379" s="70" t="str">
        <f>'RESUMEN TOTAL'!S481</f>
        <v>APAGADO</v>
      </c>
      <c r="M379" s="70" t="str">
        <f>'RESUMEN TOTAL'!T481</f>
        <v>APAGADO</v>
      </c>
      <c r="N379" s="70" t="str">
        <f>'RESUMEN TOTAL'!U481</f>
        <v>APAGADO</v>
      </c>
      <c r="O379" s="70">
        <f>'RESUMEN TOTAL'!V481</f>
        <v>0</v>
      </c>
      <c r="P379" s="70">
        <f>'RESUMEN TOTAL'!W481</f>
        <v>0</v>
      </c>
      <c r="Q379" s="70">
        <f>'RESUMEN TOTAL'!X481</f>
        <v>0</v>
      </c>
      <c r="R379" s="70">
        <f>'RESUMEN TOTAL'!Y481</f>
        <v>0</v>
      </c>
      <c r="S379" s="70">
        <f>'RESUMEN TOTAL'!Z481</f>
        <v>0</v>
      </c>
      <c r="T379" s="70" t="str">
        <f>'RESUMEN TOTAL'!AA481</f>
        <v>APAGADO</v>
      </c>
      <c r="U379" s="70">
        <f>'RESUMEN TOTAL'!AB481</f>
        <v>0</v>
      </c>
      <c r="V379" s="70">
        <f>'RESUMEN TOTAL'!AC481</f>
        <v>0</v>
      </c>
      <c r="W379" s="70">
        <f>'RESUMEN TOTAL'!AD481</f>
        <v>0</v>
      </c>
      <c r="X379" s="70">
        <f>'RESUMEN TOTAL'!AE481</f>
        <v>0</v>
      </c>
      <c r="Y379" s="70">
        <f>'RESUMEN TOTAL'!AF481</f>
        <v>0</v>
      </c>
      <c r="Z379" s="70">
        <f>'RESUMEN TOTAL'!AG481</f>
        <v>0</v>
      </c>
      <c r="AA379" s="70">
        <f>'RESUMEN TOTAL'!AH481</f>
        <v>0</v>
      </c>
      <c r="AB379" s="70">
        <f>'RESUMEN TOTAL'!AI481</f>
        <v>0</v>
      </c>
      <c r="AC379" s="70">
        <f>'RESUMEN TOTAL'!AJ481</f>
        <v>0</v>
      </c>
      <c r="AD379" s="70">
        <f>'RESUMEN TOTAL'!AK481</f>
        <v>0</v>
      </c>
      <c r="AE379" s="70">
        <f>'RESUMEN TOTAL'!AL481</f>
        <v>0</v>
      </c>
      <c r="AF379" s="70">
        <f>'RESUMEN TOTAL'!AM481</f>
        <v>0</v>
      </c>
      <c r="AG379" s="70">
        <f>'RESUMEN TOTAL'!AN481</f>
        <v>0</v>
      </c>
      <c r="AH379" s="70">
        <f>'RESUMEN TOTAL'!AO481</f>
        <v>0</v>
      </c>
      <c r="AI379" s="70">
        <f>'RESUMEN TOTAL'!AP481</f>
        <v>0</v>
      </c>
      <c r="AJ379" s="70">
        <f>'RESUMEN TOTAL'!AQ481</f>
        <v>0</v>
      </c>
    </row>
    <row r="380" spans="1:36" x14ac:dyDescent="0.25">
      <c r="A380" t="str">
        <f>'RESUMEN TOTAL'!A482</f>
        <v>VILLA ARGENTINA</v>
      </c>
      <c r="B380" t="str">
        <f>'RESUMEN TOTAL'!B482</f>
        <v>VAR04 (fija 2)</v>
      </c>
      <c r="C380" t="str">
        <f>'RESUMEN TOTAL'!D482</f>
        <v>509 y 546</v>
      </c>
      <c r="D380" s="30" t="str">
        <f>'RESUMEN TOTAL'!E482</f>
        <v>Fija</v>
      </c>
      <c r="E380" s="30" t="str">
        <f>'RESUMEN TOTAL'!F482</f>
        <v>Radio</v>
      </c>
      <c r="F380" s="70">
        <f>'RESUMEN TOTAL'!M482</f>
        <v>0</v>
      </c>
      <c r="G380" s="70">
        <f>'RESUMEN TOTAL'!N482</f>
        <v>0</v>
      </c>
      <c r="H380" s="70">
        <f>'RESUMEN TOTAL'!O482</f>
        <v>0</v>
      </c>
      <c r="I380" s="70" t="str">
        <f>'RESUMEN TOTAL'!P482</f>
        <v>APAGADO</v>
      </c>
      <c r="J380" s="70" t="str">
        <f>'RESUMEN TOTAL'!Q482</f>
        <v>APAGADO</v>
      </c>
      <c r="K380" s="70" t="str">
        <f>'RESUMEN TOTAL'!R482</f>
        <v>APAGADO</v>
      </c>
      <c r="L380" s="70" t="str">
        <f>'RESUMEN TOTAL'!S482</f>
        <v>APAGADO</v>
      </c>
      <c r="M380" s="70" t="str">
        <f>'RESUMEN TOTAL'!T482</f>
        <v>APAGADO</v>
      </c>
      <c r="N380" s="70" t="str">
        <f>'RESUMEN TOTAL'!U482</f>
        <v>APAGADO</v>
      </c>
      <c r="O380" s="70">
        <f>'RESUMEN TOTAL'!V482</f>
        <v>0</v>
      </c>
      <c r="P380" s="70">
        <f>'RESUMEN TOTAL'!W482</f>
        <v>0</v>
      </c>
      <c r="Q380" s="70">
        <f>'RESUMEN TOTAL'!X482</f>
        <v>0</v>
      </c>
      <c r="R380" s="70">
        <f>'RESUMEN TOTAL'!Y482</f>
        <v>0</v>
      </c>
      <c r="S380" s="70">
        <f>'RESUMEN TOTAL'!Z482</f>
        <v>0</v>
      </c>
      <c r="T380" s="70" t="str">
        <f>'RESUMEN TOTAL'!AA482</f>
        <v>APAGADO</v>
      </c>
      <c r="U380" s="70">
        <f>'RESUMEN TOTAL'!AB482</f>
        <v>0</v>
      </c>
      <c r="V380" s="70">
        <f>'RESUMEN TOTAL'!AC482</f>
        <v>0</v>
      </c>
      <c r="W380" s="70">
        <f>'RESUMEN TOTAL'!AD482</f>
        <v>0</v>
      </c>
      <c r="X380" s="70">
        <f>'RESUMEN TOTAL'!AE482</f>
        <v>0</v>
      </c>
      <c r="Y380" s="70">
        <f>'RESUMEN TOTAL'!AF482</f>
        <v>0</v>
      </c>
      <c r="Z380" s="70">
        <f>'RESUMEN TOTAL'!AG482</f>
        <v>0</v>
      </c>
      <c r="AA380" s="70">
        <f>'RESUMEN TOTAL'!AH482</f>
        <v>0</v>
      </c>
      <c r="AB380" s="70">
        <f>'RESUMEN TOTAL'!AI482</f>
        <v>0</v>
      </c>
      <c r="AC380" s="70">
        <f>'RESUMEN TOTAL'!AJ482</f>
        <v>0</v>
      </c>
      <c r="AD380" s="70">
        <f>'RESUMEN TOTAL'!AK482</f>
        <v>0</v>
      </c>
      <c r="AE380" s="70">
        <f>'RESUMEN TOTAL'!AL482</f>
        <v>0</v>
      </c>
      <c r="AF380" s="70">
        <f>'RESUMEN TOTAL'!AM482</f>
        <v>0</v>
      </c>
      <c r="AG380" s="70">
        <f>'RESUMEN TOTAL'!AN482</f>
        <v>0</v>
      </c>
      <c r="AH380" s="70">
        <f>'RESUMEN TOTAL'!AO482</f>
        <v>0</v>
      </c>
      <c r="AI380" s="70">
        <f>'RESUMEN TOTAL'!AP482</f>
        <v>0</v>
      </c>
      <c r="AJ380" s="70">
        <f>'RESUMEN TOTAL'!AQ482</f>
        <v>0</v>
      </c>
    </row>
    <row r="381" spans="1:36" x14ac:dyDescent="0.25">
      <c r="A381" t="str">
        <f>'RESUMEN TOTAL'!A483</f>
        <v>VILLA ARGENTINA</v>
      </c>
      <c r="B381" t="str">
        <f>'RESUMEN TOTAL'!B483</f>
        <v>VAR05 (fija 1)</v>
      </c>
      <c r="C381" t="str">
        <f>'RESUMEN TOTAL'!D483</f>
        <v>511 E/ 544 Y 546</v>
      </c>
      <c r="D381" s="30" t="str">
        <f>'RESUMEN TOTAL'!E483</f>
        <v>Fija</v>
      </c>
      <c r="E381" s="30" t="str">
        <f>'RESUMEN TOTAL'!F483</f>
        <v>Radio</v>
      </c>
      <c r="F381" s="70">
        <f>'RESUMEN TOTAL'!M483</f>
        <v>0</v>
      </c>
      <c r="G381" s="70">
        <f>'RESUMEN TOTAL'!N483</f>
        <v>0</v>
      </c>
      <c r="H381" s="70">
        <f>'RESUMEN TOTAL'!O483</f>
        <v>0</v>
      </c>
      <c r="I381" s="70" t="str">
        <f>'RESUMEN TOTAL'!P483</f>
        <v>APAGADO</v>
      </c>
      <c r="J381" s="70" t="str">
        <f>'RESUMEN TOTAL'!Q483</f>
        <v>APAGADO</v>
      </c>
      <c r="K381" s="70" t="str">
        <f>'RESUMEN TOTAL'!R483</f>
        <v>APAGADO</v>
      </c>
      <c r="L381" s="70" t="str">
        <f>'RESUMEN TOTAL'!S483</f>
        <v>APAGADO</v>
      </c>
      <c r="M381" s="70" t="str">
        <f>'RESUMEN TOTAL'!T483</f>
        <v>APAGADO</v>
      </c>
      <c r="N381" s="70" t="str">
        <f>'RESUMEN TOTAL'!U483</f>
        <v>APAGADO</v>
      </c>
      <c r="O381" s="70">
        <f>'RESUMEN TOTAL'!V483</f>
        <v>0</v>
      </c>
      <c r="P381" s="70">
        <f>'RESUMEN TOTAL'!W483</f>
        <v>0</v>
      </c>
      <c r="Q381" s="70">
        <f>'RESUMEN TOTAL'!X483</f>
        <v>0</v>
      </c>
      <c r="R381" s="70">
        <f>'RESUMEN TOTAL'!Y483</f>
        <v>0</v>
      </c>
      <c r="S381" s="70">
        <f>'RESUMEN TOTAL'!Z483</f>
        <v>0</v>
      </c>
      <c r="T381" s="70" t="str">
        <f>'RESUMEN TOTAL'!AA483</f>
        <v>APAGADO</v>
      </c>
      <c r="U381" s="70">
        <f>'RESUMEN TOTAL'!AB483</f>
        <v>0</v>
      </c>
      <c r="V381" s="70">
        <f>'RESUMEN TOTAL'!AC483</f>
        <v>0</v>
      </c>
      <c r="W381" s="70">
        <f>'RESUMEN TOTAL'!AD483</f>
        <v>0</v>
      </c>
      <c r="X381" s="70">
        <f>'RESUMEN TOTAL'!AE483</f>
        <v>0</v>
      </c>
      <c r="Y381" s="70">
        <f>'RESUMEN TOTAL'!AF483</f>
        <v>0</v>
      </c>
      <c r="Z381" s="70">
        <f>'RESUMEN TOTAL'!AG483</f>
        <v>0</v>
      </c>
      <c r="AA381" s="70">
        <f>'RESUMEN TOTAL'!AH483</f>
        <v>0</v>
      </c>
      <c r="AB381" s="70">
        <f>'RESUMEN TOTAL'!AI483</f>
        <v>0</v>
      </c>
      <c r="AC381" s="70">
        <f>'RESUMEN TOTAL'!AJ483</f>
        <v>0</v>
      </c>
      <c r="AD381" s="70">
        <f>'RESUMEN TOTAL'!AK483</f>
        <v>0</v>
      </c>
      <c r="AE381" s="70">
        <f>'RESUMEN TOTAL'!AL483</f>
        <v>0</v>
      </c>
      <c r="AF381" s="70">
        <f>'RESUMEN TOTAL'!AM483</f>
        <v>0</v>
      </c>
      <c r="AG381" s="70">
        <f>'RESUMEN TOTAL'!AN483</f>
        <v>0</v>
      </c>
      <c r="AH381" s="70">
        <f>'RESUMEN TOTAL'!AO483</f>
        <v>0</v>
      </c>
      <c r="AI381" s="70">
        <f>'RESUMEN TOTAL'!AP483</f>
        <v>0</v>
      </c>
      <c r="AJ381" s="70">
        <f>'RESUMEN TOTAL'!AQ483</f>
        <v>0</v>
      </c>
    </row>
    <row r="382" spans="1:36" x14ac:dyDescent="0.25">
      <c r="A382" t="str">
        <f>'RESUMEN TOTAL'!A484</f>
        <v>VILLA ARGENTINA</v>
      </c>
      <c r="B382" t="str">
        <f>'RESUMEN TOTAL'!B484</f>
        <v>VAR06 (fija 2)</v>
      </c>
      <c r="C382" t="str">
        <f>'RESUMEN TOTAL'!D484</f>
        <v>511 E/ 544 Y 546</v>
      </c>
      <c r="D382" s="30" t="str">
        <f>'RESUMEN TOTAL'!E484</f>
        <v>Fija</v>
      </c>
      <c r="E382" s="30" t="str">
        <f>'RESUMEN TOTAL'!F484</f>
        <v>Radio</v>
      </c>
      <c r="F382" s="70">
        <f>'RESUMEN TOTAL'!M484</f>
        <v>0</v>
      </c>
      <c r="G382" s="70">
        <f>'RESUMEN TOTAL'!N484</f>
        <v>0</v>
      </c>
      <c r="H382" s="70">
        <f>'RESUMEN TOTAL'!O484</f>
        <v>0</v>
      </c>
      <c r="I382" s="70" t="str">
        <f>'RESUMEN TOTAL'!P484</f>
        <v>APAGADO</v>
      </c>
      <c r="J382" s="70" t="str">
        <f>'RESUMEN TOTAL'!Q484</f>
        <v>APAGADO</v>
      </c>
      <c r="K382" s="70" t="str">
        <f>'RESUMEN TOTAL'!R484</f>
        <v>APAGADO</v>
      </c>
      <c r="L382" s="70" t="str">
        <f>'RESUMEN TOTAL'!S484</f>
        <v>APAGADO</v>
      </c>
      <c r="M382" s="70" t="str">
        <f>'RESUMEN TOTAL'!T484</f>
        <v>APAGADO</v>
      </c>
      <c r="N382" s="70" t="str">
        <f>'RESUMEN TOTAL'!U484</f>
        <v>APAGADO</v>
      </c>
      <c r="O382" s="70">
        <f>'RESUMEN TOTAL'!V484</f>
        <v>0</v>
      </c>
      <c r="P382" s="70">
        <f>'RESUMEN TOTAL'!W484</f>
        <v>0</v>
      </c>
      <c r="Q382" s="70">
        <f>'RESUMEN TOTAL'!X484</f>
        <v>0</v>
      </c>
      <c r="R382" s="70">
        <f>'RESUMEN TOTAL'!Y484</f>
        <v>0</v>
      </c>
      <c r="S382" s="70">
        <f>'RESUMEN TOTAL'!Z484</f>
        <v>0</v>
      </c>
      <c r="T382" s="70" t="str">
        <f>'RESUMEN TOTAL'!AA484</f>
        <v>APAGADO</v>
      </c>
      <c r="U382" s="70">
        <f>'RESUMEN TOTAL'!AB484</f>
        <v>0</v>
      </c>
      <c r="V382" s="70">
        <f>'RESUMEN TOTAL'!AC484</f>
        <v>0</v>
      </c>
      <c r="W382" s="70">
        <f>'RESUMEN TOTAL'!AD484</f>
        <v>0</v>
      </c>
      <c r="X382" s="70">
        <f>'RESUMEN TOTAL'!AE484</f>
        <v>0</v>
      </c>
      <c r="Y382" s="70">
        <f>'RESUMEN TOTAL'!AF484</f>
        <v>0</v>
      </c>
      <c r="Z382" s="70">
        <f>'RESUMEN TOTAL'!AG484</f>
        <v>0</v>
      </c>
      <c r="AA382" s="70">
        <f>'RESUMEN TOTAL'!AH484</f>
        <v>0</v>
      </c>
      <c r="AB382" s="70">
        <f>'RESUMEN TOTAL'!AI484</f>
        <v>0</v>
      </c>
      <c r="AC382" s="70">
        <f>'RESUMEN TOTAL'!AJ484</f>
        <v>0</v>
      </c>
      <c r="AD382" s="70">
        <f>'RESUMEN TOTAL'!AK484</f>
        <v>0</v>
      </c>
      <c r="AE382" s="70">
        <f>'RESUMEN TOTAL'!AL484</f>
        <v>0</v>
      </c>
      <c r="AF382" s="70">
        <f>'RESUMEN TOTAL'!AM484</f>
        <v>0</v>
      </c>
      <c r="AG382" s="70">
        <f>'RESUMEN TOTAL'!AN484</f>
        <v>0</v>
      </c>
      <c r="AH382" s="70">
        <f>'RESUMEN TOTAL'!AO484</f>
        <v>0</v>
      </c>
      <c r="AI382" s="70">
        <f>'RESUMEN TOTAL'!AP484</f>
        <v>0</v>
      </c>
      <c r="AJ382" s="70">
        <f>'RESUMEN TOTAL'!AQ484</f>
        <v>0</v>
      </c>
    </row>
    <row r="383" spans="1:36" x14ac:dyDescent="0.25">
      <c r="A383" t="str">
        <f>'RESUMEN TOTAL'!A485</f>
        <v>VILLA ARGENTINA</v>
      </c>
      <c r="B383" t="str">
        <f>'RESUMEN TOTAL'!B485</f>
        <v>VAR07</v>
      </c>
      <c r="C383" t="str">
        <f>'RESUMEN TOTAL'!D485</f>
        <v>DIAG. LOS TILOS Y 517</v>
      </c>
      <c r="D383" s="30" t="str">
        <f>'RESUMEN TOTAL'!E485</f>
        <v>DOMO</v>
      </c>
      <c r="E383" s="30" t="str">
        <f>'RESUMEN TOTAL'!F485</f>
        <v>Fibra Optica</v>
      </c>
      <c r="F383" s="70" t="str">
        <f>'RESUMEN TOTAL'!M485</f>
        <v>APAGADO</v>
      </c>
      <c r="G383" s="70">
        <f>'RESUMEN TOTAL'!N485</f>
        <v>0</v>
      </c>
      <c r="H383" s="70">
        <f>'RESUMEN TOTAL'!O485</f>
        <v>0</v>
      </c>
      <c r="I383" s="70">
        <f>'RESUMEN TOTAL'!P485</f>
        <v>0</v>
      </c>
      <c r="J383" s="70">
        <f>'RESUMEN TOTAL'!Q485</f>
        <v>0</v>
      </c>
      <c r="K383" s="70">
        <f>'RESUMEN TOTAL'!R485</f>
        <v>0</v>
      </c>
      <c r="L383" s="70">
        <f>'RESUMEN TOTAL'!S485</f>
        <v>0</v>
      </c>
      <c r="M383" s="70">
        <f>'RESUMEN TOTAL'!T485</f>
        <v>0</v>
      </c>
      <c r="N383" s="70">
        <f>'RESUMEN TOTAL'!U485</f>
        <v>0</v>
      </c>
      <c r="O383" s="70">
        <f>'RESUMEN TOTAL'!V485</f>
        <v>0</v>
      </c>
      <c r="P383" s="70">
        <f>'RESUMEN TOTAL'!W485</f>
        <v>0</v>
      </c>
      <c r="Q383" s="70">
        <f>'RESUMEN TOTAL'!X485</f>
        <v>0</v>
      </c>
      <c r="R383" s="70">
        <f>'RESUMEN TOTAL'!Y485</f>
        <v>0</v>
      </c>
      <c r="S383" s="70">
        <f>'RESUMEN TOTAL'!Z485</f>
        <v>0</v>
      </c>
      <c r="T383" s="70">
        <f>'RESUMEN TOTAL'!AA485</f>
        <v>0</v>
      </c>
      <c r="U383" s="70">
        <f>'RESUMEN TOTAL'!AB485</f>
        <v>0</v>
      </c>
      <c r="V383" s="70">
        <f>'RESUMEN TOTAL'!AC485</f>
        <v>0</v>
      </c>
      <c r="W383" s="70">
        <f>'RESUMEN TOTAL'!AD485</f>
        <v>0</v>
      </c>
      <c r="X383" s="70">
        <f>'RESUMEN TOTAL'!AE485</f>
        <v>0</v>
      </c>
      <c r="Y383" s="70">
        <f>'RESUMEN TOTAL'!AF485</f>
        <v>0</v>
      </c>
      <c r="Z383" s="70">
        <f>'RESUMEN TOTAL'!AG485</f>
        <v>0</v>
      </c>
      <c r="AA383" s="70">
        <f>'RESUMEN TOTAL'!AH485</f>
        <v>0</v>
      </c>
      <c r="AB383" s="70">
        <f>'RESUMEN TOTAL'!AI485</f>
        <v>0</v>
      </c>
      <c r="AC383" s="70">
        <f>'RESUMEN TOTAL'!AJ485</f>
        <v>0</v>
      </c>
      <c r="AD383" s="70">
        <f>'RESUMEN TOTAL'!AK485</f>
        <v>0</v>
      </c>
      <c r="AE383" s="70">
        <f>'RESUMEN TOTAL'!AL485</f>
        <v>0</v>
      </c>
      <c r="AF383" s="70">
        <f>'RESUMEN TOTAL'!AM485</f>
        <v>0</v>
      </c>
      <c r="AG383" s="70">
        <f>'RESUMEN TOTAL'!AN485</f>
        <v>0</v>
      </c>
      <c r="AH383" s="70">
        <f>'RESUMEN TOTAL'!AO485</f>
        <v>0</v>
      </c>
      <c r="AI383" s="70">
        <f>'RESUMEN TOTAL'!AP485</f>
        <v>0</v>
      </c>
      <c r="AJ383" s="70">
        <f>'RESUMEN TOTAL'!AQ485</f>
        <v>0</v>
      </c>
    </row>
    <row r="384" spans="1:36" x14ac:dyDescent="0.25">
      <c r="A384" t="str">
        <f>'RESUMEN TOTAL'!A486</f>
        <v>VILLA ARGENTINA</v>
      </c>
      <c r="B384" t="str">
        <f>'RESUMEN TOTAL'!B486</f>
        <v>VAR 08 (fija 1)</v>
      </c>
      <c r="C384" t="str">
        <f>'RESUMEN TOTAL'!D486</f>
        <v>534 Y 523</v>
      </c>
      <c r="D384" s="30" t="str">
        <f>'RESUMEN TOTAL'!E486</f>
        <v>Fija</v>
      </c>
      <c r="E384" s="30" t="str">
        <f>'RESUMEN TOTAL'!F486</f>
        <v>Fibra Optica</v>
      </c>
      <c r="F384" s="70">
        <f>'RESUMEN TOTAL'!M486</f>
        <v>0</v>
      </c>
      <c r="G384" s="70">
        <f>'RESUMEN TOTAL'!N486</f>
        <v>0</v>
      </c>
      <c r="H384" s="70">
        <f>'RESUMEN TOTAL'!O486</f>
        <v>0</v>
      </c>
      <c r="I384" s="70">
        <f>'RESUMEN TOTAL'!P486</f>
        <v>0</v>
      </c>
      <c r="J384" s="70">
        <f>'RESUMEN TOTAL'!Q486</f>
        <v>0</v>
      </c>
      <c r="K384" s="70">
        <f>'RESUMEN TOTAL'!R486</f>
        <v>0</v>
      </c>
      <c r="L384" s="70">
        <f>'RESUMEN TOTAL'!S486</f>
        <v>0</v>
      </c>
      <c r="M384" s="70">
        <f>'RESUMEN TOTAL'!T486</f>
        <v>0</v>
      </c>
      <c r="N384" s="70">
        <f>'RESUMEN TOTAL'!U486</f>
        <v>0</v>
      </c>
      <c r="O384" s="70">
        <f>'RESUMEN TOTAL'!V486</f>
        <v>0</v>
      </c>
      <c r="P384" s="70">
        <f>'RESUMEN TOTAL'!W486</f>
        <v>0</v>
      </c>
      <c r="Q384" s="70">
        <f>'RESUMEN TOTAL'!X486</f>
        <v>0</v>
      </c>
      <c r="R384" s="70">
        <f>'RESUMEN TOTAL'!Y486</f>
        <v>0</v>
      </c>
      <c r="S384" s="70">
        <f>'RESUMEN TOTAL'!Z486</f>
        <v>0</v>
      </c>
      <c r="T384" s="70">
        <f>'RESUMEN TOTAL'!AA486</f>
        <v>0</v>
      </c>
      <c r="U384" s="70">
        <f>'RESUMEN TOTAL'!AB486</f>
        <v>0</v>
      </c>
      <c r="V384" s="70">
        <f>'RESUMEN TOTAL'!AC486</f>
        <v>0</v>
      </c>
      <c r="W384" s="70">
        <f>'RESUMEN TOTAL'!AD486</f>
        <v>0</v>
      </c>
      <c r="X384" s="70">
        <f>'RESUMEN TOTAL'!AE486</f>
        <v>0</v>
      </c>
      <c r="Y384" s="70">
        <f>'RESUMEN TOTAL'!AF486</f>
        <v>0</v>
      </c>
      <c r="Z384" s="70">
        <f>'RESUMEN TOTAL'!AG486</f>
        <v>0</v>
      </c>
      <c r="AA384" s="70">
        <f>'RESUMEN TOTAL'!AH486</f>
        <v>0</v>
      </c>
      <c r="AB384" s="70">
        <f>'RESUMEN TOTAL'!AI486</f>
        <v>0</v>
      </c>
      <c r="AC384" s="70">
        <f>'RESUMEN TOTAL'!AJ486</f>
        <v>0</v>
      </c>
      <c r="AD384" s="70">
        <f>'RESUMEN TOTAL'!AK486</f>
        <v>0</v>
      </c>
      <c r="AE384" s="70">
        <f>'RESUMEN TOTAL'!AL486</f>
        <v>0</v>
      </c>
      <c r="AF384" s="70">
        <f>'RESUMEN TOTAL'!AM486</f>
        <v>0</v>
      </c>
      <c r="AG384" s="70">
        <f>'RESUMEN TOTAL'!AN486</f>
        <v>0</v>
      </c>
      <c r="AH384" s="70">
        <f>'RESUMEN TOTAL'!AO486</f>
        <v>0</v>
      </c>
      <c r="AI384" s="70">
        <f>'RESUMEN TOTAL'!AP486</f>
        <v>0</v>
      </c>
      <c r="AJ384" s="70">
        <f>'RESUMEN TOTAL'!AQ486</f>
        <v>0</v>
      </c>
    </row>
    <row r="385" spans="1:36" x14ac:dyDescent="0.25">
      <c r="A385" t="str">
        <f>'RESUMEN TOTAL'!A487</f>
        <v>VILLA ARGENTINA</v>
      </c>
      <c r="B385" t="str">
        <f>'RESUMEN TOTAL'!B487</f>
        <v>VAR 09 (fija 2)</v>
      </c>
      <c r="C385" t="str">
        <f>'RESUMEN TOTAL'!D487</f>
        <v>534 Y 523</v>
      </c>
      <c r="D385" s="30" t="str">
        <f>'RESUMEN TOTAL'!E487</f>
        <v>Fija</v>
      </c>
      <c r="E385" s="30" t="str">
        <f>'RESUMEN TOTAL'!F487</f>
        <v>Fibra Optica</v>
      </c>
      <c r="F385" s="70">
        <f>'RESUMEN TOTAL'!M487</f>
        <v>0</v>
      </c>
      <c r="G385" s="70">
        <f>'RESUMEN TOTAL'!N487</f>
        <v>0</v>
      </c>
      <c r="H385" s="70">
        <f>'RESUMEN TOTAL'!O487</f>
        <v>0</v>
      </c>
      <c r="I385" s="70">
        <f>'RESUMEN TOTAL'!P487</f>
        <v>0</v>
      </c>
      <c r="J385" s="70">
        <f>'RESUMEN TOTAL'!Q487</f>
        <v>0</v>
      </c>
      <c r="K385" s="70">
        <f>'RESUMEN TOTAL'!R487</f>
        <v>0</v>
      </c>
      <c r="L385" s="70">
        <f>'RESUMEN TOTAL'!S487</f>
        <v>0</v>
      </c>
      <c r="M385" s="70">
        <f>'RESUMEN TOTAL'!T487</f>
        <v>0</v>
      </c>
      <c r="N385" s="70">
        <f>'RESUMEN TOTAL'!U487</f>
        <v>0</v>
      </c>
      <c r="O385" s="70">
        <f>'RESUMEN TOTAL'!V487</f>
        <v>0</v>
      </c>
      <c r="P385" s="70">
        <f>'RESUMEN TOTAL'!W487</f>
        <v>0</v>
      </c>
      <c r="Q385" s="70">
        <f>'RESUMEN TOTAL'!X487</f>
        <v>0</v>
      </c>
      <c r="R385" s="70">
        <f>'RESUMEN TOTAL'!Y487</f>
        <v>0</v>
      </c>
      <c r="S385" s="70">
        <f>'RESUMEN TOTAL'!Z487</f>
        <v>0</v>
      </c>
      <c r="T385" s="70">
        <f>'RESUMEN TOTAL'!AA487</f>
        <v>0</v>
      </c>
      <c r="U385" s="70">
        <f>'RESUMEN TOTAL'!AB487</f>
        <v>0</v>
      </c>
      <c r="V385" s="70">
        <f>'RESUMEN TOTAL'!AC487</f>
        <v>0</v>
      </c>
      <c r="W385" s="70">
        <f>'RESUMEN TOTAL'!AD487</f>
        <v>0</v>
      </c>
      <c r="X385" s="70">
        <f>'RESUMEN TOTAL'!AE487</f>
        <v>0</v>
      </c>
      <c r="Y385" s="70">
        <f>'RESUMEN TOTAL'!AF487</f>
        <v>0</v>
      </c>
      <c r="Z385" s="70">
        <f>'RESUMEN TOTAL'!AG487</f>
        <v>0</v>
      </c>
      <c r="AA385" s="70">
        <f>'RESUMEN TOTAL'!AH487</f>
        <v>0</v>
      </c>
      <c r="AB385" s="70">
        <f>'RESUMEN TOTAL'!AI487</f>
        <v>0</v>
      </c>
      <c r="AC385" s="70">
        <f>'RESUMEN TOTAL'!AJ487</f>
        <v>0</v>
      </c>
      <c r="AD385" s="70">
        <f>'RESUMEN TOTAL'!AK487</f>
        <v>0</v>
      </c>
      <c r="AE385" s="70">
        <f>'RESUMEN TOTAL'!AL487</f>
        <v>0</v>
      </c>
      <c r="AF385" s="70">
        <f>'RESUMEN TOTAL'!AM487</f>
        <v>0</v>
      </c>
      <c r="AG385" s="70">
        <f>'RESUMEN TOTAL'!AN487</f>
        <v>0</v>
      </c>
      <c r="AH385" s="70">
        <f>'RESUMEN TOTAL'!AO487</f>
        <v>0</v>
      </c>
      <c r="AI385" s="70">
        <f>'RESUMEN TOTAL'!AP487</f>
        <v>0</v>
      </c>
      <c r="AJ385" s="70">
        <f>'RESUMEN TOTAL'!AQ487</f>
        <v>0</v>
      </c>
    </row>
    <row r="386" spans="1:36" x14ac:dyDescent="0.25">
      <c r="A386" t="str">
        <f>'RESUMEN TOTAL'!A488</f>
        <v>VILLA ARGENTINA</v>
      </c>
      <c r="B386" t="str">
        <f>'RESUMEN TOTAL'!B488</f>
        <v>VAR10 (fija 1)</v>
      </c>
      <c r="C386" t="str">
        <f>'RESUMEN TOTAL'!D488</f>
        <v>532 A Y 523</v>
      </c>
      <c r="D386" s="30" t="str">
        <f>'RESUMEN TOTAL'!E488</f>
        <v>Fija</v>
      </c>
      <c r="E386" s="30" t="str">
        <f>'RESUMEN TOTAL'!F488</f>
        <v>Fibra Optica</v>
      </c>
      <c r="F386" s="70">
        <f>'RESUMEN TOTAL'!M488</f>
        <v>0</v>
      </c>
      <c r="G386" s="70">
        <f>'RESUMEN TOTAL'!N488</f>
        <v>0</v>
      </c>
      <c r="H386" s="70">
        <f>'RESUMEN TOTAL'!O488</f>
        <v>0</v>
      </c>
      <c r="I386" s="70">
        <f>'RESUMEN TOTAL'!P488</f>
        <v>0</v>
      </c>
      <c r="J386" s="70">
        <f>'RESUMEN TOTAL'!Q488</f>
        <v>0</v>
      </c>
      <c r="K386" s="70">
        <f>'RESUMEN TOTAL'!R488</f>
        <v>0</v>
      </c>
      <c r="L386" s="70">
        <f>'RESUMEN TOTAL'!S488</f>
        <v>0</v>
      </c>
      <c r="M386" s="70">
        <f>'RESUMEN TOTAL'!T488</f>
        <v>0</v>
      </c>
      <c r="N386" s="70">
        <f>'RESUMEN TOTAL'!U488</f>
        <v>0</v>
      </c>
      <c r="O386" s="70">
        <f>'RESUMEN TOTAL'!V488</f>
        <v>0</v>
      </c>
      <c r="P386" s="70">
        <f>'RESUMEN TOTAL'!W488</f>
        <v>0</v>
      </c>
      <c r="Q386" s="70">
        <f>'RESUMEN TOTAL'!X488</f>
        <v>0</v>
      </c>
      <c r="R386" s="70">
        <f>'RESUMEN TOTAL'!Y488</f>
        <v>0</v>
      </c>
      <c r="S386" s="70">
        <f>'RESUMEN TOTAL'!Z488</f>
        <v>0</v>
      </c>
      <c r="T386" s="70">
        <f>'RESUMEN TOTAL'!AA488</f>
        <v>0</v>
      </c>
      <c r="U386" s="70">
        <f>'RESUMEN TOTAL'!AB488</f>
        <v>0</v>
      </c>
      <c r="V386" s="70">
        <f>'RESUMEN TOTAL'!AC488</f>
        <v>0</v>
      </c>
      <c r="W386" s="70">
        <f>'RESUMEN TOTAL'!AD488</f>
        <v>0</v>
      </c>
      <c r="X386" s="70">
        <f>'RESUMEN TOTAL'!AE488</f>
        <v>0</v>
      </c>
      <c r="Y386" s="70">
        <f>'RESUMEN TOTAL'!AF488</f>
        <v>0</v>
      </c>
      <c r="Z386" s="70">
        <f>'RESUMEN TOTAL'!AG488</f>
        <v>0</v>
      </c>
      <c r="AA386" s="70">
        <f>'RESUMEN TOTAL'!AH488</f>
        <v>0</v>
      </c>
      <c r="AB386" s="70">
        <f>'RESUMEN TOTAL'!AI488</f>
        <v>0</v>
      </c>
      <c r="AC386" s="70">
        <f>'RESUMEN TOTAL'!AJ488</f>
        <v>0</v>
      </c>
      <c r="AD386" s="70">
        <f>'RESUMEN TOTAL'!AK488</f>
        <v>0</v>
      </c>
      <c r="AE386" s="70">
        <f>'RESUMEN TOTAL'!AL488</f>
        <v>0</v>
      </c>
      <c r="AF386" s="70">
        <f>'RESUMEN TOTAL'!AM488</f>
        <v>0</v>
      </c>
      <c r="AG386" s="70">
        <f>'RESUMEN TOTAL'!AN488</f>
        <v>0</v>
      </c>
      <c r="AH386" s="70">
        <f>'RESUMEN TOTAL'!AO488</f>
        <v>0</v>
      </c>
      <c r="AI386" s="70">
        <f>'RESUMEN TOTAL'!AP488</f>
        <v>0</v>
      </c>
      <c r="AJ386" s="70">
        <f>'RESUMEN TOTAL'!AQ488</f>
        <v>0</v>
      </c>
    </row>
    <row r="387" spans="1:36" x14ac:dyDescent="0.25">
      <c r="A387" t="str">
        <f>'RESUMEN TOTAL'!A489</f>
        <v>VILLA ARGENTINA</v>
      </c>
      <c r="B387" t="str">
        <f>'RESUMEN TOTAL'!B489</f>
        <v>VAR11 (fija 2)</v>
      </c>
      <c r="C387" t="str">
        <f>'RESUMEN TOTAL'!D489</f>
        <v>532 A Y 523</v>
      </c>
      <c r="D387" s="30" t="str">
        <f>'RESUMEN TOTAL'!E489</f>
        <v>Fija</v>
      </c>
      <c r="E387" s="30" t="str">
        <f>'RESUMEN TOTAL'!F489</f>
        <v>Fibra Optica</v>
      </c>
      <c r="F387" s="70">
        <f>'RESUMEN TOTAL'!M489</f>
        <v>0</v>
      </c>
      <c r="G387" s="70">
        <f>'RESUMEN TOTAL'!N489</f>
        <v>0</v>
      </c>
      <c r="H387" s="70">
        <f>'RESUMEN TOTAL'!O489</f>
        <v>0</v>
      </c>
      <c r="I387" s="70">
        <f>'RESUMEN TOTAL'!P489</f>
        <v>0</v>
      </c>
      <c r="J387" s="70">
        <f>'RESUMEN TOTAL'!Q489</f>
        <v>0</v>
      </c>
      <c r="K387" s="70">
        <f>'RESUMEN TOTAL'!R489</f>
        <v>0</v>
      </c>
      <c r="L387" s="70">
        <f>'RESUMEN TOTAL'!S489</f>
        <v>0</v>
      </c>
      <c r="M387" s="70">
        <f>'RESUMEN TOTAL'!T489</f>
        <v>0</v>
      </c>
      <c r="N387" s="70">
        <f>'RESUMEN TOTAL'!U489</f>
        <v>0</v>
      </c>
      <c r="O387" s="70">
        <f>'RESUMEN TOTAL'!V489</f>
        <v>0</v>
      </c>
      <c r="P387" s="70">
        <f>'RESUMEN TOTAL'!W489</f>
        <v>0</v>
      </c>
      <c r="Q387" s="70">
        <f>'RESUMEN TOTAL'!X489</f>
        <v>0</v>
      </c>
      <c r="R387" s="70">
        <f>'RESUMEN TOTAL'!Y489</f>
        <v>0</v>
      </c>
      <c r="S387" s="70">
        <f>'RESUMEN TOTAL'!Z489</f>
        <v>0</v>
      </c>
      <c r="T387" s="70">
        <f>'RESUMEN TOTAL'!AA489</f>
        <v>0</v>
      </c>
      <c r="U387" s="70">
        <f>'RESUMEN TOTAL'!AB489</f>
        <v>0</v>
      </c>
      <c r="V387" s="70">
        <f>'RESUMEN TOTAL'!AC489</f>
        <v>0</v>
      </c>
      <c r="W387" s="70">
        <f>'RESUMEN TOTAL'!AD489</f>
        <v>0</v>
      </c>
      <c r="X387" s="70">
        <f>'RESUMEN TOTAL'!AE489</f>
        <v>0</v>
      </c>
      <c r="Y387" s="70">
        <f>'RESUMEN TOTAL'!AF489</f>
        <v>0</v>
      </c>
      <c r="Z387" s="70">
        <f>'RESUMEN TOTAL'!AG489</f>
        <v>0</v>
      </c>
      <c r="AA387" s="70">
        <f>'RESUMEN TOTAL'!AH489</f>
        <v>0</v>
      </c>
      <c r="AB387" s="70">
        <f>'RESUMEN TOTAL'!AI489</f>
        <v>0</v>
      </c>
      <c r="AC387" s="70">
        <f>'RESUMEN TOTAL'!AJ489</f>
        <v>0</v>
      </c>
      <c r="AD387" s="70">
        <f>'RESUMEN TOTAL'!AK489</f>
        <v>0</v>
      </c>
      <c r="AE387" s="70">
        <f>'RESUMEN TOTAL'!AL489</f>
        <v>0</v>
      </c>
      <c r="AF387" s="70">
        <f>'RESUMEN TOTAL'!AM489</f>
        <v>0</v>
      </c>
      <c r="AG387" s="70">
        <f>'RESUMEN TOTAL'!AN489</f>
        <v>0</v>
      </c>
      <c r="AH387" s="70">
        <f>'RESUMEN TOTAL'!AO489</f>
        <v>0</v>
      </c>
      <c r="AI387" s="70">
        <f>'RESUMEN TOTAL'!AP489</f>
        <v>0</v>
      </c>
      <c r="AJ387" s="70">
        <f>'RESUMEN TOTAL'!AQ489</f>
        <v>0</v>
      </c>
    </row>
    <row r="388" spans="1:36" x14ac:dyDescent="0.25">
      <c r="A388" t="str">
        <f>'RESUMEN TOTAL'!A490</f>
        <v>VILLA ARGENTINA</v>
      </c>
      <c r="B388" t="str">
        <f>'RESUMEN TOTAL'!B490</f>
        <v>VAR12</v>
      </c>
      <c r="C388" t="str">
        <f>'RESUMEN TOTAL'!D490</f>
        <v>Calle 527 y Portela</v>
      </c>
      <c r="D388" s="30" t="str">
        <f>'RESUMEN TOTAL'!E490</f>
        <v>Domo</v>
      </c>
      <c r="E388" s="30" t="str">
        <f>'RESUMEN TOTAL'!F490</f>
        <v>Fibra Optica</v>
      </c>
      <c r="F388" s="70" t="str">
        <f>'RESUMEN TOTAL'!M490</f>
        <v>APAGADO</v>
      </c>
      <c r="G388" s="70" t="str">
        <f>'RESUMEN TOTAL'!N490</f>
        <v>APAGADO</v>
      </c>
      <c r="H388" s="70">
        <f>'RESUMEN TOTAL'!O490</f>
        <v>0</v>
      </c>
      <c r="I388" s="70">
        <f>'RESUMEN TOTAL'!P490</f>
        <v>0</v>
      </c>
      <c r="J388" s="70">
        <f>'RESUMEN TOTAL'!Q490</f>
        <v>0</v>
      </c>
      <c r="K388" s="70">
        <f>'RESUMEN TOTAL'!R490</f>
        <v>0</v>
      </c>
      <c r="L388" s="70">
        <f>'RESUMEN TOTAL'!S490</f>
        <v>0</v>
      </c>
      <c r="M388" s="70">
        <f>'RESUMEN TOTAL'!T490</f>
        <v>0</v>
      </c>
      <c r="N388" s="70">
        <f>'RESUMEN TOTAL'!U490</f>
        <v>0</v>
      </c>
      <c r="O388" s="70">
        <f>'RESUMEN TOTAL'!V490</f>
        <v>0</v>
      </c>
      <c r="P388" s="70">
        <f>'RESUMEN TOTAL'!W490</f>
        <v>0</v>
      </c>
      <c r="Q388" s="70">
        <f>'RESUMEN TOTAL'!X490</f>
        <v>0</v>
      </c>
      <c r="R388" s="70">
        <f>'RESUMEN TOTAL'!Y490</f>
        <v>0</v>
      </c>
      <c r="S388" s="70">
        <f>'RESUMEN TOTAL'!Z490</f>
        <v>0</v>
      </c>
      <c r="T388" s="70">
        <f>'RESUMEN TOTAL'!AA490</f>
        <v>0</v>
      </c>
      <c r="U388" s="70">
        <f>'RESUMEN TOTAL'!AB490</f>
        <v>0</v>
      </c>
      <c r="V388" s="70">
        <f>'RESUMEN TOTAL'!AC490</f>
        <v>0</v>
      </c>
      <c r="W388" s="70">
        <f>'RESUMEN TOTAL'!AD490</f>
        <v>0</v>
      </c>
      <c r="X388" s="70">
        <f>'RESUMEN TOTAL'!AE490</f>
        <v>0</v>
      </c>
      <c r="Y388" s="70">
        <f>'RESUMEN TOTAL'!AF490</f>
        <v>0</v>
      </c>
      <c r="Z388" s="70">
        <f>'RESUMEN TOTAL'!AG490</f>
        <v>0</v>
      </c>
      <c r="AA388" s="70">
        <f>'RESUMEN TOTAL'!AH490</f>
        <v>0</v>
      </c>
      <c r="AB388" s="70">
        <f>'RESUMEN TOTAL'!AI490</f>
        <v>0</v>
      </c>
      <c r="AC388" s="70">
        <f>'RESUMEN TOTAL'!AJ490</f>
        <v>0</v>
      </c>
      <c r="AD388" s="70">
        <f>'RESUMEN TOTAL'!AK490</f>
        <v>0</v>
      </c>
      <c r="AE388" s="70">
        <f>'RESUMEN TOTAL'!AL490</f>
        <v>0</v>
      </c>
      <c r="AF388" s="70">
        <f>'RESUMEN TOTAL'!AM490</f>
        <v>0</v>
      </c>
      <c r="AG388" s="70">
        <f>'RESUMEN TOTAL'!AN490</f>
        <v>0</v>
      </c>
      <c r="AH388" s="70">
        <f>'RESUMEN TOTAL'!AO490</f>
        <v>0</v>
      </c>
      <c r="AI388" s="70">
        <f>'RESUMEN TOTAL'!AP490</f>
        <v>0</v>
      </c>
      <c r="AJ388" s="70">
        <f>'RESUMEN TOTAL'!AQ490</f>
        <v>0</v>
      </c>
    </row>
    <row r="389" spans="1:36" x14ac:dyDescent="0.25">
      <c r="A389" t="str">
        <f>'RESUMEN TOTAL'!A491</f>
        <v>VILLA ARGENTINA</v>
      </c>
      <c r="B389" t="str">
        <f>'RESUMEN TOTAL'!B491</f>
        <v>VAR13</v>
      </c>
      <c r="C389" t="str">
        <f>'RESUMEN TOTAL'!D491</f>
        <v>Calle 527 y 532</v>
      </c>
      <c r="D389" s="30" t="str">
        <f>'RESUMEN TOTAL'!E491</f>
        <v>Domo</v>
      </c>
      <c r="E389" s="30" t="str">
        <f>'RESUMEN TOTAL'!F491</f>
        <v>Fibra Optica</v>
      </c>
      <c r="F389" s="70">
        <f>'RESUMEN TOTAL'!M491</f>
        <v>0</v>
      </c>
      <c r="G389" s="70">
        <f>'RESUMEN TOTAL'!N491</f>
        <v>0</v>
      </c>
      <c r="H389" s="70">
        <f>'RESUMEN TOTAL'!O491</f>
        <v>0</v>
      </c>
      <c r="I389" s="70">
        <f>'RESUMEN TOTAL'!P491</f>
        <v>0</v>
      </c>
      <c r="J389" s="70">
        <f>'RESUMEN TOTAL'!Q491</f>
        <v>0</v>
      </c>
      <c r="K389" s="70">
        <f>'RESUMEN TOTAL'!R491</f>
        <v>0</v>
      </c>
      <c r="L389" s="70">
        <f>'RESUMEN TOTAL'!S491</f>
        <v>0</v>
      </c>
      <c r="M389" s="70">
        <f>'RESUMEN TOTAL'!T491</f>
        <v>0</v>
      </c>
      <c r="N389" s="70">
        <f>'RESUMEN TOTAL'!U491</f>
        <v>0</v>
      </c>
      <c r="O389" s="70">
        <f>'RESUMEN TOTAL'!V491</f>
        <v>0</v>
      </c>
      <c r="P389" s="70">
        <f>'RESUMEN TOTAL'!W491</f>
        <v>0</v>
      </c>
      <c r="Q389" s="70">
        <f>'RESUMEN TOTAL'!X491</f>
        <v>0</v>
      </c>
      <c r="R389" s="70">
        <f>'RESUMEN TOTAL'!Y491</f>
        <v>0</v>
      </c>
      <c r="S389" s="70">
        <f>'RESUMEN TOTAL'!Z491</f>
        <v>0</v>
      </c>
      <c r="T389" s="70">
        <f>'RESUMEN TOTAL'!AA491</f>
        <v>0</v>
      </c>
      <c r="U389" s="70">
        <f>'RESUMEN TOTAL'!AB491</f>
        <v>0</v>
      </c>
      <c r="V389" s="70">
        <f>'RESUMEN TOTAL'!AC491</f>
        <v>0</v>
      </c>
      <c r="W389" s="70">
        <f>'RESUMEN TOTAL'!AD491</f>
        <v>0</v>
      </c>
      <c r="X389" s="70">
        <f>'RESUMEN TOTAL'!AE491</f>
        <v>0</v>
      </c>
      <c r="Y389" s="70">
        <f>'RESUMEN TOTAL'!AF491</f>
        <v>0</v>
      </c>
      <c r="Z389" s="70">
        <f>'RESUMEN TOTAL'!AG491</f>
        <v>0</v>
      </c>
      <c r="AA389" s="70">
        <f>'RESUMEN TOTAL'!AH491</f>
        <v>0</v>
      </c>
      <c r="AB389" s="70">
        <f>'RESUMEN TOTAL'!AI491</f>
        <v>0</v>
      </c>
      <c r="AC389" s="70">
        <f>'RESUMEN TOTAL'!AJ491</f>
        <v>0</v>
      </c>
      <c r="AD389" s="70">
        <f>'RESUMEN TOTAL'!AK491</f>
        <v>0</v>
      </c>
      <c r="AE389" s="70">
        <f>'RESUMEN TOTAL'!AL491</f>
        <v>0</v>
      </c>
      <c r="AF389" s="70">
        <f>'RESUMEN TOTAL'!AM491</f>
        <v>0</v>
      </c>
      <c r="AG389" s="70">
        <f>'RESUMEN TOTAL'!AN491</f>
        <v>0</v>
      </c>
      <c r="AH389" s="70">
        <f>'RESUMEN TOTAL'!AO491</f>
        <v>0</v>
      </c>
      <c r="AI389" s="70">
        <f>'RESUMEN TOTAL'!AP491</f>
        <v>0</v>
      </c>
      <c r="AJ389" s="70">
        <f>'RESUMEN TOTAL'!AQ491</f>
        <v>0</v>
      </c>
    </row>
    <row r="390" spans="1:36" x14ac:dyDescent="0.25">
      <c r="A390" t="str">
        <f>'RESUMEN TOTAL'!A492</f>
        <v>VILLA ARGENTINA</v>
      </c>
      <c r="B390" t="str">
        <f>'RESUMEN TOTAL'!B492</f>
        <v>VAR14</v>
      </c>
      <c r="C390" t="str">
        <f>'RESUMEN TOTAL'!D492</f>
        <v>Pportela y 517</v>
      </c>
      <c r="D390" s="30" t="str">
        <f>'RESUMEN TOTAL'!E492</f>
        <v>Domo</v>
      </c>
      <c r="E390" s="30" t="str">
        <f>'RESUMEN TOTAL'!F492</f>
        <v>Fibra Optica</v>
      </c>
      <c r="F390" s="70" t="str">
        <f>'RESUMEN TOTAL'!M492</f>
        <v>APAGADO</v>
      </c>
      <c r="G390" s="70">
        <f>'RESUMEN TOTAL'!N492</f>
        <v>0</v>
      </c>
      <c r="H390" s="70">
        <f>'RESUMEN TOTAL'!O492</f>
        <v>0</v>
      </c>
      <c r="I390" s="70">
        <f>'RESUMEN TOTAL'!P492</f>
        <v>0</v>
      </c>
      <c r="J390" s="70">
        <f>'RESUMEN TOTAL'!Q492</f>
        <v>0</v>
      </c>
      <c r="K390" s="70">
        <f>'RESUMEN TOTAL'!R492</f>
        <v>0</v>
      </c>
      <c r="L390" s="70">
        <f>'RESUMEN TOTAL'!S492</f>
        <v>0</v>
      </c>
      <c r="M390" s="70">
        <f>'RESUMEN TOTAL'!T492</f>
        <v>0</v>
      </c>
      <c r="N390" s="70">
        <f>'RESUMEN TOTAL'!U492</f>
        <v>0</v>
      </c>
      <c r="O390" s="70">
        <f>'RESUMEN TOTAL'!V492</f>
        <v>0</v>
      </c>
      <c r="P390" s="70">
        <f>'RESUMEN TOTAL'!W492</f>
        <v>0</v>
      </c>
      <c r="Q390" s="70">
        <f>'RESUMEN TOTAL'!X492</f>
        <v>0</v>
      </c>
      <c r="R390" s="70">
        <f>'RESUMEN TOTAL'!Y492</f>
        <v>0</v>
      </c>
      <c r="S390" s="70">
        <f>'RESUMEN TOTAL'!Z492</f>
        <v>0</v>
      </c>
      <c r="T390" s="70">
        <f>'RESUMEN TOTAL'!AA492</f>
        <v>0</v>
      </c>
      <c r="U390" s="70">
        <f>'RESUMEN TOTAL'!AB492</f>
        <v>0</v>
      </c>
      <c r="V390" s="70">
        <f>'RESUMEN TOTAL'!AC492</f>
        <v>0</v>
      </c>
      <c r="W390" s="70">
        <f>'RESUMEN TOTAL'!AD492</f>
        <v>0</v>
      </c>
      <c r="X390" s="70">
        <f>'RESUMEN TOTAL'!AE492</f>
        <v>0</v>
      </c>
      <c r="Y390" s="70">
        <f>'RESUMEN TOTAL'!AF492</f>
        <v>0</v>
      </c>
      <c r="Z390" s="70">
        <f>'RESUMEN TOTAL'!AG492</f>
        <v>0</v>
      </c>
      <c r="AA390" s="70">
        <f>'RESUMEN TOTAL'!AH492</f>
        <v>0</v>
      </c>
      <c r="AB390" s="70">
        <f>'RESUMEN TOTAL'!AI492</f>
        <v>0</v>
      </c>
      <c r="AC390" s="70">
        <f>'RESUMEN TOTAL'!AJ492</f>
        <v>0</v>
      </c>
      <c r="AD390" s="70">
        <f>'RESUMEN TOTAL'!AK492</f>
        <v>0</v>
      </c>
      <c r="AE390" s="70">
        <f>'RESUMEN TOTAL'!AL492</f>
        <v>0</v>
      </c>
      <c r="AF390" s="70">
        <f>'RESUMEN TOTAL'!AM492</f>
        <v>0</v>
      </c>
      <c r="AG390" s="70">
        <f>'RESUMEN TOTAL'!AN492</f>
        <v>0</v>
      </c>
      <c r="AH390" s="70">
        <f>'RESUMEN TOTAL'!AO492</f>
        <v>0</v>
      </c>
      <c r="AI390" s="70">
        <f>'RESUMEN TOTAL'!AP492</f>
        <v>0</v>
      </c>
      <c r="AJ390" s="70">
        <f>'RESUMEN TOTAL'!AQ492</f>
        <v>0</v>
      </c>
    </row>
    <row r="391" spans="1:36" x14ac:dyDescent="0.25">
      <c r="A391" t="str">
        <f>'RESUMEN TOTAL'!A493</f>
        <v>VILLA VATTEONE</v>
      </c>
      <c r="B391" t="str">
        <f>'RESUMEN TOTAL'!B493</f>
        <v>VAT01</v>
      </c>
      <c r="C391" t="str">
        <f>'RESUMEN TOTAL'!D493</f>
        <v>Montevideo y El Chañar</v>
      </c>
      <c r="D391" s="30" t="str">
        <f>'RESUMEN TOTAL'!E493</f>
        <v>Domo</v>
      </c>
      <c r="E391" s="30" t="str">
        <f>'RESUMEN TOTAL'!F493</f>
        <v>Fibra Optica</v>
      </c>
      <c r="F391" s="70">
        <f>'RESUMEN TOTAL'!M493</f>
        <v>0</v>
      </c>
      <c r="G391" s="70">
        <f>'RESUMEN TOTAL'!N493</f>
        <v>0</v>
      </c>
      <c r="H391" s="70">
        <f>'RESUMEN TOTAL'!O493</f>
        <v>0</v>
      </c>
      <c r="I391" s="70">
        <f>'RESUMEN TOTAL'!P493</f>
        <v>0</v>
      </c>
      <c r="J391" s="70">
        <f>'RESUMEN TOTAL'!Q493</f>
        <v>0</v>
      </c>
      <c r="K391" s="70">
        <f>'RESUMEN TOTAL'!R493</f>
        <v>0</v>
      </c>
      <c r="L391" s="70">
        <f>'RESUMEN TOTAL'!S493</f>
        <v>0</v>
      </c>
      <c r="M391" s="70">
        <f>'RESUMEN TOTAL'!T493</f>
        <v>0</v>
      </c>
      <c r="N391" s="70">
        <f>'RESUMEN TOTAL'!U493</f>
        <v>0</v>
      </c>
      <c r="O391" s="70">
        <f>'RESUMEN TOTAL'!V493</f>
        <v>0</v>
      </c>
      <c r="P391" s="70">
        <f>'RESUMEN TOTAL'!W493</f>
        <v>0</v>
      </c>
      <c r="Q391" s="70">
        <f>'RESUMEN TOTAL'!X493</f>
        <v>0</v>
      </c>
      <c r="R391" s="70">
        <f>'RESUMEN TOTAL'!Y493</f>
        <v>0</v>
      </c>
      <c r="S391" s="70">
        <f>'RESUMEN TOTAL'!Z493</f>
        <v>0</v>
      </c>
      <c r="T391" s="70">
        <f>'RESUMEN TOTAL'!AA493</f>
        <v>0</v>
      </c>
      <c r="U391" s="70">
        <f>'RESUMEN TOTAL'!AB493</f>
        <v>0</v>
      </c>
      <c r="V391" s="70">
        <f>'RESUMEN TOTAL'!AC493</f>
        <v>0</v>
      </c>
      <c r="W391" s="70" t="str">
        <f>'RESUMEN TOTAL'!AD493</f>
        <v>APAGADO</v>
      </c>
      <c r="X391" s="70">
        <f>'RESUMEN TOTAL'!AE493</f>
        <v>0</v>
      </c>
      <c r="Y391" s="70">
        <f>'RESUMEN TOTAL'!AF493</f>
        <v>0</v>
      </c>
      <c r="Z391" s="70">
        <f>'RESUMEN TOTAL'!AG493</f>
        <v>0</v>
      </c>
      <c r="AA391" s="70">
        <f>'RESUMEN TOTAL'!AH493</f>
        <v>0</v>
      </c>
      <c r="AB391" s="70">
        <f>'RESUMEN TOTAL'!AI493</f>
        <v>0</v>
      </c>
      <c r="AC391" s="70">
        <f>'RESUMEN TOTAL'!AJ493</f>
        <v>0</v>
      </c>
      <c r="AD391" s="70">
        <f>'RESUMEN TOTAL'!AK493</f>
        <v>0</v>
      </c>
      <c r="AE391" s="70">
        <f>'RESUMEN TOTAL'!AL493</f>
        <v>0</v>
      </c>
      <c r="AF391" s="70">
        <f>'RESUMEN TOTAL'!AM493</f>
        <v>0</v>
      </c>
      <c r="AG391" s="70">
        <f>'RESUMEN TOTAL'!AN493</f>
        <v>0</v>
      </c>
      <c r="AH391" s="70">
        <f>'RESUMEN TOTAL'!AO493</f>
        <v>0</v>
      </c>
      <c r="AI391" s="70">
        <f>'RESUMEN TOTAL'!AP493</f>
        <v>0</v>
      </c>
      <c r="AJ391" s="70">
        <f>'RESUMEN TOTAL'!AQ493</f>
        <v>0</v>
      </c>
    </row>
    <row r="392" spans="1:36" x14ac:dyDescent="0.25">
      <c r="A392" t="str">
        <f>'RESUMEN TOTAL'!A494</f>
        <v>VILLA VATTEONE CENTRO</v>
      </c>
      <c r="B392" t="str">
        <f>'RESUMEN TOTAL'!B494</f>
        <v>VAT02</v>
      </c>
      <c r="C392" t="str">
        <f>'RESUMEN TOTAL'!D494</f>
        <v>Eva Peron y 12 de Octubre</v>
      </c>
      <c r="D392" s="30" t="str">
        <f>'RESUMEN TOTAL'!E494</f>
        <v>Domo</v>
      </c>
      <c r="E392" s="30" t="str">
        <f>'RESUMEN TOTAL'!F494</f>
        <v>Fibra Optica</v>
      </c>
      <c r="F392" s="70">
        <f>'RESUMEN TOTAL'!M494</f>
        <v>0</v>
      </c>
      <c r="G392" s="70">
        <f>'RESUMEN TOTAL'!N494</f>
        <v>0</v>
      </c>
      <c r="H392" s="70">
        <f>'RESUMEN TOTAL'!O494</f>
        <v>0</v>
      </c>
      <c r="I392" s="70">
        <f>'RESUMEN TOTAL'!P494</f>
        <v>0</v>
      </c>
      <c r="J392" s="70">
        <f>'RESUMEN TOTAL'!Q494</f>
        <v>0</v>
      </c>
      <c r="K392" s="70">
        <f>'RESUMEN TOTAL'!R494</f>
        <v>0</v>
      </c>
      <c r="L392" s="70">
        <f>'RESUMEN TOTAL'!S494</f>
        <v>0</v>
      </c>
      <c r="M392" s="70">
        <f>'RESUMEN TOTAL'!T494</f>
        <v>0</v>
      </c>
      <c r="N392" s="70">
        <f>'RESUMEN TOTAL'!U494</f>
        <v>0</v>
      </c>
      <c r="O392" s="70">
        <f>'RESUMEN TOTAL'!V494</f>
        <v>0</v>
      </c>
      <c r="P392" s="70">
        <f>'RESUMEN TOTAL'!W494</f>
        <v>0</v>
      </c>
      <c r="Q392" s="70">
        <f>'RESUMEN TOTAL'!X494</f>
        <v>0</v>
      </c>
      <c r="R392" s="70">
        <f>'RESUMEN TOTAL'!Y494</f>
        <v>0</v>
      </c>
      <c r="S392" s="70">
        <f>'RESUMEN TOTAL'!Z494</f>
        <v>0</v>
      </c>
      <c r="T392" s="70">
        <f>'RESUMEN TOTAL'!AA494</f>
        <v>0</v>
      </c>
      <c r="U392" s="70">
        <f>'RESUMEN TOTAL'!AB494</f>
        <v>0</v>
      </c>
      <c r="V392" s="70">
        <f>'RESUMEN TOTAL'!AC494</f>
        <v>0</v>
      </c>
      <c r="W392" s="70">
        <f>'RESUMEN TOTAL'!AD494</f>
        <v>0</v>
      </c>
      <c r="X392" s="70">
        <f>'RESUMEN TOTAL'!AE494</f>
        <v>0</v>
      </c>
      <c r="Y392" s="70">
        <f>'RESUMEN TOTAL'!AF494</f>
        <v>0</v>
      </c>
      <c r="Z392" s="70">
        <f>'RESUMEN TOTAL'!AG494</f>
        <v>0</v>
      </c>
      <c r="AA392" s="70">
        <f>'RESUMEN TOTAL'!AH494</f>
        <v>0</v>
      </c>
      <c r="AB392" s="70">
        <f>'RESUMEN TOTAL'!AI494</f>
        <v>0</v>
      </c>
      <c r="AC392" s="70">
        <f>'RESUMEN TOTAL'!AJ494</f>
        <v>0</v>
      </c>
      <c r="AD392" s="70">
        <f>'RESUMEN TOTAL'!AK494</f>
        <v>0</v>
      </c>
      <c r="AE392" s="70">
        <f>'RESUMEN TOTAL'!AL494</f>
        <v>0</v>
      </c>
      <c r="AF392" s="70">
        <f>'RESUMEN TOTAL'!AM494</f>
        <v>0</v>
      </c>
      <c r="AG392" s="70">
        <f>'RESUMEN TOTAL'!AN494</f>
        <v>0</v>
      </c>
      <c r="AH392" s="70">
        <f>'RESUMEN TOTAL'!AO494</f>
        <v>0</v>
      </c>
      <c r="AI392" s="70">
        <f>'RESUMEN TOTAL'!AP494</f>
        <v>0</v>
      </c>
      <c r="AJ392" s="70">
        <f>'RESUMEN TOTAL'!AQ494</f>
        <v>0</v>
      </c>
    </row>
    <row r="393" spans="1:36" x14ac:dyDescent="0.25">
      <c r="A393" t="str">
        <f>'RESUMEN TOTAL'!A495</f>
        <v>VILLA VATTEONE CENTRO</v>
      </c>
      <c r="B393" t="str">
        <f>'RESUMEN TOTAL'!B495</f>
        <v>VAT03</v>
      </c>
      <c r="C393" t="str">
        <f>'RESUMEN TOTAL'!D495</f>
        <v>Lavalle y Belgrano</v>
      </c>
      <c r="D393" s="30" t="str">
        <f>'RESUMEN TOTAL'!E495</f>
        <v>Domo</v>
      </c>
      <c r="E393" s="30" t="str">
        <f>'RESUMEN TOTAL'!F495</f>
        <v>Fibra Optica</v>
      </c>
      <c r="F393" s="70">
        <f>'RESUMEN TOTAL'!M495</f>
        <v>0</v>
      </c>
      <c r="G393" s="70">
        <f>'RESUMEN TOTAL'!N495</f>
        <v>0</v>
      </c>
      <c r="H393" s="70">
        <f>'RESUMEN TOTAL'!O495</f>
        <v>0</v>
      </c>
      <c r="I393" s="70">
        <f>'RESUMEN TOTAL'!P495</f>
        <v>0</v>
      </c>
      <c r="J393" s="70">
        <f>'RESUMEN TOTAL'!Q495</f>
        <v>0</v>
      </c>
      <c r="K393" s="70">
        <f>'RESUMEN TOTAL'!R495</f>
        <v>0</v>
      </c>
      <c r="L393" s="70">
        <f>'RESUMEN TOTAL'!S495</f>
        <v>0</v>
      </c>
      <c r="M393" s="70">
        <f>'RESUMEN TOTAL'!T495</f>
        <v>0</v>
      </c>
      <c r="N393" s="70">
        <f>'RESUMEN TOTAL'!U495</f>
        <v>0</v>
      </c>
      <c r="O393" s="70">
        <f>'RESUMEN TOTAL'!V495</f>
        <v>0</v>
      </c>
      <c r="P393" s="70" t="str">
        <f>'RESUMEN TOTAL'!W495</f>
        <v>APAGADO</v>
      </c>
      <c r="Q393" s="70" t="str">
        <f>'RESUMEN TOTAL'!X495</f>
        <v>APAGADO</v>
      </c>
      <c r="R393" s="70">
        <f>'RESUMEN TOTAL'!Y495</f>
        <v>0</v>
      </c>
      <c r="S393" s="70">
        <f>'RESUMEN TOTAL'!Z495</f>
        <v>0</v>
      </c>
      <c r="T393" s="70">
        <f>'RESUMEN TOTAL'!AA495</f>
        <v>0</v>
      </c>
      <c r="U393" s="70">
        <f>'RESUMEN TOTAL'!AB495</f>
        <v>0</v>
      </c>
      <c r="V393" s="70">
        <f>'RESUMEN TOTAL'!AC495</f>
        <v>0</v>
      </c>
      <c r="W393" s="70">
        <f>'RESUMEN TOTAL'!AD495</f>
        <v>0</v>
      </c>
      <c r="X393" s="70">
        <f>'RESUMEN TOTAL'!AE495</f>
        <v>0</v>
      </c>
      <c r="Y393" s="70">
        <f>'RESUMEN TOTAL'!AF495</f>
        <v>0</v>
      </c>
      <c r="Z393" s="70">
        <f>'RESUMEN TOTAL'!AG495</f>
        <v>0</v>
      </c>
      <c r="AA393" s="70">
        <f>'RESUMEN TOTAL'!AH495</f>
        <v>0</v>
      </c>
      <c r="AB393" s="70">
        <f>'RESUMEN TOTAL'!AI495</f>
        <v>0</v>
      </c>
      <c r="AC393" s="70">
        <f>'RESUMEN TOTAL'!AJ495</f>
        <v>0</v>
      </c>
      <c r="AD393" s="70">
        <f>'RESUMEN TOTAL'!AK495</f>
        <v>0</v>
      </c>
      <c r="AE393" s="70">
        <f>'RESUMEN TOTAL'!AL495</f>
        <v>0</v>
      </c>
      <c r="AF393" s="70">
        <f>'RESUMEN TOTAL'!AM495</f>
        <v>0</v>
      </c>
      <c r="AG393" s="70">
        <f>'RESUMEN TOTAL'!AN495</f>
        <v>0</v>
      </c>
      <c r="AH393" s="70">
        <f>'RESUMEN TOTAL'!AO495</f>
        <v>0</v>
      </c>
      <c r="AI393" s="70">
        <f>'RESUMEN TOTAL'!AP495</f>
        <v>0</v>
      </c>
      <c r="AJ393" s="70">
        <f>'RESUMEN TOTAL'!AQ495</f>
        <v>0</v>
      </c>
    </row>
    <row r="394" spans="1:36" x14ac:dyDescent="0.25">
      <c r="A394" t="str">
        <f>'RESUMEN TOTAL'!A496</f>
        <v>VILLA VATTEONE CENTRO</v>
      </c>
      <c r="B394" t="str">
        <f>'RESUMEN TOTAL'!B496</f>
        <v>VAT04</v>
      </c>
      <c r="C394" t="str">
        <f>'RESUMEN TOTAL'!D496</f>
        <v>Lavalle y Entre Rios</v>
      </c>
      <c r="D394" s="30" t="str">
        <f>'RESUMEN TOTAL'!E496</f>
        <v>Domo</v>
      </c>
      <c r="E394" s="30" t="str">
        <f>'RESUMEN TOTAL'!F496</f>
        <v>Fibra Optica</v>
      </c>
      <c r="F394" s="70">
        <f>'RESUMEN TOTAL'!M496</f>
        <v>0</v>
      </c>
      <c r="G394" s="70">
        <f>'RESUMEN TOTAL'!N496</f>
        <v>0</v>
      </c>
      <c r="H394" s="70">
        <f>'RESUMEN TOTAL'!O496</f>
        <v>0</v>
      </c>
      <c r="I394" s="70">
        <f>'RESUMEN TOTAL'!P496</f>
        <v>0</v>
      </c>
      <c r="J394" s="70">
        <f>'RESUMEN TOTAL'!Q496</f>
        <v>0</v>
      </c>
      <c r="K394" s="70">
        <f>'RESUMEN TOTAL'!R496</f>
        <v>0</v>
      </c>
      <c r="L394" s="70">
        <f>'RESUMEN TOTAL'!S496</f>
        <v>0</v>
      </c>
      <c r="M394" s="70">
        <f>'RESUMEN TOTAL'!T496</f>
        <v>0</v>
      </c>
      <c r="N394" s="70">
        <f>'RESUMEN TOTAL'!U496</f>
        <v>0</v>
      </c>
      <c r="O394" s="70">
        <f>'RESUMEN TOTAL'!V496</f>
        <v>0</v>
      </c>
      <c r="P394" s="70">
        <f>'RESUMEN TOTAL'!W496</f>
        <v>0</v>
      </c>
      <c r="Q394" s="70">
        <f>'RESUMEN TOTAL'!X496</f>
        <v>0</v>
      </c>
      <c r="R394" s="70">
        <f>'RESUMEN TOTAL'!Y496</f>
        <v>0</v>
      </c>
      <c r="S394" s="70">
        <f>'RESUMEN TOTAL'!Z496</f>
        <v>0</v>
      </c>
      <c r="T394" s="70">
        <f>'RESUMEN TOTAL'!AA496</f>
        <v>0</v>
      </c>
      <c r="U394" s="70">
        <f>'RESUMEN TOTAL'!AB496</f>
        <v>0</v>
      </c>
      <c r="V394" s="70">
        <f>'RESUMEN TOTAL'!AC496</f>
        <v>0</v>
      </c>
      <c r="W394" s="70">
        <f>'RESUMEN TOTAL'!AD496</f>
        <v>0</v>
      </c>
      <c r="X394" s="70">
        <f>'RESUMEN TOTAL'!AE496</f>
        <v>0</v>
      </c>
      <c r="Y394" s="70">
        <f>'RESUMEN TOTAL'!AF496</f>
        <v>0</v>
      </c>
      <c r="Z394" s="70">
        <f>'RESUMEN TOTAL'!AG496</f>
        <v>0</v>
      </c>
      <c r="AA394" s="70">
        <f>'RESUMEN TOTAL'!AH496</f>
        <v>0</v>
      </c>
      <c r="AB394" s="70">
        <f>'RESUMEN TOTAL'!AI496</f>
        <v>0</v>
      </c>
      <c r="AC394" s="70">
        <f>'RESUMEN TOTAL'!AJ496</f>
        <v>0</v>
      </c>
      <c r="AD394" s="70">
        <f>'RESUMEN TOTAL'!AK496</f>
        <v>0</v>
      </c>
      <c r="AE394" s="70">
        <f>'RESUMEN TOTAL'!AL496</f>
        <v>0</v>
      </c>
      <c r="AF394" s="70">
        <f>'RESUMEN TOTAL'!AM496</f>
        <v>0</v>
      </c>
      <c r="AG394" s="70">
        <f>'RESUMEN TOTAL'!AN496</f>
        <v>0</v>
      </c>
      <c r="AH394" s="70">
        <f>'RESUMEN TOTAL'!AO496</f>
        <v>0</v>
      </c>
      <c r="AI394" s="70">
        <f>'RESUMEN TOTAL'!AP496</f>
        <v>0</v>
      </c>
      <c r="AJ394" s="70">
        <f>'RESUMEN TOTAL'!AQ496</f>
        <v>0</v>
      </c>
    </row>
    <row r="395" spans="1:36" x14ac:dyDescent="0.25">
      <c r="A395" t="str">
        <f>'RESUMEN TOTAL'!A497</f>
        <v>VILLA VATTEONE CENTRO</v>
      </c>
      <c r="B395" t="str">
        <f>'RESUMEN TOTAL'!B497</f>
        <v>VAT05</v>
      </c>
      <c r="C395" t="str">
        <f>'RESUMEN TOTAL'!D497</f>
        <v>Lavalle y Colombia</v>
      </c>
      <c r="D395" s="30" t="str">
        <f>'RESUMEN TOTAL'!E497</f>
        <v>Domo</v>
      </c>
      <c r="E395" s="30" t="str">
        <f>'RESUMEN TOTAL'!F497</f>
        <v>GPON</v>
      </c>
      <c r="F395" s="70">
        <f>'RESUMEN TOTAL'!M497</f>
        <v>0</v>
      </c>
      <c r="G395" s="70">
        <f>'RESUMEN TOTAL'!N497</f>
        <v>0</v>
      </c>
      <c r="H395" s="70">
        <f>'RESUMEN TOTAL'!O497</f>
        <v>0</v>
      </c>
      <c r="I395" s="70">
        <f>'RESUMEN TOTAL'!P497</f>
        <v>0</v>
      </c>
      <c r="J395" s="70">
        <f>'RESUMEN TOTAL'!Q497</f>
        <v>0</v>
      </c>
      <c r="K395" s="70">
        <f>'RESUMEN TOTAL'!R497</f>
        <v>0</v>
      </c>
      <c r="L395" s="70">
        <f>'RESUMEN TOTAL'!S497</f>
        <v>0</v>
      </c>
      <c r="M395" s="70">
        <f>'RESUMEN TOTAL'!T497</f>
        <v>0</v>
      </c>
      <c r="N395" s="70">
        <f>'RESUMEN TOTAL'!U497</f>
        <v>0</v>
      </c>
      <c r="O395" s="70">
        <f>'RESUMEN TOTAL'!V497</f>
        <v>0</v>
      </c>
      <c r="P395" s="70">
        <f>'RESUMEN TOTAL'!W497</f>
        <v>0</v>
      </c>
      <c r="Q395" s="70">
        <f>'RESUMEN TOTAL'!X497</f>
        <v>0</v>
      </c>
      <c r="R395" s="70">
        <f>'RESUMEN TOTAL'!Y497</f>
        <v>0</v>
      </c>
      <c r="S395" s="70">
        <f>'RESUMEN TOTAL'!Z497</f>
        <v>0</v>
      </c>
      <c r="T395" s="70">
        <f>'RESUMEN TOTAL'!AA497</f>
        <v>0</v>
      </c>
      <c r="U395" s="70">
        <f>'RESUMEN TOTAL'!AB497</f>
        <v>0</v>
      </c>
      <c r="V395" s="70">
        <f>'RESUMEN TOTAL'!AC497</f>
        <v>0</v>
      </c>
      <c r="W395" s="70">
        <f>'RESUMEN TOTAL'!AD497</f>
        <v>0</v>
      </c>
      <c r="X395" s="70">
        <f>'RESUMEN TOTAL'!AE497</f>
        <v>0</v>
      </c>
      <c r="Y395" s="70">
        <f>'RESUMEN TOTAL'!AF497</f>
        <v>0</v>
      </c>
      <c r="Z395" s="70">
        <f>'RESUMEN TOTAL'!AG497</f>
        <v>0</v>
      </c>
      <c r="AA395" s="70">
        <f>'RESUMEN TOTAL'!AH497</f>
        <v>0</v>
      </c>
      <c r="AB395" s="70">
        <f>'RESUMEN TOTAL'!AI497</f>
        <v>0</v>
      </c>
      <c r="AC395" s="70">
        <f>'RESUMEN TOTAL'!AJ497</f>
        <v>0</v>
      </c>
      <c r="AD395" s="70">
        <f>'RESUMEN TOTAL'!AK497</f>
        <v>0</v>
      </c>
      <c r="AE395" s="70">
        <f>'RESUMEN TOTAL'!AL497</f>
        <v>0</v>
      </c>
      <c r="AF395" s="70">
        <f>'RESUMEN TOTAL'!AM497</f>
        <v>0</v>
      </c>
      <c r="AG395" s="70">
        <f>'RESUMEN TOTAL'!AN497</f>
        <v>0</v>
      </c>
      <c r="AH395" s="70">
        <f>'RESUMEN TOTAL'!AO497</f>
        <v>0</v>
      </c>
      <c r="AI395" s="70">
        <f>'RESUMEN TOTAL'!AP497</f>
        <v>0</v>
      </c>
      <c r="AJ395" s="70">
        <f>'RESUMEN TOTAL'!AQ497</f>
        <v>0</v>
      </c>
    </row>
    <row r="396" spans="1:36" x14ac:dyDescent="0.25">
      <c r="A396" t="str">
        <f>'RESUMEN TOTAL'!A498</f>
        <v>VILLA VATTEONE CENTRO</v>
      </c>
      <c r="B396" t="str">
        <f>'RESUMEN TOTAL'!B498</f>
        <v>VAT06</v>
      </c>
      <c r="C396" t="str">
        <f>'RESUMEN TOTAL'!D498</f>
        <v>Eva Peron y Pueyrredon</v>
      </c>
      <c r="D396" s="30" t="str">
        <f>'RESUMEN TOTAL'!E498</f>
        <v>Domo</v>
      </c>
      <c r="E396" s="30" t="str">
        <f>'RESUMEN TOTAL'!F498</f>
        <v>Fibra Optica</v>
      </c>
      <c r="F396" s="70">
        <f>'RESUMEN TOTAL'!M498</f>
        <v>0</v>
      </c>
      <c r="G396" s="70">
        <f>'RESUMEN TOTAL'!N498</f>
        <v>0</v>
      </c>
      <c r="H396" s="70">
        <f>'RESUMEN TOTAL'!O498</f>
        <v>0</v>
      </c>
      <c r="I396" s="70">
        <f>'RESUMEN TOTAL'!P498</f>
        <v>0</v>
      </c>
      <c r="J396" s="70">
        <f>'RESUMEN TOTAL'!Q498</f>
        <v>0</v>
      </c>
      <c r="K396" s="70">
        <f>'RESUMEN TOTAL'!R498</f>
        <v>0</v>
      </c>
      <c r="L396" s="70">
        <f>'RESUMEN TOTAL'!S498</f>
        <v>0</v>
      </c>
      <c r="M396" s="70">
        <f>'RESUMEN TOTAL'!T498</f>
        <v>0</v>
      </c>
      <c r="N396" s="70">
        <f>'RESUMEN TOTAL'!U498</f>
        <v>0</v>
      </c>
      <c r="O396" s="70">
        <f>'RESUMEN TOTAL'!V498</f>
        <v>0</v>
      </c>
      <c r="P396" s="70">
        <f>'RESUMEN TOTAL'!W498</f>
        <v>0</v>
      </c>
      <c r="Q396" s="70">
        <f>'RESUMEN TOTAL'!X498</f>
        <v>0</v>
      </c>
      <c r="R396" s="70">
        <f>'RESUMEN TOTAL'!Y498</f>
        <v>0</v>
      </c>
      <c r="S396" s="70">
        <f>'RESUMEN TOTAL'!Z498</f>
        <v>0</v>
      </c>
      <c r="T396" s="70">
        <f>'RESUMEN TOTAL'!AA498</f>
        <v>0</v>
      </c>
      <c r="U396" s="70">
        <f>'RESUMEN TOTAL'!AB498</f>
        <v>0</v>
      </c>
      <c r="V396" s="70">
        <f>'RESUMEN TOTAL'!AC498</f>
        <v>0</v>
      </c>
      <c r="W396" s="70">
        <f>'RESUMEN TOTAL'!AD498</f>
        <v>0</v>
      </c>
      <c r="X396" s="70">
        <f>'RESUMEN TOTAL'!AE498</f>
        <v>0</v>
      </c>
      <c r="Y396" s="70">
        <f>'RESUMEN TOTAL'!AF498</f>
        <v>0</v>
      </c>
      <c r="Z396" s="70">
        <f>'RESUMEN TOTAL'!AG498</f>
        <v>0</v>
      </c>
      <c r="AA396" s="70">
        <f>'RESUMEN TOTAL'!AH498</f>
        <v>0</v>
      </c>
      <c r="AB396" s="70">
        <f>'RESUMEN TOTAL'!AI498</f>
        <v>0</v>
      </c>
      <c r="AC396" s="70">
        <f>'RESUMEN TOTAL'!AJ498</f>
        <v>0</v>
      </c>
      <c r="AD396" s="70">
        <f>'RESUMEN TOTAL'!AK498</f>
        <v>0</v>
      </c>
      <c r="AE396" s="70">
        <f>'RESUMEN TOTAL'!AL498</f>
        <v>0</v>
      </c>
      <c r="AF396" s="70">
        <f>'RESUMEN TOTAL'!AM498</f>
        <v>0</v>
      </c>
      <c r="AG396" s="70">
        <f>'RESUMEN TOTAL'!AN498</f>
        <v>0</v>
      </c>
      <c r="AH396" s="70">
        <f>'RESUMEN TOTAL'!AO498</f>
        <v>0</v>
      </c>
      <c r="AI396" s="70">
        <f>'RESUMEN TOTAL'!AP498</f>
        <v>0</v>
      </c>
      <c r="AJ396" s="70">
        <f>'RESUMEN TOTAL'!AQ498</f>
        <v>0</v>
      </c>
    </row>
    <row r="397" spans="1:36" x14ac:dyDescent="0.25">
      <c r="A397" t="str">
        <f>'RESUMEN TOTAL'!A499</f>
        <v>VILLA VATTEONE CENTRO</v>
      </c>
      <c r="B397" t="str">
        <f>'RESUMEN TOTAL'!B499</f>
        <v>VAT07</v>
      </c>
      <c r="C397" t="str">
        <f>'RESUMEN TOTAL'!D499</f>
        <v>Eva Peron y Lavalle</v>
      </c>
      <c r="D397" s="30" t="str">
        <f>'RESUMEN TOTAL'!E499</f>
        <v>Domo</v>
      </c>
      <c r="E397" s="30" t="str">
        <f>'RESUMEN TOTAL'!F499</f>
        <v>Fibra Optica</v>
      </c>
      <c r="F397" s="70">
        <f>'RESUMEN TOTAL'!M499</f>
        <v>0</v>
      </c>
      <c r="G397" s="70">
        <f>'RESUMEN TOTAL'!N499</f>
        <v>0</v>
      </c>
      <c r="H397" s="70">
        <f>'RESUMEN TOTAL'!O499</f>
        <v>0</v>
      </c>
      <c r="I397" s="70">
        <f>'RESUMEN TOTAL'!P499</f>
        <v>0</v>
      </c>
      <c r="J397" s="70">
        <f>'RESUMEN TOTAL'!Q499</f>
        <v>0</v>
      </c>
      <c r="K397" s="70">
        <f>'RESUMEN TOTAL'!R499</f>
        <v>0</v>
      </c>
      <c r="L397" s="70">
        <f>'RESUMEN TOTAL'!S499</f>
        <v>0</v>
      </c>
      <c r="M397" s="70">
        <f>'RESUMEN TOTAL'!T499</f>
        <v>0</v>
      </c>
      <c r="N397" s="70">
        <f>'RESUMEN TOTAL'!U499</f>
        <v>0</v>
      </c>
      <c r="O397" s="70">
        <f>'RESUMEN TOTAL'!V499</f>
        <v>0</v>
      </c>
      <c r="P397" s="70">
        <f>'RESUMEN TOTAL'!W499</f>
        <v>0</v>
      </c>
      <c r="Q397" s="70">
        <f>'RESUMEN TOTAL'!X499</f>
        <v>0</v>
      </c>
      <c r="R397" s="70">
        <f>'RESUMEN TOTAL'!Y499</f>
        <v>0</v>
      </c>
      <c r="S397" s="70">
        <f>'RESUMEN TOTAL'!Z499</f>
        <v>0</v>
      </c>
      <c r="T397" s="70">
        <f>'RESUMEN TOTAL'!AA499</f>
        <v>0</v>
      </c>
      <c r="U397" s="70">
        <f>'RESUMEN TOTAL'!AB499</f>
        <v>0</v>
      </c>
      <c r="V397" s="70">
        <f>'RESUMEN TOTAL'!AC499</f>
        <v>0</v>
      </c>
      <c r="W397" s="70">
        <f>'RESUMEN TOTAL'!AD499</f>
        <v>0</v>
      </c>
      <c r="X397" s="70">
        <f>'RESUMEN TOTAL'!AE499</f>
        <v>0</v>
      </c>
      <c r="Y397" s="70">
        <f>'RESUMEN TOTAL'!AF499</f>
        <v>0</v>
      </c>
      <c r="Z397" s="70">
        <f>'RESUMEN TOTAL'!AG499</f>
        <v>0</v>
      </c>
      <c r="AA397" s="70">
        <f>'RESUMEN TOTAL'!AH499</f>
        <v>0</v>
      </c>
      <c r="AB397" s="70">
        <f>'RESUMEN TOTAL'!AI499</f>
        <v>0</v>
      </c>
      <c r="AC397" s="70">
        <f>'RESUMEN TOTAL'!AJ499</f>
        <v>0</v>
      </c>
      <c r="AD397" s="70">
        <f>'RESUMEN TOTAL'!AK499</f>
        <v>0</v>
      </c>
      <c r="AE397" s="70">
        <f>'RESUMEN TOTAL'!AL499</f>
        <v>0</v>
      </c>
      <c r="AF397" s="70">
        <f>'RESUMEN TOTAL'!AM499</f>
        <v>0</v>
      </c>
      <c r="AG397" s="70">
        <f>'RESUMEN TOTAL'!AN499</f>
        <v>0</v>
      </c>
      <c r="AH397" s="70">
        <f>'RESUMEN TOTAL'!AO499</f>
        <v>0</v>
      </c>
      <c r="AI397" s="70">
        <f>'RESUMEN TOTAL'!AP499</f>
        <v>0</v>
      </c>
      <c r="AJ397" s="70">
        <f>'RESUMEN TOTAL'!AQ499</f>
        <v>0</v>
      </c>
    </row>
    <row r="398" spans="1:36" x14ac:dyDescent="0.25">
      <c r="A398" t="str">
        <f>'RESUMEN TOTAL'!A500</f>
        <v>VILLA VATTEONE</v>
      </c>
      <c r="B398" t="str">
        <f>'RESUMEN TOTAL'!B500</f>
        <v>VAT08</v>
      </c>
      <c r="C398" t="str">
        <f>'RESUMEN TOTAL'!D500</f>
        <v>12 de Octubre y Florida</v>
      </c>
      <c r="D398" s="30" t="str">
        <f>'RESUMEN TOTAL'!E500</f>
        <v>Domo</v>
      </c>
      <c r="E398" s="30" t="str">
        <f>'RESUMEN TOTAL'!F500</f>
        <v>GPON</v>
      </c>
      <c r="F398" s="70">
        <f>'RESUMEN TOTAL'!M500</f>
        <v>0</v>
      </c>
      <c r="G398" s="70">
        <f>'RESUMEN TOTAL'!N500</f>
        <v>0</v>
      </c>
      <c r="H398" s="70">
        <f>'RESUMEN TOTAL'!O500</f>
        <v>0</v>
      </c>
      <c r="I398" s="70">
        <f>'RESUMEN TOTAL'!P500</f>
        <v>0</v>
      </c>
      <c r="J398" s="70">
        <f>'RESUMEN TOTAL'!Q500</f>
        <v>0</v>
      </c>
      <c r="K398" s="70">
        <f>'RESUMEN TOTAL'!R500</f>
        <v>0</v>
      </c>
      <c r="L398" s="70">
        <f>'RESUMEN TOTAL'!S500</f>
        <v>0</v>
      </c>
      <c r="M398" s="70">
        <f>'RESUMEN TOTAL'!T500</f>
        <v>0</v>
      </c>
      <c r="N398" s="70">
        <f>'RESUMEN TOTAL'!U500</f>
        <v>0</v>
      </c>
      <c r="O398" s="70">
        <f>'RESUMEN TOTAL'!V500</f>
        <v>0</v>
      </c>
      <c r="P398" s="70">
        <f>'RESUMEN TOTAL'!W500</f>
        <v>0</v>
      </c>
      <c r="Q398" s="70">
        <f>'RESUMEN TOTAL'!X500</f>
        <v>0</v>
      </c>
      <c r="R398" s="70">
        <f>'RESUMEN TOTAL'!Y500</f>
        <v>0</v>
      </c>
      <c r="S398" s="70">
        <f>'RESUMEN TOTAL'!Z500</f>
        <v>0</v>
      </c>
      <c r="T398" s="70">
        <f>'RESUMEN TOTAL'!AA500</f>
        <v>0</v>
      </c>
      <c r="U398" s="70">
        <f>'RESUMEN TOTAL'!AB500</f>
        <v>0</v>
      </c>
      <c r="V398" s="70">
        <f>'RESUMEN TOTAL'!AC500</f>
        <v>0</v>
      </c>
      <c r="W398" s="70">
        <f>'RESUMEN TOTAL'!AD500</f>
        <v>0</v>
      </c>
      <c r="X398" s="70">
        <f>'RESUMEN TOTAL'!AE500</f>
        <v>0</v>
      </c>
      <c r="Y398" s="70">
        <f>'RESUMEN TOTAL'!AF500</f>
        <v>0</v>
      </c>
      <c r="Z398" s="70">
        <f>'RESUMEN TOTAL'!AG500</f>
        <v>0</v>
      </c>
      <c r="AA398" s="70">
        <f>'RESUMEN TOTAL'!AH500</f>
        <v>0</v>
      </c>
      <c r="AB398" s="70">
        <f>'RESUMEN TOTAL'!AI500</f>
        <v>0</v>
      </c>
      <c r="AC398" s="70">
        <f>'RESUMEN TOTAL'!AJ500</f>
        <v>0</v>
      </c>
      <c r="AD398" s="70">
        <f>'RESUMEN TOTAL'!AK500</f>
        <v>0</v>
      </c>
      <c r="AE398" s="70">
        <f>'RESUMEN TOTAL'!AL500</f>
        <v>0</v>
      </c>
      <c r="AF398" s="70">
        <f>'RESUMEN TOTAL'!AM500</f>
        <v>0</v>
      </c>
      <c r="AG398" s="70">
        <f>'RESUMEN TOTAL'!AN500</f>
        <v>0</v>
      </c>
      <c r="AH398" s="70">
        <f>'RESUMEN TOTAL'!AO500</f>
        <v>0</v>
      </c>
      <c r="AI398" s="70">
        <f>'RESUMEN TOTAL'!AP500</f>
        <v>0</v>
      </c>
      <c r="AJ398" s="70">
        <f>'RESUMEN TOTAL'!AQ500</f>
        <v>0</v>
      </c>
    </row>
    <row r="399" spans="1:36" x14ac:dyDescent="0.25">
      <c r="A399" t="str">
        <f>'RESUMEN TOTAL'!A501</f>
        <v>VILLA VATTEONE</v>
      </c>
      <c r="B399" t="str">
        <f>'RESUMEN TOTAL'!B501</f>
        <v>VAT09</v>
      </c>
      <c r="C399" t="str">
        <f>'RESUMEN TOTAL'!D501</f>
        <v>Montevideo y Alsina</v>
      </c>
      <c r="D399" s="30" t="str">
        <f>'RESUMEN TOTAL'!E501</f>
        <v>Domo</v>
      </c>
      <c r="E399" s="30" t="str">
        <f>'RESUMEN TOTAL'!F501</f>
        <v>Fibra Optica</v>
      </c>
      <c r="F399" s="70">
        <f>'RESUMEN TOTAL'!M501</f>
        <v>0</v>
      </c>
      <c r="G399" s="70">
        <f>'RESUMEN TOTAL'!N501</f>
        <v>0</v>
      </c>
      <c r="H399" s="70">
        <f>'RESUMEN TOTAL'!O501</f>
        <v>0</v>
      </c>
      <c r="I399" s="70">
        <f>'RESUMEN TOTAL'!P501</f>
        <v>0</v>
      </c>
      <c r="J399" s="70">
        <f>'RESUMEN TOTAL'!Q501</f>
        <v>0</v>
      </c>
      <c r="K399" s="70">
        <f>'RESUMEN TOTAL'!R501</f>
        <v>0</v>
      </c>
      <c r="L399" s="70">
        <f>'RESUMEN TOTAL'!S501</f>
        <v>0</v>
      </c>
      <c r="M399" s="70">
        <f>'RESUMEN TOTAL'!T501</f>
        <v>0</v>
      </c>
      <c r="N399" s="70">
        <f>'RESUMEN TOTAL'!U501</f>
        <v>0</v>
      </c>
      <c r="O399" s="70">
        <f>'RESUMEN TOTAL'!V501</f>
        <v>0</v>
      </c>
      <c r="P399" s="70">
        <f>'RESUMEN TOTAL'!W501</f>
        <v>0</v>
      </c>
      <c r="Q399" s="70">
        <f>'RESUMEN TOTAL'!X501</f>
        <v>0</v>
      </c>
      <c r="R399" s="70">
        <f>'RESUMEN TOTAL'!Y501</f>
        <v>0</v>
      </c>
      <c r="S399" s="70">
        <f>'RESUMEN TOTAL'!Z501</f>
        <v>0</v>
      </c>
      <c r="T399" s="70">
        <f>'RESUMEN TOTAL'!AA501</f>
        <v>0</v>
      </c>
      <c r="U399" s="70">
        <f>'RESUMEN TOTAL'!AB501</f>
        <v>0</v>
      </c>
      <c r="V399" s="70">
        <f>'RESUMEN TOTAL'!AC501</f>
        <v>0</v>
      </c>
      <c r="W399" s="70">
        <f>'RESUMEN TOTAL'!AD501</f>
        <v>0</v>
      </c>
      <c r="X399" s="70">
        <f>'RESUMEN TOTAL'!AE501</f>
        <v>0</v>
      </c>
      <c r="Y399" s="70">
        <f>'RESUMEN TOTAL'!AF501</f>
        <v>0</v>
      </c>
      <c r="Z399" s="70">
        <f>'RESUMEN TOTAL'!AG501</f>
        <v>0</v>
      </c>
      <c r="AA399" s="70">
        <f>'RESUMEN TOTAL'!AH501</f>
        <v>0</v>
      </c>
      <c r="AB399" s="70">
        <f>'RESUMEN TOTAL'!AI501</f>
        <v>0</v>
      </c>
      <c r="AC399" s="70">
        <f>'RESUMEN TOTAL'!AJ501</f>
        <v>0</v>
      </c>
      <c r="AD399" s="70">
        <f>'RESUMEN TOTAL'!AK501</f>
        <v>0</v>
      </c>
      <c r="AE399" s="70">
        <f>'RESUMEN TOTAL'!AL501</f>
        <v>0</v>
      </c>
      <c r="AF399" s="70">
        <f>'RESUMEN TOTAL'!AM501</f>
        <v>0</v>
      </c>
      <c r="AG399" s="70">
        <f>'RESUMEN TOTAL'!AN501</f>
        <v>0</v>
      </c>
      <c r="AH399" s="70">
        <f>'RESUMEN TOTAL'!AO501</f>
        <v>0</v>
      </c>
      <c r="AI399" s="70">
        <f>'RESUMEN TOTAL'!AP501</f>
        <v>0</v>
      </c>
      <c r="AJ399" s="70">
        <f>'RESUMEN TOTAL'!AQ501</f>
        <v>0</v>
      </c>
    </row>
    <row r="400" spans="1:36" x14ac:dyDescent="0.25">
      <c r="A400" t="str">
        <f>'RESUMEN TOTAL'!A502</f>
        <v>VILLA VATTEONE CENTRO</v>
      </c>
      <c r="B400" t="str">
        <f>'RESUMEN TOTAL'!B502</f>
        <v>VAT 10</v>
      </c>
      <c r="C400" t="str">
        <f>'RESUMEN TOTAL'!D502</f>
        <v>Belgrano y Quintana</v>
      </c>
      <c r="D400" s="30" t="str">
        <f>'RESUMEN TOTAL'!E502</f>
        <v>Domo</v>
      </c>
      <c r="E400" s="30" t="str">
        <f>'RESUMEN TOTAL'!F502</f>
        <v>Fibra Optica</v>
      </c>
      <c r="F400" s="70">
        <f>'RESUMEN TOTAL'!M502</f>
        <v>0</v>
      </c>
      <c r="G400" s="70">
        <f>'RESUMEN TOTAL'!N502</f>
        <v>0</v>
      </c>
      <c r="H400" s="70">
        <f>'RESUMEN TOTAL'!O502</f>
        <v>0</v>
      </c>
      <c r="I400" s="70">
        <f>'RESUMEN TOTAL'!P502</f>
        <v>0</v>
      </c>
      <c r="J400" s="70">
        <f>'RESUMEN TOTAL'!Q502</f>
        <v>0</v>
      </c>
      <c r="K400" s="70">
        <f>'RESUMEN TOTAL'!R502</f>
        <v>0</v>
      </c>
      <c r="L400" s="70">
        <f>'RESUMEN TOTAL'!S502</f>
        <v>0</v>
      </c>
      <c r="M400" s="70">
        <f>'RESUMEN TOTAL'!T502</f>
        <v>0</v>
      </c>
      <c r="N400" s="70">
        <f>'RESUMEN TOTAL'!U502</f>
        <v>0</v>
      </c>
      <c r="O400" s="70">
        <f>'RESUMEN TOTAL'!V502</f>
        <v>0</v>
      </c>
      <c r="P400" s="70" t="str">
        <f>'RESUMEN TOTAL'!W502</f>
        <v>APAGADO</v>
      </c>
      <c r="Q400" s="70" t="str">
        <f>'RESUMEN TOTAL'!X502</f>
        <v>APAGADO</v>
      </c>
      <c r="R400" s="70">
        <f>'RESUMEN TOTAL'!Y502</f>
        <v>0</v>
      </c>
      <c r="S400" s="70">
        <f>'RESUMEN TOTAL'!Z502</f>
        <v>0</v>
      </c>
      <c r="T400" s="70">
        <f>'RESUMEN TOTAL'!AA502</f>
        <v>0</v>
      </c>
      <c r="U400" s="70">
        <f>'RESUMEN TOTAL'!AB502</f>
        <v>0</v>
      </c>
      <c r="V400" s="70">
        <f>'RESUMEN TOTAL'!AC502</f>
        <v>0</v>
      </c>
      <c r="W400" s="70">
        <f>'RESUMEN TOTAL'!AD502</f>
        <v>0</v>
      </c>
      <c r="X400" s="70">
        <f>'RESUMEN TOTAL'!AE502</f>
        <v>0</v>
      </c>
      <c r="Y400" s="70">
        <f>'RESUMEN TOTAL'!AF502</f>
        <v>0</v>
      </c>
      <c r="Z400" s="70">
        <f>'RESUMEN TOTAL'!AG502</f>
        <v>0</v>
      </c>
      <c r="AA400" s="70">
        <f>'RESUMEN TOTAL'!AH502</f>
        <v>0</v>
      </c>
      <c r="AB400" s="70">
        <f>'RESUMEN TOTAL'!AI502</f>
        <v>0</v>
      </c>
      <c r="AC400" s="70">
        <f>'RESUMEN TOTAL'!AJ502</f>
        <v>0</v>
      </c>
      <c r="AD400" s="70">
        <f>'RESUMEN TOTAL'!AK502</f>
        <v>0</v>
      </c>
      <c r="AE400" s="70">
        <f>'RESUMEN TOTAL'!AL502</f>
        <v>0</v>
      </c>
      <c r="AF400" s="70">
        <f>'RESUMEN TOTAL'!AM502</f>
        <v>0</v>
      </c>
      <c r="AG400" s="70">
        <f>'RESUMEN TOTAL'!AN502</f>
        <v>0</v>
      </c>
      <c r="AH400" s="70">
        <f>'RESUMEN TOTAL'!AO502</f>
        <v>0</v>
      </c>
      <c r="AI400" s="70">
        <f>'RESUMEN TOTAL'!AP502</f>
        <v>0</v>
      </c>
      <c r="AJ400" s="70">
        <f>'RESUMEN TOTAL'!AQ502</f>
        <v>0</v>
      </c>
    </row>
    <row r="401" spans="1:36" x14ac:dyDescent="0.25">
      <c r="A401" t="str">
        <f>'RESUMEN TOTAL'!A503</f>
        <v>VILLA VATTEONE</v>
      </c>
      <c r="B401" t="str">
        <f>'RESUMEN TOTAL'!B503</f>
        <v>VAT11</v>
      </c>
      <c r="C401" t="str">
        <f>'RESUMEN TOTAL'!D503</f>
        <v>Mainini y Montevideo</v>
      </c>
      <c r="D401" s="30" t="str">
        <f>'RESUMEN TOTAL'!E503</f>
        <v>Domo</v>
      </c>
      <c r="E401" s="30" t="str">
        <f>'RESUMEN TOTAL'!F503</f>
        <v>GPON</v>
      </c>
      <c r="F401" s="70">
        <f>'RESUMEN TOTAL'!M503</f>
        <v>0</v>
      </c>
      <c r="G401" s="70">
        <f>'RESUMEN TOTAL'!N503</f>
        <v>0</v>
      </c>
      <c r="H401" s="70">
        <f>'RESUMEN TOTAL'!O503</f>
        <v>0</v>
      </c>
      <c r="I401" s="70">
        <f>'RESUMEN TOTAL'!P503</f>
        <v>0</v>
      </c>
      <c r="J401" s="70">
        <f>'RESUMEN TOTAL'!Q503</f>
        <v>0</v>
      </c>
      <c r="K401" s="70">
        <f>'RESUMEN TOTAL'!R503</f>
        <v>0</v>
      </c>
      <c r="L401" s="70">
        <f>'RESUMEN TOTAL'!S503</f>
        <v>0</v>
      </c>
      <c r="M401" s="70">
        <f>'RESUMEN TOTAL'!T503</f>
        <v>0</v>
      </c>
      <c r="N401" s="70">
        <f>'RESUMEN TOTAL'!U503</f>
        <v>0</v>
      </c>
      <c r="O401" s="70">
        <f>'RESUMEN TOTAL'!V503</f>
        <v>0</v>
      </c>
      <c r="P401" s="70">
        <f>'RESUMEN TOTAL'!W503</f>
        <v>0</v>
      </c>
      <c r="Q401" s="70">
        <f>'RESUMEN TOTAL'!X503</f>
        <v>0</v>
      </c>
      <c r="R401" s="70">
        <f>'RESUMEN TOTAL'!Y503</f>
        <v>0</v>
      </c>
      <c r="S401" s="70">
        <f>'RESUMEN TOTAL'!Z503</f>
        <v>0</v>
      </c>
      <c r="T401" s="70">
        <f>'RESUMEN TOTAL'!AA503</f>
        <v>0</v>
      </c>
      <c r="U401" s="70">
        <f>'RESUMEN TOTAL'!AB503</f>
        <v>0</v>
      </c>
      <c r="V401" s="70">
        <f>'RESUMEN TOTAL'!AC503</f>
        <v>0</v>
      </c>
      <c r="W401" s="70">
        <f>'RESUMEN TOTAL'!AD503</f>
        <v>0</v>
      </c>
      <c r="X401" s="70">
        <f>'RESUMEN TOTAL'!AE503</f>
        <v>0</v>
      </c>
      <c r="Y401" s="70">
        <f>'RESUMEN TOTAL'!AF503</f>
        <v>0</v>
      </c>
      <c r="Z401" s="70">
        <f>'RESUMEN TOTAL'!AG503</f>
        <v>0</v>
      </c>
      <c r="AA401" s="70">
        <f>'RESUMEN TOTAL'!AH503</f>
        <v>0</v>
      </c>
      <c r="AB401" s="70">
        <f>'RESUMEN TOTAL'!AI503</f>
        <v>0</v>
      </c>
      <c r="AC401" s="70">
        <f>'RESUMEN TOTAL'!AJ503</f>
        <v>0</v>
      </c>
      <c r="AD401" s="70">
        <f>'RESUMEN TOTAL'!AK503</f>
        <v>0</v>
      </c>
      <c r="AE401" s="70">
        <f>'RESUMEN TOTAL'!AL503</f>
        <v>0</v>
      </c>
      <c r="AF401" s="70">
        <f>'RESUMEN TOTAL'!AM503</f>
        <v>0</v>
      </c>
      <c r="AG401" s="70">
        <f>'RESUMEN TOTAL'!AN503</f>
        <v>0</v>
      </c>
      <c r="AH401" s="70">
        <f>'RESUMEN TOTAL'!AO503</f>
        <v>0</v>
      </c>
      <c r="AI401" s="70">
        <f>'RESUMEN TOTAL'!AP503</f>
        <v>0</v>
      </c>
      <c r="AJ401" s="70">
        <f>'RESUMEN TOTAL'!AQ503</f>
        <v>0</v>
      </c>
    </row>
    <row r="402" spans="1:36" x14ac:dyDescent="0.25">
      <c r="A402" t="str">
        <f>'RESUMEN TOTAL'!A504</f>
        <v>VILLA VATTEONE</v>
      </c>
      <c r="B402" t="str">
        <f>'RESUMEN TOTAL'!B504</f>
        <v>VAT12</v>
      </c>
      <c r="C402" t="str">
        <f>'RESUMEN TOTAL'!D504</f>
        <v>12 DE OCTUBRE Y CHACO</v>
      </c>
      <c r="D402" s="30" t="str">
        <f>'RESUMEN TOTAL'!E504</f>
        <v>DOMO</v>
      </c>
      <c r="E402" s="30" t="str">
        <f>'RESUMEN TOTAL'!F504</f>
        <v>PTO A FO</v>
      </c>
      <c r="F402" s="70" t="str">
        <f>'RESUMEN TOTAL'!M504</f>
        <v>APAGADO</v>
      </c>
      <c r="G402" s="70" t="str">
        <f>'RESUMEN TOTAL'!N504</f>
        <v>APAGADO</v>
      </c>
      <c r="H402" s="70" t="str">
        <f>'RESUMEN TOTAL'!O504</f>
        <v>APAGADO</v>
      </c>
      <c r="I402" s="70" t="str">
        <f>'RESUMEN TOTAL'!P504</f>
        <v>APAGADO</v>
      </c>
      <c r="J402" s="70" t="str">
        <f>'RESUMEN TOTAL'!Q504</f>
        <v>APAGADO</v>
      </c>
      <c r="K402" s="70" t="str">
        <f>'RESUMEN TOTAL'!R504</f>
        <v>APAGADO</v>
      </c>
      <c r="L402" s="70" t="str">
        <f>'RESUMEN TOTAL'!S504</f>
        <v>APAGADO</v>
      </c>
      <c r="M402" s="70" t="str">
        <f>'RESUMEN TOTAL'!T504</f>
        <v>APAGADO</v>
      </c>
      <c r="N402" s="70" t="str">
        <f>'RESUMEN TOTAL'!U504</f>
        <v>APAGADO</v>
      </c>
      <c r="O402" s="70" t="str">
        <f>'RESUMEN TOTAL'!V504</f>
        <v>APAGADO</v>
      </c>
      <c r="P402" s="70">
        <f>'RESUMEN TOTAL'!W504</f>
        <v>0</v>
      </c>
      <c r="Q402" s="70">
        <f>'RESUMEN TOTAL'!X504</f>
        <v>0</v>
      </c>
      <c r="R402" s="70">
        <f>'RESUMEN TOTAL'!Y504</f>
        <v>0</v>
      </c>
      <c r="S402" s="70">
        <f>'RESUMEN TOTAL'!Z504</f>
        <v>0</v>
      </c>
      <c r="T402" s="70">
        <f>'RESUMEN TOTAL'!AA504</f>
        <v>0</v>
      </c>
      <c r="U402" s="70">
        <f>'RESUMEN TOTAL'!AB504</f>
        <v>0</v>
      </c>
      <c r="V402" s="70">
        <f>'RESUMEN TOTAL'!AC504</f>
        <v>0</v>
      </c>
      <c r="W402" s="70">
        <f>'RESUMEN TOTAL'!AD504</f>
        <v>0</v>
      </c>
      <c r="X402" s="70">
        <f>'RESUMEN TOTAL'!AE504</f>
        <v>0</v>
      </c>
      <c r="Y402" s="70">
        <f>'RESUMEN TOTAL'!AF504</f>
        <v>0</v>
      </c>
      <c r="Z402" s="70">
        <f>'RESUMEN TOTAL'!AG504</f>
        <v>0</v>
      </c>
      <c r="AA402" s="70">
        <f>'RESUMEN TOTAL'!AH504</f>
        <v>0</v>
      </c>
      <c r="AB402" s="70">
        <f>'RESUMEN TOTAL'!AI504</f>
        <v>0</v>
      </c>
      <c r="AC402" s="70">
        <f>'RESUMEN TOTAL'!AJ504</f>
        <v>0</v>
      </c>
      <c r="AD402" s="70">
        <f>'RESUMEN TOTAL'!AK504</f>
        <v>0</v>
      </c>
      <c r="AE402" s="70">
        <f>'RESUMEN TOTAL'!AL504</f>
        <v>0</v>
      </c>
      <c r="AF402" s="70">
        <f>'RESUMEN TOTAL'!AM504</f>
        <v>0</v>
      </c>
      <c r="AG402" s="70">
        <f>'RESUMEN TOTAL'!AN504</f>
        <v>0</v>
      </c>
      <c r="AH402" s="70">
        <f>'RESUMEN TOTAL'!AO504</f>
        <v>0</v>
      </c>
      <c r="AI402" s="70">
        <f>'RESUMEN TOTAL'!AP504</f>
        <v>0</v>
      </c>
      <c r="AJ402" s="70">
        <f>'RESUMEN TOTAL'!AQ504</f>
        <v>0</v>
      </c>
    </row>
    <row r="403" spans="1:36" x14ac:dyDescent="0.25">
      <c r="A403" t="str">
        <f>'RESUMEN TOTAL'!A505</f>
        <v>VILLA VATTEONE CENTRO</v>
      </c>
      <c r="B403" t="str">
        <f>'RESUMEN TOTAL'!B505</f>
        <v>VAT13</v>
      </c>
      <c r="C403" t="str">
        <f>'RESUMEN TOTAL'!D505</f>
        <v>Av.12 de Octubre y Belgrano</v>
      </c>
      <c r="D403" s="30" t="str">
        <f>'RESUMEN TOTAL'!E505</f>
        <v>Domo</v>
      </c>
      <c r="E403" s="30" t="str">
        <f>'RESUMEN TOTAL'!F505</f>
        <v>Fibra Optica</v>
      </c>
      <c r="F403" s="70">
        <f>'RESUMEN TOTAL'!M505</f>
        <v>0</v>
      </c>
      <c r="G403" s="70">
        <f>'RESUMEN TOTAL'!N505</f>
        <v>0</v>
      </c>
      <c r="H403" s="70">
        <f>'RESUMEN TOTAL'!O505</f>
        <v>0</v>
      </c>
      <c r="I403" s="70">
        <f>'RESUMEN TOTAL'!P505</f>
        <v>0</v>
      </c>
      <c r="J403" s="70">
        <f>'RESUMEN TOTAL'!Q505</f>
        <v>0</v>
      </c>
      <c r="K403" s="70">
        <f>'RESUMEN TOTAL'!R505</f>
        <v>0</v>
      </c>
      <c r="L403" s="70">
        <f>'RESUMEN TOTAL'!S505</f>
        <v>0</v>
      </c>
      <c r="M403" s="70">
        <f>'RESUMEN TOTAL'!T505</f>
        <v>0</v>
      </c>
      <c r="N403" s="70">
        <f>'RESUMEN TOTAL'!U505</f>
        <v>0</v>
      </c>
      <c r="O403" s="70">
        <f>'RESUMEN TOTAL'!V505</f>
        <v>0</v>
      </c>
      <c r="P403" s="70">
        <f>'RESUMEN TOTAL'!W505</f>
        <v>0</v>
      </c>
      <c r="Q403" s="70">
        <f>'RESUMEN TOTAL'!X505</f>
        <v>0</v>
      </c>
      <c r="R403" s="70">
        <f>'RESUMEN TOTAL'!Y505</f>
        <v>0</v>
      </c>
      <c r="S403" s="70">
        <f>'RESUMEN TOTAL'!Z505</f>
        <v>0</v>
      </c>
      <c r="T403" s="70">
        <f>'RESUMEN TOTAL'!AA505</f>
        <v>0</v>
      </c>
      <c r="U403" s="70">
        <f>'RESUMEN TOTAL'!AB505</f>
        <v>0</v>
      </c>
      <c r="V403" s="70">
        <f>'RESUMEN TOTAL'!AC505</f>
        <v>0</v>
      </c>
      <c r="W403" s="70" t="str">
        <f>'RESUMEN TOTAL'!AD505</f>
        <v>APAGADO</v>
      </c>
      <c r="X403" s="70">
        <f>'RESUMEN TOTAL'!AE505</f>
        <v>0</v>
      </c>
      <c r="Y403" s="70">
        <f>'RESUMEN TOTAL'!AF505</f>
        <v>0</v>
      </c>
      <c r="Z403" s="70">
        <f>'RESUMEN TOTAL'!AG505</f>
        <v>0</v>
      </c>
      <c r="AA403" s="70">
        <f>'RESUMEN TOTAL'!AH505</f>
        <v>0</v>
      </c>
      <c r="AB403" s="70">
        <f>'RESUMEN TOTAL'!AI505</f>
        <v>0</v>
      </c>
      <c r="AC403" s="70">
        <f>'RESUMEN TOTAL'!AJ505</f>
        <v>0</v>
      </c>
      <c r="AD403" s="70">
        <f>'RESUMEN TOTAL'!AK505</f>
        <v>0</v>
      </c>
      <c r="AE403" s="70">
        <f>'RESUMEN TOTAL'!AL505</f>
        <v>0</v>
      </c>
      <c r="AF403" s="70">
        <f>'RESUMEN TOTAL'!AM505</f>
        <v>0</v>
      </c>
      <c r="AG403" s="70">
        <f>'RESUMEN TOTAL'!AN505</f>
        <v>0</v>
      </c>
      <c r="AH403" s="70">
        <f>'RESUMEN TOTAL'!AO505</f>
        <v>0</v>
      </c>
      <c r="AI403" s="70">
        <f>'RESUMEN TOTAL'!AP505</f>
        <v>0</v>
      </c>
      <c r="AJ403" s="70">
        <f>'RESUMEN TOTAL'!AQ505</f>
        <v>0</v>
      </c>
    </row>
    <row r="404" spans="1:36" x14ac:dyDescent="0.25">
      <c r="A404" t="str">
        <f>'RESUMEN TOTAL'!A506</f>
        <v>VILLA VATTEONE</v>
      </c>
      <c r="B404" t="str">
        <f>'RESUMEN TOTAL'!B506</f>
        <v>VAT 14</v>
      </c>
      <c r="C404" t="str">
        <f>'RESUMEN TOTAL'!D506</f>
        <v>FLORIDA Y MONTEVIDEO</v>
      </c>
      <c r="D404" s="30" t="str">
        <f>'RESUMEN TOTAL'!E506</f>
        <v>DOMO</v>
      </c>
      <c r="E404" s="30" t="str">
        <f>'RESUMEN TOTAL'!F506</f>
        <v>Fibra Optica</v>
      </c>
      <c r="F404" s="70">
        <f>'RESUMEN TOTAL'!M506</f>
        <v>0</v>
      </c>
      <c r="G404" s="70">
        <f>'RESUMEN TOTAL'!N506</f>
        <v>0</v>
      </c>
      <c r="H404" s="70">
        <f>'RESUMEN TOTAL'!O506</f>
        <v>0</v>
      </c>
      <c r="I404" s="70">
        <f>'RESUMEN TOTAL'!P506</f>
        <v>0</v>
      </c>
      <c r="J404" s="70">
        <f>'RESUMEN TOTAL'!Q506</f>
        <v>0</v>
      </c>
      <c r="K404" s="70">
        <f>'RESUMEN TOTAL'!R506</f>
        <v>0</v>
      </c>
      <c r="L404" s="70">
        <f>'RESUMEN TOTAL'!S506</f>
        <v>0</v>
      </c>
      <c r="M404" s="70">
        <f>'RESUMEN TOTAL'!T506</f>
        <v>0</v>
      </c>
      <c r="N404" s="70">
        <f>'RESUMEN TOTAL'!U506</f>
        <v>0</v>
      </c>
      <c r="O404" s="70">
        <f>'RESUMEN TOTAL'!V506</f>
        <v>0</v>
      </c>
      <c r="P404" s="70">
        <f>'RESUMEN TOTAL'!W506</f>
        <v>0</v>
      </c>
      <c r="Q404" s="70">
        <f>'RESUMEN TOTAL'!X506</f>
        <v>0</v>
      </c>
      <c r="R404" s="70">
        <f>'RESUMEN TOTAL'!Y506</f>
        <v>0</v>
      </c>
      <c r="S404" s="70">
        <f>'RESUMEN TOTAL'!Z506</f>
        <v>0</v>
      </c>
      <c r="T404" s="70">
        <f>'RESUMEN TOTAL'!AA506</f>
        <v>0</v>
      </c>
      <c r="U404" s="70">
        <f>'RESUMEN TOTAL'!AB506</f>
        <v>0</v>
      </c>
      <c r="V404" s="70">
        <f>'RESUMEN TOTAL'!AC506</f>
        <v>0</v>
      </c>
      <c r="W404" s="70">
        <f>'RESUMEN TOTAL'!AD506</f>
        <v>0</v>
      </c>
      <c r="X404" s="70">
        <f>'RESUMEN TOTAL'!AE506</f>
        <v>0</v>
      </c>
      <c r="Y404" s="70">
        <f>'RESUMEN TOTAL'!AF506</f>
        <v>0</v>
      </c>
      <c r="Z404" s="70">
        <f>'RESUMEN TOTAL'!AG506</f>
        <v>0</v>
      </c>
      <c r="AA404" s="70">
        <f>'RESUMEN TOTAL'!AH506</f>
        <v>0</v>
      </c>
      <c r="AB404" s="70">
        <f>'RESUMEN TOTAL'!AI506</f>
        <v>0</v>
      </c>
      <c r="AC404" s="70">
        <f>'RESUMEN TOTAL'!AJ506</f>
        <v>0</v>
      </c>
      <c r="AD404" s="70">
        <f>'RESUMEN TOTAL'!AK506</f>
        <v>0</v>
      </c>
      <c r="AE404" s="70">
        <f>'RESUMEN TOTAL'!AL506</f>
        <v>0</v>
      </c>
      <c r="AF404" s="70">
        <f>'RESUMEN TOTAL'!AM506</f>
        <v>0</v>
      </c>
      <c r="AG404" s="70">
        <f>'RESUMEN TOTAL'!AN506</f>
        <v>0</v>
      </c>
      <c r="AH404" s="70">
        <f>'RESUMEN TOTAL'!AO506</f>
        <v>0</v>
      </c>
      <c r="AI404" s="70">
        <f>'RESUMEN TOTAL'!AP506</f>
        <v>0</v>
      </c>
      <c r="AJ404" s="70">
        <f>'RESUMEN TOTAL'!AQ506</f>
        <v>0</v>
      </c>
    </row>
    <row r="405" spans="1:36" x14ac:dyDescent="0.25">
      <c r="A405" t="str">
        <f>'RESUMEN TOTAL'!A507</f>
        <v>VILLA VATTEONE</v>
      </c>
      <c r="B405" t="str">
        <f>'RESUMEN TOTAL'!B507</f>
        <v>VAT 15</v>
      </c>
      <c r="C405" t="str">
        <f>'RESUMEN TOTAL'!D507</f>
        <v>CORRIENTES Y VICENTE LOPEZ</v>
      </c>
      <c r="D405" s="30" t="str">
        <f>'RESUMEN TOTAL'!E507</f>
        <v>DOMO</v>
      </c>
      <c r="E405" s="30" t="str">
        <f>'RESUMEN TOTAL'!F507</f>
        <v>PTO A FO</v>
      </c>
      <c r="F405" s="70">
        <f>'RESUMEN TOTAL'!M507</f>
        <v>0</v>
      </c>
      <c r="G405" s="70">
        <f>'RESUMEN TOTAL'!N507</f>
        <v>0</v>
      </c>
      <c r="H405" s="70">
        <f>'RESUMEN TOTAL'!O507</f>
        <v>0</v>
      </c>
      <c r="I405" s="70">
        <f>'RESUMEN TOTAL'!P507</f>
        <v>0</v>
      </c>
      <c r="J405" s="70">
        <f>'RESUMEN TOTAL'!Q507</f>
        <v>0</v>
      </c>
      <c r="K405" s="70">
        <f>'RESUMEN TOTAL'!R507</f>
        <v>0</v>
      </c>
      <c r="L405" s="70">
        <f>'RESUMEN TOTAL'!S507</f>
        <v>0</v>
      </c>
      <c r="M405" s="70">
        <f>'RESUMEN TOTAL'!T507</f>
        <v>0</v>
      </c>
      <c r="N405" s="70">
        <f>'RESUMEN TOTAL'!U507</f>
        <v>0</v>
      </c>
      <c r="O405" s="70">
        <f>'RESUMEN TOTAL'!V507</f>
        <v>0</v>
      </c>
      <c r="P405" s="70" t="str">
        <f>'RESUMEN TOTAL'!W507</f>
        <v>APAGADO</v>
      </c>
      <c r="Q405" s="70" t="str">
        <f>'RESUMEN TOTAL'!X507</f>
        <v>APAGADO</v>
      </c>
      <c r="R405" s="70">
        <f>'RESUMEN TOTAL'!Y507</f>
        <v>0</v>
      </c>
      <c r="S405" s="70">
        <f>'RESUMEN TOTAL'!Z507</f>
        <v>0</v>
      </c>
      <c r="T405" s="70">
        <f>'RESUMEN TOTAL'!AA507</f>
        <v>0</v>
      </c>
      <c r="U405" s="70">
        <f>'RESUMEN TOTAL'!AB507</f>
        <v>0</v>
      </c>
      <c r="V405" s="70">
        <f>'RESUMEN TOTAL'!AC507</f>
        <v>0</v>
      </c>
      <c r="W405" s="70">
        <f>'RESUMEN TOTAL'!AD507</f>
        <v>0</v>
      </c>
      <c r="X405" s="70">
        <f>'RESUMEN TOTAL'!AE507</f>
        <v>0</v>
      </c>
      <c r="Y405" s="70">
        <f>'RESUMEN TOTAL'!AF507</f>
        <v>0</v>
      </c>
      <c r="Z405" s="70">
        <f>'RESUMEN TOTAL'!AG507</f>
        <v>0</v>
      </c>
      <c r="AA405" s="70">
        <f>'RESUMEN TOTAL'!AH507</f>
        <v>0</v>
      </c>
      <c r="AB405" s="70">
        <f>'RESUMEN TOTAL'!AI507</f>
        <v>0</v>
      </c>
      <c r="AC405" s="70">
        <f>'RESUMEN TOTAL'!AJ507</f>
        <v>0</v>
      </c>
      <c r="AD405" s="70">
        <f>'RESUMEN TOTAL'!AK507</f>
        <v>0</v>
      </c>
      <c r="AE405" s="70">
        <f>'RESUMEN TOTAL'!AL507</f>
        <v>0</v>
      </c>
      <c r="AF405" s="70">
        <f>'RESUMEN TOTAL'!AM507</f>
        <v>0</v>
      </c>
      <c r="AG405" s="70">
        <f>'RESUMEN TOTAL'!AN507</f>
        <v>0</v>
      </c>
      <c r="AH405" s="70">
        <f>'RESUMEN TOTAL'!AO507</f>
        <v>0</v>
      </c>
      <c r="AI405" s="70">
        <f>'RESUMEN TOTAL'!AP507</f>
        <v>0</v>
      </c>
      <c r="AJ405" s="70">
        <f>'RESUMEN TOTAL'!AQ507</f>
        <v>0</v>
      </c>
    </row>
    <row r="406" spans="1:36" x14ac:dyDescent="0.25">
      <c r="A406" t="str">
        <f>'RESUMEN TOTAL'!A508</f>
        <v>VILLA VATTEONE</v>
      </c>
      <c r="B406" t="str">
        <f>'RESUMEN TOTAL'!B508</f>
        <v>VAT 16</v>
      </c>
      <c r="C406" t="str">
        <f>'RESUMEN TOTAL'!D508</f>
        <v>MONTEVIDEO Y CHACO</v>
      </c>
      <c r="D406" s="30" t="str">
        <f>'RESUMEN TOTAL'!E508</f>
        <v>DOMO</v>
      </c>
      <c r="E406" s="30" t="str">
        <f>'RESUMEN TOTAL'!F508</f>
        <v>PTO A FO</v>
      </c>
      <c r="F406" s="70">
        <f>'RESUMEN TOTAL'!M508</f>
        <v>0</v>
      </c>
      <c r="G406" s="70">
        <f>'RESUMEN TOTAL'!N508</f>
        <v>0</v>
      </c>
      <c r="H406" s="70">
        <f>'RESUMEN TOTAL'!O508</f>
        <v>0</v>
      </c>
      <c r="I406" s="70">
        <f>'RESUMEN TOTAL'!P508</f>
        <v>0</v>
      </c>
      <c r="J406" s="70">
        <f>'RESUMEN TOTAL'!Q508</f>
        <v>0</v>
      </c>
      <c r="K406" s="70">
        <f>'RESUMEN TOTAL'!R508</f>
        <v>0</v>
      </c>
      <c r="L406" s="70">
        <f>'RESUMEN TOTAL'!S508</f>
        <v>0</v>
      </c>
      <c r="M406" s="70">
        <f>'RESUMEN TOTAL'!T508</f>
        <v>0</v>
      </c>
      <c r="N406" s="70">
        <f>'RESUMEN TOTAL'!U508</f>
        <v>0</v>
      </c>
      <c r="O406" s="70">
        <f>'RESUMEN TOTAL'!V508</f>
        <v>0</v>
      </c>
      <c r="P406" s="70">
        <f>'RESUMEN TOTAL'!W508</f>
        <v>0</v>
      </c>
      <c r="Q406" s="70">
        <f>'RESUMEN TOTAL'!X508</f>
        <v>0</v>
      </c>
      <c r="R406" s="70">
        <f>'RESUMEN TOTAL'!Y508</f>
        <v>0</v>
      </c>
      <c r="S406" s="70">
        <f>'RESUMEN TOTAL'!Z508</f>
        <v>0</v>
      </c>
      <c r="T406" s="70">
        <f>'RESUMEN TOTAL'!AA508</f>
        <v>0</v>
      </c>
      <c r="U406" s="70">
        <f>'RESUMEN TOTAL'!AB508</f>
        <v>0</v>
      </c>
      <c r="V406" s="70">
        <f>'RESUMEN TOTAL'!AC508</f>
        <v>0</v>
      </c>
      <c r="W406" s="70">
        <f>'RESUMEN TOTAL'!AD508</f>
        <v>0</v>
      </c>
      <c r="X406" s="70">
        <f>'RESUMEN TOTAL'!AE508</f>
        <v>0</v>
      </c>
      <c r="Y406" s="70">
        <f>'RESUMEN TOTAL'!AF508</f>
        <v>0</v>
      </c>
      <c r="Z406" s="70">
        <f>'RESUMEN TOTAL'!AG508</f>
        <v>0</v>
      </c>
      <c r="AA406" s="70">
        <f>'RESUMEN TOTAL'!AH508</f>
        <v>0</v>
      </c>
      <c r="AB406" s="70">
        <f>'RESUMEN TOTAL'!AI508</f>
        <v>0</v>
      </c>
      <c r="AC406" s="70">
        <f>'RESUMEN TOTAL'!AJ508</f>
        <v>0</v>
      </c>
      <c r="AD406" s="70">
        <f>'RESUMEN TOTAL'!AK508</f>
        <v>0</v>
      </c>
      <c r="AE406" s="70">
        <f>'RESUMEN TOTAL'!AL508</f>
        <v>0</v>
      </c>
      <c r="AF406" s="70">
        <f>'RESUMEN TOTAL'!AM508</f>
        <v>0</v>
      </c>
      <c r="AG406" s="70">
        <f>'RESUMEN TOTAL'!AN508</f>
        <v>0</v>
      </c>
      <c r="AH406" s="70">
        <f>'RESUMEN TOTAL'!AO508</f>
        <v>0</v>
      </c>
      <c r="AI406" s="70">
        <f>'RESUMEN TOTAL'!AP508</f>
        <v>0</v>
      </c>
      <c r="AJ406" s="70">
        <f>'RESUMEN TOTAL'!AQ508</f>
        <v>0</v>
      </c>
    </row>
    <row r="407" spans="1:36" x14ac:dyDescent="0.25">
      <c r="A407" t="str">
        <f>'RESUMEN TOTAL'!A509</f>
        <v>VILLA VATTEONE</v>
      </c>
      <c r="B407" t="str">
        <f>'RESUMEN TOTAL'!B509</f>
        <v>VAT 17</v>
      </c>
      <c r="C407" t="str">
        <f>'RESUMEN TOTAL'!D509</f>
        <v>CHAÑAR Y URUGUAY</v>
      </c>
      <c r="D407" s="30" t="str">
        <f>'RESUMEN TOTAL'!E509</f>
        <v>DOMO</v>
      </c>
      <c r="E407" s="30" t="str">
        <f>'RESUMEN TOTAL'!F509</f>
        <v>PTO A FO</v>
      </c>
      <c r="F407" s="70" t="str">
        <f>'RESUMEN TOTAL'!M509</f>
        <v>APAGADO</v>
      </c>
      <c r="G407" s="70" t="str">
        <f>'RESUMEN TOTAL'!N509</f>
        <v>APAGADO</v>
      </c>
      <c r="H407" s="70" t="str">
        <f>'RESUMEN TOTAL'!O509</f>
        <v>APAGADO</v>
      </c>
      <c r="I407" s="70" t="str">
        <f>'RESUMEN TOTAL'!P509</f>
        <v>APAGADO</v>
      </c>
      <c r="J407" s="70" t="str">
        <f>'RESUMEN TOTAL'!Q509</f>
        <v>APAGADO</v>
      </c>
      <c r="K407" s="70" t="str">
        <f>'RESUMEN TOTAL'!R509</f>
        <v>APAGADO</v>
      </c>
      <c r="L407" s="70" t="str">
        <f>'RESUMEN TOTAL'!S509</f>
        <v>APAGADO</v>
      </c>
      <c r="M407" s="70" t="str">
        <f>'RESUMEN TOTAL'!T509</f>
        <v>APAGADO</v>
      </c>
      <c r="N407" s="70" t="str">
        <f>'RESUMEN TOTAL'!U509</f>
        <v>APAGADO</v>
      </c>
      <c r="O407" s="70" t="str">
        <f>'RESUMEN TOTAL'!V509</f>
        <v>APAGADO</v>
      </c>
      <c r="P407" s="70" t="str">
        <f>'RESUMEN TOTAL'!W509</f>
        <v>APAGADO</v>
      </c>
      <c r="Q407" s="70" t="str">
        <f>'RESUMEN TOTAL'!X509</f>
        <v>APAGADO</v>
      </c>
      <c r="R407" s="70" t="str">
        <f>'RESUMEN TOTAL'!Y509</f>
        <v>APAGADO</v>
      </c>
      <c r="S407" s="70" t="str">
        <f>'RESUMEN TOTAL'!Z509</f>
        <v>APAGADO</v>
      </c>
      <c r="T407" s="70" t="str">
        <f>'RESUMEN TOTAL'!AA509</f>
        <v>APAGADO</v>
      </c>
      <c r="U407" s="70" t="str">
        <f>'RESUMEN TOTAL'!AB509</f>
        <v>APAGADO</v>
      </c>
      <c r="V407" s="70" t="str">
        <f>'RESUMEN TOTAL'!AC509</f>
        <v>APAGADO</v>
      </c>
      <c r="W407" s="70" t="str">
        <f>'RESUMEN TOTAL'!AD509</f>
        <v>APAGADO</v>
      </c>
      <c r="X407" s="70">
        <f>'RESUMEN TOTAL'!AE509</f>
        <v>0</v>
      </c>
      <c r="Y407" s="70">
        <f>'RESUMEN TOTAL'!AF509</f>
        <v>0</v>
      </c>
      <c r="Z407" s="70">
        <f>'RESUMEN TOTAL'!AG509</f>
        <v>0</v>
      </c>
      <c r="AA407" s="70">
        <f>'RESUMEN TOTAL'!AH509</f>
        <v>0</v>
      </c>
      <c r="AB407" s="70">
        <f>'RESUMEN TOTAL'!AI509</f>
        <v>0</v>
      </c>
      <c r="AC407" s="70">
        <f>'RESUMEN TOTAL'!AJ509</f>
        <v>0</v>
      </c>
      <c r="AD407" s="70">
        <f>'RESUMEN TOTAL'!AK509</f>
        <v>0</v>
      </c>
      <c r="AE407" s="70">
        <f>'RESUMEN TOTAL'!AL509</f>
        <v>0</v>
      </c>
      <c r="AF407" s="70">
        <f>'RESUMEN TOTAL'!AM509</f>
        <v>0</v>
      </c>
      <c r="AG407" s="70">
        <f>'RESUMEN TOTAL'!AN509</f>
        <v>0</v>
      </c>
      <c r="AH407" s="70">
        <f>'RESUMEN TOTAL'!AO509</f>
        <v>0</v>
      </c>
      <c r="AI407" s="70">
        <f>'RESUMEN TOTAL'!AP509</f>
        <v>0</v>
      </c>
      <c r="AJ407" s="70">
        <f>'RESUMEN TOTAL'!AQ509</f>
        <v>0</v>
      </c>
    </row>
    <row r="408" spans="1:36" x14ac:dyDescent="0.25">
      <c r="A408" t="str">
        <f>'RESUMEN TOTAL'!A510</f>
        <v>VILLA VATTEONE CENTRO</v>
      </c>
      <c r="B408" t="str">
        <f>'RESUMEN TOTAL'!B510</f>
        <v>VAT18</v>
      </c>
      <c r="C408" t="str">
        <f>'RESUMEN TOTAL'!D510</f>
        <v>LAVALLE Y FONROUGE</v>
      </c>
      <c r="D408" s="30" t="str">
        <f>'RESUMEN TOTAL'!E510</f>
        <v>DOMO</v>
      </c>
      <c r="E408" s="30" t="str">
        <f>'RESUMEN TOTAL'!F510</f>
        <v>PTO A FO</v>
      </c>
      <c r="F408" s="70">
        <f>'RESUMEN TOTAL'!M510</f>
        <v>0</v>
      </c>
      <c r="G408" s="70">
        <f>'RESUMEN TOTAL'!N510</f>
        <v>0</v>
      </c>
      <c r="H408" s="70">
        <f>'RESUMEN TOTAL'!O510</f>
        <v>0</v>
      </c>
      <c r="I408" s="70">
        <f>'RESUMEN TOTAL'!P510</f>
        <v>0</v>
      </c>
      <c r="J408" s="70">
        <f>'RESUMEN TOTAL'!Q510</f>
        <v>0</v>
      </c>
      <c r="K408" s="70">
        <f>'RESUMEN TOTAL'!R510</f>
        <v>0</v>
      </c>
      <c r="L408" s="70">
        <f>'RESUMEN TOTAL'!S510</f>
        <v>0</v>
      </c>
      <c r="M408" s="70">
        <f>'RESUMEN TOTAL'!T510</f>
        <v>0</v>
      </c>
      <c r="N408" s="70">
        <f>'RESUMEN TOTAL'!U510</f>
        <v>0</v>
      </c>
      <c r="O408" s="70">
        <f>'RESUMEN TOTAL'!V510</f>
        <v>0</v>
      </c>
      <c r="P408" s="70" t="str">
        <f>'RESUMEN TOTAL'!W510</f>
        <v>APAGADO</v>
      </c>
      <c r="Q408" s="70" t="str">
        <f>'RESUMEN TOTAL'!X510</f>
        <v>APAGADO</v>
      </c>
      <c r="R408" s="70">
        <f>'RESUMEN TOTAL'!Y510</f>
        <v>0</v>
      </c>
      <c r="S408" s="70">
        <f>'RESUMEN TOTAL'!Z510</f>
        <v>0</v>
      </c>
      <c r="T408" s="70">
        <f>'RESUMEN TOTAL'!AA510</f>
        <v>0</v>
      </c>
      <c r="U408" s="70">
        <f>'RESUMEN TOTAL'!AB510</f>
        <v>0</v>
      </c>
      <c r="V408" s="70">
        <f>'RESUMEN TOTAL'!AC510</f>
        <v>0</v>
      </c>
      <c r="W408" s="70">
        <f>'RESUMEN TOTAL'!AD510</f>
        <v>0</v>
      </c>
      <c r="X408" s="70">
        <f>'RESUMEN TOTAL'!AE510</f>
        <v>0</v>
      </c>
      <c r="Y408" s="70">
        <f>'RESUMEN TOTAL'!AF510</f>
        <v>0</v>
      </c>
      <c r="Z408" s="70">
        <f>'RESUMEN TOTAL'!AG510</f>
        <v>0</v>
      </c>
      <c r="AA408" s="70">
        <f>'RESUMEN TOTAL'!AH510</f>
        <v>0</v>
      </c>
      <c r="AB408" s="70">
        <f>'RESUMEN TOTAL'!AI510</f>
        <v>0</v>
      </c>
      <c r="AC408" s="70">
        <f>'RESUMEN TOTAL'!AJ510</f>
        <v>0</v>
      </c>
      <c r="AD408" s="70">
        <f>'RESUMEN TOTAL'!AK510</f>
        <v>0</v>
      </c>
      <c r="AE408" s="70">
        <f>'RESUMEN TOTAL'!AL510</f>
        <v>0</v>
      </c>
      <c r="AF408" s="70">
        <f>'RESUMEN TOTAL'!AM510</f>
        <v>0</v>
      </c>
      <c r="AG408" s="70">
        <f>'RESUMEN TOTAL'!AN510</f>
        <v>0</v>
      </c>
      <c r="AH408" s="70">
        <f>'RESUMEN TOTAL'!AO510</f>
        <v>0</v>
      </c>
      <c r="AI408" s="70">
        <f>'RESUMEN TOTAL'!AP510</f>
        <v>0</v>
      </c>
      <c r="AJ408" s="70">
        <f>'RESUMEN TOTAL'!AQ510</f>
        <v>0</v>
      </c>
    </row>
    <row r="409" spans="1:36" x14ac:dyDescent="0.25">
      <c r="A409" t="str">
        <f>'RESUMEN TOTAL'!A511</f>
        <v>VILLA VATTEONE CENTRO</v>
      </c>
      <c r="B409" t="str">
        <f>'RESUMEN TOTAL'!B511</f>
        <v>VAT19</v>
      </c>
      <c r="C409" t="str">
        <f>'RESUMEN TOTAL'!D511</f>
        <v>QUINTANA Y FONROUGE ( TUCUMAN )</v>
      </c>
      <c r="D409" s="30" t="str">
        <f>'RESUMEN TOTAL'!E511</f>
        <v>DOMO</v>
      </c>
      <c r="E409" s="30" t="str">
        <f>'RESUMEN TOTAL'!F511</f>
        <v>Radio</v>
      </c>
      <c r="F409" s="70">
        <f>'RESUMEN TOTAL'!M511</f>
        <v>0</v>
      </c>
      <c r="G409" s="70">
        <f>'RESUMEN TOTAL'!N511</f>
        <v>0</v>
      </c>
      <c r="H409" s="70">
        <f>'RESUMEN TOTAL'!O511</f>
        <v>0</v>
      </c>
      <c r="I409" s="70">
        <f>'RESUMEN TOTAL'!P511</f>
        <v>0</v>
      </c>
      <c r="J409" s="70">
        <f>'RESUMEN TOTAL'!Q511</f>
        <v>0</v>
      </c>
      <c r="K409" s="70">
        <f>'RESUMEN TOTAL'!R511</f>
        <v>0</v>
      </c>
      <c r="L409" s="70">
        <f>'RESUMEN TOTAL'!S511</f>
        <v>0</v>
      </c>
      <c r="M409" s="70">
        <f>'RESUMEN TOTAL'!T511</f>
        <v>0</v>
      </c>
      <c r="N409" s="70">
        <f>'RESUMEN TOTAL'!U511</f>
        <v>0</v>
      </c>
      <c r="O409" s="70">
        <f>'RESUMEN TOTAL'!V511</f>
        <v>0</v>
      </c>
      <c r="P409" s="70">
        <f>'RESUMEN TOTAL'!W511</f>
        <v>0</v>
      </c>
      <c r="Q409" s="70">
        <f>'RESUMEN TOTAL'!X511</f>
        <v>0</v>
      </c>
      <c r="R409" s="70">
        <f>'RESUMEN TOTAL'!Y511</f>
        <v>0</v>
      </c>
      <c r="S409" s="70">
        <f>'RESUMEN TOTAL'!Z511</f>
        <v>0</v>
      </c>
      <c r="T409" s="70">
        <f>'RESUMEN TOTAL'!AA511</f>
        <v>0</v>
      </c>
      <c r="U409" s="70">
        <f>'RESUMEN TOTAL'!AB511</f>
        <v>0</v>
      </c>
      <c r="V409" s="70">
        <f>'RESUMEN TOTAL'!AC511</f>
        <v>0</v>
      </c>
      <c r="W409" s="70">
        <f>'RESUMEN TOTAL'!AD511</f>
        <v>0</v>
      </c>
      <c r="X409" s="70">
        <f>'RESUMEN TOTAL'!AE511</f>
        <v>0</v>
      </c>
      <c r="Y409" s="70">
        <f>'RESUMEN TOTAL'!AF511</f>
        <v>0</v>
      </c>
      <c r="Z409" s="70">
        <f>'RESUMEN TOTAL'!AG511</f>
        <v>0</v>
      </c>
      <c r="AA409" s="70">
        <f>'RESUMEN TOTAL'!AH511</f>
        <v>0</v>
      </c>
      <c r="AB409" s="70">
        <f>'RESUMEN TOTAL'!AI511</f>
        <v>0</v>
      </c>
      <c r="AC409" s="70">
        <f>'RESUMEN TOTAL'!AJ511</f>
        <v>0</v>
      </c>
      <c r="AD409" s="70">
        <f>'RESUMEN TOTAL'!AK511</f>
        <v>0</v>
      </c>
      <c r="AE409" s="70">
        <f>'RESUMEN TOTAL'!AL511</f>
        <v>0</v>
      </c>
      <c r="AF409" s="70">
        <f>'RESUMEN TOTAL'!AM511</f>
        <v>0</v>
      </c>
      <c r="AG409" s="70">
        <f>'RESUMEN TOTAL'!AN511</f>
        <v>0</v>
      </c>
      <c r="AH409" s="70">
        <f>'RESUMEN TOTAL'!AO511</f>
        <v>0</v>
      </c>
      <c r="AI409" s="70">
        <f>'RESUMEN TOTAL'!AP511</f>
        <v>0</v>
      </c>
      <c r="AJ409" s="70">
        <f>'RESUMEN TOTAL'!AQ511</f>
        <v>0</v>
      </c>
    </row>
    <row r="410" spans="1:36" x14ac:dyDescent="0.25">
      <c r="A410" t="str">
        <f>'RESUMEN TOTAL'!A512</f>
        <v>VILLA VATTEONE</v>
      </c>
      <c r="B410" t="str">
        <f>'RESUMEN TOTAL'!B512</f>
        <v>VAT 20</v>
      </c>
      <c r="C410" t="str">
        <f>'RESUMEN TOTAL'!D512</f>
        <v>URUGUAY Y PILCOMAYO</v>
      </c>
      <c r="D410" s="30" t="str">
        <f>'RESUMEN TOTAL'!E512</f>
        <v>FIJA</v>
      </c>
      <c r="E410" s="30" t="str">
        <f>'RESUMEN TOTAL'!F512</f>
        <v>GPON</v>
      </c>
      <c r="F410" s="70">
        <f>'RESUMEN TOTAL'!M512</f>
        <v>0</v>
      </c>
      <c r="G410" s="70">
        <f>'RESUMEN TOTAL'!N512</f>
        <v>0</v>
      </c>
      <c r="H410" s="70">
        <f>'RESUMEN TOTAL'!O512</f>
        <v>0</v>
      </c>
      <c r="I410" s="70">
        <f>'RESUMEN TOTAL'!P512</f>
        <v>0</v>
      </c>
      <c r="J410" s="70">
        <f>'RESUMEN TOTAL'!Q512</f>
        <v>0</v>
      </c>
      <c r="K410" s="70">
        <f>'RESUMEN TOTAL'!R512</f>
        <v>0</v>
      </c>
      <c r="L410" s="70">
        <f>'RESUMEN TOTAL'!S512</f>
        <v>0</v>
      </c>
      <c r="M410" s="70">
        <f>'RESUMEN TOTAL'!T512</f>
        <v>0</v>
      </c>
      <c r="N410" s="70">
        <f>'RESUMEN TOTAL'!U512</f>
        <v>0</v>
      </c>
      <c r="O410" s="70">
        <f>'RESUMEN TOTAL'!V512</f>
        <v>0</v>
      </c>
      <c r="P410" s="70">
        <f>'RESUMEN TOTAL'!W512</f>
        <v>0</v>
      </c>
      <c r="Q410" s="70">
        <f>'RESUMEN TOTAL'!X512</f>
        <v>0</v>
      </c>
      <c r="R410" s="70">
        <f>'RESUMEN TOTAL'!Y512</f>
        <v>0</v>
      </c>
      <c r="S410" s="70">
        <f>'RESUMEN TOTAL'!Z512</f>
        <v>0</v>
      </c>
      <c r="T410" s="70">
        <f>'RESUMEN TOTAL'!AA512</f>
        <v>0</v>
      </c>
      <c r="U410" s="70">
        <f>'RESUMEN TOTAL'!AB512</f>
        <v>0</v>
      </c>
      <c r="V410" s="70">
        <f>'RESUMEN TOTAL'!AC512</f>
        <v>0</v>
      </c>
      <c r="W410" s="70">
        <f>'RESUMEN TOTAL'!AD512</f>
        <v>0</v>
      </c>
      <c r="X410" s="70">
        <f>'RESUMEN TOTAL'!AE512</f>
        <v>0</v>
      </c>
      <c r="Y410" s="70">
        <f>'RESUMEN TOTAL'!AF512</f>
        <v>0</v>
      </c>
      <c r="Z410" s="70">
        <f>'RESUMEN TOTAL'!AG512</f>
        <v>0</v>
      </c>
      <c r="AA410" s="70">
        <f>'RESUMEN TOTAL'!AH512</f>
        <v>0</v>
      </c>
      <c r="AB410" s="70">
        <f>'RESUMEN TOTAL'!AI512</f>
        <v>0</v>
      </c>
      <c r="AC410" s="70">
        <f>'RESUMEN TOTAL'!AJ512</f>
        <v>0</v>
      </c>
      <c r="AD410" s="70">
        <f>'RESUMEN TOTAL'!AK512</f>
        <v>0</v>
      </c>
      <c r="AE410" s="70">
        <f>'RESUMEN TOTAL'!AL512</f>
        <v>0</v>
      </c>
      <c r="AF410" s="70">
        <f>'RESUMEN TOTAL'!AM512</f>
        <v>0</v>
      </c>
      <c r="AG410" s="70">
        <f>'RESUMEN TOTAL'!AN512</f>
        <v>0</v>
      </c>
      <c r="AH410" s="70">
        <f>'RESUMEN TOTAL'!AO512</f>
        <v>0</v>
      </c>
      <c r="AI410" s="70">
        <f>'RESUMEN TOTAL'!AP512</f>
        <v>0</v>
      </c>
      <c r="AJ410" s="70">
        <f>'RESUMEN TOTAL'!AQ512</f>
        <v>0</v>
      </c>
    </row>
    <row r="411" spans="1:36" x14ac:dyDescent="0.25">
      <c r="A411" t="str">
        <f>'RESUMEN TOTAL'!A513</f>
        <v>VILLA VATTEONE CENTRO</v>
      </c>
      <c r="B411" t="str">
        <f>'RESUMEN TOTAL'!B513</f>
        <v>VAT 21 (fija 1)</v>
      </c>
      <c r="C411" t="str">
        <f>'RESUMEN TOTAL'!D513</f>
        <v>QUINTANA E/ BELGRANO Y FONROUGE</v>
      </c>
      <c r="D411" s="30" t="str">
        <f>'RESUMEN TOTAL'!E513</f>
        <v>Fija</v>
      </c>
      <c r="E411" s="30" t="str">
        <f>'RESUMEN TOTAL'!F513</f>
        <v>Fibra Optica</v>
      </c>
      <c r="F411" s="70">
        <f>'RESUMEN TOTAL'!M513</f>
        <v>0</v>
      </c>
      <c r="G411" s="70">
        <f>'RESUMEN TOTAL'!N513</f>
        <v>0</v>
      </c>
      <c r="H411" s="70">
        <f>'RESUMEN TOTAL'!O513</f>
        <v>0</v>
      </c>
      <c r="I411" s="70">
        <f>'RESUMEN TOTAL'!P513</f>
        <v>0</v>
      </c>
      <c r="J411" s="70">
        <f>'RESUMEN TOTAL'!Q513</f>
        <v>0</v>
      </c>
      <c r="K411" s="70">
        <f>'RESUMEN TOTAL'!R513</f>
        <v>0</v>
      </c>
      <c r="L411" s="70">
        <f>'RESUMEN TOTAL'!S513</f>
        <v>0</v>
      </c>
      <c r="M411" s="70">
        <f>'RESUMEN TOTAL'!T513</f>
        <v>0</v>
      </c>
      <c r="N411" s="70">
        <f>'RESUMEN TOTAL'!U513</f>
        <v>0</v>
      </c>
      <c r="O411" s="70">
        <f>'RESUMEN TOTAL'!V513</f>
        <v>0</v>
      </c>
      <c r="P411" s="70" t="str">
        <f>'RESUMEN TOTAL'!W513</f>
        <v>APAGADO</v>
      </c>
      <c r="Q411" s="70" t="str">
        <f>'RESUMEN TOTAL'!X513</f>
        <v>APAGADO</v>
      </c>
      <c r="R411" s="70">
        <f>'RESUMEN TOTAL'!Y513</f>
        <v>0</v>
      </c>
      <c r="S411" s="70">
        <f>'RESUMEN TOTAL'!Z513</f>
        <v>0</v>
      </c>
      <c r="T411" s="70">
        <f>'RESUMEN TOTAL'!AA513</f>
        <v>0</v>
      </c>
      <c r="U411" s="70">
        <f>'RESUMEN TOTAL'!AB513</f>
        <v>0</v>
      </c>
      <c r="V411" s="70">
        <f>'RESUMEN TOTAL'!AC513</f>
        <v>0</v>
      </c>
      <c r="W411" s="70">
        <f>'RESUMEN TOTAL'!AD513</f>
        <v>0</v>
      </c>
      <c r="X411" s="70">
        <f>'RESUMEN TOTAL'!AE513</f>
        <v>0</v>
      </c>
      <c r="Y411" s="70">
        <f>'RESUMEN TOTAL'!AF513</f>
        <v>0</v>
      </c>
      <c r="Z411" s="70">
        <f>'RESUMEN TOTAL'!AG513</f>
        <v>0</v>
      </c>
      <c r="AA411" s="70">
        <f>'RESUMEN TOTAL'!AH513</f>
        <v>0</v>
      </c>
      <c r="AB411" s="70">
        <f>'RESUMEN TOTAL'!AI513</f>
        <v>0</v>
      </c>
      <c r="AC411" s="70">
        <f>'RESUMEN TOTAL'!AJ513</f>
        <v>0</v>
      </c>
      <c r="AD411" s="70">
        <f>'RESUMEN TOTAL'!AK513</f>
        <v>0</v>
      </c>
      <c r="AE411" s="70">
        <f>'RESUMEN TOTAL'!AL513</f>
        <v>0</v>
      </c>
      <c r="AF411" s="70">
        <f>'RESUMEN TOTAL'!AM513</f>
        <v>0</v>
      </c>
      <c r="AG411" s="70">
        <f>'RESUMEN TOTAL'!AN513</f>
        <v>0</v>
      </c>
      <c r="AH411" s="70">
        <f>'RESUMEN TOTAL'!AO513</f>
        <v>0</v>
      </c>
      <c r="AI411" s="70">
        <f>'RESUMEN TOTAL'!AP513</f>
        <v>0</v>
      </c>
      <c r="AJ411" s="70">
        <f>'RESUMEN TOTAL'!AQ513</f>
        <v>0</v>
      </c>
    </row>
    <row r="412" spans="1:36" x14ac:dyDescent="0.25">
      <c r="A412" t="str">
        <f>'RESUMEN TOTAL'!A514</f>
        <v>VILLA VATTEONE CENTRO</v>
      </c>
      <c r="B412" t="str">
        <f>'RESUMEN TOTAL'!B514</f>
        <v>VAT 22 (fija 2)</v>
      </c>
      <c r="C412" t="str">
        <f>'RESUMEN TOTAL'!D514</f>
        <v>QUINTANA E/ BELGRANO Y FONROUGE</v>
      </c>
      <c r="D412" s="30" t="str">
        <f>'RESUMEN TOTAL'!E514</f>
        <v>Fija</v>
      </c>
      <c r="E412" s="30" t="str">
        <f>'RESUMEN TOTAL'!F514</f>
        <v>Fibra Optica</v>
      </c>
      <c r="F412" s="70">
        <f>'RESUMEN TOTAL'!M514</f>
        <v>0</v>
      </c>
      <c r="G412" s="70">
        <f>'RESUMEN TOTAL'!N514</f>
        <v>0</v>
      </c>
      <c r="H412" s="70">
        <f>'RESUMEN TOTAL'!O514</f>
        <v>0</v>
      </c>
      <c r="I412" s="70">
        <f>'RESUMEN TOTAL'!P514</f>
        <v>0</v>
      </c>
      <c r="J412" s="70">
        <f>'RESUMEN TOTAL'!Q514</f>
        <v>0</v>
      </c>
      <c r="K412" s="70">
        <f>'RESUMEN TOTAL'!R514</f>
        <v>0</v>
      </c>
      <c r="L412" s="70">
        <f>'RESUMEN TOTAL'!S514</f>
        <v>0</v>
      </c>
      <c r="M412" s="70">
        <f>'RESUMEN TOTAL'!T514</f>
        <v>0</v>
      </c>
      <c r="N412" s="70">
        <f>'RESUMEN TOTAL'!U514</f>
        <v>0</v>
      </c>
      <c r="O412" s="70">
        <f>'RESUMEN TOTAL'!V514</f>
        <v>0</v>
      </c>
      <c r="P412" s="70" t="str">
        <f>'RESUMEN TOTAL'!W514</f>
        <v>APAGADO</v>
      </c>
      <c r="Q412" s="70" t="str">
        <f>'RESUMEN TOTAL'!X514</f>
        <v>APAGADO</v>
      </c>
      <c r="R412" s="70">
        <f>'RESUMEN TOTAL'!Y514</f>
        <v>0</v>
      </c>
      <c r="S412" s="70">
        <f>'RESUMEN TOTAL'!Z514</f>
        <v>0</v>
      </c>
      <c r="T412" s="70">
        <f>'RESUMEN TOTAL'!AA514</f>
        <v>0</v>
      </c>
      <c r="U412" s="70">
        <f>'RESUMEN TOTAL'!AB514</f>
        <v>0</v>
      </c>
      <c r="V412" s="70">
        <f>'RESUMEN TOTAL'!AC514</f>
        <v>0</v>
      </c>
      <c r="W412" s="70">
        <f>'RESUMEN TOTAL'!AD514</f>
        <v>0</v>
      </c>
      <c r="X412" s="70">
        <f>'RESUMEN TOTAL'!AE514</f>
        <v>0</v>
      </c>
      <c r="Y412" s="70">
        <f>'RESUMEN TOTAL'!AF514</f>
        <v>0</v>
      </c>
      <c r="Z412" s="70">
        <f>'RESUMEN TOTAL'!AG514</f>
        <v>0</v>
      </c>
      <c r="AA412" s="70">
        <f>'RESUMEN TOTAL'!AH514</f>
        <v>0</v>
      </c>
      <c r="AB412" s="70">
        <f>'RESUMEN TOTAL'!AI514</f>
        <v>0</v>
      </c>
      <c r="AC412" s="70">
        <f>'RESUMEN TOTAL'!AJ514</f>
        <v>0</v>
      </c>
      <c r="AD412" s="70">
        <f>'RESUMEN TOTAL'!AK514</f>
        <v>0</v>
      </c>
      <c r="AE412" s="70">
        <f>'RESUMEN TOTAL'!AL514</f>
        <v>0</v>
      </c>
      <c r="AF412" s="70">
        <f>'RESUMEN TOTAL'!AM514</f>
        <v>0</v>
      </c>
      <c r="AG412" s="70">
        <f>'RESUMEN TOTAL'!AN514</f>
        <v>0</v>
      </c>
      <c r="AH412" s="70">
        <f>'RESUMEN TOTAL'!AO514</f>
        <v>0</v>
      </c>
      <c r="AI412" s="70">
        <f>'RESUMEN TOTAL'!AP514</f>
        <v>0</v>
      </c>
      <c r="AJ412" s="70">
        <f>'RESUMEN TOTAL'!AQ514</f>
        <v>0</v>
      </c>
    </row>
    <row r="413" spans="1:36" x14ac:dyDescent="0.25">
      <c r="A413" t="str">
        <f>'RESUMEN TOTAL'!A515</f>
        <v>VILLA VATTEONE CENTRO</v>
      </c>
      <c r="B413" t="str">
        <f>'RESUMEN TOTAL'!B515</f>
        <v>VAT23 (fija 1)</v>
      </c>
      <c r="C413" t="str">
        <f>'RESUMEN TOTAL'!D515</f>
        <v>EVA PERON Y "EL TUNEL" (BAJO NIVEL)</v>
      </c>
      <c r="D413" s="30" t="str">
        <f>'RESUMEN TOTAL'!E515</f>
        <v>Fija</v>
      </c>
      <c r="E413" s="30" t="str">
        <f>'RESUMEN TOTAL'!F515</f>
        <v>Fibra Optica</v>
      </c>
      <c r="F413" s="70">
        <f>'RESUMEN TOTAL'!M515</f>
        <v>0</v>
      </c>
      <c r="G413" s="70">
        <f>'RESUMEN TOTAL'!N515</f>
        <v>0</v>
      </c>
      <c r="H413" s="70">
        <f>'RESUMEN TOTAL'!O515</f>
        <v>0</v>
      </c>
      <c r="I413" s="70">
        <f>'RESUMEN TOTAL'!P515</f>
        <v>0</v>
      </c>
      <c r="J413" s="70">
        <f>'RESUMEN TOTAL'!Q515</f>
        <v>0</v>
      </c>
      <c r="K413" s="70">
        <f>'RESUMEN TOTAL'!R515</f>
        <v>0</v>
      </c>
      <c r="L413" s="70">
        <f>'RESUMEN TOTAL'!S515</f>
        <v>0</v>
      </c>
      <c r="M413" s="70">
        <f>'RESUMEN TOTAL'!T515</f>
        <v>0</v>
      </c>
      <c r="N413" s="70">
        <f>'RESUMEN TOTAL'!U515</f>
        <v>0</v>
      </c>
      <c r="O413" s="70">
        <f>'RESUMEN TOTAL'!V515</f>
        <v>0</v>
      </c>
      <c r="P413" s="70">
        <f>'RESUMEN TOTAL'!W515</f>
        <v>0</v>
      </c>
      <c r="Q413" s="70">
        <f>'RESUMEN TOTAL'!X515</f>
        <v>0</v>
      </c>
      <c r="R413" s="70">
        <f>'RESUMEN TOTAL'!Y515</f>
        <v>0</v>
      </c>
      <c r="S413" s="70">
        <f>'RESUMEN TOTAL'!Z515</f>
        <v>0</v>
      </c>
      <c r="T413" s="70">
        <f>'RESUMEN TOTAL'!AA515</f>
        <v>0</v>
      </c>
      <c r="U413" s="70">
        <f>'RESUMEN TOTAL'!AB515</f>
        <v>0</v>
      </c>
      <c r="V413" s="70">
        <f>'RESUMEN TOTAL'!AC515</f>
        <v>0</v>
      </c>
      <c r="W413" s="70">
        <f>'RESUMEN TOTAL'!AD515</f>
        <v>0</v>
      </c>
      <c r="X413" s="70">
        <f>'RESUMEN TOTAL'!AE515</f>
        <v>0</v>
      </c>
      <c r="Y413" s="70">
        <f>'RESUMEN TOTAL'!AF515</f>
        <v>0</v>
      </c>
      <c r="Z413" s="70">
        <f>'RESUMEN TOTAL'!AG515</f>
        <v>0</v>
      </c>
      <c r="AA413" s="70">
        <f>'RESUMEN TOTAL'!AH515</f>
        <v>0</v>
      </c>
      <c r="AB413" s="70">
        <f>'RESUMEN TOTAL'!AI515</f>
        <v>0</v>
      </c>
      <c r="AC413" s="70">
        <f>'RESUMEN TOTAL'!AJ515</f>
        <v>0</v>
      </c>
      <c r="AD413" s="70">
        <f>'RESUMEN TOTAL'!AK515</f>
        <v>0</v>
      </c>
      <c r="AE413" s="70">
        <f>'RESUMEN TOTAL'!AL515</f>
        <v>0</v>
      </c>
      <c r="AF413" s="70">
        <f>'RESUMEN TOTAL'!AM515</f>
        <v>0</v>
      </c>
      <c r="AG413" s="70">
        <f>'RESUMEN TOTAL'!AN515</f>
        <v>0</v>
      </c>
      <c r="AH413" s="70">
        <f>'RESUMEN TOTAL'!AO515</f>
        <v>0</v>
      </c>
      <c r="AI413" s="70">
        <f>'RESUMEN TOTAL'!AP515</f>
        <v>0</v>
      </c>
      <c r="AJ413" s="70">
        <f>'RESUMEN TOTAL'!AQ515</f>
        <v>0</v>
      </c>
    </row>
    <row r="414" spans="1:36" x14ac:dyDescent="0.25">
      <c r="A414" t="str">
        <f>'RESUMEN TOTAL'!A516</f>
        <v>VILLA VATTEONE CENTRO</v>
      </c>
      <c r="B414" t="str">
        <f>'RESUMEN TOTAL'!B516</f>
        <v>VAT24 (fija 2)</v>
      </c>
      <c r="C414" t="str">
        <f>'RESUMEN TOTAL'!D516</f>
        <v>EVA PERON Y "EL TUNEL" (BAJO NIVEL)</v>
      </c>
      <c r="D414" s="30" t="str">
        <f>'RESUMEN TOTAL'!E516</f>
        <v>Fija</v>
      </c>
      <c r="E414" s="30" t="str">
        <f>'RESUMEN TOTAL'!F516</f>
        <v>Fibra Optica</v>
      </c>
      <c r="F414" s="70">
        <f>'RESUMEN TOTAL'!M516</f>
        <v>0</v>
      </c>
      <c r="G414" s="70">
        <f>'RESUMEN TOTAL'!N516</f>
        <v>0</v>
      </c>
      <c r="H414" s="70">
        <f>'RESUMEN TOTAL'!O516</f>
        <v>0</v>
      </c>
      <c r="I414" s="70">
        <f>'RESUMEN TOTAL'!P516</f>
        <v>0</v>
      </c>
      <c r="J414" s="70">
        <f>'RESUMEN TOTAL'!Q516</f>
        <v>0</v>
      </c>
      <c r="K414" s="70">
        <f>'RESUMEN TOTAL'!R516</f>
        <v>0</v>
      </c>
      <c r="L414" s="70">
        <f>'RESUMEN TOTAL'!S516</f>
        <v>0</v>
      </c>
      <c r="M414" s="70">
        <f>'RESUMEN TOTAL'!T516</f>
        <v>0</v>
      </c>
      <c r="N414" s="70">
        <f>'RESUMEN TOTAL'!U516</f>
        <v>0</v>
      </c>
      <c r="O414" s="70">
        <f>'RESUMEN TOTAL'!V516</f>
        <v>0</v>
      </c>
      <c r="P414" s="70">
        <f>'RESUMEN TOTAL'!W516</f>
        <v>0</v>
      </c>
      <c r="Q414" s="70">
        <f>'RESUMEN TOTAL'!X516</f>
        <v>0</v>
      </c>
      <c r="R414" s="70">
        <f>'RESUMEN TOTAL'!Y516</f>
        <v>0</v>
      </c>
      <c r="S414" s="70">
        <f>'RESUMEN TOTAL'!Z516</f>
        <v>0</v>
      </c>
      <c r="T414" s="70">
        <f>'RESUMEN TOTAL'!AA516</f>
        <v>0</v>
      </c>
      <c r="U414" s="70">
        <f>'RESUMEN TOTAL'!AB516</f>
        <v>0</v>
      </c>
      <c r="V414" s="70">
        <f>'RESUMEN TOTAL'!AC516</f>
        <v>0</v>
      </c>
      <c r="W414" s="70">
        <f>'RESUMEN TOTAL'!AD516</f>
        <v>0</v>
      </c>
      <c r="X414" s="70">
        <f>'RESUMEN TOTAL'!AE516</f>
        <v>0</v>
      </c>
      <c r="Y414" s="70">
        <f>'RESUMEN TOTAL'!AF516</f>
        <v>0</v>
      </c>
      <c r="Z414" s="70">
        <f>'RESUMEN TOTAL'!AG516</f>
        <v>0</v>
      </c>
      <c r="AA414" s="70">
        <f>'RESUMEN TOTAL'!AH516</f>
        <v>0</v>
      </c>
      <c r="AB414" s="70">
        <f>'RESUMEN TOTAL'!AI516</f>
        <v>0</v>
      </c>
      <c r="AC414" s="70">
        <f>'RESUMEN TOTAL'!AJ516</f>
        <v>0</v>
      </c>
      <c r="AD414" s="70">
        <f>'RESUMEN TOTAL'!AK516</f>
        <v>0</v>
      </c>
      <c r="AE414" s="70">
        <f>'RESUMEN TOTAL'!AL516</f>
        <v>0</v>
      </c>
      <c r="AF414" s="70">
        <f>'RESUMEN TOTAL'!AM516</f>
        <v>0</v>
      </c>
      <c r="AG414" s="70">
        <f>'RESUMEN TOTAL'!AN516</f>
        <v>0</v>
      </c>
      <c r="AH414" s="70">
        <f>'RESUMEN TOTAL'!AO516</f>
        <v>0</v>
      </c>
      <c r="AI414" s="70">
        <f>'RESUMEN TOTAL'!AP516</f>
        <v>0</v>
      </c>
      <c r="AJ414" s="70">
        <f>'RESUMEN TOTAL'!AQ516</f>
        <v>0</v>
      </c>
    </row>
    <row r="415" spans="1:36" x14ac:dyDescent="0.25">
      <c r="A415" t="str">
        <f>'RESUMEN TOTAL'!A517</f>
        <v>VILLA VATTEONE CENTRO</v>
      </c>
      <c r="B415" t="str">
        <f>'RESUMEN TOTAL'!B517</f>
        <v>VAT 25</v>
      </c>
      <c r="C415" t="str">
        <f>'RESUMEN TOTAL'!D517</f>
        <v>Mainini y Uruguay</v>
      </c>
      <c r="D415" s="30" t="str">
        <f>'RESUMEN TOTAL'!E517</f>
        <v>Fija</v>
      </c>
      <c r="E415" s="30" t="str">
        <f>'RESUMEN TOTAL'!F517</f>
        <v>Fibra Optica</v>
      </c>
      <c r="F415" s="70">
        <f>'RESUMEN TOTAL'!M517</f>
        <v>0</v>
      </c>
      <c r="G415" s="70">
        <f>'RESUMEN TOTAL'!N517</f>
        <v>0</v>
      </c>
      <c r="H415" s="70">
        <f>'RESUMEN TOTAL'!O517</f>
        <v>0</v>
      </c>
      <c r="I415" s="70">
        <f>'RESUMEN TOTAL'!P517</f>
        <v>0</v>
      </c>
      <c r="J415" s="70">
        <f>'RESUMEN TOTAL'!Q517</f>
        <v>0</v>
      </c>
      <c r="K415" s="70">
        <f>'RESUMEN TOTAL'!R517</f>
        <v>0</v>
      </c>
      <c r="L415" s="70">
        <f>'RESUMEN TOTAL'!S517</f>
        <v>0</v>
      </c>
      <c r="M415" s="70">
        <f>'RESUMEN TOTAL'!T517</f>
        <v>0</v>
      </c>
      <c r="N415" s="70">
        <f>'RESUMEN TOTAL'!U517</f>
        <v>0</v>
      </c>
      <c r="O415" s="70">
        <f>'RESUMEN TOTAL'!V517</f>
        <v>0</v>
      </c>
      <c r="P415" s="70">
        <f>'RESUMEN TOTAL'!W517</f>
        <v>0</v>
      </c>
      <c r="Q415" s="70">
        <f>'RESUMEN TOTAL'!X517</f>
        <v>0</v>
      </c>
      <c r="R415" s="70">
        <f>'RESUMEN TOTAL'!Y517</f>
        <v>0</v>
      </c>
      <c r="S415" s="70">
        <f>'RESUMEN TOTAL'!Z517</f>
        <v>0</v>
      </c>
      <c r="T415" s="70">
        <f>'RESUMEN TOTAL'!AA517</f>
        <v>0</v>
      </c>
      <c r="U415" s="70">
        <f>'RESUMEN TOTAL'!AB517</f>
        <v>0</v>
      </c>
      <c r="V415" s="70">
        <f>'RESUMEN TOTAL'!AC517</f>
        <v>0</v>
      </c>
      <c r="W415" s="70" t="str">
        <f>'RESUMEN TOTAL'!AD517</f>
        <v>APAGADO</v>
      </c>
      <c r="X415" s="70">
        <f>'RESUMEN TOTAL'!AE517</f>
        <v>0</v>
      </c>
      <c r="Y415" s="70">
        <f>'RESUMEN TOTAL'!AF517</f>
        <v>0</v>
      </c>
      <c r="Z415" s="70">
        <f>'RESUMEN TOTAL'!AG517</f>
        <v>0</v>
      </c>
      <c r="AA415" s="70">
        <f>'RESUMEN TOTAL'!AH517</f>
        <v>0</v>
      </c>
      <c r="AB415" s="70">
        <f>'RESUMEN TOTAL'!AI517</f>
        <v>0</v>
      </c>
      <c r="AC415" s="70">
        <f>'RESUMEN TOTAL'!AJ517</f>
        <v>0</v>
      </c>
      <c r="AD415" s="70">
        <f>'RESUMEN TOTAL'!AK517</f>
        <v>0</v>
      </c>
      <c r="AE415" s="70">
        <f>'RESUMEN TOTAL'!AL517</f>
        <v>0</v>
      </c>
      <c r="AF415" s="70">
        <f>'RESUMEN TOTAL'!AM517</f>
        <v>0</v>
      </c>
      <c r="AG415" s="70">
        <f>'RESUMEN TOTAL'!AN517</f>
        <v>0</v>
      </c>
      <c r="AH415" s="70">
        <f>'RESUMEN TOTAL'!AO517</f>
        <v>0</v>
      </c>
      <c r="AI415" s="70">
        <f>'RESUMEN TOTAL'!AP517</f>
        <v>0</v>
      </c>
      <c r="AJ415" s="70">
        <f>'RESUMEN TOTAL'!AQ517</f>
        <v>0</v>
      </c>
    </row>
    <row r="416" spans="1:36" x14ac:dyDescent="0.25">
      <c r="A416" t="str">
        <f>'RESUMEN TOTAL'!A518</f>
        <v>VILLA VATTEONE CENTRO</v>
      </c>
      <c r="B416" t="str">
        <f>'RESUMEN TOTAL'!B518</f>
        <v>VAT 26</v>
      </c>
      <c r="C416" t="str">
        <f>'RESUMEN TOTAL'!D518</f>
        <v>Mainini y Uruguay</v>
      </c>
      <c r="D416" s="30" t="str">
        <f>'RESUMEN TOTAL'!E518</f>
        <v>fija</v>
      </c>
      <c r="E416" s="30" t="str">
        <f>'RESUMEN TOTAL'!F518</f>
        <v>Fibra Optica</v>
      </c>
      <c r="F416" s="70">
        <f>'RESUMEN TOTAL'!M518</f>
        <v>0</v>
      </c>
      <c r="G416" s="70">
        <f>'RESUMEN TOTAL'!N518</f>
        <v>0</v>
      </c>
      <c r="H416" s="70">
        <f>'RESUMEN TOTAL'!O518</f>
        <v>0</v>
      </c>
      <c r="I416" s="70">
        <f>'RESUMEN TOTAL'!P518</f>
        <v>0</v>
      </c>
      <c r="J416" s="70">
        <f>'RESUMEN TOTAL'!Q518</f>
        <v>0</v>
      </c>
      <c r="K416" s="70">
        <f>'RESUMEN TOTAL'!R518</f>
        <v>0</v>
      </c>
      <c r="L416" s="70">
        <f>'RESUMEN TOTAL'!S518</f>
        <v>0</v>
      </c>
      <c r="M416" s="70">
        <f>'RESUMEN TOTAL'!T518</f>
        <v>0</v>
      </c>
      <c r="N416" s="70">
        <f>'RESUMEN TOTAL'!U518</f>
        <v>0</v>
      </c>
      <c r="O416" s="70">
        <f>'RESUMEN TOTAL'!V518</f>
        <v>0</v>
      </c>
      <c r="P416" s="70">
        <f>'RESUMEN TOTAL'!W518</f>
        <v>0</v>
      </c>
      <c r="Q416" s="70">
        <f>'RESUMEN TOTAL'!X518</f>
        <v>0</v>
      </c>
      <c r="R416" s="70">
        <f>'RESUMEN TOTAL'!Y518</f>
        <v>0</v>
      </c>
      <c r="S416" s="70">
        <f>'RESUMEN TOTAL'!Z518</f>
        <v>0</v>
      </c>
      <c r="T416" s="70">
        <f>'RESUMEN TOTAL'!AA518</f>
        <v>0</v>
      </c>
      <c r="U416" s="70">
        <f>'RESUMEN TOTAL'!AB518</f>
        <v>0</v>
      </c>
      <c r="V416" s="70">
        <f>'RESUMEN TOTAL'!AC518</f>
        <v>0</v>
      </c>
      <c r="W416" s="70" t="str">
        <f>'RESUMEN TOTAL'!AD518</f>
        <v>APAGADO</v>
      </c>
      <c r="X416" s="70">
        <f>'RESUMEN TOTAL'!AE518</f>
        <v>0</v>
      </c>
      <c r="Y416" s="70">
        <f>'RESUMEN TOTAL'!AF518</f>
        <v>0</v>
      </c>
      <c r="Z416" s="70">
        <f>'RESUMEN TOTAL'!AG518</f>
        <v>0</v>
      </c>
      <c r="AA416" s="70">
        <f>'RESUMEN TOTAL'!AH518</f>
        <v>0</v>
      </c>
      <c r="AB416" s="70">
        <f>'RESUMEN TOTAL'!AI518</f>
        <v>0</v>
      </c>
      <c r="AC416" s="70">
        <f>'RESUMEN TOTAL'!AJ518</f>
        <v>0</v>
      </c>
      <c r="AD416" s="70">
        <f>'RESUMEN TOTAL'!AK518</f>
        <v>0</v>
      </c>
      <c r="AE416" s="70">
        <f>'RESUMEN TOTAL'!AL518</f>
        <v>0</v>
      </c>
      <c r="AF416" s="70">
        <f>'RESUMEN TOTAL'!AM518</f>
        <v>0</v>
      </c>
      <c r="AG416" s="70">
        <f>'RESUMEN TOTAL'!AN518</f>
        <v>0</v>
      </c>
      <c r="AH416" s="70">
        <f>'RESUMEN TOTAL'!AO518</f>
        <v>0</v>
      </c>
      <c r="AI416" s="70">
        <f>'RESUMEN TOTAL'!AP518</f>
        <v>0</v>
      </c>
      <c r="AJ416" s="70">
        <f>'RESUMEN TOTAL'!AQ518</f>
        <v>0</v>
      </c>
    </row>
    <row r="417" spans="1:36" x14ac:dyDescent="0.25">
      <c r="A417" t="str">
        <f>'RESUMEN TOTAL'!A519</f>
        <v>VILLA VATTEONE</v>
      </c>
      <c r="B417" t="str">
        <f>'RESUMEN TOTAL'!B519</f>
        <v>VAT 27</v>
      </c>
      <c r="C417" t="str">
        <f>'RESUMEN TOTAL'!D519</f>
        <v>12 DE OCTUBRE Y ROSARIO</v>
      </c>
      <c r="D417" s="30" t="str">
        <f>'RESUMEN TOTAL'!E519</f>
        <v>DOMO</v>
      </c>
      <c r="E417" s="30" t="str">
        <f>'RESUMEN TOTAL'!F519</f>
        <v>GPON</v>
      </c>
      <c r="F417" s="70" t="str">
        <f>'RESUMEN TOTAL'!M519</f>
        <v>APAGADO</v>
      </c>
      <c r="G417" s="70" t="str">
        <f>'RESUMEN TOTAL'!N519</f>
        <v>APAGADO</v>
      </c>
      <c r="H417" s="70" t="str">
        <f>'RESUMEN TOTAL'!O519</f>
        <v>APAGADO</v>
      </c>
      <c r="I417" s="70" t="str">
        <f>'RESUMEN TOTAL'!P519</f>
        <v>APAGADO</v>
      </c>
      <c r="J417" s="70" t="str">
        <f>'RESUMEN TOTAL'!Q519</f>
        <v>APAGADO</v>
      </c>
      <c r="K417" s="70" t="str">
        <f>'RESUMEN TOTAL'!R519</f>
        <v>APAGADO</v>
      </c>
      <c r="L417" s="70" t="str">
        <f>'RESUMEN TOTAL'!S519</f>
        <v>APAGADO</v>
      </c>
      <c r="M417" s="70" t="str">
        <f>'RESUMEN TOTAL'!T519</f>
        <v>APAGADO</v>
      </c>
      <c r="N417" s="70" t="str">
        <f>'RESUMEN TOTAL'!U519</f>
        <v>APAGADO</v>
      </c>
      <c r="O417" s="70" t="str">
        <f>'RESUMEN TOTAL'!V519</f>
        <v>APAGADO</v>
      </c>
      <c r="P417" s="70" t="str">
        <f>'RESUMEN TOTAL'!W519</f>
        <v>APAGADO</v>
      </c>
      <c r="Q417" s="70" t="str">
        <f>'RESUMEN TOTAL'!X519</f>
        <v>APAGADO</v>
      </c>
      <c r="R417" s="70" t="str">
        <f>'RESUMEN TOTAL'!Y519</f>
        <v>APAGADO</v>
      </c>
      <c r="S417" s="70" t="str">
        <f>'RESUMEN TOTAL'!Z519</f>
        <v>APAGADO</v>
      </c>
      <c r="T417" s="70" t="str">
        <f>'RESUMEN TOTAL'!AA519</f>
        <v>APAGADO</v>
      </c>
      <c r="U417" s="70" t="str">
        <f>'RESUMEN TOTAL'!AB519</f>
        <v>APAGADO</v>
      </c>
      <c r="V417" s="70" t="str">
        <f>'RESUMEN TOTAL'!AC519</f>
        <v>APAGADO</v>
      </c>
      <c r="W417" s="70" t="str">
        <f>'RESUMEN TOTAL'!AD519</f>
        <v>APAGADO</v>
      </c>
      <c r="X417" s="70">
        <f>'RESUMEN TOTAL'!AE519</f>
        <v>0</v>
      </c>
      <c r="Y417" s="70">
        <f>'RESUMEN TOTAL'!AF519</f>
        <v>0</v>
      </c>
      <c r="Z417" s="70">
        <f>'RESUMEN TOTAL'!AG519</f>
        <v>0</v>
      </c>
      <c r="AA417" s="70">
        <f>'RESUMEN TOTAL'!AH519</f>
        <v>0</v>
      </c>
      <c r="AB417" s="70">
        <f>'RESUMEN TOTAL'!AI519</f>
        <v>0</v>
      </c>
      <c r="AC417" s="70">
        <f>'RESUMEN TOTAL'!AJ519</f>
        <v>0</v>
      </c>
      <c r="AD417" s="70">
        <f>'RESUMEN TOTAL'!AK519</f>
        <v>0</v>
      </c>
      <c r="AE417" s="70">
        <f>'RESUMEN TOTAL'!AL519</f>
        <v>0</v>
      </c>
      <c r="AF417" s="70">
        <f>'RESUMEN TOTAL'!AM519</f>
        <v>0</v>
      </c>
      <c r="AG417" s="70">
        <f>'RESUMEN TOTAL'!AN519</f>
        <v>0</v>
      </c>
      <c r="AH417" s="70">
        <f>'RESUMEN TOTAL'!AO519</f>
        <v>0</v>
      </c>
      <c r="AI417" s="70">
        <f>'RESUMEN TOTAL'!AP519</f>
        <v>0</v>
      </c>
      <c r="AJ417" s="70">
        <f>'RESUMEN TOTAL'!AQ519</f>
        <v>0</v>
      </c>
    </row>
    <row r="418" spans="1:36" x14ac:dyDescent="0.25">
      <c r="A418" t="str">
        <f>'RESUMEN TOTAL'!A525</f>
        <v>VILLA AURORA</v>
      </c>
      <c r="B418" t="str">
        <f>'RESUMEN TOTAL'!B525</f>
        <v>VAU 01</v>
      </c>
      <c r="C418" t="str">
        <f>'RESUMEN TOTAL'!D525</f>
        <v>San Martin y Monteverde</v>
      </c>
      <c r="D418" s="30" t="str">
        <f>'RESUMEN TOTAL'!E525</f>
        <v>Domo</v>
      </c>
      <c r="E418" s="30" t="str">
        <f>'RESUMEN TOTAL'!F525</f>
        <v>Fibra Optica</v>
      </c>
      <c r="F418" s="70">
        <f>'RESUMEN TOTAL'!M525</f>
        <v>0</v>
      </c>
      <c r="G418" s="70">
        <f>'RESUMEN TOTAL'!N525</f>
        <v>0</v>
      </c>
      <c r="H418" s="70" t="str">
        <f>'RESUMEN TOTAL'!O525</f>
        <v>APAGADO</v>
      </c>
      <c r="I418" s="70" t="str">
        <f>'RESUMEN TOTAL'!P525</f>
        <v>APAGADO</v>
      </c>
      <c r="J418" s="70" t="str">
        <f>'RESUMEN TOTAL'!Q525</f>
        <v>APAGADO</v>
      </c>
      <c r="K418" s="70">
        <f>'RESUMEN TOTAL'!R525</f>
        <v>0</v>
      </c>
      <c r="L418" s="70">
        <f>'RESUMEN TOTAL'!S525</f>
        <v>0</v>
      </c>
      <c r="M418" s="70">
        <f>'RESUMEN TOTAL'!T525</f>
        <v>0</v>
      </c>
      <c r="N418" s="70">
        <f>'RESUMEN TOTAL'!U525</f>
        <v>0</v>
      </c>
      <c r="O418" s="70">
        <f>'RESUMEN TOTAL'!V525</f>
        <v>0</v>
      </c>
      <c r="P418" s="70">
        <f>'RESUMEN TOTAL'!W525</f>
        <v>0</v>
      </c>
      <c r="Q418" s="70">
        <f>'RESUMEN TOTAL'!X525</f>
        <v>0</v>
      </c>
      <c r="R418" s="70">
        <f>'RESUMEN TOTAL'!Y525</f>
        <v>0</v>
      </c>
      <c r="S418" s="70">
        <f>'RESUMEN TOTAL'!Z525</f>
        <v>0</v>
      </c>
      <c r="T418" s="70">
        <f>'RESUMEN TOTAL'!AA525</f>
        <v>0</v>
      </c>
      <c r="U418" s="70">
        <f>'RESUMEN TOTAL'!AB525</f>
        <v>0</v>
      </c>
      <c r="V418" s="70">
        <f>'RESUMEN TOTAL'!AC525</f>
        <v>0</v>
      </c>
      <c r="W418" s="70">
        <f>'RESUMEN TOTAL'!AD525</f>
        <v>0</v>
      </c>
      <c r="X418" s="70">
        <f>'RESUMEN TOTAL'!AE525</f>
        <v>0</v>
      </c>
      <c r="Y418" s="70">
        <f>'RESUMEN TOTAL'!AF525</f>
        <v>0</v>
      </c>
      <c r="Z418" s="70">
        <f>'RESUMEN TOTAL'!AG525</f>
        <v>0</v>
      </c>
      <c r="AA418" s="70">
        <f>'RESUMEN TOTAL'!AH525</f>
        <v>0</v>
      </c>
      <c r="AB418" s="70">
        <f>'RESUMEN TOTAL'!AI525</f>
        <v>0</v>
      </c>
      <c r="AC418" s="70">
        <f>'RESUMEN TOTAL'!AJ525</f>
        <v>0</v>
      </c>
      <c r="AD418" s="70">
        <f>'RESUMEN TOTAL'!AK525</f>
        <v>0</v>
      </c>
      <c r="AE418" s="70">
        <f>'RESUMEN TOTAL'!AL525</f>
        <v>0</v>
      </c>
      <c r="AF418" s="70">
        <f>'RESUMEN TOTAL'!AM525</f>
        <v>0</v>
      </c>
      <c r="AG418" s="70">
        <f>'RESUMEN TOTAL'!AN525</f>
        <v>0</v>
      </c>
      <c r="AH418" s="70">
        <f>'RESUMEN TOTAL'!AO525</f>
        <v>0</v>
      </c>
      <c r="AI418" s="70">
        <f>'RESUMEN TOTAL'!AP525</f>
        <v>0</v>
      </c>
      <c r="AJ418" s="70">
        <f>'RESUMEN TOTAL'!AQ525</f>
        <v>0</v>
      </c>
    </row>
    <row r="419" spans="1:36" x14ac:dyDescent="0.25">
      <c r="A419" t="str">
        <f>'RESUMEN TOTAL'!A526</f>
        <v>SAN EMILIO</v>
      </c>
      <c r="B419" t="str">
        <f>'RESUMEN TOTAL'!B526</f>
        <v>VAU 02</v>
      </c>
      <c r="C419" t="str">
        <f>'RESUMEN TOTAL'!D526</f>
        <v>San Martin y Lope de Vega</v>
      </c>
      <c r="D419" s="30" t="str">
        <f>'RESUMEN TOTAL'!E526</f>
        <v>Domo</v>
      </c>
      <c r="E419" s="30" t="str">
        <f>'RESUMEN TOTAL'!F526</f>
        <v>Fibra Optica</v>
      </c>
      <c r="F419" s="70">
        <f>'RESUMEN TOTAL'!M526</f>
        <v>0</v>
      </c>
      <c r="G419" s="70">
        <f>'RESUMEN TOTAL'!N526</f>
        <v>0</v>
      </c>
      <c r="H419" s="70" t="str">
        <f>'RESUMEN TOTAL'!O526</f>
        <v>APAGADO</v>
      </c>
      <c r="I419" s="70" t="str">
        <f>'RESUMEN TOTAL'!P526</f>
        <v>APAGADO</v>
      </c>
      <c r="J419" s="70" t="str">
        <f>'RESUMEN TOTAL'!Q526</f>
        <v>APAGADO</v>
      </c>
      <c r="K419" s="70">
        <f>'RESUMEN TOTAL'!R526</f>
        <v>0</v>
      </c>
      <c r="L419" s="70">
        <f>'RESUMEN TOTAL'!S526</f>
        <v>0</v>
      </c>
      <c r="M419" s="70">
        <f>'RESUMEN TOTAL'!T526</f>
        <v>0</v>
      </c>
      <c r="N419" s="70">
        <f>'RESUMEN TOTAL'!U526</f>
        <v>0</v>
      </c>
      <c r="O419" s="70">
        <f>'RESUMEN TOTAL'!V526</f>
        <v>0</v>
      </c>
      <c r="P419" s="70">
        <f>'RESUMEN TOTAL'!W526</f>
        <v>0</v>
      </c>
      <c r="Q419" s="70">
        <f>'RESUMEN TOTAL'!X526</f>
        <v>0</v>
      </c>
      <c r="R419" s="70">
        <f>'RESUMEN TOTAL'!Y526</f>
        <v>0</v>
      </c>
      <c r="S419" s="70">
        <f>'RESUMEN TOTAL'!Z526</f>
        <v>0</v>
      </c>
      <c r="T419" s="70">
        <f>'RESUMEN TOTAL'!AA526</f>
        <v>0</v>
      </c>
      <c r="U419" s="70">
        <f>'RESUMEN TOTAL'!AB526</f>
        <v>0</v>
      </c>
      <c r="V419" s="70">
        <f>'RESUMEN TOTAL'!AC526</f>
        <v>0</v>
      </c>
      <c r="W419" s="70">
        <f>'RESUMEN TOTAL'!AD526</f>
        <v>0</v>
      </c>
      <c r="X419" s="70">
        <f>'RESUMEN TOTAL'!AE526</f>
        <v>0</v>
      </c>
      <c r="Y419" s="70">
        <f>'RESUMEN TOTAL'!AF526</f>
        <v>0</v>
      </c>
      <c r="Z419" s="70">
        <f>'RESUMEN TOTAL'!AG526</f>
        <v>0</v>
      </c>
      <c r="AA419" s="70">
        <f>'RESUMEN TOTAL'!AH526</f>
        <v>0</v>
      </c>
      <c r="AB419" s="70">
        <f>'RESUMEN TOTAL'!AI526</f>
        <v>0</v>
      </c>
      <c r="AC419" s="70">
        <f>'RESUMEN TOTAL'!AJ526</f>
        <v>0</v>
      </c>
      <c r="AD419" s="70">
        <f>'RESUMEN TOTAL'!AK526</f>
        <v>0</v>
      </c>
      <c r="AE419" s="70">
        <f>'RESUMEN TOTAL'!AL526</f>
        <v>0</v>
      </c>
      <c r="AF419" s="70">
        <f>'RESUMEN TOTAL'!AM526</f>
        <v>0</v>
      </c>
      <c r="AG419" s="70">
        <f>'RESUMEN TOTAL'!AN526</f>
        <v>0</v>
      </c>
      <c r="AH419" s="70">
        <f>'RESUMEN TOTAL'!AO526</f>
        <v>0</v>
      </c>
      <c r="AI419" s="70">
        <f>'RESUMEN TOTAL'!AP526</f>
        <v>0</v>
      </c>
      <c r="AJ419" s="70">
        <f>'RESUMEN TOTAL'!AQ526</f>
        <v>0</v>
      </c>
    </row>
    <row r="420" spans="1:36" x14ac:dyDescent="0.25">
      <c r="A420" t="str">
        <f>'RESUMEN TOTAL'!A527</f>
        <v>VILLA AURORA</v>
      </c>
      <c r="B420" t="str">
        <f>'RESUMEN TOTAL'!B527</f>
        <v>VAU03 (fija 1)</v>
      </c>
      <c r="C420" t="str">
        <f>'RESUMEN TOTAL'!D527</f>
        <v>PIZZURNO Y NUESTRAS MALVINAS</v>
      </c>
      <c r="D420" s="30" t="str">
        <f>'RESUMEN TOTAL'!E527</f>
        <v>Fija</v>
      </c>
      <c r="E420" s="30" t="str">
        <f>'RESUMEN TOTAL'!F527</f>
        <v>Fibra Optica</v>
      </c>
      <c r="F420" s="70">
        <f>'RESUMEN TOTAL'!M527</f>
        <v>0</v>
      </c>
      <c r="G420" s="70">
        <f>'RESUMEN TOTAL'!N527</f>
        <v>0</v>
      </c>
      <c r="H420" s="70">
        <f>'RESUMEN TOTAL'!O527</f>
        <v>0</v>
      </c>
      <c r="I420" s="70">
        <f>'RESUMEN TOTAL'!P527</f>
        <v>0</v>
      </c>
      <c r="J420" s="70">
        <f>'RESUMEN TOTAL'!Q527</f>
        <v>0</v>
      </c>
      <c r="K420" s="70">
        <f>'RESUMEN TOTAL'!R527</f>
        <v>0</v>
      </c>
      <c r="L420" s="70">
        <f>'RESUMEN TOTAL'!S527</f>
        <v>0</v>
      </c>
      <c r="M420" s="70">
        <f>'RESUMEN TOTAL'!T527</f>
        <v>0</v>
      </c>
      <c r="N420" s="70">
        <f>'RESUMEN TOTAL'!U527</f>
        <v>0</v>
      </c>
      <c r="O420" s="70">
        <f>'RESUMEN TOTAL'!V527</f>
        <v>0</v>
      </c>
      <c r="P420" s="70">
        <f>'RESUMEN TOTAL'!W527</f>
        <v>0</v>
      </c>
      <c r="Q420" s="70">
        <f>'RESUMEN TOTAL'!X527</f>
        <v>0</v>
      </c>
      <c r="R420" s="70">
        <f>'RESUMEN TOTAL'!Y527</f>
        <v>0</v>
      </c>
      <c r="S420" s="70">
        <f>'RESUMEN TOTAL'!Z527</f>
        <v>0</v>
      </c>
      <c r="T420" s="70">
        <f>'RESUMEN TOTAL'!AA527</f>
        <v>0</v>
      </c>
      <c r="U420" s="70">
        <f>'RESUMEN TOTAL'!AB527</f>
        <v>0</v>
      </c>
      <c r="V420" s="70">
        <f>'RESUMEN TOTAL'!AC527</f>
        <v>0</v>
      </c>
      <c r="W420" s="70">
        <f>'RESUMEN TOTAL'!AD527</f>
        <v>0</v>
      </c>
      <c r="X420" s="70">
        <f>'RESUMEN TOTAL'!AE527</f>
        <v>0</v>
      </c>
      <c r="Y420" s="70">
        <f>'RESUMEN TOTAL'!AF527</f>
        <v>0</v>
      </c>
      <c r="Z420" s="70">
        <f>'RESUMEN TOTAL'!AG527</f>
        <v>0</v>
      </c>
      <c r="AA420" s="70">
        <f>'RESUMEN TOTAL'!AH527</f>
        <v>0</v>
      </c>
      <c r="AB420" s="70">
        <f>'RESUMEN TOTAL'!AI527</f>
        <v>0</v>
      </c>
      <c r="AC420" s="70">
        <f>'RESUMEN TOTAL'!AJ527</f>
        <v>0</v>
      </c>
      <c r="AD420" s="70">
        <f>'RESUMEN TOTAL'!AK527</f>
        <v>0</v>
      </c>
      <c r="AE420" s="70">
        <f>'RESUMEN TOTAL'!AL527</f>
        <v>0</v>
      </c>
      <c r="AF420" s="70">
        <f>'RESUMEN TOTAL'!AM527</f>
        <v>0</v>
      </c>
      <c r="AG420" s="70">
        <f>'RESUMEN TOTAL'!AN527</f>
        <v>0</v>
      </c>
      <c r="AH420" s="70">
        <f>'RESUMEN TOTAL'!AO527</f>
        <v>0</v>
      </c>
      <c r="AI420" s="70">
        <f>'RESUMEN TOTAL'!AP527</f>
        <v>0</v>
      </c>
      <c r="AJ420" s="70">
        <f>'RESUMEN TOTAL'!AQ527</f>
        <v>0</v>
      </c>
    </row>
    <row r="421" spans="1:36" x14ac:dyDescent="0.25">
      <c r="A421" t="str">
        <f>'RESUMEN TOTAL'!A528</f>
        <v>VILLA AURORA</v>
      </c>
      <c r="B421" t="str">
        <f>'RESUMEN TOTAL'!B528</f>
        <v>VAU04 (fija 2)</v>
      </c>
      <c r="C421" t="str">
        <f>'RESUMEN TOTAL'!D528</f>
        <v>PIZZURNO Y NUESTRAS MALVINAS</v>
      </c>
      <c r="D421" s="30" t="str">
        <f>'RESUMEN TOTAL'!E528</f>
        <v>Fija</v>
      </c>
      <c r="E421" s="30" t="str">
        <f>'RESUMEN TOTAL'!F528</f>
        <v>Fibra Optica</v>
      </c>
      <c r="F421" s="70">
        <f>'RESUMEN TOTAL'!M528</f>
        <v>0</v>
      </c>
      <c r="G421" s="70">
        <f>'RESUMEN TOTAL'!N528</f>
        <v>0</v>
      </c>
      <c r="H421" s="70">
        <f>'RESUMEN TOTAL'!O528</f>
        <v>0</v>
      </c>
      <c r="I421" s="70">
        <f>'RESUMEN TOTAL'!P528</f>
        <v>0</v>
      </c>
      <c r="J421" s="70">
        <f>'RESUMEN TOTAL'!Q528</f>
        <v>0</v>
      </c>
      <c r="K421" s="70">
        <f>'RESUMEN TOTAL'!R528</f>
        <v>0</v>
      </c>
      <c r="L421" s="70">
        <f>'RESUMEN TOTAL'!S528</f>
        <v>0</v>
      </c>
      <c r="M421" s="70">
        <f>'RESUMEN TOTAL'!T528</f>
        <v>0</v>
      </c>
      <c r="N421" s="70">
        <f>'RESUMEN TOTAL'!U528</f>
        <v>0</v>
      </c>
      <c r="O421" s="70">
        <f>'RESUMEN TOTAL'!V528</f>
        <v>0</v>
      </c>
      <c r="P421" s="70">
        <f>'RESUMEN TOTAL'!W528</f>
        <v>0</v>
      </c>
      <c r="Q421" s="70">
        <f>'RESUMEN TOTAL'!X528</f>
        <v>0</v>
      </c>
      <c r="R421" s="70">
        <f>'RESUMEN TOTAL'!Y528</f>
        <v>0</v>
      </c>
      <c r="S421" s="70">
        <f>'RESUMEN TOTAL'!Z528</f>
        <v>0</v>
      </c>
      <c r="T421" s="70">
        <f>'RESUMEN TOTAL'!AA528</f>
        <v>0</v>
      </c>
      <c r="U421" s="70">
        <f>'RESUMEN TOTAL'!AB528</f>
        <v>0</v>
      </c>
      <c r="V421" s="70">
        <f>'RESUMEN TOTAL'!AC528</f>
        <v>0</v>
      </c>
      <c r="W421" s="70">
        <f>'RESUMEN TOTAL'!AD528</f>
        <v>0</v>
      </c>
      <c r="X421" s="70">
        <f>'RESUMEN TOTAL'!AE528</f>
        <v>0</v>
      </c>
      <c r="Y421" s="70">
        <f>'RESUMEN TOTAL'!AF528</f>
        <v>0</v>
      </c>
      <c r="Z421" s="70">
        <f>'RESUMEN TOTAL'!AG528</f>
        <v>0</v>
      </c>
      <c r="AA421" s="70">
        <f>'RESUMEN TOTAL'!AH528</f>
        <v>0</v>
      </c>
      <c r="AB421" s="70">
        <f>'RESUMEN TOTAL'!AI528</f>
        <v>0</v>
      </c>
      <c r="AC421" s="70">
        <f>'RESUMEN TOTAL'!AJ528</f>
        <v>0</v>
      </c>
      <c r="AD421" s="70">
        <f>'RESUMEN TOTAL'!AK528</f>
        <v>0</v>
      </c>
      <c r="AE421" s="70">
        <f>'RESUMEN TOTAL'!AL528</f>
        <v>0</v>
      </c>
      <c r="AF421" s="70">
        <f>'RESUMEN TOTAL'!AM528</f>
        <v>0</v>
      </c>
      <c r="AG421" s="70">
        <f>'RESUMEN TOTAL'!AN528</f>
        <v>0</v>
      </c>
      <c r="AH421" s="70">
        <f>'RESUMEN TOTAL'!AO528</f>
        <v>0</v>
      </c>
      <c r="AI421" s="70">
        <f>'RESUMEN TOTAL'!AP528</f>
        <v>0</v>
      </c>
      <c r="AJ421" s="70">
        <f>'RESUMEN TOTAL'!AQ528</f>
        <v>0</v>
      </c>
    </row>
    <row r="422" spans="1:36" x14ac:dyDescent="0.25">
      <c r="A422" t="str">
        <f>'RESUMEN TOTAL'!A529</f>
        <v>VILLA AURORA</v>
      </c>
      <c r="B422" t="str">
        <f>'RESUMEN TOTAL'!B529</f>
        <v>VAU05 (fija 1)</v>
      </c>
      <c r="C422" t="str">
        <f>'RESUMEN TOTAL'!D529</f>
        <v>GUIDO SPANO Y VICTORINO DE LA PLAZA</v>
      </c>
      <c r="D422" s="30" t="str">
        <f>'RESUMEN TOTAL'!E529</f>
        <v>Fija</v>
      </c>
      <c r="E422" s="30" t="str">
        <f>'RESUMEN TOTAL'!F529</f>
        <v>Fibra Optica</v>
      </c>
      <c r="F422" s="70">
        <f>'RESUMEN TOTAL'!M529</f>
        <v>0</v>
      </c>
      <c r="G422" s="70" t="str">
        <f>'RESUMEN TOTAL'!N529</f>
        <v>APAGADO</v>
      </c>
      <c r="H422" s="70" t="str">
        <f>'RESUMEN TOTAL'!O529</f>
        <v>APAGADO</v>
      </c>
      <c r="I422" s="70" t="str">
        <f>'RESUMEN TOTAL'!P529</f>
        <v>APAGADO</v>
      </c>
      <c r="J422" s="70" t="str">
        <f>'RESUMEN TOTAL'!Q529</f>
        <v>APAGADO</v>
      </c>
      <c r="K422" s="70">
        <f>'RESUMEN TOTAL'!R529</f>
        <v>0</v>
      </c>
      <c r="L422" s="70">
        <f>'RESUMEN TOTAL'!S529</f>
        <v>0</v>
      </c>
      <c r="M422" s="70">
        <f>'RESUMEN TOTAL'!T529</f>
        <v>0</v>
      </c>
      <c r="N422" s="70">
        <f>'RESUMEN TOTAL'!U529</f>
        <v>0</v>
      </c>
      <c r="O422" s="70">
        <f>'RESUMEN TOTAL'!V529</f>
        <v>0</v>
      </c>
      <c r="P422" s="70">
        <f>'RESUMEN TOTAL'!W529</f>
        <v>0</v>
      </c>
      <c r="Q422" s="70">
        <f>'RESUMEN TOTAL'!X529</f>
        <v>0</v>
      </c>
      <c r="R422" s="70">
        <f>'RESUMEN TOTAL'!Y529</f>
        <v>0</v>
      </c>
      <c r="S422" s="70">
        <f>'RESUMEN TOTAL'!Z529</f>
        <v>0</v>
      </c>
      <c r="T422" s="70">
        <f>'RESUMEN TOTAL'!AA529</f>
        <v>0</v>
      </c>
      <c r="U422" s="70">
        <f>'RESUMEN TOTAL'!AB529</f>
        <v>0</v>
      </c>
      <c r="V422" s="70">
        <f>'RESUMEN TOTAL'!AC529</f>
        <v>0</v>
      </c>
      <c r="W422" s="70">
        <f>'RESUMEN TOTAL'!AD529</f>
        <v>0</v>
      </c>
      <c r="X422" s="70">
        <f>'RESUMEN TOTAL'!AE529</f>
        <v>0</v>
      </c>
      <c r="Y422" s="70">
        <f>'RESUMEN TOTAL'!AF529</f>
        <v>0</v>
      </c>
      <c r="Z422" s="70">
        <f>'RESUMEN TOTAL'!AG529</f>
        <v>0</v>
      </c>
      <c r="AA422" s="70">
        <f>'RESUMEN TOTAL'!AH529</f>
        <v>0</v>
      </c>
      <c r="AB422" s="70">
        <f>'RESUMEN TOTAL'!AI529</f>
        <v>0</v>
      </c>
      <c r="AC422" s="70">
        <f>'RESUMEN TOTAL'!AJ529</f>
        <v>0</v>
      </c>
      <c r="AD422" s="70">
        <f>'RESUMEN TOTAL'!AK529</f>
        <v>0</v>
      </c>
      <c r="AE422" s="70">
        <f>'RESUMEN TOTAL'!AL529</f>
        <v>0</v>
      </c>
      <c r="AF422" s="70">
        <f>'RESUMEN TOTAL'!AM529</f>
        <v>0</v>
      </c>
      <c r="AG422" s="70">
        <f>'RESUMEN TOTAL'!AN529</f>
        <v>0</v>
      </c>
      <c r="AH422" s="70">
        <f>'RESUMEN TOTAL'!AO529</f>
        <v>0</v>
      </c>
      <c r="AI422" s="70">
        <f>'RESUMEN TOTAL'!AP529</f>
        <v>0</v>
      </c>
      <c r="AJ422" s="70">
        <f>'RESUMEN TOTAL'!AQ529</f>
        <v>0</v>
      </c>
    </row>
    <row r="423" spans="1:36" x14ac:dyDescent="0.25">
      <c r="A423" t="str">
        <f>'RESUMEN TOTAL'!A530</f>
        <v>VILLA AURORA</v>
      </c>
      <c r="B423" t="str">
        <f>'RESUMEN TOTAL'!B530</f>
        <v>VAU06 (fija 2)</v>
      </c>
      <c r="C423" t="str">
        <f>'RESUMEN TOTAL'!D530</f>
        <v>GUIDO SPANO Y VICTORINO DE LA PLAZA</v>
      </c>
      <c r="D423" s="30" t="str">
        <f>'RESUMEN TOTAL'!E530</f>
        <v>Fija</v>
      </c>
      <c r="E423" s="30" t="str">
        <f>'RESUMEN TOTAL'!F530</f>
        <v>Fibra Optica</v>
      </c>
      <c r="F423" s="70">
        <f>'RESUMEN TOTAL'!M530</f>
        <v>0</v>
      </c>
      <c r="G423" s="70" t="str">
        <f>'RESUMEN TOTAL'!N530</f>
        <v>APAGADO</v>
      </c>
      <c r="H423" s="70" t="str">
        <f>'RESUMEN TOTAL'!O530</f>
        <v>APAGADO</v>
      </c>
      <c r="I423" s="70" t="str">
        <f>'RESUMEN TOTAL'!P530</f>
        <v>APAGADO</v>
      </c>
      <c r="J423" s="70" t="str">
        <f>'RESUMEN TOTAL'!Q530</f>
        <v>APAGADO</v>
      </c>
      <c r="K423" s="70">
        <f>'RESUMEN TOTAL'!R530</f>
        <v>0</v>
      </c>
      <c r="L423" s="70">
        <f>'RESUMEN TOTAL'!S530</f>
        <v>0</v>
      </c>
      <c r="M423" s="70">
        <f>'RESUMEN TOTAL'!T530</f>
        <v>0</v>
      </c>
      <c r="N423" s="70">
        <f>'RESUMEN TOTAL'!U530</f>
        <v>0</v>
      </c>
      <c r="O423" s="70">
        <f>'RESUMEN TOTAL'!V530</f>
        <v>0</v>
      </c>
      <c r="P423" s="70">
        <f>'RESUMEN TOTAL'!W530</f>
        <v>0</v>
      </c>
      <c r="Q423" s="70">
        <f>'RESUMEN TOTAL'!X530</f>
        <v>0</v>
      </c>
      <c r="R423" s="70">
        <f>'RESUMEN TOTAL'!Y530</f>
        <v>0</v>
      </c>
      <c r="S423" s="70">
        <f>'RESUMEN TOTAL'!Z530</f>
        <v>0</v>
      </c>
      <c r="T423" s="70">
        <f>'RESUMEN TOTAL'!AA530</f>
        <v>0</v>
      </c>
      <c r="U423" s="70">
        <f>'RESUMEN TOTAL'!AB530</f>
        <v>0</v>
      </c>
      <c r="V423" s="70">
        <f>'RESUMEN TOTAL'!AC530</f>
        <v>0</v>
      </c>
      <c r="W423" s="70">
        <f>'RESUMEN TOTAL'!AD530</f>
        <v>0</v>
      </c>
      <c r="X423" s="70">
        <f>'RESUMEN TOTAL'!AE530</f>
        <v>0</v>
      </c>
      <c r="Y423" s="70">
        <f>'RESUMEN TOTAL'!AF530</f>
        <v>0</v>
      </c>
      <c r="Z423" s="70">
        <f>'RESUMEN TOTAL'!AG530</f>
        <v>0</v>
      </c>
      <c r="AA423" s="70">
        <f>'RESUMEN TOTAL'!AH530</f>
        <v>0</v>
      </c>
      <c r="AB423" s="70">
        <f>'RESUMEN TOTAL'!AI530</f>
        <v>0</v>
      </c>
      <c r="AC423" s="70">
        <f>'RESUMEN TOTAL'!AJ530</f>
        <v>0</v>
      </c>
      <c r="AD423" s="70">
        <f>'RESUMEN TOTAL'!AK530</f>
        <v>0</v>
      </c>
      <c r="AE423" s="70">
        <f>'RESUMEN TOTAL'!AL530</f>
        <v>0</v>
      </c>
      <c r="AF423" s="70">
        <f>'RESUMEN TOTAL'!AM530</f>
        <v>0</v>
      </c>
      <c r="AG423" s="70">
        <f>'RESUMEN TOTAL'!AN530</f>
        <v>0</v>
      </c>
      <c r="AH423" s="70">
        <f>'RESUMEN TOTAL'!AO530</f>
        <v>0</v>
      </c>
      <c r="AI423" s="70">
        <f>'RESUMEN TOTAL'!AP530</f>
        <v>0</v>
      </c>
      <c r="AJ423" s="70">
        <f>'RESUMEN TOTAL'!AQ530</f>
        <v>0</v>
      </c>
    </row>
    <row r="424" spans="1:36" x14ac:dyDescent="0.25">
      <c r="A424" t="str">
        <f>'RESUMEN TOTAL'!A531</f>
        <v>VILLA AURORA</v>
      </c>
      <c r="B424" t="str">
        <f>'RESUMEN TOTAL'!B531</f>
        <v>VAU 07</v>
      </c>
      <c r="C424" t="str">
        <f>'RESUMEN TOTAL'!D531</f>
        <v>VICTORINO DE LA PLAZA Y MONTEVERDE</v>
      </c>
      <c r="D424" s="30" t="str">
        <f>'RESUMEN TOTAL'!E531</f>
        <v>Domo</v>
      </c>
      <c r="E424" s="30" t="str">
        <f>'RESUMEN TOTAL'!F531</f>
        <v>Fibra Optica</v>
      </c>
      <c r="F424" s="70">
        <f>'RESUMEN TOTAL'!M531</f>
        <v>0</v>
      </c>
      <c r="G424" s="70">
        <f>'RESUMEN TOTAL'!N531</f>
        <v>0</v>
      </c>
      <c r="H424" s="70" t="str">
        <f>'RESUMEN TOTAL'!O531</f>
        <v>APAGADO</v>
      </c>
      <c r="I424" s="70" t="str">
        <f>'RESUMEN TOTAL'!P531</f>
        <v>APAGADO</v>
      </c>
      <c r="J424" s="70" t="str">
        <f>'RESUMEN TOTAL'!Q531</f>
        <v>APAGADO</v>
      </c>
      <c r="K424" s="70">
        <f>'RESUMEN TOTAL'!R531</f>
        <v>0</v>
      </c>
      <c r="L424" s="70">
        <f>'RESUMEN TOTAL'!S531</f>
        <v>0</v>
      </c>
      <c r="M424" s="70">
        <f>'RESUMEN TOTAL'!T531</f>
        <v>0</v>
      </c>
      <c r="N424" s="70">
        <f>'RESUMEN TOTAL'!U531</f>
        <v>0</v>
      </c>
      <c r="O424" s="70">
        <f>'RESUMEN TOTAL'!V531</f>
        <v>0</v>
      </c>
      <c r="P424" s="70">
        <f>'RESUMEN TOTAL'!W531</f>
        <v>0</v>
      </c>
      <c r="Q424" s="70">
        <f>'RESUMEN TOTAL'!X531</f>
        <v>0</v>
      </c>
      <c r="R424" s="70">
        <f>'RESUMEN TOTAL'!Y531</f>
        <v>0</v>
      </c>
      <c r="S424" s="70">
        <f>'RESUMEN TOTAL'!Z531</f>
        <v>0</v>
      </c>
      <c r="T424" s="70">
        <f>'RESUMEN TOTAL'!AA531</f>
        <v>0</v>
      </c>
      <c r="U424" s="70">
        <f>'RESUMEN TOTAL'!AB531</f>
        <v>0</v>
      </c>
      <c r="V424" s="70">
        <f>'RESUMEN TOTAL'!AC531</f>
        <v>0</v>
      </c>
      <c r="W424" s="70">
        <f>'RESUMEN TOTAL'!AD531</f>
        <v>0</v>
      </c>
      <c r="X424" s="70">
        <f>'RESUMEN TOTAL'!AE531</f>
        <v>0</v>
      </c>
      <c r="Y424" s="70">
        <f>'RESUMEN TOTAL'!AF531</f>
        <v>0</v>
      </c>
      <c r="Z424" s="70">
        <f>'RESUMEN TOTAL'!AG531</f>
        <v>0</v>
      </c>
      <c r="AA424" s="70">
        <f>'RESUMEN TOTAL'!AH531</f>
        <v>0</v>
      </c>
      <c r="AB424" s="70">
        <f>'RESUMEN TOTAL'!AI531</f>
        <v>0</v>
      </c>
      <c r="AC424" s="70">
        <f>'RESUMEN TOTAL'!AJ531</f>
        <v>0</v>
      </c>
      <c r="AD424" s="70">
        <f>'RESUMEN TOTAL'!AK531</f>
        <v>0</v>
      </c>
      <c r="AE424" s="70">
        <f>'RESUMEN TOTAL'!AL531</f>
        <v>0</v>
      </c>
      <c r="AF424" s="70">
        <f>'RESUMEN TOTAL'!AM531</f>
        <v>0</v>
      </c>
      <c r="AG424" s="70">
        <f>'RESUMEN TOTAL'!AN531</f>
        <v>0</v>
      </c>
      <c r="AH424" s="70">
        <f>'RESUMEN TOTAL'!AO531</f>
        <v>0</v>
      </c>
      <c r="AI424" s="70">
        <f>'RESUMEN TOTAL'!AP531</f>
        <v>0</v>
      </c>
      <c r="AJ424" s="70">
        <f>'RESUMEN TOTAL'!AQ531</f>
        <v>0</v>
      </c>
    </row>
    <row r="425" spans="1:36" x14ac:dyDescent="0.25">
      <c r="A425" t="str">
        <f>'RESUMEN TOTAL'!A532</f>
        <v>VILLA AURORA</v>
      </c>
      <c r="B425" t="str">
        <f>'RESUMEN TOTAL'!B532</f>
        <v>VAU08</v>
      </c>
      <c r="C425" t="str">
        <f>'RESUMEN TOTAL'!D532</f>
        <v>MONTEVERDE Y WASHINGTON</v>
      </c>
      <c r="D425" s="30" t="str">
        <f>'RESUMEN TOTAL'!E532</f>
        <v>DOMO</v>
      </c>
      <c r="E425" s="30" t="str">
        <f>'RESUMEN TOTAL'!F532</f>
        <v>Fibra Optica</v>
      </c>
      <c r="F425" s="70">
        <f>'RESUMEN TOTAL'!M532</f>
        <v>0</v>
      </c>
      <c r="G425" s="70" t="str">
        <f>'RESUMEN TOTAL'!N532</f>
        <v>APAGADO</v>
      </c>
      <c r="H425" s="70" t="str">
        <f>'RESUMEN TOTAL'!O532</f>
        <v>APAGADO</v>
      </c>
      <c r="I425" s="70" t="str">
        <f>'RESUMEN TOTAL'!P532</f>
        <v>APAGADO</v>
      </c>
      <c r="J425" s="70" t="str">
        <f>'RESUMEN TOTAL'!Q532</f>
        <v>APAGADO</v>
      </c>
      <c r="K425" s="70">
        <f>'RESUMEN TOTAL'!R532</f>
        <v>0</v>
      </c>
      <c r="L425" s="70">
        <f>'RESUMEN TOTAL'!S532</f>
        <v>0</v>
      </c>
      <c r="M425" s="70">
        <f>'RESUMEN TOTAL'!T532</f>
        <v>0</v>
      </c>
      <c r="N425" s="70">
        <f>'RESUMEN TOTAL'!U532</f>
        <v>0</v>
      </c>
      <c r="O425" s="70">
        <f>'RESUMEN TOTAL'!V532</f>
        <v>0</v>
      </c>
      <c r="P425" s="70">
        <f>'RESUMEN TOTAL'!W532</f>
        <v>0</v>
      </c>
      <c r="Q425" s="70">
        <f>'RESUMEN TOTAL'!X532</f>
        <v>0</v>
      </c>
      <c r="R425" s="70">
        <f>'RESUMEN TOTAL'!Y532</f>
        <v>0</v>
      </c>
      <c r="S425" s="70">
        <f>'RESUMEN TOTAL'!Z532</f>
        <v>0</v>
      </c>
      <c r="T425" s="70">
        <f>'RESUMEN TOTAL'!AA532</f>
        <v>0</v>
      </c>
      <c r="U425" s="70">
        <f>'RESUMEN TOTAL'!AB532</f>
        <v>0</v>
      </c>
      <c r="V425" s="70">
        <f>'RESUMEN TOTAL'!AC532</f>
        <v>0</v>
      </c>
      <c r="W425" s="70">
        <f>'RESUMEN TOTAL'!AD532</f>
        <v>0</v>
      </c>
      <c r="X425" s="70">
        <f>'RESUMEN TOTAL'!AE532</f>
        <v>0</v>
      </c>
      <c r="Y425" s="70">
        <f>'RESUMEN TOTAL'!AF532</f>
        <v>0</v>
      </c>
      <c r="Z425" s="70">
        <f>'RESUMEN TOTAL'!AG532</f>
        <v>0</v>
      </c>
      <c r="AA425" s="70">
        <f>'RESUMEN TOTAL'!AH532</f>
        <v>0</v>
      </c>
      <c r="AB425" s="70">
        <f>'RESUMEN TOTAL'!AI532</f>
        <v>0</v>
      </c>
      <c r="AC425" s="70">
        <f>'RESUMEN TOTAL'!AJ532</f>
        <v>0</v>
      </c>
      <c r="AD425" s="70">
        <f>'RESUMEN TOTAL'!AK532</f>
        <v>0</v>
      </c>
      <c r="AE425" s="70">
        <f>'RESUMEN TOTAL'!AL532</f>
        <v>0</v>
      </c>
      <c r="AF425" s="70">
        <f>'RESUMEN TOTAL'!AM532</f>
        <v>0</v>
      </c>
      <c r="AG425" s="70">
        <f>'RESUMEN TOTAL'!AN532</f>
        <v>0</v>
      </c>
      <c r="AH425" s="70">
        <f>'RESUMEN TOTAL'!AO532</f>
        <v>0</v>
      </c>
      <c r="AI425" s="70">
        <f>'RESUMEN TOTAL'!AP532</f>
        <v>0</v>
      </c>
      <c r="AJ425" s="70">
        <f>'RESUMEN TOTAL'!AQ532</f>
        <v>0</v>
      </c>
    </row>
    <row r="426" spans="1:36" x14ac:dyDescent="0.25">
      <c r="A426" t="str">
        <f>'RESUMEN TOTAL'!A534</f>
        <v>VILLA DEL PLATA</v>
      </c>
      <c r="B426" t="str">
        <f>'RESUMEN TOTAL'!B534</f>
        <v>VDPL02</v>
      </c>
      <c r="C426" t="str">
        <f>'RESUMEN TOTAL'!D534</f>
        <v>Thevenet y Berutti</v>
      </c>
      <c r="D426" s="30" t="str">
        <f>'RESUMEN TOTAL'!E534</f>
        <v>Domo</v>
      </c>
      <c r="E426" s="30" t="str">
        <f>'RESUMEN TOTAL'!F534</f>
        <v>Fibra Optica</v>
      </c>
      <c r="F426" s="70">
        <f>'RESUMEN TOTAL'!M534</f>
        <v>0</v>
      </c>
      <c r="G426" s="70">
        <f>'RESUMEN TOTAL'!N534</f>
        <v>0</v>
      </c>
      <c r="H426" s="70">
        <f>'RESUMEN TOTAL'!O534</f>
        <v>0</v>
      </c>
      <c r="I426" s="70">
        <f>'RESUMEN TOTAL'!P534</f>
        <v>0</v>
      </c>
      <c r="J426" s="70">
        <f>'RESUMEN TOTAL'!Q534</f>
        <v>0</v>
      </c>
      <c r="K426" s="70">
        <f>'RESUMEN TOTAL'!R534</f>
        <v>0</v>
      </c>
      <c r="L426" s="70">
        <f>'RESUMEN TOTAL'!S534</f>
        <v>0</v>
      </c>
      <c r="M426" s="70">
        <f>'RESUMEN TOTAL'!T534</f>
        <v>0</v>
      </c>
      <c r="N426" s="70">
        <f>'RESUMEN TOTAL'!U534</f>
        <v>0</v>
      </c>
      <c r="O426" s="70">
        <f>'RESUMEN TOTAL'!V534</f>
        <v>0</v>
      </c>
      <c r="P426" s="70">
        <f>'RESUMEN TOTAL'!W534</f>
        <v>0</v>
      </c>
      <c r="Q426" s="70">
        <f>'RESUMEN TOTAL'!X534</f>
        <v>0</v>
      </c>
      <c r="R426" s="70">
        <f>'RESUMEN TOTAL'!Y534</f>
        <v>0</v>
      </c>
      <c r="S426" s="70">
        <f>'RESUMEN TOTAL'!Z534</f>
        <v>0</v>
      </c>
      <c r="T426" s="70">
        <f>'RESUMEN TOTAL'!AA534</f>
        <v>0</v>
      </c>
      <c r="U426" s="70">
        <f>'RESUMEN TOTAL'!AB534</f>
        <v>0</v>
      </c>
      <c r="V426" s="70">
        <f>'RESUMEN TOTAL'!AC534</f>
        <v>0</v>
      </c>
      <c r="W426" s="70">
        <f>'RESUMEN TOTAL'!AD534</f>
        <v>0</v>
      </c>
      <c r="X426" s="70">
        <f>'RESUMEN TOTAL'!AE534</f>
        <v>0</v>
      </c>
      <c r="Y426" s="70">
        <f>'RESUMEN TOTAL'!AF534</f>
        <v>0</v>
      </c>
      <c r="Z426" s="70">
        <f>'RESUMEN TOTAL'!AG534</f>
        <v>0</v>
      </c>
      <c r="AA426" s="70">
        <f>'RESUMEN TOTAL'!AH534</f>
        <v>0</v>
      </c>
      <c r="AB426" s="70">
        <f>'RESUMEN TOTAL'!AI534</f>
        <v>0</v>
      </c>
      <c r="AC426" s="70">
        <f>'RESUMEN TOTAL'!AJ534</f>
        <v>0</v>
      </c>
      <c r="AD426" s="70">
        <f>'RESUMEN TOTAL'!AK534</f>
        <v>0</v>
      </c>
      <c r="AE426" s="70">
        <f>'RESUMEN TOTAL'!AL534</f>
        <v>0</v>
      </c>
      <c r="AF426" s="70">
        <f>'RESUMEN TOTAL'!AM534</f>
        <v>0</v>
      </c>
      <c r="AG426" s="70">
        <f>'RESUMEN TOTAL'!AN534</f>
        <v>0</v>
      </c>
      <c r="AH426" s="70">
        <f>'RESUMEN TOTAL'!AO534</f>
        <v>0</v>
      </c>
      <c r="AI426" s="70">
        <f>'RESUMEN TOTAL'!AP534</f>
        <v>0</v>
      </c>
      <c r="AJ426" s="70">
        <f>'RESUMEN TOTAL'!AQ534</f>
        <v>0</v>
      </c>
    </row>
    <row r="427" spans="1:36" x14ac:dyDescent="0.25">
      <c r="A427" t="str">
        <f>'RESUMEN TOTAL'!A535</f>
        <v>VILLA DEL PLATA</v>
      </c>
      <c r="B427" t="str">
        <f>'RESUMEN TOTAL'!B535</f>
        <v>VDPL03</v>
      </c>
      <c r="C427" t="str">
        <f>'RESUMEN TOTAL'!D535</f>
        <v>Neuquen y Alvarado</v>
      </c>
      <c r="D427" s="30" t="str">
        <f>'RESUMEN TOTAL'!E535</f>
        <v>Domo</v>
      </c>
      <c r="E427" s="30" t="str">
        <f>'RESUMEN TOTAL'!F535</f>
        <v>GPON</v>
      </c>
      <c r="F427" s="70">
        <f>'RESUMEN TOTAL'!M535</f>
        <v>0</v>
      </c>
      <c r="G427" s="70">
        <f>'RESUMEN TOTAL'!N535</f>
        <v>0</v>
      </c>
      <c r="H427" s="70">
        <f>'RESUMEN TOTAL'!O535</f>
        <v>0</v>
      </c>
      <c r="I427" s="70">
        <f>'RESUMEN TOTAL'!P535</f>
        <v>0</v>
      </c>
      <c r="J427" s="70">
        <f>'RESUMEN TOTAL'!Q535</f>
        <v>0</v>
      </c>
      <c r="K427" s="70">
        <f>'RESUMEN TOTAL'!R535</f>
        <v>0</v>
      </c>
      <c r="L427" s="70">
        <f>'RESUMEN TOTAL'!S535</f>
        <v>0</v>
      </c>
      <c r="M427" s="70">
        <f>'RESUMEN TOTAL'!T535</f>
        <v>0</v>
      </c>
      <c r="N427" s="70">
        <f>'RESUMEN TOTAL'!U535</f>
        <v>0</v>
      </c>
      <c r="O427" s="70">
        <f>'RESUMEN TOTAL'!V535</f>
        <v>0</v>
      </c>
      <c r="P427" s="70">
        <f>'RESUMEN TOTAL'!W535</f>
        <v>0</v>
      </c>
      <c r="Q427" s="70">
        <f>'RESUMEN TOTAL'!X535</f>
        <v>0</v>
      </c>
      <c r="R427" s="70">
        <f>'RESUMEN TOTAL'!Y535</f>
        <v>0</v>
      </c>
      <c r="S427" s="70">
        <f>'RESUMEN TOTAL'!Z535</f>
        <v>0</v>
      </c>
      <c r="T427" s="70">
        <f>'RESUMEN TOTAL'!AA535</f>
        <v>0</v>
      </c>
      <c r="U427" s="70">
        <f>'RESUMEN TOTAL'!AB535</f>
        <v>0</v>
      </c>
      <c r="V427" s="70">
        <f>'RESUMEN TOTAL'!AC535</f>
        <v>0</v>
      </c>
      <c r="W427" s="70">
        <f>'RESUMEN TOTAL'!AD535</f>
        <v>0</v>
      </c>
      <c r="X427" s="70">
        <f>'RESUMEN TOTAL'!AE535</f>
        <v>0</v>
      </c>
      <c r="Y427" s="70">
        <f>'RESUMEN TOTAL'!AF535</f>
        <v>0</v>
      </c>
      <c r="Z427" s="70">
        <f>'RESUMEN TOTAL'!AG535</f>
        <v>0</v>
      </c>
      <c r="AA427" s="70">
        <f>'RESUMEN TOTAL'!AH535</f>
        <v>0</v>
      </c>
      <c r="AB427" s="70">
        <f>'RESUMEN TOTAL'!AI535</f>
        <v>0</v>
      </c>
      <c r="AC427" s="70">
        <f>'RESUMEN TOTAL'!AJ535</f>
        <v>0</v>
      </c>
      <c r="AD427" s="70">
        <f>'RESUMEN TOTAL'!AK535</f>
        <v>0</v>
      </c>
      <c r="AE427" s="70">
        <f>'RESUMEN TOTAL'!AL535</f>
        <v>0</v>
      </c>
      <c r="AF427" s="70">
        <f>'RESUMEN TOTAL'!AM535</f>
        <v>0</v>
      </c>
      <c r="AG427" s="70">
        <f>'RESUMEN TOTAL'!AN535</f>
        <v>0</v>
      </c>
      <c r="AH427" s="70">
        <f>'RESUMEN TOTAL'!AO535</f>
        <v>0</v>
      </c>
      <c r="AI427" s="70">
        <f>'RESUMEN TOTAL'!AP535</f>
        <v>0</v>
      </c>
      <c r="AJ427" s="70">
        <f>'RESUMEN TOTAL'!AQ535</f>
        <v>0</v>
      </c>
    </row>
    <row r="428" spans="1:36" x14ac:dyDescent="0.25">
      <c r="A428" t="str">
        <f>'RESUMEN TOTAL'!A536</f>
        <v>VILLA DEL PLATA</v>
      </c>
      <c r="B428" t="str">
        <f>'RESUMEN TOTAL'!B536</f>
        <v>VDPL04</v>
      </c>
      <c r="C428" t="str">
        <f>'RESUMEN TOTAL'!D536</f>
        <v>Neuquen y Diagonal Guemes</v>
      </c>
      <c r="D428" s="30" t="str">
        <f>'RESUMEN TOTAL'!E536</f>
        <v>Domo</v>
      </c>
      <c r="E428" s="30" t="str">
        <f>'RESUMEN TOTAL'!F536</f>
        <v>GPON</v>
      </c>
      <c r="F428" s="70">
        <f>'RESUMEN TOTAL'!M536</f>
        <v>0</v>
      </c>
      <c r="G428" s="70">
        <f>'RESUMEN TOTAL'!N536</f>
        <v>0</v>
      </c>
      <c r="H428" s="70">
        <f>'RESUMEN TOTAL'!O536</f>
        <v>0</v>
      </c>
      <c r="I428" s="70">
        <f>'RESUMEN TOTAL'!P536</f>
        <v>0</v>
      </c>
      <c r="J428" s="70">
        <f>'RESUMEN TOTAL'!Q536</f>
        <v>0</v>
      </c>
      <c r="K428" s="70">
        <f>'RESUMEN TOTAL'!R536</f>
        <v>0</v>
      </c>
      <c r="L428" s="70">
        <f>'RESUMEN TOTAL'!S536</f>
        <v>0</v>
      </c>
      <c r="M428" s="70">
        <f>'RESUMEN TOTAL'!T536</f>
        <v>0</v>
      </c>
      <c r="N428" s="70">
        <f>'RESUMEN TOTAL'!U536</f>
        <v>0</v>
      </c>
      <c r="O428" s="70">
        <f>'RESUMEN TOTAL'!V536</f>
        <v>0</v>
      </c>
      <c r="P428" s="70">
        <f>'RESUMEN TOTAL'!W536</f>
        <v>0</v>
      </c>
      <c r="Q428" s="70">
        <f>'RESUMEN TOTAL'!X536</f>
        <v>0</v>
      </c>
      <c r="R428" s="70">
        <f>'RESUMEN TOTAL'!Y536</f>
        <v>0</v>
      </c>
      <c r="S428" s="70">
        <f>'RESUMEN TOTAL'!Z536</f>
        <v>0</v>
      </c>
      <c r="T428" s="70">
        <f>'RESUMEN TOTAL'!AA536</f>
        <v>0</v>
      </c>
      <c r="U428" s="70">
        <f>'RESUMEN TOTAL'!AB536</f>
        <v>0</v>
      </c>
      <c r="V428" s="70">
        <f>'RESUMEN TOTAL'!AC536</f>
        <v>0</v>
      </c>
      <c r="W428" s="70">
        <f>'RESUMEN TOTAL'!AD536</f>
        <v>0</v>
      </c>
      <c r="X428" s="70">
        <f>'RESUMEN TOTAL'!AE536</f>
        <v>0</v>
      </c>
      <c r="Y428" s="70">
        <f>'RESUMEN TOTAL'!AF536</f>
        <v>0</v>
      </c>
      <c r="Z428" s="70">
        <f>'RESUMEN TOTAL'!AG536</f>
        <v>0</v>
      </c>
      <c r="AA428" s="70">
        <f>'RESUMEN TOTAL'!AH536</f>
        <v>0</v>
      </c>
      <c r="AB428" s="70">
        <f>'RESUMEN TOTAL'!AI536</f>
        <v>0</v>
      </c>
      <c r="AC428" s="70">
        <f>'RESUMEN TOTAL'!AJ536</f>
        <v>0</v>
      </c>
      <c r="AD428" s="70">
        <f>'RESUMEN TOTAL'!AK536</f>
        <v>0</v>
      </c>
      <c r="AE428" s="70">
        <f>'RESUMEN TOTAL'!AL536</f>
        <v>0</v>
      </c>
      <c r="AF428" s="70">
        <f>'RESUMEN TOTAL'!AM536</f>
        <v>0</v>
      </c>
      <c r="AG428" s="70">
        <f>'RESUMEN TOTAL'!AN536</f>
        <v>0</v>
      </c>
      <c r="AH428" s="70">
        <f>'RESUMEN TOTAL'!AO536</f>
        <v>0</v>
      </c>
      <c r="AI428" s="70">
        <f>'RESUMEN TOTAL'!AP536</f>
        <v>0</v>
      </c>
      <c r="AJ428" s="70">
        <f>'RESUMEN TOTAL'!AQ536</f>
        <v>0</v>
      </c>
    </row>
    <row r="429" spans="1:36" x14ac:dyDescent="0.25">
      <c r="A429" t="str">
        <f>'RESUMEN TOTAL'!A537</f>
        <v>VILLA DEL PLATA</v>
      </c>
      <c r="B429" t="str">
        <f>'RESUMEN TOTAL'!B537</f>
        <v>VDPL05</v>
      </c>
      <c r="C429" t="str">
        <f>'RESUMEN TOTAL'!D537</f>
        <v>Ruta 36 y Abraham</v>
      </c>
      <c r="D429" s="30" t="str">
        <f>'RESUMEN TOTAL'!E537</f>
        <v>Domo</v>
      </c>
      <c r="E429" s="30" t="str">
        <f>'RESUMEN TOTAL'!F537</f>
        <v>PTO A FO</v>
      </c>
      <c r="F429" s="70">
        <f>'RESUMEN TOTAL'!M537</f>
        <v>0</v>
      </c>
      <c r="G429" s="70">
        <f>'RESUMEN TOTAL'!N537</f>
        <v>0</v>
      </c>
      <c r="H429" s="70">
        <f>'RESUMEN TOTAL'!O537</f>
        <v>0</v>
      </c>
      <c r="I429" s="70">
        <f>'RESUMEN TOTAL'!P537</f>
        <v>0</v>
      </c>
      <c r="J429" s="70">
        <f>'RESUMEN TOTAL'!Q537</f>
        <v>0</v>
      </c>
      <c r="K429" s="70">
        <f>'RESUMEN TOTAL'!R537</f>
        <v>0</v>
      </c>
      <c r="L429" s="70">
        <f>'RESUMEN TOTAL'!S537</f>
        <v>0</v>
      </c>
      <c r="M429" s="70">
        <f>'RESUMEN TOTAL'!T537</f>
        <v>0</v>
      </c>
      <c r="N429" s="70">
        <f>'RESUMEN TOTAL'!U537</f>
        <v>0</v>
      </c>
      <c r="O429" s="70">
        <f>'RESUMEN TOTAL'!V537</f>
        <v>0</v>
      </c>
      <c r="P429" s="70">
        <f>'RESUMEN TOTAL'!W537</f>
        <v>0</v>
      </c>
      <c r="Q429" s="70">
        <f>'RESUMEN TOTAL'!X537</f>
        <v>0</v>
      </c>
      <c r="R429" s="70">
        <f>'RESUMEN TOTAL'!Y537</f>
        <v>0</v>
      </c>
      <c r="S429" s="70">
        <f>'RESUMEN TOTAL'!Z537</f>
        <v>0</v>
      </c>
      <c r="T429" s="70">
        <f>'RESUMEN TOTAL'!AA537</f>
        <v>0</v>
      </c>
      <c r="U429" s="70">
        <f>'RESUMEN TOTAL'!AB537</f>
        <v>0</v>
      </c>
      <c r="V429" s="70" t="str">
        <f>'RESUMEN TOTAL'!AC537</f>
        <v xml:space="preserve"> </v>
      </c>
      <c r="W429" s="70">
        <f>'RESUMEN TOTAL'!AD537</f>
        <v>0</v>
      </c>
      <c r="X429" s="70">
        <f>'RESUMEN TOTAL'!AE537</f>
        <v>0</v>
      </c>
      <c r="Y429" s="70">
        <f>'RESUMEN TOTAL'!AF537</f>
        <v>0</v>
      </c>
      <c r="Z429" s="70">
        <f>'RESUMEN TOTAL'!AG537</f>
        <v>0</v>
      </c>
      <c r="AA429" s="70">
        <f>'RESUMEN TOTAL'!AH537</f>
        <v>0</v>
      </c>
      <c r="AB429" s="70">
        <f>'RESUMEN TOTAL'!AI537</f>
        <v>0</v>
      </c>
      <c r="AC429" s="70">
        <f>'RESUMEN TOTAL'!AJ537</f>
        <v>0</v>
      </c>
      <c r="AD429" s="70">
        <f>'RESUMEN TOTAL'!AK537</f>
        <v>0</v>
      </c>
      <c r="AE429" s="70">
        <f>'RESUMEN TOTAL'!AL537</f>
        <v>0</v>
      </c>
      <c r="AF429" s="70">
        <f>'RESUMEN TOTAL'!AM537</f>
        <v>0</v>
      </c>
      <c r="AG429" s="70">
        <f>'RESUMEN TOTAL'!AN537</f>
        <v>0</v>
      </c>
      <c r="AH429" s="70">
        <f>'RESUMEN TOTAL'!AO537</f>
        <v>0</v>
      </c>
      <c r="AI429" s="70">
        <f>'RESUMEN TOTAL'!AP537</f>
        <v>0</v>
      </c>
      <c r="AJ429" s="70">
        <f>'RESUMEN TOTAL'!AQ537</f>
        <v>0</v>
      </c>
    </row>
    <row r="430" spans="1:36" x14ac:dyDescent="0.25">
      <c r="A430" t="str">
        <f>'RESUMEN TOTAL'!A538</f>
        <v>VILLA ANGELICA</v>
      </c>
      <c r="B430" t="str">
        <f>'RESUMEN TOTAL'!B538</f>
        <v>VDPL06</v>
      </c>
      <c r="C430" t="str">
        <f>'RESUMEN TOTAL'!D538</f>
        <v>Thevenet e/ Islas Orcadas y Gardel</v>
      </c>
      <c r="D430" s="30" t="str">
        <f>'RESUMEN TOTAL'!E538</f>
        <v>Domo</v>
      </c>
      <c r="E430" s="30" t="str">
        <f>'RESUMEN TOTAL'!F538</f>
        <v>GPON</v>
      </c>
      <c r="F430" s="70" t="str">
        <f>'RESUMEN TOTAL'!M538</f>
        <v>APAGADO</v>
      </c>
      <c r="G430" s="70" t="str">
        <f>'RESUMEN TOTAL'!N538</f>
        <v>APAGADO</v>
      </c>
      <c r="H430" s="70" t="str">
        <f>'RESUMEN TOTAL'!O538</f>
        <v>APAGADO</v>
      </c>
      <c r="I430" s="70" t="str">
        <f>'RESUMEN TOTAL'!P538</f>
        <v>APAGADO</v>
      </c>
      <c r="J430" s="70" t="str">
        <f>'RESUMEN TOTAL'!Q538</f>
        <v>APAGADO</v>
      </c>
      <c r="K430" s="70" t="str">
        <f>'RESUMEN TOTAL'!R538</f>
        <v>APAGADO</v>
      </c>
      <c r="L430" s="70" t="str">
        <f>'RESUMEN TOTAL'!S538</f>
        <v>APAGADO</v>
      </c>
      <c r="M430" s="70" t="str">
        <f>'RESUMEN TOTAL'!T538</f>
        <v>APAGADO</v>
      </c>
      <c r="N430" s="70" t="str">
        <f>'RESUMEN TOTAL'!U538</f>
        <v>APAGADO</v>
      </c>
      <c r="O430" s="70" t="str">
        <f>'RESUMEN TOTAL'!V538</f>
        <v>APAGADO</v>
      </c>
      <c r="P430" s="70" t="str">
        <f>'RESUMEN TOTAL'!W538</f>
        <v>APAGADO</v>
      </c>
      <c r="Q430" s="70" t="str">
        <f>'RESUMEN TOTAL'!X538</f>
        <v>APAGADO</v>
      </c>
      <c r="R430" s="70" t="str">
        <f>'RESUMEN TOTAL'!Y538</f>
        <v>APAGADO</v>
      </c>
      <c r="S430" s="70" t="str">
        <f>'RESUMEN TOTAL'!Z538</f>
        <v>APAGADO</v>
      </c>
      <c r="T430" s="70" t="str">
        <f>'RESUMEN TOTAL'!AA538</f>
        <v>APAGADO</v>
      </c>
      <c r="U430" s="70" t="str">
        <f>'RESUMEN TOTAL'!AB538</f>
        <v>APAGADO</v>
      </c>
      <c r="V430" s="70" t="str">
        <f>'RESUMEN TOTAL'!AC538</f>
        <v>APAGADO</v>
      </c>
      <c r="W430" s="70" t="str">
        <f>'RESUMEN TOTAL'!AD538</f>
        <v>APAGADO</v>
      </c>
      <c r="X430" s="70">
        <f>'RESUMEN TOTAL'!AE538</f>
        <v>0</v>
      </c>
      <c r="Y430" s="70">
        <f>'RESUMEN TOTAL'!AF538</f>
        <v>0</v>
      </c>
      <c r="Z430" s="70">
        <f>'RESUMEN TOTAL'!AG538</f>
        <v>0</v>
      </c>
      <c r="AA430" s="70">
        <f>'RESUMEN TOTAL'!AH538</f>
        <v>0</v>
      </c>
      <c r="AB430" s="70">
        <f>'RESUMEN TOTAL'!AI538</f>
        <v>0</v>
      </c>
      <c r="AC430" s="70">
        <f>'RESUMEN TOTAL'!AJ538</f>
        <v>0</v>
      </c>
      <c r="AD430" s="70">
        <f>'RESUMEN TOTAL'!AK538</f>
        <v>0</v>
      </c>
      <c r="AE430" s="70">
        <f>'RESUMEN TOTAL'!AL538</f>
        <v>0</v>
      </c>
      <c r="AF430" s="70">
        <f>'RESUMEN TOTAL'!AM538</f>
        <v>0</v>
      </c>
      <c r="AG430" s="70">
        <f>'RESUMEN TOTAL'!AN538</f>
        <v>0</v>
      </c>
      <c r="AH430" s="70">
        <f>'RESUMEN TOTAL'!AO538</f>
        <v>0</v>
      </c>
      <c r="AI430" s="70">
        <f>'RESUMEN TOTAL'!AP538</f>
        <v>0</v>
      </c>
      <c r="AJ430" s="70">
        <f>'RESUMEN TOTAL'!AQ538</f>
        <v>0</v>
      </c>
    </row>
    <row r="431" spans="1:36" x14ac:dyDescent="0.25">
      <c r="A431" t="str">
        <f>'RESUMEN TOTAL'!A539</f>
        <v>VILLA ANGELICA</v>
      </c>
      <c r="B431" t="str">
        <f>'RESUMEN TOTAL'!B539</f>
        <v>VDPL07</v>
      </c>
      <c r="C431" t="str">
        <f>'RESUMEN TOTAL'!D539</f>
        <v>Berutti y Casares</v>
      </c>
      <c r="D431" s="30" t="str">
        <f>'RESUMEN TOTAL'!E539</f>
        <v>DOMO</v>
      </c>
      <c r="E431" s="30" t="str">
        <f>'RESUMEN TOTAL'!F539</f>
        <v>GPON</v>
      </c>
      <c r="F431" s="70">
        <f>'RESUMEN TOTAL'!M539</f>
        <v>0</v>
      </c>
      <c r="G431" s="70">
        <f>'RESUMEN TOTAL'!N539</f>
        <v>0</v>
      </c>
      <c r="H431" s="70">
        <f>'RESUMEN TOTAL'!O539</f>
        <v>0</v>
      </c>
      <c r="I431" s="70">
        <f>'RESUMEN TOTAL'!P539</f>
        <v>0</v>
      </c>
      <c r="J431" s="70">
        <f>'RESUMEN TOTAL'!Q539</f>
        <v>0</v>
      </c>
      <c r="K431" s="70">
        <f>'RESUMEN TOTAL'!R539</f>
        <v>0</v>
      </c>
      <c r="L431" s="70">
        <f>'RESUMEN TOTAL'!S539</f>
        <v>0</v>
      </c>
      <c r="M431" s="70">
        <f>'RESUMEN TOTAL'!T539</f>
        <v>0</v>
      </c>
      <c r="N431" s="70">
        <f>'RESUMEN TOTAL'!U539</f>
        <v>0</v>
      </c>
      <c r="O431" s="70">
        <f>'RESUMEN TOTAL'!V539</f>
        <v>0</v>
      </c>
      <c r="P431" s="70">
        <f>'RESUMEN TOTAL'!W539</f>
        <v>0</v>
      </c>
      <c r="Q431" s="70">
        <f>'RESUMEN TOTAL'!X539</f>
        <v>0</v>
      </c>
      <c r="R431" s="70">
        <f>'RESUMEN TOTAL'!Y539</f>
        <v>0</v>
      </c>
      <c r="S431" s="70">
        <f>'RESUMEN TOTAL'!Z539</f>
        <v>0</v>
      </c>
      <c r="T431" s="70">
        <f>'RESUMEN TOTAL'!AA539</f>
        <v>0</v>
      </c>
      <c r="U431" s="70">
        <f>'RESUMEN TOTAL'!AB539</f>
        <v>0</v>
      </c>
      <c r="V431" s="70">
        <f>'RESUMEN TOTAL'!AC539</f>
        <v>0</v>
      </c>
      <c r="W431" s="70">
        <f>'RESUMEN TOTAL'!AD539</f>
        <v>0</v>
      </c>
      <c r="X431" s="70">
        <f>'RESUMEN TOTAL'!AE539</f>
        <v>0</v>
      </c>
      <c r="Y431" s="70">
        <f>'RESUMEN TOTAL'!AF539</f>
        <v>0</v>
      </c>
      <c r="Z431" s="70">
        <f>'RESUMEN TOTAL'!AG539</f>
        <v>0</v>
      </c>
      <c r="AA431" s="70">
        <f>'RESUMEN TOTAL'!AH539</f>
        <v>0</v>
      </c>
      <c r="AB431" s="70">
        <f>'RESUMEN TOTAL'!AI539</f>
        <v>0</v>
      </c>
      <c r="AC431" s="70">
        <f>'RESUMEN TOTAL'!AJ539</f>
        <v>0</v>
      </c>
      <c r="AD431" s="70">
        <f>'RESUMEN TOTAL'!AK539</f>
        <v>0</v>
      </c>
      <c r="AE431" s="70">
        <f>'RESUMEN TOTAL'!AL539</f>
        <v>0</v>
      </c>
      <c r="AF431" s="70">
        <f>'RESUMEN TOTAL'!AM539</f>
        <v>0</v>
      </c>
      <c r="AG431" s="70">
        <f>'RESUMEN TOTAL'!AN539</f>
        <v>0</v>
      </c>
      <c r="AH431" s="70">
        <f>'RESUMEN TOTAL'!AO539</f>
        <v>0</v>
      </c>
      <c r="AI431" s="70">
        <f>'RESUMEN TOTAL'!AP539</f>
        <v>0</v>
      </c>
      <c r="AJ431" s="70">
        <f>'RESUMEN TOTAL'!AQ539</f>
        <v>0</v>
      </c>
    </row>
    <row r="432" spans="1:36" x14ac:dyDescent="0.25">
      <c r="A432" t="str">
        <f>'RESUMEN TOTAL'!A541</f>
        <v>VILLA HUDSON</v>
      </c>
      <c r="B432" t="str">
        <f>'RESUMEN TOTAL'!B541</f>
        <v>VHS 01</v>
      </c>
      <c r="C432" t="str">
        <f>'RESUMEN TOTAL'!D541</f>
        <v>AV. HUDSON Y AV. LUJAN</v>
      </c>
      <c r="D432" s="30" t="str">
        <f>'RESUMEN TOTAL'!E541</f>
        <v>DOMO</v>
      </c>
      <c r="E432" s="30" t="str">
        <f>'RESUMEN TOTAL'!F541</f>
        <v>GPON</v>
      </c>
      <c r="F432" s="70">
        <f>'RESUMEN TOTAL'!M541</f>
        <v>0</v>
      </c>
      <c r="G432" s="70">
        <f>'RESUMEN TOTAL'!N541</f>
        <v>0</v>
      </c>
      <c r="H432" s="70">
        <f>'RESUMEN TOTAL'!O541</f>
        <v>0</v>
      </c>
      <c r="I432" s="70" t="str">
        <f>'RESUMEN TOTAL'!P541</f>
        <v>APAGADO</v>
      </c>
      <c r="J432" s="70" t="str">
        <f>'RESUMEN TOTAL'!Q541</f>
        <v>APAGADO</v>
      </c>
      <c r="K432" s="70" t="str">
        <f>'RESUMEN TOTAL'!R541</f>
        <v>APAGADO</v>
      </c>
      <c r="L432" s="70" t="str">
        <f>'RESUMEN TOTAL'!S541</f>
        <v>APAGADO</v>
      </c>
      <c r="M432" s="70" t="str">
        <f>'RESUMEN TOTAL'!T541</f>
        <v>APAGADO</v>
      </c>
      <c r="N432" s="70" t="str">
        <f>'RESUMEN TOTAL'!U541</f>
        <v>APAGADO</v>
      </c>
      <c r="O432" s="70" t="str">
        <f>'RESUMEN TOTAL'!V541</f>
        <v>APAGADO</v>
      </c>
      <c r="P432" s="70" t="str">
        <f>'RESUMEN TOTAL'!W541</f>
        <v>APAGADO</v>
      </c>
      <c r="Q432" s="70" t="str">
        <f>'RESUMEN TOTAL'!X541</f>
        <v>APAGADO</v>
      </c>
      <c r="R432" s="70" t="str">
        <f>'RESUMEN TOTAL'!Y541</f>
        <v>APAGADO</v>
      </c>
      <c r="S432" s="70" t="str">
        <f>'RESUMEN TOTAL'!Z541</f>
        <v>APAGADO</v>
      </c>
      <c r="T432" s="70" t="str">
        <f>'RESUMEN TOTAL'!AA541</f>
        <v>APAGADO</v>
      </c>
      <c r="U432" s="70">
        <f>'RESUMEN TOTAL'!AB541</f>
        <v>0</v>
      </c>
      <c r="V432" s="70">
        <f>'RESUMEN TOTAL'!AC541</f>
        <v>0</v>
      </c>
      <c r="W432" s="70">
        <f>'RESUMEN TOTAL'!AD541</f>
        <v>0</v>
      </c>
      <c r="X432" s="70">
        <f>'RESUMEN TOTAL'!AE541</f>
        <v>0</v>
      </c>
      <c r="Y432" s="70">
        <f>'RESUMEN TOTAL'!AF541</f>
        <v>0</v>
      </c>
      <c r="Z432" s="70">
        <f>'RESUMEN TOTAL'!AG541</f>
        <v>0</v>
      </c>
      <c r="AA432" s="70">
        <f>'RESUMEN TOTAL'!AH541</f>
        <v>0</v>
      </c>
      <c r="AB432" s="70">
        <f>'RESUMEN TOTAL'!AI541</f>
        <v>0</v>
      </c>
      <c r="AC432" s="70">
        <f>'RESUMEN TOTAL'!AJ541</f>
        <v>0</v>
      </c>
      <c r="AD432" s="70">
        <f>'RESUMEN TOTAL'!AK541</f>
        <v>0</v>
      </c>
      <c r="AE432" s="70">
        <f>'RESUMEN TOTAL'!AL541</f>
        <v>0</v>
      </c>
      <c r="AF432" s="70">
        <f>'RESUMEN TOTAL'!AM541</f>
        <v>0</v>
      </c>
      <c r="AG432" s="70">
        <f>'RESUMEN TOTAL'!AN541</f>
        <v>0</v>
      </c>
      <c r="AH432" s="70">
        <f>'RESUMEN TOTAL'!AO541</f>
        <v>0</v>
      </c>
      <c r="AI432" s="70">
        <f>'RESUMEN TOTAL'!AP541</f>
        <v>0</v>
      </c>
      <c r="AJ432" s="70">
        <f>'RESUMEN TOTAL'!AQ541</f>
        <v>0</v>
      </c>
    </row>
    <row r="433" spans="1:36" x14ac:dyDescent="0.25">
      <c r="A433" t="str">
        <f>'RESUMEN TOTAL'!A542</f>
        <v>VILLA HUDSON</v>
      </c>
      <c r="B433" t="str">
        <f>'RESUMEN TOTAL'!B542</f>
        <v>VHS 02</v>
      </c>
      <c r="C433" t="str">
        <f>'RESUMEN TOTAL'!D542</f>
        <v>AV. LUJAN Y CALLE 909 A</v>
      </c>
      <c r="D433" s="30" t="str">
        <f>'RESUMEN TOTAL'!E542</f>
        <v>DOMO</v>
      </c>
      <c r="E433" s="30" t="str">
        <f>'RESUMEN TOTAL'!F542</f>
        <v>GPON</v>
      </c>
      <c r="F433" s="70">
        <f>'RESUMEN TOTAL'!M542</f>
        <v>0</v>
      </c>
      <c r="G433" s="70">
        <f>'RESUMEN TOTAL'!N542</f>
        <v>0</v>
      </c>
      <c r="H433" s="70">
        <f>'RESUMEN TOTAL'!O542</f>
        <v>0</v>
      </c>
      <c r="I433" s="70" t="str">
        <f>'RESUMEN TOTAL'!P542</f>
        <v>APAGADO</v>
      </c>
      <c r="J433" s="70" t="str">
        <f>'RESUMEN TOTAL'!Q542</f>
        <v>APAGADO</v>
      </c>
      <c r="K433" s="70" t="str">
        <f>'RESUMEN TOTAL'!R542</f>
        <v>APAGADO</v>
      </c>
      <c r="L433" s="70" t="str">
        <f>'RESUMEN TOTAL'!S542</f>
        <v>APAGADO</v>
      </c>
      <c r="M433" s="70" t="str">
        <f>'RESUMEN TOTAL'!T542</f>
        <v>APAGADO</v>
      </c>
      <c r="N433" s="70" t="str">
        <f>'RESUMEN TOTAL'!U542</f>
        <v>APAGADO</v>
      </c>
      <c r="O433" s="70" t="str">
        <f>'RESUMEN TOTAL'!V542</f>
        <v>APAGADO</v>
      </c>
      <c r="P433" s="70" t="str">
        <f>'RESUMEN TOTAL'!W542</f>
        <v>APAGADO</v>
      </c>
      <c r="Q433" s="70" t="str">
        <f>'RESUMEN TOTAL'!X542</f>
        <v>APAGADO</v>
      </c>
      <c r="R433" s="70" t="str">
        <f>'RESUMEN TOTAL'!Y542</f>
        <v>APAGADO</v>
      </c>
      <c r="S433" s="70" t="str">
        <f>'RESUMEN TOTAL'!Z542</f>
        <v>APAGADO</v>
      </c>
      <c r="T433" s="70" t="str">
        <f>'RESUMEN TOTAL'!AA542</f>
        <v>APAGADO</v>
      </c>
      <c r="U433" s="70">
        <f>'RESUMEN TOTAL'!AB542</f>
        <v>0</v>
      </c>
      <c r="V433" s="70">
        <f>'RESUMEN TOTAL'!AC542</f>
        <v>0</v>
      </c>
      <c r="W433" s="70">
        <f>'RESUMEN TOTAL'!AD542</f>
        <v>0</v>
      </c>
      <c r="X433" s="70">
        <f>'RESUMEN TOTAL'!AE542</f>
        <v>0</v>
      </c>
      <c r="Y433" s="70">
        <f>'RESUMEN TOTAL'!AF542</f>
        <v>0</v>
      </c>
      <c r="Z433" s="70">
        <f>'RESUMEN TOTAL'!AG542</f>
        <v>0</v>
      </c>
      <c r="AA433" s="70">
        <f>'RESUMEN TOTAL'!AH542</f>
        <v>0</v>
      </c>
      <c r="AB433" s="70">
        <f>'RESUMEN TOTAL'!AI542</f>
        <v>0</v>
      </c>
      <c r="AC433" s="70">
        <f>'RESUMEN TOTAL'!AJ542</f>
        <v>0</v>
      </c>
      <c r="AD433" s="70">
        <f>'RESUMEN TOTAL'!AK542</f>
        <v>0</v>
      </c>
      <c r="AE433" s="70">
        <f>'RESUMEN TOTAL'!AL542</f>
        <v>0</v>
      </c>
      <c r="AF433" s="70">
        <f>'RESUMEN TOTAL'!AM542</f>
        <v>0</v>
      </c>
      <c r="AG433" s="70">
        <f>'RESUMEN TOTAL'!AN542</f>
        <v>0</v>
      </c>
      <c r="AH433" s="70">
        <f>'RESUMEN TOTAL'!AO542</f>
        <v>0</v>
      </c>
      <c r="AI433" s="70">
        <f>'RESUMEN TOTAL'!AP542</f>
        <v>0</v>
      </c>
      <c r="AJ433" s="70">
        <f>'RESUMEN TOTAL'!AQ542</f>
        <v>0</v>
      </c>
    </row>
    <row r="434" spans="1:36" x14ac:dyDescent="0.25">
      <c r="A434" t="str">
        <f>'RESUMEN TOTAL'!A543</f>
        <v>VILLA HUDSON</v>
      </c>
      <c r="B434" t="str">
        <f>'RESUMEN TOTAL'!B543</f>
        <v>VHS 03 (fija 1)</v>
      </c>
      <c r="C434" t="str">
        <f>'RESUMEN TOTAL'!D543</f>
        <v>AV. HUDSON Y LOS INMIGRANTES</v>
      </c>
      <c r="D434" s="30" t="str">
        <f>'RESUMEN TOTAL'!E543</f>
        <v>Fija</v>
      </c>
      <c r="E434" s="30" t="str">
        <f>'RESUMEN TOTAL'!F543</f>
        <v>GPON</v>
      </c>
      <c r="F434" s="70">
        <f>'RESUMEN TOTAL'!M543</f>
        <v>0</v>
      </c>
      <c r="G434" s="70">
        <f>'RESUMEN TOTAL'!N543</f>
        <v>0</v>
      </c>
      <c r="H434" s="70">
        <f>'RESUMEN TOTAL'!O543</f>
        <v>0</v>
      </c>
      <c r="I434" s="70" t="str">
        <f>'RESUMEN TOTAL'!P543</f>
        <v>APAGADO</v>
      </c>
      <c r="J434" s="70" t="str">
        <f>'RESUMEN TOTAL'!Q543</f>
        <v>APAGADO</v>
      </c>
      <c r="K434" s="70" t="str">
        <f>'RESUMEN TOTAL'!R543</f>
        <v>APAGADO</v>
      </c>
      <c r="L434" s="70" t="str">
        <f>'RESUMEN TOTAL'!S543</f>
        <v>APAGADO</v>
      </c>
      <c r="M434" s="70" t="str">
        <f>'RESUMEN TOTAL'!T543</f>
        <v>APAGADO</v>
      </c>
      <c r="N434" s="70" t="str">
        <f>'RESUMEN TOTAL'!U543</f>
        <v>APAGADO</v>
      </c>
      <c r="O434" s="70" t="str">
        <f>'RESUMEN TOTAL'!V543</f>
        <v>APAGADO</v>
      </c>
      <c r="P434" s="70" t="str">
        <f>'RESUMEN TOTAL'!W543</f>
        <v>APAGADO</v>
      </c>
      <c r="Q434" s="70" t="str">
        <f>'RESUMEN TOTAL'!X543</f>
        <v>APAGADO</v>
      </c>
      <c r="R434" s="70" t="str">
        <f>'RESUMEN TOTAL'!Y543</f>
        <v>APAGADO</v>
      </c>
      <c r="S434" s="70" t="str">
        <f>'RESUMEN TOTAL'!Z543</f>
        <v>APAGADO</v>
      </c>
      <c r="T434" s="70" t="str">
        <f>'RESUMEN TOTAL'!AA543</f>
        <v>APAGADO</v>
      </c>
      <c r="U434" s="70" t="str">
        <f>'RESUMEN TOTAL'!AB543</f>
        <v>APAGADO</v>
      </c>
      <c r="V434" s="70" t="str">
        <f>'RESUMEN TOTAL'!AC543</f>
        <v>APAGADO</v>
      </c>
      <c r="W434" s="70" t="str">
        <f>'RESUMEN TOTAL'!AD543</f>
        <v>APAGADO</v>
      </c>
      <c r="X434" s="70">
        <f>'RESUMEN TOTAL'!AE543</f>
        <v>0</v>
      </c>
      <c r="Y434" s="70">
        <f>'RESUMEN TOTAL'!AF543</f>
        <v>0</v>
      </c>
      <c r="Z434" s="70">
        <f>'RESUMEN TOTAL'!AG543</f>
        <v>0</v>
      </c>
      <c r="AA434" s="70">
        <f>'RESUMEN TOTAL'!AH543</f>
        <v>0</v>
      </c>
      <c r="AB434" s="70">
        <f>'RESUMEN TOTAL'!AI543</f>
        <v>0</v>
      </c>
      <c r="AC434" s="70">
        <f>'RESUMEN TOTAL'!AJ543</f>
        <v>0</v>
      </c>
      <c r="AD434" s="70">
        <f>'RESUMEN TOTAL'!AK543</f>
        <v>0</v>
      </c>
      <c r="AE434" s="70">
        <f>'RESUMEN TOTAL'!AL543</f>
        <v>0</v>
      </c>
      <c r="AF434" s="70">
        <f>'RESUMEN TOTAL'!AM543</f>
        <v>0</v>
      </c>
      <c r="AG434" s="70">
        <f>'RESUMEN TOTAL'!AN543</f>
        <v>0</v>
      </c>
      <c r="AH434" s="70">
        <f>'RESUMEN TOTAL'!AO543</f>
        <v>0</v>
      </c>
      <c r="AI434" s="70">
        <f>'RESUMEN TOTAL'!AP543</f>
        <v>0</v>
      </c>
      <c r="AJ434" s="70">
        <f>'RESUMEN TOTAL'!AQ543</f>
        <v>0</v>
      </c>
    </row>
    <row r="435" spans="1:36" x14ac:dyDescent="0.25">
      <c r="A435" t="str">
        <f>'RESUMEN TOTAL'!A544</f>
        <v>VILLA HUDSON</v>
      </c>
      <c r="B435" t="str">
        <f>'RESUMEN TOTAL'!B544</f>
        <v>VHS 04 (fija 2)</v>
      </c>
      <c r="C435" t="str">
        <f>'RESUMEN TOTAL'!D544</f>
        <v>AV. HUDSON Y LOS INMIGRANTES</v>
      </c>
      <c r="D435" s="30" t="str">
        <f>'RESUMEN TOTAL'!E544</f>
        <v>Fija</v>
      </c>
      <c r="E435" s="30" t="str">
        <f>'RESUMEN TOTAL'!F544</f>
        <v>GPON</v>
      </c>
      <c r="F435" s="70">
        <f>'RESUMEN TOTAL'!M544</f>
        <v>0</v>
      </c>
      <c r="G435" s="70">
        <f>'RESUMEN TOTAL'!N544</f>
        <v>0</v>
      </c>
      <c r="H435" s="70">
        <f>'RESUMEN TOTAL'!O544</f>
        <v>0</v>
      </c>
      <c r="I435" s="70" t="str">
        <f>'RESUMEN TOTAL'!P544</f>
        <v>APAGADO</v>
      </c>
      <c r="J435" s="70" t="str">
        <f>'RESUMEN TOTAL'!Q544</f>
        <v>APAGADO</v>
      </c>
      <c r="K435" s="70" t="str">
        <f>'RESUMEN TOTAL'!R544</f>
        <v>APAGADO</v>
      </c>
      <c r="L435" s="70" t="str">
        <f>'RESUMEN TOTAL'!S544</f>
        <v>APAGADO</v>
      </c>
      <c r="M435" s="70" t="str">
        <f>'RESUMEN TOTAL'!T544</f>
        <v>APAGADO</v>
      </c>
      <c r="N435" s="70" t="str">
        <f>'RESUMEN TOTAL'!U544</f>
        <v>APAGADO</v>
      </c>
      <c r="O435" s="70" t="str">
        <f>'RESUMEN TOTAL'!V544</f>
        <v>APAGADO</v>
      </c>
      <c r="P435" s="70" t="str">
        <f>'RESUMEN TOTAL'!W544</f>
        <v>APAGADO</v>
      </c>
      <c r="Q435" s="70" t="str">
        <f>'RESUMEN TOTAL'!X544</f>
        <v>APAGADO</v>
      </c>
      <c r="R435" s="70" t="str">
        <f>'RESUMEN TOTAL'!Y544</f>
        <v>APAGADO</v>
      </c>
      <c r="S435" s="70" t="str">
        <f>'RESUMEN TOTAL'!Z544</f>
        <v>APAGADO</v>
      </c>
      <c r="T435" s="70" t="str">
        <f>'RESUMEN TOTAL'!AA544</f>
        <v>APAGADO</v>
      </c>
      <c r="U435" s="70">
        <f>'RESUMEN TOTAL'!AB544</f>
        <v>0</v>
      </c>
      <c r="V435" s="70">
        <f>'RESUMEN TOTAL'!AC544</f>
        <v>0</v>
      </c>
      <c r="W435" s="70">
        <f>'RESUMEN TOTAL'!AD544</f>
        <v>0</v>
      </c>
      <c r="X435" s="70">
        <f>'RESUMEN TOTAL'!AE544</f>
        <v>0</v>
      </c>
      <c r="Y435" s="70">
        <f>'RESUMEN TOTAL'!AF544</f>
        <v>0</v>
      </c>
      <c r="Z435" s="70">
        <f>'RESUMEN TOTAL'!AG544</f>
        <v>0</v>
      </c>
      <c r="AA435" s="70">
        <f>'RESUMEN TOTAL'!AH544</f>
        <v>0</v>
      </c>
      <c r="AB435" s="70">
        <f>'RESUMEN TOTAL'!AI544</f>
        <v>0</v>
      </c>
      <c r="AC435" s="70">
        <f>'RESUMEN TOTAL'!AJ544</f>
        <v>0</v>
      </c>
      <c r="AD435" s="70">
        <f>'RESUMEN TOTAL'!AK544</f>
        <v>0</v>
      </c>
      <c r="AE435" s="70">
        <f>'RESUMEN TOTAL'!AL544</f>
        <v>0</v>
      </c>
      <c r="AF435" s="70">
        <f>'RESUMEN TOTAL'!AM544</f>
        <v>0</v>
      </c>
      <c r="AG435" s="70">
        <f>'RESUMEN TOTAL'!AN544</f>
        <v>0</v>
      </c>
      <c r="AH435" s="70">
        <f>'RESUMEN TOTAL'!AO544</f>
        <v>0</v>
      </c>
      <c r="AI435" s="70">
        <f>'RESUMEN TOTAL'!AP544</f>
        <v>0</v>
      </c>
      <c r="AJ435" s="70">
        <f>'RESUMEN TOTAL'!AQ544</f>
        <v>0</v>
      </c>
    </row>
    <row r="436" spans="1:36" x14ac:dyDescent="0.25">
      <c r="A436" t="str">
        <f>'RESUMEN TOTAL'!A548</f>
        <v>VILLA ARIAS</v>
      </c>
      <c r="B436" t="str">
        <f>'RESUMEN TOTAL'!B548</f>
        <v>VLA 01 (fija 1)</v>
      </c>
      <c r="C436" t="str">
        <f>'RESUMEN TOTAL'!D548</f>
        <v>820 Y SOLER</v>
      </c>
      <c r="D436" s="30" t="str">
        <f>'RESUMEN TOTAL'!E548</f>
        <v>Fija</v>
      </c>
      <c r="E436" s="30" t="str">
        <f>'RESUMEN TOTAL'!F548</f>
        <v>GPON</v>
      </c>
      <c r="F436" s="70">
        <f>'RESUMEN TOTAL'!M548</f>
        <v>0</v>
      </c>
      <c r="G436" s="70">
        <f>'RESUMEN TOTAL'!N548</f>
        <v>0</v>
      </c>
      <c r="H436" s="70">
        <f>'RESUMEN TOTAL'!O548</f>
        <v>0</v>
      </c>
      <c r="I436" s="70" t="str">
        <f>'RESUMEN TOTAL'!P548</f>
        <v>APAGADO</v>
      </c>
      <c r="J436" s="70" t="str">
        <f>'RESUMEN TOTAL'!Q548</f>
        <v>APAGADO</v>
      </c>
      <c r="K436" s="70" t="str">
        <f>'RESUMEN TOTAL'!R548</f>
        <v>APAGADO</v>
      </c>
      <c r="L436" s="70" t="str">
        <f>'RESUMEN TOTAL'!S548</f>
        <v>APAGADO</v>
      </c>
      <c r="M436" s="70" t="str">
        <f>'RESUMEN TOTAL'!T548</f>
        <v>APAGADO</v>
      </c>
      <c r="N436" s="70" t="str">
        <f>'RESUMEN TOTAL'!U548</f>
        <v>APAGADO</v>
      </c>
      <c r="O436" s="70" t="str">
        <f>'RESUMEN TOTAL'!V548</f>
        <v>APAGADO</v>
      </c>
      <c r="P436" s="70" t="str">
        <f>'RESUMEN TOTAL'!W548</f>
        <v>APAGADO</v>
      </c>
      <c r="Q436" s="70" t="str">
        <f>'RESUMEN TOTAL'!X548</f>
        <v>APAGADO</v>
      </c>
      <c r="R436" s="70" t="str">
        <f>'RESUMEN TOTAL'!Y548</f>
        <v>APAGADO</v>
      </c>
      <c r="S436" s="70" t="str">
        <f>'RESUMEN TOTAL'!Z548</f>
        <v>APAGADO</v>
      </c>
      <c r="T436" s="70" t="str">
        <f>'RESUMEN TOTAL'!AA548</f>
        <v>APAGADO</v>
      </c>
      <c r="U436" s="70">
        <f>'RESUMEN TOTAL'!AB548</f>
        <v>0</v>
      </c>
      <c r="V436" s="70">
        <f>'RESUMEN TOTAL'!AC548</f>
        <v>0</v>
      </c>
      <c r="W436" s="70">
        <f>'RESUMEN TOTAL'!AD548</f>
        <v>0</v>
      </c>
      <c r="X436" s="70">
        <f>'RESUMEN TOTAL'!AE548</f>
        <v>0</v>
      </c>
      <c r="Y436" s="70">
        <f>'RESUMEN TOTAL'!AF548</f>
        <v>0</v>
      </c>
      <c r="Z436" s="70">
        <f>'RESUMEN TOTAL'!AG548</f>
        <v>0</v>
      </c>
      <c r="AA436" s="70">
        <f>'RESUMEN TOTAL'!AH548</f>
        <v>0</v>
      </c>
      <c r="AB436" s="70">
        <f>'RESUMEN TOTAL'!AI548</f>
        <v>0</v>
      </c>
      <c r="AC436" s="70">
        <f>'RESUMEN TOTAL'!AJ548</f>
        <v>0</v>
      </c>
      <c r="AD436" s="70">
        <f>'RESUMEN TOTAL'!AK548</f>
        <v>0</v>
      </c>
      <c r="AE436" s="70">
        <f>'RESUMEN TOTAL'!AL548</f>
        <v>0</v>
      </c>
      <c r="AF436" s="70">
        <f>'RESUMEN TOTAL'!AM548</f>
        <v>0</v>
      </c>
      <c r="AG436" s="70">
        <f>'RESUMEN TOTAL'!AN548</f>
        <v>0</v>
      </c>
      <c r="AH436" s="70">
        <f>'RESUMEN TOTAL'!AO548</f>
        <v>0</v>
      </c>
      <c r="AI436" s="70">
        <f>'RESUMEN TOTAL'!AP548</f>
        <v>0</v>
      </c>
      <c r="AJ436" s="70">
        <f>'RESUMEN TOTAL'!AQ548</f>
        <v>0</v>
      </c>
    </row>
    <row r="437" spans="1:36" x14ac:dyDescent="0.25">
      <c r="A437" t="str">
        <f>'RESUMEN TOTAL'!A549</f>
        <v>VILLA ARIAS</v>
      </c>
      <c r="B437" t="str">
        <f>'RESUMEN TOTAL'!B549</f>
        <v>VLA 02</v>
      </c>
      <c r="C437" t="str">
        <f>'RESUMEN TOTAL'!D549</f>
        <v>ESPORA Y HUDSON</v>
      </c>
      <c r="D437" s="30" t="str">
        <f>'RESUMEN TOTAL'!E549</f>
        <v>DOMO</v>
      </c>
      <c r="E437" s="30" t="str">
        <f>'RESUMEN TOTAL'!F549</f>
        <v>Fibra Optica</v>
      </c>
      <c r="F437" s="70">
        <f>'RESUMEN TOTAL'!M549</f>
        <v>0</v>
      </c>
      <c r="G437" s="70">
        <f>'RESUMEN TOTAL'!N549</f>
        <v>0</v>
      </c>
      <c r="H437" s="70">
        <f>'RESUMEN TOTAL'!O549</f>
        <v>0</v>
      </c>
      <c r="I437" s="70" t="str">
        <f>'RESUMEN TOTAL'!P549</f>
        <v>APAGADO</v>
      </c>
      <c r="J437" s="70" t="str">
        <f>'RESUMEN TOTAL'!Q549</f>
        <v>APAGADO</v>
      </c>
      <c r="K437" s="70" t="str">
        <f>'RESUMEN TOTAL'!R549</f>
        <v>APAGADO</v>
      </c>
      <c r="L437" s="70" t="str">
        <f>'RESUMEN TOTAL'!S549</f>
        <v>APAGADO</v>
      </c>
      <c r="M437" s="70" t="str">
        <f>'RESUMEN TOTAL'!T549</f>
        <v>APAGADO</v>
      </c>
      <c r="N437" s="70" t="str">
        <f>'RESUMEN TOTAL'!U549</f>
        <v>APAGADO</v>
      </c>
      <c r="O437" s="70" t="str">
        <f>'RESUMEN TOTAL'!V549</f>
        <v>APAGADO</v>
      </c>
      <c r="P437" s="70" t="str">
        <f>'RESUMEN TOTAL'!W549</f>
        <v>APAGADO</v>
      </c>
      <c r="Q437" s="70" t="str">
        <f>'RESUMEN TOTAL'!X549</f>
        <v>APAGADO</v>
      </c>
      <c r="R437" s="70" t="str">
        <f>'RESUMEN TOTAL'!Y549</f>
        <v>APAGADO</v>
      </c>
      <c r="S437" s="70" t="str">
        <f>'RESUMEN TOTAL'!Z549</f>
        <v>APAGADO</v>
      </c>
      <c r="T437" s="70" t="str">
        <f>'RESUMEN TOTAL'!AA549</f>
        <v>APAGADO</v>
      </c>
      <c r="U437" s="70" t="str">
        <f>'RESUMEN TOTAL'!AB549</f>
        <v>APAGADO</v>
      </c>
      <c r="V437" s="70" t="str">
        <f>'RESUMEN TOTAL'!AC549</f>
        <v>APAGADO</v>
      </c>
      <c r="W437" s="70" t="str">
        <f>'RESUMEN TOTAL'!AD549</f>
        <v>APAGADO</v>
      </c>
      <c r="X437" s="70">
        <f>'RESUMEN TOTAL'!AE549</f>
        <v>0</v>
      </c>
      <c r="Y437" s="70">
        <f>'RESUMEN TOTAL'!AF549</f>
        <v>0</v>
      </c>
      <c r="Z437" s="70">
        <f>'RESUMEN TOTAL'!AG549</f>
        <v>0</v>
      </c>
      <c r="AA437" s="70">
        <f>'RESUMEN TOTAL'!AH549</f>
        <v>0</v>
      </c>
      <c r="AB437" s="70">
        <f>'RESUMEN TOTAL'!AI549</f>
        <v>0</v>
      </c>
      <c r="AC437" s="70">
        <f>'RESUMEN TOTAL'!AJ549</f>
        <v>0</v>
      </c>
      <c r="AD437" s="70">
        <f>'RESUMEN TOTAL'!AK549</f>
        <v>0</v>
      </c>
      <c r="AE437" s="70">
        <f>'RESUMEN TOTAL'!AL549</f>
        <v>0</v>
      </c>
      <c r="AF437" s="70">
        <f>'RESUMEN TOTAL'!AM549</f>
        <v>0</v>
      </c>
      <c r="AG437" s="70">
        <f>'RESUMEN TOTAL'!AN549</f>
        <v>0</v>
      </c>
      <c r="AH437" s="70">
        <f>'RESUMEN TOTAL'!AO549</f>
        <v>0</v>
      </c>
      <c r="AI437" s="70">
        <f>'RESUMEN TOTAL'!AP549</f>
        <v>0</v>
      </c>
      <c r="AJ437" s="70">
        <f>'RESUMEN TOTAL'!AQ549</f>
        <v>0</v>
      </c>
    </row>
    <row r="438" spans="1:36" x14ac:dyDescent="0.25">
      <c r="A438" t="str">
        <f>'RESUMEN TOTAL'!A550</f>
        <v>VILLA ARIAS</v>
      </c>
      <c r="B438" t="str">
        <f>'RESUMEN TOTAL'!B550</f>
        <v>VLA03 (fija 2)</v>
      </c>
      <c r="C438" t="str">
        <f>'RESUMEN TOTAL'!D550</f>
        <v>820 y SOLER</v>
      </c>
      <c r="D438" s="30" t="str">
        <f>'RESUMEN TOTAL'!E550</f>
        <v>Fija</v>
      </c>
      <c r="E438" s="30" t="str">
        <f>'RESUMEN TOTAL'!F550</f>
        <v>GPON</v>
      </c>
      <c r="F438" s="70">
        <f>'RESUMEN TOTAL'!M550</f>
        <v>0</v>
      </c>
      <c r="G438" s="70">
        <f>'RESUMEN TOTAL'!N550</f>
        <v>0</v>
      </c>
      <c r="H438" s="70">
        <f>'RESUMEN TOTAL'!O550</f>
        <v>0</v>
      </c>
      <c r="I438" s="70" t="str">
        <f>'RESUMEN TOTAL'!P550</f>
        <v>APAGADO</v>
      </c>
      <c r="J438" s="70" t="str">
        <f>'RESUMEN TOTAL'!Q550</f>
        <v>APAGADO</v>
      </c>
      <c r="K438" s="70" t="str">
        <f>'RESUMEN TOTAL'!R550</f>
        <v>APAGADO</v>
      </c>
      <c r="L438" s="70" t="str">
        <f>'RESUMEN TOTAL'!S550</f>
        <v>APAGADO</v>
      </c>
      <c r="M438" s="70" t="str">
        <f>'RESUMEN TOTAL'!T550</f>
        <v>APAGADO</v>
      </c>
      <c r="N438" s="70" t="str">
        <f>'RESUMEN TOTAL'!U550</f>
        <v>APAGADO</v>
      </c>
      <c r="O438" s="70" t="str">
        <f>'RESUMEN TOTAL'!V550</f>
        <v>APAGADO</v>
      </c>
      <c r="P438" s="70" t="str">
        <f>'RESUMEN TOTAL'!W550</f>
        <v>APAGADO</v>
      </c>
      <c r="Q438" s="70" t="str">
        <f>'RESUMEN TOTAL'!X550</f>
        <v>APAGADO</v>
      </c>
      <c r="R438" s="70" t="str">
        <f>'RESUMEN TOTAL'!Y550</f>
        <v>APAGADO</v>
      </c>
      <c r="S438" s="70" t="str">
        <f>'RESUMEN TOTAL'!Z550</f>
        <v>APAGADO</v>
      </c>
      <c r="T438" s="70" t="str">
        <f>'RESUMEN TOTAL'!AA550</f>
        <v>APAGADO</v>
      </c>
      <c r="U438" s="70">
        <f>'RESUMEN TOTAL'!AB550</f>
        <v>0</v>
      </c>
      <c r="V438" s="70">
        <f>'RESUMEN TOTAL'!AC550</f>
        <v>0</v>
      </c>
      <c r="W438" s="70">
        <f>'RESUMEN TOTAL'!AD550</f>
        <v>0</v>
      </c>
      <c r="X438" s="70">
        <f>'RESUMEN TOTAL'!AE550</f>
        <v>0</v>
      </c>
      <c r="Y438" s="70">
        <f>'RESUMEN TOTAL'!AF550</f>
        <v>0</v>
      </c>
      <c r="Z438" s="70">
        <f>'RESUMEN TOTAL'!AG550</f>
        <v>0</v>
      </c>
      <c r="AA438" s="70">
        <f>'RESUMEN TOTAL'!AH550</f>
        <v>0</v>
      </c>
      <c r="AB438" s="70">
        <f>'RESUMEN TOTAL'!AI550</f>
        <v>0</v>
      </c>
      <c r="AC438" s="70">
        <f>'RESUMEN TOTAL'!AJ550</f>
        <v>0</v>
      </c>
      <c r="AD438" s="70">
        <f>'RESUMEN TOTAL'!AK550</f>
        <v>0</v>
      </c>
      <c r="AE438" s="70">
        <f>'RESUMEN TOTAL'!AL550</f>
        <v>0</v>
      </c>
      <c r="AF438" s="70">
        <f>'RESUMEN TOTAL'!AM550</f>
        <v>0</v>
      </c>
      <c r="AG438" s="70">
        <f>'RESUMEN TOTAL'!AN550</f>
        <v>0</v>
      </c>
      <c r="AH438" s="70">
        <f>'RESUMEN TOTAL'!AO550</f>
        <v>0</v>
      </c>
      <c r="AI438" s="70">
        <f>'RESUMEN TOTAL'!AP550</f>
        <v>0</v>
      </c>
      <c r="AJ438" s="70">
        <f>'RESUMEN TOTAL'!AQ550</f>
        <v>0</v>
      </c>
    </row>
    <row r="439" spans="1:36" x14ac:dyDescent="0.25">
      <c r="A439" t="str">
        <f>'RESUMEN TOTAL'!A551</f>
        <v>VILLA ARIAS</v>
      </c>
      <c r="B439" t="str">
        <f>'RESUMEN TOTAL'!B551</f>
        <v>VLA04</v>
      </c>
      <c r="C439" t="str">
        <f>'RESUMEN TOTAL'!D551</f>
        <v>ESPORA Y MARTIN GRASS</v>
      </c>
      <c r="D439" s="30" t="str">
        <f>'RESUMEN TOTAL'!E551</f>
        <v>DOMO</v>
      </c>
      <c r="E439" s="30" t="str">
        <f>'RESUMEN TOTAL'!F551</f>
        <v>Fibra Optica</v>
      </c>
      <c r="F439" s="70">
        <f>'RESUMEN TOTAL'!M551</f>
        <v>0</v>
      </c>
      <c r="G439" s="70">
        <f>'RESUMEN TOTAL'!N551</f>
        <v>0</v>
      </c>
      <c r="H439" s="70">
        <f>'RESUMEN TOTAL'!O551</f>
        <v>0</v>
      </c>
      <c r="I439" s="70" t="str">
        <f>'RESUMEN TOTAL'!P551</f>
        <v>APAGADO</v>
      </c>
      <c r="J439" s="70" t="str">
        <f>'RESUMEN TOTAL'!Q551</f>
        <v>APAGADO</v>
      </c>
      <c r="K439" s="70" t="str">
        <f>'RESUMEN TOTAL'!R551</f>
        <v>APAGADO</v>
      </c>
      <c r="L439" s="70" t="str">
        <f>'RESUMEN TOTAL'!S551</f>
        <v>APAGADO</v>
      </c>
      <c r="M439" s="70" t="str">
        <f>'RESUMEN TOTAL'!T551</f>
        <v>APAGADO</v>
      </c>
      <c r="N439" s="70" t="str">
        <f>'RESUMEN TOTAL'!U551</f>
        <v>APAGADO</v>
      </c>
      <c r="O439" s="70" t="str">
        <f>'RESUMEN TOTAL'!V551</f>
        <v>APAGADO</v>
      </c>
      <c r="P439" s="70" t="str">
        <f>'RESUMEN TOTAL'!W551</f>
        <v>APAGADO</v>
      </c>
      <c r="Q439" s="70" t="str">
        <f>'RESUMEN TOTAL'!X551</f>
        <v>APAGADO</v>
      </c>
      <c r="R439" s="70" t="str">
        <f>'RESUMEN TOTAL'!Y551</f>
        <v>APAGADO</v>
      </c>
      <c r="S439" s="70" t="str">
        <f>'RESUMEN TOTAL'!Z551</f>
        <v>APAGADO</v>
      </c>
      <c r="T439" s="70" t="str">
        <f>'RESUMEN TOTAL'!AA551</f>
        <v>APAGADO</v>
      </c>
      <c r="U439" s="70" t="str">
        <f>'RESUMEN TOTAL'!AB551</f>
        <v>APAGADO</v>
      </c>
      <c r="V439" s="70" t="str">
        <f>'RESUMEN TOTAL'!AC551</f>
        <v>APAGADO</v>
      </c>
      <c r="W439" s="70" t="str">
        <f>'RESUMEN TOTAL'!AD551</f>
        <v>APAGADO</v>
      </c>
      <c r="X439" s="70">
        <f>'RESUMEN TOTAL'!AE551</f>
        <v>0</v>
      </c>
      <c r="Y439" s="70">
        <f>'RESUMEN TOTAL'!AF551</f>
        <v>0</v>
      </c>
      <c r="Z439" s="70">
        <f>'RESUMEN TOTAL'!AG551</f>
        <v>0</v>
      </c>
      <c r="AA439" s="70">
        <f>'RESUMEN TOTAL'!AH551</f>
        <v>0</v>
      </c>
      <c r="AB439" s="70">
        <f>'RESUMEN TOTAL'!AI551</f>
        <v>0</v>
      </c>
      <c r="AC439" s="70">
        <f>'RESUMEN TOTAL'!AJ551</f>
        <v>0</v>
      </c>
      <c r="AD439" s="70">
        <f>'RESUMEN TOTAL'!AK551</f>
        <v>0</v>
      </c>
      <c r="AE439" s="70">
        <f>'RESUMEN TOTAL'!AL551</f>
        <v>0</v>
      </c>
      <c r="AF439" s="70">
        <f>'RESUMEN TOTAL'!AM551</f>
        <v>0</v>
      </c>
      <c r="AG439" s="70">
        <f>'RESUMEN TOTAL'!AN551</f>
        <v>0</v>
      </c>
      <c r="AH439" s="70">
        <f>'RESUMEN TOTAL'!AO551</f>
        <v>0</v>
      </c>
      <c r="AI439" s="70">
        <f>'RESUMEN TOTAL'!AP551</f>
        <v>0</v>
      </c>
      <c r="AJ439" s="70">
        <f>'RESUMEN TOTAL'!AQ551</f>
        <v>0</v>
      </c>
    </row>
    <row r="440" spans="1:36" x14ac:dyDescent="0.25">
      <c r="A440" t="str">
        <f>'RESUMEN TOTAL'!A552</f>
        <v>VILLA ARIAS</v>
      </c>
      <c r="B440" t="str">
        <f>'RESUMEN TOTAL'!B552</f>
        <v>VLA05</v>
      </c>
      <c r="C440" t="str">
        <f>'RESUMEN TOTAL'!D552</f>
        <v>ESPORA Y 802</v>
      </c>
      <c r="D440" s="30" t="str">
        <f>'RESUMEN TOTAL'!E552</f>
        <v>DOMO</v>
      </c>
      <c r="E440" s="30" t="str">
        <f>'RESUMEN TOTAL'!F552</f>
        <v>GPON</v>
      </c>
      <c r="F440" s="70">
        <f>'RESUMEN TOTAL'!M552</f>
        <v>0</v>
      </c>
      <c r="G440" s="70">
        <f>'RESUMEN TOTAL'!N552</f>
        <v>0</v>
      </c>
      <c r="H440" s="70">
        <f>'RESUMEN TOTAL'!O552</f>
        <v>0</v>
      </c>
      <c r="I440" s="70" t="str">
        <f>'RESUMEN TOTAL'!P552</f>
        <v>APAGADO</v>
      </c>
      <c r="J440" s="70" t="str">
        <f>'RESUMEN TOTAL'!Q552</f>
        <v>APAGADO</v>
      </c>
      <c r="K440" s="70" t="str">
        <f>'RESUMEN TOTAL'!R552</f>
        <v>APAGADO</v>
      </c>
      <c r="L440" s="70" t="str">
        <f>'RESUMEN TOTAL'!S552</f>
        <v>APAGADO</v>
      </c>
      <c r="M440" s="70" t="str">
        <f>'RESUMEN TOTAL'!T552</f>
        <v>APAGADO</v>
      </c>
      <c r="N440" s="70" t="str">
        <f>'RESUMEN TOTAL'!U552</f>
        <v>APAGADO</v>
      </c>
      <c r="O440" s="70" t="str">
        <f>'RESUMEN TOTAL'!V552</f>
        <v>APAGADO</v>
      </c>
      <c r="P440" s="70" t="str">
        <f>'RESUMEN TOTAL'!W552</f>
        <v>APAGADO</v>
      </c>
      <c r="Q440" s="70" t="str">
        <f>'RESUMEN TOTAL'!X552</f>
        <v>APAGADO</v>
      </c>
      <c r="R440" s="70" t="str">
        <f>'RESUMEN TOTAL'!Y552</f>
        <v>APAGADO</v>
      </c>
      <c r="S440" s="70" t="str">
        <f>'RESUMEN TOTAL'!Z552</f>
        <v>APAGADO</v>
      </c>
      <c r="T440" s="70" t="str">
        <f>'RESUMEN TOTAL'!AA552</f>
        <v>APAGADO</v>
      </c>
      <c r="U440" s="70" t="str">
        <f>'RESUMEN TOTAL'!AB552</f>
        <v>APAGADO</v>
      </c>
      <c r="V440" s="70" t="str">
        <f>'RESUMEN TOTAL'!AC552</f>
        <v>APAGADO</v>
      </c>
      <c r="W440" s="70" t="str">
        <f>'RESUMEN TOTAL'!AD552</f>
        <v>APAGADO</v>
      </c>
      <c r="X440" s="70">
        <f>'RESUMEN TOTAL'!AE552</f>
        <v>0</v>
      </c>
      <c r="Y440" s="70">
        <f>'RESUMEN TOTAL'!AF552</f>
        <v>0</v>
      </c>
      <c r="Z440" s="70">
        <f>'RESUMEN TOTAL'!AG552</f>
        <v>0</v>
      </c>
      <c r="AA440" s="70">
        <f>'RESUMEN TOTAL'!AH552</f>
        <v>0</v>
      </c>
      <c r="AB440" s="70">
        <f>'RESUMEN TOTAL'!AI552</f>
        <v>0</v>
      </c>
      <c r="AC440" s="70">
        <f>'RESUMEN TOTAL'!AJ552</f>
        <v>0</v>
      </c>
      <c r="AD440" s="70">
        <f>'RESUMEN TOTAL'!AK552</f>
        <v>0</v>
      </c>
      <c r="AE440" s="70">
        <f>'RESUMEN TOTAL'!AL552</f>
        <v>0</v>
      </c>
      <c r="AF440" s="70">
        <f>'RESUMEN TOTAL'!AM552</f>
        <v>0</v>
      </c>
      <c r="AG440" s="70">
        <f>'RESUMEN TOTAL'!AN552</f>
        <v>0</v>
      </c>
      <c r="AH440" s="70">
        <f>'RESUMEN TOTAL'!AO552</f>
        <v>0</v>
      </c>
      <c r="AI440" s="70">
        <f>'RESUMEN TOTAL'!AP552</f>
        <v>0</v>
      </c>
      <c r="AJ440" s="70">
        <f>'RESUMEN TOTAL'!AQ552</f>
        <v>0</v>
      </c>
    </row>
    <row r="441" spans="1:36" x14ac:dyDescent="0.25">
      <c r="A441" t="str">
        <f>'RESUMEN TOTAL'!A554</f>
        <v>VILLA MONICA NUEVA</v>
      </c>
      <c r="B441" t="str">
        <f>'RESUMEN TOTAL'!B554</f>
        <v>VMO 02</v>
      </c>
      <c r="C441" t="str">
        <f>'RESUMEN TOTAL'!D554</f>
        <v>Rio Carapachay y Oroño</v>
      </c>
      <c r="D441" s="30" t="str">
        <f>'RESUMEN TOTAL'!E554</f>
        <v>Domo</v>
      </c>
      <c r="E441" s="30" t="str">
        <f>'RESUMEN TOTAL'!F554</f>
        <v>Radio</v>
      </c>
      <c r="F441" s="70">
        <f>'RESUMEN TOTAL'!M554</f>
        <v>0</v>
      </c>
      <c r="G441" s="70">
        <f>'RESUMEN TOTAL'!N554</f>
        <v>0</v>
      </c>
      <c r="H441" s="70">
        <f>'RESUMEN TOTAL'!O554</f>
        <v>0</v>
      </c>
      <c r="I441" s="70">
        <f>'RESUMEN TOTAL'!P554</f>
        <v>0</v>
      </c>
      <c r="J441" s="70">
        <f>'RESUMEN TOTAL'!Q554</f>
        <v>0</v>
      </c>
      <c r="K441" s="70">
        <f>'RESUMEN TOTAL'!R554</f>
        <v>0</v>
      </c>
      <c r="L441" s="70">
        <f>'RESUMEN TOTAL'!S554</f>
        <v>0</v>
      </c>
      <c r="M441" s="70">
        <f>'RESUMEN TOTAL'!T554</f>
        <v>0</v>
      </c>
      <c r="N441" s="70">
        <f>'RESUMEN TOTAL'!U554</f>
        <v>0</v>
      </c>
      <c r="O441" s="70" t="str">
        <f>'RESUMEN TOTAL'!V554</f>
        <v>APAGADO</v>
      </c>
      <c r="P441" s="70">
        <f>'RESUMEN TOTAL'!W554</f>
        <v>0</v>
      </c>
      <c r="Q441" s="70">
        <f>'RESUMEN TOTAL'!X554</f>
        <v>0</v>
      </c>
      <c r="R441" s="70">
        <f>'RESUMEN TOTAL'!Y554</f>
        <v>0</v>
      </c>
      <c r="S441" s="70">
        <f>'RESUMEN TOTAL'!Z554</f>
        <v>0</v>
      </c>
      <c r="T441" s="70">
        <f>'RESUMEN TOTAL'!AA554</f>
        <v>0</v>
      </c>
      <c r="U441" s="70">
        <f>'RESUMEN TOTAL'!AB554</f>
        <v>0</v>
      </c>
      <c r="V441" s="70">
        <f>'RESUMEN TOTAL'!AC554</f>
        <v>0</v>
      </c>
      <c r="W441" s="70">
        <f>'RESUMEN TOTAL'!AD554</f>
        <v>0</v>
      </c>
      <c r="X441" s="70">
        <f>'RESUMEN TOTAL'!AE554</f>
        <v>0</v>
      </c>
      <c r="Y441" s="70">
        <f>'RESUMEN TOTAL'!AF554</f>
        <v>0</v>
      </c>
      <c r="Z441" s="70">
        <f>'RESUMEN TOTAL'!AG554</f>
        <v>0</v>
      </c>
      <c r="AA441" s="70">
        <f>'RESUMEN TOTAL'!AH554</f>
        <v>0</v>
      </c>
      <c r="AB441" s="70">
        <f>'RESUMEN TOTAL'!AI554</f>
        <v>0</v>
      </c>
      <c r="AC441" s="70">
        <f>'RESUMEN TOTAL'!AJ554</f>
        <v>0</v>
      </c>
      <c r="AD441" s="70">
        <f>'RESUMEN TOTAL'!AK554</f>
        <v>0</v>
      </c>
      <c r="AE441" s="70">
        <f>'RESUMEN TOTAL'!AL554</f>
        <v>0</v>
      </c>
      <c r="AF441" s="70">
        <f>'RESUMEN TOTAL'!AM554</f>
        <v>0</v>
      </c>
      <c r="AG441" s="70">
        <f>'RESUMEN TOTAL'!AN554</f>
        <v>0</v>
      </c>
      <c r="AH441" s="70">
        <f>'RESUMEN TOTAL'!AO554</f>
        <v>0</v>
      </c>
      <c r="AI441" s="70">
        <f>'RESUMEN TOTAL'!AP554</f>
        <v>0</v>
      </c>
      <c r="AJ441" s="70">
        <f>'RESUMEN TOTAL'!AQ554</f>
        <v>0</v>
      </c>
    </row>
    <row r="442" spans="1:36" x14ac:dyDescent="0.25">
      <c r="A442" t="str">
        <f>'RESUMEN TOTAL'!A555</f>
        <v>VILLA MONICA NUEVA</v>
      </c>
      <c r="B442" t="str">
        <f>'RESUMEN TOTAL'!B555</f>
        <v>VMO 03 (fija 1)</v>
      </c>
      <c r="C442" t="str">
        <f>'RESUMEN TOTAL'!D555</f>
        <v>EVA PERON E/ OROÑO Y 734 A</v>
      </c>
      <c r="D442" s="30" t="str">
        <f>'RESUMEN TOTAL'!E555</f>
        <v>Fija</v>
      </c>
      <c r="E442" s="30" t="str">
        <f>'RESUMEN TOTAL'!F555</f>
        <v>Fibra Optica</v>
      </c>
      <c r="F442" s="70">
        <f>'RESUMEN TOTAL'!M555</f>
        <v>0</v>
      </c>
      <c r="G442" s="70">
        <f>'RESUMEN TOTAL'!N555</f>
        <v>0</v>
      </c>
      <c r="H442" s="70">
        <f>'RESUMEN TOTAL'!O555</f>
        <v>0</v>
      </c>
      <c r="I442" s="70">
        <f>'RESUMEN TOTAL'!P555</f>
        <v>0</v>
      </c>
      <c r="J442" s="70">
        <f>'RESUMEN TOTAL'!Q555</f>
        <v>0</v>
      </c>
      <c r="K442" s="70">
        <f>'RESUMEN TOTAL'!R555</f>
        <v>0</v>
      </c>
      <c r="L442" s="70">
        <f>'RESUMEN TOTAL'!S555</f>
        <v>0</v>
      </c>
      <c r="M442" s="70">
        <f>'RESUMEN TOTAL'!T555</f>
        <v>0</v>
      </c>
      <c r="N442" s="70">
        <f>'RESUMEN TOTAL'!U555</f>
        <v>0</v>
      </c>
      <c r="O442" s="70">
        <f>'RESUMEN TOTAL'!V555</f>
        <v>0</v>
      </c>
      <c r="P442" s="70">
        <f>'RESUMEN TOTAL'!W555</f>
        <v>0</v>
      </c>
      <c r="Q442" s="70">
        <f>'RESUMEN TOTAL'!X555</f>
        <v>0</v>
      </c>
      <c r="R442" s="70">
        <f>'RESUMEN TOTAL'!Y555</f>
        <v>0</v>
      </c>
      <c r="S442" s="70">
        <f>'RESUMEN TOTAL'!Z555</f>
        <v>0</v>
      </c>
      <c r="T442" s="70">
        <f>'RESUMEN TOTAL'!AA555</f>
        <v>0</v>
      </c>
      <c r="U442" s="70">
        <f>'RESUMEN TOTAL'!AB555</f>
        <v>0</v>
      </c>
      <c r="V442" s="70">
        <f>'RESUMEN TOTAL'!AC555</f>
        <v>0</v>
      </c>
      <c r="W442" s="70">
        <f>'RESUMEN TOTAL'!AD555</f>
        <v>0</v>
      </c>
      <c r="X442" s="70">
        <f>'RESUMEN TOTAL'!AE555</f>
        <v>0</v>
      </c>
      <c r="Y442" s="70">
        <f>'RESUMEN TOTAL'!AF555</f>
        <v>0</v>
      </c>
      <c r="Z442" s="70">
        <f>'RESUMEN TOTAL'!AG555</f>
        <v>0</v>
      </c>
      <c r="AA442" s="70">
        <f>'RESUMEN TOTAL'!AH555</f>
        <v>0</v>
      </c>
      <c r="AB442" s="70">
        <f>'RESUMEN TOTAL'!AI555</f>
        <v>0</v>
      </c>
      <c r="AC442" s="70">
        <f>'RESUMEN TOTAL'!AJ555</f>
        <v>0</v>
      </c>
      <c r="AD442" s="70">
        <f>'RESUMEN TOTAL'!AK555</f>
        <v>0</v>
      </c>
      <c r="AE442" s="70">
        <f>'RESUMEN TOTAL'!AL555</f>
        <v>0</v>
      </c>
      <c r="AF442" s="70">
        <f>'RESUMEN TOTAL'!AM555</f>
        <v>0</v>
      </c>
      <c r="AG442" s="70">
        <f>'RESUMEN TOTAL'!AN555</f>
        <v>0</v>
      </c>
      <c r="AH442" s="70">
        <f>'RESUMEN TOTAL'!AO555</f>
        <v>0</v>
      </c>
      <c r="AI442" s="70">
        <f>'RESUMEN TOTAL'!AP555</f>
        <v>0</v>
      </c>
      <c r="AJ442" s="70">
        <f>'RESUMEN TOTAL'!AQ555</f>
        <v>0</v>
      </c>
    </row>
    <row r="443" spans="1:36" x14ac:dyDescent="0.25">
      <c r="A443" t="str">
        <f>'RESUMEN TOTAL'!A556</f>
        <v>VILLA MONICA NUEVA</v>
      </c>
      <c r="B443" t="str">
        <f>'RESUMEN TOTAL'!B556</f>
        <v>VMO 04 (fija 2)</v>
      </c>
      <c r="C443" t="str">
        <f>'RESUMEN TOTAL'!D556</f>
        <v>EVA PERON E/ OROÑO Y 734 A</v>
      </c>
      <c r="D443" s="30" t="str">
        <f>'RESUMEN TOTAL'!E556</f>
        <v>Fija</v>
      </c>
      <c r="E443" s="30" t="str">
        <f>'RESUMEN TOTAL'!F556</f>
        <v>Fibra Optica</v>
      </c>
      <c r="F443" s="70">
        <f>'RESUMEN TOTAL'!M556</f>
        <v>0</v>
      </c>
      <c r="G443" s="70">
        <f>'RESUMEN TOTAL'!N556</f>
        <v>0</v>
      </c>
      <c r="H443" s="70">
        <f>'RESUMEN TOTAL'!O556</f>
        <v>0</v>
      </c>
      <c r="I443" s="70">
        <f>'RESUMEN TOTAL'!P556</f>
        <v>0</v>
      </c>
      <c r="J443" s="70">
        <f>'RESUMEN TOTAL'!Q556</f>
        <v>0</v>
      </c>
      <c r="K443" s="70">
        <f>'RESUMEN TOTAL'!R556</f>
        <v>0</v>
      </c>
      <c r="L443" s="70">
        <f>'RESUMEN TOTAL'!S556</f>
        <v>0</v>
      </c>
      <c r="M443" s="70">
        <f>'RESUMEN TOTAL'!T556</f>
        <v>0</v>
      </c>
      <c r="N443" s="70">
        <f>'RESUMEN TOTAL'!U556</f>
        <v>0</v>
      </c>
      <c r="O443" s="70">
        <f>'RESUMEN TOTAL'!V556</f>
        <v>0</v>
      </c>
      <c r="P443" s="70">
        <f>'RESUMEN TOTAL'!W556</f>
        <v>0</v>
      </c>
      <c r="Q443" s="70">
        <f>'RESUMEN TOTAL'!X556</f>
        <v>0</v>
      </c>
      <c r="R443" s="70">
        <f>'RESUMEN TOTAL'!Y556</f>
        <v>0</v>
      </c>
      <c r="S443" s="70">
        <f>'RESUMEN TOTAL'!Z556</f>
        <v>0</v>
      </c>
      <c r="T443" s="70">
        <f>'RESUMEN TOTAL'!AA556</f>
        <v>0</v>
      </c>
      <c r="U443" s="70">
        <f>'RESUMEN TOTAL'!AB556</f>
        <v>0</v>
      </c>
      <c r="V443" s="70">
        <f>'RESUMEN TOTAL'!AC556</f>
        <v>0</v>
      </c>
      <c r="W443" s="70">
        <f>'RESUMEN TOTAL'!AD556</f>
        <v>0</v>
      </c>
      <c r="X443" s="70">
        <f>'RESUMEN TOTAL'!AE556</f>
        <v>0</v>
      </c>
      <c r="Y443" s="70">
        <f>'RESUMEN TOTAL'!AF556</f>
        <v>0</v>
      </c>
      <c r="Z443" s="70">
        <f>'RESUMEN TOTAL'!AG556</f>
        <v>0</v>
      </c>
      <c r="AA443" s="70">
        <f>'RESUMEN TOTAL'!AH556</f>
        <v>0</v>
      </c>
      <c r="AB443" s="70">
        <f>'RESUMEN TOTAL'!AI556</f>
        <v>0</v>
      </c>
      <c r="AC443" s="70">
        <f>'RESUMEN TOTAL'!AJ556</f>
        <v>0</v>
      </c>
      <c r="AD443" s="70">
        <f>'RESUMEN TOTAL'!AK556</f>
        <v>0</v>
      </c>
      <c r="AE443" s="70">
        <f>'RESUMEN TOTAL'!AL556</f>
        <v>0</v>
      </c>
      <c r="AF443" s="70">
        <f>'RESUMEN TOTAL'!AM556</f>
        <v>0</v>
      </c>
      <c r="AG443" s="70">
        <f>'RESUMEN TOTAL'!AN556</f>
        <v>0</v>
      </c>
      <c r="AH443" s="70">
        <f>'RESUMEN TOTAL'!AO556</f>
        <v>0</v>
      </c>
      <c r="AI443" s="70">
        <f>'RESUMEN TOTAL'!AP556</f>
        <v>0</v>
      </c>
      <c r="AJ443" s="70">
        <f>'RESUMEN TOTAL'!AQ556</f>
        <v>0</v>
      </c>
    </row>
    <row r="444" spans="1:36" x14ac:dyDescent="0.25">
      <c r="A444" t="str">
        <f>'RESUMEN TOTAL'!A557</f>
        <v>VILLA MONICA NUEVA</v>
      </c>
      <c r="B444" t="str">
        <f>'RESUMEN TOTAL'!B557</f>
        <v>VMO 05</v>
      </c>
      <c r="C444" t="str">
        <f>'RESUMEN TOTAL'!D557</f>
        <v>OROÑO Y EVA PERON</v>
      </c>
      <c r="D444" s="30" t="str">
        <f>'RESUMEN TOTAL'!E557</f>
        <v>DOMO</v>
      </c>
      <c r="E444" s="30" t="str">
        <f>'RESUMEN TOTAL'!F557</f>
        <v>Fibra Optica</v>
      </c>
      <c r="F444" s="70">
        <f>'RESUMEN TOTAL'!M557</f>
        <v>0</v>
      </c>
      <c r="G444" s="70">
        <f>'RESUMEN TOTAL'!N557</f>
        <v>0</v>
      </c>
      <c r="H444" s="70">
        <f>'RESUMEN TOTAL'!O557</f>
        <v>0</v>
      </c>
      <c r="I444" s="70">
        <f>'RESUMEN TOTAL'!P557</f>
        <v>0</v>
      </c>
      <c r="J444" s="70">
        <f>'RESUMEN TOTAL'!Q557</f>
        <v>0</v>
      </c>
      <c r="K444" s="70">
        <f>'RESUMEN TOTAL'!R557</f>
        <v>0</v>
      </c>
      <c r="L444" s="70">
        <f>'RESUMEN TOTAL'!S557</f>
        <v>0</v>
      </c>
      <c r="M444" s="70">
        <f>'RESUMEN TOTAL'!T557</f>
        <v>0</v>
      </c>
      <c r="N444" s="70">
        <f>'RESUMEN TOTAL'!U557</f>
        <v>0</v>
      </c>
      <c r="O444" s="70">
        <f>'RESUMEN TOTAL'!V557</f>
        <v>0</v>
      </c>
      <c r="P444" s="70">
        <f>'RESUMEN TOTAL'!W557</f>
        <v>0</v>
      </c>
      <c r="Q444" s="70">
        <f>'RESUMEN TOTAL'!X557</f>
        <v>0</v>
      </c>
      <c r="R444" s="70">
        <f>'RESUMEN TOTAL'!Y557</f>
        <v>0</v>
      </c>
      <c r="S444" s="70">
        <f>'RESUMEN TOTAL'!Z557</f>
        <v>0</v>
      </c>
      <c r="T444" s="70">
        <f>'RESUMEN TOTAL'!AA557</f>
        <v>0</v>
      </c>
      <c r="U444" s="70">
        <f>'RESUMEN TOTAL'!AB557</f>
        <v>0</v>
      </c>
      <c r="V444" s="70">
        <f>'RESUMEN TOTAL'!AC557</f>
        <v>0</v>
      </c>
      <c r="W444" s="70">
        <f>'RESUMEN TOTAL'!AD557</f>
        <v>0</v>
      </c>
      <c r="X444" s="70">
        <f>'RESUMEN TOTAL'!AE557</f>
        <v>0</v>
      </c>
      <c r="Y444" s="70">
        <f>'RESUMEN TOTAL'!AF557</f>
        <v>0</v>
      </c>
      <c r="Z444" s="70">
        <f>'RESUMEN TOTAL'!AG557</f>
        <v>0</v>
      </c>
      <c r="AA444" s="70">
        <f>'RESUMEN TOTAL'!AH557</f>
        <v>0</v>
      </c>
      <c r="AB444" s="70">
        <f>'RESUMEN TOTAL'!AI557</f>
        <v>0</v>
      </c>
      <c r="AC444" s="70">
        <f>'RESUMEN TOTAL'!AJ557</f>
        <v>0</v>
      </c>
      <c r="AD444" s="70">
        <f>'RESUMEN TOTAL'!AK557</f>
        <v>0</v>
      </c>
      <c r="AE444" s="70">
        <f>'RESUMEN TOTAL'!AL557</f>
        <v>0</v>
      </c>
      <c r="AF444" s="70">
        <f>'RESUMEN TOTAL'!AM557</f>
        <v>0</v>
      </c>
      <c r="AG444" s="70">
        <f>'RESUMEN TOTAL'!AN557</f>
        <v>0</v>
      </c>
      <c r="AH444" s="70">
        <f>'RESUMEN TOTAL'!AO557</f>
        <v>0</v>
      </c>
      <c r="AI444" s="70">
        <f>'RESUMEN TOTAL'!AP557</f>
        <v>0</v>
      </c>
      <c r="AJ444" s="70">
        <f>'RESUMEN TOTAL'!AQ557</f>
        <v>0</v>
      </c>
    </row>
    <row r="445" spans="1:36" x14ac:dyDescent="0.25">
      <c r="A445" t="str">
        <f>'RESUMEN TOTAL'!A558</f>
        <v>VILLA MONICA NUEVA</v>
      </c>
      <c r="B445" t="str">
        <f>'RESUMEN TOTAL'!B558</f>
        <v>VMO01</v>
      </c>
      <c r="C445" t="str">
        <f>'RESUMEN TOTAL'!D558</f>
        <v>Eva Peron y Monseñor de las Casas</v>
      </c>
      <c r="D445" s="30" t="str">
        <f>'RESUMEN TOTAL'!E558</f>
        <v>DOMO</v>
      </c>
      <c r="E445" s="30" t="str">
        <f>'RESUMEN TOTAL'!F558</f>
        <v>Fibra Optica</v>
      </c>
      <c r="F445" s="70" t="str">
        <f>'RESUMEN TOTAL'!M558</f>
        <v>APAGADO</v>
      </c>
      <c r="G445" s="70" t="str">
        <f>'RESUMEN TOTAL'!N558</f>
        <v>APAGADO</v>
      </c>
      <c r="H445" s="70" t="str">
        <f>'RESUMEN TOTAL'!O558</f>
        <v>APAGADO</v>
      </c>
      <c r="I445" s="70" t="str">
        <f>'RESUMEN TOTAL'!P558</f>
        <v>APAGADO</v>
      </c>
      <c r="J445" s="70" t="str">
        <f>'RESUMEN TOTAL'!Q558</f>
        <v>APAGADO</v>
      </c>
      <c r="K445" s="70" t="str">
        <f>'RESUMEN TOTAL'!R558</f>
        <v>APAGADO</v>
      </c>
      <c r="L445" s="70" t="str">
        <f>'RESUMEN TOTAL'!S558</f>
        <v>APAGADO</v>
      </c>
      <c r="M445" s="70" t="str">
        <f>'RESUMEN TOTAL'!T558</f>
        <v>APAGADO</v>
      </c>
      <c r="N445" s="70" t="str">
        <f>'RESUMEN TOTAL'!U558</f>
        <v>APAGADO</v>
      </c>
      <c r="O445" s="70" t="str">
        <f>'RESUMEN TOTAL'!V558</f>
        <v>APAGADO</v>
      </c>
      <c r="P445" s="70" t="str">
        <f>'RESUMEN TOTAL'!W558</f>
        <v>APAGADO</v>
      </c>
      <c r="Q445" s="70" t="str">
        <f>'RESUMEN TOTAL'!X558</f>
        <v>APAGADO</v>
      </c>
      <c r="R445" s="70" t="str">
        <f>'RESUMEN TOTAL'!Y558</f>
        <v>APAGADO</v>
      </c>
      <c r="S445" s="70" t="str">
        <f>'RESUMEN TOTAL'!Z558</f>
        <v>APAGADO</v>
      </c>
      <c r="T445" s="70" t="str">
        <f>'RESUMEN TOTAL'!AA558</f>
        <v>APAGADO</v>
      </c>
      <c r="U445" s="70" t="str">
        <f>'RESUMEN TOTAL'!AB558</f>
        <v>APAGADO</v>
      </c>
      <c r="V445" s="70" t="str">
        <f>'RESUMEN TOTAL'!AC558</f>
        <v>APAGADO</v>
      </c>
      <c r="W445" s="70" t="str">
        <f>'RESUMEN TOTAL'!AD558</f>
        <v>APAGADO</v>
      </c>
      <c r="X445" s="70">
        <f>'RESUMEN TOTAL'!AE558</f>
        <v>0</v>
      </c>
      <c r="Y445" s="70">
        <f>'RESUMEN TOTAL'!AF558</f>
        <v>0</v>
      </c>
      <c r="Z445" s="70">
        <f>'RESUMEN TOTAL'!AG558</f>
        <v>0</v>
      </c>
      <c r="AA445" s="70">
        <f>'RESUMEN TOTAL'!AH558</f>
        <v>0</v>
      </c>
      <c r="AB445" s="70">
        <f>'RESUMEN TOTAL'!AI558</f>
        <v>0</v>
      </c>
      <c r="AC445" s="70">
        <f>'RESUMEN TOTAL'!AJ558</f>
        <v>0</v>
      </c>
      <c r="AD445" s="70">
        <f>'RESUMEN TOTAL'!AK558</f>
        <v>0</v>
      </c>
      <c r="AE445" s="70">
        <f>'RESUMEN TOTAL'!AL558</f>
        <v>0</v>
      </c>
      <c r="AF445" s="70">
        <f>'RESUMEN TOTAL'!AM558</f>
        <v>0</v>
      </c>
      <c r="AG445" s="70">
        <f>'RESUMEN TOTAL'!AN558</f>
        <v>0</v>
      </c>
      <c r="AH445" s="70">
        <f>'RESUMEN TOTAL'!AO558</f>
        <v>0</v>
      </c>
      <c r="AI445" s="70">
        <f>'RESUMEN TOTAL'!AP558</f>
        <v>0</v>
      </c>
      <c r="AJ445" s="70">
        <f>'RESUMEN TOTAL'!AQ558</f>
        <v>0</v>
      </c>
    </row>
    <row r="446" spans="1:36" x14ac:dyDescent="0.25">
      <c r="A446" t="str">
        <f>'RESUMEN TOTAL'!A559</f>
        <v>VILLA MONICA VIEJA</v>
      </c>
      <c r="B446" t="str">
        <f>'RESUMEN TOTAL'!B559</f>
        <v>VMOV01 (fija 1)</v>
      </c>
      <c r="C446" t="str">
        <f>'RESUMEN TOTAL'!D559</f>
        <v>ATENAS E/ CAFFERATA Y ALEMANIA</v>
      </c>
      <c r="D446" s="30" t="str">
        <f>'RESUMEN TOTAL'!E559</f>
        <v>Fija</v>
      </c>
      <c r="E446" s="30" t="str">
        <f>'RESUMEN TOTAL'!F559</f>
        <v>Fibra Optica</v>
      </c>
      <c r="F446" s="70">
        <f>'RESUMEN TOTAL'!M559</f>
        <v>0</v>
      </c>
      <c r="G446" s="70">
        <f>'RESUMEN TOTAL'!N559</f>
        <v>0</v>
      </c>
      <c r="H446" s="70">
        <f>'RESUMEN TOTAL'!O559</f>
        <v>0</v>
      </c>
      <c r="I446" s="70">
        <f>'RESUMEN TOTAL'!P559</f>
        <v>0</v>
      </c>
      <c r="J446" s="70">
        <f>'RESUMEN TOTAL'!Q559</f>
        <v>0</v>
      </c>
      <c r="K446" s="70">
        <f>'RESUMEN TOTAL'!R559</f>
        <v>0</v>
      </c>
      <c r="L446" s="70">
        <f>'RESUMEN TOTAL'!S559</f>
        <v>0</v>
      </c>
      <c r="M446" s="70">
        <f>'RESUMEN TOTAL'!T559</f>
        <v>0</v>
      </c>
      <c r="N446" s="70">
        <f>'RESUMEN TOTAL'!U559</f>
        <v>0</v>
      </c>
      <c r="O446" s="70">
        <f>'RESUMEN TOTAL'!V559</f>
        <v>0</v>
      </c>
      <c r="P446" s="70">
        <f>'RESUMEN TOTAL'!W559</f>
        <v>0</v>
      </c>
      <c r="Q446" s="70">
        <f>'RESUMEN TOTAL'!X559</f>
        <v>0</v>
      </c>
      <c r="R446" s="70">
        <f>'RESUMEN TOTAL'!Y559</f>
        <v>0</v>
      </c>
      <c r="S446" s="70">
        <f>'RESUMEN TOTAL'!Z559</f>
        <v>0</v>
      </c>
      <c r="T446" s="70">
        <f>'RESUMEN TOTAL'!AA559</f>
        <v>0</v>
      </c>
      <c r="U446" s="70">
        <f>'RESUMEN TOTAL'!AB559</f>
        <v>0</v>
      </c>
      <c r="V446" s="70">
        <f>'RESUMEN TOTAL'!AC559</f>
        <v>0</v>
      </c>
      <c r="W446" s="70">
        <f>'RESUMEN TOTAL'!AD559</f>
        <v>0</v>
      </c>
      <c r="X446" s="70">
        <f>'RESUMEN TOTAL'!AE559</f>
        <v>0</v>
      </c>
      <c r="Y446" s="70">
        <f>'RESUMEN TOTAL'!AF559</f>
        <v>0</v>
      </c>
      <c r="Z446" s="70">
        <f>'RESUMEN TOTAL'!AG559</f>
        <v>0</v>
      </c>
      <c r="AA446" s="70">
        <f>'RESUMEN TOTAL'!AH559</f>
        <v>0</v>
      </c>
      <c r="AB446" s="70">
        <f>'RESUMEN TOTAL'!AI559</f>
        <v>0</v>
      </c>
      <c r="AC446" s="70">
        <f>'RESUMEN TOTAL'!AJ559</f>
        <v>0</v>
      </c>
      <c r="AD446" s="70">
        <f>'RESUMEN TOTAL'!AK559</f>
        <v>0</v>
      </c>
      <c r="AE446" s="70">
        <f>'RESUMEN TOTAL'!AL559</f>
        <v>0</v>
      </c>
      <c r="AF446" s="70">
        <f>'RESUMEN TOTAL'!AM559</f>
        <v>0</v>
      </c>
      <c r="AG446" s="70">
        <f>'RESUMEN TOTAL'!AN559</f>
        <v>0</v>
      </c>
      <c r="AH446" s="70">
        <f>'RESUMEN TOTAL'!AO559</f>
        <v>0</v>
      </c>
      <c r="AI446" s="70">
        <f>'RESUMEN TOTAL'!AP559</f>
        <v>0</v>
      </c>
      <c r="AJ446" s="70">
        <f>'RESUMEN TOTAL'!AQ559</f>
        <v>0</v>
      </c>
    </row>
    <row r="447" spans="1:36" x14ac:dyDescent="0.25">
      <c r="A447" t="str">
        <f>'RESUMEN TOTAL'!A560</f>
        <v>VILLA MONICA VIEJA</v>
      </c>
      <c r="B447" t="str">
        <f>'RESUMEN TOTAL'!B560</f>
        <v>VMOV 02 (fija 2)</v>
      </c>
      <c r="C447" t="str">
        <f>'RESUMEN TOTAL'!D560</f>
        <v>ATENAS E/ CAFFERATA Y ALEMANIA</v>
      </c>
      <c r="D447" s="30" t="str">
        <f>'RESUMEN TOTAL'!E560</f>
        <v>Fija</v>
      </c>
      <c r="E447" s="30" t="str">
        <f>'RESUMEN TOTAL'!F560</f>
        <v>Fibra Optica</v>
      </c>
      <c r="F447" s="70">
        <f>'RESUMEN TOTAL'!M560</f>
        <v>0</v>
      </c>
      <c r="G447" s="70">
        <f>'RESUMEN TOTAL'!N560</f>
        <v>0</v>
      </c>
      <c r="H447" s="70">
        <f>'RESUMEN TOTAL'!O560</f>
        <v>0</v>
      </c>
      <c r="I447" s="70">
        <f>'RESUMEN TOTAL'!P560</f>
        <v>0</v>
      </c>
      <c r="J447" s="70">
        <f>'RESUMEN TOTAL'!Q560</f>
        <v>0</v>
      </c>
      <c r="K447" s="70">
        <f>'RESUMEN TOTAL'!R560</f>
        <v>0</v>
      </c>
      <c r="L447" s="70">
        <f>'RESUMEN TOTAL'!S560</f>
        <v>0</v>
      </c>
      <c r="M447" s="70">
        <f>'RESUMEN TOTAL'!T560</f>
        <v>0</v>
      </c>
      <c r="N447" s="70">
        <f>'RESUMEN TOTAL'!U560</f>
        <v>0</v>
      </c>
      <c r="O447" s="70">
        <f>'RESUMEN TOTAL'!V560</f>
        <v>0</v>
      </c>
      <c r="P447" s="70">
        <f>'RESUMEN TOTAL'!W560</f>
        <v>0</v>
      </c>
      <c r="Q447" s="70">
        <f>'RESUMEN TOTAL'!X560</f>
        <v>0</v>
      </c>
      <c r="R447" s="70">
        <f>'RESUMEN TOTAL'!Y560</f>
        <v>0</v>
      </c>
      <c r="S447" s="70">
        <f>'RESUMEN TOTAL'!Z560</f>
        <v>0</v>
      </c>
      <c r="T447" s="70">
        <f>'RESUMEN TOTAL'!AA560</f>
        <v>0</v>
      </c>
      <c r="U447" s="70">
        <f>'RESUMEN TOTAL'!AB560</f>
        <v>0</v>
      </c>
      <c r="V447" s="70">
        <f>'RESUMEN TOTAL'!AC560</f>
        <v>0</v>
      </c>
      <c r="W447" s="70">
        <f>'RESUMEN TOTAL'!AD560</f>
        <v>0</v>
      </c>
      <c r="X447" s="70">
        <f>'RESUMEN TOTAL'!AE560</f>
        <v>0</v>
      </c>
      <c r="Y447" s="70">
        <f>'RESUMEN TOTAL'!AF560</f>
        <v>0</v>
      </c>
      <c r="Z447" s="70">
        <f>'RESUMEN TOTAL'!AG560</f>
        <v>0</v>
      </c>
      <c r="AA447" s="70">
        <f>'RESUMEN TOTAL'!AH560</f>
        <v>0</v>
      </c>
      <c r="AB447" s="70">
        <f>'RESUMEN TOTAL'!AI560</f>
        <v>0</v>
      </c>
      <c r="AC447" s="70">
        <f>'RESUMEN TOTAL'!AJ560</f>
        <v>0</v>
      </c>
      <c r="AD447" s="70">
        <f>'RESUMEN TOTAL'!AK560</f>
        <v>0</v>
      </c>
      <c r="AE447" s="70">
        <f>'RESUMEN TOTAL'!AL560</f>
        <v>0</v>
      </c>
      <c r="AF447" s="70">
        <f>'RESUMEN TOTAL'!AM560</f>
        <v>0</v>
      </c>
      <c r="AG447" s="70">
        <f>'RESUMEN TOTAL'!AN560</f>
        <v>0</v>
      </c>
      <c r="AH447" s="70">
        <f>'RESUMEN TOTAL'!AO560</f>
        <v>0</v>
      </c>
      <c r="AI447" s="70">
        <f>'RESUMEN TOTAL'!AP560</f>
        <v>0</v>
      </c>
      <c r="AJ447" s="70">
        <f>'RESUMEN TOTAL'!AQ560</f>
        <v>0</v>
      </c>
    </row>
    <row r="448" spans="1:36" x14ac:dyDescent="0.25">
      <c r="A448" t="str">
        <f>'RESUMEN TOTAL'!A561</f>
        <v>VILLA MONICA VIEJA</v>
      </c>
      <c r="B448" t="str">
        <f>'RESUMEN TOTAL'!B561</f>
        <v>VMOV 03 (fija 1)</v>
      </c>
      <c r="C448" t="str">
        <f>'RESUMEN TOTAL'!D561</f>
        <v>ROMA E/ HOLANDA Y CAFFERATA</v>
      </c>
      <c r="D448" s="30" t="str">
        <f>'RESUMEN TOTAL'!E561</f>
        <v>Fija</v>
      </c>
      <c r="E448" s="30" t="str">
        <f>'RESUMEN TOTAL'!F561</f>
        <v>Fibra Optica</v>
      </c>
      <c r="F448" s="70">
        <f>'RESUMEN TOTAL'!M561</f>
        <v>0</v>
      </c>
      <c r="G448" s="70" t="str">
        <f>'RESUMEN TOTAL'!N561</f>
        <v>APAGADO</v>
      </c>
      <c r="H448" s="70">
        <f>'RESUMEN TOTAL'!O561</f>
        <v>0</v>
      </c>
      <c r="I448" s="70">
        <f>'RESUMEN TOTAL'!P561</f>
        <v>0</v>
      </c>
      <c r="J448" s="70">
        <f>'RESUMEN TOTAL'!Q561</f>
        <v>0</v>
      </c>
      <c r="K448" s="70">
        <f>'RESUMEN TOTAL'!R561</f>
        <v>0</v>
      </c>
      <c r="L448" s="70">
        <f>'RESUMEN TOTAL'!S561</f>
        <v>0</v>
      </c>
      <c r="M448" s="70">
        <f>'RESUMEN TOTAL'!T561</f>
        <v>0</v>
      </c>
      <c r="N448" s="70">
        <f>'RESUMEN TOTAL'!U561</f>
        <v>0</v>
      </c>
      <c r="O448" s="70">
        <f>'RESUMEN TOTAL'!V561</f>
        <v>0</v>
      </c>
      <c r="P448" s="70">
        <f>'RESUMEN TOTAL'!W561</f>
        <v>0</v>
      </c>
      <c r="Q448" s="70">
        <f>'RESUMEN TOTAL'!X561</f>
        <v>0</v>
      </c>
      <c r="R448" s="70">
        <f>'RESUMEN TOTAL'!Y561</f>
        <v>0</v>
      </c>
      <c r="S448" s="70">
        <f>'RESUMEN TOTAL'!Z561</f>
        <v>0</v>
      </c>
      <c r="T448" s="70">
        <f>'RESUMEN TOTAL'!AA561</f>
        <v>0</v>
      </c>
      <c r="U448" s="70">
        <f>'RESUMEN TOTAL'!AB561</f>
        <v>0</v>
      </c>
      <c r="V448" s="70">
        <f>'RESUMEN TOTAL'!AC561</f>
        <v>0</v>
      </c>
      <c r="W448" s="70">
        <f>'RESUMEN TOTAL'!AD561</f>
        <v>0</v>
      </c>
      <c r="X448" s="70">
        <f>'RESUMEN TOTAL'!AE561</f>
        <v>0</v>
      </c>
      <c r="Y448" s="70">
        <f>'RESUMEN TOTAL'!AF561</f>
        <v>0</v>
      </c>
      <c r="Z448" s="70">
        <f>'RESUMEN TOTAL'!AG561</f>
        <v>0</v>
      </c>
      <c r="AA448" s="70">
        <f>'RESUMEN TOTAL'!AH561</f>
        <v>0</v>
      </c>
      <c r="AB448" s="70">
        <f>'RESUMEN TOTAL'!AI561</f>
        <v>0</v>
      </c>
      <c r="AC448" s="70">
        <f>'RESUMEN TOTAL'!AJ561</f>
        <v>0</v>
      </c>
      <c r="AD448" s="70">
        <f>'RESUMEN TOTAL'!AK561</f>
        <v>0</v>
      </c>
      <c r="AE448" s="70">
        <f>'RESUMEN TOTAL'!AL561</f>
        <v>0</v>
      </c>
      <c r="AF448" s="70">
        <f>'RESUMEN TOTAL'!AM561</f>
        <v>0</v>
      </c>
      <c r="AG448" s="70">
        <f>'RESUMEN TOTAL'!AN561</f>
        <v>0</v>
      </c>
      <c r="AH448" s="70">
        <f>'RESUMEN TOTAL'!AO561</f>
        <v>0</v>
      </c>
      <c r="AI448" s="70">
        <f>'RESUMEN TOTAL'!AP561</f>
        <v>0</v>
      </c>
      <c r="AJ448" s="70">
        <f>'RESUMEN TOTAL'!AQ561</f>
        <v>0</v>
      </c>
    </row>
    <row r="449" spans="1:36" x14ac:dyDescent="0.25">
      <c r="A449" t="str">
        <f>'RESUMEN TOTAL'!A562</f>
        <v>VILLA MONICA VIEJA</v>
      </c>
      <c r="B449" t="str">
        <f>'RESUMEN TOTAL'!B562</f>
        <v>VMOV04 (fija 2)</v>
      </c>
      <c r="C449" t="str">
        <f>'RESUMEN TOTAL'!D562</f>
        <v>ROMA E/ HOLANDA Y CAFFERATA</v>
      </c>
      <c r="D449" s="30" t="str">
        <f>'RESUMEN TOTAL'!E562</f>
        <v>Fija</v>
      </c>
      <c r="E449" s="30" t="str">
        <f>'RESUMEN TOTAL'!F562</f>
        <v>Fibra Optica</v>
      </c>
      <c r="F449" s="70">
        <f>'RESUMEN TOTAL'!M562</f>
        <v>0</v>
      </c>
      <c r="G449" s="70" t="str">
        <f>'RESUMEN TOTAL'!N562</f>
        <v>APAGADO</v>
      </c>
      <c r="H449" s="70">
        <f>'RESUMEN TOTAL'!O562</f>
        <v>0</v>
      </c>
      <c r="I449" s="70">
        <f>'RESUMEN TOTAL'!P562</f>
        <v>0</v>
      </c>
      <c r="J449" s="70">
        <f>'RESUMEN TOTAL'!Q562</f>
        <v>0</v>
      </c>
      <c r="K449" s="70">
        <f>'RESUMEN TOTAL'!R562</f>
        <v>0</v>
      </c>
      <c r="L449" s="70">
        <f>'RESUMEN TOTAL'!S562</f>
        <v>0</v>
      </c>
      <c r="M449" s="70">
        <f>'RESUMEN TOTAL'!T562</f>
        <v>0</v>
      </c>
      <c r="N449" s="70">
        <f>'RESUMEN TOTAL'!U562</f>
        <v>0</v>
      </c>
      <c r="O449" s="70">
        <f>'RESUMEN TOTAL'!V562</f>
        <v>0</v>
      </c>
      <c r="P449" s="70">
        <f>'RESUMEN TOTAL'!W562</f>
        <v>0</v>
      </c>
      <c r="Q449" s="70">
        <f>'RESUMEN TOTAL'!X562</f>
        <v>0</v>
      </c>
      <c r="R449" s="70">
        <f>'RESUMEN TOTAL'!Y562</f>
        <v>0</v>
      </c>
      <c r="S449" s="70">
        <f>'RESUMEN TOTAL'!Z562</f>
        <v>0</v>
      </c>
      <c r="T449" s="70">
        <f>'RESUMEN TOTAL'!AA562</f>
        <v>0</v>
      </c>
      <c r="U449" s="70">
        <f>'RESUMEN TOTAL'!AB562</f>
        <v>0</v>
      </c>
      <c r="V449" s="70">
        <f>'RESUMEN TOTAL'!AC562</f>
        <v>0</v>
      </c>
      <c r="W449" s="70">
        <f>'RESUMEN TOTAL'!AD562</f>
        <v>0</v>
      </c>
      <c r="X449" s="70">
        <f>'RESUMEN TOTAL'!AE562</f>
        <v>0</v>
      </c>
      <c r="Y449" s="70">
        <f>'RESUMEN TOTAL'!AF562</f>
        <v>0</v>
      </c>
      <c r="Z449" s="70">
        <f>'RESUMEN TOTAL'!AG562</f>
        <v>0</v>
      </c>
      <c r="AA449" s="70">
        <f>'RESUMEN TOTAL'!AH562</f>
        <v>0</v>
      </c>
      <c r="AB449" s="70">
        <f>'RESUMEN TOTAL'!AI562</f>
        <v>0</v>
      </c>
      <c r="AC449" s="70">
        <f>'RESUMEN TOTAL'!AJ562</f>
        <v>0</v>
      </c>
      <c r="AD449" s="70">
        <f>'RESUMEN TOTAL'!AK562</f>
        <v>0</v>
      </c>
      <c r="AE449" s="70">
        <f>'RESUMEN TOTAL'!AL562</f>
        <v>0</v>
      </c>
      <c r="AF449" s="70">
        <f>'RESUMEN TOTAL'!AM562</f>
        <v>0</v>
      </c>
      <c r="AG449" s="70">
        <f>'RESUMEN TOTAL'!AN562</f>
        <v>0</v>
      </c>
      <c r="AH449" s="70">
        <f>'RESUMEN TOTAL'!AO562</f>
        <v>0</v>
      </c>
      <c r="AI449" s="70">
        <f>'RESUMEN TOTAL'!AP562</f>
        <v>0</v>
      </c>
      <c r="AJ449" s="70">
        <f>'RESUMEN TOTAL'!AQ562</f>
        <v>0</v>
      </c>
    </row>
    <row r="450" spans="1:36" x14ac:dyDescent="0.25">
      <c r="A450" t="str">
        <f>'RESUMEN TOTAL'!A563</f>
        <v>VILLA SAN LUIS</v>
      </c>
      <c r="B450" t="str">
        <f>'RESUMEN TOTAL'!B563</f>
        <v>VSL 01</v>
      </c>
      <c r="C450" t="str">
        <f>'RESUMEN TOTAL'!D563</f>
        <v>AV. HUDSON Y CACHEUTA</v>
      </c>
      <c r="D450" s="30" t="str">
        <f>'RESUMEN TOTAL'!E563</f>
        <v>DOMO</v>
      </c>
      <c r="E450" s="30" t="str">
        <f>'RESUMEN TOTAL'!F563</f>
        <v>GPON</v>
      </c>
      <c r="F450" s="70" t="str">
        <f>'RESUMEN TOTAL'!M563</f>
        <v>APAGADO</v>
      </c>
      <c r="G450" s="70">
        <f>'RESUMEN TOTAL'!N563</f>
        <v>0</v>
      </c>
      <c r="H450" s="70">
        <f>'RESUMEN TOTAL'!O563</f>
        <v>0</v>
      </c>
      <c r="I450" s="70" t="str">
        <f>'RESUMEN TOTAL'!P563</f>
        <v>APAGADO</v>
      </c>
      <c r="J450" s="70" t="str">
        <f>'RESUMEN TOTAL'!Q563</f>
        <v>APAGADO</v>
      </c>
      <c r="K450" s="70" t="str">
        <f>'RESUMEN TOTAL'!R563</f>
        <v>APAGADO</v>
      </c>
      <c r="L450" s="70" t="str">
        <f>'RESUMEN TOTAL'!S563</f>
        <v>APAGADO</v>
      </c>
      <c r="M450" s="70" t="str">
        <f>'RESUMEN TOTAL'!T563</f>
        <v>APAGADO</v>
      </c>
      <c r="N450" s="70" t="str">
        <f>'RESUMEN TOTAL'!U563</f>
        <v>APAGADO</v>
      </c>
      <c r="O450" s="70" t="str">
        <f>'RESUMEN TOTAL'!V563</f>
        <v>APAGADO</v>
      </c>
      <c r="P450" s="70" t="str">
        <f>'RESUMEN TOTAL'!W563</f>
        <v>APAGADO</v>
      </c>
      <c r="Q450" s="70" t="str">
        <f>'RESUMEN TOTAL'!X563</f>
        <v>APAGADO</v>
      </c>
      <c r="R450" s="70" t="str">
        <f>'RESUMEN TOTAL'!Y563</f>
        <v>APAGADO</v>
      </c>
      <c r="S450" s="70" t="str">
        <f>'RESUMEN TOTAL'!Z563</f>
        <v>APAGADO</v>
      </c>
      <c r="T450" s="70" t="str">
        <f>'RESUMEN TOTAL'!AA563</f>
        <v>APAGADO</v>
      </c>
      <c r="U450" s="70">
        <f>'RESUMEN TOTAL'!AB563</f>
        <v>0</v>
      </c>
      <c r="V450" s="70">
        <f>'RESUMEN TOTAL'!AC563</f>
        <v>0</v>
      </c>
      <c r="W450" s="70">
        <f>'RESUMEN TOTAL'!AD563</f>
        <v>0</v>
      </c>
      <c r="X450" s="70">
        <f>'RESUMEN TOTAL'!AE563</f>
        <v>0</v>
      </c>
      <c r="Y450" s="70">
        <f>'RESUMEN TOTAL'!AF563</f>
        <v>0</v>
      </c>
      <c r="Z450" s="70">
        <f>'RESUMEN TOTAL'!AG563</f>
        <v>0</v>
      </c>
      <c r="AA450" s="70">
        <f>'RESUMEN TOTAL'!AH563</f>
        <v>0</v>
      </c>
      <c r="AB450" s="70">
        <f>'RESUMEN TOTAL'!AI563</f>
        <v>0</v>
      </c>
      <c r="AC450" s="70">
        <f>'RESUMEN TOTAL'!AJ563</f>
        <v>0</v>
      </c>
      <c r="AD450" s="70">
        <f>'RESUMEN TOTAL'!AK563</f>
        <v>0</v>
      </c>
      <c r="AE450" s="70">
        <f>'RESUMEN TOTAL'!AL563</f>
        <v>0</v>
      </c>
      <c r="AF450" s="70">
        <f>'RESUMEN TOTAL'!AM563</f>
        <v>0</v>
      </c>
      <c r="AG450" s="70">
        <f>'RESUMEN TOTAL'!AN563</f>
        <v>0</v>
      </c>
      <c r="AH450" s="70">
        <f>'RESUMEN TOTAL'!AO563</f>
        <v>0</v>
      </c>
      <c r="AI450" s="70">
        <f>'RESUMEN TOTAL'!AP563</f>
        <v>0</v>
      </c>
      <c r="AJ450" s="70">
        <f>'RESUMEN TOTAL'!AQ563</f>
        <v>0</v>
      </c>
    </row>
    <row r="451" spans="1:36" x14ac:dyDescent="0.25">
      <c r="A451" t="str">
        <f>'RESUMEN TOTAL'!A566</f>
        <v>VILLA SUSANA</v>
      </c>
      <c r="B451" t="str">
        <f>'RESUMEN TOTAL'!B566</f>
        <v>VSU01</v>
      </c>
      <c r="C451" t="str">
        <f>'RESUMEN TOTAL'!D566</f>
        <v>CJAL. JUAN BROWN Y SANTA FE</v>
      </c>
      <c r="D451" s="30" t="str">
        <f>'RESUMEN TOTAL'!E566</f>
        <v>DOMO</v>
      </c>
      <c r="E451" s="30" t="str">
        <f>'RESUMEN TOTAL'!F566</f>
        <v>Radio</v>
      </c>
      <c r="F451" s="70">
        <f>'RESUMEN TOTAL'!M566</f>
        <v>0</v>
      </c>
      <c r="G451" s="70">
        <f>'RESUMEN TOTAL'!N566</f>
        <v>0</v>
      </c>
      <c r="H451" s="70">
        <f>'RESUMEN TOTAL'!O566</f>
        <v>0</v>
      </c>
      <c r="I451" s="70">
        <f>'RESUMEN TOTAL'!P566</f>
        <v>0</v>
      </c>
      <c r="J451" s="70">
        <f>'RESUMEN TOTAL'!Q566</f>
        <v>0</v>
      </c>
      <c r="K451" s="70">
        <f>'RESUMEN TOTAL'!R566</f>
        <v>0</v>
      </c>
      <c r="L451" s="70">
        <f>'RESUMEN TOTAL'!S566</f>
        <v>0</v>
      </c>
      <c r="M451" s="70">
        <f>'RESUMEN TOTAL'!T566</f>
        <v>0</v>
      </c>
      <c r="N451" s="70">
        <f>'RESUMEN TOTAL'!U566</f>
        <v>0</v>
      </c>
      <c r="O451" s="70">
        <f>'RESUMEN TOTAL'!V566</f>
        <v>0</v>
      </c>
      <c r="P451" s="70">
        <f>'RESUMEN TOTAL'!W566</f>
        <v>0</v>
      </c>
      <c r="Q451" s="70">
        <f>'RESUMEN TOTAL'!X566</f>
        <v>0</v>
      </c>
      <c r="R451" s="70">
        <f>'RESUMEN TOTAL'!Y566</f>
        <v>0</v>
      </c>
      <c r="S451" s="70">
        <f>'RESUMEN TOTAL'!Z566</f>
        <v>0</v>
      </c>
      <c r="T451" s="70">
        <f>'RESUMEN TOTAL'!AA566</f>
        <v>0</v>
      </c>
      <c r="U451" s="70">
        <f>'RESUMEN TOTAL'!AB566</f>
        <v>0</v>
      </c>
      <c r="V451" s="70">
        <f>'RESUMEN TOTAL'!AC566</f>
        <v>0</v>
      </c>
      <c r="W451" s="70">
        <f>'RESUMEN TOTAL'!AD566</f>
        <v>0</v>
      </c>
      <c r="X451" s="70">
        <f>'RESUMEN TOTAL'!AE566</f>
        <v>0</v>
      </c>
      <c r="Y451" s="70">
        <f>'RESUMEN TOTAL'!AF566</f>
        <v>0</v>
      </c>
      <c r="Z451" s="70">
        <f>'RESUMEN TOTAL'!AG566</f>
        <v>0</v>
      </c>
      <c r="AA451" s="70">
        <f>'RESUMEN TOTAL'!AH566</f>
        <v>0</v>
      </c>
      <c r="AB451" s="70">
        <f>'RESUMEN TOTAL'!AI566</f>
        <v>0</v>
      </c>
      <c r="AC451" s="70">
        <f>'RESUMEN TOTAL'!AJ566</f>
        <v>0</v>
      </c>
      <c r="AD451" s="70">
        <f>'RESUMEN TOTAL'!AK566</f>
        <v>0</v>
      </c>
      <c r="AE451" s="70">
        <f>'RESUMEN TOTAL'!AL566</f>
        <v>0</v>
      </c>
      <c r="AF451" s="70">
        <f>'RESUMEN TOTAL'!AM566</f>
        <v>0</v>
      </c>
      <c r="AG451" s="70">
        <f>'RESUMEN TOTAL'!AN566</f>
        <v>0</v>
      </c>
      <c r="AH451" s="70">
        <f>'RESUMEN TOTAL'!AO566</f>
        <v>0</v>
      </c>
      <c r="AI451" s="70">
        <f>'RESUMEN TOTAL'!AP566</f>
        <v>0</v>
      </c>
      <c r="AJ451" s="70">
        <f>'RESUMEN TOTAL'!AQ566</f>
        <v>0</v>
      </c>
    </row>
    <row r="452" spans="1:36" x14ac:dyDescent="0.25">
      <c r="A452" t="str">
        <f>'RESUMEN TOTAL'!A567</f>
        <v>VILLA SUSANA</v>
      </c>
      <c r="B452" t="str">
        <f>'RESUMEN TOTAL'!B567</f>
        <v>VSU 02</v>
      </c>
      <c r="C452" t="str">
        <f>'RESUMEN TOTAL'!D567</f>
        <v>CABELLO Y SANTA FE</v>
      </c>
      <c r="D452" s="30" t="str">
        <f>'RESUMEN TOTAL'!E567</f>
        <v>DOMO</v>
      </c>
      <c r="E452" s="30" t="str">
        <f>'RESUMEN TOTAL'!F567</f>
        <v>Radio</v>
      </c>
      <c r="F452" s="70">
        <f>'RESUMEN TOTAL'!M567</f>
        <v>0</v>
      </c>
      <c r="G452" s="70">
        <f>'RESUMEN TOTAL'!N567</f>
        <v>0</v>
      </c>
      <c r="H452" s="70">
        <f>'RESUMEN TOTAL'!O567</f>
        <v>0</v>
      </c>
      <c r="I452" s="70">
        <f>'RESUMEN TOTAL'!P567</f>
        <v>0</v>
      </c>
      <c r="J452" s="70">
        <f>'RESUMEN TOTAL'!Q567</f>
        <v>0</v>
      </c>
      <c r="K452" s="70">
        <f>'RESUMEN TOTAL'!R567</f>
        <v>0</v>
      </c>
      <c r="L452" s="70">
        <f>'RESUMEN TOTAL'!S567</f>
        <v>0</v>
      </c>
      <c r="M452" s="70">
        <f>'RESUMEN TOTAL'!T567</f>
        <v>0</v>
      </c>
      <c r="N452" s="70">
        <f>'RESUMEN TOTAL'!U567</f>
        <v>0</v>
      </c>
      <c r="O452" s="70">
        <f>'RESUMEN TOTAL'!V567</f>
        <v>0</v>
      </c>
      <c r="P452" s="70">
        <f>'RESUMEN TOTAL'!W567</f>
        <v>0</v>
      </c>
      <c r="Q452" s="70">
        <f>'RESUMEN TOTAL'!X567</f>
        <v>0</v>
      </c>
      <c r="R452" s="70">
        <f>'RESUMEN TOTAL'!Y567</f>
        <v>0</v>
      </c>
      <c r="S452" s="70">
        <f>'RESUMEN TOTAL'!Z567</f>
        <v>0</v>
      </c>
      <c r="T452" s="70">
        <f>'RESUMEN TOTAL'!AA567</f>
        <v>0</v>
      </c>
      <c r="U452" s="70">
        <f>'RESUMEN TOTAL'!AB567</f>
        <v>0</v>
      </c>
      <c r="V452" s="70">
        <f>'RESUMEN TOTAL'!AC567</f>
        <v>0</v>
      </c>
      <c r="W452" s="70">
        <f>'RESUMEN TOTAL'!AD567</f>
        <v>0</v>
      </c>
      <c r="X452" s="70">
        <f>'RESUMEN TOTAL'!AE567</f>
        <v>0</v>
      </c>
      <c r="Y452" s="70">
        <f>'RESUMEN TOTAL'!AF567</f>
        <v>0</v>
      </c>
      <c r="Z452" s="70">
        <f>'RESUMEN TOTAL'!AG567</f>
        <v>0</v>
      </c>
      <c r="AA452" s="70">
        <f>'RESUMEN TOTAL'!AH567</f>
        <v>0</v>
      </c>
      <c r="AB452" s="70">
        <f>'RESUMEN TOTAL'!AI567</f>
        <v>0</v>
      </c>
      <c r="AC452" s="70">
        <f>'RESUMEN TOTAL'!AJ567</f>
        <v>0</v>
      </c>
      <c r="AD452" s="70">
        <f>'RESUMEN TOTAL'!AK567</f>
        <v>0</v>
      </c>
      <c r="AE452" s="70">
        <f>'RESUMEN TOTAL'!AL567</f>
        <v>0</v>
      </c>
      <c r="AF452" s="70">
        <f>'RESUMEN TOTAL'!AM567</f>
        <v>0</v>
      </c>
      <c r="AG452" s="70">
        <f>'RESUMEN TOTAL'!AN567</f>
        <v>0</v>
      </c>
      <c r="AH452" s="70">
        <f>'RESUMEN TOTAL'!AO567</f>
        <v>0</v>
      </c>
      <c r="AI452" s="70">
        <f>'RESUMEN TOTAL'!AP567</f>
        <v>0</v>
      </c>
      <c r="AJ452" s="70">
        <f>'RESUMEN TOTAL'!AQ567</f>
        <v>0</v>
      </c>
    </row>
    <row r="453" spans="1:36" x14ac:dyDescent="0.25">
      <c r="A453" t="str">
        <f>'RESUMEN TOTAL'!A568</f>
        <v>VILLA SUSANA</v>
      </c>
      <c r="B453" t="str">
        <f>'RESUMEN TOTAL'!B568</f>
        <v>VSU 03</v>
      </c>
      <c r="C453" t="str">
        <f>'RESUMEN TOTAL'!D568</f>
        <v>EE.UU Y SERRANO</v>
      </c>
      <c r="D453" s="30" t="str">
        <f>'RESUMEN TOTAL'!E568</f>
        <v>DOMO</v>
      </c>
      <c r="E453" s="30" t="str">
        <f>'RESUMEN TOTAL'!F568</f>
        <v>Radio</v>
      </c>
      <c r="F453" s="70">
        <f>'RESUMEN TOTAL'!M568</f>
        <v>0</v>
      </c>
      <c r="G453" s="70">
        <f>'RESUMEN TOTAL'!N568</f>
        <v>0</v>
      </c>
      <c r="H453" s="70">
        <f>'RESUMEN TOTAL'!O568</f>
        <v>0</v>
      </c>
      <c r="I453" s="70">
        <f>'RESUMEN TOTAL'!P568</f>
        <v>0</v>
      </c>
      <c r="J453" s="70">
        <f>'RESUMEN TOTAL'!Q568</f>
        <v>0</v>
      </c>
      <c r="K453" s="70">
        <f>'RESUMEN TOTAL'!R568</f>
        <v>0</v>
      </c>
      <c r="L453" s="70">
        <f>'RESUMEN TOTAL'!S568</f>
        <v>0</v>
      </c>
      <c r="M453" s="70">
        <f>'RESUMEN TOTAL'!T568</f>
        <v>0</v>
      </c>
      <c r="N453" s="70">
        <f>'RESUMEN TOTAL'!U568</f>
        <v>0</v>
      </c>
      <c r="O453" s="70">
        <f>'RESUMEN TOTAL'!V568</f>
        <v>0</v>
      </c>
      <c r="P453" s="70">
        <f>'RESUMEN TOTAL'!W568</f>
        <v>0</v>
      </c>
      <c r="Q453" s="70">
        <f>'RESUMEN TOTAL'!X568</f>
        <v>0</v>
      </c>
      <c r="R453" s="70">
        <f>'RESUMEN TOTAL'!Y568</f>
        <v>0</v>
      </c>
      <c r="S453" s="70">
        <f>'RESUMEN TOTAL'!Z568</f>
        <v>0</v>
      </c>
      <c r="T453" s="70">
        <f>'RESUMEN TOTAL'!AA568</f>
        <v>0</v>
      </c>
      <c r="U453" s="70">
        <f>'RESUMEN TOTAL'!AB568</f>
        <v>0</v>
      </c>
      <c r="V453" s="70">
        <f>'RESUMEN TOTAL'!AC568</f>
        <v>0</v>
      </c>
      <c r="W453" s="70">
        <f>'RESUMEN TOTAL'!AD568</f>
        <v>0</v>
      </c>
      <c r="X453" s="70">
        <f>'RESUMEN TOTAL'!AE568</f>
        <v>0</v>
      </c>
      <c r="Y453" s="70">
        <f>'RESUMEN TOTAL'!AF568</f>
        <v>0</v>
      </c>
      <c r="Z453" s="70">
        <f>'RESUMEN TOTAL'!AG568</f>
        <v>0</v>
      </c>
      <c r="AA453" s="70">
        <f>'RESUMEN TOTAL'!AH568</f>
        <v>0</v>
      </c>
      <c r="AB453" s="70">
        <f>'RESUMEN TOTAL'!AI568</f>
        <v>0</v>
      </c>
      <c r="AC453" s="70">
        <f>'RESUMEN TOTAL'!AJ568</f>
        <v>0</v>
      </c>
      <c r="AD453" s="70">
        <f>'RESUMEN TOTAL'!AK568</f>
        <v>0</v>
      </c>
      <c r="AE453" s="70">
        <f>'RESUMEN TOTAL'!AL568</f>
        <v>0</v>
      </c>
      <c r="AF453" s="70">
        <f>'RESUMEN TOTAL'!AM568</f>
        <v>0</v>
      </c>
      <c r="AG453" s="70">
        <f>'RESUMEN TOTAL'!AN568</f>
        <v>0</v>
      </c>
      <c r="AH453" s="70">
        <f>'RESUMEN TOTAL'!AO568</f>
        <v>0</v>
      </c>
      <c r="AI453" s="70">
        <f>'RESUMEN TOTAL'!AP568</f>
        <v>0</v>
      </c>
      <c r="AJ453" s="70">
        <f>'RESUMEN TOTAL'!AQ568</f>
        <v>0</v>
      </c>
    </row>
    <row r="454" spans="1:36" x14ac:dyDescent="0.25">
      <c r="A454" t="str">
        <f>'RESUMEN TOTAL'!A569</f>
        <v>VILLA SUSANA</v>
      </c>
      <c r="B454" t="str">
        <f>'RESUMEN TOTAL'!B569</f>
        <v>VSU 04</v>
      </c>
      <c r="C454" t="str">
        <f>'RESUMEN TOTAL'!D569</f>
        <v>Aniceto Diaz y Cordoba</v>
      </c>
      <c r="D454" s="30" t="str">
        <f>'RESUMEN TOTAL'!E569</f>
        <v>fija</v>
      </c>
      <c r="E454" s="30" t="str">
        <f>'RESUMEN TOTAL'!F569</f>
        <v>Fibra Optica</v>
      </c>
      <c r="F454" s="70">
        <f>'RESUMEN TOTAL'!M569</f>
        <v>0</v>
      </c>
      <c r="G454" s="70">
        <f>'RESUMEN TOTAL'!N569</f>
        <v>0</v>
      </c>
      <c r="H454" s="70">
        <f>'RESUMEN TOTAL'!O569</f>
        <v>0</v>
      </c>
      <c r="I454" s="70">
        <f>'RESUMEN TOTAL'!P569</f>
        <v>0</v>
      </c>
      <c r="J454" s="70">
        <f>'RESUMEN TOTAL'!Q569</f>
        <v>0</v>
      </c>
      <c r="K454" s="70">
        <f>'RESUMEN TOTAL'!R569</f>
        <v>0</v>
      </c>
      <c r="L454" s="70">
        <f>'RESUMEN TOTAL'!S569</f>
        <v>0</v>
      </c>
      <c r="M454" s="70">
        <f>'RESUMEN TOTAL'!T569</f>
        <v>0</v>
      </c>
      <c r="N454" s="70">
        <f>'RESUMEN TOTAL'!U569</f>
        <v>0</v>
      </c>
      <c r="O454" s="70">
        <f>'RESUMEN TOTAL'!V569</f>
        <v>0</v>
      </c>
      <c r="P454" s="70">
        <f>'RESUMEN TOTAL'!W569</f>
        <v>0</v>
      </c>
      <c r="Q454" s="70">
        <f>'RESUMEN TOTAL'!X569</f>
        <v>0</v>
      </c>
      <c r="R454" s="70">
        <f>'RESUMEN TOTAL'!Y569</f>
        <v>0</v>
      </c>
      <c r="S454" s="70">
        <f>'RESUMEN TOTAL'!Z569</f>
        <v>0</v>
      </c>
      <c r="T454" s="70">
        <f>'RESUMEN TOTAL'!AA569</f>
        <v>0</v>
      </c>
      <c r="U454" s="70">
        <f>'RESUMEN TOTAL'!AB569</f>
        <v>0</v>
      </c>
      <c r="V454" s="70">
        <f>'RESUMEN TOTAL'!AC569</f>
        <v>0</v>
      </c>
      <c r="W454" s="70">
        <f>'RESUMEN TOTAL'!AD569</f>
        <v>0</v>
      </c>
      <c r="X454" s="70">
        <f>'RESUMEN TOTAL'!AE569</f>
        <v>0</v>
      </c>
      <c r="Y454" s="70">
        <f>'RESUMEN TOTAL'!AF569</f>
        <v>0</v>
      </c>
      <c r="Z454" s="70">
        <f>'RESUMEN TOTAL'!AG569</f>
        <v>0</v>
      </c>
      <c r="AA454" s="70">
        <f>'RESUMEN TOTAL'!AH569</f>
        <v>0</v>
      </c>
      <c r="AB454" s="70">
        <f>'RESUMEN TOTAL'!AI569</f>
        <v>0</v>
      </c>
      <c r="AC454" s="70">
        <f>'RESUMEN TOTAL'!AJ569</f>
        <v>0</v>
      </c>
      <c r="AD454" s="70">
        <f>'RESUMEN TOTAL'!AK569</f>
        <v>0</v>
      </c>
      <c r="AE454" s="70">
        <f>'RESUMEN TOTAL'!AL569</f>
        <v>0</v>
      </c>
      <c r="AF454" s="70">
        <f>'RESUMEN TOTAL'!AM569</f>
        <v>0</v>
      </c>
      <c r="AG454" s="70">
        <f>'RESUMEN TOTAL'!AN569</f>
        <v>0</v>
      </c>
      <c r="AH454" s="70">
        <f>'RESUMEN TOTAL'!AO569</f>
        <v>0</v>
      </c>
      <c r="AI454" s="70">
        <f>'RESUMEN TOTAL'!AP569</f>
        <v>0</v>
      </c>
      <c r="AJ454" s="70">
        <f>'RESUMEN TOTAL'!AQ569</f>
        <v>0</v>
      </c>
    </row>
    <row r="455" spans="1:36" x14ac:dyDescent="0.25">
      <c r="A455" t="str">
        <f>'RESUMEN TOTAL'!A570</f>
        <v>VILLA SUSANA</v>
      </c>
      <c r="B455" t="str">
        <f>'RESUMEN TOTAL'!B570</f>
        <v>VSU 05</v>
      </c>
      <c r="C455" t="str">
        <f>'RESUMEN TOTAL'!D570</f>
        <v>Aniceto Diaz y Cordoba</v>
      </c>
      <c r="D455" s="30" t="str">
        <f>'RESUMEN TOTAL'!E570</f>
        <v>fija</v>
      </c>
      <c r="E455" s="30" t="str">
        <f>'RESUMEN TOTAL'!F570</f>
        <v>Fibra Optica</v>
      </c>
      <c r="F455" s="70">
        <f>'RESUMEN TOTAL'!M570</f>
        <v>0</v>
      </c>
      <c r="G455" s="70">
        <f>'RESUMEN TOTAL'!N570</f>
        <v>0</v>
      </c>
      <c r="H455" s="70">
        <f>'RESUMEN TOTAL'!O570</f>
        <v>0</v>
      </c>
      <c r="I455" s="70">
        <f>'RESUMEN TOTAL'!P570</f>
        <v>0</v>
      </c>
      <c r="J455" s="70">
        <f>'RESUMEN TOTAL'!Q570</f>
        <v>0</v>
      </c>
      <c r="K455" s="70">
        <f>'RESUMEN TOTAL'!R570</f>
        <v>0</v>
      </c>
      <c r="L455" s="70">
        <f>'RESUMEN TOTAL'!S570</f>
        <v>0</v>
      </c>
      <c r="M455" s="70">
        <f>'RESUMEN TOTAL'!T570</f>
        <v>0</v>
      </c>
      <c r="N455" s="70">
        <f>'RESUMEN TOTAL'!U570</f>
        <v>0</v>
      </c>
      <c r="O455" s="70">
        <f>'RESUMEN TOTAL'!V570</f>
        <v>0</v>
      </c>
      <c r="P455" s="70">
        <f>'RESUMEN TOTAL'!W570</f>
        <v>0</v>
      </c>
      <c r="Q455" s="70">
        <f>'RESUMEN TOTAL'!X570</f>
        <v>0</v>
      </c>
      <c r="R455" s="70">
        <f>'RESUMEN TOTAL'!Y570</f>
        <v>0</v>
      </c>
      <c r="S455" s="70">
        <f>'RESUMEN TOTAL'!Z570</f>
        <v>0</v>
      </c>
      <c r="T455" s="70">
        <f>'RESUMEN TOTAL'!AA570</f>
        <v>0</v>
      </c>
      <c r="U455" s="70">
        <f>'RESUMEN TOTAL'!AB570</f>
        <v>0</v>
      </c>
      <c r="V455" s="70">
        <f>'RESUMEN TOTAL'!AC570</f>
        <v>0</v>
      </c>
      <c r="W455" s="70">
        <f>'RESUMEN TOTAL'!AD570</f>
        <v>0</v>
      </c>
      <c r="X455" s="70">
        <f>'RESUMEN TOTAL'!AE570</f>
        <v>0</v>
      </c>
      <c r="Y455" s="70">
        <f>'RESUMEN TOTAL'!AF570</f>
        <v>0</v>
      </c>
      <c r="Z455" s="70">
        <f>'RESUMEN TOTAL'!AG570</f>
        <v>0</v>
      </c>
      <c r="AA455" s="70">
        <f>'RESUMEN TOTAL'!AH570</f>
        <v>0</v>
      </c>
      <c r="AB455" s="70">
        <f>'RESUMEN TOTAL'!AI570</f>
        <v>0</v>
      </c>
      <c r="AC455" s="70">
        <f>'RESUMEN TOTAL'!AJ570</f>
        <v>0</v>
      </c>
      <c r="AD455" s="70">
        <f>'RESUMEN TOTAL'!AK570</f>
        <v>0</v>
      </c>
      <c r="AE455" s="70">
        <f>'RESUMEN TOTAL'!AL570</f>
        <v>0</v>
      </c>
      <c r="AF455" s="70">
        <f>'RESUMEN TOTAL'!AM570</f>
        <v>0</v>
      </c>
      <c r="AG455" s="70">
        <f>'RESUMEN TOTAL'!AN570</f>
        <v>0</v>
      </c>
      <c r="AH455" s="70">
        <f>'RESUMEN TOTAL'!AO570</f>
        <v>0</v>
      </c>
      <c r="AI455" s="70">
        <f>'RESUMEN TOTAL'!AP570</f>
        <v>0</v>
      </c>
      <c r="AJ455" s="70">
        <f>'RESUMEN TOTAL'!AQ570</f>
        <v>0</v>
      </c>
    </row>
    <row r="456" spans="1:36" x14ac:dyDescent="0.25">
      <c r="A456" t="str">
        <f>'RESUMEN TOTAL'!A571</f>
        <v>VILLA SUSANA</v>
      </c>
      <c r="B456" t="str">
        <f>'RESUMEN TOTAL'!B571</f>
        <v>VSU 06</v>
      </c>
      <c r="C456" t="str">
        <f>'RESUMEN TOTAL'!D571</f>
        <v>EE.UU Y BROWN</v>
      </c>
      <c r="D456" s="30" t="str">
        <f>'RESUMEN TOTAL'!E571</f>
        <v>DOMO</v>
      </c>
      <c r="E456" s="30" t="str">
        <f>'RESUMEN TOTAL'!F571</f>
        <v>Fibra Optica</v>
      </c>
      <c r="F456" s="70">
        <f>'RESUMEN TOTAL'!M571</f>
        <v>0</v>
      </c>
      <c r="G456" s="70">
        <f>'RESUMEN TOTAL'!N571</f>
        <v>0</v>
      </c>
      <c r="H456" s="70">
        <f>'RESUMEN TOTAL'!O571</f>
        <v>0</v>
      </c>
      <c r="I456" s="70">
        <f>'RESUMEN TOTAL'!P571</f>
        <v>0</v>
      </c>
      <c r="J456" s="70">
        <f>'RESUMEN TOTAL'!Q571</f>
        <v>0</v>
      </c>
      <c r="K456" s="70">
        <f>'RESUMEN TOTAL'!R571</f>
        <v>0</v>
      </c>
      <c r="L456" s="70">
        <f>'RESUMEN TOTAL'!S571</f>
        <v>0</v>
      </c>
      <c r="M456" s="70">
        <f>'RESUMEN TOTAL'!T571</f>
        <v>0</v>
      </c>
      <c r="N456" s="70">
        <f>'RESUMEN TOTAL'!U571</f>
        <v>0</v>
      </c>
      <c r="O456" s="70">
        <f>'RESUMEN TOTAL'!V571</f>
        <v>0</v>
      </c>
      <c r="P456" s="70">
        <f>'RESUMEN TOTAL'!W571</f>
        <v>0</v>
      </c>
      <c r="Q456" s="70">
        <f>'RESUMEN TOTAL'!X571</f>
        <v>0</v>
      </c>
      <c r="R456" s="70">
        <f>'RESUMEN TOTAL'!Y571</f>
        <v>0</v>
      </c>
      <c r="S456" s="70">
        <f>'RESUMEN TOTAL'!Z571</f>
        <v>0</v>
      </c>
      <c r="T456" s="70">
        <f>'RESUMEN TOTAL'!AA571</f>
        <v>0</v>
      </c>
      <c r="U456" s="70">
        <f>'RESUMEN TOTAL'!AB571</f>
        <v>0</v>
      </c>
      <c r="V456" s="70">
        <f>'RESUMEN TOTAL'!AC571</f>
        <v>0</v>
      </c>
      <c r="W456" s="70">
        <f>'RESUMEN TOTAL'!AD571</f>
        <v>0</v>
      </c>
      <c r="X456" s="70">
        <f>'RESUMEN TOTAL'!AE571</f>
        <v>0</v>
      </c>
      <c r="Y456" s="70">
        <f>'RESUMEN TOTAL'!AF571</f>
        <v>0</v>
      </c>
      <c r="Z456" s="70">
        <f>'RESUMEN TOTAL'!AG571</f>
        <v>0</v>
      </c>
      <c r="AA456" s="70">
        <f>'RESUMEN TOTAL'!AH571</f>
        <v>0</v>
      </c>
      <c r="AB456" s="70">
        <f>'RESUMEN TOTAL'!AI571</f>
        <v>0</v>
      </c>
      <c r="AC456" s="70">
        <f>'RESUMEN TOTAL'!AJ571</f>
        <v>0</v>
      </c>
      <c r="AD456" s="70">
        <f>'RESUMEN TOTAL'!AK571</f>
        <v>0</v>
      </c>
      <c r="AE456" s="70">
        <f>'RESUMEN TOTAL'!AL571</f>
        <v>0</v>
      </c>
      <c r="AF456" s="70">
        <f>'RESUMEN TOTAL'!AM571</f>
        <v>0</v>
      </c>
      <c r="AG456" s="70">
        <f>'RESUMEN TOTAL'!AN571</f>
        <v>0</v>
      </c>
      <c r="AH456" s="70">
        <f>'RESUMEN TOTAL'!AO571</f>
        <v>0</v>
      </c>
      <c r="AI456" s="70">
        <f>'RESUMEN TOTAL'!AP571</f>
        <v>0</v>
      </c>
      <c r="AJ456" s="70">
        <f>'RESUMEN TOTAL'!AQ571</f>
        <v>0</v>
      </c>
    </row>
    <row r="457" spans="1:36" x14ac:dyDescent="0.25">
      <c r="A457" t="str">
        <f>'RESUMEN TOTAL'!A573</f>
        <v>ZEBALLOS</v>
      </c>
      <c r="B457" t="str">
        <f>'RESUMEN TOTAL'!B573</f>
        <v>ZEB02</v>
      </c>
      <c r="C457" t="str">
        <f>'RESUMEN TOTAL'!D573</f>
        <v>Quinquela Martin y Sgo. del Estero</v>
      </c>
      <c r="D457" s="30" t="str">
        <f>'RESUMEN TOTAL'!E573</f>
        <v>Domo</v>
      </c>
      <c r="E457" s="30" t="str">
        <f>'RESUMEN TOTAL'!F573</f>
        <v>GPON</v>
      </c>
      <c r="F457" s="70">
        <f>'RESUMEN TOTAL'!M573</f>
        <v>0</v>
      </c>
      <c r="G457" s="70">
        <f>'RESUMEN TOTAL'!N573</f>
        <v>0</v>
      </c>
      <c r="H457" s="70">
        <f>'RESUMEN TOTAL'!O573</f>
        <v>0</v>
      </c>
      <c r="I457" s="70">
        <f>'RESUMEN TOTAL'!P573</f>
        <v>0</v>
      </c>
      <c r="J457" s="70">
        <f>'RESUMEN TOTAL'!Q573</f>
        <v>0</v>
      </c>
      <c r="K457" s="70">
        <f>'RESUMEN TOTAL'!R573</f>
        <v>0</v>
      </c>
      <c r="L457" s="70">
        <f>'RESUMEN TOTAL'!S573</f>
        <v>0</v>
      </c>
      <c r="M457" s="70">
        <f>'RESUMEN TOTAL'!T573</f>
        <v>0</v>
      </c>
      <c r="N457" s="70">
        <f>'RESUMEN TOTAL'!U573</f>
        <v>0</v>
      </c>
      <c r="O457" s="70">
        <f>'RESUMEN TOTAL'!V573</f>
        <v>0</v>
      </c>
      <c r="P457" s="70">
        <f>'RESUMEN TOTAL'!W573</f>
        <v>0</v>
      </c>
      <c r="Q457" s="70">
        <f>'RESUMEN TOTAL'!X573</f>
        <v>0</v>
      </c>
      <c r="R457" s="70">
        <f>'RESUMEN TOTAL'!Y573</f>
        <v>0</v>
      </c>
      <c r="S457" s="70">
        <f>'RESUMEN TOTAL'!Z573</f>
        <v>0</v>
      </c>
      <c r="T457" s="70">
        <f>'RESUMEN TOTAL'!AA573</f>
        <v>0</v>
      </c>
      <c r="U457" s="70">
        <f>'RESUMEN TOTAL'!AB573</f>
        <v>0</v>
      </c>
      <c r="V457" s="70">
        <f>'RESUMEN TOTAL'!AC573</f>
        <v>0</v>
      </c>
      <c r="W457" s="70">
        <f>'RESUMEN TOTAL'!AD573</f>
        <v>0</v>
      </c>
      <c r="X457" s="70">
        <f>'RESUMEN TOTAL'!AE573</f>
        <v>0</v>
      </c>
      <c r="Y457" s="70">
        <f>'RESUMEN TOTAL'!AF573</f>
        <v>0</v>
      </c>
      <c r="Z457" s="70">
        <f>'RESUMEN TOTAL'!AG573</f>
        <v>0</v>
      </c>
      <c r="AA457" s="70">
        <f>'RESUMEN TOTAL'!AH573</f>
        <v>0</v>
      </c>
      <c r="AB457" s="70">
        <f>'RESUMEN TOTAL'!AI573</f>
        <v>0</v>
      </c>
      <c r="AC457" s="70">
        <f>'RESUMEN TOTAL'!AJ573</f>
        <v>0</v>
      </c>
      <c r="AD457" s="70">
        <f>'RESUMEN TOTAL'!AK573</f>
        <v>0</v>
      </c>
      <c r="AE457" s="70">
        <f>'RESUMEN TOTAL'!AL573</f>
        <v>0</v>
      </c>
      <c r="AF457" s="70">
        <f>'RESUMEN TOTAL'!AM573</f>
        <v>0</v>
      </c>
      <c r="AG457" s="70">
        <f>'RESUMEN TOTAL'!AN573</f>
        <v>0</v>
      </c>
      <c r="AH457" s="70">
        <f>'RESUMEN TOTAL'!AO573</f>
        <v>0</v>
      </c>
      <c r="AI457" s="70">
        <f>'RESUMEN TOTAL'!AP573</f>
        <v>0</v>
      </c>
      <c r="AJ457" s="70">
        <f>'RESUMEN TOTAL'!AQ573</f>
        <v>0</v>
      </c>
    </row>
    <row r="458" spans="1:36" x14ac:dyDescent="0.25">
      <c r="A458" t="str">
        <f>'RESUMEN TOTAL'!A574</f>
        <v>9 DE JULIO</v>
      </c>
      <c r="B458" t="str">
        <f>'RESUMEN TOTAL'!B574</f>
        <v>ZEB03</v>
      </c>
      <c r="C458" t="str">
        <f>'RESUMEN TOTAL'!D574</f>
        <v>Quinquela Martin y Pte. Peron</v>
      </c>
      <c r="D458" s="30" t="str">
        <f>'RESUMEN TOTAL'!E574</f>
        <v>Domo</v>
      </c>
      <c r="E458" s="30" t="str">
        <f>'RESUMEN TOTAL'!F574</f>
        <v>GPON</v>
      </c>
      <c r="F458" s="70">
        <f>'RESUMEN TOTAL'!M574</f>
        <v>0</v>
      </c>
      <c r="G458" s="70">
        <f>'RESUMEN TOTAL'!N574</f>
        <v>0</v>
      </c>
      <c r="H458" s="70">
        <f>'RESUMEN TOTAL'!O574</f>
        <v>0</v>
      </c>
      <c r="I458" s="70">
        <f>'RESUMEN TOTAL'!P574</f>
        <v>0</v>
      </c>
      <c r="J458" s="70">
        <f>'RESUMEN TOTAL'!Q574</f>
        <v>0</v>
      </c>
      <c r="K458" s="70">
        <f>'RESUMEN TOTAL'!R574</f>
        <v>0</v>
      </c>
      <c r="L458" s="70">
        <f>'RESUMEN TOTAL'!S574</f>
        <v>0</v>
      </c>
      <c r="M458" s="70">
        <f>'RESUMEN TOTAL'!T574</f>
        <v>0</v>
      </c>
      <c r="N458" s="70">
        <f>'RESUMEN TOTAL'!U574</f>
        <v>0</v>
      </c>
      <c r="O458" s="70">
        <f>'RESUMEN TOTAL'!V574</f>
        <v>0</v>
      </c>
      <c r="P458" s="70">
        <f>'RESUMEN TOTAL'!W574</f>
        <v>0</v>
      </c>
      <c r="Q458" s="70">
        <f>'RESUMEN TOTAL'!X574</f>
        <v>0</v>
      </c>
      <c r="R458" s="70">
        <f>'RESUMEN TOTAL'!Y574</f>
        <v>0</v>
      </c>
      <c r="S458" s="70">
        <f>'RESUMEN TOTAL'!Z574</f>
        <v>0</v>
      </c>
      <c r="T458" s="70">
        <f>'RESUMEN TOTAL'!AA574</f>
        <v>0</v>
      </c>
      <c r="U458" s="70">
        <f>'RESUMEN TOTAL'!AB574</f>
        <v>0</v>
      </c>
      <c r="V458" s="70">
        <f>'RESUMEN TOTAL'!AC574</f>
        <v>0</v>
      </c>
      <c r="W458" s="70">
        <f>'RESUMEN TOTAL'!AD574</f>
        <v>0</v>
      </c>
      <c r="X458" s="70">
        <f>'RESUMEN TOTAL'!AE574</f>
        <v>0</v>
      </c>
      <c r="Y458" s="70">
        <f>'RESUMEN TOTAL'!AF574</f>
        <v>0</v>
      </c>
      <c r="Z458" s="70">
        <f>'RESUMEN TOTAL'!AG574</f>
        <v>0</v>
      </c>
      <c r="AA458" s="70">
        <f>'RESUMEN TOTAL'!AH574</f>
        <v>0</v>
      </c>
      <c r="AB458" s="70">
        <f>'RESUMEN TOTAL'!AI574</f>
        <v>0</v>
      </c>
      <c r="AC458" s="70">
        <f>'RESUMEN TOTAL'!AJ574</f>
        <v>0</v>
      </c>
      <c r="AD458" s="70">
        <f>'RESUMEN TOTAL'!AK574</f>
        <v>0</v>
      </c>
      <c r="AE458" s="70">
        <f>'RESUMEN TOTAL'!AL574</f>
        <v>0</v>
      </c>
      <c r="AF458" s="70">
        <f>'RESUMEN TOTAL'!AM574</f>
        <v>0</v>
      </c>
      <c r="AG458" s="70">
        <f>'RESUMEN TOTAL'!AN574</f>
        <v>0</v>
      </c>
      <c r="AH458" s="70">
        <f>'RESUMEN TOTAL'!AO574</f>
        <v>0</v>
      </c>
      <c r="AI458" s="70">
        <f>'RESUMEN TOTAL'!AP574</f>
        <v>0</v>
      </c>
      <c r="AJ458" s="70">
        <f>'RESUMEN TOTAL'!AQ574</f>
        <v>0</v>
      </c>
    </row>
    <row r="459" spans="1:36" x14ac:dyDescent="0.25">
      <c r="A459" t="str">
        <f>'RESUMEN TOTAL'!A575</f>
        <v>ZEBALLOS</v>
      </c>
      <c r="B459" t="str">
        <f>'RESUMEN TOTAL'!B575</f>
        <v>ZEB04</v>
      </c>
      <c r="C459" t="str">
        <f>'RESUMEN TOTAL'!D575</f>
        <v>THEVENET Y DIAGONAL GRANADEROS</v>
      </c>
      <c r="D459" s="30" t="str">
        <f>'RESUMEN TOTAL'!E575</f>
        <v>DOMO</v>
      </c>
      <c r="E459" s="30" t="str">
        <f>'RESUMEN TOTAL'!F575</f>
        <v>GPON</v>
      </c>
      <c r="F459" s="70">
        <f>'RESUMEN TOTAL'!M575</f>
        <v>0</v>
      </c>
      <c r="G459" s="70">
        <f>'RESUMEN TOTAL'!N575</f>
        <v>0</v>
      </c>
      <c r="H459" s="70">
        <f>'RESUMEN TOTAL'!O575</f>
        <v>0</v>
      </c>
      <c r="I459" s="70">
        <f>'RESUMEN TOTAL'!P575</f>
        <v>0</v>
      </c>
      <c r="J459" s="70">
        <f>'RESUMEN TOTAL'!Q575</f>
        <v>0</v>
      </c>
      <c r="K459" s="70">
        <f>'RESUMEN TOTAL'!R575</f>
        <v>0</v>
      </c>
      <c r="L459" s="70">
        <f>'RESUMEN TOTAL'!S575</f>
        <v>0</v>
      </c>
      <c r="M459" s="70">
        <f>'RESUMEN TOTAL'!T575</f>
        <v>0</v>
      </c>
      <c r="N459" s="70">
        <f>'RESUMEN TOTAL'!U575</f>
        <v>0</v>
      </c>
      <c r="O459" s="70">
        <f>'RESUMEN TOTAL'!V575</f>
        <v>0</v>
      </c>
      <c r="P459" s="70">
        <f>'RESUMEN TOTAL'!W575</f>
        <v>0</v>
      </c>
      <c r="Q459" s="70">
        <f>'RESUMEN TOTAL'!X575</f>
        <v>0</v>
      </c>
      <c r="R459" s="70">
        <f>'RESUMEN TOTAL'!Y575</f>
        <v>0</v>
      </c>
      <c r="S459" s="70">
        <f>'RESUMEN TOTAL'!Z575</f>
        <v>0</v>
      </c>
      <c r="T459" s="70">
        <f>'RESUMEN TOTAL'!AA575</f>
        <v>0</v>
      </c>
      <c r="U459" s="70">
        <f>'RESUMEN TOTAL'!AB575</f>
        <v>0</v>
      </c>
      <c r="V459" s="70">
        <f>'RESUMEN TOTAL'!AC575</f>
        <v>0</v>
      </c>
      <c r="W459" s="70">
        <f>'RESUMEN TOTAL'!AD575</f>
        <v>0</v>
      </c>
      <c r="X459" s="70">
        <f>'RESUMEN TOTAL'!AE575</f>
        <v>0</v>
      </c>
      <c r="Y459" s="70">
        <f>'RESUMEN TOTAL'!AF575</f>
        <v>0</v>
      </c>
      <c r="Z459" s="70">
        <f>'RESUMEN TOTAL'!AG575</f>
        <v>0</v>
      </c>
      <c r="AA459" s="70">
        <f>'RESUMEN TOTAL'!AH575</f>
        <v>0</v>
      </c>
      <c r="AB459" s="70">
        <f>'RESUMEN TOTAL'!AI575</f>
        <v>0</v>
      </c>
      <c r="AC459" s="70">
        <f>'RESUMEN TOTAL'!AJ575</f>
        <v>0</v>
      </c>
      <c r="AD459" s="70">
        <f>'RESUMEN TOTAL'!AK575</f>
        <v>0</v>
      </c>
      <c r="AE459" s="70">
        <f>'RESUMEN TOTAL'!AL575</f>
        <v>0</v>
      </c>
      <c r="AF459" s="70">
        <f>'RESUMEN TOTAL'!AM575</f>
        <v>0</v>
      </c>
      <c r="AG459" s="70">
        <f>'RESUMEN TOTAL'!AN575</f>
        <v>0</v>
      </c>
      <c r="AH459" s="70">
        <f>'RESUMEN TOTAL'!AO575</f>
        <v>0</v>
      </c>
      <c r="AI459" s="70">
        <f>'RESUMEN TOTAL'!AP575</f>
        <v>0</v>
      </c>
      <c r="AJ459" s="70">
        <f>'RESUMEN TOTAL'!AQ575</f>
        <v>0</v>
      </c>
    </row>
    <row r="460" spans="1:36" x14ac:dyDescent="0.25">
      <c r="A460" t="str">
        <f>'RESUMEN TOTAL'!A576</f>
        <v>ZEBALLOS</v>
      </c>
      <c r="B460" t="str">
        <f>'RESUMEN TOTAL'!B576</f>
        <v>ZEB 05</v>
      </c>
      <c r="C460" t="str">
        <f>'RESUMEN TOTAL'!D576</f>
        <v>DIAG. GRANADEROS Y 214 BIS</v>
      </c>
      <c r="D460" s="30" t="str">
        <f>'RESUMEN TOTAL'!E576</f>
        <v>Domo</v>
      </c>
      <c r="E460" s="30" t="str">
        <f>'RESUMEN TOTAL'!F576</f>
        <v>GPON</v>
      </c>
      <c r="F460" s="70" t="str">
        <f>'RESUMEN TOTAL'!M576</f>
        <v>APAGADO</v>
      </c>
      <c r="G460" s="70" t="str">
        <f>'RESUMEN TOTAL'!N576</f>
        <v>APAGADO</v>
      </c>
      <c r="H460" s="70" t="str">
        <f>'RESUMEN TOTAL'!O576</f>
        <v>APAGADO</v>
      </c>
      <c r="I460" s="70" t="str">
        <f>'RESUMEN TOTAL'!P576</f>
        <v>APAGADO</v>
      </c>
      <c r="J460" s="70" t="str">
        <f>'RESUMEN TOTAL'!Q576</f>
        <v>APAGADO</v>
      </c>
      <c r="K460" s="70" t="str">
        <f>'RESUMEN TOTAL'!R576</f>
        <v>APAGADO</v>
      </c>
      <c r="L460" s="70" t="str">
        <f>'RESUMEN TOTAL'!S576</f>
        <v>APAGADO</v>
      </c>
      <c r="M460" s="70" t="str">
        <f>'RESUMEN TOTAL'!T576</f>
        <v>APAGADO</v>
      </c>
      <c r="N460" s="70" t="str">
        <f>'RESUMEN TOTAL'!U576</f>
        <v>APAGADO</v>
      </c>
      <c r="O460" s="70" t="str">
        <f>'RESUMEN TOTAL'!V576</f>
        <v>APAGADO</v>
      </c>
      <c r="P460" s="70" t="str">
        <f>'RESUMEN TOTAL'!W576</f>
        <v>APAGADO</v>
      </c>
      <c r="Q460" s="70" t="str">
        <f>'RESUMEN TOTAL'!X576</f>
        <v>APAGADO</v>
      </c>
      <c r="R460" s="70" t="str">
        <f>'RESUMEN TOTAL'!Y576</f>
        <v>APAGADO</v>
      </c>
      <c r="S460" s="70" t="str">
        <f>'RESUMEN TOTAL'!Z576</f>
        <v>APAGADO</v>
      </c>
      <c r="T460" s="70" t="str">
        <f>'RESUMEN TOTAL'!AA576</f>
        <v>APAGADO</v>
      </c>
      <c r="U460" s="70" t="str">
        <f>'RESUMEN TOTAL'!AB576</f>
        <v>APAGADO</v>
      </c>
      <c r="V460" s="70" t="str">
        <f>'RESUMEN TOTAL'!AC576</f>
        <v>APAGADO</v>
      </c>
      <c r="W460" s="70" t="str">
        <f>'RESUMEN TOTAL'!AD576</f>
        <v>APAGADO</v>
      </c>
      <c r="X460" s="70">
        <f>'RESUMEN TOTAL'!AE576</f>
        <v>0</v>
      </c>
      <c r="Y460" s="70">
        <f>'RESUMEN TOTAL'!AF576</f>
        <v>0</v>
      </c>
      <c r="Z460" s="70">
        <f>'RESUMEN TOTAL'!AG576</f>
        <v>0</v>
      </c>
      <c r="AA460" s="70">
        <f>'RESUMEN TOTAL'!AH576</f>
        <v>0</v>
      </c>
      <c r="AB460" s="70">
        <f>'RESUMEN TOTAL'!AI576</f>
        <v>0</v>
      </c>
      <c r="AC460" s="70">
        <f>'RESUMEN TOTAL'!AJ576</f>
        <v>0</v>
      </c>
      <c r="AD460" s="70">
        <f>'RESUMEN TOTAL'!AK576</f>
        <v>0</v>
      </c>
      <c r="AE460" s="70">
        <f>'RESUMEN TOTAL'!AL576</f>
        <v>0</v>
      </c>
      <c r="AF460" s="70">
        <f>'RESUMEN TOTAL'!AM576</f>
        <v>0</v>
      </c>
      <c r="AG460" s="70">
        <f>'RESUMEN TOTAL'!AN576</f>
        <v>0</v>
      </c>
      <c r="AH460" s="70">
        <f>'RESUMEN TOTAL'!AO576</f>
        <v>0</v>
      </c>
      <c r="AI460" s="70">
        <f>'RESUMEN TOTAL'!AP576</f>
        <v>0</v>
      </c>
      <c r="AJ460" s="70">
        <f>'RESUMEN TOTAL'!AQ576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TOTAL'!A663</f>
        <v>0</v>
      </c>
      <c r="B549">
        <f>'RESUMEN TOTAL'!B663</f>
        <v>0</v>
      </c>
      <c r="C549">
        <f>'RESUMEN TOTAL'!D663</f>
        <v>0</v>
      </c>
      <c r="D549" s="30">
        <f>'RESUMEN TOTAL'!E663</f>
        <v>0</v>
      </c>
      <c r="E549" s="30">
        <f>'RESUMEN TOTAL'!F663</f>
        <v>0</v>
      </c>
      <c r="F549" s="70">
        <f>'RESUMEN TOTAL'!M663</f>
        <v>0</v>
      </c>
      <c r="G549" s="70">
        <f>'RESUMEN TOTAL'!N663</f>
        <v>0</v>
      </c>
      <c r="H549" s="70">
        <f>'RESUMEN TOTAL'!O663</f>
        <v>0</v>
      </c>
      <c r="I549" s="70">
        <f>'RESUMEN TOTAL'!P663</f>
        <v>0</v>
      </c>
      <c r="J549" s="70">
        <f>'RESUMEN TOTAL'!Q663</f>
        <v>0</v>
      </c>
      <c r="K549" s="70">
        <f>'RESUMEN TOTAL'!R663</f>
        <v>0</v>
      </c>
      <c r="L549" s="70">
        <f>'RESUMEN TOTAL'!S663</f>
        <v>0</v>
      </c>
      <c r="M549" s="70">
        <f>'RESUMEN TOTAL'!T663</f>
        <v>0</v>
      </c>
      <c r="N549" s="70">
        <f>'RESUMEN TOTAL'!U663</f>
        <v>0</v>
      </c>
      <c r="O549" s="70">
        <f>'RESUMEN TOTAL'!V663</f>
        <v>0</v>
      </c>
      <c r="P549" s="70">
        <f>'RESUMEN TOTAL'!W663</f>
        <v>0</v>
      </c>
      <c r="Q549" s="70">
        <f>'RESUMEN TOTAL'!X663</f>
        <v>0</v>
      </c>
      <c r="R549" s="70">
        <f>'RESUMEN TOTAL'!Y663</f>
        <v>0</v>
      </c>
      <c r="S549" s="70">
        <f>'RESUMEN TOTAL'!Z663</f>
        <v>0</v>
      </c>
      <c r="T549" s="70">
        <f>'RESUMEN TOTAL'!AA663</f>
        <v>0</v>
      </c>
      <c r="U549" s="70">
        <f>'RESUMEN TOTAL'!AB663</f>
        <v>0</v>
      </c>
      <c r="V549" s="70">
        <f>'RESUMEN TOTAL'!AC663</f>
        <v>0</v>
      </c>
      <c r="W549" s="70">
        <f>'RESUMEN TOTAL'!AD663</f>
        <v>0</v>
      </c>
      <c r="X549" s="70">
        <f>'RESUMEN TOTAL'!AE663</f>
        <v>0</v>
      </c>
      <c r="Y549" s="70">
        <f>'RESUMEN TOTAL'!AF663</f>
        <v>0</v>
      </c>
      <c r="Z549" s="70">
        <f>'RESUMEN TOTAL'!AG663</f>
        <v>0</v>
      </c>
      <c r="AA549" s="70">
        <f>'RESUMEN TOTAL'!AH663</f>
        <v>0</v>
      </c>
      <c r="AB549" s="70">
        <f>'RESUMEN TOTAL'!AI663</f>
        <v>0</v>
      </c>
      <c r="AC549" s="70">
        <f>'RESUMEN TOTAL'!AJ663</f>
        <v>0</v>
      </c>
      <c r="AD549" s="70">
        <f>'RESUMEN TOTAL'!AK663</f>
        <v>0</v>
      </c>
      <c r="AE549" s="70">
        <f>'RESUMEN TOTAL'!AL663</f>
        <v>0</v>
      </c>
      <c r="AF549" s="70">
        <f>'RESUMEN TOTAL'!AM663</f>
        <v>0</v>
      </c>
      <c r="AG549" s="70">
        <f>'RESUMEN TOTAL'!AN663</f>
        <v>0</v>
      </c>
      <c r="AH549" s="70">
        <f>'RESUMEN TOTAL'!AO663</f>
        <v>0</v>
      </c>
      <c r="AI549" s="70">
        <f>'RESUMEN TOTAL'!AP663</f>
        <v>0</v>
      </c>
      <c r="AJ549" s="70">
        <f>'RESUMEN TOTAL'!AQ663</f>
        <v>0</v>
      </c>
    </row>
    <row r="550" spans="1:36" x14ac:dyDescent="0.25">
      <c r="A550">
        <f>'RESUMEN TOTAL'!A664</f>
        <v>0</v>
      </c>
      <c r="B550">
        <f>'RESUMEN TOTAL'!B664</f>
        <v>0</v>
      </c>
      <c r="C550">
        <f>'RESUMEN TOTAL'!D664</f>
        <v>0</v>
      </c>
      <c r="D550" s="30">
        <f>'RESUMEN TOTAL'!E664</f>
        <v>0</v>
      </c>
      <c r="E550" s="30">
        <f>'RESUMEN TOTAL'!F664</f>
        <v>0</v>
      </c>
      <c r="F550" s="70">
        <f>'RESUMEN TOTAL'!M664</f>
        <v>0</v>
      </c>
      <c r="G550" s="70">
        <f>'RESUMEN TOTAL'!N664</f>
        <v>0</v>
      </c>
      <c r="H550" s="70">
        <f>'RESUMEN TOTAL'!O664</f>
        <v>0</v>
      </c>
      <c r="I550" s="70">
        <f>'RESUMEN TOTAL'!P664</f>
        <v>0</v>
      </c>
      <c r="J550" s="70">
        <f>'RESUMEN TOTAL'!Q664</f>
        <v>0</v>
      </c>
      <c r="K550" s="70">
        <f>'RESUMEN TOTAL'!R664</f>
        <v>0</v>
      </c>
      <c r="L550" s="70">
        <f>'RESUMEN TOTAL'!S664</f>
        <v>0</v>
      </c>
      <c r="M550" s="70">
        <f>'RESUMEN TOTAL'!T664</f>
        <v>0</v>
      </c>
      <c r="N550" s="70">
        <f>'RESUMEN TOTAL'!U664</f>
        <v>0</v>
      </c>
      <c r="O550" s="70">
        <f>'RESUMEN TOTAL'!V664</f>
        <v>0</v>
      </c>
      <c r="P550" s="70">
        <f>'RESUMEN TOTAL'!W664</f>
        <v>0</v>
      </c>
      <c r="Q550" s="70">
        <f>'RESUMEN TOTAL'!X664</f>
        <v>0</v>
      </c>
      <c r="R550" s="70">
        <f>'RESUMEN TOTAL'!Y664</f>
        <v>0</v>
      </c>
      <c r="S550" s="70">
        <f>'RESUMEN TOTAL'!Z664</f>
        <v>0</v>
      </c>
      <c r="T550" s="70">
        <f>'RESUMEN TOTAL'!AA664</f>
        <v>0</v>
      </c>
      <c r="U550" s="70">
        <f>'RESUMEN TOTAL'!AB664</f>
        <v>0</v>
      </c>
      <c r="V550" s="70">
        <f>'RESUMEN TOTAL'!AC664</f>
        <v>0</v>
      </c>
      <c r="W550" s="70">
        <f>'RESUMEN TOTAL'!AD664</f>
        <v>0</v>
      </c>
      <c r="X550" s="70">
        <f>'RESUMEN TOTAL'!AE664</f>
        <v>0</v>
      </c>
      <c r="Y550" s="70">
        <f>'RESUMEN TOTAL'!AF664</f>
        <v>0</v>
      </c>
      <c r="Z550" s="70">
        <f>'RESUMEN TOTAL'!AG664</f>
        <v>0</v>
      </c>
      <c r="AA550" s="70">
        <f>'RESUMEN TOTAL'!AH664</f>
        <v>0</v>
      </c>
      <c r="AB550" s="70">
        <f>'RESUMEN TOTAL'!AI664</f>
        <v>0</v>
      </c>
      <c r="AC550" s="70">
        <f>'RESUMEN TOTAL'!AJ664</f>
        <v>0</v>
      </c>
      <c r="AD550" s="70">
        <f>'RESUMEN TOTAL'!AK664</f>
        <v>0</v>
      </c>
      <c r="AE550" s="70">
        <f>'RESUMEN TOTAL'!AL664</f>
        <v>0</v>
      </c>
      <c r="AF550" s="70">
        <f>'RESUMEN TOTAL'!AM664</f>
        <v>0</v>
      </c>
      <c r="AG550" s="70">
        <f>'RESUMEN TOTAL'!AN664</f>
        <v>0</v>
      </c>
      <c r="AH550" s="70">
        <f>'RESUMEN TOTAL'!AO664</f>
        <v>0</v>
      </c>
      <c r="AI550" s="70">
        <f>'RESUMEN TOTAL'!AP664</f>
        <v>0</v>
      </c>
      <c r="AJ550" s="70">
        <f>'RESUMEN TOTAL'!AQ664</f>
        <v>0</v>
      </c>
    </row>
    <row r="551" spans="1:36" x14ac:dyDescent="0.25">
      <c r="A551">
        <f>'RESUMEN TOTAL'!A665</f>
        <v>0</v>
      </c>
      <c r="B551">
        <f>'RESUMEN TOTAL'!B665</f>
        <v>0</v>
      </c>
      <c r="C551">
        <f>'RESUMEN TOTAL'!D665</f>
        <v>0</v>
      </c>
      <c r="D551" s="30">
        <f>'RESUMEN TOTAL'!E665</f>
        <v>0</v>
      </c>
      <c r="E551" s="30">
        <f>'RESUMEN TOTAL'!F665</f>
        <v>0</v>
      </c>
      <c r="F551" s="70">
        <f>'RESUMEN TOTAL'!M665</f>
        <v>0</v>
      </c>
      <c r="G551" s="70">
        <f>'RESUMEN TOTAL'!N665</f>
        <v>0</v>
      </c>
      <c r="H551" s="70">
        <f>'RESUMEN TOTAL'!O665</f>
        <v>0</v>
      </c>
      <c r="I551" s="70">
        <f>'RESUMEN TOTAL'!P665</f>
        <v>0</v>
      </c>
      <c r="J551" s="70">
        <f>'RESUMEN TOTAL'!Q665</f>
        <v>0</v>
      </c>
      <c r="K551" s="70">
        <f>'RESUMEN TOTAL'!R665</f>
        <v>0</v>
      </c>
      <c r="L551" s="70">
        <f>'RESUMEN TOTAL'!S665</f>
        <v>0</v>
      </c>
      <c r="M551" s="70">
        <f>'RESUMEN TOTAL'!T665</f>
        <v>0</v>
      </c>
      <c r="N551" s="70">
        <f>'RESUMEN TOTAL'!U665</f>
        <v>0</v>
      </c>
      <c r="O551" s="70">
        <f>'RESUMEN TOTAL'!V665</f>
        <v>0</v>
      </c>
      <c r="P551" s="70">
        <f>'RESUMEN TOTAL'!W665</f>
        <v>0</v>
      </c>
      <c r="Q551" s="70">
        <f>'RESUMEN TOTAL'!X665</f>
        <v>0</v>
      </c>
      <c r="R551" s="70">
        <f>'RESUMEN TOTAL'!Y665</f>
        <v>0</v>
      </c>
      <c r="S551" s="70">
        <f>'RESUMEN TOTAL'!Z665</f>
        <v>0</v>
      </c>
      <c r="T551" s="70">
        <f>'RESUMEN TOTAL'!AA665</f>
        <v>0</v>
      </c>
      <c r="U551" s="70">
        <f>'RESUMEN TOTAL'!AB665</f>
        <v>0</v>
      </c>
      <c r="V551" s="70">
        <f>'RESUMEN TOTAL'!AC665</f>
        <v>0</v>
      </c>
      <c r="W551" s="70">
        <f>'RESUMEN TOTAL'!AD665</f>
        <v>0</v>
      </c>
      <c r="X551" s="70">
        <f>'RESUMEN TOTAL'!AE665</f>
        <v>0</v>
      </c>
      <c r="Y551" s="70">
        <f>'RESUMEN TOTAL'!AF665</f>
        <v>0</v>
      </c>
      <c r="Z551" s="70">
        <f>'RESUMEN TOTAL'!AG665</f>
        <v>0</v>
      </c>
      <c r="AA551" s="70">
        <f>'RESUMEN TOTAL'!AH665</f>
        <v>0</v>
      </c>
      <c r="AB551" s="70">
        <f>'RESUMEN TOTAL'!AI665</f>
        <v>0</v>
      </c>
      <c r="AC551" s="70">
        <f>'RESUMEN TOTAL'!AJ665</f>
        <v>0</v>
      </c>
      <c r="AD551" s="70">
        <f>'RESUMEN TOTAL'!AK665</f>
        <v>0</v>
      </c>
      <c r="AE551" s="70">
        <f>'RESUMEN TOTAL'!AL665</f>
        <v>0</v>
      </c>
      <c r="AF551" s="70">
        <f>'RESUMEN TOTAL'!AM665</f>
        <v>0</v>
      </c>
      <c r="AG551" s="70">
        <f>'RESUMEN TOTAL'!AN665</f>
        <v>0</v>
      </c>
      <c r="AH551" s="70">
        <f>'RESUMEN TOTAL'!AO665</f>
        <v>0</v>
      </c>
      <c r="AI551" s="70">
        <f>'RESUMEN TOTAL'!AP665</f>
        <v>0</v>
      </c>
      <c r="AJ551" s="70">
        <f>'RESUMEN TOTAL'!AQ665</f>
        <v>0</v>
      </c>
    </row>
    <row r="552" spans="1:36" x14ac:dyDescent="0.25">
      <c r="A552">
        <f>'RESUMEN TOTAL'!A666</f>
        <v>0</v>
      </c>
      <c r="B552">
        <f>'RESUMEN TOTAL'!B666</f>
        <v>0</v>
      </c>
      <c r="C552">
        <f>'RESUMEN TOTAL'!D666</f>
        <v>0</v>
      </c>
      <c r="D552" s="30">
        <f>'RESUMEN TOTAL'!E666</f>
        <v>0</v>
      </c>
      <c r="E552" s="30">
        <f>'RESUMEN TOTAL'!F666</f>
        <v>0</v>
      </c>
      <c r="F552" s="70">
        <f>'RESUMEN TOTAL'!M666</f>
        <v>0</v>
      </c>
      <c r="G552" s="70">
        <f>'RESUMEN TOTAL'!N666</f>
        <v>0</v>
      </c>
      <c r="H552" s="70">
        <f>'RESUMEN TOTAL'!O666</f>
        <v>0</v>
      </c>
      <c r="I552" s="70">
        <f>'RESUMEN TOTAL'!P666</f>
        <v>0</v>
      </c>
      <c r="J552" s="70">
        <f>'RESUMEN TOTAL'!Q666</f>
        <v>0</v>
      </c>
      <c r="K552" s="70">
        <f>'RESUMEN TOTAL'!R666</f>
        <v>0</v>
      </c>
      <c r="L552" s="70">
        <f>'RESUMEN TOTAL'!S666</f>
        <v>0</v>
      </c>
      <c r="M552" s="70">
        <f>'RESUMEN TOTAL'!T666</f>
        <v>0</v>
      </c>
      <c r="N552" s="70">
        <f>'RESUMEN TOTAL'!U666</f>
        <v>0</v>
      </c>
      <c r="O552" s="70">
        <f>'RESUMEN TOTAL'!V666</f>
        <v>0</v>
      </c>
      <c r="P552" s="70">
        <f>'RESUMEN TOTAL'!W666</f>
        <v>0</v>
      </c>
      <c r="Q552" s="70">
        <f>'RESUMEN TOTAL'!X666</f>
        <v>0</v>
      </c>
      <c r="R552" s="70">
        <f>'RESUMEN TOTAL'!Y666</f>
        <v>0</v>
      </c>
      <c r="S552" s="70">
        <f>'RESUMEN TOTAL'!Z666</f>
        <v>0</v>
      </c>
      <c r="T552" s="70">
        <f>'RESUMEN TOTAL'!AA666</f>
        <v>0</v>
      </c>
      <c r="U552" s="70">
        <f>'RESUMEN TOTAL'!AB666</f>
        <v>0</v>
      </c>
      <c r="V552" s="70">
        <f>'RESUMEN TOTAL'!AC666</f>
        <v>0</v>
      </c>
      <c r="W552" s="70">
        <f>'RESUMEN TOTAL'!AD666</f>
        <v>0</v>
      </c>
      <c r="X552" s="70">
        <f>'RESUMEN TOTAL'!AE666</f>
        <v>0</v>
      </c>
      <c r="Y552" s="70">
        <f>'RESUMEN TOTAL'!AF666</f>
        <v>0</v>
      </c>
      <c r="Z552" s="70">
        <f>'RESUMEN TOTAL'!AG666</f>
        <v>0</v>
      </c>
      <c r="AA552" s="70">
        <f>'RESUMEN TOTAL'!AH666</f>
        <v>0</v>
      </c>
      <c r="AB552" s="70">
        <f>'RESUMEN TOTAL'!AI666</f>
        <v>0</v>
      </c>
      <c r="AC552" s="70">
        <f>'RESUMEN TOTAL'!AJ666</f>
        <v>0</v>
      </c>
      <c r="AD552" s="70">
        <f>'RESUMEN TOTAL'!AK666</f>
        <v>0</v>
      </c>
      <c r="AE552" s="70">
        <f>'RESUMEN TOTAL'!AL666</f>
        <v>0</v>
      </c>
      <c r="AF552" s="70">
        <f>'RESUMEN TOTAL'!AM666</f>
        <v>0</v>
      </c>
      <c r="AG552" s="70">
        <f>'RESUMEN TOTAL'!AN666</f>
        <v>0</v>
      </c>
      <c r="AH552" s="70">
        <f>'RESUMEN TOTAL'!AO666</f>
        <v>0</v>
      </c>
      <c r="AI552" s="70">
        <f>'RESUMEN TOTAL'!AP666</f>
        <v>0</v>
      </c>
      <c r="AJ552" s="70">
        <f>'RESUMEN TOTAL'!AQ666</f>
        <v>0</v>
      </c>
    </row>
    <row r="553" spans="1:36" x14ac:dyDescent="0.25">
      <c r="A553">
        <f>'RESUMEN TOTAL'!A667</f>
        <v>0</v>
      </c>
      <c r="B553">
        <f>'RESUMEN TOTAL'!B667</f>
        <v>0</v>
      </c>
      <c r="C553">
        <f>'RESUMEN TOTAL'!D667</f>
        <v>0</v>
      </c>
      <c r="D553" s="30">
        <f>'RESUMEN TOTAL'!E667</f>
        <v>0</v>
      </c>
      <c r="E553" s="30">
        <f>'RESUMEN TOTAL'!F667</f>
        <v>0</v>
      </c>
      <c r="F553" s="70">
        <f>'RESUMEN TOTAL'!M667</f>
        <v>0</v>
      </c>
      <c r="G553" s="70">
        <f>'RESUMEN TOTAL'!N667</f>
        <v>0</v>
      </c>
      <c r="H553" s="70">
        <f>'RESUMEN TOTAL'!O667</f>
        <v>0</v>
      </c>
      <c r="I553" s="70">
        <f>'RESUMEN TOTAL'!P667</f>
        <v>0</v>
      </c>
      <c r="J553" s="70">
        <f>'RESUMEN TOTAL'!Q667</f>
        <v>0</v>
      </c>
      <c r="K553" s="70">
        <f>'RESUMEN TOTAL'!R667</f>
        <v>0</v>
      </c>
      <c r="L553" s="70">
        <f>'RESUMEN TOTAL'!S667</f>
        <v>0</v>
      </c>
      <c r="M553" s="70">
        <f>'RESUMEN TOTAL'!T667</f>
        <v>0</v>
      </c>
      <c r="N553" s="70">
        <f>'RESUMEN TOTAL'!U667</f>
        <v>0</v>
      </c>
      <c r="O553" s="70">
        <f>'RESUMEN TOTAL'!V667</f>
        <v>0</v>
      </c>
      <c r="P553" s="70">
        <f>'RESUMEN TOTAL'!W667</f>
        <v>0</v>
      </c>
      <c r="Q553" s="70">
        <f>'RESUMEN TOTAL'!X667</f>
        <v>0</v>
      </c>
      <c r="R553" s="70">
        <f>'RESUMEN TOTAL'!Y667</f>
        <v>0</v>
      </c>
      <c r="S553" s="70">
        <f>'RESUMEN TOTAL'!Z667</f>
        <v>0</v>
      </c>
      <c r="T553" s="70">
        <f>'RESUMEN TOTAL'!AA667</f>
        <v>0</v>
      </c>
      <c r="U553" s="70">
        <f>'RESUMEN TOTAL'!AB667</f>
        <v>0</v>
      </c>
      <c r="V553" s="70">
        <f>'RESUMEN TOTAL'!AC667</f>
        <v>0</v>
      </c>
      <c r="W553" s="70">
        <f>'RESUMEN TOTAL'!AD667</f>
        <v>0</v>
      </c>
      <c r="X553" s="70">
        <f>'RESUMEN TOTAL'!AE667</f>
        <v>0</v>
      </c>
      <c r="Y553" s="70">
        <f>'RESUMEN TOTAL'!AF667</f>
        <v>0</v>
      </c>
      <c r="Z553" s="70">
        <f>'RESUMEN TOTAL'!AG667</f>
        <v>0</v>
      </c>
      <c r="AA553" s="70">
        <f>'RESUMEN TOTAL'!AH667</f>
        <v>0</v>
      </c>
      <c r="AB553" s="70">
        <f>'RESUMEN TOTAL'!AI667</f>
        <v>0</v>
      </c>
      <c r="AC553" s="70">
        <f>'RESUMEN TOTAL'!AJ667</f>
        <v>0</v>
      </c>
      <c r="AD553" s="70">
        <f>'RESUMEN TOTAL'!AK667</f>
        <v>0</v>
      </c>
      <c r="AE553" s="70">
        <f>'RESUMEN TOTAL'!AL667</f>
        <v>0</v>
      </c>
      <c r="AF553" s="70">
        <f>'RESUMEN TOTAL'!AM667</f>
        <v>0</v>
      </c>
      <c r="AG553" s="70">
        <f>'RESUMEN TOTAL'!AN667</f>
        <v>0</v>
      </c>
      <c r="AH553" s="70">
        <f>'RESUMEN TOTAL'!AO667</f>
        <v>0</v>
      </c>
      <c r="AI553" s="70">
        <f>'RESUMEN TOTAL'!AP667</f>
        <v>0</v>
      </c>
      <c r="AJ553" s="70">
        <f>'RESUMEN TOTAL'!AQ667</f>
        <v>0</v>
      </c>
    </row>
    <row r="554" spans="1:36" x14ac:dyDescent="0.25">
      <c r="A554">
        <f>'RESUMEN TOTAL'!A668</f>
        <v>0</v>
      </c>
      <c r="B554">
        <f>'RESUMEN TOTAL'!B668</f>
        <v>0</v>
      </c>
      <c r="C554">
        <f>'RESUMEN TOTAL'!D668</f>
        <v>0</v>
      </c>
      <c r="D554" s="30">
        <f>'RESUMEN TOTAL'!E668</f>
        <v>0</v>
      </c>
      <c r="E554" s="30">
        <f>'RESUMEN TOTAL'!F668</f>
        <v>0</v>
      </c>
      <c r="F554" s="70">
        <f>'RESUMEN TOTAL'!M668</f>
        <v>0</v>
      </c>
      <c r="G554" s="70">
        <f>'RESUMEN TOTAL'!N668</f>
        <v>0</v>
      </c>
      <c r="H554" s="70">
        <f>'RESUMEN TOTAL'!O668</f>
        <v>0</v>
      </c>
      <c r="I554" s="70">
        <f>'RESUMEN TOTAL'!P668</f>
        <v>0</v>
      </c>
      <c r="J554" s="70">
        <f>'RESUMEN TOTAL'!Q668</f>
        <v>0</v>
      </c>
      <c r="K554" s="70">
        <f>'RESUMEN TOTAL'!R668</f>
        <v>0</v>
      </c>
      <c r="L554" s="70">
        <f>'RESUMEN TOTAL'!S668</f>
        <v>0</v>
      </c>
      <c r="M554" s="70">
        <f>'RESUMEN TOTAL'!T668</f>
        <v>0</v>
      </c>
      <c r="N554" s="70">
        <f>'RESUMEN TOTAL'!U668</f>
        <v>0</v>
      </c>
      <c r="O554" s="70">
        <f>'RESUMEN TOTAL'!V668</f>
        <v>0</v>
      </c>
      <c r="P554" s="70">
        <f>'RESUMEN TOTAL'!W668</f>
        <v>0</v>
      </c>
      <c r="Q554" s="70">
        <f>'RESUMEN TOTAL'!X668</f>
        <v>0</v>
      </c>
      <c r="R554" s="70">
        <f>'RESUMEN TOTAL'!Y668</f>
        <v>0</v>
      </c>
      <c r="S554" s="70">
        <f>'RESUMEN TOTAL'!Z668</f>
        <v>0</v>
      </c>
      <c r="T554" s="70">
        <f>'RESUMEN TOTAL'!AA668</f>
        <v>0</v>
      </c>
      <c r="U554" s="70">
        <f>'RESUMEN TOTAL'!AB668</f>
        <v>0</v>
      </c>
      <c r="V554" s="70">
        <f>'RESUMEN TOTAL'!AC668</f>
        <v>0</v>
      </c>
      <c r="W554" s="70">
        <f>'RESUMEN TOTAL'!AD668</f>
        <v>0</v>
      </c>
      <c r="X554" s="70">
        <f>'RESUMEN TOTAL'!AE668</f>
        <v>0</v>
      </c>
      <c r="Y554" s="70">
        <f>'RESUMEN TOTAL'!AF668</f>
        <v>0</v>
      </c>
      <c r="Z554" s="70">
        <f>'RESUMEN TOTAL'!AG668</f>
        <v>0</v>
      </c>
      <c r="AA554" s="70">
        <f>'RESUMEN TOTAL'!AH668</f>
        <v>0</v>
      </c>
      <c r="AB554" s="70">
        <f>'RESUMEN TOTAL'!AI668</f>
        <v>0</v>
      </c>
      <c r="AC554" s="70">
        <f>'RESUMEN TOTAL'!AJ668</f>
        <v>0</v>
      </c>
      <c r="AD554" s="70">
        <f>'RESUMEN TOTAL'!AK668</f>
        <v>0</v>
      </c>
      <c r="AE554" s="70">
        <f>'RESUMEN TOTAL'!AL668</f>
        <v>0</v>
      </c>
      <c r="AF554" s="70">
        <f>'RESUMEN TOTAL'!AM668</f>
        <v>0</v>
      </c>
      <c r="AG554" s="70">
        <f>'RESUMEN TOTAL'!AN668</f>
        <v>0</v>
      </c>
      <c r="AH554" s="70">
        <f>'RESUMEN TOTAL'!AO668</f>
        <v>0</v>
      </c>
      <c r="AI554" s="70">
        <f>'RESUMEN TOTAL'!AP668</f>
        <v>0</v>
      </c>
      <c r="AJ554" s="70">
        <f>'RESUMEN TOTAL'!AQ668</f>
        <v>0</v>
      </c>
    </row>
    <row r="555" spans="1:36" x14ac:dyDescent="0.25">
      <c r="A555">
        <f>'RESUMEN TOTAL'!A669</f>
        <v>0</v>
      </c>
      <c r="B555">
        <f>'RESUMEN TOTAL'!B669</f>
        <v>0</v>
      </c>
      <c r="C555">
        <f>'RESUMEN TOTAL'!D669</f>
        <v>0</v>
      </c>
      <c r="D555" s="30">
        <f>'RESUMEN TOTAL'!E669</f>
        <v>0</v>
      </c>
      <c r="E555" s="30">
        <f>'RESUMEN TOTAL'!F669</f>
        <v>0</v>
      </c>
      <c r="F555" s="70">
        <f>'RESUMEN TOTAL'!M669</f>
        <v>0</v>
      </c>
      <c r="G555" s="70">
        <f>'RESUMEN TOTAL'!N669</f>
        <v>0</v>
      </c>
      <c r="H555" s="70">
        <f>'RESUMEN TOTAL'!O669</f>
        <v>0</v>
      </c>
      <c r="I555" s="70">
        <f>'RESUMEN TOTAL'!P669</f>
        <v>0</v>
      </c>
      <c r="J555" s="70">
        <f>'RESUMEN TOTAL'!Q669</f>
        <v>0</v>
      </c>
      <c r="K555" s="70">
        <f>'RESUMEN TOTAL'!R669</f>
        <v>0</v>
      </c>
      <c r="L555" s="70">
        <f>'RESUMEN TOTAL'!S669</f>
        <v>0</v>
      </c>
      <c r="M555" s="70">
        <f>'RESUMEN TOTAL'!T669</f>
        <v>0</v>
      </c>
      <c r="N555" s="70">
        <f>'RESUMEN TOTAL'!U669</f>
        <v>0</v>
      </c>
      <c r="O555" s="70">
        <f>'RESUMEN TOTAL'!V669</f>
        <v>0</v>
      </c>
      <c r="P555" s="70">
        <f>'RESUMEN TOTAL'!W669</f>
        <v>0</v>
      </c>
      <c r="Q555" s="70">
        <f>'RESUMEN TOTAL'!X669</f>
        <v>0</v>
      </c>
      <c r="R555" s="70">
        <f>'RESUMEN TOTAL'!Y669</f>
        <v>0</v>
      </c>
      <c r="S555" s="70">
        <f>'RESUMEN TOTAL'!Z669</f>
        <v>0</v>
      </c>
      <c r="T555" s="70">
        <f>'RESUMEN TOTAL'!AA669</f>
        <v>0</v>
      </c>
      <c r="U555" s="70">
        <f>'RESUMEN TOTAL'!AB669</f>
        <v>0</v>
      </c>
      <c r="V555" s="70">
        <f>'RESUMEN TOTAL'!AC669</f>
        <v>0</v>
      </c>
      <c r="W555" s="70">
        <f>'RESUMEN TOTAL'!AD669</f>
        <v>0</v>
      </c>
      <c r="X555" s="70">
        <f>'RESUMEN TOTAL'!AE669</f>
        <v>0</v>
      </c>
      <c r="Y555" s="70">
        <f>'RESUMEN TOTAL'!AF669</f>
        <v>0</v>
      </c>
      <c r="Z555" s="70">
        <f>'RESUMEN TOTAL'!AG669</f>
        <v>0</v>
      </c>
      <c r="AA555" s="70">
        <f>'RESUMEN TOTAL'!AH669</f>
        <v>0</v>
      </c>
      <c r="AB555" s="70">
        <f>'RESUMEN TOTAL'!AI669</f>
        <v>0</v>
      </c>
      <c r="AC555" s="70">
        <f>'RESUMEN TOTAL'!AJ669</f>
        <v>0</v>
      </c>
      <c r="AD555" s="70">
        <f>'RESUMEN TOTAL'!AK669</f>
        <v>0</v>
      </c>
      <c r="AE555" s="70">
        <f>'RESUMEN TOTAL'!AL669</f>
        <v>0</v>
      </c>
      <c r="AF555" s="70">
        <f>'RESUMEN TOTAL'!AM669</f>
        <v>0</v>
      </c>
      <c r="AG555" s="70">
        <f>'RESUMEN TOTAL'!AN669</f>
        <v>0</v>
      </c>
      <c r="AH555" s="70">
        <f>'RESUMEN TOTAL'!AO669</f>
        <v>0</v>
      </c>
      <c r="AI555" s="70">
        <f>'RESUMEN TOTAL'!AP669</f>
        <v>0</v>
      </c>
      <c r="AJ555" s="70">
        <f>'RESUMEN TOTAL'!AQ669</f>
        <v>0</v>
      </c>
    </row>
    <row r="556" spans="1:36" x14ac:dyDescent="0.25">
      <c r="A556">
        <f>'RESUMEN TOTAL'!A670</f>
        <v>0</v>
      </c>
      <c r="B556">
        <f>'RESUMEN TOTAL'!B670</f>
        <v>0</v>
      </c>
      <c r="C556">
        <f>'RESUMEN TOTAL'!D670</f>
        <v>0</v>
      </c>
      <c r="D556" s="30">
        <f>'RESUMEN TOTAL'!E670</f>
        <v>0</v>
      </c>
      <c r="E556" s="30">
        <f>'RESUMEN TOTAL'!F670</f>
        <v>0</v>
      </c>
      <c r="F556" s="70">
        <f>'RESUMEN TOTAL'!M670</f>
        <v>0</v>
      </c>
      <c r="G556" s="70">
        <f>'RESUMEN TOTAL'!N670</f>
        <v>0</v>
      </c>
      <c r="H556" s="70">
        <f>'RESUMEN TOTAL'!O670</f>
        <v>0</v>
      </c>
      <c r="I556" s="70">
        <f>'RESUMEN TOTAL'!P670</f>
        <v>0</v>
      </c>
      <c r="J556" s="70">
        <f>'RESUMEN TOTAL'!Q670</f>
        <v>0</v>
      </c>
      <c r="K556" s="70">
        <f>'RESUMEN TOTAL'!R670</f>
        <v>0</v>
      </c>
      <c r="L556" s="70">
        <f>'RESUMEN TOTAL'!S670</f>
        <v>0</v>
      </c>
      <c r="M556" s="70">
        <f>'RESUMEN TOTAL'!T670</f>
        <v>0</v>
      </c>
      <c r="N556" s="70">
        <f>'RESUMEN TOTAL'!U670</f>
        <v>0</v>
      </c>
      <c r="O556" s="70">
        <f>'RESUMEN TOTAL'!V670</f>
        <v>0</v>
      </c>
      <c r="P556" s="70">
        <f>'RESUMEN TOTAL'!W670</f>
        <v>0</v>
      </c>
      <c r="Q556" s="70">
        <f>'RESUMEN TOTAL'!X670</f>
        <v>0</v>
      </c>
      <c r="R556" s="70">
        <f>'RESUMEN TOTAL'!Y670</f>
        <v>0</v>
      </c>
      <c r="S556" s="70">
        <f>'RESUMEN TOTAL'!Z670</f>
        <v>0</v>
      </c>
      <c r="T556" s="70">
        <f>'RESUMEN TOTAL'!AA670</f>
        <v>0</v>
      </c>
      <c r="U556" s="70">
        <f>'RESUMEN TOTAL'!AB670</f>
        <v>0</v>
      </c>
      <c r="V556" s="70">
        <f>'RESUMEN TOTAL'!AC670</f>
        <v>0</v>
      </c>
      <c r="W556" s="70">
        <f>'RESUMEN TOTAL'!AD670</f>
        <v>0</v>
      </c>
      <c r="X556" s="70">
        <f>'RESUMEN TOTAL'!AE670</f>
        <v>0</v>
      </c>
      <c r="Y556" s="70">
        <f>'RESUMEN TOTAL'!AF670</f>
        <v>0</v>
      </c>
      <c r="Z556" s="70">
        <f>'RESUMEN TOTAL'!AG670</f>
        <v>0</v>
      </c>
      <c r="AA556" s="70">
        <f>'RESUMEN TOTAL'!AH670</f>
        <v>0</v>
      </c>
      <c r="AB556" s="70">
        <f>'RESUMEN TOTAL'!AI670</f>
        <v>0</v>
      </c>
      <c r="AC556" s="70">
        <f>'RESUMEN TOTAL'!AJ670</f>
        <v>0</v>
      </c>
      <c r="AD556" s="70">
        <f>'RESUMEN TOTAL'!AK670</f>
        <v>0</v>
      </c>
      <c r="AE556" s="70">
        <f>'RESUMEN TOTAL'!AL670</f>
        <v>0</v>
      </c>
      <c r="AF556" s="70">
        <f>'RESUMEN TOTAL'!AM670</f>
        <v>0</v>
      </c>
      <c r="AG556" s="70">
        <f>'RESUMEN TOTAL'!AN670</f>
        <v>0</v>
      </c>
      <c r="AH556" s="70">
        <f>'RESUMEN TOTAL'!AO670</f>
        <v>0</v>
      </c>
      <c r="AI556" s="70">
        <f>'RESUMEN TOTAL'!AP670</f>
        <v>0</v>
      </c>
      <c r="AJ556" s="70">
        <f>'RESUMEN TOTAL'!AQ670</f>
        <v>0</v>
      </c>
    </row>
    <row r="557" spans="1:36" x14ac:dyDescent="0.25">
      <c r="A557">
        <f>'RESUMEN TOTAL'!A671</f>
        <v>0</v>
      </c>
      <c r="B557">
        <f>'RESUMEN TOTAL'!B671</f>
        <v>0</v>
      </c>
      <c r="C557">
        <f>'RESUMEN TOTAL'!D671</f>
        <v>0</v>
      </c>
      <c r="D557" s="30">
        <f>'RESUMEN TOTAL'!E671</f>
        <v>0</v>
      </c>
      <c r="E557" s="30">
        <f>'RESUMEN TOTAL'!F671</f>
        <v>0</v>
      </c>
      <c r="F557" s="70">
        <f>'RESUMEN TOTAL'!M671</f>
        <v>0</v>
      </c>
      <c r="G557" s="70">
        <f>'RESUMEN TOTAL'!N671</f>
        <v>0</v>
      </c>
      <c r="H557" s="70">
        <f>'RESUMEN TOTAL'!O671</f>
        <v>0</v>
      </c>
      <c r="I557" s="70">
        <f>'RESUMEN TOTAL'!P671</f>
        <v>0</v>
      </c>
      <c r="J557" s="70">
        <f>'RESUMEN TOTAL'!Q671</f>
        <v>0</v>
      </c>
      <c r="K557" s="70">
        <f>'RESUMEN TOTAL'!R671</f>
        <v>0</v>
      </c>
      <c r="L557" s="70">
        <f>'RESUMEN TOTAL'!S671</f>
        <v>0</v>
      </c>
      <c r="M557" s="70">
        <f>'RESUMEN TOTAL'!T671</f>
        <v>0</v>
      </c>
      <c r="N557" s="70">
        <f>'RESUMEN TOTAL'!U671</f>
        <v>0</v>
      </c>
      <c r="O557" s="70">
        <f>'RESUMEN TOTAL'!V671</f>
        <v>0</v>
      </c>
      <c r="P557" s="70">
        <f>'RESUMEN TOTAL'!W671</f>
        <v>0</v>
      </c>
      <c r="Q557" s="70">
        <f>'RESUMEN TOTAL'!X671</f>
        <v>0</v>
      </c>
      <c r="R557" s="70">
        <f>'RESUMEN TOTAL'!Y671</f>
        <v>0</v>
      </c>
      <c r="S557" s="70">
        <f>'RESUMEN TOTAL'!Z671</f>
        <v>0</v>
      </c>
      <c r="T557" s="70">
        <f>'RESUMEN TOTAL'!AA671</f>
        <v>0</v>
      </c>
      <c r="U557" s="70">
        <f>'RESUMEN TOTAL'!AB671</f>
        <v>0</v>
      </c>
      <c r="V557" s="70">
        <f>'RESUMEN TOTAL'!AC671</f>
        <v>0</v>
      </c>
      <c r="W557" s="70">
        <f>'RESUMEN TOTAL'!AD671</f>
        <v>0</v>
      </c>
      <c r="X557" s="70">
        <f>'RESUMEN TOTAL'!AE671</f>
        <v>0</v>
      </c>
      <c r="Y557" s="70">
        <f>'RESUMEN TOTAL'!AF671</f>
        <v>0</v>
      </c>
      <c r="Z557" s="70">
        <f>'RESUMEN TOTAL'!AG671</f>
        <v>0</v>
      </c>
      <c r="AA557" s="70">
        <f>'RESUMEN TOTAL'!AH671</f>
        <v>0</v>
      </c>
      <c r="AB557" s="70">
        <f>'RESUMEN TOTAL'!AI671</f>
        <v>0</v>
      </c>
      <c r="AC557" s="70">
        <f>'RESUMEN TOTAL'!AJ671</f>
        <v>0</v>
      </c>
      <c r="AD557" s="70">
        <f>'RESUMEN TOTAL'!AK671</f>
        <v>0</v>
      </c>
      <c r="AE557" s="70">
        <f>'RESUMEN TOTAL'!AL671</f>
        <v>0</v>
      </c>
      <c r="AF557" s="70">
        <f>'RESUMEN TOTAL'!AM671</f>
        <v>0</v>
      </c>
      <c r="AG557" s="70">
        <f>'RESUMEN TOTAL'!AN671</f>
        <v>0</v>
      </c>
      <c r="AH557" s="70">
        <f>'RESUMEN TOTAL'!AO671</f>
        <v>0</v>
      </c>
      <c r="AI557" s="70">
        <f>'RESUMEN TOTAL'!AP671</f>
        <v>0</v>
      </c>
      <c r="AJ557" s="70">
        <f>'RESUMEN TOTAL'!AQ671</f>
        <v>0</v>
      </c>
    </row>
    <row r="558" spans="1:36" x14ac:dyDescent="0.25">
      <c r="A558">
        <f>'RESUMEN TOTAL'!A672</f>
        <v>0</v>
      </c>
      <c r="B558">
        <f>'RESUMEN TOTAL'!B672</f>
        <v>0</v>
      </c>
      <c r="C558">
        <f>'RESUMEN TOTAL'!D672</f>
        <v>0</v>
      </c>
      <c r="D558" s="30">
        <f>'RESUMEN TOTAL'!E672</f>
        <v>0</v>
      </c>
      <c r="E558" s="30">
        <f>'RESUMEN TOTAL'!F672</f>
        <v>0</v>
      </c>
      <c r="F558" s="70">
        <f>'RESUMEN TOTAL'!M672</f>
        <v>0</v>
      </c>
      <c r="G558" s="70">
        <f>'RESUMEN TOTAL'!N672</f>
        <v>0</v>
      </c>
      <c r="H558" s="70">
        <f>'RESUMEN TOTAL'!O672</f>
        <v>0</v>
      </c>
      <c r="I558" s="70">
        <f>'RESUMEN TOTAL'!P672</f>
        <v>0</v>
      </c>
      <c r="J558" s="70">
        <f>'RESUMEN TOTAL'!Q672</f>
        <v>0</v>
      </c>
      <c r="K558" s="70">
        <f>'RESUMEN TOTAL'!R672</f>
        <v>0</v>
      </c>
      <c r="L558" s="70">
        <f>'RESUMEN TOTAL'!S672</f>
        <v>0</v>
      </c>
      <c r="M558" s="70">
        <f>'RESUMEN TOTAL'!T672</f>
        <v>0</v>
      </c>
      <c r="N558" s="70">
        <f>'RESUMEN TOTAL'!U672</f>
        <v>0</v>
      </c>
      <c r="O558" s="70">
        <f>'RESUMEN TOTAL'!V672</f>
        <v>0</v>
      </c>
      <c r="P558" s="70">
        <f>'RESUMEN TOTAL'!W672</f>
        <v>0</v>
      </c>
      <c r="Q558" s="70">
        <f>'RESUMEN TOTAL'!X672</f>
        <v>0</v>
      </c>
      <c r="R558" s="70">
        <f>'RESUMEN TOTAL'!Y672</f>
        <v>0</v>
      </c>
      <c r="S558" s="70">
        <f>'RESUMEN TOTAL'!Z672</f>
        <v>0</v>
      </c>
      <c r="T558" s="70">
        <f>'RESUMEN TOTAL'!AA672</f>
        <v>0</v>
      </c>
      <c r="U558" s="70">
        <f>'RESUMEN TOTAL'!AB672</f>
        <v>0</v>
      </c>
      <c r="V558" s="70">
        <f>'RESUMEN TOTAL'!AC672</f>
        <v>0</v>
      </c>
      <c r="W558" s="70">
        <f>'RESUMEN TOTAL'!AD672</f>
        <v>0</v>
      </c>
      <c r="X558" s="70">
        <f>'RESUMEN TOTAL'!AE672</f>
        <v>0</v>
      </c>
      <c r="Y558" s="70">
        <f>'RESUMEN TOTAL'!AF672</f>
        <v>0</v>
      </c>
      <c r="Z558" s="70">
        <f>'RESUMEN TOTAL'!AG672</f>
        <v>0</v>
      </c>
      <c r="AA558" s="70">
        <f>'RESUMEN TOTAL'!AH672</f>
        <v>0</v>
      </c>
      <c r="AB558" s="70">
        <f>'RESUMEN TOTAL'!AI672</f>
        <v>0</v>
      </c>
      <c r="AC558" s="70">
        <f>'RESUMEN TOTAL'!AJ672</f>
        <v>0</v>
      </c>
      <c r="AD558" s="70">
        <f>'RESUMEN TOTAL'!AK672</f>
        <v>0</v>
      </c>
      <c r="AE558" s="70">
        <f>'RESUMEN TOTAL'!AL672</f>
        <v>0</v>
      </c>
      <c r="AF558" s="70">
        <f>'RESUMEN TOTAL'!AM672</f>
        <v>0</v>
      </c>
      <c r="AG558" s="70">
        <f>'RESUMEN TOTAL'!AN672</f>
        <v>0</v>
      </c>
      <c r="AH558" s="70">
        <f>'RESUMEN TOTAL'!AO672</f>
        <v>0</v>
      </c>
      <c r="AI558" s="70">
        <f>'RESUMEN TOTAL'!AP672</f>
        <v>0</v>
      </c>
      <c r="AJ558" s="70">
        <f>'RESUMEN TOTAL'!AQ672</f>
        <v>0</v>
      </c>
    </row>
    <row r="559" spans="1:36" x14ac:dyDescent="0.25">
      <c r="A559">
        <f>'RESUMEN TOTAL'!A673</f>
        <v>0</v>
      </c>
      <c r="B559">
        <f>'RESUMEN TOTAL'!B673</f>
        <v>0</v>
      </c>
      <c r="C559">
        <f>'RESUMEN TOTAL'!D673</f>
        <v>0</v>
      </c>
      <c r="D559" s="30">
        <f>'RESUMEN TOTAL'!E673</f>
        <v>0</v>
      </c>
      <c r="E559" s="30">
        <f>'RESUMEN TOTAL'!F673</f>
        <v>0</v>
      </c>
      <c r="F559" s="70">
        <f>'RESUMEN TOTAL'!M673</f>
        <v>0</v>
      </c>
      <c r="G559" s="70">
        <f>'RESUMEN TOTAL'!N673</f>
        <v>0</v>
      </c>
      <c r="H559" s="70">
        <f>'RESUMEN TOTAL'!O673</f>
        <v>0</v>
      </c>
      <c r="I559" s="70">
        <f>'RESUMEN TOTAL'!P673</f>
        <v>0</v>
      </c>
      <c r="J559" s="70">
        <f>'RESUMEN TOTAL'!Q673</f>
        <v>0</v>
      </c>
      <c r="K559" s="70">
        <f>'RESUMEN TOTAL'!R673</f>
        <v>0</v>
      </c>
      <c r="L559" s="70">
        <f>'RESUMEN TOTAL'!S673</f>
        <v>0</v>
      </c>
      <c r="M559" s="70">
        <f>'RESUMEN TOTAL'!T673</f>
        <v>0</v>
      </c>
      <c r="N559" s="70">
        <f>'RESUMEN TOTAL'!U673</f>
        <v>0</v>
      </c>
      <c r="O559" s="70">
        <f>'RESUMEN TOTAL'!V673</f>
        <v>0</v>
      </c>
      <c r="P559" s="70">
        <f>'RESUMEN TOTAL'!W673</f>
        <v>0</v>
      </c>
      <c r="Q559" s="70">
        <f>'RESUMEN TOTAL'!X673</f>
        <v>0</v>
      </c>
      <c r="R559" s="70">
        <f>'RESUMEN TOTAL'!Y673</f>
        <v>0</v>
      </c>
      <c r="S559" s="70">
        <f>'RESUMEN TOTAL'!Z673</f>
        <v>0</v>
      </c>
      <c r="T559" s="70">
        <f>'RESUMEN TOTAL'!AA673</f>
        <v>0</v>
      </c>
      <c r="U559" s="70">
        <f>'RESUMEN TOTAL'!AB673</f>
        <v>0</v>
      </c>
      <c r="V559" s="70">
        <f>'RESUMEN TOTAL'!AC673</f>
        <v>0</v>
      </c>
      <c r="W559" s="70">
        <f>'RESUMEN TOTAL'!AD673</f>
        <v>0</v>
      </c>
      <c r="X559" s="70">
        <f>'RESUMEN TOTAL'!AE673</f>
        <v>0</v>
      </c>
      <c r="Y559" s="70">
        <f>'RESUMEN TOTAL'!AF673</f>
        <v>0</v>
      </c>
      <c r="Z559" s="70">
        <f>'RESUMEN TOTAL'!AG673</f>
        <v>0</v>
      </c>
      <c r="AA559" s="70">
        <f>'RESUMEN TOTAL'!AH673</f>
        <v>0</v>
      </c>
      <c r="AB559" s="70">
        <f>'RESUMEN TOTAL'!AI673</f>
        <v>0</v>
      </c>
      <c r="AC559" s="70">
        <f>'RESUMEN TOTAL'!AJ673</f>
        <v>0</v>
      </c>
      <c r="AD559" s="70">
        <f>'RESUMEN TOTAL'!AK673</f>
        <v>0</v>
      </c>
      <c r="AE559" s="70">
        <f>'RESUMEN TOTAL'!AL673</f>
        <v>0</v>
      </c>
      <c r="AF559" s="70">
        <f>'RESUMEN TOTAL'!AM673</f>
        <v>0</v>
      </c>
      <c r="AG559" s="70">
        <f>'RESUMEN TOTAL'!AN673</f>
        <v>0</v>
      </c>
      <c r="AH559" s="70">
        <f>'RESUMEN TOTAL'!AO673</f>
        <v>0</v>
      </c>
      <c r="AI559" s="70">
        <f>'RESUMEN TOTAL'!AP673</f>
        <v>0</v>
      </c>
      <c r="AJ559" s="70">
        <f>'RESUMEN TOTAL'!AQ673</f>
        <v>0</v>
      </c>
    </row>
    <row r="560" spans="1:36" x14ac:dyDescent="0.25">
      <c r="A560">
        <f>'RESUMEN TOTAL'!A674</f>
        <v>0</v>
      </c>
      <c r="B560">
        <f>'RESUMEN TOTAL'!B674</f>
        <v>0</v>
      </c>
      <c r="C560">
        <f>'RESUMEN TOTAL'!D674</f>
        <v>0</v>
      </c>
      <c r="D560" s="30">
        <f>'RESUMEN TOTAL'!E674</f>
        <v>0</v>
      </c>
      <c r="E560" s="30">
        <f>'RESUMEN TOTAL'!F674</f>
        <v>0</v>
      </c>
      <c r="F560" s="70">
        <f>'RESUMEN TOTAL'!M674</f>
        <v>0</v>
      </c>
      <c r="G560" s="70">
        <f>'RESUMEN TOTAL'!N674</f>
        <v>0</v>
      </c>
      <c r="H560" s="70">
        <f>'RESUMEN TOTAL'!O674</f>
        <v>0</v>
      </c>
      <c r="I560" s="70">
        <f>'RESUMEN TOTAL'!P674</f>
        <v>0</v>
      </c>
      <c r="J560" s="70">
        <f>'RESUMEN TOTAL'!Q674</f>
        <v>0</v>
      </c>
      <c r="K560" s="70">
        <f>'RESUMEN TOTAL'!R674</f>
        <v>0</v>
      </c>
      <c r="L560" s="70">
        <f>'RESUMEN TOTAL'!S674</f>
        <v>0</v>
      </c>
      <c r="M560" s="70">
        <f>'RESUMEN TOTAL'!T674</f>
        <v>0</v>
      </c>
      <c r="N560" s="70">
        <f>'RESUMEN TOTAL'!U674</f>
        <v>0</v>
      </c>
      <c r="O560" s="70">
        <f>'RESUMEN TOTAL'!V674</f>
        <v>0</v>
      </c>
      <c r="P560" s="70">
        <f>'RESUMEN TOTAL'!W674</f>
        <v>0</v>
      </c>
      <c r="Q560" s="70">
        <f>'RESUMEN TOTAL'!X674</f>
        <v>0</v>
      </c>
      <c r="R560" s="70">
        <f>'RESUMEN TOTAL'!Y674</f>
        <v>0</v>
      </c>
      <c r="S560" s="70">
        <f>'RESUMEN TOTAL'!Z674</f>
        <v>0</v>
      </c>
      <c r="T560" s="70">
        <f>'RESUMEN TOTAL'!AA674</f>
        <v>0</v>
      </c>
      <c r="U560" s="70">
        <f>'RESUMEN TOTAL'!AB674</f>
        <v>0</v>
      </c>
      <c r="V560" s="70">
        <f>'RESUMEN TOTAL'!AC674</f>
        <v>0</v>
      </c>
      <c r="W560" s="70">
        <f>'RESUMEN TOTAL'!AD674</f>
        <v>0</v>
      </c>
      <c r="X560" s="70">
        <f>'RESUMEN TOTAL'!AE674</f>
        <v>0</v>
      </c>
      <c r="Y560" s="70">
        <f>'RESUMEN TOTAL'!AF674</f>
        <v>0</v>
      </c>
      <c r="Z560" s="70">
        <f>'RESUMEN TOTAL'!AG674</f>
        <v>0</v>
      </c>
      <c r="AA560" s="70">
        <f>'RESUMEN TOTAL'!AH674</f>
        <v>0</v>
      </c>
      <c r="AB560" s="70">
        <f>'RESUMEN TOTAL'!AI674</f>
        <v>0</v>
      </c>
      <c r="AC560" s="70">
        <f>'RESUMEN TOTAL'!AJ674</f>
        <v>0</v>
      </c>
      <c r="AD560" s="70">
        <f>'RESUMEN TOTAL'!AK674</f>
        <v>0</v>
      </c>
      <c r="AE560" s="70">
        <f>'RESUMEN TOTAL'!AL674</f>
        <v>0</v>
      </c>
      <c r="AF560" s="70">
        <f>'RESUMEN TOTAL'!AM674</f>
        <v>0</v>
      </c>
      <c r="AG560" s="70">
        <f>'RESUMEN TOTAL'!AN674</f>
        <v>0</v>
      </c>
      <c r="AH560" s="70">
        <f>'RESUMEN TOTAL'!AO674</f>
        <v>0</v>
      </c>
      <c r="AI560" s="70">
        <f>'RESUMEN TOTAL'!AP674</f>
        <v>0</v>
      </c>
      <c r="AJ560" s="70">
        <f>'RESUMEN TOTAL'!AQ674</f>
        <v>0</v>
      </c>
    </row>
    <row r="561" spans="1:36" x14ac:dyDescent="0.25">
      <c r="A561">
        <f>'RESUMEN TOTAL'!A675</f>
        <v>0</v>
      </c>
      <c r="B561">
        <f>'RESUMEN TOTAL'!B675</f>
        <v>0</v>
      </c>
      <c r="C561">
        <f>'RESUMEN TOTAL'!D675</f>
        <v>0</v>
      </c>
      <c r="D561" s="30">
        <f>'RESUMEN TOTAL'!E675</f>
        <v>0</v>
      </c>
      <c r="E561" s="30">
        <f>'RESUMEN TOTAL'!F675</f>
        <v>0</v>
      </c>
      <c r="F561" s="70">
        <f>'RESUMEN TOTAL'!M675</f>
        <v>0</v>
      </c>
      <c r="G561" s="70">
        <f>'RESUMEN TOTAL'!N675</f>
        <v>0</v>
      </c>
      <c r="H561" s="70">
        <f>'RESUMEN TOTAL'!O675</f>
        <v>0</v>
      </c>
      <c r="I561" s="70">
        <f>'RESUMEN TOTAL'!P675</f>
        <v>0</v>
      </c>
      <c r="J561" s="70">
        <f>'RESUMEN TOTAL'!Q675</f>
        <v>0</v>
      </c>
      <c r="K561" s="70">
        <f>'RESUMEN TOTAL'!R675</f>
        <v>0</v>
      </c>
      <c r="L561" s="70">
        <f>'RESUMEN TOTAL'!S675</f>
        <v>0</v>
      </c>
      <c r="M561" s="70">
        <f>'RESUMEN TOTAL'!T675</f>
        <v>0</v>
      </c>
      <c r="N561" s="70">
        <f>'RESUMEN TOTAL'!U675</f>
        <v>0</v>
      </c>
      <c r="O561" s="70">
        <f>'RESUMEN TOTAL'!V675</f>
        <v>0</v>
      </c>
      <c r="P561" s="70">
        <f>'RESUMEN TOTAL'!W675</f>
        <v>0</v>
      </c>
      <c r="Q561" s="70">
        <f>'RESUMEN TOTAL'!X675</f>
        <v>0</v>
      </c>
      <c r="R561" s="70">
        <f>'RESUMEN TOTAL'!Y675</f>
        <v>0</v>
      </c>
      <c r="S561" s="70">
        <f>'RESUMEN TOTAL'!Z675</f>
        <v>0</v>
      </c>
      <c r="T561" s="70">
        <f>'RESUMEN TOTAL'!AA675</f>
        <v>0</v>
      </c>
      <c r="U561" s="70">
        <f>'RESUMEN TOTAL'!AB675</f>
        <v>0</v>
      </c>
      <c r="V561" s="70">
        <f>'RESUMEN TOTAL'!AC675</f>
        <v>0</v>
      </c>
      <c r="W561" s="70">
        <f>'RESUMEN TOTAL'!AD675</f>
        <v>0</v>
      </c>
      <c r="X561" s="70">
        <f>'RESUMEN TOTAL'!AE675</f>
        <v>0</v>
      </c>
      <c r="Y561" s="70">
        <f>'RESUMEN TOTAL'!AF675</f>
        <v>0</v>
      </c>
      <c r="Z561" s="70">
        <f>'RESUMEN TOTAL'!AG675</f>
        <v>0</v>
      </c>
      <c r="AA561" s="70">
        <f>'RESUMEN TOTAL'!AH675</f>
        <v>0</v>
      </c>
      <c r="AB561" s="70">
        <f>'RESUMEN TOTAL'!AI675</f>
        <v>0</v>
      </c>
      <c r="AC561" s="70">
        <f>'RESUMEN TOTAL'!AJ675</f>
        <v>0</v>
      </c>
      <c r="AD561" s="70">
        <f>'RESUMEN TOTAL'!AK675</f>
        <v>0</v>
      </c>
      <c r="AE561" s="70">
        <f>'RESUMEN TOTAL'!AL675</f>
        <v>0</v>
      </c>
      <c r="AF561" s="70">
        <f>'RESUMEN TOTAL'!AM675</f>
        <v>0</v>
      </c>
      <c r="AG561" s="70">
        <f>'RESUMEN TOTAL'!AN675</f>
        <v>0</v>
      </c>
      <c r="AH561" s="70">
        <f>'RESUMEN TOTAL'!AO675</f>
        <v>0</v>
      </c>
      <c r="AI561" s="70">
        <f>'RESUMEN TOTAL'!AP675</f>
        <v>0</v>
      </c>
      <c r="AJ561" s="70">
        <f>'RESUMEN TOTAL'!AQ675</f>
        <v>0</v>
      </c>
    </row>
    <row r="562" spans="1:36" x14ac:dyDescent="0.25">
      <c r="A562">
        <f>'RESUMEN TOTAL'!A676</f>
        <v>0</v>
      </c>
      <c r="B562">
        <f>'RESUMEN TOTAL'!B676</f>
        <v>0</v>
      </c>
      <c r="C562">
        <f>'RESUMEN TOTAL'!D676</f>
        <v>0</v>
      </c>
      <c r="D562" s="30">
        <f>'RESUMEN TOTAL'!E676</f>
        <v>0</v>
      </c>
      <c r="E562" s="30">
        <f>'RESUMEN TOTAL'!F676</f>
        <v>0</v>
      </c>
      <c r="F562" s="70">
        <f>'RESUMEN TOTAL'!M676</f>
        <v>0</v>
      </c>
      <c r="G562" s="70">
        <f>'RESUMEN TOTAL'!N676</f>
        <v>0</v>
      </c>
      <c r="H562" s="70">
        <f>'RESUMEN TOTAL'!O676</f>
        <v>0</v>
      </c>
      <c r="I562" s="70">
        <f>'RESUMEN TOTAL'!P676</f>
        <v>0</v>
      </c>
      <c r="J562" s="70">
        <f>'RESUMEN TOTAL'!Q676</f>
        <v>0</v>
      </c>
      <c r="K562" s="70">
        <f>'RESUMEN TOTAL'!R676</f>
        <v>0</v>
      </c>
      <c r="L562" s="70">
        <f>'RESUMEN TOTAL'!S676</f>
        <v>0</v>
      </c>
      <c r="M562" s="70">
        <f>'RESUMEN TOTAL'!T676</f>
        <v>0</v>
      </c>
      <c r="N562" s="70">
        <f>'RESUMEN TOTAL'!U676</f>
        <v>0</v>
      </c>
      <c r="O562" s="70">
        <f>'RESUMEN TOTAL'!V676</f>
        <v>0</v>
      </c>
      <c r="P562" s="70">
        <f>'RESUMEN TOTAL'!W676</f>
        <v>0</v>
      </c>
      <c r="Q562" s="70">
        <f>'RESUMEN TOTAL'!X676</f>
        <v>0</v>
      </c>
      <c r="R562" s="70">
        <f>'RESUMEN TOTAL'!Y676</f>
        <v>0</v>
      </c>
      <c r="S562" s="70">
        <f>'RESUMEN TOTAL'!Z676</f>
        <v>0</v>
      </c>
      <c r="T562" s="70">
        <f>'RESUMEN TOTAL'!AA676</f>
        <v>0</v>
      </c>
      <c r="U562" s="70">
        <f>'RESUMEN TOTAL'!AB676</f>
        <v>0</v>
      </c>
      <c r="V562" s="70">
        <f>'RESUMEN TOTAL'!AC676</f>
        <v>0</v>
      </c>
      <c r="W562" s="70">
        <f>'RESUMEN TOTAL'!AD676</f>
        <v>0</v>
      </c>
      <c r="X562" s="70">
        <f>'RESUMEN TOTAL'!AE676</f>
        <v>0</v>
      </c>
      <c r="Y562" s="70">
        <f>'RESUMEN TOTAL'!AF676</f>
        <v>0</v>
      </c>
      <c r="Z562" s="70">
        <f>'RESUMEN TOTAL'!AG676</f>
        <v>0</v>
      </c>
      <c r="AA562" s="70">
        <f>'RESUMEN TOTAL'!AH676</f>
        <v>0</v>
      </c>
      <c r="AB562" s="70">
        <f>'RESUMEN TOTAL'!AI676</f>
        <v>0</v>
      </c>
      <c r="AC562" s="70">
        <f>'RESUMEN TOTAL'!AJ676</f>
        <v>0</v>
      </c>
      <c r="AD562" s="70">
        <f>'RESUMEN TOTAL'!AK676</f>
        <v>0</v>
      </c>
      <c r="AE562" s="70">
        <f>'RESUMEN TOTAL'!AL676</f>
        <v>0</v>
      </c>
      <c r="AF562" s="70">
        <f>'RESUMEN TOTAL'!AM676</f>
        <v>0</v>
      </c>
      <c r="AG562" s="70">
        <f>'RESUMEN TOTAL'!AN676</f>
        <v>0</v>
      </c>
      <c r="AH562" s="70">
        <f>'RESUMEN TOTAL'!AO676</f>
        <v>0</v>
      </c>
      <c r="AI562" s="70">
        <f>'RESUMEN TOTAL'!AP676</f>
        <v>0</v>
      </c>
      <c r="AJ562" s="70">
        <f>'RESUMEN TOTAL'!AQ676</f>
        <v>0</v>
      </c>
    </row>
    <row r="563" spans="1:36" x14ac:dyDescent="0.25">
      <c r="A563">
        <f>'RESUMEN TOTAL'!A677</f>
        <v>0</v>
      </c>
      <c r="B563">
        <f>'RESUMEN TOTAL'!B677</f>
        <v>0</v>
      </c>
      <c r="C563">
        <f>'RESUMEN TOTAL'!D677</f>
        <v>0</v>
      </c>
      <c r="D563" s="30">
        <f>'RESUMEN TOTAL'!E677</f>
        <v>0</v>
      </c>
      <c r="E563" s="30">
        <f>'RESUMEN TOTAL'!F677</f>
        <v>0</v>
      </c>
      <c r="F563" s="70">
        <f>'RESUMEN TOTAL'!M677</f>
        <v>0</v>
      </c>
      <c r="G563" s="70">
        <f>'RESUMEN TOTAL'!N677</f>
        <v>0</v>
      </c>
      <c r="H563" s="70">
        <f>'RESUMEN TOTAL'!O677</f>
        <v>0</v>
      </c>
      <c r="I563" s="70">
        <f>'RESUMEN TOTAL'!P677</f>
        <v>0</v>
      </c>
      <c r="J563" s="70">
        <f>'RESUMEN TOTAL'!Q677</f>
        <v>0</v>
      </c>
      <c r="K563" s="70">
        <f>'RESUMEN TOTAL'!R677</f>
        <v>0</v>
      </c>
      <c r="L563" s="70">
        <f>'RESUMEN TOTAL'!S677</f>
        <v>0</v>
      </c>
      <c r="M563" s="70">
        <f>'RESUMEN TOTAL'!T677</f>
        <v>0</v>
      </c>
      <c r="N563" s="70">
        <f>'RESUMEN TOTAL'!U677</f>
        <v>0</v>
      </c>
      <c r="O563" s="70">
        <f>'RESUMEN TOTAL'!V677</f>
        <v>0</v>
      </c>
      <c r="P563" s="70">
        <f>'RESUMEN TOTAL'!W677</f>
        <v>0</v>
      </c>
      <c r="Q563" s="70">
        <f>'RESUMEN TOTAL'!X677</f>
        <v>0</v>
      </c>
      <c r="R563" s="70">
        <f>'RESUMEN TOTAL'!Y677</f>
        <v>0</v>
      </c>
      <c r="S563" s="70">
        <f>'RESUMEN TOTAL'!Z677</f>
        <v>0</v>
      </c>
      <c r="T563" s="70">
        <f>'RESUMEN TOTAL'!AA677</f>
        <v>0</v>
      </c>
      <c r="U563" s="70">
        <f>'RESUMEN TOTAL'!AB677</f>
        <v>0</v>
      </c>
      <c r="V563" s="70">
        <f>'RESUMEN TOTAL'!AC677</f>
        <v>0</v>
      </c>
      <c r="W563" s="70">
        <f>'RESUMEN TOTAL'!AD677</f>
        <v>0</v>
      </c>
      <c r="X563" s="70">
        <f>'RESUMEN TOTAL'!AE677</f>
        <v>0</v>
      </c>
      <c r="Y563" s="70">
        <f>'RESUMEN TOTAL'!AF677</f>
        <v>0</v>
      </c>
      <c r="Z563" s="70">
        <f>'RESUMEN TOTAL'!AG677</f>
        <v>0</v>
      </c>
      <c r="AA563" s="70">
        <f>'RESUMEN TOTAL'!AH677</f>
        <v>0</v>
      </c>
      <c r="AB563" s="70">
        <f>'RESUMEN TOTAL'!AI677</f>
        <v>0</v>
      </c>
      <c r="AC563" s="70">
        <f>'RESUMEN TOTAL'!AJ677</f>
        <v>0</v>
      </c>
      <c r="AD563" s="70">
        <f>'RESUMEN TOTAL'!AK677</f>
        <v>0</v>
      </c>
      <c r="AE563" s="70">
        <f>'RESUMEN TOTAL'!AL677</f>
        <v>0</v>
      </c>
      <c r="AF563" s="70">
        <f>'RESUMEN TOTAL'!AM677</f>
        <v>0</v>
      </c>
      <c r="AG563" s="70">
        <f>'RESUMEN TOTAL'!AN677</f>
        <v>0</v>
      </c>
      <c r="AH563" s="70">
        <f>'RESUMEN TOTAL'!AO677</f>
        <v>0</v>
      </c>
      <c r="AI563" s="70">
        <f>'RESUMEN TOTAL'!AP677</f>
        <v>0</v>
      </c>
      <c r="AJ563" s="70">
        <f>'RESUMEN TOTAL'!AQ677</f>
        <v>0</v>
      </c>
    </row>
    <row r="564" spans="1:36" x14ac:dyDescent="0.25">
      <c r="A564">
        <f>'RESUMEN TOTAL'!A678</f>
        <v>0</v>
      </c>
      <c r="B564">
        <f>'RESUMEN TOTAL'!B678</f>
        <v>0</v>
      </c>
      <c r="C564">
        <f>'RESUMEN TOTAL'!D678</f>
        <v>0</v>
      </c>
      <c r="D564" s="30">
        <f>'RESUMEN TOTAL'!E678</f>
        <v>0</v>
      </c>
      <c r="E564" s="30">
        <f>'RESUMEN TOTAL'!F678</f>
        <v>0</v>
      </c>
      <c r="F564" s="70">
        <f>'RESUMEN TOTAL'!M678</f>
        <v>0</v>
      </c>
      <c r="G564" s="70">
        <f>'RESUMEN TOTAL'!N678</f>
        <v>0</v>
      </c>
      <c r="H564" s="70">
        <f>'RESUMEN TOTAL'!O678</f>
        <v>0</v>
      </c>
      <c r="I564" s="70">
        <f>'RESUMEN TOTAL'!P678</f>
        <v>0</v>
      </c>
      <c r="J564" s="70">
        <f>'RESUMEN TOTAL'!Q678</f>
        <v>0</v>
      </c>
      <c r="K564" s="70">
        <f>'RESUMEN TOTAL'!R678</f>
        <v>0</v>
      </c>
      <c r="L564" s="70">
        <f>'RESUMEN TOTAL'!S678</f>
        <v>0</v>
      </c>
      <c r="M564" s="70">
        <f>'RESUMEN TOTAL'!T678</f>
        <v>0</v>
      </c>
      <c r="N564" s="70">
        <f>'RESUMEN TOTAL'!U678</f>
        <v>0</v>
      </c>
      <c r="O564" s="70">
        <f>'RESUMEN TOTAL'!V678</f>
        <v>0</v>
      </c>
      <c r="P564" s="70">
        <f>'RESUMEN TOTAL'!W678</f>
        <v>0</v>
      </c>
      <c r="Q564" s="70">
        <f>'RESUMEN TOTAL'!X678</f>
        <v>0</v>
      </c>
      <c r="R564" s="70">
        <f>'RESUMEN TOTAL'!Y678</f>
        <v>0</v>
      </c>
      <c r="S564" s="70">
        <f>'RESUMEN TOTAL'!Z678</f>
        <v>0</v>
      </c>
      <c r="T564" s="70">
        <f>'RESUMEN TOTAL'!AA678</f>
        <v>0</v>
      </c>
      <c r="U564" s="70">
        <f>'RESUMEN TOTAL'!AB678</f>
        <v>0</v>
      </c>
      <c r="V564" s="70">
        <f>'RESUMEN TOTAL'!AC678</f>
        <v>0</v>
      </c>
      <c r="W564" s="70">
        <f>'RESUMEN TOTAL'!AD678</f>
        <v>0</v>
      </c>
      <c r="X564" s="70">
        <f>'RESUMEN TOTAL'!AE678</f>
        <v>0</v>
      </c>
      <c r="Y564" s="70">
        <f>'RESUMEN TOTAL'!AF678</f>
        <v>0</v>
      </c>
      <c r="Z564" s="70">
        <f>'RESUMEN TOTAL'!AG678</f>
        <v>0</v>
      </c>
      <c r="AA564" s="70">
        <f>'RESUMEN TOTAL'!AH678</f>
        <v>0</v>
      </c>
      <c r="AB564" s="70">
        <f>'RESUMEN TOTAL'!AI678</f>
        <v>0</v>
      </c>
      <c r="AC564" s="70">
        <f>'RESUMEN TOTAL'!AJ678</f>
        <v>0</v>
      </c>
      <c r="AD564" s="70">
        <f>'RESUMEN TOTAL'!AK678</f>
        <v>0</v>
      </c>
      <c r="AE564" s="70">
        <f>'RESUMEN TOTAL'!AL678</f>
        <v>0</v>
      </c>
      <c r="AF564" s="70">
        <f>'RESUMEN TOTAL'!AM678</f>
        <v>0</v>
      </c>
      <c r="AG564" s="70">
        <f>'RESUMEN TOTAL'!AN678</f>
        <v>0</v>
      </c>
      <c r="AH564" s="70">
        <f>'RESUMEN TOTAL'!AO678</f>
        <v>0</v>
      </c>
      <c r="AI564" s="70">
        <f>'RESUMEN TOTAL'!AP678</f>
        <v>0</v>
      </c>
      <c r="AJ564" s="70">
        <f>'RESUMEN TOTAL'!AQ678</f>
        <v>0</v>
      </c>
    </row>
    <row r="565" spans="1:36" x14ac:dyDescent="0.25">
      <c r="A565">
        <f>'RESUMEN TOTAL'!A679</f>
        <v>0</v>
      </c>
      <c r="B565">
        <f>'RESUMEN TOTAL'!B679</f>
        <v>0</v>
      </c>
      <c r="C565">
        <f>'RESUMEN TOTAL'!D679</f>
        <v>0</v>
      </c>
      <c r="D565" s="30">
        <f>'RESUMEN TOTAL'!E679</f>
        <v>0</v>
      </c>
      <c r="E565" s="30">
        <f>'RESUMEN TOTAL'!F679</f>
        <v>0</v>
      </c>
      <c r="F565" s="70">
        <f>'RESUMEN TOTAL'!M679</f>
        <v>0</v>
      </c>
      <c r="G565" s="70">
        <f>'RESUMEN TOTAL'!N679</f>
        <v>0</v>
      </c>
      <c r="H565" s="70">
        <f>'RESUMEN TOTAL'!O679</f>
        <v>0</v>
      </c>
      <c r="I565" s="70">
        <f>'RESUMEN TOTAL'!P679</f>
        <v>0</v>
      </c>
      <c r="J565" s="70">
        <f>'RESUMEN TOTAL'!Q679</f>
        <v>0</v>
      </c>
      <c r="K565" s="70">
        <f>'RESUMEN TOTAL'!R679</f>
        <v>0</v>
      </c>
      <c r="L565" s="70">
        <f>'RESUMEN TOTAL'!S679</f>
        <v>0</v>
      </c>
      <c r="M565" s="70">
        <f>'RESUMEN TOTAL'!T679</f>
        <v>0</v>
      </c>
      <c r="N565" s="70">
        <f>'RESUMEN TOTAL'!U679</f>
        <v>0</v>
      </c>
      <c r="O565" s="70">
        <f>'RESUMEN TOTAL'!V679</f>
        <v>0</v>
      </c>
      <c r="P565" s="70">
        <f>'RESUMEN TOTAL'!W679</f>
        <v>0</v>
      </c>
      <c r="Q565" s="70">
        <f>'RESUMEN TOTAL'!X679</f>
        <v>0</v>
      </c>
      <c r="R565" s="70">
        <f>'RESUMEN TOTAL'!Y679</f>
        <v>0</v>
      </c>
      <c r="S565" s="70">
        <f>'RESUMEN TOTAL'!Z679</f>
        <v>0</v>
      </c>
      <c r="T565" s="70">
        <f>'RESUMEN TOTAL'!AA679</f>
        <v>0</v>
      </c>
      <c r="U565" s="70">
        <f>'RESUMEN TOTAL'!AB679</f>
        <v>0</v>
      </c>
      <c r="V565" s="70">
        <f>'RESUMEN TOTAL'!AC679</f>
        <v>0</v>
      </c>
      <c r="W565" s="70">
        <f>'RESUMEN TOTAL'!AD679</f>
        <v>0</v>
      </c>
      <c r="X565" s="70">
        <f>'RESUMEN TOTAL'!AE679</f>
        <v>0</v>
      </c>
      <c r="Y565" s="70">
        <f>'RESUMEN TOTAL'!AF679</f>
        <v>0</v>
      </c>
      <c r="Z565" s="70">
        <f>'RESUMEN TOTAL'!AG679</f>
        <v>0</v>
      </c>
      <c r="AA565" s="70">
        <f>'RESUMEN TOTAL'!AH679</f>
        <v>0</v>
      </c>
      <c r="AB565" s="70">
        <f>'RESUMEN TOTAL'!AI679</f>
        <v>0</v>
      </c>
      <c r="AC565" s="70">
        <f>'RESUMEN TOTAL'!AJ679</f>
        <v>0</v>
      </c>
      <c r="AD565" s="70">
        <f>'RESUMEN TOTAL'!AK679</f>
        <v>0</v>
      </c>
      <c r="AE565" s="70">
        <f>'RESUMEN TOTAL'!AL679</f>
        <v>0</v>
      </c>
      <c r="AF565" s="70">
        <f>'RESUMEN TOTAL'!AM679</f>
        <v>0</v>
      </c>
      <c r="AG565" s="70">
        <f>'RESUMEN TOTAL'!AN679</f>
        <v>0</v>
      </c>
      <c r="AH565" s="70">
        <f>'RESUMEN TOTAL'!AO679</f>
        <v>0</v>
      </c>
      <c r="AI565" s="70">
        <f>'RESUMEN TOTAL'!AP679</f>
        <v>0</v>
      </c>
      <c r="AJ565" s="70">
        <f>'RESUMEN TOTAL'!AQ679</f>
        <v>0</v>
      </c>
    </row>
    <row r="566" spans="1:36" x14ac:dyDescent="0.25">
      <c r="A566">
        <f>'RESUMEN TOTAL'!A680</f>
        <v>0</v>
      </c>
      <c r="B566">
        <f>'RESUMEN TOTAL'!B680</f>
        <v>0</v>
      </c>
      <c r="C566">
        <f>'RESUMEN TOTAL'!D680</f>
        <v>0</v>
      </c>
      <c r="D566" s="30">
        <f>'RESUMEN TOTAL'!E680</f>
        <v>0</v>
      </c>
      <c r="E566" s="30">
        <f>'RESUMEN TOTAL'!F680</f>
        <v>0</v>
      </c>
      <c r="F566" s="70">
        <f>'RESUMEN TOTAL'!M680</f>
        <v>0</v>
      </c>
      <c r="G566" s="70">
        <f>'RESUMEN TOTAL'!N680</f>
        <v>0</v>
      </c>
      <c r="H566" s="70">
        <f>'RESUMEN TOTAL'!O680</f>
        <v>0</v>
      </c>
      <c r="I566" s="70">
        <f>'RESUMEN TOTAL'!P680</f>
        <v>0</v>
      </c>
      <c r="J566" s="70">
        <f>'RESUMEN TOTAL'!Q680</f>
        <v>0</v>
      </c>
      <c r="K566" s="70">
        <f>'RESUMEN TOTAL'!R680</f>
        <v>0</v>
      </c>
      <c r="L566" s="70">
        <f>'RESUMEN TOTAL'!S680</f>
        <v>0</v>
      </c>
      <c r="M566" s="70">
        <f>'RESUMEN TOTAL'!T680</f>
        <v>0</v>
      </c>
      <c r="N566" s="70">
        <f>'RESUMEN TOTAL'!U680</f>
        <v>0</v>
      </c>
      <c r="O566" s="70">
        <f>'RESUMEN TOTAL'!V680</f>
        <v>0</v>
      </c>
      <c r="P566" s="70">
        <f>'RESUMEN TOTAL'!W680</f>
        <v>0</v>
      </c>
      <c r="Q566" s="70">
        <f>'RESUMEN TOTAL'!X680</f>
        <v>0</v>
      </c>
      <c r="R566" s="70">
        <f>'RESUMEN TOTAL'!Y680</f>
        <v>0</v>
      </c>
      <c r="S566" s="70">
        <f>'RESUMEN TOTAL'!Z680</f>
        <v>0</v>
      </c>
      <c r="T566" s="70">
        <f>'RESUMEN TOTAL'!AA680</f>
        <v>0</v>
      </c>
      <c r="U566" s="70">
        <f>'RESUMEN TOTAL'!AB680</f>
        <v>0</v>
      </c>
      <c r="V566" s="70">
        <f>'RESUMEN TOTAL'!AC680</f>
        <v>0</v>
      </c>
      <c r="W566" s="70">
        <f>'RESUMEN TOTAL'!AD680</f>
        <v>0</v>
      </c>
      <c r="X566" s="70">
        <f>'RESUMEN TOTAL'!AE680</f>
        <v>0</v>
      </c>
      <c r="Y566" s="70">
        <f>'RESUMEN TOTAL'!AF680</f>
        <v>0</v>
      </c>
      <c r="Z566" s="70">
        <f>'RESUMEN TOTAL'!AG680</f>
        <v>0</v>
      </c>
      <c r="AA566" s="70">
        <f>'RESUMEN TOTAL'!AH680</f>
        <v>0</v>
      </c>
      <c r="AB566" s="70">
        <f>'RESUMEN TOTAL'!AI680</f>
        <v>0</v>
      </c>
      <c r="AC566" s="70">
        <f>'RESUMEN TOTAL'!AJ680</f>
        <v>0</v>
      </c>
      <c r="AD566" s="70">
        <f>'RESUMEN TOTAL'!AK680</f>
        <v>0</v>
      </c>
      <c r="AE566" s="70">
        <f>'RESUMEN TOTAL'!AL680</f>
        <v>0</v>
      </c>
      <c r="AF566" s="70">
        <f>'RESUMEN TOTAL'!AM680</f>
        <v>0</v>
      </c>
      <c r="AG566" s="70">
        <f>'RESUMEN TOTAL'!AN680</f>
        <v>0</v>
      </c>
      <c r="AH566" s="70">
        <f>'RESUMEN TOTAL'!AO680</f>
        <v>0</v>
      </c>
      <c r="AI566" s="70">
        <f>'RESUMEN TOTAL'!AP680</f>
        <v>0</v>
      </c>
      <c r="AJ566" s="70">
        <f>'RESUMEN TOTAL'!AQ680</f>
        <v>0</v>
      </c>
    </row>
    <row r="567" spans="1:36" x14ac:dyDescent="0.25">
      <c r="A567">
        <f>'RESUMEN TOTAL'!A681</f>
        <v>0</v>
      </c>
      <c r="B567">
        <f>'RESUMEN TOTAL'!B681</f>
        <v>0</v>
      </c>
      <c r="C567">
        <f>'RESUMEN TOTAL'!D681</f>
        <v>0</v>
      </c>
      <c r="D567" s="30">
        <f>'RESUMEN TOTAL'!E681</f>
        <v>0</v>
      </c>
      <c r="E567" s="30">
        <f>'RESUMEN TOTAL'!F681</f>
        <v>0</v>
      </c>
      <c r="F567" s="70">
        <f>'RESUMEN TOTAL'!M681</f>
        <v>0</v>
      </c>
      <c r="G567" s="70">
        <f>'RESUMEN TOTAL'!N681</f>
        <v>0</v>
      </c>
      <c r="H567" s="70">
        <f>'RESUMEN TOTAL'!O681</f>
        <v>0</v>
      </c>
      <c r="I567" s="70">
        <f>'RESUMEN TOTAL'!P681</f>
        <v>0</v>
      </c>
      <c r="J567" s="70">
        <f>'RESUMEN TOTAL'!Q681</f>
        <v>0</v>
      </c>
      <c r="K567" s="70">
        <f>'RESUMEN TOTAL'!R681</f>
        <v>0</v>
      </c>
      <c r="L567" s="70">
        <f>'RESUMEN TOTAL'!S681</f>
        <v>0</v>
      </c>
      <c r="M567" s="70">
        <f>'RESUMEN TOTAL'!T681</f>
        <v>0</v>
      </c>
      <c r="N567" s="70">
        <f>'RESUMEN TOTAL'!U681</f>
        <v>0</v>
      </c>
      <c r="O567" s="70">
        <f>'RESUMEN TOTAL'!V681</f>
        <v>0</v>
      </c>
      <c r="P567" s="70">
        <f>'RESUMEN TOTAL'!W681</f>
        <v>0</v>
      </c>
      <c r="Q567" s="70">
        <f>'RESUMEN TOTAL'!X681</f>
        <v>0</v>
      </c>
      <c r="R567" s="70">
        <f>'RESUMEN TOTAL'!Y681</f>
        <v>0</v>
      </c>
      <c r="S567" s="70">
        <f>'RESUMEN TOTAL'!Z681</f>
        <v>0</v>
      </c>
      <c r="T567" s="70">
        <f>'RESUMEN TOTAL'!AA681</f>
        <v>0</v>
      </c>
      <c r="U567" s="70">
        <f>'RESUMEN TOTAL'!AB681</f>
        <v>0</v>
      </c>
      <c r="V567" s="70">
        <f>'RESUMEN TOTAL'!AC681</f>
        <v>0</v>
      </c>
      <c r="W567" s="70">
        <f>'RESUMEN TOTAL'!AD681</f>
        <v>0</v>
      </c>
      <c r="X567" s="70">
        <f>'RESUMEN TOTAL'!AE681</f>
        <v>0</v>
      </c>
      <c r="Y567" s="70">
        <f>'RESUMEN TOTAL'!AF681</f>
        <v>0</v>
      </c>
      <c r="Z567" s="70">
        <f>'RESUMEN TOTAL'!AG681</f>
        <v>0</v>
      </c>
      <c r="AA567" s="70">
        <f>'RESUMEN TOTAL'!AH681</f>
        <v>0</v>
      </c>
      <c r="AB567" s="70">
        <f>'RESUMEN TOTAL'!AI681</f>
        <v>0</v>
      </c>
      <c r="AC567" s="70">
        <f>'RESUMEN TOTAL'!AJ681</f>
        <v>0</v>
      </c>
      <c r="AD567" s="70">
        <f>'RESUMEN TOTAL'!AK681</f>
        <v>0</v>
      </c>
      <c r="AE567" s="70">
        <f>'RESUMEN TOTAL'!AL681</f>
        <v>0</v>
      </c>
      <c r="AF567" s="70">
        <f>'RESUMEN TOTAL'!AM681</f>
        <v>0</v>
      </c>
      <c r="AG567" s="70">
        <f>'RESUMEN TOTAL'!AN681</f>
        <v>0</v>
      </c>
      <c r="AH567" s="70">
        <f>'RESUMEN TOTAL'!AO681</f>
        <v>0</v>
      </c>
      <c r="AI567" s="70">
        <f>'RESUMEN TOTAL'!AP681</f>
        <v>0</v>
      </c>
      <c r="AJ567" s="70">
        <f>'RESUMEN TOTAL'!AQ681</f>
        <v>0</v>
      </c>
    </row>
    <row r="568" spans="1:36" x14ac:dyDescent="0.25">
      <c r="A568">
        <f>'RESUMEN TOTAL'!A682</f>
        <v>0</v>
      </c>
      <c r="B568">
        <f>'RESUMEN TOTAL'!B682</f>
        <v>0</v>
      </c>
      <c r="C568">
        <f>'RESUMEN TOTAL'!D682</f>
        <v>0</v>
      </c>
      <c r="D568" s="30">
        <f>'RESUMEN TOTAL'!E682</f>
        <v>0</v>
      </c>
      <c r="E568" s="30">
        <f>'RESUMEN TOTAL'!F682</f>
        <v>0</v>
      </c>
      <c r="F568" s="70">
        <f>'RESUMEN TOTAL'!M682</f>
        <v>0</v>
      </c>
      <c r="G568" s="70">
        <f>'RESUMEN TOTAL'!N682</f>
        <v>0</v>
      </c>
      <c r="H568" s="70">
        <f>'RESUMEN TOTAL'!O682</f>
        <v>0</v>
      </c>
      <c r="I568" s="70">
        <f>'RESUMEN TOTAL'!P682</f>
        <v>0</v>
      </c>
      <c r="J568" s="70">
        <f>'RESUMEN TOTAL'!Q682</f>
        <v>0</v>
      </c>
      <c r="K568" s="70">
        <f>'RESUMEN TOTAL'!R682</f>
        <v>0</v>
      </c>
      <c r="L568" s="70">
        <f>'RESUMEN TOTAL'!S682</f>
        <v>0</v>
      </c>
      <c r="M568" s="70">
        <f>'RESUMEN TOTAL'!T682</f>
        <v>0</v>
      </c>
      <c r="N568" s="70">
        <f>'RESUMEN TOTAL'!U682</f>
        <v>0</v>
      </c>
      <c r="O568" s="70">
        <f>'RESUMEN TOTAL'!V682</f>
        <v>0</v>
      </c>
      <c r="P568" s="70">
        <f>'RESUMEN TOTAL'!W682</f>
        <v>0</v>
      </c>
      <c r="Q568" s="70">
        <f>'RESUMEN TOTAL'!X682</f>
        <v>0</v>
      </c>
      <c r="R568" s="70">
        <f>'RESUMEN TOTAL'!Y682</f>
        <v>0</v>
      </c>
      <c r="S568" s="70">
        <f>'RESUMEN TOTAL'!Z682</f>
        <v>0</v>
      </c>
      <c r="T568" s="70">
        <f>'RESUMEN TOTAL'!AA682</f>
        <v>0</v>
      </c>
      <c r="U568" s="70">
        <f>'RESUMEN TOTAL'!AB682</f>
        <v>0</v>
      </c>
      <c r="V568" s="70">
        <f>'RESUMEN TOTAL'!AC682</f>
        <v>0</v>
      </c>
      <c r="W568" s="70">
        <f>'RESUMEN TOTAL'!AD682</f>
        <v>0</v>
      </c>
      <c r="X568" s="70">
        <f>'RESUMEN TOTAL'!AE682</f>
        <v>0</v>
      </c>
      <c r="Y568" s="70">
        <f>'RESUMEN TOTAL'!AF682</f>
        <v>0</v>
      </c>
      <c r="Z568" s="70">
        <f>'RESUMEN TOTAL'!AG682</f>
        <v>0</v>
      </c>
      <c r="AA568" s="70">
        <f>'RESUMEN TOTAL'!AH682</f>
        <v>0</v>
      </c>
      <c r="AB568" s="70">
        <f>'RESUMEN TOTAL'!AI682</f>
        <v>0</v>
      </c>
      <c r="AC568" s="70">
        <f>'RESUMEN TOTAL'!AJ682</f>
        <v>0</v>
      </c>
      <c r="AD568" s="70">
        <f>'RESUMEN TOTAL'!AK682</f>
        <v>0</v>
      </c>
      <c r="AE568" s="70">
        <f>'RESUMEN TOTAL'!AL682</f>
        <v>0</v>
      </c>
      <c r="AF568" s="70">
        <f>'RESUMEN TOTAL'!AM682</f>
        <v>0</v>
      </c>
      <c r="AG568" s="70">
        <f>'RESUMEN TOTAL'!AN682</f>
        <v>0</v>
      </c>
      <c r="AH568" s="70">
        <f>'RESUMEN TOTAL'!AO682</f>
        <v>0</v>
      </c>
      <c r="AI568" s="70">
        <f>'RESUMEN TOTAL'!AP682</f>
        <v>0</v>
      </c>
      <c r="AJ568" s="70">
        <f>'RESUMEN TOTAL'!AQ682</f>
        <v>0</v>
      </c>
    </row>
    <row r="569" spans="1:36" x14ac:dyDescent="0.25">
      <c r="A569">
        <f>'RESUMEN TOTAL'!A683</f>
        <v>0</v>
      </c>
      <c r="B569">
        <f>'RESUMEN TOTAL'!B683</f>
        <v>0</v>
      </c>
      <c r="C569">
        <f>'RESUMEN TOTAL'!D683</f>
        <v>0</v>
      </c>
      <c r="D569" s="30">
        <f>'RESUMEN TOTAL'!E683</f>
        <v>0</v>
      </c>
      <c r="E569" s="30">
        <f>'RESUMEN TOTAL'!F683</f>
        <v>0</v>
      </c>
      <c r="F569" s="70">
        <f>'RESUMEN TOTAL'!M683</f>
        <v>0</v>
      </c>
      <c r="G569" s="70">
        <f>'RESUMEN TOTAL'!N683</f>
        <v>0</v>
      </c>
      <c r="H569" s="70">
        <f>'RESUMEN TOTAL'!O683</f>
        <v>0</v>
      </c>
      <c r="I569" s="70">
        <f>'RESUMEN TOTAL'!P683</f>
        <v>0</v>
      </c>
      <c r="J569" s="70">
        <f>'RESUMEN TOTAL'!Q683</f>
        <v>0</v>
      </c>
      <c r="K569" s="70">
        <f>'RESUMEN TOTAL'!R683</f>
        <v>0</v>
      </c>
      <c r="L569" s="70">
        <f>'RESUMEN TOTAL'!S683</f>
        <v>0</v>
      </c>
      <c r="M569" s="70">
        <f>'RESUMEN TOTAL'!T683</f>
        <v>0</v>
      </c>
      <c r="N569" s="70">
        <f>'RESUMEN TOTAL'!U683</f>
        <v>0</v>
      </c>
      <c r="O569" s="70">
        <f>'RESUMEN TOTAL'!V683</f>
        <v>0</v>
      </c>
      <c r="P569" s="70">
        <f>'RESUMEN TOTAL'!W683</f>
        <v>0</v>
      </c>
      <c r="Q569" s="70">
        <f>'RESUMEN TOTAL'!X683</f>
        <v>0</v>
      </c>
      <c r="R569" s="70">
        <f>'RESUMEN TOTAL'!Y683</f>
        <v>0</v>
      </c>
      <c r="S569" s="70">
        <f>'RESUMEN TOTAL'!Z683</f>
        <v>0</v>
      </c>
      <c r="T569" s="70">
        <f>'RESUMEN TOTAL'!AA683</f>
        <v>0</v>
      </c>
      <c r="U569" s="70">
        <f>'RESUMEN TOTAL'!AB683</f>
        <v>0</v>
      </c>
      <c r="V569" s="70">
        <f>'RESUMEN TOTAL'!AC683</f>
        <v>0</v>
      </c>
      <c r="W569" s="70">
        <f>'RESUMEN TOTAL'!AD683</f>
        <v>0</v>
      </c>
      <c r="X569" s="70">
        <f>'RESUMEN TOTAL'!AE683</f>
        <v>0</v>
      </c>
      <c r="Y569" s="70">
        <f>'RESUMEN TOTAL'!AF683</f>
        <v>0</v>
      </c>
      <c r="Z569" s="70">
        <f>'RESUMEN TOTAL'!AG683</f>
        <v>0</v>
      </c>
      <c r="AA569" s="70">
        <f>'RESUMEN TOTAL'!AH683</f>
        <v>0</v>
      </c>
      <c r="AB569" s="70">
        <f>'RESUMEN TOTAL'!AI683</f>
        <v>0</v>
      </c>
      <c r="AC569" s="70">
        <f>'RESUMEN TOTAL'!AJ683</f>
        <v>0</v>
      </c>
      <c r="AD569" s="70">
        <f>'RESUMEN TOTAL'!AK683</f>
        <v>0</v>
      </c>
      <c r="AE569" s="70">
        <f>'RESUMEN TOTAL'!AL683</f>
        <v>0</v>
      </c>
      <c r="AF569" s="70">
        <f>'RESUMEN TOTAL'!AM683</f>
        <v>0</v>
      </c>
      <c r="AG569" s="70">
        <f>'RESUMEN TOTAL'!AN683</f>
        <v>0</v>
      </c>
      <c r="AH569" s="70">
        <f>'RESUMEN TOTAL'!AO683</f>
        <v>0</v>
      </c>
      <c r="AI569" s="70">
        <f>'RESUMEN TOTAL'!AP683</f>
        <v>0</v>
      </c>
      <c r="AJ569" s="70">
        <f>'RESUMEN TOTAL'!AQ683</f>
        <v>0</v>
      </c>
    </row>
    <row r="570" spans="1:36" x14ac:dyDescent="0.25">
      <c r="A570">
        <f>'RESUMEN TOTAL'!A684</f>
        <v>0</v>
      </c>
      <c r="B570">
        <f>'RESUMEN TOTAL'!B684</f>
        <v>0</v>
      </c>
      <c r="C570">
        <f>'RESUMEN TOTAL'!D684</f>
        <v>0</v>
      </c>
      <c r="D570" s="30">
        <f>'RESUMEN TOTAL'!E684</f>
        <v>0</v>
      </c>
      <c r="E570" s="30">
        <f>'RESUMEN TOTAL'!F684</f>
        <v>0</v>
      </c>
      <c r="F570" s="70">
        <f>'RESUMEN TOTAL'!M684</f>
        <v>0</v>
      </c>
      <c r="G570" s="70">
        <f>'RESUMEN TOTAL'!N684</f>
        <v>0</v>
      </c>
      <c r="H570" s="70">
        <f>'RESUMEN TOTAL'!O684</f>
        <v>0</v>
      </c>
      <c r="I570" s="70">
        <f>'RESUMEN TOTAL'!P684</f>
        <v>0</v>
      </c>
      <c r="J570" s="70">
        <f>'RESUMEN TOTAL'!Q684</f>
        <v>0</v>
      </c>
      <c r="K570" s="70">
        <f>'RESUMEN TOTAL'!R684</f>
        <v>0</v>
      </c>
      <c r="L570" s="70">
        <f>'RESUMEN TOTAL'!S684</f>
        <v>0</v>
      </c>
      <c r="M570" s="70">
        <f>'RESUMEN TOTAL'!T684</f>
        <v>0</v>
      </c>
      <c r="N570" s="70">
        <f>'RESUMEN TOTAL'!U684</f>
        <v>0</v>
      </c>
      <c r="O570" s="70">
        <f>'RESUMEN TOTAL'!V684</f>
        <v>0</v>
      </c>
      <c r="P570" s="70">
        <f>'RESUMEN TOTAL'!W684</f>
        <v>0</v>
      </c>
      <c r="Q570" s="70">
        <f>'RESUMEN TOTAL'!X684</f>
        <v>0</v>
      </c>
      <c r="R570" s="70">
        <f>'RESUMEN TOTAL'!Y684</f>
        <v>0</v>
      </c>
      <c r="S570" s="70">
        <f>'RESUMEN TOTAL'!Z684</f>
        <v>0</v>
      </c>
      <c r="T570" s="70">
        <f>'RESUMEN TOTAL'!AA684</f>
        <v>0</v>
      </c>
      <c r="U570" s="70">
        <f>'RESUMEN TOTAL'!AB684</f>
        <v>0</v>
      </c>
      <c r="V570" s="70">
        <f>'RESUMEN TOTAL'!AC684</f>
        <v>0</v>
      </c>
      <c r="W570" s="70">
        <f>'RESUMEN TOTAL'!AD684</f>
        <v>0</v>
      </c>
      <c r="X570" s="70">
        <f>'RESUMEN TOTAL'!AE684</f>
        <v>0</v>
      </c>
      <c r="Y570" s="70">
        <f>'RESUMEN TOTAL'!AF684</f>
        <v>0</v>
      </c>
      <c r="Z570" s="70">
        <f>'RESUMEN TOTAL'!AG684</f>
        <v>0</v>
      </c>
      <c r="AA570" s="70">
        <f>'RESUMEN TOTAL'!AH684</f>
        <v>0</v>
      </c>
      <c r="AB570" s="70">
        <f>'RESUMEN TOTAL'!AI684</f>
        <v>0</v>
      </c>
      <c r="AC570" s="70">
        <f>'RESUMEN TOTAL'!AJ684</f>
        <v>0</v>
      </c>
      <c r="AD570" s="70">
        <f>'RESUMEN TOTAL'!AK684</f>
        <v>0</v>
      </c>
      <c r="AE570" s="70">
        <f>'RESUMEN TOTAL'!AL684</f>
        <v>0</v>
      </c>
      <c r="AF570" s="70">
        <f>'RESUMEN TOTAL'!AM684</f>
        <v>0</v>
      </c>
      <c r="AG570" s="70">
        <f>'RESUMEN TOTAL'!AN684</f>
        <v>0</v>
      </c>
      <c r="AH570" s="70">
        <f>'RESUMEN TOTAL'!AO684</f>
        <v>0</v>
      </c>
      <c r="AI570" s="70">
        <f>'RESUMEN TOTAL'!AP684</f>
        <v>0</v>
      </c>
      <c r="AJ570" s="70">
        <f>'RESUMEN TOTAL'!AQ684</f>
        <v>0</v>
      </c>
    </row>
    <row r="571" spans="1:36" x14ac:dyDescent="0.25">
      <c r="A571">
        <f>'RESUMEN TOTAL'!A685</f>
        <v>0</v>
      </c>
      <c r="B571">
        <f>'RESUMEN TOTAL'!B685</f>
        <v>0</v>
      </c>
      <c r="C571">
        <f>'RESUMEN TOTAL'!D685</f>
        <v>0</v>
      </c>
      <c r="D571" s="30">
        <f>'RESUMEN TOTAL'!E685</f>
        <v>0</v>
      </c>
      <c r="E571" s="30">
        <f>'RESUMEN TOTAL'!F685</f>
        <v>0</v>
      </c>
      <c r="F571" s="70">
        <f>'RESUMEN TOTAL'!M685</f>
        <v>0</v>
      </c>
      <c r="G571" s="70">
        <f>'RESUMEN TOTAL'!N685</f>
        <v>0</v>
      </c>
      <c r="H571" s="70">
        <f>'RESUMEN TOTAL'!O685</f>
        <v>0</v>
      </c>
      <c r="I571" s="70">
        <f>'RESUMEN TOTAL'!P685</f>
        <v>0</v>
      </c>
      <c r="J571" s="70">
        <f>'RESUMEN TOTAL'!Q685</f>
        <v>0</v>
      </c>
      <c r="K571" s="70">
        <f>'RESUMEN TOTAL'!R685</f>
        <v>0</v>
      </c>
      <c r="L571" s="70">
        <f>'RESUMEN TOTAL'!S685</f>
        <v>0</v>
      </c>
      <c r="M571" s="70">
        <f>'RESUMEN TOTAL'!T685</f>
        <v>0</v>
      </c>
      <c r="N571" s="70">
        <f>'RESUMEN TOTAL'!U685</f>
        <v>0</v>
      </c>
      <c r="O571" s="70">
        <f>'RESUMEN TOTAL'!V685</f>
        <v>0</v>
      </c>
      <c r="P571" s="70">
        <f>'RESUMEN TOTAL'!W685</f>
        <v>0</v>
      </c>
      <c r="Q571" s="70">
        <f>'RESUMEN TOTAL'!X685</f>
        <v>0</v>
      </c>
      <c r="R571" s="70">
        <f>'RESUMEN TOTAL'!Y685</f>
        <v>0</v>
      </c>
      <c r="S571" s="70">
        <f>'RESUMEN TOTAL'!Z685</f>
        <v>0</v>
      </c>
      <c r="T571" s="70">
        <f>'RESUMEN TOTAL'!AA685</f>
        <v>0</v>
      </c>
      <c r="U571" s="70">
        <f>'RESUMEN TOTAL'!AB685</f>
        <v>0</v>
      </c>
      <c r="V571" s="70">
        <f>'RESUMEN TOTAL'!AC685</f>
        <v>0</v>
      </c>
      <c r="W571" s="70">
        <f>'RESUMEN TOTAL'!AD685</f>
        <v>0</v>
      </c>
      <c r="X571" s="70">
        <f>'RESUMEN TOTAL'!AE685</f>
        <v>0</v>
      </c>
      <c r="Y571" s="70">
        <f>'RESUMEN TOTAL'!AF685</f>
        <v>0</v>
      </c>
      <c r="Z571" s="70">
        <f>'RESUMEN TOTAL'!AG685</f>
        <v>0</v>
      </c>
      <c r="AA571" s="70">
        <f>'RESUMEN TOTAL'!AH685</f>
        <v>0</v>
      </c>
      <c r="AB571" s="70">
        <f>'RESUMEN TOTAL'!AI685</f>
        <v>0</v>
      </c>
      <c r="AC571" s="70">
        <f>'RESUMEN TOTAL'!AJ685</f>
        <v>0</v>
      </c>
      <c r="AD571" s="70">
        <f>'RESUMEN TOTAL'!AK685</f>
        <v>0</v>
      </c>
      <c r="AE571" s="70">
        <f>'RESUMEN TOTAL'!AL685</f>
        <v>0</v>
      </c>
      <c r="AF571" s="70">
        <f>'RESUMEN TOTAL'!AM685</f>
        <v>0</v>
      </c>
      <c r="AG571" s="70">
        <f>'RESUMEN TOTAL'!AN685</f>
        <v>0</v>
      </c>
      <c r="AH571" s="70">
        <f>'RESUMEN TOTAL'!AO685</f>
        <v>0</v>
      </c>
      <c r="AI571" s="70">
        <f>'RESUMEN TOTAL'!AP685</f>
        <v>0</v>
      </c>
      <c r="AJ571" s="70">
        <f>'RESUMEN TOTAL'!AQ685</f>
        <v>0</v>
      </c>
    </row>
    <row r="572" spans="1:36" x14ac:dyDescent="0.25">
      <c r="A572">
        <f>'RESUMEN TOTAL'!A686</f>
        <v>0</v>
      </c>
      <c r="B572">
        <f>'RESUMEN TOTAL'!B686</f>
        <v>0</v>
      </c>
      <c r="C572">
        <f>'RESUMEN TOTAL'!D686</f>
        <v>0</v>
      </c>
      <c r="D572" s="30">
        <f>'RESUMEN TOTAL'!E686</f>
        <v>0</v>
      </c>
      <c r="E572" s="30">
        <f>'RESUMEN TOTAL'!F686</f>
        <v>0</v>
      </c>
      <c r="F572" s="70">
        <f>'RESUMEN TOTAL'!M686</f>
        <v>0</v>
      </c>
      <c r="G572" s="70">
        <f>'RESUMEN TOTAL'!N686</f>
        <v>0</v>
      </c>
      <c r="H572" s="70">
        <f>'RESUMEN TOTAL'!O686</f>
        <v>0</v>
      </c>
      <c r="I572" s="70">
        <f>'RESUMEN TOTAL'!P686</f>
        <v>0</v>
      </c>
      <c r="J572" s="70">
        <f>'RESUMEN TOTAL'!Q686</f>
        <v>0</v>
      </c>
      <c r="K572" s="70">
        <f>'RESUMEN TOTAL'!R686</f>
        <v>0</v>
      </c>
      <c r="L572" s="70">
        <f>'RESUMEN TOTAL'!S686</f>
        <v>0</v>
      </c>
      <c r="M572" s="70">
        <f>'RESUMEN TOTAL'!T686</f>
        <v>0</v>
      </c>
      <c r="N572" s="70">
        <f>'RESUMEN TOTAL'!U686</f>
        <v>0</v>
      </c>
      <c r="O572" s="70">
        <f>'RESUMEN TOTAL'!V686</f>
        <v>0</v>
      </c>
      <c r="P572" s="70">
        <f>'RESUMEN TOTAL'!W686</f>
        <v>0</v>
      </c>
      <c r="Q572" s="70">
        <f>'RESUMEN TOTAL'!X686</f>
        <v>0</v>
      </c>
      <c r="R572" s="70">
        <f>'RESUMEN TOTAL'!Y686</f>
        <v>0</v>
      </c>
      <c r="S572" s="70">
        <f>'RESUMEN TOTAL'!Z686</f>
        <v>0</v>
      </c>
      <c r="T572" s="70">
        <f>'RESUMEN TOTAL'!AA686</f>
        <v>0</v>
      </c>
      <c r="U572" s="70">
        <f>'RESUMEN TOTAL'!AB686</f>
        <v>0</v>
      </c>
      <c r="V572" s="70">
        <f>'RESUMEN TOTAL'!AC686</f>
        <v>0</v>
      </c>
      <c r="W572" s="70">
        <f>'RESUMEN TOTAL'!AD686</f>
        <v>0</v>
      </c>
      <c r="X572" s="70">
        <f>'RESUMEN TOTAL'!AE686</f>
        <v>0</v>
      </c>
      <c r="Y572" s="70">
        <f>'RESUMEN TOTAL'!AF686</f>
        <v>0</v>
      </c>
      <c r="Z572" s="70">
        <f>'RESUMEN TOTAL'!AG686</f>
        <v>0</v>
      </c>
      <c r="AA572" s="70">
        <f>'RESUMEN TOTAL'!AH686</f>
        <v>0</v>
      </c>
      <c r="AB572" s="70">
        <f>'RESUMEN TOTAL'!AI686</f>
        <v>0</v>
      </c>
      <c r="AC572" s="70">
        <f>'RESUMEN TOTAL'!AJ686</f>
        <v>0</v>
      </c>
      <c r="AD572" s="70">
        <f>'RESUMEN TOTAL'!AK686</f>
        <v>0</v>
      </c>
      <c r="AE572" s="70">
        <f>'RESUMEN TOTAL'!AL686</f>
        <v>0</v>
      </c>
      <c r="AF572" s="70">
        <f>'RESUMEN TOTAL'!AM686</f>
        <v>0</v>
      </c>
      <c r="AG572" s="70">
        <f>'RESUMEN TOTAL'!AN686</f>
        <v>0</v>
      </c>
      <c r="AH572" s="70">
        <f>'RESUMEN TOTAL'!AO686</f>
        <v>0</v>
      </c>
      <c r="AI572" s="70">
        <f>'RESUMEN TOTAL'!AP686</f>
        <v>0</v>
      </c>
      <c r="AJ572" s="70">
        <f>'RESUMEN TOTAL'!AQ686</f>
        <v>0</v>
      </c>
    </row>
    <row r="573" spans="1:36" x14ac:dyDescent="0.25">
      <c r="A573">
        <f>'RESUMEN TOTAL'!A687</f>
        <v>0</v>
      </c>
      <c r="B573">
        <f>'RESUMEN TOTAL'!B687</f>
        <v>0</v>
      </c>
      <c r="C573">
        <f>'RESUMEN TOTAL'!D687</f>
        <v>0</v>
      </c>
      <c r="D573" s="30">
        <f>'RESUMEN TOTAL'!E687</f>
        <v>0</v>
      </c>
      <c r="E573" s="30">
        <f>'RESUMEN TOTAL'!F687</f>
        <v>0</v>
      </c>
      <c r="F573" s="70">
        <f>'RESUMEN TOTAL'!M687</f>
        <v>0</v>
      </c>
      <c r="G573" s="70">
        <f>'RESUMEN TOTAL'!N687</f>
        <v>0</v>
      </c>
      <c r="H573" s="70">
        <f>'RESUMEN TOTAL'!O687</f>
        <v>0</v>
      </c>
      <c r="I573" s="70">
        <f>'RESUMEN TOTAL'!P687</f>
        <v>0</v>
      </c>
      <c r="J573" s="70">
        <f>'RESUMEN TOTAL'!Q687</f>
        <v>0</v>
      </c>
      <c r="K573" s="70">
        <f>'RESUMEN TOTAL'!R687</f>
        <v>0</v>
      </c>
      <c r="L573" s="70">
        <f>'RESUMEN TOTAL'!S687</f>
        <v>0</v>
      </c>
      <c r="M573" s="70">
        <f>'RESUMEN TOTAL'!T687</f>
        <v>0</v>
      </c>
      <c r="N573" s="70">
        <f>'RESUMEN TOTAL'!U687</f>
        <v>0</v>
      </c>
      <c r="O573" s="70">
        <f>'RESUMEN TOTAL'!V687</f>
        <v>0</v>
      </c>
      <c r="P573" s="70">
        <f>'RESUMEN TOTAL'!W687</f>
        <v>0</v>
      </c>
      <c r="Q573" s="70">
        <f>'RESUMEN TOTAL'!X687</f>
        <v>0</v>
      </c>
      <c r="R573" s="70">
        <f>'RESUMEN TOTAL'!Y687</f>
        <v>0</v>
      </c>
      <c r="S573" s="70">
        <f>'RESUMEN TOTAL'!Z687</f>
        <v>0</v>
      </c>
      <c r="T573" s="70">
        <f>'RESUMEN TOTAL'!AA687</f>
        <v>0</v>
      </c>
      <c r="U573" s="70">
        <f>'RESUMEN TOTAL'!AB687</f>
        <v>0</v>
      </c>
      <c r="V573" s="70">
        <f>'RESUMEN TOTAL'!AC687</f>
        <v>0</v>
      </c>
      <c r="W573" s="70">
        <f>'RESUMEN TOTAL'!AD687</f>
        <v>0</v>
      </c>
      <c r="X573" s="70">
        <f>'RESUMEN TOTAL'!AE687</f>
        <v>0</v>
      </c>
      <c r="Y573" s="70">
        <f>'RESUMEN TOTAL'!AF687</f>
        <v>0</v>
      </c>
      <c r="Z573" s="70">
        <f>'RESUMEN TOTAL'!AG687</f>
        <v>0</v>
      </c>
      <c r="AA573" s="70">
        <f>'RESUMEN TOTAL'!AH687</f>
        <v>0</v>
      </c>
      <c r="AB573" s="70">
        <f>'RESUMEN TOTAL'!AI687</f>
        <v>0</v>
      </c>
      <c r="AC573" s="70">
        <f>'RESUMEN TOTAL'!AJ687</f>
        <v>0</v>
      </c>
      <c r="AD573" s="70">
        <f>'RESUMEN TOTAL'!AK687</f>
        <v>0</v>
      </c>
      <c r="AE573" s="70">
        <f>'RESUMEN TOTAL'!AL687</f>
        <v>0</v>
      </c>
      <c r="AF573" s="70">
        <f>'RESUMEN TOTAL'!AM687</f>
        <v>0</v>
      </c>
      <c r="AG573" s="70">
        <f>'RESUMEN TOTAL'!AN687</f>
        <v>0</v>
      </c>
      <c r="AH573" s="70">
        <f>'RESUMEN TOTAL'!AO687</f>
        <v>0</v>
      </c>
      <c r="AI573" s="70">
        <f>'RESUMEN TOTAL'!AP687</f>
        <v>0</v>
      </c>
      <c r="AJ573" s="70">
        <f>'RESUMEN TOTAL'!AQ687</f>
        <v>0</v>
      </c>
    </row>
    <row r="574" spans="1:36" x14ac:dyDescent="0.25">
      <c r="A574">
        <f>'RESUMEN TOTAL'!A688</f>
        <v>0</v>
      </c>
      <c r="B574">
        <f>'RESUMEN TOTAL'!B688</f>
        <v>0</v>
      </c>
      <c r="C574">
        <f>'RESUMEN TOTAL'!D688</f>
        <v>0</v>
      </c>
      <c r="D574" s="30">
        <f>'RESUMEN TOTAL'!E688</f>
        <v>0</v>
      </c>
      <c r="E574" s="30">
        <f>'RESUMEN TOTAL'!F688</f>
        <v>0</v>
      </c>
      <c r="F574" s="70">
        <f>'RESUMEN TOTAL'!M688</f>
        <v>0</v>
      </c>
      <c r="G574" s="70">
        <f>'RESUMEN TOTAL'!N688</f>
        <v>0</v>
      </c>
      <c r="H574" s="70">
        <f>'RESUMEN TOTAL'!O688</f>
        <v>0</v>
      </c>
      <c r="I574" s="70">
        <f>'RESUMEN TOTAL'!P688</f>
        <v>0</v>
      </c>
      <c r="J574" s="70">
        <f>'RESUMEN TOTAL'!Q688</f>
        <v>0</v>
      </c>
      <c r="K574" s="70">
        <f>'RESUMEN TOTAL'!R688</f>
        <v>0</v>
      </c>
      <c r="L574" s="70">
        <f>'RESUMEN TOTAL'!S688</f>
        <v>0</v>
      </c>
      <c r="M574" s="70">
        <f>'RESUMEN TOTAL'!T688</f>
        <v>0</v>
      </c>
      <c r="N574" s="70">
        <f>'RESUMEN TOTAL'!U688</f>
        <v>0</v>
      </c>
      <c r="O574" s="70">
        <f>'RESUMEN TOTAL'!V688</f>
        <v>0</v>
      </c>
      <c r="P574" s="70">
        <f>'RESUMEN TOTAL'!W688</f>
        <v>0</v>
      </c>
      <c r="Q574" s="70">
        <f>'RESUMEN TOTAL'!X688</f>
        <v>0</v>
      </c>
      <c r="R574" s="70">
        <f>'RESUMEN TOTAL'!Y688</f>
        <v>0</v>
      </c>
      <c r="S574" s="70">
        <f>'RESUMEN TOTAL'!Z688</f>
        <v>0</v>
      </c>
      <c r="T574" s="70">
        <f>'RESUMEN TOTAL'!AA688</f>
        <v>0</v>
      </c>
      <c r="U574" s="70">
        <f>'RESUMEN TOTAL'!AB688</f>
        <v>0</v>
      </c>
      <c r="V574" s="70">
        <f>'RESUMEN TOTAL'!AC688</f>
        <v>0</v>
      </c>
      <c r="W574" s="70">
        <f>'RESUMEN TOTAL'!AD688</f>
        <v>0</v>
      </c>
      <c r="X574" s="70">
        <f>'RESUMEN TOTAL'!AE688</f>
        <v>0</v>
      </c>
      <c r="Y574" s="70">
        <f>'RESUMEN TOTAL'!AF688</f>
        <v>0</v>
      </c>
      <c r="Z574" s="70">
        <f>'RESUMEN TOTAL'!AG688</f>
        <v>0</v>
      </c>
      <c r="AA574" s="70">
        <f>'RESUMEN TOTAL'!AH688</f>
        <v>0</v>
      </c>
      <c r="AB574" s="70">
        <f>'RESUMEN TOTAL'!AI688</f>
        <v>0</v>
      </c>
      <c r="AC574" s="70">
        <f>'RESUMEN TOTAL'!AJ688</f>
        <v>0</v>
      </c>
      <c r="AD574" s="70">
        <f>'RESUMEN TOTAL'!AK688</f>
        <v>0</v>
      </c>
      <c r="AE574" s="70">
        <f>'RESUMEN TOTAL'!AL688</f>
        <v>0</v>
      </c>
      <c r="AF574" s="70">
        <f>'RESUMEN TOTAL'!AM688</f>
        <v>0</v>
      </c>
      <c r="AG574" s="70">
        <f>'RESUMEN TOTAL'!AN688</f>
        <v>0</v>
      </c>
      <c r="AH574" s="70">
        <f>'RESUMEN TOTAL'!AO688</f>
        <v>0</v>
      </c>
      <c r="AI574" s="70">
        <f>'RESUMEN TOTAL'!AP688</f>
        <v>0</v>
      </c>
      <c r="AJ574" s="70">
        <f>'RESUMEN TOTAL'!AQ688</f>
        <v>0</v>
      </c>
    </row>
    <row r="575" spans="1:36" x14ac:dyDescent="0.25">
      <c r="A575">
        <f>'RESUMEN TOTAL'!A689</f>
        <v>0</v>
      </c>
      <c r="B575">
        <f>'RESUMEN TOTAL'!B689</f>
        <v>0</v>
      </c>
      <c r="C575">
        <f>'RESUMEN TOTAL'!D689</f>
        <v>0</v>
      </c>
      <c r="D575" s="30">
        <f>'RESUMEN TOTAL'!E689</f>
        <v>0</v>
      </c>
      <c r="E575" s="30">
        <f>'RESUMEN TOTAL'!F689</f>
        <v>0</v>
      </c>
      <c r="F575" s="70">
        <f>'RESUMEN TOTAL'!M689</f>
        <v>0</v>
      </c>
      <c r="G575" s="70">
        <f>'RESUMEN TOTAL'!N689</f>
        <v>0</v>
      </c>
      <c r="H575" s="70">
        <f>'RESUMEN TOTAL'!O689</f>
        <v>0</v>
      </c>
      <c r="I575" s="70">
        <f>'RESUMEN TOTAL'!P689</f>
        <v>0</v>
      </c>
      <c r="J575" s="70">
        <f>'RESUMEN TOTAL'!Q689</f>
        <v>0</v>
      </c>
      <c r="K575" s="70">
        <f>'RESUMEN TOTAL'!R689</f>
        <v>0</v>
      </c>
      <c r="L575" s="70">
        <f>'RESUMEN TOTAL'!S689</f>
        <v>0</v>
      </c>
      <c r="M575" s="70">
        <f>'RESUMEN TOTAL'!T689</f>
        <v>0</v>
      </c>
      <c r="N575" s="70">
        <f>'RESUMEN TOTAL'!U689</f>
        <v>0</v>
      </c>
      <c r="O575" s="70">
        <f>'RESUMEN TOTAL'!V689</f>
        <v>0</v>
      </c>
      <c r="P575" s="70">
        <f>'RESUMEN TOTAL'!W689</f>
        <v>0</v>
      </c>
      <c r="Q575" s="70">
        <f>'RESUMEN TOTAL'!X689</f>
        <v>0</v>
      </c>
      <c r="R575" s="70">
        <f>'RESUMEN TOTAL'!Y689</f>
        <v>0</v>
      </c>
      <c r="S575" s="70">
        <f>'RESUMEN TOTAL'!Z689</f>
        <v>0</v>
      </c>
      <c r="T575" s="70">
        <f>'RESUMEN TOTAL'!AA689</f>
        <v>0</v>
      </c>
      <c r="U575" s="70">
        <f>'RESUMEN TOTAL'!AB689</f>
        <v>0</v>
      </c>
      <c r="V575" s="70">
        <f>'RESUMEN TOTAL'!AC689</f>
        <v>0</v>
      </c>
      <c r="W575" s="70">
        <f>'RESUMEN TOTAL'!AD689</f>
        <v>0</v>
      </c>
      <c r="X575" s="70">
        <f>'RESUMEN TOTAL'!AE689</f>
        <v>0</v>
      </c>
      <c r="Y575" s="70">
        <f>'RESUMEN TOTAL'!AF689</f>
        <v>0</v>
      </c>
      <c r="Z575" s="70">
        <f>'RESUMEN TOTAL'!AG689</f>
        <v>0</v>
      </c>
      <c r="AA575" s="70">
        <f>'RESUMEN TOTAL'!AH689</f>
        <v>0</v>
      </c>
      <c r="AB575" s="70">
        <f>'RESUMEN TOTAL'!AI689</f>
        <v>0</v>
      </c>
      <c r="AC575" s="70">
        <f>'RESUMEN TOTAL'!AJ689</f>
        <v>0</v>
      </c>
      <c r="AD575" s="70">
        <f>'RESUMEN TOTAL'!AK689</f>
        <v>0</v>
      </c>
      <c r="AE575" s="70">
        <f>'RESUMEN TOTAL'!AL689</f>
        <v>0</v>
      </c>
      <c r="AF575" s="70">
        <f>'RESUMEN TOTAL'!AM689</f>
        <v>0</v>
      </c>
      <c r="AG575" s="70">
        <f>'RESUMEN TOTAL'!AN689</f>
        <v>0</v>
      </c>
      <c r="AH575" s="70">
        <f>'RESUMEN TOTAL'!AO689</f>
        <v>0</v>
      </c>
      <c r="AI575" s="70">
        <f>'RESUMEN TOTAL'!AP689</f>
        <v>0</v>
      </c>
      <c r="AJ575" s="70">
        <f>'RESUMEN TOTAL'!AQ689</f>
        <v>0</v>
      </c>
    </row>
    <row r="576" spans="1:36" x14ac:dyDescent="0.25">
      <c r="A576">
        <f>'RESUMEN TOTAL'!A690</f>
        <v>0</v>
      </c>
      <c r="B576">
        <f>'RESUMEN TOTAL'!B690</f>
        <v>0</v>
      </c>
      <c r="C576">
        <f>'RESUMEN TOTAL'!D690</f>
        <v>0</v>
      </c>
      <c r="D576" s="30">
        <f>'RESUMEN TOTAL'!E690</f>
        <v>0</v>
      </c>
      <c r="E576" s="30">
        <f>'RESUMEN TOTAL'!F690</f>
        <v>0</v>
      </c>
      <c r="F576" s="70">
        <f>'RESUMEN TOTAL'!M690</f>
        <v>0</v>
      </c>
      <c r="G576" s="70">
        <f>'RESUMEN TOTAL'!N690</f>
        <v>0</v>
      </c>
      <c r="H576" s="70">
        <f>'RESUMEN TOTAL'!O690</f>
        <v>0</v>
      </c>
      <c r="I576" s="70">
        <f>'RESUMEN TOTAL'!P690</f>
        <v>0</v>
      </c>
      <c r="J576" s="70">
        <f>'RESUMEN TOTAL'!Q690</f>
        <v>0</v>
      </c>
      <c r="K576" s="70">
        <f>'RESUMEN TOTAL'!R690</f>
        <v>0</v>
      </c>
      <c r="L576" s="70">
        <f>'RESUMEN TOTAL'!S690</f>
        <v>0</v>
      </c>
      <c r="M576" s="70">
        <f>'RESUMEN TOTAL'!T690</f>
        <v>0</v>
      </c>
      <c r="N576" s="70">
        <f>'RESUMEN TOTAL'!U690</f>
        <v>0</v>
      </c>
      <c r="O576" s="70">
        <f>'RESUMEN TOTAL'!V690</f>
        <v>0</v>
      </c>
      <c r="P576" s="70">
        <f>'RESUMEN TOTAL'!W690</f>
        <v>0</v>
      </c>
      <c r="Q576" s="70">
        <f>'RESUMEN TOTAL'!X690</f>
        <v>0</v>
      </c>
      <c r="R576" s="70">
        <f>'RESUMEN TOTAL'!Y690</f>
        <v>0</v>
      </c>
      <c r="S576" s="70">
        <f>'RESUMEN TOTAL'!Z690</f>
        <v>0</v>
      </c>
      <c r="T576" s="70">
        <f>'RESUMEN TOTAL'!AA690</f>
        <v>0</v>
      </c>
      <c r="U576" s="70">
        <f>'RESUMEN TOTAL'!AB690</f>
        <v>0</v>
      </c>
      <c r="V576" s="70">
        <f>'RESUMEN TOTAL'!AC690</f>
        <v>0</v>
      </c>
      <c r="W576" s="70">
        <f>'RESUMEN TOTAL'!AD690</f>
        <v>0</v>
      </c>
      <c r="X576" s="70">
        <f>'RESUMEN TOTAL'!AE690</f>
        <v>0</v>
      </c>
      <c r="Y576" s="70">
        <f>'RESUMEN TOTAL'!AF690</f>
        <v>0</v>
      </c>
      <c r="Z576" s="70">
        <f>'RESUMEN TOTAL'!AG690</f>
        <v>0</v>
      </c>
      <c r="AA576" s="70">
        <f>'RESUMEN TOTAL'!AH690</f>
        <v>0</v>
      </c>
      <c r="AB576" s="70">
        <f>'RESUMEN TOTAL'!AI690</f>
        <v>0</v>
      </c>
      <c r="AC576" s="70">
        <f>'RESUMEN TOTAL'!AJ690</f>
        <v>0</v>
      </c>
      <c r="AD576" s="70">
        <f>'RESUMEN TOTAL'!AK690</f>
        <v>0</v>
      </c>
      <c r="AE576" s="70">
        <f>'RESUMEN TOTAL'!AL690</f>
        <v>0</v>
      </c>
      <c r="AF576" s="70">
        <f>'RESUMEN TOTAL'!AM690</f>
        <v>0</v>
      </c>
      <c r="AG576" s="70">
        <f>'RESUMEN TOTAL'!AN690</f>
        <v>0</v>
      </c>
      <c r="AH576" s="70">
        <f>'RESUMEN TOTAL'!AO690</f>
        <v>0</v>
      </c>
      <c r="AI576" s="70">
        <f>'RESUMEN TOTAL'!AP690</f>
        <v>0</v>
      </c>
      <c r="AJ576" s="70">
        <f>'RESUMEN TOTAL'!AQ690</f>
        <v>0</v>
      </c>
    </row>
    <row r="577" spans="1:36" x14ac:dyDescent="0.25">
      <c r="A577">
        <f>'RESUMEN TOTAL'!A691</f>
        <v>0</v>
      </c>
      <c r="B577">
        <f>'RESUMEN TOTAL'!B691</f>
        <v>0</v>
      </c>
      <c r="C577">
        <f>'RESUMEN TOTAL'!D691</f>
        <v>0</v>
      </c>
      <c r="D577" s="30">
        <f>'RESUMEN TOTAL'!E691</f>
        <v>0</v>
      </c>
      <c r="E577" s="30">
        <f>'RESUMEN TOTAL'!F691</f>
        <v>0</v>
      </c>
      <c r="F577" s="70">
        <f>'RESUMEN TOTAL'!M691</f>
        <v>0</v>
      </c>
      <c r="G577" s="70">
        <f>'RESUMEN TOTAL'!N691</f>
        <v>0</v>
      </c>
      <c r="H577" s="70">
        <f>'RESUMEN TOTAL'!O691</f>
        <v>0</v>
      </c>
      <c r="I577" s="70">
        <f>'RESUMEN TOTAL'!P691</f>
        <v>0</v>
      </c>
      <c r="J577" s="70">
        <f>'RESUMEN TOTAL'!Q691</f>
        <v>0</v>
      </c>
      <c r="K577" s="70">
        <f>'RESUMEN TOTAL'!R691</f>
        <v>0</v>
      </c>
      <c r="L577" s="70">
        <f>'RESUMEN TOTAL'!S691</f>
        <v>0</v>
      </c>
      <c r="M577" s="70">
        <f>'RESUMEN TOTAL'!T691</f>
        <v>0</v>
      </c>
      <c r="N577" s="70">
        <f>'RESUMEN TOTAL'!U691</f>
        <v>0</v>
      </c>
      <c r="O577" s="70">
        <f>'RESUMEN TOTAL'!V691</f>
        <v>0</v>
      </c>
      <c r="P577" s="70">
        <f>'RESUMEN TOTAL'!W691</f>
        <v>0</v>
      </c>
      <c r="Q577" s="70">
        <f>'RESUMEN TOTAL'!X691</f>
        <v>0</v>
      </c>
      <c r="R577" s="70">
        <f>'RESUMEN TOTAL'!Y691</f>
        <v>0</v>
      </c>
      <c r="S577" s="70">
        <f>'RESUMEN TOTAL'!Z691</f>
        <v>0</v>
      </c>
      <c r="T577" s="70">
        <f>'RESUMEN TOTAL'!AA691</f>
        <v>0</v>
      </c>
      <c r="U577" s="70">
        <f>'RESUMEN TOTAL'!AB691</f>
        <v>0</v>
      </c>
      <c r="V577" s="70">
        <f>'RESUMEN TOTAL'!AC691</f>
        <v>0</v>
      </c>
      <c r="W577" s="70">
        <f>'RESUMEN TOTAL'!AD691</f>
        <v>0</v>
      </c>
      <c r="X577" s="70">
        <f>'RESUMEN TOTAL'!AE691</f>
        <v>0</v>
      </c>
      <c r="Y577" s="70">
        <f>'RESUMEN TOTAL'!AF691</f>
        <v>0</v>
      </c>
      <c r="Z577" s="70">
        <f>'RESUMEN TOTAL'!AG691</f>
        <v>0</v>
      </c>
      <c r="AA577" s="70">
        <f>'RESUMEN TOTAL'!AH691</f>
        <v>0</v>
      </c>
      <c r="AB577" s="70">
        <f>'RESUMEN TOTAL'!AI691</f>
        <v>0</v>
      </c>
      <c r="AC577" s="70">
        <f>'RESUMEN TOTAL'!AJ691</f>
        <v>0</v>
      </c>
      <c r="AD577" s="70">
        <f>'RESUMEN TOTAL'!AK691</f>
        <v>0</v>
      </c>
      <c r="AE577" s="70">
        <f>'RESUMEN TOTAL'!AL691</f>
        <v>0</v>
      </c>
      <c r="AF577" s="70">
        <f>'RESUMEN TOTAL'!AM691</f>
        <v>0</v>
      </c>
      <c r="AG577" s="70">
        <f>'RESUMEN TOTAL'!AN691</f>
        <v>0</v>
      </c>
      <c r="AH577" s="70">
        <f>'RESUMEN TOTAL'!AO691</f>
        <v>0</v>
      </c>
      <c r="AI577" s="70">
        <f>'RESUMEN TOTAL'!AP691</f>
        <v>0</v>
      </c>
      <c r="AJ577" s="70">
        <f>'RESUMEN TOTAL'!AQ691</f>
        <v>0</v>
      </c>
    </row>
    <row r="578" spans="1:36" x14ac:dyDescent="0.25">
      <c r="A578">
        <f>'RESUMEN TOTAL'!A692</f>
        <v>0</v>
      </c>
      <c r="B578">
        <f>'RESUMEN TOTAL'!B692</f>
        <v>0</v>
      </c>
      <c r="C578">
        <f>'RESUMEN TOTAL'!D692</f>
        <v>0</v>
      </c>
      <c r="D578" s="30">
        <f>'RESUMEN TOTAL'!E692</f>
        <v>0</v>
      </c>
      <c r="E578" s="30">
        <f>'RESUMEN TOTAL'!F692</f>
        <v>0</v>
      </c>
      <c r="F578" s="70">
        <f>'RESUMEN TOTAL'!M692</f>
        <v>0</v>
      </c>
      <c r="G578" s="70">
        <f>'RESUMEN TOTAL'!N692</f>
        <v>0</v>
      </c>
      <c r="H578" s="70">
        <f>'RESUMEN TOTAL'!O692</f>
        <v>0</v>
      </c>
      <c r="I578" s="70">
        <f>'RESUMEN TOTAL'!P692</f>
        <v>0</v>
      </c>
      <c r="J578" s="70">
        <f>'RESUMEN TOTAL'!Q692</f>
        <v>0</v>
      </c>
      <c r="K578" s="70">
        <f>'RESUMEN TOTAL'!R692</f>
        <v>0</v>
      </c>
      <c r="L578" s="70">
        <f>'RESUMEN TOTAL'!S692</f>
        <v>0</v>
      </c>
      <c r="M578" s="70">
        <f>'RESUMEN TOTAL'!T692</f>
        <v>0</v>
      </c>
      <c r="N578" s="70">
        <f>'RESUMEN TOTAL'!U692</f>
        <v>0</v>
      </c>
      <c r="O578" s="70">
        <f>'RESUMEN TOTAL'!V692</f>
        <v>0</v>
      </c>
      <c r="P578" s="70">
        <f>'RESUMEN TOTAL'!W692</f>
        <v>0</v>
      </c>
      <c r="Q578" s="70">
        <f>'RESUMEN TOTAL'!X692</f>
        <v>0</v>
      </c>
      <c r="R578" s="70">
        <f>'RESUMEN TOTAL'!Y692</f>
        <v>0</v>
      </c>
      <c r="S578" s="70">
        <f>'RESUMEN TOTAL'!Z692</f>
        <v>0</v>
      </c>
      <c r="T578" s="70">
        <f>'RESUMEN TOTAL'!AA692</f>
        <v>0</v>
      </c>
      <c r="U578" s="70">
        <f>'RESUMEN TOTAL'!AB692</f>
        <v>0</v>
      </c>
      <c r="V578" s="70">
        <f>'RESUMEN TOTAL'!AC692</f>
        <v>0</v>
      </c>
      <c r="W578" s="70">
        <f>'RESUMEN TOTAL'!AD692</f>
        <v>0</v>
      </c>
      <c r="X578" s="70">
        <f>'RESUMEN TOTAL'!AE692</f>
        <v>0</v>
      </c>
      <c r="Y578" s="70">
        <f>'RESUMEN TOTAL'!AF692</f>
        <v>0</v>
      </c>
      <c r="Z578" s="70">
        <f>'RESUMEN TOTAL'!AG692</f>
        <v>0</v>
      </c>
      <c r="AA578" s="70">
        <f>'RESUMEN TOTAL'!AH692</f>
        <v>0</v>
      </c>
      <c r="AB578" s="70">
        <f>'RESUMEN TOTAL'!AI692</f>
        <v>0</v>
      </c>
      <c r="AC578" s="70">
        <f>'RESUMEN TOTAL'!AJ692</f>
        <v>0</v>
      </c>
      <c r="AD578" s="70">
        <f>'RESUMEN TOTAL'!AK692</f>
        <v>0</v>
      </c>
      <c r="AE578" s="70">
        <f>'RESUMEN TOTAL'!AL692</f>
        <v>0</v>
      </c>
      <c r="AF578" s="70">
        <f>'RESUMEN TOTAL'!AM692</f>
        <v>0</v>
      </c>
      <c r="AG578" s="70">
        <f>'RESUMEN TOTAL'!AN692</f>
        <v>0</v>
      </c>
      <c r="AH578" s="70">
        <f>'RESUMEN TOTAL'!AO692</f>
        <v>0</v>
      </c>
      <c r="AI578" s="70">
        <f>'RESUMEN TOTAL'!AP692</f>
        <v>0</v>
      </c>
      <c r="AJ578" s="70">
        <f>'RESUMEN TOTAL'!AQ692</f>
        <v>0</v>
      </c>
    </row>
    <row r="579" spans="1:36" x14ac:dyDescent="0.25">
      <c r="A579">
        <f>'RESUMEN TOTAL'!A693</f>
        <v>0</v>
      </c>
      <c r="B579">
        <f>'RESUMEN TOTAL'!B693</f>
        <v>0</v>
      </c>
      <c r="C579">
        <f>'RESUMEN TOTAL'!D693</f>
        <v>0</v>
      </c>
      <c r="D579" s="30">
        <f>'RESUMEN TOTAL'!E693</f>
        <v>0</v>
      </c>
      <c r="E579" s="30">
        <f>'RESUMEN TOTAL'!F693</f>
        <v>0</v>
      </c>
      <c r="F579" s="70">
        <f>'RESUMEN TOTAL'!M693</f>
        <v>0</v>
      </c>
      <c r="G579" s="70">
        <f>'RESUMEN TOTAL'!N693</f>
        <v>0</v>
      </c>
      <c r="H579" s="70">
        <f>'RESUMEN TOTAL'!O693</f>
        <v>0</v>
      </c>
      <c r="I579" s="70">
        <f>'RESUMEN TOTAL'!P693</f>
        <v>0</v>
      </c>
      <c r="J579" s="70">
        <f>'RESUMEN TOTAL'!Q693</f>
        <v>0</v>
      </c>
      <c r="K579" s="70">
        <f>'RESUMEN TOTAL'!R693</f>
        <v>0</v>
      </c>
      <c r="L579" s="70">
        <f>'RESUMEN TOTAL'!S693</f>
        <v>0</v>
      </c>
      <c r="M579" s="70">
        <f>'RESUMEN TOTAL'!T693</f>
        <v>0</v>
      </c>
      <c r="N579" s="70">
        <f>'RESUMEN TOTAL'!U693</f>
        <v>0</v>
      </c>
      <c r="O579" s="70">
        <f>'RESUMEN TOTAL'!V693</f>
        <v>0</v>
      </c>
      <c r="P579" s="70">
        <f>'RESUMEN TOTAL'!W693</f>
        <v>0</v>
      </c>
      <c r="Q579" s="70">
        <f>'RESUMEN TOTAL'!X693</f>
        <v>0</v>
      </c>
      <c r="R579" s="70">
        <f>'RESUMEN TOTAL'!Y693</f>
        <v>0</v>
      </c>
      <c r="S579" s="70">
        <f>'RESUMEN TOTAL'!Z693</f>
        <v>0</v>
      </c>
      <c r="T579" s="70">
        <f>'RESUMEN TOTAL'!AA693</f>
        <v>0</v>
      </c>
      <c r="U579" s="70">
        <f>'RESUMEN TOTAL'!AB693</f>
        <v>0</v>
      </c>
      <c r="V579" s="70">
        <f>'RESUMEN TOTAL'!AC693</f>
        <v>0</v>
      </c>
      <c r="W579" s="70">
        <f>'RESUMEN TOTAL'!AD693</f>
        <v>0</v>
      </c>
      <c r="X579" s="70">
        <f>'RESUMEN TOTAL'!AE693</f>
        <v>0</v>
      </c>
      <c r="Y579" s="70">
        <f>'RESUMEN TOTAL'!AF693</f>
        <v>0</v>
      </c>
      <c r="Z579" s="70">
        <f>'RESUMEN TOTAL'!AG693</f>
        <v>0</v>
      </c>
      <c r="AA579" s="70">
        <f>'RESUMEN TOTAL'!AH693</f>
        <v>0</v>
      </c>
      <c r="AB579" s="70">
        <f>'RESUMEN TOTAL'!AI693</f>
        <v>0</v>
      </c>
      <c r="AC579" s="70">
        <f>'RESUMEN TOTAL'!AJ693</f>
        <v>0</v>
      </c>
      <c r="AD579" s="70">
        <f>'RESUMEN TOTAL'!AK693</f>
        <v>0</v>
      </c>
      <c r="AE579" s="70">
        <f>'RESUMEN TOTAL'!AL693</f>
        <v>0</v>
      </c>
      <c r="AF579" s="70">
        <f>'RESUMEN TOTAL'!AM693</f>
        <v>0</v>
      </c>
      <c r="AG579" s="70">
        <f>'RESUMEN TOTAL'!AN693</f>
        <v>0</v>
      </c>
      <c r="AH579" s="70">
        <f>'RESUMEN TOTAL'!AO693</f>
        <v>0</v>
      </c>
      <c r="AI579" s="70">
        <f>'RESUMEN TOTAL'!AP693</f>
        <v>0</v>
      </c>
      <c r="AJ579" s="70">
        <f>'RESUMEN TOTAL'!AQ693</f>
        <v>0</v>
      </c>
    </row>
    <row r="580" spans="1:36" x14ac:dyDescent="0.25">
      <c r="A580">
        <f>'RESUMEN TOTAL'!A694</f>
        <v>0</v>
      </c>
      <c r="B580">
        <f>'RESUMEN TOTAL'!B694</f>
        <v>0</v>
      </c>
      <c r="C580">
        <f>'RESUMEN TOTAL'!D694</f>
        <v>0</v>
      </c>
      <c r="D580" s="30">
        <f>'RESUMEN TOTAL'!E694</f>
        <v>0</v>
      </c>
      <c r="E580" s="30">
        <f>'RESUMEN TOTAL'!F694</f>
        <v>0</v>
      </c>
      <c r="F580" s="70">
        <f>'RESUMEN TOTAL'!M694</f>
        <v>0</v>
      </c>
      <c r="G580" s="70">
        <f>'RESUMEN TOTAL'!N694</f>
        <v>0</v>
      </c>
      <c r="H580" s="70">
        <f>'RESUMEN TOTAL'!O694</f>
        <v>0</v>
      </c>
      <c r="I580" s="70">
        <f>'RESUMEN TOTAL'!P694</f>
        <v>0</v>
      </c>
      <c r="J580" s="70">
        <f>'RESUMEN TOTAL'!Q694</f>
        <v>0</v>
      </c>
      <c r="K580" s="70">
        <f>'RESUMEN TOTAL'!R694</f>
        <v>0</v>
      </c>
      <c r="L580" s="70">
        <f>'RESUMEN TOTAL'!S694</f>
        <v>0</v>
      </c>
      <c r="M580" s="70">
        <f>'RESUMEN TOTAL'!T694</f>
        <v>0</v>
      </c>
      <c r="N580" s="70">
        <f>'RESUMEN TOTAL'!U694</f>
        <v>0</v>
      </c>
      <c r="O580" s="70">
        <f>'RESUMEN TOTAL'!V694</f>
        <v>0</v>
      </c>
      <c r="P580" s="70">
        <f>'RESUMEN TOTAL'!W694</f>
        <v>0</v>
      </c>
      <c r="Q580" s="70">
        <f>'RESUMEN TOTAL'!X694</f>
        <v>0</v>
      </c>
      <c r="R580" s="70">
        <f>'RESUMEN TOTAL'!Y694</f>
        <v>0</v>
      </c>
      <c r="S580" s="70">
        <f>'RESUMEN TOTAL'!Z694</f>
        <v>0</v>
      </c>
      <c r="T580" s="70">
        <f>'RESUMEN TOTAL'!AA694</f>
        <v>0</v>
      </c>
      <c r="U580" s="70">
        <f>'RESUMEN TOTAL'!AB694</f>
        <v>0</v>
      </c>
      <c r="V580" s="70">
        <f>'RESUMEN TOTAL'!AC694</f>
        <v>0</v>
      </c>
      <c r="W580" s="70">
        <f>'RESUMEN TOTAL'!AD694</f>
        <v>0</v>
      </c>
      <c r="X580" s="70">
        <f>'RESUMEN TOTAL'!AE694</f>
        <v>0</v>
      </c>
      <c r="Y580" s="70">
        <f>'RESUMEN TOTAL'!AF694</f>
        <v>0</v>
      </c>
      <c r="Z580" s="70">
        <f>'RESUMEN TOTAL'!AG694</f>
        <v>0</v>
      </c>
      <c r="AA580" s="70">
        <f>'RESUMEN TOTAL'!AH694</f>
        <v>0</v>
      </c>
      <c r="AB580" s="70">
        <f>'RESUMEN TOTAL'!AI694</f>
        <v>0</v>
      </c>
      <c r="AC580" s="70">
        <f>'RESUMEN TOTAL'!AJ694</f>
        <v>0</v>
      </c>
      <c r="AD580" s="70">
        <f>'RESUMEN TOTAL'!AK694</f>
        <v>0</v>
      </c>
      <c r="AE580" s="70">
        <f>'RESUMEN TOTAL'!AL694</f>
        <v>0</v>
      </c>
      <c r="AF580" s="70">
        <f>'RESUMEN TOTAL'!AM694</f>
        <v>0</v>
      </c>
      <c r="AG580" s="70">
        <f>'RESUMEN TOTAL'!AN694</f>
        <v>0</v>
      </c>
      <c r="AH580" s="70">
        <f>'RESUMEN TOTAL'!AO694</f>
        <v>0</v>
      </c>
      <c r="AI580" s="70">
        <f>'RESUMEN TOTAL'!AP694</f>
        <v>0</v>
      </c>
      <c r="AJ580" s="70">
        <f>'RESUMEN TOTAL'!AQ694</f>
        <v>0</v>
      </c>
    </row>
    <row r="581" spans="1:36" x14ac:dyDescent="0.25">
      <c r="A581">
        <f>'RESUMEN TOTAL'!A695</f>
        <v>0</v>
      </c>
      <c r="B581">
        <f>'RESUMEN TOTAL'!B695</f>
        <v>0</v>
      </c>
      <c r="C581">
        <f>'RESUMEN TOTAL'!D695</f>
        <v>0</v>
      </c>
      <c r="D581" s="30">
        <f>'RESUMEN TOTAL'!E695</f>
        <v>0</v>
      </c>
      <c r="E581" s="30">
        <f>'RESUMEN TOTAL'!F695</f>
        <v>0</v>
      </c>
      <c r="F581" s="70">
        <f>'RESUMEN TOTAL'!M695</f>
        <v>0</v>
      </c>
      <c r="G581" s="70">
        <f>'RESUMEN TOTAL'!N695</f>
        <v>0</v>
      </c>
      <c r="H581" s="70">
        <f>'RESUMEN TOTAL'!O695</f>
        <v>0</v>
      </c>
      <c r="I581" s="70">
        <f>'RESUMEN TOTAL'!P695</f>
        <v>0</v>
      </c>
      <c r="J581" s="70">
        <f>'RESUMEN TOTAL'!Q695</f>
        <v>0</v>
      </c>
      <c r="K581" s="70">
        <f>'RESUMEN TOTAL'!R695</f>
        <v>0</v>
      </c>
      <c r="L581" s="70">
        <f>'RESUMEN TOTAL'!S695</f>
        <v>0</v>
      </c>
      <c r="M581" s="70">
        <f>'RESUMEN TOTAL'!T695</f>
        <v>0</v>
      </c>
      <c r="N581" s="70">
        <f>'RESUMEN TOTAL'!U695</f>
        <v>0</v>
      </c>
      <c r="O581" s="70">
        <f>'RESUMEN TOTAL'!V695</f>
        <v>0</v>
      </c>
      <c r="P581" s="70">
        <f>'RESUMEN TOTAL'!W695</f>
        <v>0</v>
      </c>
      <c r="Q581" s="70">
        <f>'RESUMEN TOTAL'!X695</f>
        <v>0</v>
      </c>
      <c r="R581" s="70">
        <f>'RESUMEN TOTAL'!Y695</f>
        <v>0</v>
      </c>
      <c r="S581" s="70">
        <f>'RESUMEN TOTAL'!Z695</f>
        <v>0</v>
      </c>
      <c r="T581" s="70">
        <f>'RESUMEN TOTAL'!AA695</f>
        <v>0</v>
      </c>
      <c r="U581" s="70">
        <f>'RESUMEN TOTAL'!AB695</f>
        <v>0</v>
      </c>
      <c r="V581" s="70">
        <f>'RESUMEN TOTAL'!AC695</f>
        <v>0</v>
      </c>
      <c r="W581" s="70">
        <f>'RESUMEN TOTAL'!AD695</f>
        <v>0</v>
      </c>
      <c r="X581" s="70">
        <f>'RESUMEN TOTAL'!AE695</f>
        <v>0</v>
      </c>
      <c r="Y581" s="70">
        <f>'RESUMEN TOTAL'!AF695</f>
        <v>0</v>
      </c>
      <c r="Z581" s="70">
        <f>'RESUMEN TOTAL'!AG695</f>
        <v>0</v>
      </c>
      <c r="AA581" s="70">
        <f>'RESUMEN TOTAL'!AH695</f>
        <v>0</v>
      </c>
      <c r="AB581" s="70">
        <f>'RESUMEN TOTAL'!AI695</f>
        <v>0</v>
      </c>
      <c r="AC581" s="70">
        <f>'RESUMEN TOTAL'!AJ695</f>
        <v>0</v>
      </c>
      <c r="AD581" s="70">
        <f>'RESUMEN TOTAL'!AK695</f>
        <v>0</v>
      </c>
      <c r="AE581" s="70">
        <f>'RESUMEN TOTAL'!AL695</f>
        <v>0</v>
      </c>
      <c r="AF581" s="70">
        <f>'RESUMEN TOTAL'!AM695</f>
        <v>0</v>
      </c>
      <c r="AG581" s="70">
        <f>'RESUMEN TOTAL'!AN695</f>
        <v>0</v>
      </c>
      <c r="AH581" s="70">
        <f>'RESUMEN TOTAL'!AO695</f>
        <v>0</v>
      </c>
      <c r="AI581" s="70">
        <f>'RESUMEN TOTAL'!AP695</f>
        <v>0</v>
      </c>
      <c r="AJ581" s="70">
        <f>'RESUMEN TOTAL'!AQ695</f>
        <v>0</v>
      </c>
    </row>
    <row r="582" spans="1:36" x14ac:dyDescent="0.25">
      <c r="A582">
        <f>'RESUMEN TOTAL'!A696</f>
        <v>0</v>
      </c>
      <c r="B582">
        <f>'RESUMEN TOTAL'!B696</f>
        <v>0</v>
      </c>
      <c r="C582">
        <f>'RESUMEN TOTAL'!D696</f>
        <v>0</v>
      </c>
      <c r="D582" s="30">
        <f>'RESUMEN TOTAL'!E696</f>
        <v>0</v>
      </c>
      <c r="E582" s="30">
        <f>'RESUMEN TOTAL'!F696</f>
        <v>0</v>
      </c>
      <c r="F582" s="70">
        <f>'RESUMEN TOTAL'!M696</f>
        <v>0</v>
      </c>
      <c r="G582" s="70">
        <f>'RESUMEN TOTAL'!N696</f>
        <v>0</v>
      </c>
      <c r="H582" s="70">
        <f>'RESUMEN TOTAL'!O696</f>
        <v>0</v>
      </c>
      <c r="I582" s="70">
        <f>'RESUMEN TOTAL'!P696</f>
        <v>0</v>
      </c>
      <c r="J582" s="70">
        <f>'RESUMEN TOTAL'!Q696</f>
        <v>0</v>
      </c>
      <c r="K582" s="70">
        <f>'RESUMEN TOTAL'!R696</f>
        <v>0</v>
      </c>
      <c r="L582" s="70">
        <f>'RESUMEN TOTAL'!S696</f>
        <v>0</v>
      </c>
      <c r="M582" s="70">
        <f>'RESUMEN TOTAL'!T696</f>
        <v>0</v>
      </c>
      <c r="N582" s="70">
        <f>'RESUMEN TOTAL'!U696</f>
        <v>0</v>
      </c>
      <c r="O582" s="70">
        <f>'RESUMEN TOTAL'!V696</f>
        <v>0</v>
      </c>
      <c r="P582" s="70">
        <f>'RESUMEN TOTAL'!W696</f>
        <v>0</v>
      </c>
      <c r="Q582" s="70">
        <f>'RESUMEN TOTAL'!X696</f>
        <v>0</v>
      </c>
      <c r="R582" s="70">
        <f>'RESUMEN TOTAL'!Y696</f>
        <v>0</v>
      </c>
      <c r="S582" s="70">
        <f>'RESUMEN TOTAL'!Z696</f>
        <v>0</v>
      </c>
      <c r="T582" s="70">
        <f>'RESUMEN TOTAL'!AA696</f>
        <v>0</v>
      </c>
      <c r="U582" s="70">
        <f>'RESUMEN TOTAL'!AB696</f>
        <v>0</v>
      </c>
      <c r="V582" s="70">
        <f>'RESUMEN TOTAL'!AC696</f>
        <v>0</v>
      </c>
      <c r="W582" s="70">
        <f>'RESUMEN TOTAL'!AD696</f>
        <v>0</v>
      </c>
      <c r="X582" s="70">
        <f>'RESUMEN TOTAL'!AE696</f>
        <v>0</v>
      </c>
      <c r="Y582" s="70">
        <f>'RESUMEN TOTAL'!AF696</f>
        <v>0</v>
      </c>
      <c r="Z582" s="70">
        <f>'RESUMEN TOTAL'!AG696</f>
        <v>0</v>
      </c>
      <c r="AA582" s="70">
        <f>'RESUMEN TOTAL'!AH696</f>
        <v>0</v>
      </c>
      <c r="AB582" s="70">
        <f>'RESUMEN TOTAL'!AI696</f>
        <v>0</v>
      </c>
      <c r="AC582" s="70">
        <f>'RESUMEN TOTAL'!AJ696</f>
        <v>0</v>
      </c>
      <c r="AD582" s="70">
        <f>'RESUMEN TOTAL'!AK696</f>
        <v>0</v>
      </c>
      <c r="AE582" s="70">
        <f>'RESUMEN TOTAL'!AL696</f>
        <v>0</v>
      </c>
      <c r="AF582" s="70">
        <f>'RESUMEN TOTAL'!AM696</f>
        <v>0</v>
      </c>
      <c r="AG582" s="70">
        <f>'RESUMEN TOTAL'!AN696</f>
        <v>0</v>
      </c>
      <c r="AH582" s="70">
        <f>'RESUMEN TOTAL'!AO696</f>
        <v>0</v>
      </c>
      <c r="AI582" s="70">
        <f>'RESUMEN TOTAL'!AP696</f>
        <v>0</v>
      </c>
      <c r="AJ582" s="70">
        <f>'RESUMEN TOTAL'!AQ696</f>
        <v>0</v>
      </c>
    </row>
    <row r="583" spans="1:36" x14ac:dyDescent="0.25">
      <c r="A583">
        <f>'RESUMEN TOTAL'!A697</f>
        <v>0</v>
      </c>
      <c r="B583">
        <f>'RESUMEN TOTAL'!B697</f>
        <v>0</v>
      </c>
      <c r="C583">
        <f>'RESUMEN TOTAL'!D697</f>
        <v>0</v>
      </c>
      <c r="D583" s="30">
        <f>'RESUMEN TOTAL'!E697</f>
        <v>0</v>
      </c>
      <c r="E583" s="30">
        <f>'RESUMEN TOTAL'!F697</f>
        <v>0</v>
      </c>
      <c r="F583" s="70">
        <f>'RESUMEN TOTAL'!M697</f>
        <v>0</v>
      </c>
      <c r="G583" s="70">
        <f>'RESUMEN TOTAL'!N697</f>
        <v>0</v>
      </c>
      <c r="H583" s="70">
        <f>'RESUMEN TOTAL'!O697</f>
        <v>0</v>
      </c>
      <c r="I583" s="70">
        <f>'RESUMEN TOTAL'!P697</f>
        <v>0</v>
      </c>
      <c r="J583" s="70">
        <f>'RESUMEN TOTAL'!Q697</f>
        <v>0</v>
      </c>
      <c r="K583" s="70">
        <f>'RESUMEN TOTAL'!R697</f>
        <v>0</v>
      </c>
      <c r="L583" s="70">
        <f>'RESUMEN TOTAL'!S697</f>
        <v>0</v>
      </c>
      <c r="M583" s="70">
        <f>'RESUMEN TOTAL'!T697</f>
        <v>0</v>
      </c>
      <c r="N583" s="70">
        <f>'RESUMEN TOTAL'!U697</f>
        <v>0</v>
      </c>
      <c r="O583" s="70">
        <f>'RESUMEN TOTAL'!V697</f>
        <v>0</v>
      </c>
      <c r="P583" s="70">
        <f>'RESUMEN TOTAL'!W697</f>
        <v>0</v>
      </c>
      <c r="Q583" s="70">
        <f>'RESUMEN TOTAL'!X697</f>
        <v>0</v>
      </c>
      <c r="R583" s="70">
        <f>'RESUMEN TOTAL'!Y697</f>
        <v>0</v>
      </c>
      <c r="S583" s="70">
        <f>'RESUMEN TOTAL'!Z697</f>
        <v>0</v>
      </c>
      <c r="T583" s="70">
        <f>'RESUMEN TOTAL'!AA697</f>
        <v>0</v>
      </c>
      <c r="U583" s="70">
        <f>'RESUMEN TOTAL'!AB697</f>
        <v>0</v>
      </c>
      <c r="V583" s="70">
        <f>'RESUMEN TOTAL'!AC697</f>
        <v>0</v>
      </c>
      <c r="W583" s="70">
        <f>'RESUMEN TOTAL'!AD697</f>
        <v>0</v>
      </c>
      <c r="X583" s="70">
        <f>'RESUMEN TOTAL'!AE697</f>
        <v>0</v>
      </c>
      <c r="Y583" s="70">
        <f>'RESUMEN TOTAL'!AF697</f>
        <v>0</v>
      </c>
      <c r="Z583" s="70">
        <f>'RESUMEN TOTAL'!AG697</f>
        <v>0</v>
      </c>
      <c r="AA583" s="70">
        <f>'RESUMEN TOTAL'!AH697</f>
        <v>0</v>
      </c>
      <c r="AB583" s="70">
        <f>'RESUMEN TOTAL'!AI697</f>
        <v>0</v>
      </c>
      <c r="AC583" s="70">
        <f>'RESUMEN TOTAL'!AJ697</f>
        <v>0</v>
      </c>
      <c r="AD583" s="70">
        <f>'RESUMEN TOTAL'!AK697</f>
        <v>0</v>
      </c>
      <c r="AE583" s="70">
        <f>'RESUMEN TOTAL'!AL697</f>
        <v>0</v>
      </c>
      <c r="AF583" s="70">
        <f>'RESUMEN TOTAL'!AM697</f>
        <v>0</v>
      </c>
      <c r="AG583" s="70">
        <f>'RESUMEN TOTAL'!AN697</f>
        <v>0</v>
      </c>
      <c r="AH583" s="70">
        <f>'RESUMEN TOTAL'!AO697</f>
        <v>0</v>
      </c>
      <c r="AI583" s="70">
        <f>'RESUMEN TOTAL'!AP697</f>
        <v>0</v>
      </c>
      <c r="AJ583" s="70">
        <f>'RESUMEN TOTAL'!AQ697</f>
        <v>0</v>
      </c>
    </row>
    <row r="584" spans="1:36" x14ac:dyDescent="0.25">
      <c r="A584">
        <f>'RESUMEN TOTAL'!A698</f>
        <v>0</v>
      </c>
      <c r="B584">
        <f>'RESUMEN TOTAL'!B698</f>
        <v>0</v>
      </c>
      <c r="C584">
        <f>'RESUMEN TOTAL'!D698</f>
        <v>0</v>
      </c>
      <c r="D584" s="30">
        <f>'RESUMEN TOTAL'!E698</f>
        <v>0</v>
      </c>
      <c r="E584" s="30">
        <f>'RESUMEN TOTAL'!F698</f>
        <v>0</v>
      </c>
      <c r="F584" s="70">
        <f>'RESUMEN TOTAL'!M698</f>
        <v>0</v>
      </c>
      <c r="G584" s="70">
        <f>'RESUMEN TOTAL'!N698</f>
        <v>0</v>
      </c>
      <c r="H584" s="70">
        <f>'RESUMEN TOTAL'!O698</f>
        <v>0</v>
      </c>
      <c r="I584" s="70">
        <f>'RESUMEN TOTAL'!P698</f>
        <v>0</v>
      </c>
      <c r="J584" s="70">
        <f>'RESUMEN TOTAL'!Q698</f>
        <v>0</v>
      </c>
      <c r="K584" s="70">
        <f>'RESUMEN TOTAL'!R698</f>
        <v>0</v>
      </c>
      <c r="L584" s="70">
        <f>'RESUMEN TOTAL'!S698</f>
        <v>0</v>
      </c>
      <c r="M584" s="70">
        <f>'RESUMEN TOTAL'!T698</f>
        <v>0</v>
      </c>
      <c r="N584" s="70">
        <f>'RESUMEN TOTAL'!U698</f>
        <v>0</v>
      </c>
      <c r="O584" s="70">
        <f>'RESUMEN TOTAL'!V698</f>
        <v>0</v>
      </c>
      <c r="P584" s="70">
        <f>'RESUMEN TOTAL'!W698</f>
        <v>0</v>
      </c>
      <c r="Q584" s="70">
        <f>'RESUMEN TOTAL'!X698</f>
        <v>0</v>
      </c>
      <c r="R584" s="70">
        <f>'RESUMEN TOTAL'!Y698</f>
        <v>0</v>
      </c>
      <c r="S584" s="70">
        <f>'RESUMEN TOTAL'!Z698</f>
        <v>0</v>
      </c>
      <c r="T584" s="70">
        <f>'RESUMEN TOTAL'!AA698</f>
        <v>0</v>
      </c>
      <c r="U584" s="70">
        <f>'RESUMEN TOTAL'!AB698</f>
        <v>0</v>
      </c>
      <c r="V584" s="70">
        <f>'RESUMEN TOTAL'!AC698</f>
        <v>0</v>
      </c>
      <c r="W584" s="70">
        <f>'RESUMEN TOTAL'!AD698</f>
        <v>0</v>
      </c>
      <c r="X584" s="70">
        <f>'RESUMEN TOTAL'!AE698</f>
        <v>0</v>
      </c>
      <c r="Y584" s="70">
        <f>'RESUMEN TOTAL'!AF698</f>
        <v>0</v>
      </c>
      <c r="Z584" s="70">
        <f>'RESUMEN TOTAL'!AG698</f>
        <v>0</v>
      </c>
      <c r="AA584" s="70">
        <f>'RESUMEN TOTAL'!AH698</f>
        <v>0</v>
      </c>
      <c r="AB584" s="70">
        <f>'RESUMEN TOTAL'!AI698</f>
        <v>0</v>
      </c>
      <c r="AC584" s="70">
        <f>'RESUMEN TOTAL'!AJ698</f>
        <v>0</v>
      </c>
      <c r="AD584" s="70">
        <f>'RESUMEN TOTAL'!AK698</f>
        <v>0</v>
      </c>
      <c r="AE584" s="70">
        <f>'RESUMEN TOTAL'!AL698</f>
        <v>0</v>
      </c>
      <c r="AF584" s="70">
        <f>'RESUMEN TOTAL'!AM698</f>
        <v>0</v>
      </c>
      <c r="AG584" s="70">
        <f>'RESUMEN TOTAL'!AN698</f>
        <v>0</v>
      </c>
      <c r="AH584" s="70">
        <f>'RESUMEN TOTAL'!AO698</f>
        <v>0</v>
      </c>
      <c r="AI584" s="70">
        <f>'RESUMEN TOTAL'!AP698</f>
        <v>0</v>
      </c>
      <c r="AJ584" s="70">
        <f>'RESUMEN TOTAL'!AQ698</f>
        <v>0</v>
      </c>
    </row>
    <row r="585" spans="1:36" x14ac:dyDescent="0.25">
      <c r="A585">
        <f>'RESUMEN TOTAL'!A699</f>
        <v>0</v>
      </c>
      <c r="B585">
        <f>'RESUMEN TOTAL'!B699</f>
        <v>0</v>
      </c>
      <c r="C585">
        <f>'RESUMEN TOTAL'!D699</f>
        <v>0</v>
      </c>
      <c r="D585" s="30">
        <f>'RESUMEN TOTAL'!E699</f>
        <v>0</v>
      </c>
      <c r="E585" s="30">
        <f>'RESUMEN TOTAL'!F699</f>
        <v>0</v>
      </c>
      <c r="F585" s="70">
        <f>'RESUMEN TOTAL'!M699</f>
        <v>0</v>
      </c>
      <c r="G585" s="70">
        <f>'RESUMEN TOTAL'!N699</f>
        <v>0</v>
      </c>
      <c r="H585" s="70">
        <f>'RESUMEN TOTAL'!O699</f>
        <v>0</v>
      </c>
      <c r="I585" s="70">
        <f>'RESUMEN TOTAL'!P699</f>
        <v>0</v>
      </c>
      <c r="J585" s="70">
        <f>'RESUMEN TOTAL'!Q699</f>
        <v>0</v>
      </c>
      <c r="K585" s="70">
        <f>'RESUMEN TOTAL'!R699</f>
        <v>0</v>
      </c>
      <c r="L585" s="70">
        <f>'RESUMEN TOTAL'!S699</f>
        <v>0</v>
      </c>
      <c r="M585" s="70">
        <f>'RESUMEN TOTAL'!T699</f>
        <v>0</v>
      </c>
      <c r="N585" s="70">
        <f>'RESUMEN TOTAL'!U699</f>
        <v>0</v>
      </c>
      <c r="O585" s="70">
        <f>'RESUMEN TOTAL'!V699</f>
        <v>0</v>
      </c>
      <c r="P585" s="70">
        <f>'RESUMEN TOTAL'!W699</f>
        <v>0</v>
      </c>
      <c r="Q585" s="70">
        <f>'RESUMEN TOTAL'!X699</f>
        <v>0</v>
      </c>
      <c r="R585" s="70">
        <f>'RESUMEN TOTAL'!Y699</f>
        <v>0</v>
      </c>
      <c r="S585" s="70">
        <f>'RESUMEN TOTAL'!Z699</f>
        <v>0</v>
      </c>
      <c r="T585" s="70">
        <f>'RESUMEN TOTAL'!AA699</f>
        <v>0</v>
      </c>
      <c r="U585" s="70">
        <f>'RESUMEN TOTAL'!AB699</f>
        <v>0</v>
      </c>
      <c r="V585" s="70">
        <f>'RESUMEN TOTAL'!AC699</f>
        <v>0</v>
      </c>
      <c r="W585" s="70">
        <f>'RESUMEN TOTAL'!AD699</f>
        <v>0</v>
      </c>
      <c r="X585" s="70">
        <f>'RESUMEN TOTAL'!AE699</f>
        <v>0</v>
      </c>
      <c r="Y585" s="70">
        <f>'RESUMEN TOTAL'!AF699</f>
        <v>0</v>
      </c>
      <c r="Z585" s="70">
        <f>'RESUMEN TOTAL'!AG699</f>
        <v>0</v>
      </c>
      <c r="AA585" s="70">
        <f>'RESUMEN TOTAL'!AH699</f>
        <v>0</v>
      </c>
      <c r="AB585" s="70">
        <f>'RESUMEN TOTAL'!AI699</f>
        <v>0</v>
      </c>
      <c r="AC585" s="70">
        <f>'RESUMEN TOTAL'!AJ699</f>
        <v>0</v>
      </c>
      <c r="AD585" s="70">
        <f>'RESUMEN TOTAL'!AK699</f>
        <v>0</v>
      </c>
      <c r="AE585" s="70">
        <f>'RESUMEN TOTAL'!AL699</f>
        <v>0</v>
      </c>
      <c r="AF585" s="70">
        <f>'RESUMEN TOTAL'!AM699</f>
        <v>0</v>
      </c>
      <c r="AG585" s="70">
        <f>'RESUMEN TOTAL'!AN699</f>
        <v>0</v>
      </c>
      <c r="AH585" s="70">
        <f>'RESUMEN TOTAL'!AO699</f>
        <v>0</v>
      </c>
      <c r="AI585" s="70">
        <f>'RESUMEN TOTAL'!AP699</f>
        <v>0</v>
      </c>
      <c r="AJ585" s="70">
        <f>'RESUMEN TOTAL'!AQ699</f>
        <v>0</v>
      </c>
    </row>
    <row r="586" spans="1:36" x14ac:dyDescent="0.25">
      <c r="A586">
        <f>'RESUMEN TOTAL'!A700</f>
        <v>0</v>
      </c>
      <c r="B586">
        <f>'RESUMEN TOTAL'!B700</f>
        <v>0</v>
      </c>
      <c r="C586">
        <f>'RESUMEN TOTAL'!D700</f>
        <v>0</v>
      </c>
      <c r="D586" s="30">
        <f>'RESUMEN TOTAL'!E700</f>
        <v>0</v>
      </c>
      <c r="E586" s="30">
        <f>'RESUMEN TOTAL'!F700</f>
        <v>0</v>
      </c>
      <c r="F586" s="70">
        <f>'RESUMEN TOTAL'!M700</f>
        <v>0</v>
      </c>
      <c r="G586" s="70">
        <f>'RESUMEN TOTAL'!N700</f>
        <v>0</v>
      </c>
      <c r="H586" s="70">
        <f>'RESUMEN TOTAL'!O700</f>
        <v>0</v>
      </c>
      <c r="I586" s="70">
        <f>'RESUMEN TOTAL'!P700</f>
        <v>0</v>
      </c>
      <c r="J586" s="70">
        <f>'RESUMEN TOTAL'!Q700</f>
        <v>0</v>
      </c>
      <c r="K586" s="70">
        <f>'RESUMEN TOTAL'!R700</f>
        <v>0</v>
      </c>
      <c r="L586" s="70">
        <f>'RESUMEN TOTAL'!S700</f>
        <v>0</v>
      </c>
      <c r="M586" s="70">
        <f>'RESUMEN TOTAL'!T700</f>
        <v>0</v>
      </c>
      <c r="N586" s="70">
        <f>'RESUMEN TOTAL'!U700</f>
        <v>0</v>
      </c>
      <c r="O586" s="70">
        <f>'RESUMEN TOTAL'!V700</f>
        <v>0</v>
      </c>
      <c r="P586" s="70">
        <f>'RESUMEN TOTAL'!W700</f>
        <v>0</v>
      </c>
      <c r="Q586" s="70">
        <f>'RESUMEN TOTAL'!X700</f>
        <v>0</v>
      </c>
      <c r="R586" s="70">
        <f>'RESUMEN TOTAL'!Y700</f>
        <v>0</v>
      </c>
      <c r="S586" s="70">
        <f>'RESUMEN TOTAL'!Z700</f>
        <v>0</v>
      </c>
      <c r="T586" s="70">
        <f>'RESUMEN TOTAL'!AA700</f>
        <v>0</v>
      </c>
      <c r="U586" s="70">
        <f>'RESUMEN TOTAL'!AB700</f>
        <v>0</v>
      </c>
      <c r="V586" s="70">
        <f>'RESUMEN TOTAL'!AC700</f>
        <v>0</v>
      </c>
      <c r="W586" s="70">
        <f>'RESUMEN TOTAL'!AD700</f>
        <v>0</v>
      </c>
      <c r="X586" s="70">
        <f>'RESUMEN TOTAL'!AE700</f>
        <v>0</v>
      </c>
      <c r="Y586" s="70">
        <f>'RESUMEN TOTAL'!AF700</f>
        <v>0</v>
      </c>
      <c r="Z586" s="70">
        <f>'RESUMEN TOTAL'!AG700</f>
        <v>0</v>
      </c>
      <c r="AA586" s="70">
        <f>'RESUMEN TOTAL'!AH700</f>
        <v>0</v>
      </c>
      <c r="AB586" s="70">
        <f>'RESUMEN TOTAL'!AI700</f>
        <v>0</v>
      </c>
      <c r="AC586" s="70">
        <f>'RESUMEN TOTAL'!AJ700</f>
        <v>0</v>
      </c>
      <c r="AD586" s="70">
        <f>'RESUMEN TOTAL'!AK700</f>
        <v>0</v>
      </c>
      <c r="AE586" s="70">
        <f>'RESUMEN TOTAL'!AL700</f>
        <v>0</v>
      </c>
      <c r="AF586" s="70">
        <f>'RESUMEN TOTAL'!AM700</f>
        <v>0</v>
      </c>
      <c r="AG586" s="70">
        <f>'RESUMEN TOTAL'!AN700</f>
        <v>0</v>
      </c>
      <c r="AH586" s="70">
        <f>'RESUMEN TOTAL'!AO700</f>
        <v>0</v>
      </c>
      <c r="AI586" s="70">
        <f>'RESUMEN TOTAL'!AP700</f>
        <v>0</v>
      </c>
      <c r="AJ586" s="70">
        <f>'RESUMEN TOTAL'!AQ700</f>
        <v>0</v>
      </c>
    </row>
    <row r="587" spans="1:36" x14ac:dyDescent="0.25">
      <c r="A587">
        <f>'RESUMEN TOTAL'!A701</f>
        <v>0</v>
      </c>
      <c r="B587">
        <f>'RESUMEN TOTAL'!B701</f>
        <v>0</v>
      </c>
      <c r="C587">
        <f>'RESUMEN TOTAL'!D701</f>
        <v>0</v>
      </c>
      <c r="D587" s="30">
        <f>'RESUMEN TOTAL'!E701</f>
        <v>0</v>
      </c>
      <c r="E587" s="30">
        <f>'RESUMEN TOTAL'!F701</f>
        <v>0</v>
      </c>
      <c r="F587" s="70">
        <f>'RESUMEN TOTAL'!M701</f>
        <v>0</v>
      </c>
      <c r="G587" s="70">
        <f>'RESUMEN TOTAL'!N701</f>
        <v>0</v>
      </c>
      <c r="H587" s="70">
        <f>'RESUMEN TOTAL'!O701</f>
        <v>0</v>
      </c>
      <c r="I587" s="70">
        <f>'RESUMEN TOTAL'!P701</f>
        <v>0</v>
      </c>
      <c r="J587" s="70">
        <f>'RESUMEN TOTAL'!Q701</f>
        <v>0</v>
      </c>
      <c r="K587" s="70">
        <f>'RESUMEN TOTAL'!R701</f>
        <v>0</v>
      </c>
      <c r="L587" s="70">
        <f>'RESUMEN TOTAL'!S701</f>
        <v>0</v>
      </c>
      <c r="M587" s="70">
        <f>'RESUMEN TOTAL'!T701</f>
        <v>0</v>
      </c>
      <c r="N587" s="70">
        <f>'RESUMEN TOTAL'!U701</f>
        <v>0</v>
      </c>
      <c r="O587" s="70">
        <f>'RESUMEN TOTAL'!V701</f>
        <v>0</v>
      </c>
      <c r="P587" s="70">
        <f>'RESUMEN TOTAL'!W701</f>
        <v>0</v>
      </c>
      <c r="Q587" s="70">
        <f>'RESUMEN TOTAL'!X701</f>
        <v>0</v>
      </c>
      <c r="R587" s="70">
        <f>'RESUMEN TOTAL'!Y701</f>
        <v>0</v>
      </c>
      <c r="S587" s="70">
        <f>'RESUMEN TOTAL'!Z701</f>
        <v>0</v>
      </c>
      <c r="T587" s="70">
        <f>'RESUMEN TOTAL'!AA701</f>
        <v>0</v>
      </c>
      <c r="U587" s="70">
        <f>'RESUMEN TOTAL'!AB701</f>
        <v>0</v>
      </c>
      <c r="V587" s="70">
        <f>'RESUMEN TOTAL'!AC701</f>
        <v>0</v>
      </c>
      <c r="W587" s="70">
        <f>'RESUMEN TOTAL'!AD701</f>
        <v>0</v>
      </c>
      <c r="X587" s="70">
        <f>'RESUMEN TOTAL'!AE701</f>
        <v>0</v>
      </c>
      <c r="Y587" s="70">
        <f>'RESUMEN TOTAL'!AF701</f>
        <v>0</v>
      </c>
      <c r="Z587" s="70">
        <f>'RESUMEN TOTAL'!AG701</f>
        <v>0</v>
      </c>
      <c r="AA587" s="70">
        <f>'RESUMEN TOTAL'!AH701</f>
        <v>0</v>
      </c>
      <c r="AB587" s="70">
        <f>'RESUMEN TOTAL'!AI701</f>
        <v>0</v>
      </c>
      <c r="AC587" s="70">
        <f>'RESUMEN TOTAL'!AJ701</f>
        <v>0</v>
      </c>
      <c r="AD587" s="70">
        <f>'RESUMEN TOTAL'!AK701</f>
        <v>0</v>
      </c>
      <c r="AE587" s="70">
        <f>'RESUMEN TOTAL'!AL701</f>
        <v>0</v>
      </c>
      <c r="AF587" s="70">
        <f>'RESUMEN TOTAL'!AM701</f>
        <v>0</v>
      </c>
      <c r="AG587" s="70">
        <f>'RESUMEN TOTAL'!AN701</f>
        <v>0</v>
      </c>
      <c r="AH587" s="70">
        <f>'RESUMEN TOTAL'!AO701</f>
        <v>0</v>
      </c>
      <c r="AI587" s="70">
        <f>'RESUMEN TOTAL'!AP701</f>
        <v>0</v>
      </c>
      <c r="AJ587" s="70">
        <f>'RESUMEN TOTAL'!AQ701</f>
        <v>0</v>
      </c>
    </row>
    <row r="588" spans="1:36" x14ac:dyDescent="0.25">
      <c r="A588">
        <f>'RESUMEN TOTAL'!A702</f>
        <v>0</v>
      </c>
      <c r="B588">
        <f>'RESUMEN TOTAL'!B702</f>
        <v>0</v>
      </c>
      <c r="C588">
        <f>'RESUMEN TOTAL'!D702</f>
        <v>0</v>
      </c>
      <c r="D588" s="30">
        <f>'RESUMEN TOTAL'!E702</f>
        <v>0</v>
      </c>
      <c r="E588" s="30">
        <f>'RESUMEN TOTAL'!F702</f>
        <v>0</v>
      </c>
      <c r="F588" s="70">
        <f>'RESUMEN TOTAL'!M702</f>
        <v>0</v>
      </c>
      <c r="G588" s="70">
        <f>'RESUMEN TOTAL'!N702</f>
        <v>0</v>
      </c>
      <c r="H588" s="70">
        <f>'RESUMEN TOTAL'!O702</f>
        <v>0</v>
      </c>
      <c r="I588" s="70">
        <f>'RESUMEN TOTAL'!P702</f>
        <v>0</v>
      </c>
      <c r="J588" s="70">
        <f>'RESUMEN TOTAL'!Q702</f>
        <v>0</v>
      </c>
      <c r="K588" s="70">
        <f>'RESUMEN TOTAL'!R702</f>
        <v>0</v>
      </c>
      <c r="L588" s="70">
        <f>'RESUMEN TOTAL'!S702</f>
        <v>0</v>
      </c>
      <c r="M588" s="70">
        <f>'RESUMEN TOTAL'!T702</f>
        <v>0</v>
      </c>
      <c r="N588" s="70">
        <f>'RESUMEN TOTAL'!U702</f>
        <v>0</v>
      </c>
      <c r="O588" s="70">
        <f>'RESUMEN TOTAL'!V702</f>
        <v>0</v>
      </c>
      <c r="P588" s="70">
        <f>'RESUMEN TOTAL'!W702</f>
        <v>0</v>
      </c>
      <c r="Q588" s="70">
        <f>'RESUMEN TOTAL'!X702</f>
        <v>0</v>
      </c>
      <c r="R588" s="70">
        <f>'RESUMEN TOTAL'!Y702</f>
        <v>0</v>
      </c>
      <c r="S588" s="70">
        <f>'RESUMEN TOTAL'!Z702</f>
        <v>0</v>
      </c>
      <c r="T588" s="70">
        <f>'RESUMEN TOTAL'!AA702</f>
        <v>0</v>
      </c>
      <c r="U588" s="70">
        <f>'RESUMEN TOTAL'!AB702</f>
        <v>0</v>
      </c>
      <c r="V588" s="70">
        <f>'RESUMEN TOTAL'!AC702</f>
        <v>0</v>
      </c>
      <c r="W588" s="70">
        <f>'RESUMEN TOTAL'!AD702</f>
        <v>0</v>
      </c>
      <c r="X588" s="70">
        <f>'RESUMEN TOTAL'!AE702</f>
        <v>0</v>
      </c>
      <c r="Y588" s="70">
        <f>'RESUMEN TOTAL'!AF702</f>
        <v>0</v>
      </c>
      <c r="Z588" s="70">
        <f>'RESUMEN TOTAL'!AG702</f>
        <v>0</v>
      </c>
      <c r="AA588" s="70">
        <f>'RESUMEN TOTAL'!AH702</f>
        <v>0</v>
      </c>
      <c r="AB588" s="70">
        <f>'RESUMEN TOTAL'!AI702</f>
        <v>0</v>
      </c>
      <c r="AC588" s="70">
        <f>'RESUMEN TOTAL'!AJ702</f>
        <v>0</v>
      </c>
      <c r="AD588" s="70">
        <f>'RESUMEN TOTAL'!AK702</f>
        <v>0</v>
      </c>
      <c r="AE588" s="70">
        <f>'RESUMEN TOTAL'!AL702</f>
        <v>0</v>
      </c>
      <c r="AF588" s="70">
        <f>'RESUMEN TOTAL'!AM702</f>
        <v>0</v>
      </c>
      <c r="AG588" s="70">
        <f>'RESUMEN TOTAL'!AN702</f>
        <v>0</v>
      </c>
      <c r="AH588" s="70">
        <f>'RESUMEN TOTAL'!AO702</f>
        <v>0</v>
      </c>
      <c r="AI588" s="70">
        <f>'RESUMEN TOTAL'!AP702</f>
        <v>0</v>
      </c>
      <c r="AJ588" s="70">
        <f>'RESUMEN TOTAL'!AQ702</f>
        <v>0</v>
      </c>
    </row>
    <row r="589" spans="1:36" x14ac:dyDescent="0.25">
      <c r="A589">
        <f>'RESUMEN TOTAL'!A703</f>
        <v>0</v>
      </c>
      <c r="B589">
        <f>'RESUMEN TOTAL'!B703</f>
        <v>0</v>
      </c>
      <c r="C589">
        <f>'RESUMEN TOTAL'!D703</f>
        <v>0</v>
      </c>
      <c r="D589" s="30">
        <f>'RESUMEN TOTAL'!E703</f>
        <v>0</v>
      </c>
      <c r="E589" s="30">
        <f>'RESUMEN TOTAL'!F703</f>
        <v>0</v>
      </c>
      <c r="F589" s="70">
        <f>'RESUMEN TOTAL'!M703</f>
        <v>0</v>
      </c>
      <c r="G589" s="70">
        <f>'RESUMEN TOTAL'!N703</f>
        <v>0</v>
      </c>
      <c r="H589" s="70">
        <f>'RESUMEN TOTAL'!O703</f>
        <v>0</v>
      </c>
      <c r="I589" s="70">
        <f>'RESUMEN TOTAL'!P703</f>
        <v>0</v>
      </c>
      <c r="J589" s="70">
        <f>'RESUMEN TOTAL'!Q703</f>
        <v>0</v>
      </c>
      <c r="K589" s="70">
        <f>'RESUMEN TOTAL'!R703</f>
        <v>0</v>
      </c>
      <c r="L589" s="70">
        <f>'RESUMEN TOTAL'!S703</f>
        <v>0</v>
      </c>
      <c r="M589" s="70">
        <f>'RESUMEN TOTAL'!T703</f>
        <v>0</v>
      </c>
      <c r="N589" s="70">
        <f>'RESUMEN TOTAL'!U703</f>
        <v>0</v>
      </c>
      <c r="O589" s="70">
        <f>'RESUMEN TOTAL'!V703</f>
        <v>0</v>
      </c>
      <c r="P589" s="70">
        <f>'RESUMEN TOTAL'!W703</f>
        <v>0</v>
      </c>
      <c r="Q589" s="70">
        <f>'RESUMEN TOTAL'!X703</f>
        <v>0</v>
      </c>
      <c r="R589" s="70">
        <f>'RESUMEN TOTAL'!Y703</f>
        <v>0</v>
      </c>
      <c r="S589" s="70">
        <f>'RESUMEN TOTAL'!Z703</f>
        <v>0</v>
      </c>
      <c r="T589" s="70">
        <f>'RESUMEN TOTAL'!AA703</f>
        <v>0</v>
      </c>
      <c r="U589" s="70">
        <f>'RESUMEN TOTAL'!AB703</f>
        <v>0</v>
      </c>
      <c r="V589" s="70">
        <f>'RESUMEN TOTAL'!AC703</f>
        <v>0</v>
      </c>
      <c r="W589" s="70">
        <f>'RESUMEN TOTAL'!AD703</f>
        <v>0</v>
      </c>
      <c r="X589" s="70">
        <f>'RESUMEN TOTAL'!AE703</f>
        <v>0</v>
      </c>
      <c r="Y589" s="70">
        <f>'RESUMEN TOTAL'!AF703</f>
        <v>0</v>
      </c>
      <c r="Z589" s="70">
        <f>'RESUMEN TOTAL'!AG703</f>
        <v>0</v>
      </c>
      <c r="AA589" s="70">
        <f>'RESUMEN TOTAL'!AH703</f>
        <v>0</v>
      </c>
      <c r="AB589" s="70">
        <f>'RESUMEN TOTAL'!AI703</f>
        <v>0</v>
      </c>
      <c r="AC589" s="70">
        <f>'RESUMEN TOTAL'!AJ703</f>
        <v>0</v>
      </c>
      <c r="AD589" s="70">
        <f>'RESUMEN TOTAL'!AK703</f>
        <v>0</v>
      </c>
      <c r="AE589" s="70">
        <f>'RESUMEN TOTAL'!AL703</f>
        <v>0</v>
      </c>
      <c r="AF589" s="70">
        <f>'RESUMEN TOTAL'!AM703</f>
        <v>0</v>
      </c>
      <c r="AG589" s="70">
        <f>'RESUMEN TOTAL'!AN703</f>
        <v>0</v>
      </c>
      <c r="AH589" s="70">
        <f>'RESUMEN TOTAL'!AO703</f>
        <v>0</v>
      </c>
      <c r="AI589" s="70">
        <f>'RESUMEN TOTAL'!AP703</f>
        <v>0</v>
      </c>
      <c r="AJ589" s="70">
        <f>'RESUMEN TOTAL'!AQ703</f>
        <v>0</v>
      </c>
    </row>
    <row r="590" spans="1:36" x14ac:dyDescent="0.25">
      <c r="A590">
        <f>'RESUMEN TOTAL'!A704</f>
        <v>0</v>
      </c>
      <c r="B590">
        <f>'RESUMEN TOTAL'!B704</f>
        <v>0</v>
      </c>
      <c r="C590">
        <f>'RESUMEN TOTAL'!D704</f>
        <v>0</v>
      </c>
      <c r="D590" s="30">
        <f>'RESUMEN TOTAL'!E704</f>
        <v>0</v>
      </c>
      <c r="E590" s="30">
        <f>'RESUMEN TOTAL'!F704</f>
        <v>0</v>
      </c>
      <c r="F590" s="70">
        <f>'RESUMEN TOTAL'!M704</f>
        <v>0</v>
      </c>
      <c r="G590" s="70">
        <f>'RESUMEN TOTAL'!N704</f>
        <v>0</v>
      </c>
      <c r="H590" s="70">
        <f>'RESUMEN TOTAL'!O704</f>
        <v>0</v>
      </c>
      <c r="I590" s="70">
        <f>'RESUMEN TOTAL'!P704</f>
        <v>0</v>
      </c>
      <c r="J590" s="70">
        <f>'RESUMEN TOTAL'!Q704</f>
        <v>0</v>
      </c>
      <c r="K590" s="70">
        <f>'RESUMEN TOTAL'!R704</f>
        <v>0</v>
      </c>
      <c r="L590" s="70">
        <f>'RESUMEN TOTAL'!S704</f>
        <v>0</v>
      </c>
      <c r="M590" s="70">
        <f>'RESUMEN TOTAL'!T704</f>
        <v>0</v>
      </c>
      <c r="N590" s="70">
        <f>'RESUMEN TOTAL'!U704</f>
        <v>0</v>
      </c>
      <c r="O590" s="70">
        <f>'RESUMEN TOTAL'!V704</f>
        <v>0</v>
      </c>
      <c r="P590" s="70">
        <f>'RESUMEN TOTAL'!W704</f>
        <v>0</v>
      </c>
      <c r="Q590" s="70">
        <f>'RESUMEN TOTAL'!X704</f>
        <v>0</v>
      </c>
      <c r="R590" s="70">
        <f>'RESUMEN TOTAL'!Y704</f>
        <v>0</v>
      </c>
      <c r="S590" s="70">
        <f>'RESUMEN TOTAL'!Z704</f>
        <v>0</v>
      </c>
      <c r="T590" s="70">
        <f>'RESUMEN TOTAL'!AA704</f>
        <v>0</v>
      </c>
      <c r="U590" s="70">
        <f>'RESUMEN TOTAL'!AB704</f>
        <v>0</v>
      </c>
      <c r="V590" s="70">
        <f>'RESUMEN TOTAL'!AC704</f>
        <v>0</v>
      </c>
      <c r="W590" s="70">
        <f>'RESUMEN TOTAL'!AD704</f>
        <v>0</v>
      </c>
      <c r="X590" s="70">
        <f>'RESUMEN TOTAL'!AE704</f>
        <v>0</v>
      </c>
      <c r="Y590" s="70">
        <f>'RESUMEN TOTAL'!AF704</f>
        <v>0</v>
      </c>
      <c r="Z590" s="70">
        <f>'RESUMEN TOTAL'!AG704</f>
        <v>0</v>
      </c>
      <c r="AA590" s="70">
        <f>'RESUMEN TOTAL'!AH704</f>
        <v>0</v>
      </c>
      <c r="AB590" s="70">
        <f>'RESUMEN TOTAL'!AI704</f>
        <v>0</v>
      </c>
      <c r="AC590" s="70">
        <f>'RESUMEN TOTAL'!AJ704</f>
        <v>0</v>
      </c>
      <c r="AD590" s="70">
        <f>'RESUMEN TOTAL'!AK704</f>
        <v>0</v>
      </c>
      <c r="AE590" s="70">
        <f>'RESUMEN TOTAL'!AL704</f>
        <v>0</v>
      </c>
      <c r="AF590" s="70">
        <f>'RESUMEN TOTAL'!AM704</f>
        <v>0</v>
      </c>
      <c r="AG590" s="70">
        <f>'RESUMEN TOTAL'!AN704</f>
        <v>0</v>
      </c>
      <c r="AH590" s="70">
        <f>'RESUMEN TOTAL'!AO704</f>
        <v>0</v>
      </c>
      <c r="AI590" s="70">
        <f>'RESUMEN TOTAL'!AP704</f>
        <v>0</v>
      </c>
      <c r="AJ590" s="70">
        <f>'RESUMEN TOTAL'!AQ704</f>
        <v>0</v>
      </c>
    </row>
    <row r="591" spans="1:36" x14ac:dyDescent="0.25">
      <c r="A591">
        <f>'RESUMEN TOTAL'!A705</f>
        <v>0</v>
      </c>
      <c r="B591">
        <f>'RESUMEN TOTAL'!B705</f>
        <v>0</v>
      </c>
      <c r="C591">
        <f>'RESUMEN TOTAL'!D705</f>
        <v>0</v>
      </c>
      <c r="D591" s="30">
        <f>'RESUMEN TOTAL'!E705</f>
        <v>0</v>
      </c>
      <c r="E591" s="30">
        <f>'RESUMEN TOTAL'!F705</f>
        <v>0</v>
      </c>
      <c r="F591" s="70">
        <f>'RESUMEN TOTAL'!M705</f>
        <v>0</v>
      </c>
      <c r="G591" s="70">
        <f>'RESUMEN TOTAL'!N705</f>
        <v>0</v>
      </c>
      <c r="H591" s="70">
        <f>'RESUMEN TOTAL'!O705</f>
        <v>0</v>
      </c>
      <c r="I591" s="70">
        <f>'RESUMEN TOTAL'!P705</f>
        <v>0</v>
      </c>
      <c r="J591" s="70">
        <f>'RESUMEN TOTAL'!Q705</f>
        <v>0</v>
      </c>
      <c r="K591" s="70">
        <f>'RESUMEN TOTAL'!R705</f>
        <v>0</v>
      </c>
      <c r="L591" s="70">
        <f>'RESUMEN TOTAL'!S705</f>
        <v>0</v>
      </c>
      <c r="M591" s="70">
        <f>'RESUMEN TOTAL'!T705</f>
        <v>0</v>
      </c>
      <c r="N591" s="70">
        <f>'RESUMEN TOTAL'!U705</f>
        <v>0</v>
      </c>
      <c r="O591" s="70">
        <f>'RESUMEN TOTAL'!V705</f>
        <v>0</v>
      </c>
      <c r="P591" s="70">
        <f>'RESUMEN TOTAL'!W705</f>
        <v>0</v>
      </c>
      <c r="Q591" s="70">
        <f>'RESUMEN TOTAL'!X705</f>
        <v>0</v>
      </c>
      <c r="R591" s="70">
        <f>'RESUMEN TOTAL'!Y705</f>
        <v>0</v>
      </c>
      <c r="S591" s="70">
        <f>'RESUMEN TOTAL'!Z705</f>
        <v>0</v>
      </c>
      <c r="T591" s="70">
        <f>'RESUMEN TOTAL'!AA705</f>
        <v>0</v>
      </c>
      <c r="U591" s="70">
        <f>'RESUMEN TOTAL'!AB705</f>
        <v>0</v>
      </c>
      <c r="V591" s="70">
        <f>'RESUMEN TOTAL'!AC705</f>
        <v>0</v>
      </c>
      <c r="W591" s="70">
        <f>'RESUMEN TOTAL'!AD705</f>
        <v>0</v>
      </c>
      <c r="X591" s="70">
        <f>'RESUMEN TOTAL'!AE705</f>
        <v>0</v>
      </c>
      <c r="Y591" s="70">
        <f>'RESUMEN TOTAL'!AF705</f>
        <v>0</v>
      </c>
      <c r="Z591" s="70">
        <f>'RESUMEN TOTAL'!AG705</f>
        <v>0</v>
      </c>
      <c r="AA591" s="70">
        <f>'RESUMEN TOTAL'!AH705</f>
        <v>0</v>
      </c>
      <c r="AB591" s="70">
        <f>'RESUMEN TOTAL'!AI705</f>
        <v>0</v>
      </c>
      <c r="AC591" s="70">
        <f>'RESUMEN TOTAL'!AJ705</f>
        <v>0</v>
      </c>
      <c r="AD591" s="70">
        <f>'RESUMEN TOTAL'!AK705</f>
        <v>0</v>
      </c>
      <c r="AE591" s="70">
        <f>'RESUMEN TOTAL'!AL705</f>
        <v>0</v>
      </c>
      <c r="AF591" s="70">
        <f>'RESUMEN TOTAL'!AM705</f>
        <v>0</v>
      </c>
      <c r="AG591" s="70">
        <f>'RESUMEN TOTAL'!AN705</f>
        <v>0</v>
      </c>
      <c r="AH591" s="70">
        <f>'RESUMEN TOTAL'!AO705</f>
        <v>0</v>
      </c>
      <c r="AI591" s="70">
        <f>'RESUMEN TOTAL'!AP705</f>
        <v>0</v>
      </c>
      <c r="AJ591" s="70">
        <f>'RESUMEN TOTAL'!AQ705</f>
        <v>0</v>
      </c>
    </row>
    <row r="592" spans="1:36" x14ac:dyDescent="0.25">
      <c r="A592">
        <f>'RESUMEN TOTAL'!A706</f>
        <v>0</v>
      </c>
      <c r="B592">
        <f>'RESUMEN TOTAL'!B706</f>
        <v>0</v>
      </c>
      <c r="C592">
        <f>'RESUMEN TOTAL'!D706</f>
        <v>0</v>
      </c>
      <c r="D592" s="30">
        <f>'RESUMEN TOTAL'!E706</f>
        <v>0</v>
      </c>
      <c r="E592" s="30">
        <f>'RESUMEN TOTAL'!F706</f>
        <v>0</v>
      </c>
      <c r="F592" s="70">
        <f>'RESUMEN TOTAL'!M706</f>
        <v>0</v>
      </c>
      <c r="G592" s="70">
        <f>'RESUMEN TOTAL'!N706</f>
        <v>0</v>
      </c>
      <c r="H592" s="70">
        <f>'RESUMEN TOTAL'!O706</f>
        <v>0</v>
      </c>
      <c r="I592" s="70">
        <f>'RESUMEN TOTAL'!P706</f>
        <v>0</v>
      </c>
      <c r="J592" s="70">
        <f>'RESUMEN TOTAL'!Q706</f>
        <v>0</v>
      </c>
      <c r="K592" s="70">
        <f>'RESUMEN TOTAL'!R706</f>
        <v>0</v>
      </c>
      <c r="L592" s="70">
        <f>'RESUMEN TOTAL'!S706</f>
        <v>0</v>
      </c>
      <c r="M592" s="70">
        <f>'RESUMEN TOTAL'!T706</f>
        <v>0</v>
      </c>
      <c r="N592" s="70">
        <f>'RESUMEN TOTAL'!U706</f>
        <v>0</v>
      </c>
      <c r="O592" s="70">
        <f>'RESUMEN TOTAL'!V706</f>
        <v>0</v>
      </c>
      <c r="P592" s="70">
        <f>'RESUMEN TOTAL'!W706</f>
        <v>0</v>
      </c>
      <c r="Q592" s="70">
        <f>'RESUMEN TOTAL'!X706</f>
        <v>0</v>
      </c>
      <c r="R592" s="70">
        <f>'RESUMEN TOTAL'!Y706</f>
        <v>0</v>
      </c>
      <c r="S592" s="70">
        <f>'RESUMEN TOTAL'!Z706</f>
        <v>0</v>
      </c>
      <c r="T592" s="70">
        <f>'RESUMEN TOTAL'!AA706</f>
        <v>0</v>
      </c>
      <c r="U592" s="70">
        <f>'RESUMEN TOTAL'!AB706</f>
        <v>0</v>
      </c>
      <c r="V592" s="70">
        <f>'RESUMEN TOTAL'!AC706</f>
        <v>0</v>
      </c>
      <c r="W592" s="70">
        <f>'RESUMEN TOTAL'!AD706</f>
        <v>0</v>
      </c>
      <c r="X592" s="70">
        <f>'RESUMEN TOTAL'!AE706</f>
        <v>0</v>
      </c>
      <c r="Y592" s="70">
        <f>'RESUMEN TOTAL'!AF706</f>
        <v>0</v>
      </c>
      <c r="Z592" s="70">
        <f>'RESUMEN TOTAL'!AG706</f>
        <v>0</v>
      </c>
      <c r="AA592" s="70">
        <f>'RESUMEN TOTAL'!AH706</f>
        <v>0</v>
      </c>
      <c r="AB592" s="70">
        <f>'RESUMEN TOTAL'!AI706</f>
        <v>0</v>
      </c>
      <c r="AC592" s="70">
        <f>'RESUMEN TOTAL'!AJ706</f>
        <v>0</v>
      </c>
      <c r="AD592" s="70">
        <f>'RESUMEN TOTAL'!AK706</f>
        <v>0</v>
      </c>
      <c r="AE592" s="70">
        <f>'RESUMEN TOTAL'!AL706</f>
        <v>0</v>
      </c>
      <c r="AF592" s="70">
        <f>'RESUMEN TOTAL'!AM706</f>
        <v>0</v>
      </c>
      <c r="AG592" s="70">
        <f>'RESUMEN TOTAL'!AN706</f>
        <v>0</v>
      </c>
      <c r="AH592" s="70">
        <f>'RESUMEN TOTAL'!AO706</f>
        <v>0</v>
      </c>
      <c r="AI592" s="70">
        <f>'RESUMEN TOTAL'!AP706</f>
        <v>0</v>
      </c>
      <c r="AJ592" s="70">
        <f>'RESUMEN TOTAL'!AQ706</f>
        <v>0</v>
      </c>
    </row>
    <row r="593" spans="1:36" x14ac:dyDescent="0.25">
      <c r="A593">
        <f>'RESUMEN TOTAL'!A707</f>
        <v>0</v>
      </c>
      <c r="B593">
        <f>'RESUMEN TOTAL'!B707</f>
        <v>0</v>
      </c>
      <c r="C593">
        <f>'RESUMEN TOTAL'!D707</f>
        <v>0</v>
      </c>
      <c r="D593" s="30">
        <f>'RESUMEN TOTAL'!E707</f>
        <v>0</v>
      </c>
      <c r="E593" s="30">
        <f>'RESUMEN TOTAL'!F707</f>
        <v>0</v>
      </c>
      <c r="F593" s="70">
        <f>'RESUMEN TOTAL'!M707</f>
        <v>0</v>
      </c>
      <c r="G593" s="70">
        <f>'RESUMEN TOTAL'!N707</f>
        <v>0</v>
      </c>
      <c r="H593" s="70">
        <f>'RESUMEN TOTAL'!O707</f>
        <v>0</v>
      </c>
      <c r="I593" s="70">
        <f>'RESUMEN TOTAL'!P707</f>
        <v>0</v>
      </c>
      <c r="J593" s="70">
        <f>'RESUMEN TOTAL'!Q707</f>
        <v>0</v>
      </c>
      <c r="K593" s="70">
        <f>'RESUMEN TOTAL'!R707</f>
        <v>0</v>
      </c>
      <c r="L593" s="70">
        <f>'RESUMEN TOTAL'!S707</f>
        <v>0</v>
      </c>
      <c r="M593" s="70">
        <f>'RESUMEN TOTAL'!T707</f>
        <v>0</v>
      </c>
      <c r="N593" s="70">
        <f>'RESUMEN TOTAL'!U707</f>
        <v>0</v>
      </c>
      <c r="O593" s="70">
        <f>'RESUMEN TOTAL'!V707</f>
        <v>0</v>
      </c>
      <c r="P593" s="70">
        <f>'RESUMEN TOTAL'!W707</f>
        <v>0</v>
      </c>
      <c r="Q593" s="70">
        <f>'RESUMEN TOTAL'!X707</f>
        <v>0</v>
      </c>
      <c r="R593" s="70">
        <f>'RESUMEN TOTAL'!Y707</f>
        <v>0</v>
      </c>
      <c r="S593" s="70">
        <f>'RESUMEN TOTAL'!Z707</f>
        <v>0</v>
      </c>
      <c r="T593" s="70">
        <f>'RESUMEN TOTAL'!AA707</f>
        <v>0</v>
      </c>
      <c r="U593" s="70">
        <f>'RESUMEN TOTAL'!AB707</f>
        <v>0</v>
      </c>
      <c r="V593" s="70">
        <f>'RESUMEN TOTAL'!AC707</f>
        <v>0</v>
      </c>
      <c r="W593" s="70">
        <f>'RESUMEN TOTAL'!AD707</f>
        <v>0</v>
      </c>
      <c r="X593" s="70">
        <f>'RESUMEN TOTAL'!AE707</f>
        <v>0</v>
      </c>
      <c r="Y593" s="70">
        <f>'RESUMEN TOTAL'!AF707</f>
        <v>0</v>
      </c>
      <c r="Z593" s="70">
        <f>'RESUMEN TOTAL'!AG707</f>
        <v>0</v>
      </c>
      <c r="AA593" s="70">
        <f>'RESUMEN TOTAL'!AH707</f>
        <v>0</v>
      </c>
      <c r="AB593" s="70">
        <f>'RESUMEN TOTAL'!AI707</f>
        <v>0</v>
      </c>
      <c r="AC593" s="70">
        <f>'RESUMEN TOTAL'!AJ707</f>
        <v>0</v>
      </c>
      <c r="AD593" s="70">
        <f>'RESUMEN TOTAL'!AK707</f>
        <v>0</v>
      </c>
      <c r="AE593" s="70">
        <f>'RESUMEN TOTAL'!AL707</f>
        <v>0</v>
      </c>
      <c r="AF593" s="70">
        <f>'RESUMEN TOTAL'!AM707</f>
        <v>0</v>
      </c>
      <c r="AG593" s="70">
        <f>'RESUMEN TOTAL'!AN707</f>
        <v>0</v>
      </c>
      <c r="AH593" s="70">
        <f>'RESUMEN TOTAL'!AO707</f>
        <v>0</v>
      </c>
      <c r="AI593" s="70">
        <f>'RESUMEN TOTAL'!AP707</f>
        <v>0</v>
      </c>
      <c r="AJ593" s="70">
        <f>'RESUMEN TOTAL'!AQ707</f>
        <v>0</v>
      </c>
    </row>
    <row r="594" spans="1:36" x14ac:dyDescent="0.25">
      <c r="A594">
        <f>'RESUMEN TOTAL'!A708</f>
        <v>0</v>
      </c>
      <c r="B594">
        <f>'RESUMEN TOTAL'!B708</f>
        <v>0</v>
      </c>
      <c r="C594">
        <f>'RESUMEN TOTAL'!D708</f>
        <v>0</v>
      </c>
      <c r="D594" s="30">
        <f>'RESUMEN TOTAL'!E708</f>
        <v>0</v>
      </c>
      <c r="E594" s="30">
        <f>'RESUMEN TOTAL'!F708</f>
        <v>0</v>
      </c>
      <c r="F594" s="70">
        <f>'RESUMEN TOTAL'!M708</f>
        <v>0</v>
      </c>
      <c r="G594" s="70">
        <f>'RESUMEN TOTAL'!N708</f>
        <v>0</v>
      </c>
      <c r="H594" s="70">
        <f>'RESUMEN TOTAL'!O708</f>
        <v>0</v>
      </c>
      <c r="I594" s="70">
        <f>'RESUMEN TOTAL'!P708</f>
        <v>0</v>
      </c>
      <c r="J594" s="70">
        <f>'RESUMEN TOTAL'!Q708</f>
        <v>0</v>
      </c>
      <c r="K594" s="70">
        <f>'RESUMEN TOTAL'!R708</f>
        <v>0</v>
      </c>
      <c r="L594" s="70">
        <f>'RESUMEN TOTAL'!S708</f>
        <v>0</v>
      </c>
      <c r="M594" s="70">
        <f>'RESUMEN TOTAL'!T708</f>
        <v>0</v>
      </c>
      <c r="N594" s="70">
        <f>'RESUMEN TOTAL'!U708</f>
        <v>0</v>
      </c>
      <c r="O594" s="70">
        <f>'RESUMEN TOTAL'!V708</f>
        <v>0</v>
      </c>
      <c r="P594" s="70">
        <f>'RESUMEN TOTAL'!W708</f>
        <v>0</v>
      </c>
      <c r="Q594" s="70">
        <f>'RESUMEN TOTAL'!X708</f>
        <v>0</v>
      </c>
      <c r="R594" s="70">
        <f>'RESUMEN TOTAL'!Y708</f>
        <v>0</v>
      </c>
      <c r="S594" s="70">
        <f>'RESUMEN TOTAL'!Z708</f>
        <v>0</v>
      </c>
      <c r="T594" s="70">
        <f>'RESUMEN TOTAL'!AA708</f>
        <v>0</v>
      </c>
      <c r="U594" s="70">
        <f>'RESUMEN TOTAL'!AB708</f>
        <v>0</v>
      </c>
      <c r="V594" s="70">
        <f>'RESUMEN TOTAL'!AC708</f>
        <v>0</v>
      </c>
      <c r="W594" s="70">
        <f>'RESUMEN TOTAL'!AD708</f>
        <v>0</v>
      </c>
      <c r="X594" s="70">
        <f>'RESUMEN TOTAL'!AE708</f>
        <v>0</v>
      </c>
      <c r="Y594" s="70">
        <f>'RESUMEN TOTAL'!AF708</f>
        <v>0</v>
      </c>
      <c r="Z594" s="70">
        <f>'RESUMEN TOTAL'!AG708</f>
        <v>0</v>
      </c>
      <c r="AA594" s="70">
        <f>'RESUMEN TOTAL'!AH708</f>
        <v>0</v>
      </c>
      <c r="AB594" s="70">
        <f>'RESUMEN TOTAL'!AI708</f>
        <v>0</v>
      </c>
      <c r="AC594" s="70">
        <f>'RESUMEN TOTAL'!AJ708</f>
        <v>0</v>
      </c>
      <c r="AD594" s="70">
        <f>'RESUMEN TOTAL'!AK708</f>
        <v>0</v>
      </c>
      <c r="AE594" s="70">
        <f>'RESUMEN TOTAL'!AL708</f>
        <v>0</v>
      </c>
      <c r="AF594" s="70">
        <f>'RESUMEN TOTAL'!AM708</f>
        <v>0</v>
      </c>
      <c r="AG594" s="70">
        <f>'RESUMEN TOTAL'!AN708</f>
        <v>0</v>
      </c>
      <c r="AH594" s="70">
        <f>'RESUMEN TOTAL'!AO708</f>
        <v>0</v>
      </c>
      <c r="AI594" s="70">
        <f>'RESUMEN TOTAL'!AP708</f>
        <v>0</v>
      </c>
      <c r="AJ594" s="70">
        <f>'RESUMEN TOTAL'!AQ708</f>
        <v>0</v>
      </c>
    </row>
    <row r="595" spans="1:36" x14ac:dyDescent="0.25">
      <c r="A595">
        <f>'RESUMEN TOTAL'!A709</f>
        <v>0</v>
      </c>
      <c r="B595">
        <f>'RESUMEN TOTAL'!B709</f>
        <v>0</v>
      </c>
      <c r="C595">
        <f>'RESUMEN TOTAL'!D709</f>
        <v>0</v>
      </c>
      <c r="D595" s="30">
        <f>'RESUMEN TOTAL'!E709</f>
        <v>0</v>
      </c>
      <c r="E595" s="30">
        <f>'RESUMEN TOTAL'!F709</f>
        <v>0</v>
      </c>
      <c r="F595" s="70">
        <f>'RESUMEN TOTAL'!M709</f>
        <v>0</v>
      </c>
      <c r="G595" s="70">
        <f>'RESUMEN TOTAL'!N709</f>
        <v>0</v>
      </c>
      <c r="H595" s="70">
        <f>'RESUMEN TOTAL'!O709</f>
        <v>0</v>
      </c>
      <c r="I595" s="70">
        <f>'RESUMEN TOTAL'!P709</f>
        <v>0</v>
      </c>
      <c r="J595" s="70">
        <f>'RESUMEN TOTAL'!Q709</f>
        <v>0</v>
      </c>
      <c r="K595" s="70">
        <f>'RESUMEN TOTAL'!R709</f>
        <v>0</v>
      </c>
      <c r="L595" s="70">
        <f>'RESUMEN TOTAL'!S709</f>
        <v>0</v>
      </c>
      <c r="M595" s="70">
        <f>'RESUMEN TOTAL'!T709</f>
        <v>0</v>
      </c>
      <c r="N595" s="70">
        <f>'RESUMEN TOTAL'!U709</f>
        <v>0</v>
      </c>
      <c r="O595" s="70">
        <f>'RESUMEN TOTAL'!V709</f>
        <v>0</v>
      </c>
      <c r="P595" s="70">
        <f>'RESUMEN TOTAL'!W709</f>
        <v>0</v>
      </c>
      <c r="Q595" s="70">
        <f>'RESUMEN TOTAL'!X709</f>
        <v>0</v>
      </c>
      <c r="R595" s="70">
        <f>'RESUMEN TOTAL'!Y709</f>
        <v>0</v>
      </c>
      <c r="S595" s="70">
        <f>'RESUMEN TOTAL'!Z709</f>
        <v>0</v>
      </c>
      <c r="T595" s="70">
        <f>'RESUMEN TOTAL'!AA709</f>
        <v>0</v>
      </c>
      <c r="U595" s="70">
        <f>'RESUMEN TOTAL'!AB709</f>
        <v>0</v>
      </c>
      <c r="V595" s="70">
        <f>'RESUMEN TOTAL'!AC709</f>
        <v>0</v>
      </c>
      <c r="W595" s="70">
        <f>'RESUMEN TOTAL'!AD709</f>
        <v>0</v>
      </c>
      <c r="X595" s="70">
        <f>'RESUMEN TOTAL'!AE709</f>
        <v>0</v>
      </c>
      <c r="Y595" s="70">
        <f>'RESUMEN TOTAL'!AF709</f>
        <v>0</v>
      </c>
      <c r="Z595" s="70">
        <f>'RESUMEN TOTAL'!AG709</f>
        <v>0</v>
      </c>
      <c r="AA595" s="70">
        <f>'RESUMEN TOTAL'!AH709</f>
        <v>0</v>
      </c>
      <c r="AB595" s="70">
        <f>'RESUMEN TOTAL'!AI709</f>
        <v>0</v>
      </c>
      <c r="AC595" s="70">
        <f>'RESUMEN TOTAL'!AJ709</f>
        <v>0</v>
      </c>
      <c r="AD595" s="70">
        <f>'RESUMEN TOTAL'!AK709</f>
        <v>0</v>
      </c>
      <c r="AE595" s="70">
        <f>'RESUMEN TOTAL'!AL709</f>
        <v>0</v>
      </c>
      <c r="AF595" s="70">
        <f>'RESUMEN TOTAL'!AM709</f>
        <v>0</v>
      </c>
      <c r="AG595" s="70">
        <f>'RESUMEN TOTAL'!AN709</f>
        <v>0</v>
      </c>
      <c r="AH595" s="70">
        <f>'RESUMEN TOTAL'!AO709</f>
        <v>0</v>
      </c>
      <c r="AI595" s="70">
        <f>'RESUMEN TOTAL'!AP709</f>
        <v>0</v>
      </c>
      <c r="AJ595" s="70">
        <f>'RESUMEN TOTAL'!AQ709</f>
        <v>0</v>
      </c>
    </row>
    <row r="596" spans="1:36" x14ac:dyDescent="0.25">
      <c r="A596">
        <f>'RESUMEN TOTAL'!A710</f>
        <v>0</v>
      </c>
      <c r="B596">
        <f>'RESUMEN TOTAL'!B710</f>
        <v>0</v>
      </c>
      <c r="C596">
        <f>'RESUMEN TOTAL'!D710</f>
        <v>0</v>
      </c>
      <c r="D596" s="30">
        <f>'RESUMEN TOTAL'!E710</f>
        <v>0</v>
      </c>
      <c r="E596" s="30">
        <f>'RESUMEN TOTAL'!F710</f>
        <v>0</v>
      </c>
      <c r="F596" s="70">
        <f>'RESUMEN TOTAL'!M710</f>
        <v>0</v>
      </c>
      <c r="G596" s="70">
        <f>'RESUMEN TOTAL'!N710</f>
        <v>0</v>
      </c>
      <c r="H596" s="70">
        <f>'RESUMEN TOTAL'!O710</f>
        <v>0</v>
      </c>
      <c r="I596" s="70">
        <f>'RESUMEN TOTAL'!P710</f>
        <v>0</v>
      </c>
      <c r="J596" s="70">
        <f>'RESUMEN TOTAL'!Q710</f>
        <v>0</v>
      </c>
      <c r="K596" s="70">
        <f>'RESUMEN TOTAL'!R710</f>
        <v>0</v>
      </c>
      <c r="L596" s="70">
        <f>'RESUMEN TOTAL'!S710</f>
        <v>0</v>
      </c>
      <c r="M596" s="70">
        <f>'RESUMEN TOTAL'!T710</f>
        <v>0</v>
      </c>
      <c r="N596" s="70">
        <f>'RESUMEN TOTAL'!U710</f>
        <v>0</v>
      </c>
      <c r="O596" s="70">
        <f>'RESUMEN TOTAL'!V710</f>
        <v>0</v>
      </c>
      <c r="P596" s="70">
        <f>'RESUMEN TOTAL'!W710</f>
        <v>0</v>
      </c>
      <c r="Q596" s="70">
        <f>'RESUMEN TOTAL'!X710</f>
        <v>0</v>
      </c>
      <c r="R596" s="70">
        <f>'RESUMEN TOTAL'!Y710</f>
        <v>0</v>
      </c>
      <c r="S596" s="70">
        <f>'RESUMEN TOTAL'!Z710</f>
        <v>0</v>
      </c>
      <c r="T596" s="70">
        <f>'RESUMEN TOTAL'!AA710</f>
        <v>0</v>
      </c>
      <c r="U596" s="70">
        <f>'RESUMEN TOTAL'!AB710</f>
        <v>0</v>
      </c>
      <c r="V596" s="70">
        <f>'RESUMEN TOTAL'!AC710</f>
        <v>0</v>
      </c>
      <c r="W596" s="70">
        <f>'RESUMEN TOTAL'!AD710</f>
        <v>0</v>
      </c>
      <c r="X596" s="70">
        <f>'RESUMEN TOTAL'!AE710</f>
        <v>0</v>
      </c>
      <c r="Y596" s="70">
        <f>'RESUMEN TOTAL'!AF710</f>
        <v>0</v>
      </c>
      <c r="Z596" s="70">
        <f>'RESUMEN TOTAL'!AG710</f>
        <v>0</v>
      </c>
      <c r="AA596" s="70">
        <f>'RESUMEN TOTAL'!AH710</f>
        <v>0</v>
      </c>
      <c r="AB596" s="70">
        <f>'RESUMEN TOTAL'!AI710</f>
        <v>0</v>
      </c>
      <c r="AC596" s="70">
        <f>'RESUMEN TOTAL'!AJ710</f>
        <v>0</v>
      </c>
      <c r="AD596" s="70">
        <f>'RESUMEN TOTAL'!AK710</f>
        <v>0</v>
      </c>
      <c r="AE596" s="70">
        <f>'RESUMEN TOTAL'!AL710</f>
        <v>0</v>
      </c>
      <c r="AF596" s="70">
        <f>'RESUMEN TOTAL'!AM710</f>
        <v>0</v>
      </c>
      <c r="AG596" s="70">
        <f>'RESUMEN TOTAL'!AN710</f>
        <v>0</v>
      </c>
      <c r="AH596" s="70">
        <f>'RESUMEN TOTAL'!AO710</f>
        <v>0</v>
      </c>
      <c r="AI596" s="70">
        <f>'RESUMEN TOTAL'!AP710</f>
        <v>0</v>
      </c>
      <c r="AJ596" s="70">
        <f>'RESUMEN TOTAL'!AQ710</f>
        <v>0</v>
      </c>
    </row>
    <row r="597" spans="1:36" x14ac:dyDescent="0.25">
      <c r="A597">
        <f>'RESUMEN TOTAL'!A711</f>
        <v>0</v>
      </c>
      <c r="B597">
        <f>'RESUMEN TOTAL'!B711</f>
        <v>0</v>
      </c>
      <c r="C597">
        <f>'RESUMEN TOTAL'!D711</f>
        <v>0</v>
      </c>
      <c r="D597" s="30">
        <f>'RESUMEN TOTAL'!E711</f>
        <v>0</v>
      </c>
      <c r="E597" s="30">
        <f>'RESUMEN TOTAL'!F711</f>
        <v>0</v>
      </c>
      <c r="F597" s="70">
        <f>'RESUMEN TOTAL'!M711</f>
        <v>0</v>
      </c>
      <c r="G597" s="70">
        <f>'RESUMEN TOTAL'!N711</f>
        <v>0</v>
      </c>
      <c r="H597" s="70">
        <f>'RESUMEN TOTAL'!O711</f>
        <v>0</v>
      </c>
      <c r="I597" s="70">
        <f>'RESUMEN TOTAL'!P711</f>
        <v>0</v>
      </c>
      <c r="J597" s="70">
        <f>'RESUMEN TOTAL'!Q711</f>
        <v>0</v>
      </c>
      <c r="K597" s="70">
        <f>'RESUMEN TOTAL'!R711</f>
        <v>0</v>
      </c>
      <c r="L597" s="70">
        <f>'RESUMEN TOTAL'!S711</f>
        <v>0</v>
      </c>
      <c r="M597" s="70">
        <f>'RESUMEN TOTAL'!T711</f>
        <v>0</v>
      </c>
      <c r="N597" s="70">
        <f>'RESUMEN TOTAL'!U711</f>
        <v>0</v>
      </c>
      <c r="O597" s="70">
        <f>'RESUMEN TOTAL'!V711</f>
        <v>0</v>
      </c>
      <c r="P597" s="70">
        <f>'RESUMEN TOTAL'!W711</f>
        <v>0</v>
      </c>
      <c r="Q597" s="70">
        <f>'RESUMEN TOTAL'!X711</f>
        <v>0</v>
      </c>
      <c r="R597" s="70">
        <f>'RESUMEN TOTAL'!Y711</f>
        <v>0</v>
      </c>
      <c r="S597" s="70">
        <f>'RESUMEN TOTAL'!Z711</f>
        <v>0</v>
      </c>
      <c r="T597" s="70">
        <f>'RESUMEN TOTAL'!AA711</f>
        <v>0</v>
      </c>
      <c r="U597" s="70">
        <f>'RESUMEN TOTAL'!AB711</f>
        <v>0</v>
      </c>
      <c r="V597" s="70">
        <f>'RESUMEN TOTAL'!AC711</f>
        <v>0</v>
      </c>
      <c r="W597" s="70">
        <f>'RESUMEN TOTAL'!AD711</f>
        <v>0</v>
      </c>
      <c r="X597" s="70">
        <f>'RESUMEN TOTAL'!AE711</f>
        <v>0</v>
      </c>
      <c r="Y597" s="70">
        <f>'RESUMEN TOTAL'!AF711</f>
        <v>0</v>
      </c>
      <c r="Z597" s="70">
        <f>'RESUMEN TOTAL'!AG711</f>
        <v>0</v>
      </c>
      <c r="AA597" s="70">
        <f>'RESUMEN TOTAL'!AH711</f>
        <v>0</v>
      </c>
      <c r="AB597" s="70">
        <f>'RESUMEN TOTAL'!AI711</f>
        <v>0</v>
      </c>
      <c r="AC597" s="70">
        <f>'RESUMEN TOTAL'!AJ711</f>
        <v>0</v>
      </c>
      <c r="AD597" s="70">
        <f>'RESUMEN TOTAL'!AK711</f>
        <v>0</v>
      </c>
      <c r="AE597" s="70">
        <f>'RESUMEN TOTAL'!AL711</f>
        <v>0</v>
      </c>
      <c r="AF597" s="70">
        <f>'RESUMEN TOTAL'!AM711</f>
        <v>0</v>
      </c>
      <c r="AG597" s="70">
        <f>'RESUMEN TOTAL'!AN711</f>
        <v>0</v>
      </c>
      <c r="AH597" s="70">
        <f>'RESUMEN TOTAL'!AO711</f>
        <v>0</v>
      </c>
      <c r="AI597" s="70">
        <f>'RESUMEN TOTAL'!AP711</f>
        <v>0</v>
      </c>
      <c r="AJ597" s="70">
        <f>'RESUMEN TOTAL'!AQ711</f>
        <v>0</v>
      </c>
    </row>
    <row r="598" spans="1:36" x14ac:dyDescent="0.25">
      <c r="A598">
        <f>'RESUMEN TOTAL'!A712</f>
        <v>0</v>
      </c>
      <c r="B598">
        <f>'RESUMEN TOTAL'!B712</f>
        <v>0</v>
      </c>
      <c r="C598">
        <f>'RESUMEN TOTAL'!D712</f>
        <v>0</v>
      </c>
      <c r="D598" s="30">
        <f>'RESUMEN TOTAL'!E712</f>
        <v>0</v>
      </c>
      <c r="E598" s="30">
        <f>'RESUMEN TOTAL'!F712</f>
        <v>0</v>
      </c>
      <c r="F598" s="70">
        <f>'RESUMEN TOTAL'!M712</f>
        <v>0</v>
      </c>
      <c r="G598" s="70">
        <f>'RESUMEN TOTAL'!N712</f>
        <v>0</v>
      </c>
      <c r="H598" s="70">
        <f>'RESUMEN TOTAL'!O712</f>
        <v>0</v>
      </c>
      <c r="I598" s="70">
        <f>'RESUMEN TOTAL'!P712</f>
        <v>0</v>
      </c>
      <c r="J598" s="70">
        <f>'RESUMEN TOTAL'!Q712</f>
        <v>0</v>
      </c>
      <c r="K598" s="70">
        <f>'RESUMEN TOTAL'!R712</f>
        <v>0</v>
      </c>
      <c r="L598" s="70">
        <f>'RESUMEN TOTAL'!S712</f>
        <v>0</v>
      </c>
      <c r="M598" s="70">
        <f>'RESUMEN TOTAL'!T712</f>
        <v>0</v>
      </c>
      <c r="N598" s="70">
        <f>'RESUMEN TOTAL'!U712</f>
        <v>0</v>
      </c>
      <c r="O598" s="70">
        <f>'RESUMEN TOTAL'!V712</f>
        <v>0</v>
      </c>
      <c r="P598" s="70">
        <f>'RESUMEN TOTAL'!W712</f>
        <v>0</v>
      </c>
      <c r="Q598" s="70">
        <f>'RESUMEN TOTAL'!X712</f>
        <v>0</v>
      </c>
      <c r="R598" s="70">
        <f>'RESUMEN TOTAL'!Y712</f>
        <v>0</v>
      </c>
      <c r="S598" s="70">
        <f>'RESUMEN TOTAL'!Z712</f>
        <v>0</v>
      </c>
      <c r="T598" s="70">
        <f>'RESUMEN TOTAL'!AA712</f>
        <v>0</v>
      </c>
      <c r="U598" s="70">
        <f>'RESUMEN TOTAL'!AB712</f>
        <v>0</v>
      </c>
      <c r="V598" s="70">
        <f>'RESUMEN TOTAL'!AC712</f>
        <v>0</v>
      </c>
      <c r="W598" s="70">
        <f>'RESUMEN TOTAL'!AD712</f>
        <v>0</v>
      </c>
      <c r="X598" s="70">
        <f>'RESUMEN TOTAL'!AE712</f>
        <v>0</v>
      </c>
      <c r="Y598" s="70">
        <f>'RESUMEN TOTAL'!AF712</f>
        <v>0</v>
      </c>
      <c r="Z598" s="70">
        <f>'RESUMEN TOTAL'!AG712</f>
        <v>0</v>
      </c>
      <c r="AA598" s="70">
        <f>'RESUMEN TOTAL'!AH712</f>
        <v>0</v>
      </c>
      <c r="AB598" s="70">
        <f>'RESUMEN TOTAL'!AI712</f>
        <v>0</v>
      </c>
      <c r="AC598" s="70">
        <f>'RESUMEN TOTAL'!AJ712</f>
        <v>0</v>
      </c>
      <c r="AD598" s="70">
        <f>'RESUMEN TOTAL'!AK712</f>
        <v>0</v>
      </c>
      <c r="AE598" s="70">
        <f>'RESUMEN TOTAL'!AL712</f>
        <v>0</v>
      </c>
      <c r="AF598" s="70">
        <f>'RESUMEN TOTAL'!AM712</f>
        <v>0</v>
      </c>
      <c r="AG598" s="70">
        <f>'RESUMEN TOTAL'!AN712</f>
        <v>0</v>
      </c>
      <c r="AH598" s="70">
        <f>'RESUMEN TOTAL'!AO712</f>
        <v>0</v>
      </c>
      <c r="AI598" s="70">
        <f>'RESUMEN TOTAL'!AP712</f>
        <v>0</v>
      </c>
      <c r="AJ598" s="70">
        <f>'RESUMEN TOTAL'!AQ712</f>
        <v>0</v>
      </c>
    </row>
    <row r="599" spans="1:36" x14ac:dyDescent="0.25">
      <c r="A599">
        <f>'RESUMEN TOTAL'!A713</f>
        <v>0</v>
      </c>
      <c r="B599">
        <f>'RESUMEN TOTAL'!B713</f>
        <v>0</v>
      </c>
      <c r="C599">
        <f>'RESUMEN TOTAL'!D713</f>
        <v>0</v>
      </c>
      <c r="D599" s="30">
        <f>'RESUMEN TOTAL'!E713</f>
        <v>0</v>
      </c>
      <c r="E599" s="30">
        <f>'RESUMEN TOTAL'!F713</f>
        <v>0</v>
      </c>
      <c r="F599" s="70">
        <f>'RESUMEN TOTAL'!M713</f>
        <v>0</v>
      </c>
      <c r="G599" s="70">
        <f>'RESUMEN TOTAL'!N713</f>
        <v>0</v>
      </c>
      <c r="H599" s="70">
        <f>'RESUMEN TOTAL'!O713</f>
        <v>0</v>
      </c>
      <c r="I599" s="70">
        <f>'RESUMEN TOTAL'!P713</f>
        <v>0</v>
      </c>
      <c r="J599" s="70">
        <f>'RESUMEN TOTAL'!Q713</f>
        <v>0</v>
      </c>
      <c r="K599" s="70">
        <f>'RESUMEN TOTAL'!R713</f>
        <v>0</v>
      </c>
      <c r="L599" s="70">
        <f>'RESUMEN TOTAL'!S713</f>
        <v>0</v>
      </c>
      <c r="M599" s="70">
        <f>'RESUMEN TOTAL'!T713</f>
        <v>0</v>
      </c>
      <c r="N599" s="70">
        <f>'RESUMEN TOTAL'!U713</f>
        <v>0</v>
      </c>
      <c r="O599" s="70">
        <f>'RESUMEN TOTAL'!V713</f>
        <v>0</v>
      </c>
      <c r="P599" s="70">
        <f>'RESUMEN TOTAL'!W713</f>
        <v>0</v>
      </c>
      <c r="Q599" s="70">
        <f>'RESUMEN TOTAL'!X713</f>
        <v>0</v>
      </c>
      <c r="R599" s="70">
        <f>'RESUMEN TOTAL'!Y713</f>
        <v>0</v>
      </c>
      <c r="S599" s="70">
        <f>'RESUMEN TOTAL'!Z713</f>
        <v>0</v>
      </c>
      <c r="T599" s="70">
        <f>'RESUMEN TOTAL'!AA713</f>
        <v>0</v>
      </c>
      <c r="U599" s="70">
        <f>'RESUMEN TOTAL'!AB713</f>
        <v>0</v>
      </c>
      <c r="V599" s="70">
        <f>'RESUMEN TOTAL'!AC713</f>
        <v>0</v>
      </c>
      <c r="W599" s="70">
        <f>'RESUMEN TOTAL'!AD713</f>
        <v>0</v>
      </c>
      <c r="X599" s="70">
        <f>'RESUMEN TOTAL'!AE713</f>
        <v>0</v>
      </c>
      <c r="Y599" s="70">
        <f>'RESUMEN TOTAL'!AF713</f>
        <v>0</v>
      </c>
      <c r="Z599" s="70">
        <f>'RESUMEN TOTAL'!AG713</f>
        <v>0</v>
      </c>
      <c r="AA599" s="70">
        <f>'RESUMEN TOTAL'!AH713</f>
        <v>0</v>
      </c>
      <c r="AB599" s="70">
        <f>'RESUMEN TOTAL'!AI713</f>
        <v>0</v>
      </c>
      <c r="AC599" s="70">
        <f>'RESUMEN TOTAL'!AJ713</f>
        <v>0</v>
      </c>
      <c r="AD599" s="70">
        <f>'RESUMEN TOTAL'!AK713</f>
        <v>0</v>
      </c>
      <c r="AE599" s="70">
        <f>'RESUMEN TOTAL'!AL713</f>
        <v>0</v>
      </c>
      <c r="AF599" s="70">
        <f>'RESUMEN TOTAL'!AM713</f>
        <v>0</v>
      </c>
      <c r="AG599" s="70">
        <f>'RESUMEN TOTAL'!AN713</f>
        <v>0</v>
      </c>
      <c r="AH599" s="70">
        <f>'RESUMEN TOTAL'!AO713</f>
        <v>0</v>
      </c>
      <c r="AI599" s="70">
        <f>'RESUMEN TOTAL'!AP713</f>
        <v>0</v>
      </c>
      <c r="AJ599" s="70">
        <f>'RESUMEN TOTAL'!AQ713</f>
        <v>0</v>
      </c>
    </row>
    <row r="600" spans="1:36" x14ac:dyDescent="0.25">
      <c r="A600">
        <f>'RESUMEN TOTAL'!A714</f>
        <v>0</v>
      </c>
      <c r="B600">
        <f>'RESUMEN TOTAL'!B714</f>
        <v>0</v>
      </c>
      <c r="C600">
        <f>'RESUMEN TOTAL'!D714</f>
        <v>0</v>
      </c>
      <c r="D600" s="30">
        <f>'RESUMEN TOTAL'!E714</f>
        <v>0</v>
      </c>
      <c r="E600" s="30">
        <f>'RESUMEN TOTAL'!F714</f>
        <v>0</v>
      </c>
      <c r="F600" s="70">
        <f>'RESUMEN TOTAL'!M714</f>
        <v>0</v>
      </c>
      <c r="G600" s="70">
        <f>'RESUMEN TOTAL'!N714</f>
        <v>0</v>
      </c>
      <c r="H600" s="70">
        <f>'RESUMEN TOTAL'!O714</f>
        <v>0</v>
      </c>
      <c r="I600" s="70">
        <f>'RESUMEN TOTAL'!P714</f>
        <v>0</v>
      </c>
      <c r="J600" s="70">
        <f>'RESUMEN TOTAL'!Q714</f>
        <v>0</v>
      </c>
      <c r="K600" s="70">
        <f>'RESUMEN TOTAL'!R714</f>
        <v>0</v>
      </c>
      <c r="L600" s="70">
        <f>'RESUMEN TOTAL'!S714</f>
        <v>0</v>
      </c>
      <c r="M600" s="70">
        <f>'RESUMEN TOTAL'!T714</f>
        <v>0</v>
      </c>
      <c r="N600" s="70">
        <f>'RESUMEN TOTAL'!U714</f>
        <v>0</v>
      </c>
      <c r="O600" s="70">
        <f>'RESUMEN TOTAL'!V714</f>
        <v>0</v>
      </c>
      <c r="P600" s="70">
        <f>'RESUMEN TOTAL'!W714</f>
        <v>0</v>
      </c>
      <c r="Q600" s="70">
        <f>'RESUMEN TOTAL'!X714</f>
        <v>0</v>
      </c>
      <c r="R600" s="70">
        <f>'RESUMEN TOTAL'!Y714</f>
        <v>0</v>
      </c>
      <c r="S600" s="70">
        <f>'RESUMEN TOTAL'!Z714</f>
        <v>0</v>
      </c>
      <c r="T600" s="70">
        <f>'RESUMEN TOTAL'!AA714</f>
        <v>0</v>
      </c>
      <c r="U600" s="70">
        <f>'RESUMEN TOTAL'!AB714</f>
        <v>0</v>
      </c>
      <c r="V600" s="70">
        <f>'RESUMEN TOTAL'!AC714</f>
        <v>0</v>
      </c>
      <c r="W600" s="70">
        <f>'RESUMEN TOTAL'!AD714</f>
        <v>0</v>
      </c>
      <c r="X600" s="70">
        <f>'RESUMEN TOTAL'!AE714</f>
        <v>0</v>
      </c>
      <c r="Y600" s="70">
        <f>'RESUMEN TOTAL'!AF714</f>
        <v>0</v>
      </c>
      <c r="Z600" s="70">
        <f>'RESUMEN TOTAL'!AG714</f>
        <v>0</v>
      </c>
      <c r="AA600" s="70">
        <f>'RESUMEN TOTAL'!AH714</f>
        <v>0</v>
      </c>
      <c r="AB600" s="70">
        <f>'RESUMEN TOTAL'!AI714</f>
        <v>0</v>
      </c>
      <c r="AC600" s="70">
        <f>'RESUMEN TOTAL'!AJ714</f>
        <v>0</v>
      </c>
      <c r="AD600" s="70">
        <f>'RESUMEN TOTAL'!AK714</f>
        <v>0</v>
      </c>
      <c r="AE600" s="70">
        <f>'RESUMEN TOTAL'!AL714</f>
        <v>0</v>
      </c>
      <c r="AF600" s="70">
        <f>'RESUMEN TOTAL'!AM714</f>
        <v>0</v>
      </c>
      <c r="AG600" s="70">
        <f>'RESUMEN TOTAL'!AN714</f>
        <v>0</v>
      </c>
      <c r="AH600" s="70">
        <f>'RESUMEN TOTAL'!AO714</f>
        <v>0</v>
      </c>
      <c r="AI600" s="70">
        <f>'RESUMEN TOTAL'!AP714</f>
        <v>0</v>
      </c>
      <c r="AJ600" s="70">
        <f>'RESUMEN TOTAL'!AQ714</f>
        <v>0</v>
      </c>
    </row>
    <row r="601" spans="1:36" x14ac:dyDescent="0.25">
      <c r="A601">
        <f>'RESUMEN TOTAL'!A715</f>
        <v>0</v>
      </c>
      <c r="B601">
        <f>'RESUMEN TOTAL'!B715</f>
        <v>0</v>
      </c>
      <c r="C601">
        <f>'RESUMEN TOTAL'!D715</f>
        <v>0</v>
      </c>
      <c r="D601" s="30">
        <f>'RESUMEN TOTAL'!E715</f>
        <v>0</v>
      </c>
      <c r="E601" s="30">
        <f>'RESUMEN TOTAL'!F715</f>
        <v>0</v>
      </c>
      <c r="F601" s="70">
        <f>'RESUMEN TOTAL'!M715</f>
        <v>0</v>
      </c>
      <c r="G601" s="70">
        <f>'RESUMEN TOTAL'!N715</f>
        <v>0</v>
      </c>
      <c r="H601" s="70">
        <f>'RESUMEN TOTAL'!O715</f>
        <v>0</v>
      </c>
      <c r="I601" s="70">
        <f>'RESUMEN TOTAL'!P715</f>
        <v>0</v>
      </c>
      <c r="J601" s="70">
        <f>'RESUMEN TOTAL'!Q715</f>
        <v>0</v>
      </c>
      <c r="K601" s="70">
        <f>'RESUMEN TOTAL'!R715</f>
        <v>0</v>
      </c>
      <c r="L601" s="70">
        <f>'RESUMEN TOTAL'!S715</f>
        <v>0</v>
      </c>
      <c r="M601" s="70">
        <f>'RESUMEN TOTAL'!T715</f>
        <v>0</v>
      </c>
      <c r="N601" s="70">
        <f>'RESUMEN TOTAL'!U715</f>
        <v>0</v>
      </c>
      <c r="O601" s="70">
        <f>'RESUMEN TOTAL'!V715</f>
        <v>0</v>
      </c>
      <c r="P601" s="70">
        <f>'RESUMEN TOTAL'!W715</f>
        <v>0</v>
      </c>
      <c r="Q601" s="70">
        <f>'RESUMEN TOTAL'!X715</f>
        <v>0</v>
      </c>
      <c r="R601" s="70">
        <f>'RESUMEN TOTAL'!Y715</f>
        <v>0</v>
      </c>
      <c r="S601" s="70">
        <f>'RESUMEN TOTAL'!Z715</f>
        <v>0</v>
      </c>
      <c r="T601" s="70">
        <f>'RESUMEN TOTAL'!AA715</f>
        <v>0</v>
      </c>
      <c r="U601" s="70">
        <f>'RESUMEN TOTAL'!AB715</f>
        <v>0</v>
      </c>
      <c r="V601" s="70">
        <f>'RESUMEN TOTAL'!AC715</f>
        <v>0</v>
      </c>
      <c r="W601" s="70">
        <f>'RESUMEN TOTAL'!AD715</f>
        <v>0</v>
      </c>
      <c r="X601" s="70">
        <f>'RESUMEN TOTAL'!AE715</f>
        <v>0</v>
      </c>
      <c r="Y601" s="70">
        <f>'RESUMEN TOTAL'!AF715</f>
        <v>0</v>
      </c>
      <c r="Z601" s="70">
        <f>'RESUMEN TOTAL'!AG715</f>
        <v>0</v>
      </c>
      <c r="AA601" s="70">
        <f>'RESUMEN TOTAL'!AH715</f>
        <v>0</v>
      </c>
      <c r="AB601" s="70">
        <f>'RESUMEN TOTAL'!AI715</f>
        <v>0</v>
      </c>
      <c r="AC601" s="70">
        <f>'RESUMEN TOTAL'!AJ715</f>
        <v>0</v>
      </c>
      <c r="AD601" s="70">
        <f>'RESUMEN TOTAL'!AK715</f>
        <v>0</v>
      </c>
      <c r="AE601" s="70">
        <f>'RESUMEN TOTAL'!AL715</f>
        <v>0</v>
      </c>
      <c r="AF601" s="70">
        <f>'RESUMEN TOTAL'!AM715</f>
        <v>0</v>
      </c>
      <c r="AG601" s="70">
        <f>'RESUMEN TOTAL'!AN715</f>
        <v>0</v>
      </c>
      <c r="AH601" s="70">
        <f>'RESUMEN TOTAL'!AO715</f>
        <v>0</v>
      </c>
      <c r="AI601" s="70">
        <f>'RESUMEN TOTAL'!AP715</f>
        <v>0</v>
      </c>
      <c r="AJ601" s="70">
        <f>'RESUMEN TOTAL'!AQ715</f>
        <v>0</v>
      </c>
    </row>
    <row r="602" spans="1:36" x14ac:dyDescent="0.25">
      <c r="A602">
        <f>'RESUMEN TOTAL'!A716</f>
        <v>0</v>
      </c>
      <c r="B602">
        <f>'RESUMEN TOTAL'!B716</f>
        <v>0</v>
      </c>
      <c r="C602">
        <f>'RESUMEN TOTAL'!D716</f>
        <v>0</v>
      </c>
      <c r="D602" s="30">
        <f>'RESUMEN TOTAL'!E716</f>
        <v>0</v>
      </c>
      <c r="E602" s="30">
        <f>'RESUMEN TOTAL'!F716</f>
        <v>0</v>
      </c>
      <c r="F602" s="70">
        <f>'RESUMEN TOTAL'!M716</f>
        <v>0</v>
      </c>
      <c r="G602" s="70">
        <f>'RESUMEN TOTAL'!N716</f>
        <v>0</v>
      </c>
      <c r="H602" s="70">
        <f>'RESUMEN TOTAL'!O716</f>
        <v>0</v>
      </c>
      <c r="I602" s="70">
        <f>'RESUMEN TOTAL'!P716</f>
        <v>0</v>
      </c>
      <c r="J602" s="70">
        <f>'RESUMEN TOTAL'!Q716</f>
        <v>0</v>
      </c>
      <c r="K602" s="70">
        <f>'RESUMEN TOTAL'!R716</f>
        <v>0</v>
      </c>
      <c r="L602" s="70">
        <f>'RESUMEN TOTAL'!S716</f>
        <v>0</v>
      </c>
      <c r="M602" s="70">
        <f>'RESUMEN TOTAL'!T716</f>
        <v>0</v>
      </c>
      <c r="N602" s="70">
        <f>'RESUMEN TOTAL'!U716</f>
        <v>0</v>
      </c>
      <c r="O602" s="70">
        <f>'RESUMEN TOTAL'!V716</f>
        <v>0</v>
      </c>
      <c r="P602" s="70">
        <f>'RESUMEN TOTAL'!W716</f>
        <v>0</v>
      </c>
      <c r="Q602" s="70">
        <f>'RESUMEN TOTAL'!X716</f>
        <v>0</v>
      </c>
      <c r="R602" s="70">
        <f>'RESUMEN TOTAL'!Y716</f>
        <v>0</v>
      </c>
      <c r="S602" s="70">
        <f>'RESUMEN TOTAL'!Z716</f>
        <v>0</v>
      </c>
      <c r="T602" s="70">
        <f>'RESUMEN TOTAL'!AA716</f>
        <v>0</v>
      </c>
      <c r="U602" s="70">
        <f>'RESUMEN TOTAL'!AB716</f>
        <v>0</v>
      </c>
      <c r="V602" s="70">
        <f>'RESUMEN TOTAL'!AC716</f>
        <v>0</v>
      </c>
      <c r="W602" s="70">
        <f>'RESUMEN TOTAL'!AD716</f>
        <v>0</v>
      </c>
      <c r="X602" s="70">
        <f>'RESUMEN TOTAL'!AE716</f>
        <v>0</v>
      </c>
      <c r="Y602" s="70">
        <f>'RESUMEN TOTAL'!AF716</f>
        <v>0</v>
      </c>
      <c r="Z602" s="70">
        <f>'RESUMEN TOTAL'!AG716</f>
        <v>0</v>
      </c>
      <c r="AA602" s="70">
        <f>'RESUMEN TOTAL'!AH716</f>
        <v>0</v>
      </c>
      <c r="AB602" s="70">
        <f>'RESUMEN TOTAL'!AI716</f>
        <v>0</v>
      </c>
      <c r="AC602" s="70">
        <f>'RESUMEN TOTAL'!AJ716</f>
        <v>0</v>
      </c>
      <c r="AD602" s="70">
        <f>'RESUMEN TOTAL'!AK716</f>
        <v>0</v>
      </c>
      <c r="AE602" s="70">
        <f>'RESUMEN TOTAL'!AL716</f>
        <v>0</v>
      </c>
      <c r="AF602" s="70">
        <f>'RESUMEN TOTAL'!AM716</f>
        <v>0</v>
      </c>
      <c r="AG602" s="70">
        <f>'RESUMEN TOTAL'!AN716</f>
        <v>0</v>
      </c>
      <c r="AH602" s="70">
        <f>'RESUMEN TOTAL'!AO716</f>
        <v>0</v>
      </c>
      <c r="AI602" s="70">
        <f>'RESUMEN TOTAL'!AP716</f>
        <v>0</v>
      </c>
      <c r="AJ602" s="70">
        <f>'RESUMEN TOTAL'!AQ716</f>
        <v>0</v>
      </c>
    </row>
    <row r="603" spans="1:36" x14ac:dyDescent="0.25">
      <c r="A603">
        <f>'RESUMEN TOTAL'!A717</f>
        <v>0</v>
      </c>
      <c r="B603">
        <f>'RESUMEN TOTAL'!B717</f>
        <v>0</v>
      </c>
      <c r="C603">
        <f>'RESUMEN TOTAL'!D717</f>
        <v>0</v>
      </c>
      <c r="D603" s="30">
        <f>'RESUMEN TOTAL'!E717</f>
        <v>0</v>
      </c>
      <c r="E603" s="30">
        <f>'RESUMEN TOTAL'!F717</f>
        <v>0</v>
      </c>
      <c r="F603" s="70">
        <f>'RESUMEN TOTAL'!M717</f>
        <v>0</v>
      </c>
      <c r="G603" s="70">
        <f>'RESUMEN TOTAL'!N717</f>
        <v>0</v>
      </c>
      <c r="H603" s="70">
        <f>'RESUMEN TOTAL'!O717</f>
        <v>0</v>
      </c>
      <c r="I603" s="70">
        <f>'RESUMEN TOTAL'!P717</f>
        <v>0</v>
      </c>
      <c r="J603" s="70">
        <f>'RESUMEN TOTAL'!Q717</f>
        <v>0</v>
      </c>
      <c r="K603" s="70">
        <f>'RESUMEN TOTAL'!R717</f>
        <v>0</v>
      </c>
      <c r="L603" s="70">
        <f>'RESUMEN TOTAL'!S717</f>
        <v>0</v>
      </c>
      <c r="M603" s="70">
        <f>'RESUMEN TOTAL'!T717</f>
        <v>0</v>
      </c>
      <c r="N603" s="70">
        <f>'RESUMEN TOTAL'!U717</f>
        <v>0</v>
      </c>
      <c r="O603" s="70">
        <f>'RESUMEN TOTAL'!V717</f>
        <v>0</v>
      </c>
      <c r="P603" s="70">
        <f>'RESUMEN TOTAL'!W717</f>
        <v>0</v>
      </c>
      <c r="Q603" s="70">
        <f>'RESUMEN TOTAL'!X717</f>
        <v>0</v>
      </c>
      <c r="R603" s="70">
        <f>'RESUMEN TOTAL'!Y717</f>
        <v>0</v>
      </c>
      <c r="S603" s="70">
        <f>'RESUMEN TOTAL'!Z717</f>
        <v>0</v>
      </c>
      <c r="T603" s="70">
        <f>'RESUMEN TOTAL'!AA717</f>
        <v>0</v>
      </c>
      <c r="U603" s="70">
        <f>'RESUMEN TOTAL'!AB717</f>
        <v>0</v>
      </c>
      <c r="V603" s="70">
        <f>'RESUMEN TOTAL'!AC717</f>
        <v>0</v>
      </c>
      <c r="W603" s="70">
        <f>'RESUMEN TOTAL'!AD717</f>
        <v>0</v>
      </c>
      <c r="X603" s="70">
        <f>'RESUMEN TOTAL'!AE717</f>
        <v>0</v>
      </c>
      <c r="Y603" s="70">
        <f>'RESUMEN TOTAL'!AF717</f>
        <v>0</v>
      </c>
      <c r="Z603" s="70">
        <f>'RESUMEN TOTAL'!AG717</f>
        <v>0</v>
      </c>
      <c r="AA603" s="70">
        <f>'RESUMEN TOTAL'!AH717</f>
        <v>0</v>
      </c>
      <c r="AB603" s="70">
        <f>'RESUMEN TOTAL'!AI717</f>
        <v>0</v>
      </c>
      <c r="AC603" s="70">
        <f>'RESUMEN TOTAL'!AJ717</f>
        <v>0</v>
      </c>
      <c r="AD603" s="70">
        <f>'RESUMEN TOTAL'!AK717</f>
        <v>0</v>
      </c>
      <c r="AE603" s="70">
        <f>'RESUMEN TOTAL'!AL717</f>
        <v>0</v>
      </c>
      <c r="AF603" s="70">
        <f>'RESUMEN TOTAL'!AM717</f>
        <v>0</v>
      </c>
      <c r="AG603" s="70">
        <f>'RESUMEN TOTAL'!AN717</f>
        <v>0</v>
      </c>
      <c r="AH603" s="70">
        <f>'RESUMEN TOTAL'!AO717</f>
        <v>0</v>
      </c>
      <c r="AI603" s="70">
        <f>'RESUMEN TOTAL'!AP717</f>
        <v>0</v>
      </c>
      <c r="AJ603" s="70">
        <f>'RESUMEN TOTAL'!AQ717</f>
        <v>0</v>
      </c>
    </row>
    <row r="604" spans="1:36" x14ac:dyDescent="0.25">
      <c r="A604">
        <f>'RESUMEN TOTAL'!A718</f>
        <v>0</v>
      </c>
      <c r="B604">
        <f>'RESUMEN TOTAL'!B718</f>
        <v>0</v>
      </c>
      <c r="C604">
        <f>'RESUMEN TOTAL'!D718</f>
        <v>0</v>
      </c>
      <c r="D604" s="30">
        <f>'RESUMEN TOTAL'!E718</f>
        <v>0</v>
      </c>
      <c r="E604" s="30">
        <f>'RESUMEN TOTAL'!F718</f>
        <v>0</v>
      </c>
      <c r="F604" s="70">
        <f>'RESUMEN TOTAL'!M718</f>
        <v>0</v>
      </c>
      <c r="G604" s="70">
        <f>'RESUMEN TOTAL'!N718</f>
        <v>0</v>
      </c>
      <c r="H604" s="70">
        <f>'RESUMEN TOTAL'!O718</f>
        <v>0</v>
      </c>
      <c r="I604" s="70">
        <f>'RESUMEN TOTAL'!P718</f>
        <v>0</v>
      </c>
      <c r="J604" s="70">
        <f>'RESUMEN TOTAL'!Q718</f>
        <v>0</v>
      </c>
      <c r="K604" s="70">
        <f>'RESUMEN TOTAL'!R718</f>
        <v>0</v>
      </c>
      <c r="L604" s="70">
        <f>'RESUMEN TOTAL'!S718</f>
        <v>0</v>
      </c>
      <c r="M604" s="70">
        <f>'RESUMEN TOTAL'!T718</f>
        <v>0</v>
      </c>
      <c r="N604" s="70">
        <f>'RESUMEN TOTAL'!U718</f>
        <v>0</v>
      </c>
      <c r="O604" s="70">
        <f>'RESUMEN TOTAL'!V718</f>
        <v>0</v>
      </c>
      <c r="P604" s="70">
        <f>'RESUMEN TOTAL'!W718</f>
        <v>0</v>
      </c>
      <c r="Q604" s="70">
        <f>'RESUMEN TOTAL'!X718</f>
        <v>0</v>
      </c>
      <c r="R604" s="70">
        <f>'RESUMEN TOTAL'!Y718</f>
        <v>0</v>
      </c>
      <c r="S604" s="70">
        <f>'RESUMEN TOTAL'!Z718</f>
        <v>0</v>
      </c>
      <c r="T604" s="70">
        <f>'RESUMEN TOTAL'!AA718</f>
        <v>0</v>
      </c>
      <c r="U604" s="70">
        <f>'RESUMEN TOTAL'!AB718</f>
        <v>0</v>
      </c>
      <c r="V604" s="70">
        <f>'RESUMEN TOTAL'!AC718</f>
        <v>0</v>
      </c>
      <c r="W604" s="70">
        <f>'RESUMEN TOTAL'!AD718</f>
        <v>0</v>
      </c>
      <c r="X604" s="70">
        <f>'RESUMEN TOTAL'!AE718</f>
        <v>0</v>
      </c>
      <c r="Y604" s="70">
        <f>'RESUMEN TOTAL'!AF718</f>
        <v>0</v>
      </c>
      <c r="Z604" s="70">
        <f>'RESUMEN TOTAL'!AG718</f>
        <v>0</v>
      </c>
      <c r="AA604" s="70">
        <f>'RESUMEN TOTAL'!AH718</f>
        <v>0</v>
      </c>
      <c r="AB604" s="70">
        <f>'RESUMEN TOTAL'!AI718</f>
        <v>0</v>
      </c>
      <c r="AC604" s="70">
        <f>'RESUMEN TOTAL'!AJ718</f>
        <v>0</v>
      </c>
      <c r="AD604" s="70">
        <f>'RESUMEN TOTAL'!AK718</f>
        <v>0</v>
      </c>
      <c r="AE604" s="70">
        <f>'RESUMEN TOTAL'!AL718</f>
        <v>0</v>
      </c>
      <c r="AF604" s="70">
        <f>'RESUMEN TOTAL'!AM718</f>
        <v>0</v>
      </c>
      <c r="AG604" s="70">
        <f>'RESUMEN TOTAL'!AN718</f>
        <v>0</v>
      </c>
      <c r="AH604" s="70">
        <f>'RESUMEN TOTAL'!AO718</f>
        <v>0</v>
      </c>
      <c r="AI604" s="70">
        <f>'RESUMEN TOTAL'!AP718</f>
        <v>0</v>
      </c>
      <c r="AJ604" s="70">
        <f>'RESUMEN TOTAL'!AQ718</f>
        <v>0</v>
      </c>
    </row>
    <row r="605" spans="1:36" x14ac:dyDescent="0.25">
      <c r="A605">
        <f>'RESUMEN TOTAL'!A719</f>
        <v>0</v>
      </c>
      <c r="B605">
        <f>'RESUMEN TOTAL'!B719</f>
        <v>0</v>
      </c>
      <c r="C605">
        <f>'RESUMEN TOTAL'!D719</f>
        <v>0</v>
      </c>
      <c r="D605" s="30">
        <f>'RESUMEN TOTAL'!E719</f>
        <v>0</v>
      </c>
      <c r="E605" s="30">
        <f>'RESUMEN TOTAL'!F719</f>
        <v>0</v>
      </c>
      <c r="F605" s="70">
        <f>'RESUMEN TOTAL'!M719</f>
        <v>0</v>
      </c>
      <c r="G605" s="70">
        <f>'RESUMEN TOTAL'!N719</f>
        <v>0</v>
      </c>
      <c r="H605" s="70">
        <f>'RESUMEN TOTAL'!O719</f>
        <v>0</v>
      </c>
      <c r="I605" s="70">
        <f>'RESUMEN TOTAL'!P719</f>
        <v>0</v>
      </c>
      <c r="J605" s="70">
        <f>'RESUMEN TOTAL'!Q719</f>
        <v>0</v>
      </c>
      <c r="K605" s="70">
        <f>'RESUMEN TOTAL'!R719</f>
        <v>0</v>
      </c>
      <c r="L605" s="70">
        <f>'RESUMEN TOTAL'!S719</f>
        <v>0</v>
      </c>
      <c r="M605" s="70">
        <f>'RESUMEN TOTAL'!T719</f>
        <v>0</v>
      </c>
      <c r="N605" s="70">
        <f>'RESUMEN TOTAL'!U719</f>
        <v>0</v>
      </c>
      <c r="O605" s="70">
        <f>'RESUMEN TOTAL'!V719</f>
        <v>0</v>
      </c>
      <c r="P605" s="70">
        <f>'RESUMEN TOTAL'!W719</f>
        <v>0</v>
      </c>
      <c r="Q605" s="70">
        <f>'RESUMEN TOTAL'!X719</f>
        <v>0</v>
      </c>
      <c r="R605" s="70">
        <f>'RESUMEN TOTAL'!Y719</f>
        <v>0</v>
      </c>
      <c r="S605" s="70">
        <f>'RESUMEN TOTAL'!Z719</f>
        <v>0</v>
      </c>
      <c r="T605" s="70">
        <f>'RESUMEN TOTAL'!AA719</f>
        <v>0</v>
      </c>
      <c r="U605" s="70">
        <f>'RESUMEN TOTAL'!AB719</f>
        <v>0</v>
      </c>
      <c r="V605" s="70">
        <f>'RESUMEN TOTAL'!AC719</f>
        <v>0</v>
      </c>
      <c r="W605" s="70">
        <f>'RESUMEN TOTAL'!AD719</f>
        <v>0</v>
      </c>
      <c r="X605" s="70">
        <f>'RESUMEN TOTAL'!AE719</f>
        <v>0</v>
      </c>
      <c r="Y605" s="70">
        <f>'RESUMEN TOTAL'!AF719</f>
        <v>0</v>
      </c>
      <c r="Z605" s="70">
        <f>'RESUMEN TOTAL'!AG719</f>
        <v>0</v>
      </c>
      <c r="AA605" s="70">
        <f>'RESUMEN TOTAL'!AH719</f>
        <v>0</v>
      </c>
      <c r="AB605" s="70">
        <f>'RESUMEN TOTAL'!AI719</f>
        <v>0</v>
      </c>
      <c r="AC605" s="70">
        <f>'RESUMEN TOTAL'!AJ719</f>
        <v>0</v>
      </c>
      <c r="AD605" s="70">
        <f>'RESUMEN TOTAL'!AK719</f>
        <v>0</v>
      </c>
      <c r="AE605" s="70">
        <f>'RESUMEN TOTAL'!AL719</f>
        <v>0</v>
      </c>
      <c r="AF605" s="70">
        <f>'RESUMEN TOTAL'!AM719</f>
        <v>0</v>
      </c>
      <c r="AG605" s="70">
        <f>'RESUMEN TOTAL'!AN719</f>
        <v>0</v>
      </c>
      <c r="AH605" s="70">
        <f>'RESUMEN TOTAL'!AO719</f>
        <v>0</v>
      </c>
      <c r="AI605" s="70">
        <f>'RESUMEN TOTAL'!AP719</f>
        <v>0</v>
      </c>
      <c r="AJ605" s="70">
        <f>'RESUMEN TOTAL'!AQ719</f>
        <v>0</v>
      </c>
    </row>
    <row r="606" spans="1:36" x14ac:dyDescent="0.25">
      <c r="A606">
        <f>'RESUMEN TOTAL'!A720</f>
        <v>0</v>
      </c>
      <c r="B606">
        <f>'RESUMEN TOTAL'!B720</f>
        <v>0</v>
      </c>
      <c r="C606">
        <f>'RESUMEN TOTAL'!D720</f>
        <v>0</v>
      </c>
      <c r="D606" s="30">
        <f>'RESUMEN TOTAL'!E720</f>
        <v>0</v>
      </c>
      <c r="E606" s="30">
        <f>'RESUMEN TOTAL'!F720</f>
        <v>0</v>
      </c>
      <c r="F606" s="70">
        <f>'RESUMEN TOTAL'!M720</f>
        <v>0</v>
      </c>
      <c r="G606" s="70">
        <f>'RESUMEN TOTAL'!N720</f>
        <v>0</v>
      </c>
      <c r="H606" s="70">
        <f>'RESUMEN TOTAL'!O720</f>
        <v>0</v>
      </c>
      <c r="I606" s="70">
        <f>'RESUMEN TOTAL'!P720</f>
        <v>0</v>
      </c>
      <c r="J606" s="70">
        <f>'RESUMEN TOTAL'!Q720</f>
        <v>0</v>
      </c>
      <c r="K606" s="70">
        <f>'RESUMEN TOTAL'!R720</f>
        <v>0</v>
      </c>
      <c r="L606" s="70">
        <f>'RESUMEN TOTAL'!S720</f>
        <v>0</v>
      </c>
      <c r="M606" s="70">
        <f>'RESUMEN TOTAL'!T720</f>
        <v>0</v>
      </c>
      <c r="N606" s="70">
        <f>'RESUMEN TOTAL'!U720</f>
        <v>0</v>
      </c>
      <c r="O606" s="70">
        <f>'RESUMEN TOTAL'!V720</f>
        <v>0</v>
      </c>
      <c r="P606" s="70">
        <f>'RESUMEN TOTAL'!W720</f>
        <v>0</v>
      </c>
      <c r="Q606" s="70">
        <f>'RESUMEN TOTAL'!X720</f>
        <v>0</v>
      </c>
      <c r="R606" s="70">
        <f>'RESUMEN TOTAL'!Y720</f>
        <v>0</v>
      </c>
      <c r="S606" s="70">
        <f>'RESUMEN TOTAL'!Z720</f>
        <v>0</v>
      </c>
      <c r="T606" s="70">
        <f>'RESUMEN TOTAL'!AA720</f>
        <v>0</v>
      </c>
      <c r="U606" s="70">
        <f>'RESUMEN TOTAL'!AB720</f>
        <v>0</v>
      </c>
      <c r="V606" s="70">
        <f>'RESUMEN TOTAL'!AC720</f>
        <v>0</v>
      </c>
      <c r="W606" s="70">
        <f>'RESUMEN TOTAL'!AD720</f>
        <v>0</v>
      </c>
      <c r="X606" s="70">
        <f>'RESUMEN TOTAL'!AE720</f>
        <v>0</v>
      </c>
      <c r="Y606" s="70">
        <f>'RESUMEN TOTAL'!AF720</f>
        <v>0</v>
      </c>
      <c r="Z606" s="70">
        <f>'RESUMEN TOTAL'!AG720</f>
        <v>0</v>
      </c>
      <c r="AA606" s="70">
        <f>'RESUMEN TOTAL'!AH720</f>
        <v>0</v>
      </c>
      <c r="AB606" s="70">
        <f>'RESUMEN TOTAL'!AI720</f>
        <v>0</v>
      </c>
      <c r="AC606" s="70">
        <f>'RESUMEN TOTAL'!AJ720</f>
        <v>0</v>
      </c>
      <c r="AD606" s="70">
        <f>'RESUMEN TOTAL'!AK720</f>
        <v>0</v>
      </c>
      <c r="AE606" s="70">
        <f>'RESUMEN TOTAL'!AL720</f>
        <v>0</v>
      </c>
      <c r="AF606" s="70">
        <f>'RESUMEN TOTAL'!AM720</f>
        <v>0</v>
      </c>
      <c r="AG606" s="70">
        <f>'RESUMEN TOTAL'!AN720</f>
        <v>0</v>
      </c>
      <c r="AH606" s="70">
        <f>'RESUMEN TOTAL'!AO720</f>
        <v>0</v>
      </c>
      <c r="AI606" s="70">
        <f>'RESUMEN TOTAL'!AP720</f>
        <v>0</v>
      </c>
      <c r="AJ606" s="70">
        <f>'RESUMEN TOTAL'!AQ720</f>
        <v>0</v>
      </c>
    </row>
    <row r="607" spans="1:36" x14ac:dyDescent="0.25">
      <c r="A607">
        <f>'RESUMEN TOTAL'!A721</f>
        <v>0</v>
      </c>
      <c r="B607">
        <f>'RESUMEN TOTAL'!B721</f>
        <v>0</v>
      </c>
      <c r="C607">
        <f>'RESUMEN TOTAL'!D721</f>
        <v>0</v>
      </c>
      <c r="D607" s="30">
        <f>'RESUMEN TOTAL'!E721</f>
        <v>0</v>
      </c>
      <c r="E607" s="30">
        <f>'RESUMEN TOTAL'!F721</f>
        <v>0</v>
      </c>
      <c r="F607" s="70">
        <f>'RESUMEN TOTAL'!M721</f>
        <v>0</v>
      </c>
      <c r="G607" s="70">
        <f>'RESUMEN TOTAL'!N721</f>
        <v>0</v>
      </c>
      <c r="H607" s="70">
        <f>'RESUMEN TOTAL'!O721</f>
        <v>0</v>
      </c>
      <c r="I607" s="70">
        <f>'RESUMEN TOTAL'!P721</f>
        <v>0</v>
      </c>
      <c r="J607" s="70">
        <f>'RESUMEN TOTAL'!Q721</f>
        <v>0</v>
      </c>
      <c r="K607" s="70">
        <f>'RESUMEN TOTAL'!R721</f>
        <v>0</v>
      </c>
      <c r="L607" s="70">
        <f>'RESUMEN TOTAL'!S721</f>
        <v>0</v>
      </c>
      <c r="M607" s="70">
        <f>'RESUMEN TOTAL'!T721</f>
        <v>0</v>
      </c>
      <c r="N607" s="70">
        <f>'RESUMEN TOTAL'!U721</f>
        <v>0</v>
      </c>
      <c r="O607" s="70">
        <f>'RESUMEN TOTAL'!V721</f>
        <v>0</v>
      </c>
      <c r="P607" s="70">
        <f>'RESUMEN TOTAL'!W721</f>
        <v>0</v>
      </c>
      <c r="Q607" s="70">
        <f>'RESUMEN TOTAL'!X721</f>
        <v>0</v>
      </c>
      <c r="R607" s="70">
        <f>'RESUMEN TOTAL'!Y721</f>
        <v>0</v>
      </c>
      <c r="S607" s="70">
        <f>'RESUMEN TOTAL'!Z721</f>
        <v>0</v>
      </c>
      <c r="T607" s="70">
        <f>'RESUMEN TOTAL'!AA721</f>
        <v>0</v>
      </c>
      <c r="U607" s="70">
        <f>'RESUMEN TOTAL'!AB721</f>
        <v>0</v>
      </c>
      <c r="V607" s="70">
        <f>'RESUMEN TOTAL'!AC721</f>
        <v>0</v>
      </c>
      <c r="W607" s="70">
        <f>'RESUMEN TOTAL'!AD721</f>
        <v>0</v>
      </c>
      <c r="X607" s="70">
        <f>'RESUMEN TOTAL'!AE721</f>
        <v>0</v>
      </c>
      <c r="Y607" s="70">
        <f>'RESUMEN TOTAL'!AF721</f>
        <v>0</v>
      </c>
      <c r="Z607" s="70">
        <f>'RESUMEN TOTAL'!AG721</f>
        <v>0</v>
      </c>
      <c r="AA607" s="70">
        <f>'RESUMEN TOTAL'!AH721</f>
        <v>0</v>
      </c>
      <c r="AB607" s="70">
        <f>'RESUMEN TOTAL'!AI721</f>
        <v>0</v>
      </c>
      <c r="AC607" s="70">
        <f>'RESUMEN TOTAL'!AJ721</f>
        <v>0</v>
      </c>
      <c r="AD607" s="70">
        <f>'RESUMEN TOTAL'!AK721</f>
        <v>0</v>
      </c>
      <c r="AE607" s="70">
        <f>'RESUMEN TOTAL'!AL721</f>
        <v>0</v>
      </c>
      <c r="AF607" s="70">
        <f>'RESUMEN TOTAL'!AM721</f>
        <v>0</v>
      </c>
      <c r="AG607" s="70">
        <f>'RESUMEN TOTAL'!AN721</f>
        <v>0</v>
      </c>
      <c r="AH607" s="70">
        <f>'RESUMEN TOTAL'!AO721</f>
        <v>0</v>
      </c>
      <c r="AI607" s="70">
        <f>'RESUMEN TOTAL'!AP721</f>
        <v>0</v>
      </c>
      <c r="AJ607" s="70">
        <f>'RESUMEN TOTAL'!AQ721</f>
        <v>0</v>
      </c>
    </row>
    <row r="608" spans="1:36" x14ac:dyDescent="0.25">
      <c r="A608">
        <f>'RESUMEN TOTAL'!A722</f>
        <v>0</v>
      </c>
      <c r="B608">
        <f>'RESUMEN TOTAL'!B722</f>
        <v>0</v>
      </c>
      <c r="C608">
        <f>'RESUMEN TOTAL'!D722</f>
        <v>0</v>
      </c>
      <c r="D608" s="30">
        <f>'RESUMEN TOTAL'!E722</f>
        <v>0</v>
      </c>
      <c r="E608" s="30">
        <f>'RESUMEN TOTAL'!F722</f>
        <v>0</v>
      </c>
      <c r="F608" s="70">
        <f>'RESUMEN TOTAL'!M722</f>
        <v>0</v>
      </c>
      <c r="G608" s="70">
        <f>'RESUMEN TOTAL'!N722</f>
        <v>0</v>
      </c>
      <c r="H608" s="70">
        <f>'RESUMEN TOTAL'!O722</f>
        <v>0</v>
      </c>
      <c r="I608" s="70">
        <f>'RESUMEN TOTAL'!P722</f>
        <v>0</v>
      </c>
      <c r="J608" s="70">
        <f>'RESUMEN TOTAL'!Q722</f>
        <v>0</v>
      </c>
      <c r="K608" s="70">
        <f>'RESUMEN TOTAL'!R722</f>
        <v>0</v>
      </c>
      <c r="L608" s="70">
        <f>'RESUMEN TOTAL'!S722</f>
        <v>0</v>
      </c>
      <c r="M608" s="70">
        <f>'RESUMEN TOTAL'!T722</f>
        <v>0</v>
      </c>
      <c r="N608" s="70">
        <f>'RESUMEN TOTAL'!U722</f>
        <v>0</v>
      </c>
      <c r="O608" s="70">
        <f>'RESUMEN TOTAL'!V722</f>
        <v>0</v>
      </c>
      <c r="P608" s="70">
        <f>'RESUMEN TOTAL'!W722</f>
        <v>0</v>
      </c>
      <c r="Q608" s="70">
        <f>'RESUMEN TOTAL'!X722</f>
        <v>0</v>
      </c>
      <c r="R608" s="70">
        <f>'RESUMEN TOTAL'!Y722</f>
        <v>0</v>
      </c>
      <c r="S608" s="70">
        <f>'RESUMEN TOTAL'!Z722</f>
        <v>0</v>
      </c>
      <c r="T608" s="70">
        <f>'RESUMEN TOTAL'!AA722</f>
        <v>0</v>
      </c>
      <c r="U608" s="70">
        <f>'RESUMEN TOTAL'!AB722</f>
        <v>0</v>
      </c>
      <c r="V608" s="70">
        <f>'RESUMEN TOTAL'!AC722</f>
        <v>0</v>
      </c>
      <c r="W608" s="70">
        <f>'RESUMEN TOTAL'!AD722</f>
        <v>0</v>
      </c>
      <c r="X608" s="70">
        <f>'RESUMEN TOTAL'!AE722</f>
        <v>0</v>
      </c>
      <c r="Y608" s="70">
        <f>'RESUMEN TOTAL'!AF722</f>
        <v>0</v>
      </c>
      <c r="Z608" s="70">
        <f>'RESUMEN TOTAL'!AG722</f>
        <v>0</v>
      </c>
      <c r="AA608" s="70">
        <f>'RESUMEN TOTAL'!AH722</f>
        <v>0</v>
      </c>
      <c r="AB608" s="70">
        <f>'RESUMEN TOTAL'!AI722</f>
        <v>0</v>
      </c>
      <c r="AC608" s="70">
        <f>'RESUMEN TOTAL'!AJ722</f>
        <v>0</v>
      </c>
      <c r="AD608" s="70">
        <f>'RESUMEN TOTAL'!AK722</f>
        <v>0</v>
      </c>
      <c r="AE608" s="70">
        <f>'RESUMEN TOTAL'!AL722</f>
        <v>0</v>
      </c>
      <c r="AF608" s="70">
        <f>'RESUMEN TOTAL'!AM722</f>
        <v>0</v>
      </c>
      <c r="AG608" s="70">
        <f>'RESUMEN TOTAL'!AN722</f>
        <v>0</v>
      </c>
      <c r="AH608" s="70">
        <f>'RESUMEN TOTAL'!AO722</f>
        <v>0</v>
      </c>
      <c r="AI608" s="70">
        <f>'RESUMEN TOTAL'!AP722</f>
        <v>0</v>
      </c>
      <c r="AJ608" s="70">
        <f>'RESUMEN TOTAL'!AQ722</f>
        <v>0</v>
      </c>
    </row>
    <row r="609" spans="1:36" x14ac:dyDescent="0.25">
      <c r="A609">
        <f>'RESUMEN TOTAL'!A723</f>
        <v>0</v>
      </c>
      <c r="B609">
        <f>'RESUMEN TOTAL'!B723</f>
        <v>0</v>
      </c>
      <c r="C609">
        <f>'RESUMEN TOTAL'!D723</f>
        <v>0</v>
      </c>
      <c r="D609" s="30">
        <f>'RESUMEN TOTAL'!E723</f>
        <v>0</v>
      </c>
      <c r="E609" s="30">
        <f>'RESUMEN TOTAL'!F723</f>
        <v>0</v>
      </c>
      <c r="F609" s="70">
        <f>'RESUMEN TOTAL'!M723</f>
        <v>0</v>
      </c>
      <c r="G609" s="70">
        <f>'RESUMEN TOTAL'!N723</f>
        <v>0</v>
      </c>
      <c r="H609" s="70">
        <f>'RESUMEN TOTAL'!O723</f>
        <v>0</v>
      </c>
      <c r="I609" s="70">
        <f>'RESUMEN TOTAL'!P723</f>
        <v>0</v>
      </c>
      <c r="J609" s="70">
        <f>'RESUMEN TOTAL'!Q723</f>
        <v>0</v>
      </c>
      <c r="K609" s="70">
        <f>'RESUMEN TOTAL'!R723</f>
        <v>0</v>
      </c>
      <c r="L609" s="70">
        <f>'RESUMEN TOTAL'!S723</f>
        <v>0</v>
      </c>
      <c r="M609" s="70">
        <f>'RESUMEN TOTAL'!T723</f>
        <v>0</v>
      </c>
      <c r="N609" s="70">
        <f>'RESUMEN TOTAL'!U723</f>
        <v>0</v>
      </c>
      <c r="O609" s="70">
        <f>'RESUMEN TOTAL'!V723</f>
        <v>0</v>
      </c>
      <c r="P609" s="70">
        <f>'RESUMEN TOTAL'!W723</f>
        <v>0</v>
      </c>
      <c r="Q609" s="70">
        <f>'RESUMEN TOTAL'!X723</f>
        <v>0</v>
      </c>
      <c r="R609" s="70">
        <f>'RESUMEN TOTAL'!Y723</f>
        <v>0</v>
      </c>
      <c r="S609" s="70">
        <f>'RESUMEN TOTAL'!Z723</f>
        <v>0</v>
      </c>
      <c r="T609" s="70">
        <f>'RESUMEN TOTAL'!AA723</f>
        <v>0</v>
      </c>
      <c r="U609" s="70">
        <f>'RESUMEN TOTAL'!AB723</f>
        <v>0</v>
      </c>
      <c r="V609" s="70">
        <f>'RESUMEN TOTAL'!AC723</f>
        <v>0</v>
      </c>
      <c r="W609" s="70">
        <f>'RESUMEN TOTAL'!AD723</f>
        <v>0</v>
      </c>
      <c r="X609" s="70">
        <f>'RESUMEN TOTAL'!AE723</f>
        <v>0</v>
      </c>
      <c r="Y609" s="70">
        <f>'RESUMEN TOTAL'!AF723</f>
        <v>0</v>
      </c>
      <c r="Z609" s="70">
        <f>'RESUMEN TOTAL'!AG723</f>
        <v>0</v>
      </c>
      <c r="AA609" s="70">
        <f>'RESUMEN TOTAL'!AH723</f>
        <v>0</v>
      </c>
      <c r="AB609" s="70">
        <f>'RESUMEN TOTAL'!AI723</f>
        <v>0</v>
      </c>
      <c r="AC609" s="70">
        <f>'RESUMEN TOTAL'!AJ723</f>
        <v>0</v>
      </c>
      <c r="AD609" s="70">
        <f>'RESUMEN TOTAL'!AK723</f>
        <v>0</v>
      </c>
      <c r="AE609" s="70">
        <f>'RESUMEN TOTAL'!AL723</f>
        <v>0</v>
      </c>
      <c r="AF609" s="70">
        <f>'RESUMEN TOTAL'!AM723</f>
        <v>0</v>
      </c>
      <c r="AG609" s="70">
        <f>'RESUMEN TOTAL'!AN723</f>
        <v>0</v>
      </c>
      <c r="AH609" s="70">
        <f>'RESUMEN TOTAL'!AO723</f>
        <v>0</v>
      </c>
      <c r="AI609" s="70">
        <f>'RESUMEN TOTAL'!AP723</f>
        <v>0</v>
      </c>
      <c r="AJ609" s="70">
        <f>'RESUMEN TOTAL'!AQ723</f>
        <v>0</v>
      </c>
    </row>
    <row r="610" spans="1:36" x14ac:dyDescent="0.25">
      <c r="A610">
        <f>'RESUMEN TOTAL'!A724</f>
        <v>0</v>
      </c>
      <c r="B610">
        <f>'RESUMEN TOTAL'!B724</f>
        <v>0</v>
      </c>
      <c r="C610">
        <f>'RESUMEN TOTAL'!D724</f>
        <v>0</v>
      </c>
      <c r="D610" s="30">
        <f>'RESUMEN TOTAL'!E724</f>
        <v>0</v>
      </c>
      <c r="E610" s="30">
        <f>'RESUMEN TOTAL'!F724</f>
        <v>0</v>
      </c>
      <c r="F610" s="70">
        <f>'RESUMEN TOTAL'!M724</f>
        <v>0</v>
      </c>
      <c r="G610" s="70">
        <f>'RESUMEN TOTAL'!N724</f>
        <v>0</v>
      </c>
      <c r="H610" s="70">
        <f>'RESUMEN TOTAL'!O724</f>
        <v>0</v>
      </c>
      <c r="I610" s="70">
        <f>'RESUMEN TOTAL'!P724</f>
        <v>0</v>
      </c>
      <c r="J610" s="70">
        <f>'RESUMEN TOTAL'!Q724</f>
        <v>0</v>
      </c>
      <c r="K610" s="70">
        <f>'RESUMEN TOTAL'!R724</f>
        <v>0</v>
      </c>
      <c r="L610" s="70">
        <f>'RESUMEN TOTAL'!S724</f>
        <v>0</v>
      </c>
      <c r="M610" s="70">
        <f>'RESUMEN TOTAL'!T724</f>
        <v>0</v>
      </c>
      <c r="N610" s="70">
        <f>'RESUMEN TOTAL'!U724</f>
        <v>0</v>
      </c>
      <c r="O610" s="70">
        <f>'RESUMEN TOTAL'!V724</f>
        <v>0</v>
      </c>
      <c r="P610" s="70">
        <f>'RESUMEN TOTAL'!W724</f>
        <v>0</v>
      </c>
      <c r="Q610" s="70">
        <f>'RESUMEN TOTAL'!X724</f>
        <v>0</v>
      </c>
      <c r="R610" s="70">
        <f>'RESUMEN TOTAL'!Y724</f>
        <v>0</v>
      </c>
      <c r="S610" s="70">
        <f>'RESUMEN TOTAL'!Z724</f>
        <v>0</v>
      </c>
      <c r="T610" s="70">
        <f>'RESUMEN TOTAL'!AA724</f>
        <v>0</v>
      </c>
      <c r="U610" s="70">
        <f>'RESUMEN TOTAL'!AB724</f>
        <v>0</v>
      </c>
      <c r="V610" s="70">
        <f>'RESUMEN TOTAL'!AC724</f>
        <v>0</v>
      </c>
      <c r="W610" s="70">
        <f>'RESUMEN TOTAL'!AD724</f>
        <v>0</v>
      </c>
      <c r="X610" s="70">
        <f>'RESUMEN TOTAL'!AE724</f>
        <v>0</v>
      </c>
      <c r="Y610" s="70">
        <f>'RESUMEN TOTAL'!AF724</f>
        <v>0</v>
      </c>
      <c r="Z610" s="70">
        <f>'RESUMEN TOTAL'!AG724</f>
        <v>0</v>
      </c>
      <c r="AA610" s="70">
        <f>'RESUMEN TOTAL'!AH724</f>
        <v>0</v>
      </c>
      <c r="AB610" s="70">
        <f>'RESUMEN TOTAL'!AI724</f>
        <v>0</v>
      </c>
      <c r="AC610" s="70">
        <f>'RESUMEN TOTAL'!AJ724</f>
        <v>0</v>
      </c>
      <c r="AD610" s="70">
        <f>'RESUMEN TOTAL'!AK724</f>
        <v>0</v>
      </c>
      <c r="AE610" s="70">
        <f>'RESUMEN TOTAL'!AL724</f>
        <v>0</v>
      </c>
      <c r="AF610" s="70">
        <f>'RESUMEN TOTAL'!AM724</f>
        <v>0</v>
      </c>
      <c r="AG610" s="70">
        <f>'RESUMEN TOTAL'!AN724</f>
        <v>0</v>
      </c>
      <c r="AH610" s="70">
        <f>'RESUMEN TOTAL'!AO724</f>
        <v>0</v>
      </c>
      <c r="AI610" s="70">
        <f>'RESUMEN TOTAL'!AP724</f>
        <v>0</v>
      </c>
      <c r="AJ610" s="70">
        <f>'RESUMEN TOTAL'!AQ724</f>
        <v>0</v>
      </c>
    </row>
    <row r="611" spans="1:36" x14ac:dyDescent="0.25">
      <c r="A611">
        <f>'RESUMEN TOTAL'!A725</f>
        <v>0</v>
      </c>
      <c r="B611">
        <f>'RESUMEN TOTAL'!B725</f>
        <v>0</v>
      </c>
      <c r="C611">
        <f>'RESUMEN TOTAL'!D725</f>
        <v>0</v>
      </c>
      <c r="D611" s="30">
        <f>'RESUMEN TOTAL'!E725</f>
        <v>0</v>
      </c>
      <c r="E611" s="30">
        <f>'RESUMEN TOTAL'!F725</f>
        <v>0</v>
      </c>
      <c r="F611" s="70">
        <f>'RESUMEN TOTAL'!M725</f>
        <v>0</v>
      </c>
      <c r="G611" s="70">
        <f>'RESUMEN TOTAL'!N725</f>
        <v>0</v>
      </c>
      <c r="H611" s="70">
        <f>'RESUMEN TOTAL'!O725</f>
        <v>0</v>
      </c>
      <c r="I611" s="70">
        <f>'RESUMEN TOTAL'!P725</f>
        <v>0</v>
      </c>
      <c r="J611" s="70">
        <f>'RESUMEN TOTAL'!Q725</f>
        <v>0</v>
      </c>
      <c r="K611" s="70">
        <f>'RESUMEN TOTAL'!R725</f>
        <v>0</v>
      </c>
      <c r="L611" s="70">
        <f>'RESUMEN TOTAL'!S725</f>
        <v>0</v>
      </c>
      <c r="M611" s="70">
        <f>'RESUMEN TOTAL'!T725</f>
        <v>0</v>
      </c>
      <c r="N611" s="70">
        <f>'RESUMEN TOTAL'!U725</f>
        <v>0</v>
      </c>
      <c r="O611" s="70">
        <f>'RESUMEN TOTAL'!V725</f>
        <v>0</v>
      </c>
      <c r="P611" s="70">
        <f>'RESUMEN TOTAL'!W725</f>
        <v>0</v>
      </c>
      <c r="Q611" s="70">
        <f>'RESUMEN TOTAL'!X725</f>
        <v>0</v>
      </c>
      <c r="R611" s="70">
        <f>'RESUMEN TOTAL'!Y725</f>
        <v>0</v>
      </c>
      <c r="S611" s="70">
        <f>'RESUMEN TOTAL'!Z725</f>
        <v>0</v>
      </c>
      <c r="T611" s="70">
        <f>'RESUMEN TOTAL'!AA725</f>
        <v>0</v>
      </c>
      <c r="U611" s="70">
        <f>'RESUMEN TOTAL'!AB725</f>
        <v>0</v>
      </c>
      <c r="V611" s="70">
        <f>'RESUMEN TOTAL'!AC725</f>
        <v>0</v>
      </c>
      <c r="W611" s="70">
        <f>'RESUMEN TOTAL'!AD725</f>
        <v>0</v>
      </c>
      <c r="X611" s="70">
        <f>'RESUMEN TOTAL'!AE725</f>
        <v>0</v>
      </c>
      <c r="Y611" s="70">
        <f>'RESUMEN TOTAL'!AF725</f>
        <v>0</v>
      </c>
      <c r="Z611" s="70">
        <f>'RESUMEN TOTAL'!AG725</f>
        <v>0</v>
      </c>
      <c r="AA611" s="70">
        <f>'RESUMEN TOTAL'!AH725</f>
        <v>0</v>
      </c>
      <c r="AB611" s="70">
        <f>'RESUMEN TOTAL'!AI725</f>
        <v>0</v>
      </c>
      <c r="AC611" s="70">
        <f>'RESUMEN TOTAL'!AJ725</f>
        <v>0</v>
      </c>
      <c r="AD611" s="70">
        <f>'RESUMEN TOTAL'!AK725</f>
        <v>0</v>
      </c>
      <c r="AE611" s="70">
        <f>'RESUMEN TOTAL'!AL725</f>
        <v>0</v>
      </c>
      <c r="AF611" s="70">
        <f>'RESUMEN TOTAL'!AM725</f>
        <v>0</v>
      </c>
      <c r="AG611" s="70">
        <f>'RESUMEN TOTAL'!AN725</f>
        <v>0</v>
      </c>
      <c r="AH611" s="70">
        <f>'RESUMEN TOTAL'!AO725</f>
        <v>0</v>
      </c>
      <c r="AI611" s="70">
        <f>'RESUMEN TOTAL'!AP725</f>
        <v>0</v>
      </c>
      <c r="AJ611" s="70">
        <f>'RESUMEN TOTAL'!AQ725</f>
        <v>0</v>
      </c>
    </row>
    <row r="612" spans="1:36" x14ac:dyDescent="0.25">
      <c r="A612">
        <f>'RESUMEN TOTAL'!A726</f>
        <v>0</v>
      </c>
      <c r="B612">
        <f>'RESUMEN TOTAL'!B726</f>
        <v>0</v>
      </c>
      <c r="C612">
        <f>'RESUMEN TOTAL'!D726</f>
        <v>0</v>
      </c>
      <c r="D612" s="30">
        <f>'RESUMEN TOTAL'!E726</f>
        <v>0</v>
      </c>
      <c r="E612" s="30">
        <f>'RESUMEN TOTAL'!F726</f>
        <v>0</v>
      </c>
      <c r="F612" s="70">
        <f>'RESUMEN TOTAL'!M726</f>
        <v>0</v>
      </c>
      <c r="G612" s="70">
        <f>'RESUMEN TOTAL'!N726</f>
        <v>0</v>
      </c>
      <c r="H612" s="70">
        <f>'RESUMEN TOTAL'!O726</f>
        <v>0</v>
      </c>
      <c r="I612" s="70">
        <f>'RESUMEN TOTAL'!P726</f>
        <v>0</v>
      </c>
      <c r="J612" s="70">
        <f>'RESUMEN TOTAL'!Q726</f>
        <v>0</v>
      </c>
      <c r="K612" s="70">
        <f>'RESUMEN TOTAL'!R726</f>
        <v>0</v>
      </c>
      <c r="L612" s="70">
        <f>'RESUMEN TOTAL'!S726</f>
        <v>0</v>
      </c>
      <c r="M612" s="70">
        <f>'RESUMEN TOTAL'!T726</f>
        <v>0</v>
      </c>
      <c r="N612" s="70">
        <f>'RESUMEN TOTAL'!U726</f>
        <v>0</v>
      </c>
      <c r="O612" s="70">
        <f>'RESUMEN TOTAL'!V726</f>
        <v>0</v>
      </c>
      <c r="P612" s="70">
        <f>'RESUMEN TOTAL'!W726</f>
        <v>0</v>
      </c>
      <c r="Q612" s="70">
        <f>'RESUMEN TOTAL'!X726</f>
        <v>0</v>
      </c>
      <c r="R612" s="70">
        <f>'RESUMEN TOTAL'!Y726</f>
        <v>0</v>
      </c>
      <c r="S612" s="70">
        <f>'RESUMEN TOTAL'!Z726</f>
        <v>0</v>
      </c>
      <c r="T612" s="70">
        <f>'RESUMEN TOTAL'!AA726</f>
        <v>0</v>
      </c>
      <c r="U612" s="70">
        <f>'RESUMEN TOTAL'!AB726</f>
        <v>0</v>
      </c>
      <c r="V612" s="70">
        <f>'RESUMEN TOTAL'!AC726</f>
        <v>0</v>
      </c>
      <c r="W612" s="70">
        <f>'RESUMEN TOTAL'!AD726</f>
        <v>0</v>
      </c>
      <c r="X612" s="70">
        <f>'RESUMEN TOTAL'!AE726</f>
        <v>0</v>
      </c>
      <c r="Y612" s="70">
        <f>'RESUMEN TOTAL'!AF726</f>
        <v>0</v>
      </c>
      <c r="Z612" s="70">
        <f>'RESUMEN TOTAL'!AG726</f>
        <v>0</v>
      </c>
      <c r="AA612" s="70">
        <f>'RESUMEN TOTAL'!AH726</f>
        <v>0</v>
      </c>
      <c r="AB612" s="70">
        <f>'RESUMEN TOTAL'!AI726</f>
        <v>0</v>
      </c>
      <c r="AC612" s="70">
        <f>'RESUMEN TOTAL'!AJ726</f>
        <v>0</v>
      </c>
      <c r="AD612" s="70">
        <f>'RESUMEN TOTAL'!AK726</f>
        <v>0</v>
      </c>
      <c r="AE612" s="70">
        <f>'RESUMEN TOTAL'!AL726</f>
        <v>0</v>
      </c>
      <c r="AF612" s="70">
        <f>'RESUMEN TOTAL'!AM726</f>
        <v>0</v>
      </c>
      <c r="AG612" s="70">
        <f>'RESUMEN TOTAL'!AN726</f>
        <v>0</v>
      </c>
      <c r="AH612" s="70">
        <f>'RESUMEN TOTAL'!AO726</f>
        <v>0</v>
      </c>
      <c r="AI612" s="70">
        <f>'RESUMEN TOTAL'!AP726</f>
        <v>0</v>
      </c>
      <c r="AJ612" s="70">
        <f>'RESUMEN TOTAL'!AQ726</f>
        <v>0</v>
      </c>
    </row>
    <row r="613" spans="1:36" x14ac:dyDescent="0.25">
      <c r="A613">
        <f>'RESUMEN TOTAL'!A727</f>
        <v>0</v>
      </c>
      <c r="B613">
        <f>'RESUMEN TOTAL'!B727</f>
        <v>0</v>
      </c>
      <c r="C613">
        <f>'RESUMEN TOTAL'!D727</f>
        <v>0</v>
      </c>
      <c r="D613" s="30">
        <f>'RESUMEN TOTAL'!E727</f>
        <v>0</v>
      </c>
      <c r="E613" s="30">
        <f>'RESUMEN TOTAL'!F727</f>
        <v>0</v>
      </c>
      <c r="F613" s="70">
        <f>'RESUMEN TOTAL'!M727</f>
        <v>0</v>
      </c>
      <c r="G613" s="70">
        <f>'RESUMEN TOTAL'!N727</f>
        <v>0</v>
      </c>
      <c r="H613" s="70">
        <f>'RESUMEN TOTAL'!O727</f>
        <v>0</v>
      </c>
      <c r="I613" s="70">
        <f>'RESUMEN TOTAL'!P727</f>
        <v>0</v>
      </c>
      <c r="J613" s="70">
        <f>'RESUMEN TOTAL'!Q727</f>
        <v>0</v>
      </c>
      <c r="K613" s="70">
        <f>'RESUMEN TOTAL'!R727</f>
        <v>0</v>
      </c>
      <c r="L613" s="70">
        <f>'RESUMEN TOTAL'!S727</f>
        <v>0</v>
      </c>
      <c r="M613" s="70">
        <f>'RESUMEN TOTAL'!T727</f>
        <v>0</v>
      </c>
      <c r="N613" s="70">
        <f>'RESUMEN TOTAL'!U727</f>
        <v>0</v>
      </c>
      <c r="O613" s="70">
        <f>'RESUMEN TOTAL'!V727</f>
        <v>0</v>
      </c>
      <c r="P613" s="70">
        <f>'RESUMEN TOTAL'!W727</f>
        <v>0</v>
      </c>
      <c r="Q613" s="70">
        <f>'RESUMEN TOTAL'!X727</f>
        <v>0</v>
      </c>
      <c r="R613" s="70">
        <f>'RESUMEN TOTAL'!Y727</f>
        <v>0</v>
      </c>
      <c r="S613" s="70">
        <f>'RESUMEN TOTAL'!Z727</f>
        <v>0</v>
      </c>
      <c r="T613" s="70">
        <f>'RESUMEN TOTAL'!AA727</f>
        <v>0</v>
      </c>
      <c r="U613" s="70">
        <f>'RESUMEN TOTAL'!AB727</f>
        <v>0</v>
      </c>
      <c r="V613" s="70">
        <f>'RESUMEN TOTAL'!AC727</f>
        <v>0</v>
      </c>
      <c r="W613" s="70">
        <f>'RESUMEN TOTAL'!AD727</f>
        <v>0</v>
      </c>
      <c r="X613" s="70">
        <f>'RESUMEN TOTAL'!AE727</f>
        <v>0</v>
      </c>
      <c r="Y613" s="70">
        <f>'RESUMEN TOTAL'!AF727</f>
        <v>0</v>
      </c>
      <c r="Z613" s="70">
        <f>'RESUMEN TOTAL'!AG727</f>
        <v>0</v>
      </c>
      <c r="AA613" s="70">
        <f>'RESUMEN TOTAL'!AH727</f>
        <v>0</v>
      </c>
      <c r="AB613" s="70">
        <f>'RESUMEN TOTAL'!AI727</f>
        <v>0</v>
      </c>
      <c r="AC613" s="70">
        <f>'RESUMEN TOTAL'!AJ727</f>
        <v>0</v>
      </c>
      <c r="AD613" s="70">
        <f>'RESUMEN TOTAL'!AK727</f>
        <v>0</v>
      </c>
      <c r="AE613" s="70">
        <f>'RESUMEN TOTAL'!AL727</f>
        <v>0</v>
      </c>
      <c r="AF613" s="70">
        <f>'RESUMEN TOTAL'!AM727</f>
        <v>0</v>
      </c>
      <c r="AG613" s="70">
        <f>'RESUMEN TOTAL'!AN727</f>
        <v>0</v>
      </c>
      <c r="AH613" s="70">
        <f>'RESUMEN TOTAL'!AO727</f>
        <v>0</v>
      </c>
      <c r="AI613" s="70">
        <f>'RESUMEN TOTAL'!AP727</f>
        <v>0</v>
      </c>
      <c r="AJ613" s="70">
        <f>'RESUMEN TOTAL'!AQ727</f>
        <v>0</v>
      </c>
    </row>
    <row r="614" spans="1:36" x14ac:dyDescent="0.25">
      <c r="A614">
        <f>'RESUMEN TOTAL'!A728</f>
        <v>0</v>
      </c>
      <c r="B614">
        <f>'RESUMEN TOTAL'!B728</f>
        <v>0</v>
      </c>
      <c r="C614">
        <f>'RESUMEN TOTAL'!D728</f>
        <v>0</v>
      </c>
      <c r="D614" s="30">
        <f>'RESUMEN TOTAL'!E728</f>
        <v>0</v>
      </c>
      <c r="E614" s="30">
        <f>'RESUMEN TOTAL'!F728</f>
        <v>0</v>
      </c>
      <c r="F614" s="70">
        <f>'RESUMEN TOTAL'!M728</f>
        <v>0</v>
      </c>
      <c r="G614" s="70">
        <f>'RESUMEN TOTAL'!N728</f>
        <v>0</v>
      </c>
      <c r="H614" s="70">
        <f>'RESUMEN TOTAL'!O728</f>
        <v>0</v>
      </c>
      <c r="I614" s="70">
        <f>'RESUMEN TOTAL'!P728</f>
        <v>0</v>
      </c>
      <c r="J614" s="70">
        <f>'RESUMEN TOTAL'!Q728</f>
        <v>0</v>
      </c>
      <c r="K614" s="70">
        <f>'RESUMEN TOTAL'!R728</f>
        <v>0</v>
      </c>
      <c r="L614" s="70">
        <f>'RESUMEN TOTAL'!S728</f>
        <v>0</v>
      </c>
      <c r="M614" s="70">
        <f>'RESUMEN TOTAL'!T728</f>
        <v>0</v>
      </c>
      <c r="N614" s="70">
        <f>'RESUMEN TOTAL'!U728</f>
        <v>0</v>
      </c>
      <c r="O614" s="70">
        <f>'RESUMEN TOTAL'!V728</f>
        <v>0</v>
      </c>
      <c r="P614" s="70">
        <f>'RESUMEN TOTAL'!W728</f>
        <v>0</v>
      </c>
      <c r="Q614" s="70">
        <f>'RESUMEN TOTAL'!X728</f>
        <v>0</v>
      </c>
      <c r="R614" s="70">
        <f>'RESUMEN TOTAL'!Y728</f>
        <v>0</v>
      </c>
      <c r="S614" s="70">
        <f>'RESUMEN TOTAL'!Z728</f>
        <v>0</v>
      </c>
      <c r="T614" s="70">
        <f>'RESUMEN TOTAL'!AA728</f>
        <v>0</v>
      </c>
      <c r="U614" s="70">
        <f>'RESUMEN TOTAL'!AB728</f>
        <v>0</v>
      </c>
      <c r="V614" s="70">
        <f>'RESUMEN TOTAL'!AC728</f>
        <v>0</v>
      </c>
      <c r="W614" s="70">
        <f>'RESUMEN TOTAL'!AD728</f>
        <v>0</v>
      </c>
      <c r="X614" s="70">
        <f>'RESUMEN TOTAL'!AE728</f>
        <v>0</v>
      </c>
      <c r="Y614" s="70">
        <f>'RESUMEN TOTAL'!AF728</f>
        <v>0</v>
      </c>
      <c r="Z614" s="70">
        <f>'RESUMEN TOTAL'!AG728</f>
        <v>0</v>
      </c>
      <c r="AA614" s="70">
        <f>'RESUMEN TOTAL'!AH728</f>
        <v>0</v>
      </c>
      <c r="AB614" s="70">
        <f>'RESUMEN TOTAL'!AI728</f>
        <v>0</v>
      </c>
      <c r="AC614" s="70">
        <f>'RESUMEN TOTAL'!AJ728</f>
        <v>0</v>
      </c>
      <c r="AD614" s="70">
        <f>'RESUMEN TOTAL'!AK728</f>
        <v>0</v>
      </c>
      <c r="AE614" s="70">
        <f>'RESUMEN TOTAL'!AL728</f>
        <v>0</v>
      </c>
      <c r="AF614" s="70">
        <f>'RESUMEN TOTAL'!AM728</f>
        <v>0</v>
      </c>
      <c r="AG614" s="70">
        <f>'RESUMEN TOTAL'!AN728</f>
        <v>0</v>
      </c>
      <c r="AH614" s="70">
        <f>'RESUMEN TOTAL'!AO728</f>
        <v>0</v>
      </c>
      <c r="AI614" s="70">
        <f>'RESUMEN TOTAL'!AP728</f>
        <v>0</v>
      </c>
      <c r="AJ614" s="70">
        <f>'RESUMEN TOTAL'!AQ728</f>
        <v>0</v>
      </c>
    </row>
    <row r="615" spans="1:36" x14ac:dyDescent="0.25">
      <c r="A615">
        <f>'RESUMEN TOTAL'!A729</f>
        <v>0</v>
      </c>
      <c r="B615">
        <f>'RESUMEN TOTAL'!B729</f>
        <v>0</v>
      </c>
      <c r="C615">
        <f>'RESUMEN TOTAL'!D729</f>
        <v>0</v>
      </c>
      <c r="D615" s="30">
        <f>'RESUMEN TOTAL'!E729</f>
        <v>0</v>
      </c>
      <c r="E615" s="30">
        <f>'RESUMEN TOTAL'!F729</f>
        <v>0</v>
      </c>
      <c r="F615" s="70">
        <f>'RESUMEN TOTAL'!M729</f>
        <v>0</v>
      </c>
      <c r="G615" s="70">
        <f>'RESUMEN TOTAL'!N729</f>
        <v>0</v>
      </c>
      <c r="H615" s="70">
        <f>'RESUMEN TOTAL'!O729</f>
        <v>0</v>
      </c>
      <c r="I615" s="70">
        <f>'RESUMEN TOTAL'!P729</f>
        <v>0</v>
      </c>
      <c r="J615" s="70">
        <f>'RESUMEN TOTAL'!Q729</f>
        <v>0</v>
      </c>
      <c r="K615" s="70">
        <f>'RESUMEN TOTAL'!R729</f>
        <v>0</v>
      </c>
      <c r="L615" s="70">
        <f>'RESUMEN TOTAL'!S729</f>
        <v>0</v>
      </c>
      <c r="M615" s="70">
        <f>'RESUMEN TOTAL'!T729</f>
        <v>0</v>
      </c>
      <c r="N615" s="70">
        <f>'RESUMEN TOTAL'!U729</f>
        <v>0</v>
      </c>
      <c r="O615" s="70">
        <f>'RESUMEN TOTAL'!V729</f>
        <v>0</v>
      </c>
      <c r="P615" s="70">
        <f>'RESUMEN TOTAL'!W729</f>
        <v>0</v>
      </c>
      <c r="Q615" s="70">
        <f>'RESUMEN TOTAL'!X729</f>
        <v>0</v>
      </c>
      <c r="R615" s="70">
        <f>'RESUMEN TOTAL'!Y729</f>
        <v>0</v>
      </c>
      <c r="S615" s="70">
        <f>'RESUMEN TOTAL'!Z729</f>
        <v>0</v>
      </c>
      <c r="T615" s="70">
        <f>'RESUMEN TOTAL'!AA729</f>
        <v>0</v>
      </c>
      <c r="U615" s="70">
        <f>'RESUMEN TOTAL'!AB729</f>
        <v>0</v>
      </c>
      <c r="V615" s="70">
        <f>'RESUMEN TOTAL'!AC729</f>
        <v>0</v>
      </c>
      <c r="W615" s="70">
        <f>'RESUMEN TOTAL'!AD729</f>
        <v>0</v>
      </c>
      <c r="X615" s="70">
        <f>'RESUMEN TOTAL'!AE729</f>
        <v>0</v>
      </c>
      <c r="Y615" s="70">
        <f>'RESUMEN TOTAL'!AF729</f>
        <v>0</v>
      </c>
      <c r="Z615" s="70">
        <f>'RESUMEN TOTAL'!AG729</f>
        <v>0</v>
      </c>
      <c r="AA615" s="70">
        <f>'RESUMEN TOTAL'!AH729</f>
        <v>0</v>
      </c>
      <c r="AB615" s="70">
        <f>'RESUMEN TOTAL'!AI729</f>
        <v>0</v>
      </c>
      <c r="AC615" s="70">
        <f>'RESUMEN TOTAL'!AJ729</f>
        <v>0</v>
      </c>
      <c r="AD615" s="70">
        <f>'RESUMEN TOTAL'!AK729</f>
        <v>0</v>
      </c>
      <c r="AE615" s="70">
        <f>'RESUMEN TOTAL'!AL729</f>
        <v>0</v>
      </c>
      <c r="AF615" s="70">
        <f>'RESUMEN TOTAL'!AM729</f>
        <v>0</v>
      </c>
      <c r="AG615" s="70">
        <f>'RESUMEN TOTAL'!AN729</f>
        <v>0</v>
      </c>
      <c r="AH615" s="70">
        <f>'RESUMEN TOTAL'!AO729</f>
        <v>0</v>
      </c>
      <c r="AI615" s="70">
        <f>'RESUMEN TOTAL'!AP729</f>
        <v>0</v>
      </c>
      <c r="AJ615" s="70">
        <f>'RESUMEN TOTAL'!AQ729</f>
        <v>0</v>
      </c>
    </row>
    <row r="616" spans="1:36" x14ac:dyDescent="0.25">
      <c r="A616">
        <f>'RESUMEN TOTAL'!A730</f>
        <v>0</v>
      </c>
      <c r="B616">
        <f>'RESUMEN TOTAL'!B730</f>
        <v>0</v>
      </c>
      <c r="C616">
        <f>'RESUMEN TOTAL'!D730</f>
        <v>0</v>
      </c>
      <c r="D616" s="30">
        <f>'RESUMEN TOTAL'!E730</f>
        <v>0</v>
      </c>
      <c r="E616" s="30">
        <f>'RESUMEN TOTAL'!F730</f>
        <v>0</v>
      </c>
      <c r="F616" s="70">
        <f>'RESUMEN TOTAL'!M730</f>
        <v>0</v>
      </c>
      <c r="G616" s="70">
        <f>'RESUMEN TOTAL'!N730</f>
        <v>0</v>
      </c>
      <c r="H616" s="70">
        <f>'RESUMEN TOTAL'!O730</f>
        <v>0</v>
      </c>
      <c r="I616" s="70">
        <f>'RESUMEN TOTAL'!P730</f>
        <v>0</v>
      </c>
      <c r="J616" s="70">
        <f>'RESUMEN TOTAL'!Q730</f>
        <v>0</v>
      </c>
      <c r="K616" s="70">
        <f>'RESUMEN TOTAL'!R730</f>
        <v>0</v>
      </c>
      <c r="L616" s="70">
        <f>'RESUMEN TOTAL'!S730</f>
        <v>0</v>
      </c>
      <c r="M616" s="70">
        <f>'RESUMEN TOTAL'!T730</f>
        <v>0</v>
      </c>
      <c r="N616" s="70">
        <f>'RESUMEN TOTAL'!U730</f>
        <v>0</v>
      </c>
      <c r="O616" s="70">
        <f>'RESUMEN TOTAL'!V730</f>
        <v>0</v>
      </c>
      <c r="P616" s="70">
        <f>'RESUMEN TOTAL'!W730</f>
        <v>0</v>
      </c>
      <c r="Q616" s="70">
        <f>'RESUMEN TOTAL'!X730</f>
        <v>0</v>
      </c>
      <c r="R616" s="70">
        <f>'RESUMEN TOTAL'!Y730</f>
        <v>0</v>
      </c>
      <c r="S616" s="70">
        <f>'RESUMEN TOTAL'!Z730</f>
        <v>0</v>
      </c>
      <c r="T616" s="70">
        <f>'RESUMEN TOTAL'!AA730</f>
        <v>0</v>
      </c>
      <c r="U616" s="70">
        <f>'RESUMEN TOTAL'!AB730</f>
        <v>0</v>
      </c>
      <c r="V616" s="70">
        <f>'RESUMEN TOTAL'!AC730</f>
        <v>0</v>
      </c>
      <c r="W616" s="70">
        <f>'RESUMEN TOTAL'!AD730</f>
        <v>0</v>
      </c>
      <c r="X616" s="70">
        <f>'RESUMEN TOTAL'!AE730</f>
        <v>0</v>
      </c>
      <c r="Y616" s="70">
        <f>'RESUMEN TOTAL'!AF730</f>
        <v>0</v>
      </c>
      <c r="Z616" s="70">
        <f>'RESUMEN TOTAL'!AG730</f>
        <v>0</v>
      </c>
      <c r="AA616" s="70">
        <f>'RESUMEN TOTAL'!AH730</f>
        <v>0</v>
      </c>
      <c r="AB616" s="70">
        <f>'RESUMEN TOTAL'!AI730</f>
        <v>0</v>
      </c>
      <c r="AC616" s="70">
        <f>'RESUMEN TOTAL'!AJ730</f>
        <v>0</v>
      </c>
      <c r="AD616" s="70">
        <f>'RESUMEN TOTAL'!AK730</f>
        <v>0</v>
      </c>
      <c r="AE616" s="70">
        <f>'RESUMEN TOTAL'!AL730</f>
        <v>0</v>
      </c>
      <c r="AF616" s="70">
        <f>'RESUMEN TOTAL'!AM730</f>
        <v>0</v>
      </c>
      <c r="AG616" s="70">
        <f>'RESUMEN TOTAL'!AN730</f>
        <v>0</v>
      </c>
      <c r="AH616" s="70">
        <f>'RESUMEN TOTAL'!AO730</f>
        <v>0</v>
      </c>
      <c r="AI616" s="70">
        <f>'RESUMEN TOTAL'!AP730</f>
        <v>0</v>
      </c>
      <c r="AJ616" s="70">
        <f>'RESUMEN TOTAL'!AQ730</f>
        <v>0</v>
      </c>
    </row>
    <row r="617" spans="1:36" x14ac:dyDescent="0.25">
      <c r="A617">
        <f>'RESUMEN TOTAL'!A731</f>
        <v>0</v>
      </c>
      <c r="B617">
        <f>'RESUMEN TOTAL'!B731</f>
        <v>0</v>
      </c>
      <c r="C617">
        <f>'RESUMEN TOTAL'!D731</f>
        <v>0</v>
      </c>
      <c r="D617" s="30">
        <f>'RESUMEN TOTAL'!E731</f>
        <v>0</v>
      </c>
      <c r="E617" s="30">
        <f>'RESUMEN TOTAL'!F731</f>
        <v>0</v>
      </c>
      <c r="F617" s="70">
        <f>'RESUMEN TOTAL'!M731</f>
        <v>0</v>
      </c>
      <c r="G617" s="70">
        <f>'RESUMEN TOTAL'!N731</f>
        <v>0</v>
      </c>
      <c r="H617" s="70">
        <f>'RESUMEN TOTAL'!O731</f>
        <v>0</v>
      </c>
      <c r="I617" s="70">
        <f>'RESUMEN TOTAL'!P731</f>
        <v>0</v>
      </c>
      <c r="J617" s="70">
        <f>'RESUMEN TOTAL'!Q731</f>
        <v>0</v>
      </c>
      <c r="K617" s="70">
        <f>'RESUMEN TOTAL'!R731</f>
        <v>0</v>
      </c>
      <c r="L617" s="70">
        <f>'RESUMEN TOTAL'!S731</f>
        <v>0</v>
      </c>
      <c r="M617" s="70">
        <f>'RESUMEN TOTAL'!T731</f>
        <v>0</v>
      </c>
      <c r="N617" s="70">
        <f>'RESUMEN TOTAL'!U731</f>
        <v>0</v>
      </c>
      <c r="O617" s="70">
        <f>'RESUMEN TOTAL'!V731</f>
        <v>0</v>
      </c>
      <c r="P617" s="70">
        <f>'RESUMEN TOTAL'!W731</f>
        <v>0</v>
      </c>
      <c r="Q617" s="70">
        <f>'RESUMEN TOTAL'!X731</f>
        <v>0</v>
      </c>
      <c r="R617" s="70">
        <f>'RESUMEN TOTAL'!Y731</f>
        <v>0</v>
      </c>
      <c r="S617" s="70">
        <f>'RESUMEN TOTAL'!Z731</f>
        <v>0</v>
      </c>
      <c r="T617" s="70">
        <f>'RESUMEN TOTAL'!AA731</f>
        <v>0</v>
      </c>
      <c r="U617" s="70">
        <f>'RESUMEN TOTAL'!AB731</f>
        <v>0</v>
      </c>
      <c r="V617" s="70">
        <f>'RESUMEN TOTAL'!AC731</f>
        <v>0</v>
      </c>
      <c r="W617" s="70">
        <f>'RESUMEN TOTAL'!AD731</f>
        <v>0</v>
      </c>
      <c r="X617" s="70">
        <f>'RESUMEN TOTAL'!AE731</f>
        <v>0</v>
      </c>
      <c r="Y617" s="70">
        <f>'RESUMEN TOTAL'!AF731</f>
        <v>0</v>
      </c>
      <c r="Z617" s="70">
        <f>'RESUMEN TOTAL'!AG731</f>
        <v>0</v>
      </c>
      <c r="AA617" s="70">
        <f>'RESUMEN TOTAL'!AH731</f>
        <v>0</v>
      </c>
      <c r="AB617" s="70">
        <f>'RESUMEN TOTAL'!AI731</f>
        <v>0</v>
      </c>
      <c r="AC617" s="70">
        <f>'RESUMEN TOTAL'!AJ731</f>
        <v>0</v>
      </c>
      <c r="AD617" s="70">
        <f>'RESUMEN TOTAL'!AK731</f>
        <v>0</v>
      </c>
      <c r="AE617" s="70">
        <f>'RESUMEN TOTAL'!AL731</f>
        <v>0</v>
      </c>
      <c r="AF617" s="70">
        <f>'RESUMEN TOTAL'!AM731</f>
        <v>0</v>
      </c>
      <c r="AG617" s="70">
        <f>'RESUMEN TOTAL'!AN731</f>
        <v>0</v>
      </c>
      <c r="AH617" s="70">
        <f>'RESUMEN TOTAL'!AO731</f>
        <v>0</v>
      </c>
      <c r="AI617" s="70">
        <f>'RESUMEN TOTAL'!AP731</f>
        <v>0</v>
      </c>
      <c r="AJ617" s="70">
        <f>'RESUMEN TOTAL'!AQ731</f>
        <v>0</v>
      </c>
    </row>
    <row r="618" spans="1:36" x14ac:dyDescent="0.25">
      <c r="A618">
        <f>'RESUMEN TOTAL'!A732</f>
        <v>0</v>
      </c>
      <c r="B618">
        <f>'RESUMEN TOTAL'!B732</f>
        <v>0</v>
      </c>
      <c r="C618">
        <f>'RESUMEN TOTAL'!D732</f>
        <v>0</v>
      </c>
      <c r="D618" s="30">
        <f>'RESUMEN TOTAL'!E732</f>
        <v>0</v>
      </c>
      <c r="E618" s="30">
        <f>'RESUMEN TOTAL'!F732</f>
        <v>0</v>
      </c>
      <c r="F618" s="70">
        <f>'RESUMEN TOTAL'!M732</f>
        <v>0</v>
      </c>
      <c r="G618" s="70">
        <f>'RESUMEN TOTAL'!N732</f>
        <v>0</v>
      </c>
      <c r="H618" s="70">
        <f>'RESUMEN TOTAL'!O732</f>
        <v>0</v>
      </c>
      <c r="I618" s="70">
        <f>'RESUMEN TOTAL'!P732</f>
        <v>0</v>
      </c>
      <c r="J618" s="70">
        <f>'RESUMEN TOTAL'!Q732</f>
        <v>0</v>
      </c>
      <c r="K618" s="70">
        <f>'RESUMEN TOTAL'!R732</f>
        <v>0</v>
      </c>
      <c r="L618" s="70">
        <f>'RESUMEN TOTAL'!S732</f>
        <v>0</v>
      </c>
      <c r="M618" s="70">
        <f>'RESUMEN TOTAL'!T732</f>
        <v>0</v>
      </c>
      <c r="N618" s="70">
        <f>'RESUMEN TOTAL'!U732</f>
        <v>0</v>
      </c>
      <c r="O618" s="70">
        <f>'RESUMEN TOTAL'!V732</f>
        <v>0</v>
      </c>
      <c r="P618" s="70">
        <f>'RESUMEN TOTAL'!W732</f>
        <v>0</v>
      </c>
      <c r="Q618" s="70">
        <f>'RESUMEN TOTAL'!X732</f>
        <v>0</v>
      </c>
      <c r="R618" s="70">
        <f>'RESUMEN TOTAL'!Y732</f>
        <v>0</v>
      </c>
      <c r="S618" s="70">
        <f>'RESUMEN TOTAL'!Z732</f>
        <v>0</v>
      </c>
      <c r="T618" s="70">
        <f>'RESUMEN TOTAL'!AA732</f>
        <v>0</v>
      </c>
      <c r="U618" s="70">
        <f>'RESUMEN TOTAL'!AB732</f>
        <v>0</v>
      </c>
      <c r="V618" s="70">
        <f>'RESUMEN TOTAL'!AC732</f>
        <v>0</v>
      </c>
      <c r="W618" s="70">
        <f>'RESUMEN TOTAL'!AD732</f>
        <v>0</v>
      </c>
      <c r="X618" s="70">
        <f>'RESUMEN TOTAL'!AE732</f>
        <v>0</v>
      </c>
      <c r="Y618" s="70">
        <f>'RESUMEN TOTAL'!AF732</f>
        <v>0</v>
      </c>
      <c r="Z618" s="70">
        <f>'RESUMEN TOTAL'!AG732</f>
        <v>0</v>
      </c>
      <c r="AA618" s="70">
        <f>'RESUMEN TOTAL'!AH732</f>
        <v>0</v>
      </c>
      <c r="AB618" s="70">
        <f>'RESUMEN TOTAL'!AI732</f>
        <v>0</v>
      </c>
      <c r="AC618" s="70">
        <f>'RESUMEN TOTAL'!AJ732</f>
        <v>0</v>
      </c>
      <c r="AD618" s="70">
        <f>'RESUMEN TOTAL'!AK732</f>
        <v>0</v>
      </c>
      <c r="AE618" s="70">
        <f>'RESUMEN TOTAL'!AL732</f>
        <v>0</v>
      </c>
      <c r="AF618" s="70">
        <f>'RESUMEN TOTAL'!AM732</f>
        <v>0</v>
      </c>
      <c r="AG618" s="70">
        <f>'RESUMEN TOTAL'!AN732</f>
        <v>0</v>
      </c>
      <c r="AH618" s="70">
        <f>'RESUMEN TOTAL'!AO732</f>
        <v>0</v>
      </c>
      <c r="AI618" s="70">
        <f>'RESUMEN TOTAL'!AP732</f>
        <v>0</v>
      </c>
      <c r="AJ618" s="70">
        <f>'RESUMEN TOTAL'!AQ732</f>
        <v>0</v>
      </c>
    </row>
    <row r="619" spans="1:36" x14ac:dyDescent="0.25">
      <c r="A619">
        <f>'RESUMEN TOTAL'!A733</f>
        <v>0</v>
      </c>
      <c r="B619">
        <f>'RESUMEN TOTAL'!B733</f>
        <v>0</v>
      </c>
      <c r="C619">
        <f>'RESUMEN TOTAL'!D733</f>
        <v>0</v>
      </c>
      <c r="D619" s="30">
        <f>'RESUMEN TOTAL'!E733</f>
        <v>0</v>
      </c>
      <c r="E619" s="30">
        <f>'RESUMEN TOTAL'!F733</f>
        <v>0</v>
      </c>
      <c r="F619" s="70">
        <f>'RESUMEN TOTAL'!M733</f>
        <v>0</v>
      </c>
      <c r="G619" s="70">
        <f>'RESUMEN TOTAL'!N733</f>
        <v>0</v>
      </c>
      <c r="H619" s="70">
        <f>'RESUMEN TOTAL'!O733</f>
        <v>0</v>
      </c>
      <c r="I619" s="70">
        <f>'RESUMEN TOTAL'!P733</f>
        <v>0</v>
      </c>
      <c r="J619" s="70">
        <f>'RESUMEN TOTAL'!Q733</f>
        <v>0</v>
      </c>
      <c r="K619" s="70">
        <f>'RESUMEN TOTAL'!R733</f>
        <v>0</v>
      </c>
      <c r="L619" s="70">
        <f>'RESUMEN TOTAL'!S733</f>
        <v>0</v>
      </c>
      <c r="M619" s="70">
        <f>'RESUMEN TOTAL'!T733</f>
        <v>0</v>
      </c>
      <c r="N619" s="70">
        <f>'RESUMEN TOTAL'!U733</f>
        <v>0</v>
      </c>
      <c r="O619" s="70">
        <f>'RESUMEN TOTAL'!V733</f>
        <v>0</v>
      </c>
      <c r="P619" s="70">
        <f>'RESUMEN TOTAL'!W733</f>
        <v>0</v>
      </c>
      <c r="Q619" s="70">
        <f>'RESUMEN TOTAL'!X733</f>
        <v>0</v>
      </c>
      <c r="R619" s="70">
        <f>'RESUMEN TOTAL'!Y733</f>
        <v>0</v>
      </c>
      <c r="S619" s="70">
        <f>'RESUMEN TOTAL'!Z733</f>
        <v>0</v>
      </c>
      <c r="T619" s="70">
        <f>'RESUMEN TOTAL'!AA733</f>
        <v>0</v>
      </c>
      <c r="U619" s="70">
        <f>'RESUMEN TOTAL'!AB733</f>
        <v>0</v>
      </c>
      <c r="V619" s="70">
        <f>'RESUMEN TOTAL'!AC733</f>
        <v>0</v>
      </c>
      <c r="W619" s="70">
        <f>'RESUMEN TOTAL'!AD733</f>
        <v>0</v>
      </c>
      <c r="X619" s="70">
        <f>'RESUMEN TOTAL'!AE733</f>
        <v>0</v>
      </c>
      <c r="Y619" s="70">
        <f>'RESUMEN TOTAL'!AF733</f>
        <v>0</v>
      </c>
      <c r="Z619" s="70">
        <f>'RESUMEN TOTAL'!AG733</f>
        <v>0</v>
      </c>
      <c r="AA619" s="70">
        <f>'RESUMEN TOTAL'!AH733</f>
        <v>0</v>
      </c>
      <c r="AB619" s="70">
        <f>'RESUMEN TOTAL'!AI733</f>
        <v>0</v>
      </c>
      <c r="AC619" s="70">
        <f>'RESUMEN TOTAL'!AJ733</f>
        <v>0</v>
      </c>
      <c r="AD619" s="70">
        <f>'RESUMEN TOTAL'!AK733</f>
        <v>0</v>
      </c>
      <c r="AE619" s="70">
        <f>'RESUMEN TOTAL'!AL733</f>
        <v>0</v>
      </c>
      <c r="AF619" s="70">
        <f>'RESUMEN TOTAL'!AM733</f>
        <v>0</v>
      </c>
      <c r="AG619" s="70">
        <f>'RESUMEN TOTAL'!AN733</f>
        <v>0</v>
      </c>
      <c r="AH619" s="70">
        <f>'RESUMEN TOTAL'!AO733</f>
        <v>0</v>
      </c>
      <c r="AI619" s="70">
        <f>'RESUMEN TOTAL'!AP733</f>
        <v>0</v>
      </c>
      <c r="AJ619" s="70">
        <f>'RESUMEN TOTAL'!AQ733</f>
        <v>0</v>
      </c>
    </row>
    <row r="620" spans="1:36" x14ac:dyDescent="0.25">
      <c r="A620">
        <f>'RESUMEN TOTAL'!A734</f>
        <v>0</v>
      </c>
      <c r="B620">
        <f>'RESUMEN TOTAL'!B734</f>
        <v>0</v>
      </c>
      <c r="C620">
        <f>'RESUMEN TOTAL'!D734</f>
        <v>0</v>
      </c>
      <c r="D620" s="30">
        <f>'RESUMEN TOTAL'!E734</f>
        <v>0</v>
      </c>
      <c r="E620" s="30">
        <f>'RESUMEN TOTAL'!F734</f>
        <v>0</v>
      </c>
      <c r="F620" s="70">
        <f>'RESUMEN TOTAL'!M734</f>
        <v>0</v>
      </c>
      <c r="G620" s="70">
        <f>'RESUMEN TOTAL'!N734</f>
        <v>0</v>
      </c>
      <c r="H620" s="70">
        <f>'RESUMEN TOTAL'!O734</f>
        <v>0</v>
      </c>
      <c r="I620" s="70">
        <f>'RESUMEN TOTAL'!P734</f>
        <v>0</v>
      </c>
      <c r="J620" s="70">
        <f>'RESUMEN TOTAL'!Q734</f>
        <v>0</v>
      </c>
      <c r="K620" s="70">
        <f>'RESUMEN TOTAL'!R734</f>
        <v>0</v>
      </c>
      <c r="L620" s="70">
        <f>'RESUMEN TOTAL'!S734</f>
        <v>0</v>
      </c>
      <c r="M620" s="70">
        <f>'RESUMEN TOTAL'!T734</f>
        <v>0</v>
      </c>
      <c r="N620" s="70">
        <f>'RESUMEN TOTAL'!U734</f>
        <v>0</v>
      </c>
      <c r="O620" s="70">
        <f>'RESUMEN TOTAL'!V734</f>
        <v>0</v>
      </c>
      <c r="P620" s="70">
        <f>'RESUMEN TOTAL'!W734</f>
        <v>0</v>
      </c>
      <c r="Q620" s="70">
        <f>'RESUMEN TOTAL'!X734</f>
        <v>0</v>
      </c>
      <c r="R620" s="70">
        <f>'RESUMEN TOTAL'!Y734</f>
        <v>0</v>
      </c>
      <c r="S620" s="70">
        <f>'RESUMEN TOTAL'!Z734</f>
        <v>0</v>
      </c>
      <c r="T620" s="70">
        <f>'RESUMEN TOTAL'!AA734</f>
        <v>0</v>
      </c>
      <c r="U620" s="70">
        <f>'RESUMEN TOTAL'!AB734</f>
        <v>0</v>
      </c>
      <c r="V620" s="70">
        <f>'RESUMEN TOTAL'!AC734</f>
        <v>0</v>
      </c>
      <c r="W620" s="70">
        <f>'RESUMEN TOTAL'!AD734</f>
        <v>0</v>
      </c>
      <c r="X620" s="70">
        <f>'RESUMEN TOTAL'!AE734</f>
        <v>0</v>
      </c>
      <c r="Y620" s="70">
        <f>'RESUMEN TOTAL'!AF734</f>
        <v>0</v>
      </c>
      <c r="Z620" s="70">
        <f>'RESUMEN TOTAL'!AG734</f>
        <v>0</v>
      </c>
      <c r="AA620" s="70">
        <f>'RESUMEN TOTAL'!AH734</f>
        <v>0</v>
      </c>
      <c r="AB620" s="70">
        <f>'RESUMEN TOTAL'!AI734</f>
        <v>0</v>
      </c>
      <c r="AC620" s="70">
        <f>'RESUMEN TOTAL'!AJ734</f>
        <v>0</v>
      </c>
      <c r="AD620" s="70">
        <f>'RESUMEN TOTAL'!AK734</f>
        <v>0</v>
      </c>
      <c r="AE620" s="70">
        <f>'RESUMEN TOTAL'!AL734</f>
        <v>0</v>
      </c>
      <c r="AF620" s="70">
        <f>'RESUMEN TOTAL'!AM734</f>
        <v>0</v>
      </c>
      <c r="AG620" s="70">
        <f>'RESUMEN TOTAL'!AN734</f>
        <v>0</v>
      </c>
      <c r="AH620" s="70">
        <f>'RESUMEN TOTAL'!AO734</f>
        <v>0</v>
      </c>
      <c r="AI620" s="70">
        <f>'RESUMEN TOTAL'!AP734</f>
        <v>0</v>
      </c>
      <c r="AJ620" s="70">
        <f>'RESUMEN TOTAL'!AQ734</f>
        <v>0</v>
      </c>
    </row>
    <row r="621" spans="1:36" x14ac:dyDescent="0.25">
      <c r="A621">
        <f>'RESUMEN TOTAL'!A735</f>
        <v>0</v>
      </c>
      <c r="B621">
        <f>'RESUMEN TOTAL'!B735</f>
        <v>0</v>
      </c>
      <c r="C621">
        <f>'RESUMEN TOTAL'!D735</f>
        <v>0</v>
      </c>
      <c r="D621" s="30">
        <f>'RESUMEN TOTAL'!E735</f>
        <v>0</v>
      </c>
      <c r="E621" s="30">
        <f>'RESUMEN TOTAL'!F735</f>
        <v>0</v>
      </c>
      <c r="F621" s="70">
        <f>'RESUMEN TOTAL'!M735</f>
        <v>0</v>
      </c>
      <c r="G621" s="70">
        <f>'RESUMEN TOTAL'!N735</f>
        <v>0</v>
      </c>
      <c r="H621" s="70">
        <f>'RESUMEN TOTAL'!O735</f>
        <v>0</v>
      </c>
      <c r="I621" s="70">
        <f>'RESUMEN TOTAL'!P735</f>
        <v>0</v>
      </c>
      <c r="J621" s="70">
        <f>'RESUMEN TOTAL'!Q735</f>
        <v>0</v>
      </c>
      <c r="K621" s="70">
        <f>'RESUMEN TOTAL'!R735</f>
        <v>0</v>
      </c>
      <c r="L621" s="70">
        <f>'RESUMEN TOTAL'!S735</f>
        <v>0</v>
      </c>
      <c r="M621" s="70">
        <f>'RESUMEN TOTAL'!T735</f>
        <v>0</v>
      </c>
      <c r="N621" s="70">
        <f>'RESUMEN TOTAL'!U735</f>
        <v>0</v>
      </c>
      <c r="O621" s="70">
        <f>'RESUMEN TOTAL'!V735</f>
        <v>0</v>
      </c>
      <c r="P621" s="70">
        <f>'RESUMEN TOTAL'!W735</f>
        <v>0</v>
      </c>
      <c r="Q621" s="70">
        <f>'RESUMEN TOTAL'!X735</f>
        <v>0</v>
      </c>
      <c r="R621" s="70">
        <f>'RESUMEN TOTAL'!Y735</f>
        <v>0</v>
      </c>
      <c r="S621" s="70">
        <f>'RESUMEN TOTAL'!Z735</f>
        <v>0</v>
      </c>
      <c r="T621" s="70">
        <f>'RESUMEN TOTAL'!AA735</f>
        <v>0</v>
      </c>
      <c r="U621" s="70">
        <f>'RESUMEN TOTAL'!AB735</f>
        <v>0</v>
      </c>
      <c r="V621" s="70">
        <f>'RESUMEN TOTAL'!AC735</f>
        <v>0</v>
      </c>
      <c r="W621" s="70">
        <f>'RESUMEN TOTAL'!AD735</f>
        <v>0</v>
      </c>
      <c r="X621" s="70">
        <f>'RESUMEN TOTAL'!AE735</f>
        <v>0</v>
      </c>
      <c r="Y621" s="70">
        <f>'RESUMEN TOTAL'!AF735</f>
        <v>0</v>
      </c>
      <c r="Z621" s="70">
        <f>'RESUMEN TOTAL'!AG735</f>
        <v>0</v>
      </c>
      <c r="AA621" s="70">
        <f>'RESUMEN TOTAL'!AH735</f>
        <v>0</v>
      </c>
      <c r="AB621" s="70">
        <f>'RESUMEN TOTAL'!AI735</f>
        <v>0</v>
      </c>
      <c r="AC621" s="70">
        <f>'RESUMEN TOTAL'!AJ735</f>
        <v>0</v>
      </c>
      <c r="AD621" s="70">
        <f>'RESUMEN TOTAL'!AK735</f>
        <v>0</v>
      </c>
      <c r="AE621" s="70">
        <f>'RESUMEN TOTAL'!AL735</f>
        <v>0</v>
      </c>
      <c r="AF621" s="70">
        <f>'RESUMEN TOTAL'!AM735</f>
        <v>0</v>
      </c>
      <c r="AG621" s="70">
        <f>'RESUMEN TOTAL'!AN735</f>
        <v>0</v>
      </c>
      <c r="AH621" s="70">
        <f>'RESUMEN TOTAL'!AO735</f>
        <v>0</v>
      </c>
      <c r="AI621" s="70">
        <f>'RESUMEN TOTAL'!AP735</f>
        <v>0</v>
      </c>
      <c r="AJ621" s="70">
        <f>'RESUMEN TOTAL'!AQ735</f>
        <v>0</v>
      </c>
    </row>
    <row r="622" spans="1:36" x14ac:dyDescent="0.25">
      <c r="A622">
        <f>'RESUMEN TOTAL'!A736</f>
        <v>0</v>
      </c>
      <c r="B622">
        <f>'RESUMEN TOTAL'!B736</f>
        <v>0</v>
      </c>
      <c r="C622">
        <f>'RESUMEN TOTAL'!D736</f>
        <v>0</v>
      </c>
      <c r="D622" s="30">
        <f>'RESUMEN TOTAL'!E736</f>
        <v>0</v>
      </c>
      <c r="E622" s="30">
        <f>'RESUMEN TOTAL'!F736</f>
        <v>0</v>
      </c>
      <c r="F622" s="70">
        <f>'RESUMEN TOTAL'!M736</f>
        <v>0</v>
      </c>
      <c r="G622" s="70">
        <f>'RESUMEN TOTAL'!N736</f>
        <v>0</v>
      </c>
      <c r="H622" s="70">
        <f>'RESUMEN TOTAL'!O736</f>
        <v>0</v>
      </c>
      <c r="I622" s="70">
        <f>'RESUMEN TOTAL'!P736</f>
        <v>0</v>
      </c>
      <c r="J622" s="70">
        <f>'RESUMEN TOTAL'!Q736</f>
        <v>0</v>
      </c>
      <c r="K622" s="70">
        <f>'RESUMEN TOTAL'!R736</f>
        <v>0</v>
      </c>
      <c r="L622" s="70">
        <f>'RESUMEN TOTAL'!S736</f>
        <v>0</v>
      </c>
      <c r="M622" s="70">
        <f>'RESUMEN TOTAL'!T736</f>
        <v>0</v>
      </c>
      <c r="N622" s="70">
        <f>'RESUMEN TOTAL'!U736</f>
        <v>0</v>
      </c>
      <c r="O622" s="70">
        <f>'RESUMEN TOTAL'!V736</f>
        <v>0</v>
      </c>
      <c r="P622" s="70">
        <f>'RESUMEN TOTAL'!W736</f>
        <v>0</v>
      </c>
      <c r="Q622" s="70">
        <f>'RESUMEN TOTAL'!X736</f>
        <v>0</v>
      </c>
      <c r="R622" s="70">
        <f>'RESUMEN TOTAL'!Y736</f>
        <v>0</v>
      </c>
      <c r="S622" s="70">
        <f>'RESUMEN TOTAL'!Z736</f>
        <v>0</v>
      </c>
      <c r="T622" s="70">
        <f>'RESUMEN TOTAL'!AA736</f>
        <v>0</v>
      </c>
      <c r="U622" s="70">
        <f>'RESUMEN TOTAL'!AB736</f>
        <v>0</v>
      </c>
      <c r="V622" s="70">
        <f>'RESUMEN TOTAL'!AC736</f>
        <v>0</v>
      </c>
      <c r="W622" s="70">
        <f>'RESUMEN TOTAL'!AD736</f>
        <v>0</v>
      </c>
      <c r="X622" s="70">
        <f>'RESUMEN TOTAL'!AE736</f>
        <v>0</v>
      </c>
      <c r="Y622" s="70">
        <f>'RESUMEN TOTAL'!AF736</f>
        <v>0</v>
      </c>
      <c r="Z622" s="70">
        <f>'RESUMEN TOTAL'!AG736</f>
        <v>0</v>
      </c>
      <c r="AA622" s="70">
        <f>'RESUMEN TOTAL'!AH736</f>
        <v>0</v>
      </c>
      <c r="AB622" s="70">
        <f>'RESUMEN TOTAL'!AI736</f>
        <v>0</v>
      </c>
      <c r="AC622" s="70">
        <f>'RESUMEN TOTAL'!AJ736</f>
        <v>0</v>
      </c>
      <c r="AD622" s="70">
        <f>'RESUMEN TOTAL'!AK736</f>
        <v>0</v>
      </c>
      <c r="AE622" s="70">
        <f>'RESUMEN TOTAL'!AL736</f>
        <v>0</v>
      </c>
      <c r="AF622" s="70">
        <f>'RESUMEN TOTAL'!AM736</f>
        <v>0</v>
      </c>
      <c r="AG622" s="70">
        <f>'RESUMEN TOTAL'!AN736</f>
        <v>0</v>
      </c>
      <c r="AH622" s="70">
        <f>'RESUMEN TOTAL'!AO736</f>
        <v>0</v>
      </c>
      <c r="AI622" s="70">
        <f>'RESUMEN TOTAL'!AP736</f>
        <v>0</v>
      </c>
      <c r="AJ622" s="70">
        <f>'RESUMEN TOTAL'!AQ736</f>
        <v>0</v>
      </c>
    </row>
    <row r="623" spans="1:36" x14ac:dyDescent="0.25">
      <c r="A623">
        <f>'RESUMEN TOTAL'!A737</f>
        <v>0</v>
      </c>
      <c r="B623">
        <f>'RESUMEN TOTAL'!B737</f>
        <v>0</v>
      </c>
      <c r="C623">
        <f>'RESUMEN TOTAL'!D737</f>
        <v>0</v>
      </c>
      <c r="D623" s="30">
        <f>'RESUMEN TOTAL'!E737</f>
        <v>0</v>
      </c>
      <c r="E623" s="30">
        <f>'RESUMEN TOTAL'!F737</f>
        <v>0</v>
      </c>
      <c r="F623" s="70">
        <f>'RESUMEN TOTAL'!M737</f>
        <v>0</v>
      </c>
      <c r="G623" s="70">
        <f>'RESUMEN TOTAL'!N737</f>
        <v>0</v>
      </c>
      <c r="H623" s="70">
        <f>'RESUMEN TOTAL'!O737</f>
        <v>0</v>
      </c>
      <c r="I623" s="70">
        <f>'RESUMEN TOTAL'!P737</f>
        <v>0</v>
      </c>
      <c r="J623" s="70">
        <f>'RESUMEN TOTAL'!Q737</f>
        <v>0</v>
      </c>
      <c r="K623" s="70">
        <f>'RESUMEN TOTAL'!R737</f>
        <v>0</v>
      </c>
      <c r="L623" s="70">
        <f>'RESUMEN TOTAL'!S737</f>
        <v>0</v>
      </c>
      <c r="M623" s="70">
        <f>'RESUMEN TOTAL'!T737</f>
        <v>0</v>
      </c>
      <c r="N623" s="70">
        <f>'RESUMEN TOTAL'!U737</f>
        <v>0</v>
      </c>
      <c r="O623" s="70">
        <f>'RESUMEN TOTAL'!V737</f>
        <v>0</v>
      </c>
      <c r="P623" s="70">
        <f>'RESUMEN TOTAL'!W737</f>
        <v>0</v>
      </c>
      <c r="Q623" s="70">
        <f>'RESUMEN TOTAL'!X737</f>
        <v>0</v>
      </c>
      <c r="R623" s="70">
        <f>'RESUMEN TOTAL'!Y737</f>
        <v>0</v>
      </c>
      <c r="S623" s="70">
        <f>'RESUMEN TOTAL'!Z737</f>
        <v>0</v>
      </c>
      <c r="T623" s="70">
        <f>'RESUMEN TOTAL'!AA737</f>
        <v>0</v>
      </c>
      <c r="U623" s="70">
        <f>'RESUMEN TOTAL'!AB737</f>
        <v>0</v>
      </c>
      <c r="V623" s="70">
        <f>'RESUMEN TOTAL'!AC737</f>
        <v>0</v>
      </c>
      <c r="W623" s="70">
        <f>'RESUMEN TOTAL'!AD737</f>
        <v>0</v>
      </c>
      <c r="X623" s="70">
        <f>'RESUMEN TOTAL'!AE737</f>
        <v>0</v>
      </c>
      <c r="Y623" s="70">
        <f>'RESUMEN TOTAL'!AF737</f>
        <v>0</v>
      </c>
      <c r="Z623" s="70">
        <f>'RESUMEN TOTAL'!AG737</f>
        <v>0</v>
      </c>
      <c r="AA623" s="70">
        <f>'RESUMEN TOTAL'!AH737</f>
        <v>0</v>
      </c>
      <c r="AB623" s="70">
        <f>'RESUMEN TOTAL'!AI737</f>
        <v>0</v>
      </c>
      <c r="AC623" s="70">
        <f>'RESUMEN TOTAL'!AJ737</f>
        <v>0</v>
      </c>
      <c r="AD623" s="70">
        <f>'RESUMEN TOTAL'!AK737</f>
        <v>0</v>
      </c>
      <c r="AE623" s="70">
        <f>'RESUMEN TOTAL'!AL737</f>
        <v>0</v>
      </c>
      <c r="AF623" s="70">
        <f>'RESUMEN TOTAL'!AM737</f>
        <v>0</v>
      </c>
      <c r="AG623" s="70">
        <f>'RESUMEN TOTAL'!AN737</f>
        <v>0</v>
      </c>
      <c r="AH623" s="70">
        <f>'RESUMEN TOTAL'!AO737</f>
        <v>0</v>
      </c>
      <c r="AI623" s="70">
        <f>'RESUMEN TOTAL'!AP737</f>
        <v>0</v>
      </c>
      <c r="AJ623" s="70">
        <f>'RESUMEN TOTAL'!AQ737</f>
        <v>0</v>
      </c>
    </row>
    <row r="624" spans="1:36" x14ac:dyDescent="0.25">
      <c r="A624">
        <f>'RESUMEN TOTAL'!A738</f>
        <v>0</v>
      </c>
      <c r="B624">
        <f>'RESUMEN TOTAL'!B738</f>
        <v>0</v>
      </c>
      <c r="C624">
        <f>'RESUMEN TOTAL'!D738</f>
        <v>0</v>
      </c>
      <c r="D624" s="30">
        <f>'RESUMEN TOTAL'!E738</f>
        <v>0</v>
      </c>
      <c r="E624" s="30">
        <f>'RESUMEN TOTAL'!F738</f>
        <v>0</v>
      </c>
      <c r="F624" s="70">
        <f>'RESUMEN TOTAL'!M738</f>
        <v>0</v>
      </c>
      <c r="G624" s="70">
        <f>'RESUMEN TOTAL'!N738</f>
        <v>0</v>
      </c>
      <c r="H624" s="70">
        <f>'RESUMEN TOTAL'!O738</f>
        <v>0</v>
      </c>
      <c r="I624" s="70">
        <f>'RESUMEN TOTAL'!P738</f>
        <v>0</v>
      </c>
      <c r="J624" s="70">
        <f>'RESUMEN TOTAL'!Q738</f>
        <v>0</v>
      </c>
      <c r="K624" s="70">
        <f>'RESUMEN TOTAL'!R738</f>
        <v>0</v>
      </c>
      <c r="L624" s="70">
        <f>'RESUMEN TOTAL'!S738</f>
        <v>0</v>
      </c>
      <c r="M624" s="70">
        <f>'RESUMEN TOTAL'!T738</f>
        <v>0</v>
      </c>
      <c r="N624" s="70">
        <f>'RESUMEN TOTAL'!U738</f>
        <v>0</v>
      </c>
      <c r="O624" s="70">
        <f>'RESUMEN TOTAL'!V738</f>
        <v>0</v>
      </c>
      <c r="P624" s="70">
        <f>'RESUMEN TOTAL'!W738</f>
        <v>0</v>
      </c>
      <c r="Q624" s="70">
        <f>'RESUMEN TOTAL'!X738</f>
        <v>0</v>
      </c>
      <c r="R624" s="70">
        <f>'RESUMEN TOTAL'!Y738</f>
        <v>0</v>
      </c>
      <c r="S624" s="70">
        <f>'RESUMEN TOTAL'!Z738</f>
        <v>0</v>
      </c>
      <c r="T624" s="70">
        <f>'RESUMEN TOTAL'!AA738</f>
        <v>0</v>
      </c>
      <c r="U624" s="70">
        <f>'RESUMEN TOTAL'!AB738</f>
        <v>0</v>
      </c>
      <c r="V624" s="70">
        <f>'RESUMEN TOTAL'!AC738</f>
        <v>0</v>
      </c>
      <c r="W624" s="70">
        <f>'RESUMEN TOTAL'!AD738</f>
        <v>0</v>
      </c>
      <c r="X624" s="70">
        <f>'RESUMEN TOTAL'!AE738</f>
        <v>0</v>
      </c>
      <c r="Y624" s="70">
        <f>'RESUMEN TOTAL'!AF738</f>
        <v>0</v>
      </c>
      <c r="Z624" s="70">
        <f>'RESUMEN TOTAL'!AG738</f>
        <v>0</v>
      </c>
      <c r="AA624" s="70">
        <f>'RESUMEN TOTAL'!AH738</f>
        <v>0</v>
      </c>
      <c r="AB624" s="70">
        <f>'RESUMEN TOTAL'!AI738</f>
        <v>0</v>
      </c>
      <c r="AC624" s="70">
        <f>'RESUMEN TOTAL'!AJ738</f>
        <v>0</v>
      </c>
      <c r="AD624" s="70">
        <f>'RESUMEN TOTAL'!AK738</f>
        <v>0</v>
      </c>
      <c r="AE624" s="70">
        <f>'RESUMEN TOTAL'!AL738</f>
        <v>0</v>
      </c>
      <c r="AF624" s="70">
        <f>'RESUMEN TOTAL'!AM738</f>
        <v>0</v>
      </c>
      <c r="AG624" s="70">
        <f>'RESUMEN TOTAL'!AN738</f>
        <v>0</v>
      </c>
      <c r="AH624" s="70">
        <f>'RESUMEN TOTAL'!AO738</f>
        <v>0</v>
      </c>
      <c r="AI624" s="70">
        <f>'RESUMEN TOTAL'!AP738</f>
        <v>0</v>
      </c>
      <c r="AJ624" s="70">
        <f>'RESUMEN TOTAL'!AQ738</f>
        <v>0</v>
      </c>
    </row>
    <row r="625" spans="1:36" x14ac:dyDescent="0.25">
      <c r="A625">
        <f>'RESUMEN TOTAL'!A739</f>
        <v>0</v>
      </c>
      <c r="B625">
        <f>'RESUMEN TOTAL'!B739</f>
        <v>0</v>
      </c>
      <c r="C625">
        <f>'RESUMEN TOTAL'!D739</f>
        <v>0</v>
      </c>
      <c r="D625" s="30">
        <f>'RESUMEN TOTAL'!E739</f>
        <v>0</v>
      </c>
      <c r="E625" s="30">
        <f>'RESUMEN TOTAL'!F739</f>
        <v>0</v>
      </c>
      <c r="F625" s="70">
        <f>'RESUMEN TOTAL'!M739</f>
        <v>0</v>
      </c>
      <c r="G625" s="70">
        <f>'RESUMEN TOTAL'!N739</f>
        <v>0</v>
      </c>
      <c r="H625" s="70">
        <f>'RESUMEN TOTAL'!O739</f>
        <v>0</v>
      </c>
      <c r="I625" s="70">
        <f>'RESUMEN TOTAL'!P739</f>
        <v>0</v>
      </c>
      <c r="J625" s="70">
        <f>'RESUMEN TOTAL'!Q739</f>
        <v>0</v>
      </c>
      <c r="K625" s="70">
        <f>'RESUMEN TOTAL'!R739</f>
        <v>0</v>
      </c>
      <c r="L625" s="70">
        <f>'RESUMEN TOTAL'!S739</f>
        <v>0</v>
      </c>
      <c r="M625" s="70">
        <f>'RESUMEN TOTAL'!T739</f>
        <v>0</v>
      </c>
      <c r="N625" s="70">
        <f>'RESUMEN TOTAL'!U739</f>
        <v>0</v>
      </c>
      <c r="O625" s="70">
        <f>'RESUMEN TOTAL'!V739</f>
        <v>0</v>
      </c>
      <c r="P625" s="70">
        <f>'RESUMEN TOTAL'!W739</f>
        <v>0</v>
      </c>
      <c r="Q625" s="70">
        <f>'RESUMEN TOTAL'!X739</f>
        <v>0</v>
      </c>
      <c r="R625" s="70">
        <f>'RESUMEN TOTAL'!Y739</f>
        <v>0</v>
      </c>
      <c r="S625" s="70">
        <f>'RESUMEN TOTAL'!Z739</f>
        <v>0</v>
      </c>
      <c r="T625" s="70">
        <f>'RESUMEN TOTAL'!AA739</f>
        <v>0</v>
      </c>
      <c r="U625" s="70">
        <f>'RESUMEN TOTAL'!AB739</f>
        <v>0</v>
      </c>
      <c r="V625" s="70">
        <f>'RESUMEN TOTAL'!AC739</f>
        <v>0</v>
      </c>
      <c r="W625" s="70">
        <f>'RESUMEN TOTAL'!AD739</f>
        <v>0</v>
      </c>
      <c r="X625" s="70">
        <f>'RESUMEN TOTAL'!AE739</f>
        <v>0</v>
      </c>
      <c r="Y625" s="70">
        <f>'RESUMEN TOTAL'!AF739</f>
        <v>0</v>
      </c>
      <c r="Z625" s="70">
        <f>'RESUMEN TOTAL'!AG739</f>
        <v>0</v>
      </c>
      <c r="AA625" s="70">
        <f>'RESUMEN TOTAL'!AH739</f>
        <v>0</v>
      </c>
      <c r="AB625" s="70">
        <f>'RESUMEN TOTAL'!AI739</f>
        <v>0</v>
      </c>
      <c r="AC625" s="70">
        <f>'RESUMEN TOTAL'!AJ739</f>
        <v>0</v>
      </c>
      <c r="AD625" s="70">
        <f>'RESUMEN TOTAL'!AK739</f>
        <v>0</v>
      </c>
      <c r="AE625" s="70">
        <f>'RESUMEN TOTAL'!AL739</f>
        <v>0</v>
      </c>
      <c r="AF625" s="70">
        <f>'RESUMEN TOTAL'!AM739</f>
        <v>0</v>
      </c>
      <c r="AG625" s="70">
        <f>'RESUMEN TOTAL'!AN739</f>
        <v>0</v>
      </c>
      <c r="AH625" s="70">
        <f>'RESUMEN TOTAL'!AO739</f>
        <v>0</v>
      </c>
      <c r="AI625" s="70">
        <f>'RESUMEN TOTAL'!AP739</f>
        <v>0</v>
      </c>
      <c r="AJ625" s="70">
        <f>'RESUMEN TOTAL'!AQ739</f>
        <v>0</v>
      </c>
    </row>
    <row r="626" spans="1:36" x14ac:dyDescent="0.25">
      <c r="A626">
        <f>'RESUMEN TOTAL'!A740</f>
        <v>0</v>
      </c>
      <c r="B626">
        <f>'RESUMEN TOTAL'!B740</f>
        <v>0</v>
      </c>
      <c r="C626">
        <f>'RESUMEN TOTAL'!D740</f>
        <v>0</v>
      </c>
      <c r="D626" s="30">
        <f>'RESUMEN TOTAL'!E740</f>
        <v>0</v>
      </c>
      <c r="E626" s="30">
        <f>'RESUMEN TOTAL'!F740</f>
        <v>0</v>
      </c>
      <c r="F626" s="70">
        <f>'RESUMEN TOTAL'!M740</f>
        <v>0</v>
      </c>
      <c r="G626" s="70">
        <f>'RESUMEN TOTAL'!N740</f>
        <v>0</v>
      </c>
      <c r="H626" s="70">
        <f>'RESUMEN TOTAL'!O740</f>
        <v>0</v>
      </c>
      <c r="I626" s="70">
        <f>'RESUMEN TOTAL'!P740</f>
        <v>0</v>
      </c>
      <c r="J626" s="70">
        <f>'RESUMEN TOTAL'!Q740</f>
        <v>0</v>
      </c>
      <c r="K626" s="70">
        <f>'RESUMEN TOTAL'!R740</f>
        <v>0</v>
      </c>
      <c r="L626" s="70">
        <f>'RESUMEN TOTAL'!S740</f>
        <v>0</v>
      </c>
      <c r="M626" s="70">
        <f>'RESUMEN TOTAL'!T740</f>
        <v>0</v>
      </c>
      <c r="N626" s="70">
        <f>'RESUMEN TOTAL'!U740</f>
        <v>0</v>
      </c>
      <c r="O626" s="70">
        <f>'RESUMEN TOTAL'!V740</f>
        <v>0</v>
      </c>
      <c r="P626" s="70">
        <f>'RESUMEN TOTAL'!W740</f>
        <v>0</v>
      </c>
      <c r="Q626" s="70">
        <f>'RESUMEN TOTAL'!X740</f>
        <v>0</v>
      </c>
      <c r="R626" s="70">
        <f>'RESUMEN TOTAL'!Y740</f>
        <v>0</v>
      </c>
      <c r="S626" s="70">
        <f>'RESUMEN TOTAL'!Z740</f>
        <v>0</v>
      </c>
      <c r="T626" s="70">
        <f>'RESUMEN TOTAL'!AA740</f>
        <v>0</v>
      </c>
      <c r="U626" s="70">
        <f>'RESUMEN TOTAL'!AB740</f>
        <v>0</v>
      </c>
      <c r="V626" s="70">
        <f>'RESUMEN TOTAL'!AC740</f>
        <v>0</v>
      </c>
      <c r="W626" s="70">
        <f>'RESUMEN TOTAL'!AD740</f>
        <v>0</v>
      </c>
      <c r="X626" s="70">
        <f>'RESUMEN TOTAL'!AE740</f>
        <v>0</v>
      </c>
      <c r="Y626" s="70">
        <f>'RESUMEN TOTAL'!AF740</f>
        <v>0</v>
      </c>
      <c r="Z626" s="70">
        <f>'RESUMEN TOTAL'!AG740</f>
        <v>0</v>
      </c>
      <c r="AA626" s="70">
        <f>'RESUMEN TOTAL'!AH740</f>
        <v>0</v>
      </c>
      <c r="AB626" s="70">
        <f>'RESUMEN TOTAL'!AI740</f>
        <v>0</v>
      </c>
      <c r="AC626" s="70">
        <f>'RESUMEN TOTAL'!AJ740</f>
        <v>0</v>
      </c>
      <c r="AD626" s="70">
        <f>'RESUMEN TOTAL'!AK740</f>
        <v>0</v>
      </c>
      <c r="AE626" s="70">
        <f>'RESUMEN TOTAL'!AL740</f>
        <v>0</v>
      </c>
      <c r="AF626" s="70">
        <f>'RESUMEN TOTAL'!AM740</f>
        <v>0</v>
      </c>
      <c r="AG626" s="70">
        <f>'RESUMEN TOTAL'!AN740</f>
        <v>0</v>
      </c>
      <c r="AH626" s="70">
        <f>'RESUMEN TOTAL'!AO740</f>
        <v>0</v>
      </c>
      <c r="AI626" s="70">
        <f>'RESUMEN TOTAL'!AP740</f>
        <v>0</v>
      </c>
      <c r="AJ626" s="70">
        <f>'RESUMEN TOTAL'!AQ740</f>
        <v>0</v>
      </c>
    </row>
    <row r="627" spans="1:36" x14ac:dyDescent="0.25">
      <c r="A627">
        <f>'RESUMEN TOTAL'!A741</f>
        <v>0</v>
      </c>
      <c r="B627">
        <f>'RESUMEN TOTAL'!B741</f>
        <v>0</v>
      </c>
      <c r="C627">
        <f>'RESUMEN TOTAL'!D741</f>
        <v>0</v>
      </c>
      <c r="D627" s="30">
        <f>'RESUMEN TOTAL'!E741</f>
        <v>0</v>
      </c>
      <c r="E627" s="30">
        <f>'RESUMEN TOTAL'!F741</f>
        <v>0</v>
      </c>
      <c r="F627" s="70">
        <f>'RESUMEN TOTAL'!M741</f>
        <v>0</v>
      </c>
      <c r="G627" s="70">
        <f>'RESUMEN TOTAL'!N741</f>
        <v>0</v>
      </c>
      <c r="H627" s="70">
        <f>'RESUMEN TOTAL'!O741</f>
        <v>0</v>
      </c>
      <c r="I627" s="70">
        <f>'RESUMEN TOTAL'!P741</f>
        <v>0</v>
      </c>
      <c r="J627" s="70">
        <f>'RESUMEN TOTAL'!Q741</f>
        <v>0</v>
      </c>
      <c r="K627" s="70">
        <f>'RESUMEN TOTAL'!R741</f>
        <v>0</v>
      </c>
      <c r="L627" s="70">
        <f>'RESUMEN TOTAL'!S741</f>
        <v>0</v>
      </c>
      <c r="M627" s="70">
        <f>'RESUMEN TOTAL'!T741</f>
        <v>0</v>
      </c>
      <c r="N627" s="70">
        <f>'RESUMEN TOTAL'!U741</f>
        <v>0</v>
      </c>
      <c r="O627" s="70">
        <f>'RESUMEN TOTAL'!V741</f>
        <v>0</v>
      </c>
      <c r="P627" s="70">
        <f>'RESUMEN TOTAL'!W741</f>
        <v>0</v>
      </c>
      <c r="Q627" s="70">
        <f>'RESUMEN TOTAL'!X741</f>
        <v>0</v>
      </c>
      <c r="R627" s="70">
        <f>'RESUMEN TOTAL'!Y741</f>
        <v>0</v>
      </c>
      <c r="S627" s="70">
        <f>'RESUMEN TOTAL'!Z741</f>
        <v>0</v>
      </c>
      <c r="T627" s="70">
        <f>'RESUMEN TOTAL'!AA741</f>
        <v>0</v>
      </c>
      <c r="U627" s="70">
        <f>'RESUMEN TOTAL'!AB741</f>
        <v>0</v>
      </c>
      <c r="V627" s="70">
        <f>'RESUMEN TOTAL'!AC741</f>
        <v>0</v>
      </c>
      <c r="W627" s="70">
        <f>'RESUMEN TOTAL'!AD741</f>
        <v>0</v>
      </c>
      <c r="X627" s="70">
        <f>'RESUMEN TOTAL'!AE741</f>
        <v>0</v>
      </c>
      <c r="Y627" s="70">
        <f>'RESUMEN TOTAL'!AF741</f>
        <v>0</v>
      </c>
      <c r="Z627" s="70">
        <f>'RESUMEN TOTAL'!AG741</f>
        <v>0</v>
      </c>
      <c r="AA627" s="70">
        <f>'RESUMEN TOTAL'!AH741</f>
        <v>0</v>
      </c>
      <c r="AB627" s="70">
        <f>'RESUMEN TOTAL'!AI741</f>
        <v>0</v>
      </c>
      <c r="AC627" s="70">
        <f>'RESUMEN TOTAL'!AJ741</f>
        <v>0</v>
      </c>
      <c r="AD627" s="70">
        <f>'RESUMEN TOTAL'!AK741</f>
        <v>0</v>
      </c>
      <c r="AE627" s="70">
        <f>'RESUMEN TOTAL'!AL741</f>
        <v>0</v>
      </c>
      <c r="AF627" s="70">
        <f>'RESUMEN TOTAL'!AM741</f>
        <v>0</v>
      </c>
      <c r="AG627" s="70">
        <f>'RESUMEN TOTAL'!AN741</f>
        <v>0</v>
      </c>
      <c r="AH627" s="70">
        <f>'RESUMEN TOTAL'!AO741</f>
        <v>0</v>
      </c>
      <c r="AI627" s="70">
        <f>'RESUMEN TOTAL'!AP741</f>
        <v>0</v>
      </c>
      <c r="AJ627" s="70">
        <f>'RESUMEN TOTAL'!AQ741</f>
        <v>0</v>
      </c>
    </row>
    <row r="628" spans="1:36" x14ac:dyDescent="0.25">
      <c r="A628">
        <f>'RESUMEN TOTAL'!A742</f>
        <v>0</v>
      </c>
      <c r="B628">
        <f>'RESUMEN TOTAL'!B742</f>
        <v>0</v>
      </c>
      <c r="C628">
        <f>'RESUMEN TOTAL'!D742</f>
        <v>0</v>
      </c>
      <c r="D628" s="30">
        <f>'RESUMEN TOTAL'!E742</f>
        <v>0</v>
      </c>
      <c r="E628" s="30">
        <f>'RESUMEN TOTAL'!F742</f>
        <v>0</v>
      </c>
      <c r="F628" s="70">
        <f>'RESUMEN TOTAL'!M742</f>
        <v>0</v>
      </c>
      <c r="G628" s="70">
        <f>'RESUMEN TOTAL'!N742</f>
        <v>0</v>
      </c>
      <c r="H628" s="70">
        <f>'RESUMEN TOTAL'!O742</f>
        <v>0</v>
      </c>
      <c r="I628" s="70">
        <f>'RESUMEN TOTAL'!P742</f>
        <v>0</v>
      </c>
      <c r="J628" s="70">
        <f>'RESUMEN TOTAL'!Q742</f>
        <v>0</v>
      </c>
      <c r="K628" s="70">
        <f>'RESUMEN TOTAL'!R742</f>
        <v>0</v>
      </c>
      <c r="L628" s="70">
        <f>'RESUMEN TOTAL'!S742</f>
        <v>0</v>
      </c>
      <c r="M628" s="70">
        <f>'RESUMEN TOTAL'!T742</f>
        <v>0</v>
      </c>
      <c r="N628" s="70">
        <f>'RESUMEN TOTAL'!U742</f>
        <v>0</v>
      </c>
      <c r="O628" s="70">
        <f>'RESUMEN TOTAL'!V742</f>
        <v>0</v>
      </c>
      <c r="P628" s="70">
        <f>'RESUMEN TOTAL'!W742</f>
        <v>0</v>
      </c>
      <c r="Q628" s="70">
        <f>'RESUMEN TOTAL'!X742</f>
        <v>0</v>
      </c>
      <c r="R628" s="70">
        <f>'RESUMEN TOTAL'!Y742</f>
        <v>0</v>
      </c>
      <c r="S628" s="70">
        <f>'RESUMEN TOTAL'!Z742</f>
        <v>0</v>
      </c>
      <c r="T628" s="70">
        <f>'RESUMEN TOTAL'!AA742</f>
        <v>0</v>
      </c>
      <c r="U628" s="70">
        <f>'RESUMEN TOTAL'!AB742</f>
        <v>0</v>
      </c>
      <c r="V628" s="70">
        <f>'RESUMEN TOTAL'!AC742</f>
        <v>0</v>
      </c>
      <c r="W628" s="70">
        <f>'RESUMEN TOTAL'!AD742</f>
        <v>0</v>
      </c>
      <c r="X628" s="70">
        <f>'RESUMEN TOTAL'!AE742</f>
        <v>0</v>
      </c>
      <c r="Y628" s="70">
        <f>'RESUMEN TOTAL'!AF742</f>
        <v>0</v>
      </c>
      <c r="Z628" s="70">
        <f>'RESUMEN TOTAL'!AG742</f>
        <v>0</v>
      </c>
      <c r="AA628" s="70">
        <f>'RESUMEN TOTAL'!AH742</f>
        <v>0</v>
      </c>
      <c r="AB628" s="70">
        <f>'RESUMEN TOTAL'!AI742</f>
        <v>0</v>
      </c>
      <c r="AC628" s="70">
        <f>'RESUMEN TOTAL'!AJ742</f>
        <v>0</v>
      </c>
      <c r="AD628" s="70">
        <f>'RESUMEN TOTAL'!AK742</f>
        <v>0</v>
      </c>
      <c r="AE628" s="70">
        <f>'RESUMEN TOTAL'!AL742</f>
        <v>0</v>
      </c>
      <c r="AF628" s="70">
        <f>'RESUMEN TOTAL'!AM742</f>
        <v>0</v>
      </c>
      <c r="AG628" s="70">
        <f>'RESUMEN TOTAL'!AN742</f>
        <v>0</v>
      </c>
      <c r="AH628" s="70">
        <f>'RESUMEN TOTAL'!AO742</f>
        <v>0</v>
      </c>
      <c r="AI628" s="70">
        <f>'RESUMEN TOTAL'!AP742</f>
        <v>0</v>
      </c>
      <c r="AJ628" s="70">
        <f>'RESUMEN TOTAL'!AQ742</f>
        <v>0</v>
      </c>
    </row>
    <row r="629" spans="1:36" x14ac:dyDescent="0.25">
      <c r="A629">
        <f>'RESUMEN TOTAL'!A743</f>
        <v>0</v>
      </c>
      <c r="B629">
        <f>'RESUMEN TOTAL'!B743</f>
        <v>0</v>
      </c>
      <c r="C629">
        <f>'RESUMEN TOTAL'!D743</f>
        <v>0</v>
      </c>
      <c r="D629" s="30">
        <f>'RESUMEN TOTAL'!E743</f>
        <v>0</v>
      </c>
      <c r="E629" s="30">
        <f>'RESUMEN TOTAL'!F743</f>
        <v>0</v>
      </c>
      <c r="F629" s="70">
        <f>'RESUMEN TOTAL'!M743</f>
        <v>0</v>
      </c>
      <c r="G629" s="70">
        <f>'RESUMEN TOTAL'!N743</f>
        <v>0</v>
      </c>
      <c r="H629" s="70">
        <f>'RESUMEN TOTAL'!O743</f>
        <v>0</v>
      </c>
      <c r="I629" s="70">
        <f>'RESUMEN TOTAL'!P743</f>
        <v>0</v>
      </c>
      <c r="J629" s="70">
        <f>'RESUMEN TOTAL'!Q743</f>
        <v>0</v>
      </c>
      <c r="K629" s="70">
        <f>'RESUMEN TOTAL'!R743</f>
        <v>0</v>
      </c>
      <c r="L629" s="70">
        <f>'RESUMEN TOTAL'!S743</f>
        <v>0</v>
      </c>
      <c r="M629" s="70">
        <f>'RESUMEN TOTAL'!T743</f>
        <v>0</v>
      </c>
      <c r="N629" s="70">
        <f>'RESUMEN TOTAL'!U743</f>
        <v>0</v>
      </c>
      <c r="O629" s="70">
        <f>'RESUMEN TOTAL'!V743</f>
        <v>0</v>
      </c>
      <c r="P629" s="70">
        <f>'RESUMEN TOTAL'!W743</f>
        <v>0</v>
      </c>
      <c r="Q629" s="70">
        <f>'RESUMEN TOTAL'!X743</f>
        <v>0</v>
      </c>
      <c r="R629" s="70">
        <f>'RESUMEN TOTAL'!Y743</f>
        <v>0</v>
      </c>
      <c r="S629" s="70">
        <f>'RESUMEN TOTAL'!Z743</f>
        <v>0</v>
      </c>
      <c r="T629" s="70">
        <f>'RESUMEN TOTAL'!AA743</f>
        <v>0</v>
      </c>
      <c r="U629" s="70">
        <f>'RESUMEN TOTAL'!AB743</f>
        <v>0</v>
      </c>
      <c r="V629" s="70">
        <f>'RESUMEN TOTAL'!AC743</f>
        <v>0</v>
      </c>
      <c r="W629" s="70">
        <f>'RESUMEN TOTAL'!AD743</f>
        <v>0</v>
      </c>
      <c r="X629" s="70">
        <f>'RESUMEN TOTAL'!AE743</f>
        <v>0</v>
      </c>
      <c r="Y629" s="70">
        <f>'RESUMEN TOTAL'!AF743</f>
        <v>0</v>
      </c>
      <c r="Z629" s="70">
        <f>'RESUMEN TOTAL'!AG743</f>
        <v>0</v>
      </c>
      <c r="AA629" s="70">
        <f>'RESUMEN TOTAL'!AH743</f>
        <v>0</v>
      </c>
      <c r="AB629" s="70">
        <f>'RESUMEN TOTAL'!AI743</f>
        <v>0</v>
      </c>
      <c r="AC629" s="70">
        <f>'RESUMEN TOTAL'!AJ743</f>
        <v>0</v>
      </c>
      <c r="AD629" s="70">
        <f>'RESUMEN TOTAL'!AK743</f>
        <v>0</v>
      </c>
      <c r="AE629" s="70">
        <f>'RESUMEN TOTAL'!AL743</f>
        <v>0</v>
      </c>
      <c r="AF629" s="70">
        <f>'RESUMEN TOTAL'!AM743</f>
        <v>0</v>
      </c>
      <c r="AG629" s="70">
        <f>'RESUMEN TOTAL'!AN743</f>
        <v>0</v>
      </c>
      <c r="AH629" s="70">
        <f>'RESUMEN TOTAL'!AO743</f>
        <v>0</v>
      </c>
      <c r="AI629" s="70">
        <f>'RESUMEN TOTAL'!AP743</f>
        <v>0</v>
      </c>
      <c r="AJ629" s="70">
        <f>'RESUMEN TOTAL'!AQ743</f>
        <v>0</v>
      </c>
    </row>
    <row r="630" spans="1:36" x14ac:dyDescent="0.25">
      <c r="A630">
        <f>'RESUMEN TOTAL'!A744</f>
        <v>0</v>
      </c>
      <c r="B630">
        <f>'RESUMEN TOTAL'!B744</f>
        <v>0</v>
      </c>
      <c r="C630">
        <f>'RESUMEN TOTAL'!D744</f>
        <v>0</v>
      </c>
      <c r="D630" s="30">
        <f>'RESUMEN TOTAL'!E744</f>
        <v>0</v>
      </c>
      <c r="E630" s="30">
        <f>'RESUMEN TOTAL'!F744</f>
        <v>0</v>
      </c>
      <c r="F630" s="70">
        <f>'RESUMEN TOTAL'!M744</f>
        <v>0</v>
      </c>
      <c r="G630" s="70">
        <f>'RESUMEN TOTAL'!N744</f>
        <v>0</v>
      </c>
      <c r="H630" s="70">
        <f>'RESUMEN TOTAL'!O744</f>
        <v>0</v>
      </c>
      <c r="I630" s="70">
        <f>'RESUMEN TOTAL'!P744</f>
        <v>0</v>
      </c>
      <c r="J630" s="70">
        <f>'RESUMEN TOTAL'!Q744</f>
        <v>0</v>
      </c>
      <c r="K630" s="70">
        <f>'RESUMEN TOTAL'!R744</f>
        <v>0</v>
      </c>
      <c r="L630" s="70">
        <f>'RESUMEN TOTAL'!S744</f>
        <v>0</v>
      </c>
      <c r="M630" s="70">
        <f>'RESUMEN TOTAL'!T744</f>
        <v>0</v>
      </c>
      <c r="N630" s="70">
        <f>'RESUMEN TOTAL'!U744</f>
        <v>0</v>
      </c>
      <c r="O630" s="70">
        <f>'RESUMEN TOTAL'!V744</f>
        <v>0</v>
      </c>
      <c r="P630" s="70">
        <f>'RESUMEN TOTAL'!W744</f>
        <v>0</v>
      </c>
      <c r="Q630" s="70">
        <f>'RESUMEN TOTAL'!X744</f>
        <v>0</v>
      </c>
      <c r="R630" s="70">
        <f>'RESUMEN TOTAL'!Y744</f>
        <v>0</v>
      </c>
      <c r="S630" s="70">
        <f>'RESUMEN TOTAL'!Z744</f>
        <v>0</v>
      </c>
      <c r="T630" s="70">
        <f>'RESUMEN TOTAL'!AA744</f>
        <v>0</v>
      </c>
      <c r="U630" s="70">
        <f>'RESUMEN TOTAL'!AB744</f>
        <v>0</v>
      </c>
      <c r="V630" s="70">
        <f>'RESUMEN TOTAL'!AC744</f>
        <v>0</v>
      </c>
      <c r="W630" s="70">
        <f>'RESUMEN TOTAL'!AD744</f>
        <v>0</v>
      </c>
      <c r="X630" s="70">
        <f>'RESUMEN TOTAL'!AE744</f>
        <v>0</v>
      </c>
      <c r="Y630" s="70">
        <f>'RESUMEN TOTAL'!AF744</f>
        <v>0</v>
      </c>
      <c r="Z630" s="70">
        <f>'RESUMEN TOTAL'!AG744</f>
        <v>0</v>
      </c>
      <c r="AA630" s="70">
        <f>'RESUMEN TOTAL'!AH744</f>
        <v>0</v>
      </c>
      <c r="AB630" s="70">
        <f>'RESUMEN TOTAL'!AI744</f>
        <v>0</v>
      </c>
      <c r="AC630" s="70">
        <f>'RESUMEN TOTAL'!AJ744</f>
        <v>0</v>
      </c>
      <c r="AD630" s="70">
        <f>'RESUMEN TOTAL'!AK744</f>
        <v>0</v>
      </c>
      <c r="AE630" s="70">
        <f>'RESUMEN TOTAL'!AL744</f>
        <v>0</v>
      </c>
      <c r="AF630" s="70">
        <f>'RESUMEN TOTAL'!AM744</f>
        <v>0</v>
      </c>
      <c r="AG630" s="70">
        <f>'RESUMEN TOTAL'!AN744</f>
        <v>0</v>
      </c>
      <c r="AH630" s="70">
        <f>'RESUMEN TOTAL'!AO744</f>
        <v>0</v>
      </c>
      <c r="AI630" s="70">
        <f>'RESUMEN TOTAL'!AP744</f>
        <v>0</v>
      </c>
      <c r="AJ630" s="70">
        <f>'RESUMEN TOTAL'!AQ744</f>
        <v>0</v>
      </c>
    </row>
    <row r="631" spans="1:36" x14ac:dyDescent="0.25">
      <c r="A631">
        <f>'RESUMEN TOTAL'!A745</f>
        <v>0</v>
      </c>
      <c r="B631">
        <f>'RESUMEN TOTAL'!B745</f>
        <v>0</v>
      </c>
      <c r="C631">
        <f>'RESUMEN TOTAL'!D745</f>
        <v>0</v>
      </c>
      <c r="D631" s="30">
        <f>'RESUMEN TOTAL'!E745</f>
        <v>0</v>
      </c>
      <c r="E631" s="30">
        <f>'RESUMEN TOTAL'!F745</f>
        <v>0</v>
      </c>
      <c r="F631" s="70">
        <f>'RESUMEN TOTAL'!M745</f>
        <v>0</v>
      </c>
      <c r="G631" s="70">
        <f>'RESUMEN TOTAL'!N745</f>
        <v>0</v>
      </c>
      <c r="H631" s="70">
        <f>'RESUMEN TOTAL'!O745</f>
        <v>0</v>
      </c>
      <c r="I631" s="70">
        <f>'RESUMEN TOTAL'!P745</f>
        <v>0</v>
      </c>
      <c r="J631" s="70">
        <f>'RESUMEN TOTAL'!Q745</f>
        <v>0</v>
      </c>
      <c r="K631" s="70">
        <f>'RESUMEN TOTAL'!R745</f>
        <v>0</v>
      </c>
      <c r="L631" s="70">
        <f>'RESUMEN TOTAL'!S745</f>
        <v>0</v>
      </c>
      <c r="M631" s="70">
        <f>'RESUMEN TOTAL'!T745</f>
        <v>0</v>
      </c>
      <c r="N631" s="70">
        <f>'RESUMEN TOTAL'!U745</f>
        <v>0</v>
      </c>
      <c r="O631" s="70">
        <f>'RESUMEN TOTAL'!V745</f>
        <v>0</v>
      </c>
      <c r="P631" s="70">
        <f>'RESUMEN TOTAL'!W745</f>
        <v>0</v>
      </c>
      <c r="Q631" s="70">
        <f>'RESUMEN TOTAL'!X745</f>
        <v>0</v>
      </c>
      <c r="R631" s="70">
        <f>'RESUMEN TOTAL'!Y745</f>
        <v>0</v>
      </c>
      <c r="S631" s="70">
        <f>'RESUMEN TOTAL'!Z745</f>
        <v>0</v>
      </c>
      <c r="T631" s="70">
        <f>'RESUMEN TOTAL'!AA745</f>
        <v>0</v>
      </c>
      <c r="U631" s="70">
        <f>'RESUMEN TOTAL'!AB745</f>
        <v>0</v>
      </c>
      <c r="V631" s="70">
        <f>'RESUMEN TOTAL'!AC745</f>
        <v>0</v>
      </c>
      <c r="W631" s="70">
        <f>'RESUMEN TOTAL'!AD745</f>
        <v>0</v>
      </c>
      <c r="X631" s="70">
        <f>'RESUMEN TOTAL'!AE745</f>
        <v>0</v>
      </c>
      <c r="Y631" s="70">
        <f>'RESUMEN TOTAL'!AF745</f>
        <v>0</v>
      </c>
      <c r="Z631" s="70">
        <f>'RESUMEN TOTAL'!AG745</f>
        <v>0</v>
      </c>
      <c r="AA631" s="70">
        <f>'RESUMEN TOTAL'!AH745</f>
        <v>0</v>
      </c>
      <c r="AB631" s="70">
        <f>'RESUMEN TOTAL'!AI745</f>
        <v>0</v>
      </c>
      <c r="AC631" s="70">
        <f>'RESUMEN TOTAL'!AJ745</f>
        <v>0</v>
      </c>
      <c r="AD631" s="70">
        <f>'RESUMEN TOTAL'!AK745</f>
        <v>0</v>
      </c>
      <c r="AE631" s="70">
        <f>'RESUMEN TOTAL'!AL745</f>
        <v>0</v>
      </c>
      <c r="AF631" s="70">
        <f>'RESUMEN TOTAL'!AM745</f>
        <v>0</v>
      </c>
      <c r="AG631" s="70">
        <f>'RESUMEN TOTAL'!AN745</f>
        <v>0</v>
      </c>
      <c r="AH631" s="70">
        <f>'RESUMEN TOTAL'!AO745</f>
        <v>0</v>
      </c>
      <c r="AI631" s="70">
        <f>'RESUMEN TOTAL'!AP745</f>
        <v>0</v>
      </c>
      <c r="AJ631" s="70">
        <f>'RESUMEN TOTAL'!AQ745</f>
        <v>0</v>
      </c>
    </row>
    <row r="632" spans="1:36" x14ac:dyDescent="0.25">
      <c r="A632">
        <f>'RESUMEN TOTAL'!A746</f>
        <v>0</v>
      </c>
      <c r="B632">
        <f>'RESUMEN TOTAL'!B746</f>
        <v>0</v>
      </c>
      <c r="C632">
        <f>'RESUMEN TOTAL'!D746</f>
        <v>0</v>
      </c>
      <c r="D632" s="30">
        <f>'RESUMEN TOTAL'!E746</f>
        <v>0</v>
      </c>
      <c r="E632" s="30">
        <f>'RESUMEN TOTAL'!F746</f>
        <v>0</v>
      </c>
      <c r="F632" s="70">
        <f>'RESUMEN TOTAL'!M746</f>
        <v>0</v>
      </c>
      <c r="G632" s="70">
        <f>'RESUMEN TOTAL'!N746</f>
        <v>0</v>
      </c>
      <c r="H632" s="70">
        <f>'RESUMEN TOTAL'!O746</f>
        <v>0</v>
      </c>
      <c r="I632" s="70">
        <f>'RESUMEN TOTAL'!P746</f>
        <v>0</v>
      </c>
      <c r="J632" s="70">
        <f>'RESUMEN TOTAL'!Q746</f>
        <v>0</v>
      </c>
      <c r="K632" s="70">
        <f>'RESUMEN TOTAL'!R746</f>
        <v>0</v>
      </c>
      <c r="L632" s="70">
        <f>'RESUMEN TOTAL'!S746</f>
        <v>0</v>
      </c>
      <c r="M632" s="70">
        <f>'RESUMEN TOTAL'!T746</f>
        <v>0</v>
      </c>
      <c r="N632" s="70">
        <f>'RESUMEN TOTAL'!U746</f>
        <v>0</v>
      </c>
      <c r="O632" s="70">
        <f>'RESUMEN TOTAL'!V746</f>
        <v>0</v>
      </c>
      <c r="P632" s="70">
        <f>'RESUMEN TOTAL'!W746</f>
        <v>0</v>
      </c>
      <c r="Q632" s="70">
        <f>'RESUMEN TOTAL'!X746</f>
        <v>0</v>
      </c>
      <c r="R632" s="70">
        <f>'RESUMEN TOTAL'!Y746</f>
        <v>0</v>
      </c>
      <c r="S632" s="70">
        <f>'RESUMEN TOTAL'!Z746</f>
        <v>0</v>
      </c>
      <c r="T632" s="70">
        <f>'RESUMEN TOTAL'!AA746</f>
        <v>0</v>
      </c>
      <c r="U632" s="70">
        <f>'RESUMEN TOTAL'!AB746</f>
        <v>0</v>
      </c>
      <c r="V632" s="70">
        <f>'RESUMEN TOTAL'!AC746</f>
        <v>0</v>
      </c>
      <c r="W632" s="70">
        <f>'RESUMEN TOTAL'!AD746</f>
        <v>0</v>
      </c>
      <c r="X632" s="70">
        <f>'RESUMEN TOTAL'!AE746</f>
        <v>0</v>
      </c>
      <c r="Y632" s="70">
        <f>'RESUMEN TOTAL'!AF746</f>
        <v>0</v>
      </c>
      <c r="Z632" s="70">
        <f>'RESUMEN TOTAL'!AG746</f>
        <v>0</v>
      </c>
      <c r="AA632" s="70">
        <f>'RESUMEN TOTAL'!AH746</f>
        <v>0</v>
      </c>
      <c r="AB632" s="70">
        <f>'RESUMEN TOTAL'!AI746</f>
        <v>0</v>
      </c>
      <c r="AC632" s="70">
        <f>'RESUMEN TOTAL'!AJ746</f>
        <v>0</v>
      </c>
      <c r="AD632" s="70">
        <f>'RESUMEN TOTAL'!AK746</f>
        <v>0</v>
      </c>
      <c r="AE632" s="70">
        <f>'RESUMEN TOTAL'!AL746</f>
        <v>0</v>
      </c>
      <c r="AF632" s="70">
        <f>'RESUMEN TOTAL'!AM746</f>
        <v>0</v>
      </c>
      <c r="AG632" s="70">
        <f>'RESUMEN TOTAL'!AN746</f>
        <v>0</v>
      </c>
      <c r="AH632" s="70">
        <f>'RESUMEN TOTAL'!AO746</f>
        <v>0</v>
      </c>
      <c r="AI632" s="70">
        <f>'RESUMEN TOTAL'!AP746</f>
        <v>0</v>
      </c>
      <c r="AJ632" s="70">
        <f>'RESUMEN TOTAL'!AQ746</f>
        <v>0</v>
      </c>
    </row>
    <row r="633" spans="1:36" x14ac:dyDescent="0.25">
      <c r="A633">
        <f>'RESUMEN TOTAL'!A747</f>
        <v>0</v>
      </c>
      <c r="B633">
        <f>'RESUMEN TOTAL'!B747</f>
        <v>0</v>
      </c>
      <c r="C633">
        <f>'RESUMEN TOTAL'!D747</f>
        <v>0</v>
      </c>
      <c r="D633" s="30">
        <f>'RESUMEN TOTAL'!E747</f>
        <v>0</v>
      </c>
      <c r="E633" s="30">
        <f>'RESUMEN TOTAL'!F747</f>
        <v>0</v>
      </c>
      <c r="F633" s="70">
        <f>'RESUMEN TOTAL'!M747</f>
        <v>0</v>
      </c>
      <c r="G633" s="70">
        <f>'RESUMEN TOTAL'!N747</f>
        <v>0</v>
      </c>
      <c r="H633" s="70">
        <f>'RESUMEN TOTAL'!O747</f>
        <v>0</v>
      </c>
      <c r="I633" s="70">
        <f>'RESUMEN TOTAL'!P747</f>
        <v>0</v>
      </c>
      <c r="J633" s="70">
        <f>'RESUMEN TOTAL'!Q747</f>
        <v>0</v>
      </c>
      <c r="K633" s="70">
        <f>'RESUMEN TOTAL'!R747</f>
        <v>0</v>
      </c>
      <c r="L633" s="70">
        <f>'RESUMEN TOTAL'!S747</f>
        <v>0</v>
      </c>
      <c r="M633" s="70">
        <f>'RESUMEN TOTAL'!T747</f>
        <v>0</v>
      </c>
      <c r="N633" s="70">
        <f>'RESUMEN TOTAL'!U747</f>
        <v>0</v>
      </c>
      <c r="O633" s="70">
        <f>'RESUMEN TOTAL'!V747</f>
        <v>0</v>
      </c>
      <c r="P633" s="70">
        <f>'RESUMEN TOTAL'!W747</f>
        <v>0</v>
      </c>
      <c r="Q633" s="70">
        <f>'RESUMEN TOTAL'!X747</f>
        <v>0</v>
      </c>
      <c r="R633" s="70">
        <f>'RESUMEN TOTAL'!Y747</f>
        <v>0</v>
      </c>
      <c r="S633" s="70">
        <f>'RESUMEN TOTAL'!Z747</f>
        <v>0</v>
      </c>
      <c r="T633" s="70">
        <f>'RESUMEN TOTAL'!AA747</f>
        <v>0</v>
      </c>
      <c r="U633" s="70">
        <f>'RESUMEN TOTAL'!AB747</f>
        <v>0</v>
      </c>
      <c r="V633" s="70">
        <f>'RESUMEN TOTAL'!AC747</f>
        <v>0</v>
      </c>
      <c r="W633" s="70">
        <f>'RESUMEN TOTAL'!AD747</f>
        <v>0</v>
      </c>
      <c r="X633" s="70">
        <f>'RESUMEN TOTAL'!AE747</f>
        <v>0</v>
      </c>
      <c r="Y633" s="70">
        <f>'RESUMEN TOTAL'!AF747</f>
        <v>0</v>
      </c>
      <c r="Z633" s="70">
        <f>'RESUMEN TOTAL'!AG747</f>
        <v>0</v>
      </c>
      <c r="AA633" s="70">
        <f>'RESUMEN TOTAL'!AH747</f>
        <v>0</v>
      </c>
      <c r="AB633" s="70">
        <f>'RESUMEN TOTAL'!AI747</f>
        <v>0</v>
      </c>
      <c r="AC633" s="70">
        <f>'RESUMEN TOTAL'!AJ747</f>
        <v>0</v>
      </c>
      <c r="AD633" s="70">
        <f>'RESUMEN TOTAL'!AK747</f>
        <v>0</v>
      </c>
      <c r="AE633" s="70">
        <f>'RESUMEN TOTAL'!AL747</f>
        <v>0</v>
      </c>
      <c r="AF633" s="70">
        <f>'RESUMEN TOTAL'!AM747</f>
        <v>0</v>
      </c>
      <c r="AG633" s="70">
        <f>'RESUMEN TOTAL'!AN747</f>
        <v>0</v>
      </c>
      <c r="AH633" s="70">
        <f>'RESUMEN TOTAL'!AO747</f>
        <v>0</v>
      </c>
      <c r="AI633" s="70">
        <f>'RESUMEN TOTAL'!AP747</f>
        <v>0</v>
      </c>
      <c r="AJ633" s="70">
        <f>'RESUMEN TOTAL'!AQ747</f>
        <v>0</v>
      </c>
    </row>
    <row r="634" spans="1:36" x14ac:dyDescent="0.25">
      <c r="A634">
        <f>'RESUMEN TOTAL'!A748</f>
        <v>0</v>
      </c>
      <c r="B634">
        <f>'RESUMEN TOTAL'!B748</f>
        <v>0</v>
      </c>
      <c r="C634">
        <f>'RESUMEN TOTAL'!D748</f>
        <v>0</v>
      </c>
      <c r="D634" s="30">
        <f>'RESUMEN TOTAL'!E748</f>
        <v>0</v>
      </c>
      <c r="E634" s="30">
        <f>'RESUMEN TOTAL'!F748</f>
        <v>0</v>
      </c>
      <c r="F634" s="70">
        <f>'RESUMEN TOTAL'!M748</f>
        <v>0</v>
      </c>
      <c r="G634" s="70">
        <f>'RESUMEN TOTAL'!N748</f>
        <v>0</v>
      </c>
      <c r="H634" s="70">
        <f>'RESUMEN TOTAL'!O748</f>
        <v>0</v>
      </c>
      <c r="I634" s="70">
        <f>'RESUMEN TOTAL'!P748</f>
        <v>0</v>
      </c>
      <c r="J634" s="70">
        <f>'RESUMEN TOTAL'!Q748</f>
        <v>0</v>
      </c>
      <c r="K634" s="70">
        <f>'RESUMEN TOTAL'!R748</f>
        <v>0</v>
      </c>
      <c r="L634" s="70">
        <f>'RESUMEN TOTAL'!S748</f>
        <v>0</v>
      </c>
      <c r="M634" s="70">
        <f>'RESUMEN TOTAL'!T748</f>
        <v>0</v>
      </c>
      <c r="N634" s="70">
        <f>'RESUMEN TOTAL'!U748</f>
        <v>0</v>
      </c>
      <c r="O634" s="70">
        <f>'RESUMEN TOTAL'!V748</f>
        <v>0</v>
      </c>
      <c r="P634" s="70">
        <f>'RESUMEN TOTAL'!W748</f>
        <v>0</v>
      </c>
      <c r="Q634" s="70">
        <f>'RESUMEN TOTAL'!X748</f>
        <v>0</v>
      </c>
      <c r="R634" s="70">
        <f>'RESUMEN TOTAL'!Y748</f>
        <v>0</v>
      </c>
      <c r="S634" s="70">
        <f>'RESUMEN TOTAL'!Z748</f>
        <v>0</v>
      </c>
      <c r="T634" s="70">
        <f>'RESUMEN TOTAL'!AA748</f>
        <v>0</v>
      </c>
      <c r="U634" s="70">
        <f>'RESUMEN TOTAL'!AB748</f>
        <v>0</v>
      </c>
      <c r="V634" s="70">
        <f>'RESUMEN TOTAL'!AC748</f>
        <v>0</v>
      </c>
      <c r="W634" s="70">
        <f>'RESUMEN TOTAL'!AD748</f>
        <v>0</v>
      </c>
      <c r="X634" s="70">
        <f>'RESUMEN TOTAL'!AE748</f>
        <v>0</v>
      </c>
      <c r="Y634" s="70">
        <f>'RESUMEN TOTAL'!AF748</f>
        <v>0</v>
      </c>
      <c r="Z634" s="70">
        <f>'RESUMEN TOTAL'!AG748</f>
        <v>0</v>
      </c>
      <c r="AA634" s="70">
        <f>'RESUMEN TOTAL'!AH748</f>
        <v>0</v>
      </c>
      <c r="AB634" s="70">
        <f>'RESUMEN TOTAL'!AI748</f>
        <v>0</v>
      </c>
      <c r="AC634" s="70">
        <f>'RESUMEN TOTAL'!AJ748</f>
        <v>0</v>
      </c>
      <c r="AD634" s="70">
        <f>'RESUMEN TOTAL'!AK748</f>
        <v>0</v>
      </c>
      <c r="AE634" s="70">
        <f>'RESUMEN TOTAL'!AL748</f>
        <v>0</v>
      </c>
      <c r="AF634" s="70">
        <f>'RESUMEN TOTAL'!AM748</f>
        <v>0</v>
      </c>
      <c r="AG634" s="70">
        <f>'RESUMEN TOTAL'!AN748</f>
        <v>0</v>
      </c>
      <c r="AH634" s="70">
        <f>'RESUMEN TOTAL'!AO748</f>
        <v>0</v>
      </c>
      <c r="AI634" s="70">
        <f>'RESUMEN TOTAL'!AP748</f>
        <v>0</v>
      </c>
      <c r="AJ634" s="70">
        <f>'RESUMEN TOTAL'!AQ748</f>
        <v>0</v>
      </c>
    </row>
    <row r="635" spans="1:36" x14ac:dyDescent="0.25">
      <c r="A635">
        <f>'RESUMEN TOTAL'!A749</f>
        <v>0</v>
      </c>
      <c r="B635">
        <f>'RESUMEN TOTAL'!B749</f>
        <v>0</v>
      </c>
      <c r="C635">
        <f>'RESUMEN TOTAL'!D749</f>
        <v>0</v>
      </c>
      <c r="D635" s="30">
        <f>'RESUMEN TOTAL'!E749</f>
        <v>0</v>
      </c>
      <c r="E635" s="30">
        <f>'RESUMEN TOTAL'!F749</f>
        <v>0</v>
      </c>
      <c r="F635" s="70">
        <f>'RESUMEN TOTAL'!M749</f>
        <v>0</v>
      </c>
      <c r="G635" s="70">
        <f>'RESUMEN TOTAL'!N749</f>
        <v>0</v>
      </c>
      <c r="H635" s="70">
        <f>'RESUMEN TOTAL'!O749</f>
        <v>0</v>
      </c>
      <c r="I635" s="70">
        <f>'RESUMEN TOTAL'!P749</f>
        <v>0</v>
      </c>
      <c r="J635" s="70">
        <f>'RESUMEN TOTAL'!Q749</f>
        <v>0</v>
      </c>
      <c r="K635" s="70">
        <f>'RESUMEN TOTAL'!R749</f>
        <v>0</v>
      </c>
      <c r="L635" s="70">
        <f>'RESUMEN TOTAL'!S749</f>
        <v>0</v>
      </c>
      <c r="M635" s="70">
        <f>'RESUMEN TOTAL'!T749</f>
        <v>0</v>
      </c>
      <c r="N635" s="70">
        <f>'RESUMEN TOTAL'!U749</f>
        <v>0</v>
      </c>
      <c r="O635" s="70">
        <f>'RESUMEN TOTAL'!V749</f>
        <v>0</v>
      </c>
      <c r="P635" s="70">
        <f>'RESUMEN TOTAL'!W749</f>
        <v>0</v>
      </c>
      <c r="Q635" s="70">
        <f>'RESUMEN TOTAL'!X749</f>
        <v>0</v>
      </c>
      <c r="R635" s="70">
        <f>'RESUMEN TOTAL'!Y749</f>
        <v>0</v>
      </c>
      <c r="S635" s="70">
        <f>'RESUMEN TOTAL'!Z749</f>
        <v>0</v>
      </c>
      <c r="T635" s="70">
        <f>'RESUMEN TOTAL'!AA749</f>
        <v>0</v>
      </c>
      <c r="U635" s="70">
        <f>'RESUMEN TOTAL'!AB749</f>
        <v>0</v>
      </c>
      <c r="V635" s="70">
        <f>'RESUMEN TOTAL'!AC749</f>
        <v>0</v>
      </c>
      <c r="W635" s="70">
        <f>'RESUMEN TOTAL'!AD749</f>
        <v>0</v>
      </c>
      <c r="X635" s="70">
        <f>'RESUMEN TOTAL'!AE749</f>
        <v>0</v>
      </c>
      <c r="Y635" s="70">
        <f>'RESUMEN TOTAL'!AF749</f>
        <v>0</v>
      </c>
      <c r="Z635" s="70">
        <f>'RESUMEN TOTAL'!AG749</f>
        <v>0</v>
      </c>
      <c r="AA635" s="70">
        <f>'RESUMEN TOTAL'!AH749</f>
        <v>0</v>
      </c>
      <c r="AB635" s="70">
        <f>'RESUMEN TOTAL'!AI749</f>
        <v>0</v>
      </c>
      <c r="AC635" s="70">
        <f>'RESUMEN TOTAL'!AJ749</f>
        <v>0</v>
      </c>
      <c r="AD635" s="70">
        <f>'RESUMEN TOTAL'!AK749</f>
        <v>0</v>
      </c>
      <c r="AE635" s="70">
        <f>'RESUMEN TOTAL'!AL749</f>
        <v>0</v>
      </c>
      <c r="AF635" s="70">
        <f>'RESUMEN TOTAL'!AM749</f>
        <v>0</v>
      </c>
      <c r="AG635" s="70">
        <f>'RESUMEN TOTAL'!AN749</f>
        <v>0</v>
      </c>
      <c r="AH635" s="70">
        <f>'RESUMEN TOTAL'!AO749</f>
        <v>0</v>
      </c>
      <c r="AI635" s="70">
        <f>'RESUMEN TOTAL'!AP749</f>
        <v>0</v>
      </c>
      <c r="AJ635" s="70">
        <f>'RESUMEN TOTAL'!AQ749</f>
        <v>0</v>
      </c>
    </row>
    <row r="636" spans="1:36" x14ac:dyDescent="0.25">
      <c r="A636">
        <f>'RESUMEN TOTAL'!A750</f>
        <v>0</v>
      </c>
      <c r="B636">
        <f>'RESUMEN TOTAL'!B750</f>
        <v>0</v>
      </c>
      <c r="C636">
        <f>'RESUMEN TOTAL'!D750</f>
        <v>0</v>
      </c>
      <c r="D636" s="30">
        <f>'RESUMEN TOTAL'!E750</f>
        <v>0</v>
      </c>
      <c r="E636" s="30">
        <f>'RESUMEN TOTAL'!F750</f>
        <v>0</v>
      </c>
      <c r="F636" s="70">
        <f>'RESUMEN TOTAL'!M750</f>
        <v>0</v>
      </c>
      <c r="G636" s="70">
        <f>'RESUMEN TOTAL'!N750</f>
        <v>0</v>
      </c>
      <c r="H636" s="70">
        <f>'RESUMEN TOTAL'!O750</f>
        <v>0</v>
      </c>
      <c r="I636" s="70">
        <f>'RESUMEN TOTAL'!P750</f>
        <v>0</v>
      </c>
      <c r="J636" s="70">
        <f>'RESUMEN TOTAL'!Q750</f>
        <v>0</v>
      </c>
      <c r="K636" s="70">
        <f>'RESUMEN TOTAL'!R750</f>
        <v>0</v>
      </c>
      <c r="L636" s="70">
        <f>'RESUMEN TOTAL'!S750</f>
        <v>0</v>
      </c>
      <c r="M636" s="70">
        <f>'RESUMEN TOTAL'!T750</f>
        <v>0</v>
      </c>
      <c r="N636" s="70">
        <f>'RESUMEN TOTAL'!U750</f>
        <v>0</v>
      </c>
      <c r="O636" s="70">
        <f>'RESUMEN TOTAL'!V750</f>
        <v>0</v>
      </c>
      <c r="P636" s="70">
        <f>'RESUMEN TOTAL'!W750</f>
        <v>0</v>
      </c>
      <c r="Q636" s="70">
        <f>'RESUMEN TOTAL'!X750</f>
        <v>0</v>
      </c>
      <c r="R636" s="70">
        <f>'RESUMEN TOTAL'!Y750</f>
        <v>0</v>
      </c>
      <c r="S636" s="70">
        <f>'RESUMEN TOTAL'!Z750</f>
        <v>0</v>
      </c>
      <c r="T636" s="70">
        <f>'RESUMEN TOTAL'!AA750</f>
        <v>0</v>
      </c>
      <c r="U636" s="70">
        <f>'RESUMEN TOTAL'!AB750</f>
        <v>0</v>
      </c>
      <c r="V636" s="70">
        <f>'RESUMEN TOTAL'!AC750</f>
        <v>0</v>
      </c>
      <c r="W636" s="70">
        <f>'RESUMEN TOTAL'!AD750</f>
        <v>0</v>
      </c>
      <c r="X636" s="70">
        <f>'RESUMEN TOTAL'!AE750</f>
        <v>0</v>
      </c>
      <c r="Y636" s="70">
        <f>'RESUMEN TOTAL'!AF750</f>
        <v>0</v>
      </c>
      <c r="Z636" s="70">
        <f>'RESUMEN TOTAL'!AG750</f>
        <v>0</v>
      </c>
      <c r="AA636" s="70">
        <f>'RESUMEN TOTAL'!AH750</f>
        <v>0</v>
      </c>
      <c r="AB636" s="70">
        <f>'RESUMEN TOTAL'!AI750</f>
        <v>0</v>
      </c>
      <c r="AC636" s="70">
        <f>'RESUMEN TOTAL'!AJ750</f>
        <v>0</v>
      </c>
      <c r="AD636" s="70">
        <f>'RESUMEN TOTAL'!AK750</f>
        <v>0</v>
      </c>
      <c r="AE636" s="70">
        <f>'RESUMEN TOTAL'!AL750</f>
        <v>0</v>
      </c>
      <c r="AF636" s="70">
        <f>'RESUMEN TOTAL'!AM750</f>
        <v>0</v>
      </c>
      <c r="AG636" s="70">
        <f>'RESUMEN TOTAL'!AN750</f>
        <v>0</v>
      </c>
      <c r="AH636" s="70">
        <f>'RESUMEN TOTAL'!AO750</f>
        <v>0</v>
      </c>
      <c r="AI636" s="70">
        <f>'RESUMEN TOTAL'!AP750</f>
        <v>0</v>
      </c>
      <c r="AJ636" s="70">
        <f>'RESUMEN TOTAL'!AQ750</f>
        <v>0</v>
      </c>
    </row>
    <row r="637" spans="1:36" x14ac:dyDescent="0.25">
      <c r="A637">
        <f>'RESUMEN TOTAL'!A751</f>
        <v>0</v>
      </c>
      <c r="B637">
        <f>'RESUMEN TOTAL'!B751</f>
        <v>0</v>
      </c>
      <c r="C637">
        <f>'RESUMEN TOTAL'!D751</f>
        <v>0</v>
      </c>
      <c r="D637" s="30">
        <f>'RESUMEN TOTAL'!E751</f>
        <v>0</v>
      </c>
      <c r="E637" s="30">
        <f>'RESUMEN TOTAL'!F751</f>
        <v>0</v>
      </c>
      <c r="F637" s="70">
        <f>'RESUMEN TOTAL'!M751</f>
        <v>0</v>
      </c>
      <c r="G637" s="70">
        <f>'RESUMEN TOTAL'!N751</f>
        <v>0</v>
      </c>
      <c r="H637" s="70">
        <f>'RESUMEN TOTAL'!O751</f>
        <v>0</v>
      </c>
      <c r="I637" s="70">
        <f>'RESUMEN TOTAL'!P751</f>
        <v>0</v>
      </c>
      <c r="J637" s="70">
        <f>'RESUMEN TOTAL'!Q751</f>
        <v>0</v>
      </c>
      <c r="K637" s="70">
        <f>'RESUMEN TOTAL'!R751</f>
        <v>0</v>
      </c>
      <c r="L637" s="70">
        <f>'RESUMEN TOTAL'!S751</f>
        <v>0</v>
      </c>
      <c r="M637" s="70">
        <f>'RESUMEN TOTAL'!T751</f>
        <v>0</v>
      </c>
      <c r="N637" s="70">
        <f>'RESUMEN TOTAL'!U751</f>
        <v>0</v>
      </c>
      <c r="O637" s="70">
        <f>'RESUMEN TOTAL'!V751</f>
        <v>0</v>
      </c>
      <c r="P637" s="70">
        <f>'RESUMEN TOTAL'!W751</f>
        <v>0</v>
      </c>
      <c r="Q637" s="70">
        <f>'RESUMEN TOTAL'!X751</f>
        <v>0</v>
      </c>
      <c r="R637" s="70">
        <f>'RESUMEN TOTAL'!Y751</f>
        <v>0</v>
      </c>
      <c r="S637" s="70">
        <f>'RESUMEN TOTAL'!Z751</f>
        <v>0</v>
      </c>
      <c r="T637" s="70">
        <f>'RESUMEN TOTAL'!AA751</f>
        <v>0</v>
      </c>
      <c r="U637" s="70">
        <f>'RESUMEN TOTAL'!AB751</f>
        <v>0</v>
      </c>
      <c r="V637" s="70">
        <f>'RESUMEN TOTAL'!AC751</f>
        <v>0</v>
      </c>
      <c r="W637" s="70">
        <f>'RESUMEN TOTAL'!AD751</f>
        <v>0</v>
      </c>
      <c r="X637" s="70">
        <f>'RESUMEN TOTAL'!AE751</f>
        <v>0</v>
      </c>
      <c r="Y637" s="70">
        <f>'RESUMEN TOTAL'!AF751</f>
        <v>0</v>
      </c>
      <c r="Z637" s="70">
        <f>'RESUMEN TOTAL'!AG751</f>
        <v>0</v>
      </c>
      <c r="AA637" s="70">
        <f>'RESUMEN TOTAL'!AH751</f>
        <v>0</v>
      </c>
      <c r="AB637" s="70">
        <f>'RESUMEN TOTAL'!AI751</f>
        <v>0</v>
      </c>
      <c r="AC637" s="70">
        <f>'RESUMEN TOTAL'!AJ751</f>
        <v>0</v>
      </c>
      <c r="AD637" s="70">
        <f>'RESUMEN TOTAL'!AK751</f>
        <v>0</v>
      </c>
      <c r="AE637" s="70">
        <f>'RESUMEN TOTAL'!AL751</f>
        <v>0</v>
      </c>
      <c r="AF637" s="70">
        <f>'RESUMEN TOTAL'!AM751</f>
        <v>0</v>
      </c>
      <c r="AG637" s="70">
        <f>'RESUMEN TOTAL'!AN751</f>
        <v>0</v>
      </c>
      <c r="AH637" s="70">
        <f>'RESUMEN TOTAL'!AO751</f>
        <v>0</v>
      </c>
      <c r="AI637" s="70">
        <f>'RESUMEN TOTAL'!AP751</f>
        <v>0</v>
      </c>
      <c r="AJ637" s="70">
        <f>'RESUMEN TOTAL'!AQ751</f>
        <v>0</v>
      </c>
    </row>
    <row r="638" spans="1:36" x14ac:dyDescent="0.25">
      <c r="A638">
        <f>'RESUMEN TOTAL'!A752</f>
        <v>0</v>
      </c>
      <c r="B638">
        <f>'RESUMEN TOTAL'!B752</f>
        <v>0</v>
      </c>
      <c r="C638">
        <f>'RESUMEN TOTAL'!D752</f>
        <v>0</v>
      </c>
      <c r="D638" s="30">
        <f>'RESUMEN TOTAL'!E752</f>
        <v>0</v>
      </c>
      <c r="E638" s="30">
        <f>'RESUMEN TOTAL'!F752</f>
        <v>0</v>
      </c>
      <c r="F638" s="70">
        <f>'RESUMEN TOTAL'!M752</f>
        <v>0</v>
      </c>
      <c r="G638" s="70">
        <f>'RESUMEN TOTAL'!N752</f>
        <v>0</v>
      </c>
      <c r="H638" s="70">
        <f>'RESUMEN TOTAL'!O752</f>
        <v>0</v>
      </c>
      <c r="I638" s="70">
        <f>'RESUMEN TOTAL'!P752</f>
        <v>0</v>
      </c>
      <c r="J638" s="70">
        <f>'RESUMEN TOTAL'!Q752</f>
        <v>0</v>
      </c>
      <c r="K638" s="70">
        <f>'RESUMEN TOTAL'!R752</f>
        <v>0</v>
      </c>
      <c r="L638" s="70">
        <f>'RESUMEN TOTAL'!S752</f>
        <v>0</v>
      </c>
      <c r="M638" s="70">
        <f>'RESUMEN TOTAL'!T752</f>
        <v>0</v>
      </c>
      <c r="N638" s="70">
        <f>'RESUMEN TOTAL'!U752</f>
        <v>0</v>
      </c>
      <c r="O638" s="70">
        <f>'RESUMEN TOTAL'!V752</f>
        <v>0</v>
      </c>
      <c r="P638" s="70">
        <f>'RESUMEN TOTAL'!W752</f>
        <v>0</v>
      </c>
      <c r="Q638" s="70">
        <f>'RESUMEN TOTAL'!X752</f>
        <v>0</v>
      </c>
      <c r="R638" s="70">
        <f>'RESUMEN TOTAL'!Y752</f>
        <v>0</v>
      </c>
      <c r="S638" s="70">
        <f>'RESUMEN TOTAL'!Z752</f>
        <v>0</v>
      </c>
      <c r="T638" s="70">
        <f>'RESUMEN TOTAL'!AA752</f>
        <v>0</v>
      </c>
      <c r="U638" s="70">
        <f>'RESUMEN TOTAL'!AB752</f>
        <v>0</v>
      </c>
      <c r="V638" s="70">
        <f>'RESUMEN TOTAL'!AC752</f>
        <v>0</v>
      </c>
      <c r="W638" s="70">
        <f>'RESUMEN TOTAL'!AD752</f>
        <v>0</v>
      </c>
      <c r="X638" s="70">
        <f>'RESUMEN TOTAL'!AE752</f>
        <v>0</v>
      </c>
      <c r="Y638" s="70">
        <f>'RESUMEN TOTAL'!AF752</f>
        <v>0</v>
      </c>
      <c r="Z638" s="70">
        <f>'RESUMEN TOTAL'!AG752</f>
        <v>0</v>
      </c>
      <c r="AA638" s="70">
        <f>'RESUMEN TOTAL'!AH752</f>
        <v>0</v>
      </c>
      <c r="AB638" s="70">
        <f>'RESUMEN TOTAL'!AI752</f>
        <v>0</v>
      </c>
      <c r="AC638" s="70">
        <f>'RESUMEN TOTAL'!AJ752</f>
        <v>0</v>
      </c>
      <c r="AD638" s="70">
        <f>'RESUMEN TOTAL'!AK752</f>
        <v>0</v>
      </c>
      <c r="AE638" s="70">
        <f>'RESUMEN TOTAL'!AL752</f>
        <v>0</v>
      </c>
      <c r="AF638" s="70">
        <f>'RESUMEN TOTAL'!AM752</f>
        <v>0</v>
      </c>
      <c r="AG638" s="70">
        <f>'RESUMEN TOTAL'!AN752</f>
        <v>0</v>
      </c>
      <c r="AH638" s="70">
        <f>'RESUMEN TOTAL'!AO752</f>
        <v>0</v>
      </c>
      <c r="AI638" s="70">
        <f>'RESUMEN TOTAL'!AP752</f>
        <v>0</v>
      </c>
      <c r="AJ638" s="70">
        <f>'RESUMEN TOTAL'!AQ752</f>
        <v>0</v>
      </c>
    </row>
    <row r="639" spans="1:36" x14ac:dyDescent="0.25">
      <c r="A639">
        <f>'RESUMEN TOTAL'!A753</f>
        <v>0</v>
      </c>
      <c r="B639">
        <f>'RESUMEN TOTAL'!B753</f>
        <v>0</v>
      </c>
      <c r="C639">
        <f>'RESUMEN TOTAL'!D753</f>
        <v>0</v>
      </c>
      <c r="D639" s="30">
        <f>'RESUMEN TOTAL'!E753</f>
        <v>0</v>
      </c>
      <c r="E639" s="30">
        <f>'RESUMEN TOTAL'!F753</f>
        <v>0</v>
      </c>
      <c r="F639" s="70">
        <f>'RESUMEN TOTAL'!M753</f>
        <v>0</v>
      </c>
      <c r="G639" s="70">
        <f>'RESUMEN TOTAL'!N753</f>
        <v>0</v>
      </c>
      <c r="H639" s="70">
        <f>'RESUMEN TOTAL'!O753</f>
        <v>0</v>
      </c>
      <c r="I639" s="70">
        <f>'RESUMEN TOTAL'!P753</f>
        <v>0</v>
      </c>
      <c r="J639" s="70">
        <f>'RESUMEN TOTAL'!Q753</f>
        <v>0</v>
      </c>
      <c r="K639" s="70">
        <f>'RESUMEN TOTAL'!R753</f>
        <v>0</v>
      </c>
      <c r="L639" s="70">
        <f>'RESUMEN TOTAL'!S753</f>
        <v>0</v>
      </c>
      <c r="M639" s="70">
        <f>'RESUMEN TOTAL'!T753</f>
        <v>0</v>
      </c>
      <c r="N639" s="70">
        <f>'RESUMEN TOTAL'!U753</f>
        <v>0</v>
      </c>
      <c r="O639" s="70">
        <f>'RESUMEN TOTAL'!V753</f>
        <v>0</v>
      </c>
      <c r="P639" s="70">
        <f>'RESUMEN TOTAL'!W753</f>
        <v>0</v>
      </c>
      <c r="Q639" s="70">
        <f>'RESUMEN TOTAL'!X753</f>
        <v>0</v>
      </c>
      <c r="R639" s="70">
        <f>'RESUMEN TOTAL'!Y753</f>
        <v>0</v>
      </c>
      <c r="S639" s="70">
        <f>'RESUMEN TOTAL'!Z753</f>
        <v>0</v>
      </c>
      <c r="T639" s="70">
        <f>'RESUMEN TOTAL'!AA753</f>
        <v>0</v>
      </c>
      <c r="U639" s="70">
        <f>'RESUMEN TOTAL'!AB753</f>
        <v>0</v>
      </c>
      <c r="V639" s="70">
        <f>'RESUMEN TOTAL'!AC753</f>
        <v>0</v>
      </c>
      <c r="W639" s="70">
        <f>'RESUMEN TOTAL'!AD753</f>
        <v>0</v>
      </c>
      <c r="X639" s="70">
        <f>'RESUMEN TOTAL'!AE753</f>
        <v>0</v>
      </c>
      <c r="Y639" s="70">
        <f>'RESUMEN TOTAL'!AF753</f>
        <v>0</v>
      </c>
      <c r="Z639" s="70">
        <f>'RESUMEN TOTAL'!AG753</f>
        <v>0</v>
      </c>
      <c r="AA639" s="70">
        <f>'RESUMEN TOTAL'!AH753</f>
        <v>0</v>
      </c>
      <c r="AB639" s="70">
        <f>'RESUMEN TOTAL'!AI753</f>
        <v>0</v>
      </c>
      <c r="AC639" s="70">
        <f>'RESUMEN TOTAL'!AJ753</f>
        <v>0</v>
      </c>
      <c r="AD639" s="70">
        <f>'RESUMEN TOTAL'!AK753</f>
        <v>0</v>
      </c>
      <c r="AE639" s="70">
        <f>'RESUMEN TOTAL'!AL753</f>
        <v>0</v>
      </c>
      <c r="AF639" s="70">
        <f>'RESUMEN TOTAL'!AM753</f>
        <v>0</v>
      </c>
      <c r="AG639" s="70">
        <f>'RESUMEN TOTAL'!AN753</f>
        <v>0</v>
      </c>
      <c r="AH639" s="70">
        <f>'RESUMEN TOTAL'!AO753</f>
        <v>0</v>
      </c>
      <c r="AI639" s="70">
        <f>'RESUMEN TOTAL'!AP753</f>
        <v>0</v>
      </c>
      <c r="AJ639" s="70">
        <f>'RESUMEN TOTAL'!AQ753</f>
        <v>0</v>
      </c>
    </row>
    <row r="640" spans="1:36" x14ac:dyDescent="0.25">
      <c r="A640">
        <f>'RESUMEN TOTAL'!A754</f>
        <v>0</v>
      </c>
      <c r="B640">
        <f>'RESUMEN TOTAL'!B754</f>
        <v>0</v>
      </c>
      <c r="C640">
        <f>'RESUMEN TOTAL'!D754</f>
        <v>0</v>
      </c>
      <c r="D640" s="30">
        <f>'RESUMEN TOTAL'!E754</f>
        <v>0</v>
      </c>
      <c r="E640" s="30">
        <f>'RESUMEN TOTAL'!F754</f>
        <v>0</v>
      </c>
      <c r="F640" s="70">
        <f>'RESUMEN TOTAL'!M754</f>
        <v>0</v>
      </c>
      <c r="G640" s="70">
        <f>'RESUMEN TOTAL'!N754</f>
        <v>0</v>
      </c>
      <c r="H640" s="70">
        <f>'RESUMEN TOTAL'!O754</f>
        <v>0</v>
      </c>
      <c r="I640" s="70">
        <f>'RESUMEN TOTAL'!P754</f>
        <v>0</v>
      </c>
      <c r="J640" s="70">
        <f>'RESUMEN TOTAL'!Q754</f>
        <v>0</v>
      </c>
      <c r="K640" s="70">
        <f>'RESUMEN TOTAL'!R754</f>
        <v>0</v>
      </c>
      <c r="L640" s="70">
        <f>'RESUMEN TOTAL'!S754</f>
        <v>0</v>
      </c>
      <c r="M640" s="70">
        <f>'RESUMEN TOTAL'!T754</f>
        <v>0</v>
      </c>
      <c r="N640" s="70">
        <f>'RESUMEN TOTAL'!U754</f>
        <v>0</v>
      </c>
      <c r="O640" s="70">
        <f>'RESUMEN TOTAL'!V754</f>
        <v>0</v>
      </c>
      <c r="P640" s="70">
        <f>'RESUMEN TOTAL'!W754</f>
        <v>0</v>
      </c>
      <c r="Q640" s="70">
        <f>'RESUMEN TOTAL'!X754</f>
        <v>0</v>
      </c>
      <c r="R640" s="70">
        <f>'RESUMEN TOTAL'!Y754</f>
        <v>0</v>
      </c>
      <c r="S640" s="70">
        <f>'RESUMEN TOTAL'!Z754</f>
        <v>0</v>
      </c>
      <c r="T640" s="70">
        <f>'RESUMEN TOTAL'!AA754</f>
        <v>0</v>
      </c>
      <c r="U640" s="70">
        <f>'RESUMEN TOTAL'!AB754</f>
        <v>0</v>
      </c>
      <c r="V640" s="70">
        <f>'RESUMEN TOTAL'!AC754</f>
        <v>0</v>
      </c>
      <c r="W640" s="70">
        <f>'RESUMEN TOTAL'!AD754</f>
        <v>0</v>
      </c>
      <c r="X640" s="70">
        <f>'RESUMEN TOTAL'!AE754</f>
        <v>0</v>
      </c>
      <c r="Y640" s="70">
        <f>'RESUMEN TOTAL'!AF754</f>
        <v>0</v>
      </c>
      <c r="Z640" s="70">
        <f>'RESUMEN TOTAL'!AG754</f>
        <v>0</v>
      </c>
      <c r="AA640" s="70">
        <f>'RESUMEN TOTAL'!AH754</f>
        <v>0</v>
      </c>
      <c r="AB640" s="70">
        <f>'RESUMEN TOTAL'!AI754</f>
        <v>0</v>
      </c>
      <c r="AC640" s="70">
        <f>'RESUMEN TOTAL'!AJ754</f>
        <v>0</v>
      </c>
      <c r="AD640" s="70">
        <f>'RESUMEN TOTAL'!AK754</f>
        <v>0</v>
      </c>
      <c r="AE640" s="70">
        <f>'RESUMEN TOTAL'!AL754</f>
        <v>0</v>
      </c>
      <c r="AF640" s="70">
        <f>'RESUMEN TOTAL'!AM754</f>
        <v>0</v>
      </c>
      <c r="AG640" s="70">
        <f>'RESUMEN TOTAL'!AN754</f>
        <v>0</v>
      </c>
      <c r="AH640" s="70">
        <f>'RESUMEN TOTAL'!AO754</f>
        <v>0</v>
      </c>
      <c r="AI640" s="70">
        <f>'RESUMEN TOTAL'!AP754</f>
        <v>0</v>
      </c>
      <c r="AJ640" s="70">
        <f>'RESUMEN TOTAL'!AQ754</f>
        <v>0</v>
      </c>
    </row>
    <row r="641" spans="1:36" x14ac:dyDescent="0.25">
      <c r="A641">
        <f>'RESUMEN TOTAL'!A755</f>
        <v>0</v>
      </c>
      <c r="B641">
        <f>'RESUMEN TOTAL'!B755</f>
        <v>0</v>
      </c>
      <c r="C641">
        <f>'RESUMEN TOTAL'!D755</f>
        <v>0</v>
      </c>
      <c r="D641" s="30">
        <f>'RESUMEN TOTAL'!E755</f>
        <v>0</v>
      </c>
      <c r="E641" s="30">
        <f>'RESUMEN TOTAL'!F755</f>
        <v>0</v>
      </c>
      <c r="F641" s="70">
        <f>'RESUMEN TOTAL'!M755</f>
        <v>0</v>
      </c>
      <c r="G641" s="70">
        <f>'RESUMEN TOTAL'!N755</f>
        <v>0</v>
      </c>
      <c r="H641" s="70">
        <f>'RESUMEN TOTAL'!O755</f>
        <v>0</v>
      </c>
      <c r="I641" s="70">
        <f>'RESUMEN TOTAL'!P755</f>
        <v>0</v>
      </c>
      <c r="J641" s="70">
        <f>'RESUMEN TOTAL'!Q755</f>
        <v>0</v>
      </c>
      <c r="K641" s="70">
        <f>'RESUMEN TOTAL'!R755</f>
        <v>0</v>
      </c>
      <c r="L641" s="70">
        <f>'RESUMEN TOTAL'!S755</f>
        <v>0</v>
      </c>
      <c r="M641" s="70">
        <f>'RESUMEN TOTAL'!T755</f>
        <v>0</v>
      </c>
      <c r="N641" s="70">
        <f>'RESUMEN TOTAL'!U755</f>
        <v>0</v>
      </c>
      <c r="O641" s="70">
        <f>'RESUMEN TOTAL'!V755</f>
        <v>0</v>
      </c>
      <c r="P641" s="70">
        <f>'RESUMEN TOTAL'!W755</f>
        <v>0</v>
      </c>
      <c r="Q641" s="70">
        <f>'RESUMEN TOTAL'!X755</f>
        <v>0</v>
      </c>
      <c r="R641" s="70">
        <f>'RESUMEN TOTAL'!Y755</f>
        <v>0</v>
      </c>
      <c r="S641" s="70">
        <f>'RESUMEN TOTAL'!Z755</f>
        <v>0</v>
      </c>
      <c r="T641" s="70">
        <f>'RESUMEN TOTAL'!AA755</f>
        <v>0</v>
      </c>
      <c r="U641" s="70">
        <f>'RESUMEN TOTAL'!AB755</f>
        <v>0</v>
      </c>
      <c r="V641" s="70">
        <f>'RESUMEN TOTAL'!AC755</f>
        <v>0</v>
      </c>
      <c r="W641" s="70">
        <f>'RESUMEN TOTAL'!AD755</f>
        <v>0</v>
      </c>
      <c r="X641" s="70">
        <f>'RESUMEN TOTAL'!AE755</f>
        <v>0</v>
      </c>
      <c r="Y641" s="70">
        <f>'RESUMEN TOTAL'!AF755</f>
        <v>0</v>
      </c>
      <c r="Z641" s="70">
        <f>'RESUMEN TOTAL'!AG755</f>
        <v>0</v>
      </c>
      <c r="AA641" s="70">
        <f>'RESUMEN TOTAL'!AH755</f>
        <v>0</v>
      </c>
      <c r="AB641" s="70">
        <f>'RESUMEN TOTAL'!AI755</f>
        <v>0</v>
      </c>
      <c r="AC641" s="70">
        <f>'RESUMEN TOTAL'!AJ755</f>
        <v>0</v>
      </c>
      <c r="AD641" s="70">
        <f>'RESUMEN TOTAL'!AK755</f>
        <v>0</v>
      </c>
      <c r="AE641" s="70">
        <f>'RESUMEN TOTAL'!AL755</f>
        <v>0</v>
      </c>
      <c r="AF641" s="70">
        <f>'RESUMEN TOTAL'!AM755</f>
        <v>0</v>
      </c>
      <c r="AG641" s="70">
        <f>'RESUMEN TOTAL'!AN755</f>
        <v>0</v>
      </c>
      <c r="AH641" s="70">
        <f>'RESUMEN TOTAL'!AO755</f>
        <v>0</v>
      </c>
      <c r="AI641" s="70">
        <f>'RESUMEN TOTAL'!AP755</f>
        <v>0</v>
      </c>
      <c r="AJ641" s="70">
        <f>'RESUMEN TOTAL'!AQ755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TOTAL'!M756</f>
        <v>0</v>
      </c>
      <c r="G642" s="70">
        <f>'RESUMEN TOTAL'!N756</f>
        <v>0</v>
      </c>
      <c r="H642" s="70">
        <f>'RESUMEN TOTAL'!O756</f>
        <v>0</v>
      </c>
      <c r="I642" s="70">
        <f>'RESUMEN TOTAL'!P756</f>
        <v>0</v>
      </c>
      <c r="J642" s="70">
        <f>'RESUMEN TOTAL'!Q756</f>
        <v>0</v>
      </c>
      <c r="K642" s="70">
        <f>'RESUMEN TOTAL'!R756</f>
        <v>0</v>
      </c>
      <c r="L642" s="70">
        <f>'RESUMEN TOTAL'!S756</f>
        <v>0</v>
      </c>
      <c r="M642" s="70">
        <f>'RESUMEN TOTAL'!T756</f>
        <v>0</v>
      </c>
      <c r="N642" s="70">
        <f>'RESUMEN TOTAL'!U756</f>
        <v>0</v>
      </c>
      <c r="O642" s="70">
        <f>'RESUMEN TOTAL'!V756</f>
        <v>0</v>
      </c>
      <c r="P642" s="70">
        <f>'RESUMEN TOTAL'!W756</f>
        <v>0</v>
      </c>
      <c r="Q642" s="70">
        <f>'RESUMEN TOTAL'!X756</f>
        <v>0</v>
      </c>
      <c r="R642" s="70">
        <f>'RESUMEN TOTAL'!Y756</f>
        <v>0</v>
      </c>
      <c r="S642" s="70">
        <f>'RESUMEN TOTAL'!Z756</f>
        <v>0</v>
      </c>
      <c r="T642" s="70">
        <f>'RESUMEN TOTAL'!AA756</f>
        <v>0</v>
      </c>
      <c r="U642" s="70">
        <f>'RESUMEN TOTAL'!AB756</f>
        <v>0</v>
      </c>
      <c r="V642" s="70">
        <f>'RESUMEN TOTAL'!AC756</f>
        <v>0</v>
      </c>
      <c r="W642" s="70">
        <f>'RESUMEN TOTAL'!AD756</f>
        <v>0</v>
      </c>
      <c r="X642" s="70">
        <f>'RESUMEN TOTAL'!AE756</f>
        <v>0</v>
      </c>
      <c r="Y642" s="70">
        <f>'RESUMEN TOTAL'!AF756</f>
        <v>0</v>
      </c>
      <c r="Z642" s="70">
        <f>'RESUMEN TOTAL'!AG756</f>
        <v>0</v>
      </c>
      <c r="AA642" s="70">
        <f>'RESUMEN TOTAL'!AH756</f>
        <v>0</v>
      </c>
      <c r="AB642" s="70">
        <f>'RESUMEN TOTAL'!AI756</f>
        <v>0</v>
      </c>
      <c r="AC642" s="70">
        <f>'RESUMEN TOTAL'!AJ756</f>
        <v>0</v>
      </c>
      <c r="AD642" s="70">
        <f>'RESUMEN TOTAL'!AK756</f>
        <v>0</v>
      </c>
      <c r="AE642" s="70">
        <f>'RESUMEN TOTAL'!AL756</f>
        <v>0</v>
      </c>
      <c r="AF642" s="70">
        <f>'RESUMEN TOTAL'!AM756</f>
        <v>0</v>
      </c>
      <c r="AG642" s="70">
        <f>'RESUMEN TOTAL'!AN756</f>
        <v>0</v>
      </c>
      <c r="AH642" s="70">
        <f>'RESUMEN TOTAL'!AO756</f>
        <v>0</v>
      </c>
      <c r="AI642" s="70">
        <f>'RESUMEN TOTAL'!AP756</f>
        <v>0</v>
      </c>
      <c r="AJ642" s="70">
        <f>'RESUMEN TOTAL'!AQ756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TOTAL'!M757</f>
        <v>0</v>
      </c>
      <c r="G643" s="70">
        <f>'RESUMEN TOTAL'!N757</f>
        <v>0</v>
      </c>
      <c r="H643" s="70">
        <f>'RESUMEN TOTAL'!O757</f>
        <v>0</v>
      </c>
      <c r="I643" s="70">
        <f>'RESUMEN TOTAL'!P757</f>
        <v>0</v>
      </c>
      <c r="J643" s="70">
        <f>'RESUMEN TOTAL'!Q757</f>
        <v>0</v>
      </c>
      <c r="K643" s="70">
        <f>'RESUMEN TOTAL'!R757</f>
        <v>0</v>
      </c>
      <c r="L643" s="70">
        <f>'RESUMEN TOTAL'!S757</f>
        <v>0</v>
      </c>
      <c r="M643" s="70">
        <f>'RESUMEN TOTAL'!T757</f>
        <v>0</v>
      </c>
      <c r="N643" s="70">
        <f>'RESUMEN TOTAL'!U757</f>
        <v>0</v>
      </c>
      <c r="O643" s="70">
        <f>'RESUMEN TOTAL'!V757</f>
        <v>0</v>
      </c>
      <c r="P643" s="70">
        <f>'RESUMEN TOTAL'!W757</f>
        <v>0</v>
      </c>
      <c r="Q643" s="70">
        <f>'RESUMEN TOTAL'!X757</f>
        <v>0</v>
      </c>
      <c r="R643" s="70">
        <f>'RESUMEN TOTAL'!Y757</f>
        <v>0</v>
      </c>
      <c r="S643" s="70">
        <f>'RESUMEN TOTAL'!Z757</f>
        <v>0</v>
      </c>
      <c r="T643" s="70">
        <f>'RESUMEN TOTAL'!AA757</f>
        <v>0</v>
      </c>
      <c r="U643" s="70">
        <f>'RESUMEN TOTAL'!AB757</f>
        <v>0</v>
      </c>
      <c r="V643" s="70">
        <f>'RESUMEN TOTAL'!AC757</f>
        <v>0</v>
      </c>
      <c r="W643" s="70">
        <f>'RESUMEN TOTAL'!AD757</f>
        <v>0</v>
      </c>
      <c r="X643" s="70">
        <f>'RESUMEN TOTAL'!AE757</f>
        <v>0</v>
      </c>
      <c r="Y643" s="70">
        <f>'RESUMEN TOTAL'!AF757</f>
        <v>0</v>
      </c>
      <c r="Z643" s="70">
        <f>'RESUMEN TOTAL'!AG757</f>
        <v>0</v>
      </c>
      <c r="AA643" s="70">
        <f>'RESUMEN TOTAL'!AH757</f>
        <v>0</v>
      </c>
      <c r="AB643" s="70">
        <f>'RESUMEN TOTAL'!AI757</f>
        <v>0</v>
      </c>
      <c r="AC643" s="70">
        <f>'RESUMEN TOTAL'!AJ757</f>
        <v>0</v>
      </c>
      <c r="AD643" s="70">
        <f>'RESUMEN TOTAL'!AK757</f>
        <v>0</v>
      </c>
      <c r="AE643" s="70">
        <f>'RESUMEN TOTAL'!AL757</f>
        <v>0</v>
      </c>
      <c r="AF643" s="70">
        <f>'RESUMEN TOTAL'!AM757</f>
        <v>0</v>
      </c>
      <c r="AG643" s="70">
        <f>'RESUMEN TOTAL'!AN757</f>
        <v>0</v>
      </c>
      <c r="AH643" s="70">
        <f>'RESUMEN TOTAL'!AO757</f>
        <v>0</v>
      </c>
      <c r="AI643" s="70">
        <f>'RESUMEN TOTAL'!AP757</f>
        <v>0</v>
      </c>
      <c r="AJ643" s="70">
        <f>'RESUMEN TOTAL'!AQ757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TOTAL'!C8:C579,"=BONOMO")</f>
        <v>302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TOTAL'!N8:N688,"=APAGADO",'RESUMEN TOTAL'!C8:C688,"=BONOMO")</f>
        <v>29</v>
      </c>
      <c r="H3" s="46">
        <v>37</v>
      </c>
      <c r="I3" s="46">
        <v>48</v>
      </c>
      <c r="J3" s="46">
        <f>COUNTIFS('RESUMEN TOTAL'!Q8:Q688,"=APAGADO",'RESUMEN TOTAL'!C8:C688,"=BONOMO")</f>
        <v>41</v>
      </c>
      <c r="K3" s="46">
        <f>COUNTIFS('RESUMEN TOTAL'!R8:R688,"=APAGADO",'RESUMEN TOTAL'!C8:C688,"=BONOMO")</f>
        <v>22</v>
      </c>
      <c r="L3" s="46">
        <v>0</v>
      </c>
      <c r="M3" s="46">
        <v>0</v>
      </c>
      <c r="N3" s="46">
        <f>COUNTIFS('RESUMEN TOTAL'!U8:U688,"=APAGADO",'RESUMEN TOTAL'!C8:C688,"=BONOMO")</f>
        <v>20</v>
      </c>
      <c r="O3" s="46">
        <f>COUNTIFS('RESUMEN TOTAL'!V8:V688,"=APAGADO",'RESUMEN TOTAL'!C8:C688,"=BONOMO")</f>
        <v>20</v>
      </c>
      <c r="P3" s="46">
        <f>COUNTIFS('RESUMEN TOTAL'!W8:W688,"=APAGADO",'RESUMEN TOTAL'!C8:C688,"=BONOMO")</f>
        <v>22</v>
      </c>
      <c r="Q3" s="46">
        <f>COUNTIFS('RESUMEN TOTAL'!X8:X688,"=APAGADO",'RESUMEN TOTAL'!C8:C688,"=BONOMO")</f>
        <v>22</v>
      </c>
      <c r="R3" s="46">
        <f>COUNTIFS('RESUMEN TOTAL'!Y8:Y688,"=APAGADO",'RESUMEN TOTAL'!C8:C688,"=BONOMO")</f>
        <v>23</v>
      </c>
      <c r="S3" s="46">
        <f>COUNTIFS('RESUMEN TOTAL'!Z8:Z688,"=APAGADO",'RESUMEN TOTAL'!C8:C688,"=BONOMO")</f>
        <v>23</v>
      </c>
      <c r="T3" s="46">
        <f>COUNTIFS('RESUMEN TOTAL'!AA8:AA688,"=APAGADO",'RESUMEN TOTAL'!C8:C688,"=BONOMO")</f>
        <v>26</v>
      </c>
      <c r="U3" s="46">
        <f>COUNTIFS('RESUMEN TOTAL'!AB8:AB688,"=APAGADO",'RESUMEN TOTAL'!C8:C688,"=BONOMO")</f>
        <v>27</v>
      </c>
      <c r="V3" s="46">
        <f>COUNTIFS('RESUMEN TOTAL'!AC8:AC688,"=APAGADO",'RESUMEN TOTAL'!C8:C688,"=BONOMO")</f>
        <v>46</v>
      </c>
      <c r="W3" s="46">
        <v>24</v>
      </c>
      <c r="X3" s="46">
        <f>COUNTIFS('RESUMEN TOTAL'!AE8:AE688,"=APAGADO",'RESUMEN TOTAL'!C8:C688,"=BONOMO")</f>
        <v>0</v>
      </c>
      <c r="Y3" s="46">
        <f>COUNTIFS('RESUMEN TOTAL'!AF8:AF688,"=APAGADO",'RESUMEN TOTAL'!C8:C688,"=BONOMO")</f>
        <v>0</v>
      </c>
      <c r="Z3" s="46">
        <f>COUNTIFS('RESUMEN TOTAL'!AG8:AG688,"=APAGADO",'RESUMEN TOTAL'!C8:C688,"=BONOMO")</f>
        <v>0</v>
      </c>
      <c r="AA3" s="46">
        <f>COUNTIFS('RESUMEN TOTAL'!AH8:AH688,"=APAGADO",'RESUMEN TOTAL'!C8:C688,"=BONOMO")</f>
        <v>0</v>
      </c>
      <c r="AB3" s="46">
        <f>COUNTIFS('RESUMEN TOTAL'!AI8:AI688,"=APAGADO",'RESUMEN TOTAL'!C8:C688,"=BONOMO")</f>
        <v>0</v>
      </c>
      <c r="AC3" s="46">
        <f>COUNTIFS('RESUMEN TOTAL'!AJ8:AJ688,"=APAGADO",'RESUMEN TOTAL'!C8:C688,"=BONOMO")</f>
        <v>0</v>
      </c>
      <c r="AD3" s="46">
        <f>COUNTIFS('RESUMEN TOTAL'!AK8:AK688,"=APAGADO",'RESUMEN TOTAL'!C8:C688,"=BONOMO")</f>
        <v>0</v>
      </c>
      <c r="AE3" s="46">
        <v>0</v>
      </c>
      <c r="AF3" s="46">
        <f>COUNTIFS('RESUMEN TOTAL'!AM8:AM688,"=APAGADO",'RESUMEN TOTAL'!C8:C688,"=BONOMO")</f>
        <v>0</v>
      </c>
      <c r="AG3" s="46">
        <f>COUNTIFS('RESUMEN TOTAL'!AN8:AN688,"=APAGADO",'RESUMEN TOTAL'!C8:C688,"=BONOMO")</f>
        <v>0</v>
      </c>
      <c r="AH3" s="46">
        <f>COUNTIFS('RESUMEN TOTAL'!AO8:AO688,"=APAGADO",'RESUMEN TOTAL'!C8:C688,"=BONOMO")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TOTAL'!C8:C579,"=COSEIDI")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9.602649006622517E-2</v>
      </c>
      <c r="H4" s="50">
        <f t="shared" si="0"/>
        <v>0.12251655629139073</v>
      </c>
      <c r="I4" s="50">
        <f t="shared" si="0"/>
        <v>0.15894039735099338</v>
      </c>
      <c r="J4" s="50">
        <v>0.14000000000000001</v>
      </c>
      <c r="K4" s="50">
        <f t="shared" si="0"/>
        <v>7.2847682119205295E-2</v>
      </c>
      <c r="L4" s="50">
        <f t="shared" si="0"/>
        <v>0</v>
      </c>
      <c r="M4" s="50">
        <v>0</v>
      </c>
      <c r="N4" s="50">
        <f t="shared" si="0"/>
        <v>6.6225165562913912E-2</v>
      </c>
      <c r="O4" s="50">
        <f t="shared" si="0"/>
        <v>6.6225165562913912E-2</v>
      </c>
      <c r="P4" s="50">
        <f t="shared" si="0"/>
        <v>7.2847682119205295E-2</v>
      </c>
      <c r="Q4" s="50">
        <f t="shared" si="0"/>
        <v>7.2847682119205295E-2</v>
      </c>
      <c r="R4" s="50">
        <f t="shared" si="0"/>
        <v>7.6158940397350994E-2</v>
      </c>
      <c r="S4" s="50">
        <f t="shared" si="0"/>
        <v>7.6158940397350994E-2</v>
      </c>
      <c r="T4" s="50">
        <f t="shared" si="0"/>
        <v>8.6092715231788075E-2</v>
      </c>
      <c r="U4" s="50">
        <f t="shared" si="0"/>
        <v>8.9403973509933773E-2</v>
      </c>
      <c r="V4" s="50">
        <f t="shared" si="0"/>
        <v>0.15231788079470199</v>
      </c>
      <c r="W4" s="50">
        <f t="shared" si="0"/>
        <v>7.9470198675496692E-2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TOTAL'!M8:M690,"=APAGADO",'RESUMEN TOTAL'!C8:C690,"=COSEIDI")</f>
        <v>51</v>
      </c>
      <c r="G5" s="46">
        <f>COUNTIFS('RESUMEN TOTAL'!N8:N688,"=APAGADO",'RESUMEN TOTAL'!C8:C688,"=COSEIDI")</f>
        <v>41</v>
      </c>
      <c r="H5" s="46">
        <v>37</v>
      </c>
      <c r="I5" s="46">
        <f>COUNTIFS('RESUMEN TOTAL'!P10:P690,"=APAGADO",'RESUMEN TOTAL'!C10:C690,"=COSEIDI")</f>
        <v>73</v>
      </c>
      <c r="J5" s="46">
        <f>COUNTIFS('RESUMEN TOTAL'!Q10:Q690,"=APAGADO",'RESUMEN TOTAL'!C10:C690,"=COSEIDI")</f>
        <v>70</v>
      </c>
      <c r="K5" s="46">
        <f>COUNTIFS('RESUMEN TOTAL'!R10:R690,"=APAGADO",'RESUMEN TOTAL'!C10:C690,"=COSEIDI")</f>
        <v>67</v>
      </c>
      <c r="L5" s="46">
        <f>COUNTIFS('RESUMEN TOTAL'!S10:S690,"=APAGADO",'RESUMEN TOTAL'!C10:C690,"=COSEIDI")</f>
        <v>67</v>
      </c>
      <c r="M5" s="46">
        <v>0</v>
      </c>
      <c r="N5" s="46">
        <f>COUNTIFS('RESUMEN TOTAL'!U10:U690,"=APAGADO",'RESUMEN TOTAL'!C10:C690,"=COSEIDI")</f>
        <v>67</v>
      </c>
      <c r="O5" s="46">
        <v>58</v>
      </c>
      <c r="P5" s="46">
        <f>COUNTIFS('RESUMEN TOTAL'!W10:W690,"=APAGADO",'RESUMEN TOTAL'!C10:C690,"=COSEIDI")</f>
        <v>67</v>
      </c>
      <c r="Q5" s="46">
        <f>COUNTIFS('RESUMEN TOTAL'!X10:X690,"=APAGADO",'RESUMEN TOTAL'!C10:C690,"=COSEIDI")</f>
        <v>69</v>
      </c>
      <c r="R5" s="46">
        <f>COUNTIFS('RESUMEN TOTAL'!Y10:Y690,"=APAGADO",'RESUMEN TOTAL'!C10:C690,"=COSEIDI")</f>
        <v>60</v>
      </c>
      <c r="S5" s="46">
        <f>COUNTIFS('RESUMEN TOTAL'!Z10:Z690,"=APAGADO",'RESUMEN TOTAL'!C10:C690,"=COSEIDI")</f>
        <v>57</v>
      </c>
      <c r="T5" s="46">
        <v>66</v>
      </c>
      <c r="U5" s="46">
        <v>54</v>
      </c>
      <c r="V5" s="46">
        <f>COUNTIFS('RESUMEN TOTAL'!AC10:AC690,"=APAGADO",'RESUMEN TOTAL'!C10:C690,"=COSEIDI")</f>
        <v>53</v>
      </c>
      <c r="W5" s="46">
        <f>COUNTIFS('RESUMEN TOTAL'!AD10:AD690,"=APAGADO",'RESUMEN TOTAL'!C10:C690,"=COSEIDI")</f>
        <v>61</v>
      </c>
      <c r="X5" s="46">
        <f>COUNTIFS('RESUMEN TOTAL'!AE10:AE690,"=APAGADO",'RESUMEN TOTAL'!C10:C690,"=COSEIDI")</f>
        <v>0</v>
      </c>
      <c r="Y5" s="46">
        <f>COUNTIFS('RESUMEN TOTAL'!AF10:AF690,"=APAGADO",'RESUMEN TOTAL'!C10:C690,"=COSEIDI")</f>
        <v>0</v>
      </c>
      <c r="Z5" s="46">
        <f>COUNTIFS('RESUMEN TOTAL'!AG10:AG690,"=APAGADO",'RESUMEN TOTAL'!C10:C690,"=COSEIDI")</f>
        <v>0</v>
      </c>
      <c r="AA5" s="46">
        <f>COUNTIFS('RESUMEN TOTAL'!AH10:AH690,"=APAGADO",'RESUMEN TOTAL'!C10:C690,"=COSEIDI")</f>
        <v>0</v>
      </c>
      <c r="AB5" s="46">
        <f>COUNTIFS('RESUMEN TOTAL'!AI10:AI690,"=APAGADO",'RESUMEN TOTAL'!C10:C690,"=COSEIDI")</f>
        <v>0</v>
      </c>
      <c r="AC5" s="46">
        <f>COUNTIFS('RESUMEN TOTAL'!AJ10:AJ690,"=APAGADO",'RESUMEN TOTAL'!C10:C690,"=COSEIDI")</f>
        <v>0</v>
      </c>
      <c r="AD5" s="46">
        <f>COUNTIFS('RESUMEN TOTAL'!AK10:AK690,"=APAGADO",'RESUMEN TOTAL'!C10:C690,"=COSEIDI")</f>
        <v>0</v>
      </c>
      <c r="AE5" s="46">
        <f>COUNTIFS('RESUMEN TOTAL'!AL10:AL690,"=APAGADO",'RESUMEN TOTAL'!C10:C690,"=COSEIDI")</f>
        <v>0</v>
      </c>
      <c r="AF5" s="46">
        <f>COUNTIFS('RESUMEN TOTAL'!AM10:AM690,"=APAGADO",'RESUMEN TOTAL'!C10:C690,"=COSEIDI")</f>
        <v>0</v>
      </c>
      <c r="AG5" s="46">
        <v>0</v>
      </c>
      <c r="AH5" s="46">
        <f>COUNTIFS('RESUMEN TOTAL'!AO10:AO690,"=APAGADO",'RESUMEN TOTAL'!C10:C690,"=COSEIDI")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2025-12-18T13:59:34Z</dcterms:modified>
</cp:coreProperties>
</file>