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983283C8-C5BB-4454-B56C-8A8C88ADA3F0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<sst xmlns="http://schemas.openxmlformats.org/spreadsheetml/2006/main" count="6462" uniqueCount="2131">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</sst>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zoomScale="53" zoomScaleNormal="53" workbookViewId="0">
      <pane xSplit="12" ySplit="7" topLeftCell="AL8" activePane="bottomRight" state="frozen"/>
      <selection pane="topRight" activeCell="M1" sqref="M1"/>
      <selection pane="bottomLeft" activeCell="A5" sqref="A5"/>
      <selection pane="bottomRight" activeCell="D630" sqref="D630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0.14937106918238993</v>
      </c>
      <c r="AI1" s="3">
        <f t="shared" si="1"/>
        <v>0.10281923714759536</v>
      </c>
      <c r="AJ1" s="3">
        <f t="shared" si="1"/>
        <v>8.9225589225589222E-2</v>
      </c>
      <c r="AK1" s="3">
        <f t="shared" si="1"/>
        <v>8.6148648648648643E-2</v>
      </c>
      <c r="AL1" s="3">
        <f t="shared" si="1"/>
        <v>8.1494057724957561E-2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95</v>
      </c>
      <c r="AI3" s="126">
        <f t="shared" si="3"/>
        <v>62</v>
      </c>
      <c r="AJ3" s="126">
        <f t="shared" si="3"/>
        <v>53</v>
      </c>
      <c r="AK3" s="126">
        <f t="shared" si="3"/>
        <v>51</v>
      </c>
      <c r="AL3" s="126">
        <f t="shared" si="3"/>
        <v>48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49</v>
      </c>
      <c r="AI4" s="10">
        <f>COUNTIFS(AI8:AI656, "=APAGADO",F8:F656,"=Fibra Optica")</f>
        <v>23</v>
      </c>
      <c r="AJ4" s="10">
        <f>COUNTIFS(AJ8:AJ656, "=APAGADO",F8:F656,"=Fibra Optica")</f>
        <v>20</v>
      </c>
      <c r="AK4" s="10">
        <f>COUNTIFS(AK8:AK656, "=APAGADO",F8:F656,"=Fibra Optica")</f>
        <v>20</v>
      </c>
      <c r="AL4" s="10">
        <f>COUNTIFS(AL8:AL656, "=APAGADO",F8:F656,"=Fibra Optica")</f>
        <v>18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21</v>
      </c>
      <c r="AI5" s="130">
        <f>COUNTIFS(AI8:AI656, "=APAGADO",F8:F656,"=RADIO")</f>
        <v>12</v>
      </c>
      <c r="AJ5" s="130">
        <f>COUNTIFS(AJ8:AJ656, "=APAGADO",F8:F656,"=RADIO")</f>
        <v>10</v>
      </c>
      <c r="AK5" s="130">
        <f>COUNTIFS(AK8:AK656, "=APAGADO",F8:F656,"=RADIO")</f>
        <v>10</v>
      </c>
      <c r="AL5" s="130">
        <f>COUNTIFS(AL8:AL656, "=APAGADO",F8:F656,"=RADIO")</f>
        <v>10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8</v>
      </c>
      <c r="AI6" s="10">
        <f>COUNTIFS(AI8:AI656, "=APAGADO",F8:F656,"=PTO A FO")</f>
        <v>5</v>
      </c>
      <c r="AJ6" s="10">
        <f>COUNTIFS(AJ8:AJ656, "=APAGADO",F8:F656,"=PTO A FO")</f>
        <v>4</v>
      </c>
      <c r="AK6" s="10">
        <f>COUNTIFS(AK8:AK656, "=APAGADO",F8:F656,"=PTO A FO")</f>
        <v>4</v>
      </c>
      <c r="AL6" s="10">
        <f>COUNTIFS(AL8:AL656, "=APAGADO",F8:F656,"=PTO A FO")</f>
        <v>5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</v>
      </c>
      <c r="J22" s="148" t="s">
        <v>1689</v>
      </c>
      <c r="K22" s="31">
        <f t="shared" si="5"/>
        <v>26</v>
      </c>
      <c r="L22" s="32">
        <f t="shared" si="6"/>
        <v>7.1428571428571425E-2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 t="s">
        <v>1526</v>
      </c>
      <c r="AI22" s="70" t="s">
        <v>1526</v>
      </c>
      <c r="AJ22" s="70" t="s">
        <v>1526</v>
      </c>
      <c r="AK22" s="70" t="s">
        <v>1526</v>
      </c>
      <c r="AL22" s="70" t="s">
        <v>1526</v>
      </c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24</v>
      </c>
      <c r="J24" s="148" t="s">
        <v>1691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 t="s">
        <v>1526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24</v>
      </c>
      <c r="J25" s="148" t="s">
        <v>1692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 t="s">
        <v>1526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24</v>
      </c>
      <c r="J26" s="148" t="s">
        <v>1693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 t="s">
        <v>1526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24</v>
      </c>
      <c r="J27" s="148" t="s">
        <v>1694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 t="s">
        <v>1526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24</v>
      </c>
      <c r="J28" s="148" t="s">
        <v>1695</v>
      </c>
      <c r="K28" s="31">
        <f t="shared" si="5"/>
        <v>4</v>
      </c>
      <c r="L28" s="32">
        <f t="shared" si="6"/>
        <v>0.8571428571428571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 t="s">
        <v>1526</v>
      </c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24</v>
      </c>
      <c r="J29" s="148" t="s">
        <v>1696</v>
      </c>
      <c r="K29" s="31">
        <f t="shared" si="5"/>
        <v>4</v>
      </c>
      <c r="L29" s="32">
        <f t="shared" si="6"/>
        <v>0.8571428571428571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 t="s">
        <v>1526</v>
      </c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3</v>
      </c>
      <c r="J34" s="148" t="s">
        <v>1698</v>
      </c>
      <c r="K34" s="134">
        <f t="shared" si="5"/>
        <v>25</v>
      </c>
      <c r="L34" s="135">
        <f t="shared" si="6"/>
        <v>0.10714285714285714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 t="s">
        <v>1526</v>
      </c>
      <c r="AI34" s="136" t="s">
        <v>1526</v>
      </c>
      <c r="AJ34" s="136" t="s">
        <v>1526</v>
      </c>
      <c r="AK34" s="136" t="s">
        <v>1526</v>
      </c>
      <c r="AL34" s="136" t="s">
        <v>1526</v>
      </c>
      <c r="AM34" s="136"/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4</v>
      </c>
      <c r="J35" s="87"/>
      <c r="K35" s="143">
        <f t="shared" si="5"/>
        <v>24</v>
      </c>
      <c r="L35" s="144">
        <f t="shared" si="6"/>
        <v>0.14285714285714285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 t="s">
        <v>1526</v>
      </c>
      <c r="AI35" s="70" t="s">
        <v>1526</v>
      </c>
      <c r="AJ35" s="70" t="s">
        <v>1526</v>
      </c>
      <c r="AK35" s="70" t="s">
        <v>1526</v>
      </c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23</v>
      </c>
      <c r="J46" s="148" t="s">
        <v>1704</v>
      </c>
      <c r="K46" s="31">
        <f t="shared" si="5"/>
        <v>5</v>
      </c>
      <c r="L46" s="32">
        <f t="shared" si="6"/>
        <v>0.8214285714285714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 t="s">
        <v>1526</v>
      </c>
      <c r="AI46" s="70" t="s">
        <v>1526</v>
      </c>
      <c r="AJ46" s="70" t="s">
        <v>1526</v>
      </c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26</v>
      </c>
      <c r="J56" s="148" t="s">
        <v>1713</v>
      </c>
      <c r="K56" s="31">
        <f t="shared" si="5"/>
        <v>2</v>
      </c>
      <c r="L56" s="32">
        <f t="shared" si="6"/>
        <v>0.9285714285714286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 t="s">
        <v>1526</v>
      </c>
      <c r="AJ56" s="70" t="s">
        <v>1526</v>
      </c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2</v>
      </c>
      <c r="J63" s="87"/>
      <c r="K63" s="31">
        <f t="shared" si="5"/>
        <v>26</v>
      </c>
      <c r="L63" s="32">
        <f t="shared" si="6"/>
        <v>7.1428571428571425E-2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 t="s">
        <v>1526</v>
      </c>
      <c r="AI63" s="93" t="s">
        <v>1526</v>
      </c>
      <c r="AJ63" s="93" t="s">
        <v>1526</v>
      </c>
      <c r="AK63" s="93" t="s">
        <v>1526</v>
      </c>
      <c r="AL63" s="93" t="s">
        <v>1526</v>
      </c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3</v>
      </c>
      <c r="J66" s="148" t="s">
        <v>1722</v>
      </c>
      <c r="K66" s="31">
        <f t="shared" si="5"/>
        <v>25</v>
      </c>
      <c r="L66" s="32">
        <f t="shared" si="6"/>
        <v>0.10714285714285714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 t="s">
        <v>1526</v>
      </c>
      <c r="AI66" s="70" t="s">
        <v>1526</v>
      </c>
      <c r="AJ66" s="70" t="s">
        <v>1526</v>
      </c>
      <c r="AK66" s="70" t="s">
        <v>1526</v>
      </c>
      <c r="AL66" s="70" t="s">
        <v>1526</v>
      </c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25</v>
      </c>
      <c r="J81" s="148" t="s">
        <v>1737</v>
      </c>
      <c r="K81" s="31">
        <f t="shared" si="5"/>
        <v>3</v>
      </c>
      <c r="L81" s="32">
        <f t="shared" si="6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 t="s">
        <v>1526</v>
      </c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25</v>
      </c>
      <c r="J82" s="148" t="s">
        <v>1738</v>
      </c>
      <c r="K82" s="31">
        <f t="shared" si="5"/>
        <v>3</v>
      </c>
      <c r="L82" s="32">
        <f t="shared" si="6"/>
        <v>0.8928571428571429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 t="s">
        <v>1526</v>
      </c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25</v>
      </c>
      <c r="J83" s="148" t="s">
        <v>1739</v>
      </c>
      <c r="K83" s="31">
        <f t="shared" ref="K83:K155" si="8">COUNTIF(M83:AN83,"APAGADO")</f>
        <v>3</v>
      </c>
      <c r="L83" s="32">
        <f t="shared" ref="L83:L155" si="9">(I83)/(K83+I83)</f>
        <v>0.8928571428571429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 t="s">
        <v>1526</v>
      </c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27</v>
      </c>
      <c r="J90" s="148" t="s">
        <v>1746</v>
      </c>
      <c r="K90" s="143">
        <f t="shared" si="8"/>
        <v>1</v>
      </c>
      <c r="L90" s="144">
        <f t="shared" si="9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 t="s">
        <v>1526</v>
      </c>
      <c r="AM90" s="70"/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4</v>
      </c>
      <c r="J95" s="148" t="s">
        <v>1751</v>
      </c>
      <c r="K95" s="143">
        <f t="shared" si="8"/>
        <v>24</v>
      </c>
      <c r="L95" s="144">
        <f t="shared" si="9"/>
        <v>0.14285714285714285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 t="s">
        <v>1526</v>
      </c>
      <c r="AI95" s="70" t="s">
        <v>1526</v>
      </c>
      <c r="AJ95" s="70" t="s">
        <v>1526</v>
      </c>
      <c r="AK95" s="70" t="s">
        <v>1526</v>
      </c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3</v>
      </c>
      <c r="J96" s="148" t="s">
        <v>1752</v>
      </c>
      <c r="K96" s="143">
        <f t="shared" si="8"/>
        <v>25</v>
      </c>
      <c r="L96" s="144">
        <f t="shared" si="9"/>
        <v>0.10714285714285714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 t="s">
        <v>1526</v>
      </c>
      <c r="AI96" s="70" t="s">
        <v>1526</v>
      </c>
      <c r="AJ96" s="70" t="s">
        <v>1526</v>
      </c>
      <c r="AK96" s="70" t="s">
        <v>1526</v>
      </c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3</v>
      </c>
      <c r="J98" s="148" t="s">
        <v>1754</v>
      </c>
      <c r="K98" s="143">
        <f t="shared" si="8"/>
        <v>25</v>
      </c>
      <c r="L98" s="144">
        <f t="shared" si="9"/>
        <v>0.10714285714285714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 t="s">
        <v>1526</v>
      </c>
      <c r="AI98" s="70" t="s">
        <v>1526</v>
      </c>
      <c r="AJ98" s="70" t="s">
        <v>1526</v>
      </c>
      <c r="AK98" s="70" t="s">
        <v>1526</v>
      </c>
      <c r="AL98" s="70" t="s">
        <v>1526</v>
      </c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6</v>
      </c>
      <c r="J103" s="148" t="s">
        <v>1759</v>
      </c>
      <c r="K103" s="143">
        <f t="shared" si="8"/>
        <v>22</v>
      </c>
      <c r="L103" s="144">
        <f t="shared" si="9"/>
        <v>0.21428571428571427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 t="s">
        <v>1526</v>
      </c>
      <c r="AI103" s="70" t="s">
        <v>1526</v>
      </c>
      <c r="AJ103" s="70" t="s">
        <v>1526</v>
      </c>
      <c r="AK103" s="70" t="s">
        <v>1526</v>
      </c>
      <c r="AL103" s="70" t="s">
        <v>1526</v>
      </c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26</v>
      </c>
      <c r="J104" s="148" t="s">
        <v>1760</v>
      </c>
      <c r="K104" s="31">
        <f t="shared" si="8"/>
        <v>2</v>
      </c>
      <c r="L104" s="32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 t="s">
        <v>1526</v>
      </c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2</v>
      </c>
      <c r="J116" s="148" t="s">
        <v>1771</v>
      </c>
      <c r="K116" s="31">
        <f t="shared" si="8"/>
        <v>26</v>
      </c>
      <c r="L116" s="32">
        <f t="shared" si="9"/>
        <v>7.1428571428571425E-2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 t="s">
        <v>1526</v>
      </c>
      <c r="AI116" s="70" t="s">
        <v>1526</v>
      </c>
      <c r="AJ116" s="70" t="s">
        <v>1526</v>
      </c>
      <c r="AK116" s="70" t="s">
        <v>1526</v>
      </c>
      <c r="AL116" s="70" t="s">
        <v>1526</v>
      </c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2</v>
      </c>
      <c r="J117" s="148" t="s">
        <v>1772</v>
      </c>
      <c r="K117" s="143">
        <f t="shared" si="8"/>
        <v>26</v>
      </c>
      <c r="L117" s="144">
        <f t="shared" si="9"/>
        <v>7.1428571428571425E-2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 t="s">
        <v>1526</v>
      </c>
      <c r="AI117" s="70" t="s">
        <v>1526</v>
      </c>
      <c r="AJ117" s="70" t="s">
        <v>1526</v>
      </c>
      <c r="AK117" s="70" t="s">
        <v>1526</v>
      </c>
      <c r="AL117" s="70" t="s">
        <v>1526</v>
      </c>
      <c r="AM117" s="70"/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2</v>
      </c>
      <c r="J121" s="148" t="s">
        <v>1776</v>
      </c>
      <c r="K121" s="31">
        <f t="shared" si="8"/>
        <v>26</v>
      </c>
      <c r="L121" s="32">
        <f t="shared" si="9"/>
        <v>7.1428571428571425E-2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 t="s">
        <v>1526</v>
      </c>
      <c r="AI121" s="70" t="s">
        <v>1526</v>
      </c>
      <c r="AJ121" s="70" t="s">
        <v>1526</v>
      </c>
      <c r="AK121" s="70" t="s">
        <v>1526</v>
      </c>
      <c r="AL121" s="70" t="s">
        <v>1526</v>
      </c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2</v>
      </c>
      <c r="J122" s="148" t="s">
        <v>1777</v>
      </c>
      <c r="K122" s="31">
        <f t="shared" si="8"/>
        <v>26</v>
      </c>
      <c r="L122" s="32">
        <f t="shared" si="9"/>
        <v>7.1428571428571425E-2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 t="s">
        <v>1526</v>
      </c>
      <c r="AI122" s="70" t="s">
        <v>1526</v>
      </c>
      <c r="AJ122" s="70" t="s">
        <v>1526</v>
      </c>
      <c r="AK122" s="70" t="s">
        <v>1526</v>
      </c>
      <c r="AL122" s="70" t="s">
        <v>1526</v>
      </c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 t="s">
        <v>1526</v>
      </c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2</v>
      </c>
      <c r="J147" s="87"/>
      <c r="K147" s="141">
        <f t="shared" si="8"/>
        <v>26</v>
      </c>
      <c r="L147" s="142">
        <f t="shared" si="9"/>
        <v>7.1428571428571425E-2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 t="s">
        <v>1526</v>
      </c>
      <c r="AI147" s="93" t="s">
        <v>1526</v>
      </c>
      <c r="AJ147" s="93" t="s">
        <v>1526</v>
      </c>
      <c r="AK147" s="93" t="s">
        <v>1526</v>
      </c>
      <c r="AL147" s="93" t="s">
        <v>1526</v>
      </c>
      <c r="AM147" s="93"/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2</v>
      </c>
      <c r="J150" s="87"/>
      <c r="K150" s="31">
        <f t="shared" si="8"/>
        <v>26</v>
      </c>
      <c r="L150" s="32">
        <f t="shared" si="9"/>
        <v>7.1428571428571425E-2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 t="s">
        <v>1526</v>
      </c>
      <c r="AI150" s="93" t="s">
        <v>1526</v>
      </c>
      <c r="AJ150" s="93" t="s">
        <v>1526</v>
      </c>
      <c r="AK150" s="93" t="s">
        <v>1526</v>
      </c>
      <c r="AL150" s="93" t="s">
        <v>1526</v>
      </c>
      <c r="AM150" s="93"/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2</v>
      </c>
      <c r="J151" s="87"/>
      <c r="K151" s="31">
        <f t="shared" si="8"/>
        <v>26</v>
      </c>
      <c r="L151" s="32">
        <f t="shared" si="9"/>
        <v>7.1428571428571425E-2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 t="s">
        <v>1526</v>
      </c>
      <c r="AI151" s="93" t="s">
        <v>1526</v>
      </c>
      <c r="AJ151" s="93" t="s">
        <v>1526</v>
      </c>
      <c r="AK151" s="93" t="s">
        <v>1526</v>
      </c>
      <c r="AL151" s="93" t="s">
        <v>1526</v>
      </c>
      <c r="AM151" s="93"/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3</v>
      </c>
      <c r="J155" s="148" t="s">
        <v>1804</v>
      </c>
      <c r="K155" s="143">
        <f t="shared" si="8"/>
        <v>25</v>
      </c>
      <c r="L155" s="144">
        <f t="shared" si="9"/>
        <v>0.10714285714285714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 t="s">
        <v>1526</v>
      </c>
      <c r="AI155" s="70" t="s">
        <v>1526</v>
      </c>
      <c r="AJ155" s="70" t="s">
        <v>1526</v>
      </c>
      <c r="AK155" s="70" t="s">
        <v>1526</v>
      </c>
      <c r="AL155" s="70" t="s">
        <v>1526</v>
      </c>
      <c r="AM155" s="70"/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11</v>
      </c>
      <c r="J177" s="148" t="s">
        <v>1825</v>
      </c>
      <c r="K177" s="31">
        <f t="shared" si="11"/>
        <v>17</v>
      </c>
      <c r="L177" s="32">
        <f t="shared" si="12"/>
        <v>0.39285714285714285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 t="s">
        <v>1526</v>
      </c>
      <c r="AI177" s="70"/>
      <c r="AJ177" s="70" t="s">
        <v>1526</v>
      </c>
      <c r="AK177" s="70" t="s">
        <v>1526</v>
      </c>
      <c r="AL177" s="70" t="s">
        <v>1526</v>
      </c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11</v>
      </c>
      <c r="J178" s="148" t="s">
        <v>1826</v>
      </c>
      <c r="K178" s="31">
        <f t="shared" si="11"/>
        <v>17</v>
      </c>
      <c r="L178" s="32">
        <f t="shared" si="12"/>
        <v>0.39285714285714285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 t="s">
        <v>1526</v>
      </c>
      <c r="AI178" s="70"/>
      <c r="AJ178" s="70" t="s">
        <v>1526</v>
      </c>
      <c r="AK178" s="70" t="s">
        <v>1526</v>
      </c>
      <c r="AL178" s="70" t="s">
        <v>1526</v>
      </c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2</v>
      </c>
      <c r="J184" s="87"/>
      <c r="K184" s="138">
        <f t="shared" si="11"/>
        <v>26</v>
      </c>
      <c r="L184" s="139">
        <f t="shared" si="12"/>
        <v>7.1428571428571425E-2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 t="s">
        <v>1526</v>
      </c>
      <c r="AI184" s="140" t="s">
        <v>1526</v>
      </c>
      <c r="AJ184" s="140" t="s">
        <v>1526</v>
      </c>
      <c r="AK184" s="140" t="s">
        <v>1526</v>
      </c>
      <c r="AL184" s="140" t="s">
        <v>1526</v>
      </c>
      <c r="AM184" s="140"/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4</v>
      </c>
      <c r="J190" s="87"/>
      <c r="K190" s="31">
        <f t="shared" si="11"/>
        <v>24</v>
      </c>
      <c r="L190" s="32">
        <f t="shared" si="12"/>
        <v>0.14285714285714285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 t="s">
        <v>1526</v>
      </c>
      <c r="AI190" s="93" t="s">
        <v>1526</v>
      </c>
      <c r="AJ190" s="93" t="s">
        <v>1526</v>
      </c>
      <c r="AK190" s="93" t="s">
        <v>1526</v>
      </c>
      <c r="AL190" s="93" t="s">
        <v>1526</v>
      </c>
      <c r="AM190" s="93"/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14</v>
      </c>
      <c r="J191" s="148" t="s">
        <v>1836</v>
      </c>
      <c r="K191" s="143">
        <f t="shared" si="11"/>
        <v>14</v>
      </c>
      <c r="L191" s="144">
        <f t="shared" si="12"/>
        <v>0.5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 t="s">
        <v>1526</v>
      </c>
      <c r="AI191" s="70" t="s">
        <v>1526</v>
      </c>
      <c r="AJ191" s="70"/>
      <c r="AK191" s="70"/>
      <c r="AL191" s="70" t="s">
        <v>1526</v>
      </c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20</v>
      </c>
      <c r="J192" s="148" t="s">
        <v>1837</v>
      </c>
      <c r="K192" s="31">
        <f t="shared" si="11"/>
        <v>8</v>
      </c>
      <c r="L192" s="32">
        <f t="shared" si="12"/>
        <v>0.7142857142857143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 t="s">
        <v>1526</v>
      </c>
      <c r="AI192" s="70" t="s">
        <v>1526</v>
      </c>
      <c r="AJ192" s="70"/>
      <c r="AK192" s="70" t="s">
        <v>1526</v>
      </c>
      <c r="AL192" s="70" t="s">
        <v>1526</v>
      </c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16</v>
      </c>
      <c r="J208" s="87"/>
      <c r="K208" s="31">
        <f t="shared" si="11"/>
        <v>12</v>
      </c>
      <c r="L208" s="32">
        <f t="shared" si="12"/>
        <v>0.5714285714285714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 t="s">
        <v>1526</v>
      </c>
      <c r="AI208" s="70" t="s">
        <v>1526</v>
      </c>
      <c r="AJ208" s="70" t="s">
        <v>1526</v>
      </c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16</v>
      </c>
      <c r="J209" s="87"/>
      <c r="K209" s="31">
        <f t="shared" si="11"/>
        <v>12</v>
      </c>
      <c r="L209" s="32">
        <f t="shared" si="12"/>
        <v>0.5714285714285714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 t="s">
        <v>1526</v>
      </c>
      <c r="AI209" s="70" t="s">
        <v>1526</v>
      </c>
      <c r="AJ209" s="70" t="s">
        <v>1526</v>
      </c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2</v>
      </c>
      <c r="J235" s="87"/>
      <c r="K235" s="31">
        <f t="shared" si="14"/>
        <v>26</v>
      </c>
      <c r="L235" s="32">
        <f t="shared" si="15"/>
        <v>7.1428571428571425E-2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 t="s">
        <v>1526</v>
      </c>
      <c r="AI235" s="93" t="s">
        <v>1526</v>
      </c>
      <c r="AJ235" s="93" t="s">
        <v>1526</v>
      </c>
      <c r="AK235" s="93" t="s">
        <v>1526</v>
      </c>
      <c r="AL235" s="93" t="s">
        <v>1526</v>
      </c>
      <c r="AM235" s="93"/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26</v>
      </c>
      <c r="J237" s="148" t="s">
        <v>1876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 t="s">
        <v>1526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23</v>
      </c>
      <c r="J238" s="87"/>
      <c r="K238" s="31">
        <f t="shared" si="14"/>
        <v>5</v>
      </c>
      <c r="L238" s="32">
        <f t="shared" si="15"/>
        <v>0.8214285714285714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 t="s">
        <v>1526</v>
      </c>
      <c r="AI238" s="70"/>
      <c r="AJ238" s="70"/>
      <c r="AK238" s="70"/>
      <c r="AL238" s="70" t="s">
        <v>1526</v>
      </c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24</v>
      </c>
      <c r="J239" s="148" t="s">
        <v>1877</v>
      </c>
      <c r="K239" s="31">
        <f t="shared" si="14"/>
        <v>4</v>
      </c>
      <c r="L239" s="32">
        <f t="shared" si="15"/>
        <v>0.8571428571428571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 t="s">
        <v>1526</v>
      </c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24</v>
      </c>
      <c r="J240" s="148" t="s">
        <v>1878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 t="s">
        <v>1526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9</v>
      </c>
      <c r="J243" s="148" t="s">
        <v>1881</v>
      </c>
      <c r="K243" s="31">
        <f t="shared" si="14"/>
        <v>19</v>
      </c>
      <c r="L243" s="32">
        <f t="shared" si="15"/>
        <v>0.32142857142857145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 t="s">
        <v>1526</v>
      </c>
      <c r="AJ243" s="70" t="s">
        <v>1526</v>
      </c>
      <c r="AK243" s="70" t="s">
        <v>1526</v>
      </c>
      <c r="AL243" s="70" t="s">
        <v>1526</v>
      </c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23</v>
      </c>
      <c r="J245" s="148" t="s">
        <v>1882</v>
      </c>
      <c r="K245" s="31">
        <f t="shared" si="14"/>
        <v>5</v>
      </c>
      <c r="L245" s="32">
        <f t="shared" si="15"/>
        <v>0.8214285714285714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 t="s">
        <v>1526</v>
      </c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2</v>
      </c>
      <c r="J264" s="148" t="s">
        <v>1900</v>
      </c>
      <c r="K264" s="143">
        <f t="shared" si="14"/>
        <v>26</v>
      </c>
      <c r="L264" s="144">
        <f t="shared" si="15"/>
        <v>7.1428571428571425E-2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 t="s">
        <v>1526</v>
      </c>
      <c r="AI264" s="70" t="s">
        <v>1526</v>
      </c>
      <c r="AJ264" s="70" t="s">
        <v>1526</v>
      </c>
      <c r="AK264" s="70" t="s">
        <v>1526</v>
      </c>
      <c r="AL264" s="70" t="s">
        <v>1526</v>
      </c>
      <c r="AM264" s="70"/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2</v>
      </c>
      <c r="J283" s="148" t="s">
        <v>1917</v>
      </c>
      <c r="K283" s="31">
        <f t="shared" si="14"/>
        <v>26</v>
      </c>
      <c r="L283" s="32">
        <f t="shared" si="15"/>
        <v>7.1428571428571425E-2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 t="s">
        <v>1526</v>
      </c>
      <c r="AI283" s="70" t="s">
        <v>1526</v>
      </c>
      <c r="AJ283" s="70" t="s">
        <v>1526</v>
      </c>
      <c r="AK283" s="70" t="s">
        <v>1526</v>
      </c>
      <c r="AL283" s="70" t="s">
        <v>1526</v>
      </c>
      <c r="AM283" s="70"/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26</v>
      </c>
      <c r="J284" s="148" t="s">
        <v>1918</v>
      </c>
      <c r="K284" s="31">
        <f t="shared" si="14"/>
        <v>2</v>
      </c>
      <c r="L284" s="32">
        <f t="shared" si="15"/>
        <v>0.9285714285714286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 t="s">
        <v>1526</v>
      </c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26</v>
      </c>
      <c r="J285" s="148" t="s">
        <v>1919</v>
      </c>
      <c r="K285" s="31">
        <f t="shared" si="14"/>
        <v>2</v>
      </c>
      <c r="L285" s="32">
        <f t="shared" si="15"/>
        <v>0.9285714285714286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 t="s">
        <v>1526</v>
      </c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26</v>
      </c>
      <c r="J286" s="148" t="s">
        <v>1920</v>
      </c>
      <c r="K286" s="31">
        <f t="shared" si="14"/>
        <v>2</v>
      </c>
      <c r="L286" s="3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 t="s">
        <v>1526</v>
      </c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26</v>
      </c>
      <c r="J287" s="148" t="s">
        <v>1921</v>
      </c>
      <c r="K287" s="31">
        <f t="shared" si="14"/>
        <v>2</v>
      </c>
      <c r="L287" s="3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 t="s">
        <v>1526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24</v>
      </c>
      <c r="J288" s="148" t="s">
        <v>1922</v>
      </c>
      <c r="K288" s="31">
        <f t="shared" si="14"/>
        <v>4</v>
      </c>
      <c r="L288" s="32">
        <f t="shared" si="15"/>
        <v>0.8571428571428571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 t="s">
        <v>1526</v>
      </c>
      <c r="AI288" s="70"/>
      <c r="AJ288" s="70"/>
      <c r="AK288" s="70" t="s">
        <v>1526</v>
      </c>
      <c r="AL288" s="70" t="s">
        <v>1526</v>
      </c>
      <c r="AM288" s="70"/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26</v>
      </c>
      <c r="J289" s="148" t="s">
        <v>1923</v>
      </c>
      <c r="K289" s="31">
        <f t="shared" si="14"/>
        <v>2</v>
      </c>
      <c r="L289" s="32">
        <f t="shared" si="15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 t="s">
        <v>1526</v>
      </c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7</v>
      </c>
      <c r="J294" s="148" t="s">
        <v>1927</v>
      </c>
      <c r="K294" s="143">
        <f t="shared" si="14"/>
        <v>21</v>
      </c>
      <c r="L294" s="144">
        <f t="shared" si="15"/>
        <v>0.25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 t="s">
        <v>1526</v>
      </c>
      <c r="AI294" s="70" t="s">
        <v>1526</v>
      </c>
      <c r="AJ294" s="70" t="s">
        <v>1526</v>
      </c>
      <c r="AK294" s="70" t="s">
        <v>1526</v>
      </c>
      <c r="AL294" s="70" t="s">
        <v>1526</v>
      </c>
      <c r="AM294" s="70"/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6</v>
      </c>
      <c r="J296" s="148" t="s">
        <v>1929</v>
      </c>
      <c r="K296" s="31">
        <f t="shared" ref="K296:K363" si="17">COUNTIF(M296:AN296,"APAGADO")</f>
        <v>22</v>
      </c>
      <c r="L296" s="32">
        <f t="shared" ref="L296:L363" si="18">(I296)/(K296+I296)</f>
        <v>0.21428571428571427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 t="s">
        <v>1526</v>
      </c>
      <c r="AI296" s="70" t="s">
        <v>1526</v>
      </c>
      <c r="AJ296" s="70" t="s">
        <v>1526</v>
      </c>
      <c r="AK296" s="70" t="s">
        <v>1526</v>
      </c>
      <c r="AL296" s="70" t="s">
        <v>1526</v>
      </c>
      <c r="AM296" s="70"/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23</v>
      </c>
      <c r="J306" s="148" t="s">
        <v>1938</v>
      </c>
      <c r="K306" s="31">
        <f t="shared" si="17"/>
        <v>5</v>
      </c>
      <c r="L306" s="32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 t="s">
        <v>1526</v>
      </c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23</v>
      </c>
      <c r="J307" s="148" t="s">
        <v>1939</v>
      </c>
      <c r="K307" s="31">
        <f t="shared" si="17"/>
        <v>5</v>
      </c>
      <c r="L307" s="32">
        <f t="shared" si="18"/>
        <v>0.8214285714285714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 t="s">
        <v>1526</v>
      </c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23</v>
      </c>
      <c r="J308" s="148" t="s">
        <v>1940</v>
      </c>
      <c r="K308" s="31">
        <f t="shared" si="17"/>
        <v>5</v>
      </c>
      <c r="L308" s="32">
        <f t="shared" si="18"/>
        <v>0.8214285714285714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 t="s">
        <v>1526</v>
      </c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23</v>
      </c>
      <c r="J309" s="148" t="s">
        <v>1941</v>
      </c>
      <c r="K309" s="31">
        <f t="shared" si="17"/>
        <v>5</v>
      </c>
      <c r="L309" s="32">
        <f t="shared" si="18"/>
        <v>0.8214285714285714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 t="s">
        <v>1526</v>
      </c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23</v>
      </c>
      <c r="J310" s="148" t="s">
        <v>1942</v>
      </c>
      <c r="K310" s="31">
        <f t="shared" si="17"/>
        <v>5</v>
      </c>
      <c r="L310" s="32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 t="s">
        <v>1526</v>
      </c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23</v>
      </c>
      <c r="J311" s="148" t="s">
        <v>1943</v>
      </c>
      <c r="K311" s="31">
        <f t="shared" si="17"/>
        <v>5</v>
      </c>
      <c r="L311" s="32">
        <f t="shared" si="18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 t="s">
        <v>1526</v>
      </c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24</v>
      </c>
      <c r="J316" s="148" t="s">
        <v>1948</v>
      </c>
      <c r="K316" s="87">
        <f t="shared" si="17"/>
        <v>4</v>
      </c>
      <c r="L316" s="88">
        <f t="shared" si="18"/>
        <v>0.8571428571428571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 t="s">
        <v>1526</v>
      </c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13</v>
      </c>
      <c r="J317" s="148" t="s">
        <v>1949</v>
      </c>
      <c r="K317" s="31">
        <f t="shared" si="17"/>
        <v>15</v>
      </c>
      <c r="L317" s="32">
        <f t="shared" si="18"/>
        <v>0.4642857142857143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 t="s">
        <v>1526</v>
      </c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24</v>
      </c>
      <c r="J318" s="148" t="s">
        <v>1950</v>
      </c>
      <c r="K318" s="31">
        <f t="shared" si="17"/>
        <v>4</v>
      </c>
      <c r="L318" s="32">
        <f t="shared" si="18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 t="s">
        <v>1526</v>
      </c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24</v>
      </c>
      <c r="J319" s="148" t="s">
        <v>1951</v>
      </c>
      <c r="K319" s="31">
        <f t="shared" si="17"/>
        <v>4</v>
      </c>
      <c r="L319" s="32">
        <f t="shared" si="18"/>
        <v>0.8571428571428571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 t="s">
        <v>1526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23</v>
      </c>
      <c r="J320" s="148" t="s">
        <v>1952</v>
      </c>
      <c r="K320" s="31">
        <f t="shared" si="17"/>
        <v>5</v>
      </c>
      <c r="L320" s="32">
        <f t="shared" si="18"/>
        <v>0.8214285714285714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 t="s">
        <v>1526</v>
      </c>
      <c r="AI320" s="70"/>
      <c r="AJ320" s="70"/>
      <c r="AK320" s="70"/>
      <c r="AL320" s="70" t="s">
        <v>1526</v>
      </c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24</v>
      </c>
      <c r="J321" s="148" t="s">
        <v>1953</v>
      </c>
      <c r="K321" s="31">
        <f t="shared" si="17"/>
        <v>4</v>
      </c>
      <c r="L321" s="32">
        <f t="shared" si="18"/>
        <v>0.8571428571428571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 t="s">
        <v>1526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24</v>
      </c>
      <c r="J322" s="148" t="s">
        <v>1954</v>
      </c>
      <c r="K322" s="31">
        <f t="shared" si="17"/>
        <v>4</v>
      </c>
      <c r="L322" s="32">
        <f t="shared" si="18"/>
        <v>0.8571428571428571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 t="s">
        <v>1526</v>
      </c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24</v>
      </c>
      <c r="J323" s="148" t="s">
        <v>1955</v>
      </c>
      <c r="K323" s="31">
        <f t="shared" si="17"/>
        <v>4</v>
      </c>
      <c r="L323" s="32">
        <f t="shared" si="18"/>
        <v>0.8571428571428571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 t="s">
        <v>1526</v>
      </c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24</v>
      </c>
      <c r="J324" s="148" t="s">
        <v>1956</v>
      </c>
      <c r="K324" s="31">
        <f t="shared" si="17"/>
        <v>4</v>
      </c>
      <c r="L324" s="32">
        <f t="shared" si="18"/>
        <v>0.8571428571428571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 t="s">
        <v>1526</v>
      </c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16</v>
      </c>
      <c r="J325" s="148" t="s">
        <v>1957</v>
      </c>
      <c r="K325" s="31">
        <f t="shared" si="17"/>
        <v>12</v>
      </c>
      <c r="L325" s="32">
        <f t="shared" si="18"/>
        <v>0.5714285714285714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 t="s">
        <v>1526</v>
      </c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16</v>
      </c>
      <c r="J326" s="148" t="s">
        <v>1958</v>
      </c>
      <c r="K326" s="31">
        <f t="shared" si="17"/>
        <v>12</v>
      </c>
      <c r="L326" s="32">
        <f t="shared" si="18"/>
        <v>0.5714285714285714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 t="s">
        <v>1526</v>
      </c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24</v>
      </c>
      <c r="J327" s="148" t="s">
        <v>1959</v>
      </c>
      <c r="K327" s="31">
        <f t="shared" si="17"/>
        <v>4</v>
      </c>
      <c r="L327" s="32">
        <f t="shared" si="18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 t="s">
        <v>1526</v>
      </c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24</v>
      </c>
      <c r="J328" s="148" t="s">
        <v>1960</v>
      </c>
      <c r="K328" s="31">
        <f t="shared" si="17"/>
        <v>4</v>
      </c>
      <c r="L328" s="32">
        <f t="shared" si="18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 t="s">
        <v>1526</v>
      </c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13</v>
      </c>
      <c r="J329" s="87"/>
      <c r="K329" s="31">
        <f t="shared" si="17"/>
        <v>15</v>
      </c>
      <c r="L329" s="32">
        <f t="shared" si="18"/>
        <v>0.4642857142857143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 t="s">
        <v>1526</v>
      </c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13</v>
      </c>
      <c r="J330" s="87"/>
      <c r="K330" s="31">
        <f t="shared" si="17"/>
        <v>15</v>
      </c>
      <c r="L330" s="32">
        <f t="shared" si="18"/>
        <v>0.4642857142857143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 t="s">
        <v>1526</v>
      </c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13</v>
      </c>
      <c r="J331" s="148" t="s">
        <v>1961</v>
      </c>
      <c r="K331" s="31">
        <f t="shared" si="17"/>
        <v>15</v>
      </c>
      <c r="L331" s="32">
        <f t="shared" si="18"/>
        <v>0.4642857142857143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 t="s">
        <v>1526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19</v>
      </c>
      <c r="J335" s="148" t="s">
        <v>1963</v>
      </c>
      <c r="K335" s="143">
        <f t="shared" si="17"/>
        <v>9</v>
      </c>
      <c r="L335" s="144">
        <f t="shared" si="18"/>
        <v>0.6785714285714286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1526</v>
      </c>
      <c r="AJ335" s="70" t="s">
        <v>1526</v>
      </c>
      <c r="AK335" s="70" t="s">
        <v>1526</v>
      </c>
      <c r="AL335" s="70" t="s">
        <v>1526</v>
      </c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19</v>
      </c>
      <c r="J336" s="148" t="s">
        <v>1964</v>
      </c>
      <c r="K336" s="143">
        <f t="shared" si="17"/>
        <v>9</v>
      </c>
      <c r="L336" s="144">
        <f t="shared" si="18"/>
        <v>0.6785714285714286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1526</v>
      </c>
      <c r="AJ336" s="70" t="s">
        <v>1526</v>
      </c>
      <c r="AK336" s="70" t="s">
        <v>1526</v>
      </c>
      <c r="AL336" s="70" t="s">
        <v>1526</v>
      </c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21</v>
      </c>
      <c r="J338" s="148" t="s">
        <v>1966</v>
      </c>
      <c r="K338" s="31">
        <f t="shared" si="17"/>
        <v>7</v>
      </c>
      <c r="L338" s="32">
        <f t="shared" si="18"/>
        <v>0.75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 t="s">
        <v>1526</v>
      </c>
      <c r="AI338" s="70" t="s">
        <v>1526</v>
      </c>
      <c r="AJ338" s="70"/>
      <c r="AK338" s="70" t="s">
        <v>1526</v>
      </c>
      <c r="AL338" s="70"/>
      <c r="AM338" s="70"/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 t="s">
        <v>1526</v>
      </c>
      <c r="AI346" s="70" t="s">
        <v>1526</v>
      </c>
      <c r="AJ346" s="70" t="s">
        <v>1526</v>
      </c>
      <c r="AK346" s="70" t="s">
        <v>1526</v>
      </c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3</v>
      </c>
      <c r="J357" s="148" t="s">
        <v>1982</v>
      </c>
      <c r="K357" s="31">
        <f t="shared" si="17"/>
        <v>25</v>
      </c>
      <c r="L357" s="32">
        <f t="shared" si="18"/>
        <v>0.10714285714285714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 t="s">
        <v>1526</v>
      </c>
      <c r="AI357" s="70" t="s">
        <v>1526</v>
      </c>
      <c r="AJ357" s="70" t="s">
        <v>1526</v>
      </c>
      <c r="AK357" s="70" t="s">
        <v>1526</v>
      </c>
      <c r="AL357" s="70" t="s">
        <v>1526</v>
      </c>
      <c r="AM357" s="70"/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2</v>
      </c>
      <c r="J358" s="73"/>
      <c r="K358" s="31">
        <f t="shared" si="17"/>
        <v>26</v>
      </c>
      <c r="L358" s="32">
        <f t="shared" si="18"/>
        <v>7.1428571428571425E-2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 t="s">
        <v>1526</v>
      </c>
      <c r="AI358" s="93" t="s">
        <v>1526</v>
      </c>
      <c r="AJ358" s="93" t="s">
        <v>1526</v>
      </c>
      <c r="AK358" s="93" t="s">
        <v>1526</v>
      </c>
      <c r="AL358" s="93" t="s">
        <v>1526</v>
      </c>
      <c r="AM358" s="93"/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2</v>
      </c>
      <c r="J359" s="148" t="s">
        <v>1983</v>
      </c>
      <c r="K359" s="143">
        <f t="shared" si="17"/>
        <v>26</v>
      </c>
      <c r="L359" s="144">
        <f t="shared" si="18"/>
        <v>7.1428571428571425E-2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 t="s">
        <v>1526</v>
      </c>
      <c r="AI359" s="70" t="s">
        <v>1526</v>
      </c>
      <c r="AJ359" s="70" t="s">
        <v>1526</v>
      </c>
      <c r="AK359" s="70" t="s">
        <v>1526</v>
      </c>
      <c r="AL359" s="70" t="s">
        <v>1526</v>
      </c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2</v>
      </c>
      <c r="J372" s="148" t="s">
        <v>1996</v>
      </c>
      <c r="K372" s="31">
        <f t="shared" si="20"/>
        <v>26</v>
      </c>
      <c r="L372" s="32">
        <f t="shared" si="21"/>
        <v>7.1428571428571425E-2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 t="s">
        <v>1526</v>
      </c>
      <c r="AI372" s="70" t="s">
        <v>1526</v>
      </c>
      <c r="AJ372" s="70" t="s">
        <v>1526</v>
      </c>
      <c r="AK372" s="70" t="s">
        <v>1526</v>
      </c>
      <c r="AL372" s="70" t="s">
        <v>1526</v>
      </c>
      <c r="AM372" s="70"/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18</v>
      </c>
      <c r="J377" s="87"/>
      <c r="K377" s="31">
        <f t="shared" si="20"/>
        <v>10</v>
      </c>
      <c r="L377" s="32">
        <f t="shared" si="21"/>
        <v>0.6428571428571429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 t="s">
        <v>1526</v>
      </c>
      <c r="AI377" s="70"/>
      <c r="AJ377" s="70"/>
      <c r="AK377" s="70"/>
      <c r="AL377" s="70"/>
      <c r="AM377" s="70"/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2</v>
      </c>
      <c r="J383" s="148" t="s">
        <v>2002</v>
      </c>
      <c r="K383" s="31">
        <f t="shared" si="20"/>
        <v>26</v>
      </c>
      <c r="L383" s="32">
        <f t="shared" si="21"/>
        <v>7.1428571428571425E-2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 t="s">
        <v>1526</v>
      </c>
      <c r="AI383" s="70" t="s">
        <v>1526</v>
      </c>
      <c r="AJ383" s="70" t="s">
        <v>1526</v>
      </c>
      <c r="AK383" s="70" t="s">
        <v>1526</v>
      </c>
      <c r="AL383" s="70" t="s">
        <v>1526</v>
      </c>
      <c r="AM383" s="70"/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2</v>
      </c>
      <c r="J384" s="148" t="s">
        <v>2003</v>
      </c>
      <c r="K384" s="31">
        <f t="shared" si="20"/>
        <v>26</v>
      </c>
      <c r="L384" s="32">
        <f t="shared" si="21"/>
        <v>7.1428571428571425E-2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 t="s">
        <v>1526</v>
      </c>
      <c r="AI384" s="70" t="s">
        <v>1526</v>
      </c>
      <c r="AJ384" s="70" t="s">
        <v>1526</v>
      </c>
      <c r="AK384" s="70" t="s">
        <v>1526</v>
      </c>
      <c r="AL384" s="70" t="s">
        <v>1526</v>
      </c>
      <c r="AM384" s="70"/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2</v>
      </c>
      <c r="J390" s="87"/>
      <c r="K390" s="31">
        <f t="shared" si="20"/>
        <v>26</v>
      </c>
      <c r="L390" s="32">
        <f t="shared" si="21"/>
        <v>7.1428571428571425E-2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 t="s">
        <v>1526</v>
      </c>
      <c r="AI390" s="93" t="s">
        <v>1526</v>
      </c>
      <c r="AJ390" s="93" t="s">
        <v>1526</v>
      </c>
      <c r="AK390" s="93" t="s">
        <v>1526</v>
      </c>
      <c r="AL390" s="93" t="s">
        <v>1526</v>
      </c>
      <c r="AM390" s="93"/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26</v>
      </c>
      <c r="J393" s="148" t="s">
        <v>2008</v>
      </c>
      <c r="K393" s="143">
        <f t="shared" si="20"/>
        <v>2</v>
      </c>
      <c r="L393" s="144">
        <f t="shared" si="21"/>
        <v>0.9285714285714286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 t="s">
        <v>1526</v>
      </c>
      <c r="AJ393" s="70" t="s">
        <v>1526</v>
      </c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3</v>
      </c>
      <c r="J395" s="87"/>
      <c r="K395" s="31">
        <f t="shared" si="20"/>
        <v>25</v>
      </c>
      <c r="L395" s="32">
        <f t="shared" si="21"/>
        <v>0.10714285714285714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 t="s">
        <v>1526</v>
      </c>
      <c r="AI395" s="93" t="s">
        <v>1526</v>
      </c>
      <c r="AJ395" s="93" t="s">
        <v>1526</v>
      </c>
      <c r="AK395" s="93" t="s">
        <v>1526</v>
      </c>
      <c r="AL395" s="93" t="s">
        <v>1526</v>
      </c>
      <c r="AM395" s="93"/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26</v>
      </c>
      <c r="J396" s="148" t="s">
        <v>2010</v>
      </c>
      <c r="K396" s="143">
        <f t="shared" si="20"/>
        <v>2</v>
      </c>
      <c r="L396" s="144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 t="s">
        <v>1526</v>
      </c>
      <c r="AJ396" s="70" t="s">
        <v>1526</v>
      </c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2</v>
      </c>
      <c r="J416" s="87"/>
      <c r="K416" s="31">
        <f t="shared" si="20"/>
        <v>26</v>
      </c>
      <c r="L416" s="32">
        <f t="shared" si="21"/>
        <v>7.1428571428571425E-2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 t="s">
        <v>1526</v>
      </c>
      <c r="AI416" s="70" t="s">
        <v>1526</v>
      </c>
      <c r="AJ416" s="70" t="s">
        <v>1526</v>
      </c>
      <c r="AK416" s="70" t="s">
        <v>1526</v>
      </c>
      <c r="AL416" s="70" t="s">
        <v>1526</v>
      </c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26</v>
      </c>
      <c r="J418" s="87"/>
      <c r="K418" s="31">
        <f t="shared" si="20"/>
        <v>2</v>
      </c>
      <c r="L418" s="32">
        <f t="shared" si="21"/>
        <v>0.9285714285714286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 t="s">
        <v>1526</v>
      </c>
      <c r="AI418" s="70" t="s">
        <v>1526</v>
      </c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21</v>
      </c>
      <c r="J421" s="148" t="s">
        <v>2029</v>
      </c>
      <c r="K421" s="31">
        <f t="shared" si="20"/>
        <v>7</v>
      </c>
      <c r="L421" s="32">
        <f t="shared" si="21"/>
        <v>0.75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2</v>
      </c>
      <c r="J428" s="148" t="s">
        <v>2036</v>
      </c>
      <c r="K428" s="31">
        <f t="shared" si="20"/>
        <v>26</v>
      </c>
      <c r="L428" s="32">
        <f t="shared" si="21"/>
        <v>7.1428571428571425E-2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 t="s">
        <v>1526</v>
      </c>
      <c r="AI428" s="70" t="s">
        <v>1526</v>
      </c>
      <c r="AJ428" s="70" t="s">
        <v>1526</v>
      </c>
      <c r="AK428" s="70" t="s">
        <v>1526</v>
      </c>
      <c r="AL428" s="70" t="s">
        <v>1526</v>
      </c>
      <c r="AM428" s="70"/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13</v>
      </c>
      <c r="J436" s="87"/>
      <c r="K436" s="143">
        <f t="shared" si="20"/>
        <v>15</v>
      </c>
      <c r="L436" s="144">
        <f t="shared" si="21"/>
        <v>0.4642857142857143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25</v>
      </c>
      <c r="J437" s="148" t="s">
        <v>2039</v>
      </c>
      <c r="K437" s="31">
        <f t="shared" si="20"/>
        <v>3</v>
      </c>
      <c r="L437" s="32">
        <f t="shared" si="21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 t="s">
        <v>1526</v>
      </c>
      <c r="AI437" s="70" t="s">
        <v>1526</v>
      </c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22</v>
      </c>
      <c r="J438" s="148" t="s">
        <v>2040</v>
      </c>
      <c r="K438" s="31">
        <f t="shared" si="20"/>
        <v>6</v>
      </c>
      <c r="L438" s="32">
        <f t="shared" si="21"/>
        <v>0.7857142857142857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 t="s">
        <v>1526</v>
      </c>
      <c r="AI438" s="70" t="s">
        <v>1526</v>
      </c>
      <c r="AJ438" s="70" t="s">
        <v>1526</v>
      </c>
      <c r="AK438" s="70" t="s">
        <v>1526</v>
      </c>
      <c r="AL438" s="70" t="s">
        <v>1526</v>
      </c>
      <c r="AM438" s="70"/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26</v>
      </c>
      <c r="J461" s="87"/>
      <c r="K461" s="31">
        <f t="shared" si="23"/>
        <v>2</v>
      </c>
      <c r="L461" s="32">
        <f t="shared" si="24"/>
        <v>0.9285714285714286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 t="s">
        <v>1526</v>
      </c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25</v>
      </c>
      <c r="J488" s="73"/>
      <c r="K488" s="31">
        <f t="shared" si="23"/>
        <v>3</v>
      </c>
      <c r="L488" s="32">
        <f t="shared" si="24"/>
        <v>0.8928571428571429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 t="s">
        <v>1526</v>
      </c>
      <c r="AI488" s="70"/>
      <c r="AJ488" s="70"/>
      <c r="AK488" s="70" t="s">
        <v>1526</v>
      </c>
      <c r="AL488" s="70" t="s">
        <v>1526</v>
      </c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3</v>
      </c>
      <c r="J502" s="148" t="s">
        <v>2094</v>
      </c>
      <c r="K502" s="31">
        <f t="shared" si="23"/>
        <v>25</v>
      </c>
      <c r="L502" s="32">
        <f t="shared" si="24"/>
        <v>0.10714285714285714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 t="s">
        <v>1526</v>
      </c>
      <c r="AI502" s="70" t="s">
        <v>1526</v>
      </c>
      <c r="AJ502" s="70" t="s">
        <v>1526</v>
      </c>
      <c r="AK502" s="70" t="s">
        <v>1526</v>
      </c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4</v>
      </c>
      <c r="J503" s="148" t="s">
        <v>2095</v>
      </c>
      <c r="K503" s="31">
        <f t="shared" si="23"/>
        <v>24</v>
      </c>
      <c r="L503" s="32">
        <f t="shared" si="24"/>
        <v>0.14285714285714285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 t="s">
        <v>1526</v>
      </c>
      <c r="AI503" s="70" t="s">
        <v>1526</v>
      </c>
      <c r="AJ503" s="70" t="s">
        <v>1526</v>
      </c>
      <c r="AK503" s="70" t="s">
        <v>1526</v>
      </c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14</v>
      </c>
      <c r="J511" s="148" t="s">
        <v>2102</v>
      </c>
      <c r="K511" s="143">
        <f t="shared" si="26"/>
        <v>14</v>
      </c>
      <c r="L511" s="144">
        <f t="shared" si="27"/>
        <v>0.5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 t="s">
        <v>1526</v>
      </c>
      <c r="AI511" s="70" t="s">
        <v>1526</v>
      </c>
      <c r="AJ511" s="70" t="s">
        <v>1526</v>
      </c>
      <c r="AK511" s="70" t="s">
        <v>1526</v>
      </c>
      <c r="AL511" s="70" t="s">
        <v>1526</v>
      </c>
      <c r="AM511" s="70"/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3</v>
      </c>
      <c r="J521" s="87"/>
      <c r="K521" s="31">
        <f t="shared" si="26"/>
        <v>25</v>
      </c>
      <c r="L521" s="32">
        <f t="shared" si="27"/>
        <v>0.10714285714285714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 t="s">
        <v>1526</v>
      </c>
      <c r="AI521" s="70" t="s">
        <v>1526</v>
      </c>
      <c r="AJ521" s="70" t="s">
        <v>1526</v>
      </c>
      <c r="AK521" s="70" t="s">
        <v>1526</v>
      </c>
      <c r="AL521" s="70" t="s">
        <v>1526</v>
      </c>
      <c r="AM521" s="70"/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4</v>
      </c>
      <c r="J523" s="87"/>
      <c r="K523" s="31">
        <f t="shared" si="26"/>
        <v>24</v>
      </c>
      <c r="L523" s="32">
        <f t="shared" si="27"/>
        <v>0.14285714285714285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 t="s">
        <v>1526</v>
      </c>
      <c r="AI523" s="70" t="s">
        <v>1526</v>
      </c>
      <c r="AJ523" s="70" t="s">
        <v>1526</v>
      </c>
      <c r="AK523" s="70" t="s">
        <v>1526</v>
      </c>
      <c r="AL523" s="70" t="s">
        <v>1526</v>
      </c>
      <c r="AM523" s="70"/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28</v>
      </c>
      <c r="J539" s="148" t="s">
        <v>2122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28</v>
      </c>
      <c r="J540" s="148" t="s">
        <v>2121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28</v>
      </c>
      <c r="J541" s="148" t="s">
        <v>2123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3</v>
      </c>
      <c r="J545" s="148" t="s">
        <v>2127</v>
      </c>
      <c r="K545" s="143">
        <f t="shared" si="26"/>
        <v>25</v>
      </c>
      <c r="L545" s="144">
        <f t="shared" si="27"/>
        <v>0.10714285714285714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 t="s">
        <v>1526</v>
      </c>
      <c r="AI545" s="70" t="s">
        <v>1526</v>
      </c>
      <c r="AJ545" s="70" t="s">
        <v>1526</v>
      </c>
      <c r="AK545" s="70" t="s">
        <v>1526</v>
      </c>
      <c r="AL545" s="70" t="s">
        <v>1526</v>
      </c>
      <c r="AM545" s="70"/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27</v>
      </c>
      <c r="J547" s="148" t="s">
        <v>2129</v>
      </c>
      <c r="K547" s="143">
        <f t="shared" si="26"/>
        <v>1</v>
      </c>
      <c r="L547" s="144">
        <f t="shared" si="27"/>
        <v>0.9642857142857143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 t="s">
        <v>1526</v>
      </c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27</v>
      </c>
      <c r="J548" s="148" t="s">
        <v>2130</v>
      </c>
      <c r="K548" s="143">
        <f t="shared" si="26"/>
        <v>1</v>
      </c>
      <c r="L548" s="144">
        <f t="shared" si="27"/>
        <v>0.9642857142857143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 t="s">
        <v>1526</v>
      </c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272" zoomScale="90" zoomScaleNormal="90" workbookViewId="0">
      <selection activeCell="B280" sqref="B280:F28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95</v>
      </c>
      <c r="D236" s="54"/>
      <c r="E236" s="55">
        <f>C236/C235</f>
        <v>0.1756007393715342</v>
      </c>
      <c r="F236" s="153"/>
    </row>
    <row r="237" spans="2:6" x14ac:dyDescent="0.25">
      <c r="B237" s="53" t="s">
        <v>1248</v>
      </c>
      <c r="C237" s="67">
        <v>5</v>
      </c>
      <c r="D237" s="103">
        <v>90</v>
      </c>
      <c r="E237" s="55">
        <f>D237/C235</f>
        <v>0.16635859519408502</v>
      </c>
      <c r="F237" s="153"/>
    </row>
    <row r="238" spans="2:6" x14ac:dyDescent="0.25">
      <c r="B238" s="53" t="s">
        <v>1249</v>
      </c>
      <c r="C238" s="67">
        <v>6</v>
      </c>
      <c r="D238" s="103">
        <v>84</v>
      </c>
      <c r="E238" s="55">
        <f>D238/C235</f>
        <v>0.15526802218114602</v>
      </c>
      <c r="F238" s="153"/>
    </row>
    <row r="239" spans="2:6" x14ac:dyDescent="0.25">
      <c r="B239" s="53" t="s">
        <v>16</v>
      </c>
      <c r="C239" s="94">
        <v>21</v>
      </c>
      <c r="D239" s="103">
        <v>63</v>
      </c>
      <c r="E239" s="55">
        <f>D239/C235</f>
        <v>0.11645101663585952</v>
      </c>
      <c r="F239" s="153"/>
    </row>
    <row r="240" spans="2:6" ht="15.75" thickBot="1" x14ac:dyDescent="0.3">
      <c r="B240" s="56" t="s">
        <v>1470</v>
      </c>
      <c r="C240" s="131">
        <v>9</v>
      </c>
      <c r="D240" s="104">
        <v>54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35</v>
      </c>
      <c r="E242" s="105">
        <f>D242/C242</f>
        <v>0.1206896551724138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60</v>
      </c>
      <c r="E243" s="114">
        <v>0.24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62</v>
      </c>
      <c r="D248" s="54"/>
      <c r="E248" s="55">
        <f>C248/C247</f>
        <v>0.11460258780036968</v>
      </c>
      <c r="F248" s="153"/>
    </row>
    <row r="249" spans="2:6" x14ac:dyDescent="0.25">
      <c r="B249" s="53" t="s">
        <v>1248</v>
      </c>
      <c r="C249" s="67">
        <v>9</v>
      </c>
      <c r="D249" s="103">
        <v>53</v>
      </c>
      <c r="E249" s="55">
        <f>D249/C247</f>
        <v>9.7966728280961188E-2</v>
      </c>
      <c r="F249" s="153"/>
    </row>
    <row r="250" spans="2:6" x14ac:dyDescent="0.25">
      <c r="B250" s="53" t="s">
        <v>1249</v>
      </c>
      <c r="C250" s="67">
        <v>6</v>
      </c>
      <c r="D250" s="103">
        <v>47</v>
      </c>
      <c r="E250" s="55">
        <f>D250/C247</f>
        <v>8.6876155268022184E-2</v>
      </c>
      <c r="F250" s="153"/>
    </row>
    <row r="251" spans="2:6" x14ac:dyDescent="0.25">
      <c r="B251" s="53" t="s">
        <v>16</v>
      </c>
      <c r="C251" s="94">
        <v>12</v>
      </c>
      <c r="D251" s="103">
        <v>35</v>
      </c>
      <c r="E251" s="55">
        <f>D251/C247</f>
        <v>6.4695009242144177E-2</v>
      </c>
      <c r="F251" s="153"/>
    </row>
    <row r="252" spans="2:6" ht="15.75" thickBot="1" x14ac:dyDescent="0.3">
      <c r="B252" s="56" t="s">
        <v>1470</v>
      </c>
      <c r="C252" s="131">
        <v>9</v>
      </c>
      <c r="D252" s="104">
        <v>26</v>
      </c>
      <c r="E252" s="74">
        <v>4.8099999999999997E-2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36</v>
      </c>
      <c r="E254" s="105">
        <f>D254/C254</f>
        <v>0.12413793103448276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26</v>
      </c>
      <c r="E255" s="114">
        <f>D255/C255</f>
        <v>0.10358565737051793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>
        <v>53</v>
      </c>
      <c r="D260" s="54"/>
      <c r="E260" s="55">
        <f>C260/C259</f>
        <v>9.7966728280961188E-2</v>
      </c>
      <c r="F260" s="153"/>
    </row>
    <row r="261" spans="2:6" x14ac:dyDescent="0.25">
      <c r="B261" s="53" t="s">
        <v>1248</v>
      </c>
      <c r="C261" s="67">
        <v>4</v>
      </c>
      <c r="D261" s="103">
        <v>49</v>
      </c>
      <c r="E261" s="55">
        <f>D261/C259</f>
        <v>9.0573012939001843E-2</v>
      </c>
      <c r="F261" s="153"/>
    </row>
    <row r="262" spans="2:6" x14ac:dyDescent="0.25">
      <c r="B262" s="53" t="s">
        <v>1249</v>
      </c>
      <c r="C262" s="67">
        <v>6</v>
      </c>
      <c r="D262" s="103">
        <v>43</v>
      </c>
      <c r="E262" s="55">
        <f>D262/C259</f>
        <v>7.9482439926062853E-2</v>
      </c>
      <c r="F262" s="153"/>
    </row>
    <row r="263" spans="2:6" x14ac:dyDescent="0.25">
      <c r="B263" s="53" t="s">
        <v>16</v>
      </c>
      <c r="C263" s="94">
        <v>10</v>
      </c>
      <c r="D263" s="103">
        <v>33</v>
      </c>
      <c r="E263" s="55">
        <f>D263/C259</f>
        <v>6.0998151571164512E-2</v>
      </c>
      <c r="F263" s="153"/>
    </row>
    <row r="264" spans="2:6" ht="15.75" thickBot="1" x14ac:dyDescent="0.3">
      <c r="B264" s="56" t="s">
        <v>1470</v>
      </c>
      <c r="C264" s="131">
        <v>9</v>
      </c>
      <c r="D264" s="104">
        <v>24</v>
      </c>
      <c r="E264" s="74">
        <v>4.4400000000000002E-2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29</v>
      </c>
      <c r="E266" s="105">
        <v>0.11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24</v>
      </c>
      <c r="E267" s="114">
        <v>0.09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48</v>
      </c>
      <c r="D282" s="54"/>
      <c r="E282" s="55">
        <f>C282/C281</f>
        <v>8.8724584103512014E-2</v>
      </c>
      <c r="F282" s="153"/>
    </row>
    <row r="283" spans="2:6" x14ac:dyDescent="0.25">
      <c r="B283" s="53" t="s">
        <v>1248</v>
      </c>
      <c r="C283" s="67">
        <v>6</v>
      </c>
      <c r="D283" s="103">
        <v>42</v>
      </c>
      <c r="E283" s="55">
        <f>D283/C281</f>
        <v>7.763401109057301E-2</v>
      </c>
      <c r="F283" s="153"/>
    </row>
    <row r="284" spans="2:6" x14ac:dyDescent="0.25">
      <c r="B284" s="53" t="s">
        <v>1249</v>
      </c>
      <c r="C284" s="67">
        <v>6</v>
      </c>
      <c r="D284" s="103">
        <v>36</v>
      </c>
      <c r="E284" s="55">
        <f>D284/C281</f>
        <v>6.6543438077634007E-2</v>
      </c>
      <c r="F284" s="153"/>
    </row>
    <row r="285" spans="2:6" x14ac:dyDescent="0.25">
      <c r="B285" s="53" t="s">
        <v>16</v>
      </c>
      <c r="C285" s="94">
        <v>10</v>
      </c>
      <c r="D285" s="103">
        <v>26</v>
      </c>
      <c r="E285" s="55">
        <f>D285/C281</f>
        <v>4.8059149722735672E-2</v>
      </c>
      <c r="F285" s="153"/>
    </row>
    <row r="286" spans="2:6" ht="15.75" thickBot="1" x14ac:dyDescent="0.3">
      <c r="B286" s="56" t="s">
        <v>1470</v>
      </c>
      <c r="C286" s="131">
        <v>9</v>
      </c>
      <c r="D286" s="104">
        <v>17</v>
      </c>
      <c r="E286" s="74">
        <v>3.1399999999999997E-2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25</v>
      </c>
      <c r="E288" s="105">
        <v>0.09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23</v>
      </c>
      <c r="E289" s="114">
        <v>0.09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 t="str">
        <f>'RESUMEN TOTAL'!AH22</f>
        <v>APAGADO</v>
      </c>
      <c r="AB17" s="70" t="str">
        <f>'RESUMEN TOTAL'!AI22</f>
        <v>APAGADO</v>
      </c>
      <c r="AC17" s="70" t="str">
        <f>'RESUMEN TOTAL'!AJ22</f>
        <v>APAGADO</v>
      </c>
      <c r="AD17" s="70" t="str">
        <f>'RESUMEN TOTAL'!AK22</f>
        <v>APAGADO</v>
      </c>
      <c r="AE17" s="70" t="str">
        <f>'RESUMEN TOTAL'!AL22</f>
        <v>APAGADO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 t="str">
        <f>'RESUMEN TOTAL'!AH24</f>
        <v>APAGADO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 t="str">
        <f>'RESUMEN TOTAL'!AH25</f>
        <v>APAGADO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 t="str">
        <f>'RESUMEN TOTAL'!AH26</f>
        <v>APAGADO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 t="str">
        <f>'RESUMEN TOTAL'!AH27</f>
        <v>APAGADO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 t="str">
        <f>'RESUMEN TOTAL'!AH28</f>
        <v>APAGADO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 t="str">
        <f>'RESUMEN TOTAL'!AH29</f>
        <v>APAGADO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 t="str">
        <f>'RESUMEN TOTAL'!AH46</f>
        <v>APAGADO</v>
      </c>
      <c r="AB28" s="70" t="str">
        <f>'RESUMEN TOTAL'!AI46</f>
        <v>APAGADO</v>
      </c>
      <c r="AC28" s="70" t="str">
        <f>'RESUMEN TOTAL'!AJ46</f>
        <v>APAGADO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 t="str">
        <f>'RESUMEN TOTAL'!AI56</f>
        <v>APAGADO</v>
      </c>
      <c r="AC38" s="70" t="str">
        <f>'RESUMEN TOTAL'!AJ56</f>
        <v>APAGADO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 t="str">
        <f>'RESUMEN TOTAL'!AH63</f>
        <v>APAGADO</v>
      </c>
      <c r="AB45" s="70" t="str">
        <f>'RESUMEN TOTAL'!AI63</f>
        <v>APAGADO</v>
      </c>
      <c r="AC45" s="70" t="str">
        <f>'RESUMEN TOTAL'!AJ63</f>
        <v>APAGADO</v>
      </c>
      <c r="AD45" s="70" t="str">
        <f>'RESUMEN TOTAL'!AK63</f>
        <v>APAGADO</v>
      </c>
      <c r="AE45" s="70" t="str">
        <f>'RESUMEN TOTAL'!AL63</f>
        <v>APAGADO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 t="str">
        <f>'RESUMEN TOTAL'!AH66</f>
        <v>APAGADO</v>
      </c>
      <c r="AB48" s="70" t="str">
        <f>'RESUMEN TOTAL'!AI66</f>
        <v>APAGADO</v>
      </c>
      <c r="AC48" s="70" t="str">
        <f>'RESUMEN TOTAL'!AJ66</f>
        <v>APAGADO</v>
      </c>
      <c r="AD48" s="70" t="str">
        <f>'RESUMEN TOTAL'!AK66</f>
        <v>APAGADO</v>
      </c>
      <c r="AE48" s="70" t="str">
        <f>'RESUMEN TOTAL'!AL66</f>
        <v>APAGADO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 t="str">
        <f>'RESUMEN TOTAL'!AH81</f>
        <v>APAGADO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 t="str">
        <f>'RESUMEN TOTAL'!AH82</f>
        <v>APAGADO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 t="str">
        <f>'RESUMEN TOTAL'!AH83</f>
        <v>APAGADO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 t="str">
        <f>'RESUMEN TOTAL'!AL90</f>
        <v>APAGADO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 t="str">
        <f>'RESUMEN TOTAL'!AH95</f>
        <v>APAGADO</v>
      </c>
      <c r="AB77" s="70" t="str">
        <f>'RESUMEN TOTAL'!AI95</f>
        <v>APAGADO</v>
      </c>
      <c r="AC77" s="70" t="str">
        <f>'RESUMEN TOTAL'!AJ95</f>
        <v>APAGADO</v>
      </c>
      <c r="AD77" s="70" t="str">
        <f>'RESUMEN TOTAL'!AK95</f>
        <v>APAGADO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 t="str">
        <f>'RESUMEN TOTAL'!AH96</f>
        <v>APAGADO</v>
      </c>
      <c r="AB78" s="70" t="str">
        <f>'RESUMEN TOTAL'!AI96</f>
        <v>APAGADO</v>
      </c>
      <c r="AC78" s="70" t="str">
        <f>'RESUMEN TOTAL'!AJ96</f>
        <v>APAGADO</v>
      </c>
      <c r="AD78" s="70" t="str">
        <f>'RESUMEN TOTAL'!AK96</f>
        <v>APAGADO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 t="str">
        <f>'RESUMEN TOTAL'!AH98</f>
        <v>APAGADO</v>
      </c>
      <c r="AB80" s="70" t="str">
        <f>'RESUMEN TOTAL'!AI98</f>
        <v>APAGADO</v>
      </c>
      <c r="AC80" s="70" t="str">
        <f>'RESUMEN TOTAL'!AJ98</f>
        <v>APAGADO</v>
      </c>
      <c r="AD80" s="70" t="str">
        <f>'RESUMEN TOTAL'!AK98</f>
        <v>APAGADO</v>
      </c>
      <c r="AE80" s="70" t="str">
        <f>'RESUMEN TOTAL'!AL98</f>
        <v>APAGADO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 t="str">
        <f>'RESUMEN TOTAL'!AH103</f>
        <v>APAGADO</v>
      </c>
      <c r="AB85" s="70" t="str">
        <f>'RESUMEN TOTAL'!AI103</f>
        <v>APAGADO</v>
      </c>
      <c r="AC85" s="70" t="str">
        <f>'RESUMEN TOTAL'!AJ103</f>
        <v>APAGADO</v>
      </c>
      <c r="AD85" s="70" t="str">
        <f>'RESUMEN TOTAL'!AK103</f>
        <v>APAGADO</v>
      </c>
      <c r="AE85" s="70" t="str">
        <f>'RESUMEN TOTAL'!AL103</f>
        <v>APAGADO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 t="str">
        <f>'RESUMEN TOTAL'!AH104</f>
        <v>APAGADO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 t="str">
        <f>'RESUMEN TOTAL'!AH116</f>
        <v>APAGADO</v>
      </c>
      <c r="AB98" s="70" t="str">
        <f>'RESUMEN TOTAL'!AI116</f>
        <v>APAGADO</v>
      </c>
      <c r="AC98" s="70" t="str">
        <f>'RESUMEN TOTAL'!AJ116</f>
        <v>APAGADO</v>
      </c>
      <c r="AD98" s="70" t="str">
        <f>'RESUMEN TOTAL'!AK116</f>
        <v>APAGADO</v>
      </c>
      <c r="AE98" s="70" t="str">
        <f>'RESUMEN TOTAL'!AL116</f>
        <v>APAGADO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 t="str">
        <f>'RESUMEN TOTAL'!AH117</f>
        <v>APAGADO</v>
      </c>
      <c r="AB99" s="70" t="str">
        <f>'RESUMEN TOTAL'!AI117</f>
        <v>APAGADO</v>
      </c>
      <c r="AC99" s="70" t="str">
        <f>'RESUMEN TOTAL'!AJ117</f>
        <v>APAGADO</v>
      </c>
      <c r="AD99" s="70" t="str">
        <f>'RESUMEN TOTAL'!AK117</f>
        <v>APAGADO</v>
      </c>
      <c r="AE99" s="70" t="str">
        <f>'RESUMEN TOTAL'!AL117</f>
        <v>APAGADO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 t="str">
        <f>'RESUMEN TOTAL'!AH121</f>
        <v>APAGADO</v>
      </c>
      <c r="AB103" s="70" t="str">
        <f>'RESUMEN TOTAL'!AI121</f>
        <v>APAGADO</v>
      </c>
      <c r="AC103" s="70" t="str">
        <f>'RESUMEN TOTAL'!AJ121</f>
        <v>APAGADO</v>
      </c>
      <c r="AD103" s="70" t="str">
        <f>'RESUMEN TOTAL'!AK121</f>
        <v>APAGADO</v>
      </c>
      <c r="AE103" s="70" t="str">
        <f>'RESUMEN TOTAL'!AL121</f>
        <v>APAGADO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 t="str">
        <f>'RESUMEN TOTAL'!AH122</f>
        <v>APAGADO</v>
      </c>
      <c r="AB104" s="70" t="str">
        <f>'RESUMEN TOTAL'!AI122</f>
        <v>APAGADO</v>
      </c>
      <c r="AC104" s="70" t="str">
        <f>'RESUMEN TOTAL'!AJ122</f>
        <v>APAGADO</v>
      </c>
      <c r="AD104" s="70" t="str">
        <f>'RESUMEN TOTAL'!AK122</f>
        <v>APAGADO</v>
      </c>
      <c r="AE104" s="70" t="str">
        <f>'RESUMEN TOTAL'!AL122</f>
        <v>APAGADO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 t="str">
        <f>'RESUMEN TOTAL'!AH147</f>
        <v>APAGADO</v>
      </c>
      <c r="AB119" s="70" t="str">
        <f>'RESUMEN TOTAL'!AI147</f>
        <v>APAGADO</v>
      </c>
      <c r="AC119" s="70" t="str">
        <f>'RESUMEN TOTAL'!AJ147</f>
        <v>APAGADO</v>
      </c>
      <c r="AD119" s="70" t="str">
        <f>'RESUMEN TOTAL'!AK147</f>
        <v>APAGADO</v>
      </c>
      <c r="AE119" s="70" t="str">
        <f>'RESUMEN TOTAL'!AL147</f>
        <v>APAGADO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 t="str">
        <f>'RESUMEN TOTAL'!AH150</f>
        <v>APAGADO</v>
      </c>
      <c r="AB122" s="70" t="str">
        <f>'RESUMEN TOTAL'!AI150</f>
        <v>APAGADO</v>
      </c>
      <c r="AC122" s="70" t="str">
        <f>'RESUMEN TOTAL'!AJ150</f>
        <v>APAGADO</v>
      </c>
      <c r="AD122" s="70" t="str">
        <f>'RESUMEN TOTAL'!AK150</f>
        <v>APAGADO</v>
      </c>
      <c r="AE122" s="70" t="str">
        <f>'RESUMEN TOTAL'!AL150</f>
        <v>APAGADO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 t="str">
        <f>'RESUMEN TOTAL'!AH151</f>
        <v>APAGADO</v>
      </c>
      <c r="AB123" s="70" t="str">
        <f>'RESUMEN TOTAL'!AI151</f>
        <v>APAGADO</v>
      </c>
      <c r="AC123" s="70" t="str">
        <f>'RESUMEN TOTAL'!AJ151</f>
        <v>APAGADO</v>
      </c>
      <c r="AD123" s="70" t="str">
        <f>'RESUMEN TOTAL'!AK151</f>
        <v>APAGADO</v>
      </c>
      <c r="AE123" s="70" t="str">
        <f>'RESUMEN TOTAL'!AL151</f>
        <v>APAGADO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 t="str">
        <f>'RESUMEN TOTAL'!AH177</f>
        <v>APAGADO</v>
      </c>
      <c r="AB144" s="70">
        <f>'RESUMEN TOTAL'!AI177</f>
        <v>0</v>
      </c>
      <c r="AC144" s="70" t="str">
        <f>'RESUMEN TOTAL'!AJ177</f>
        <v>APAGADO</v>
      </c>
      <c r="AD144" s="70" t="str">
        <f>'RESUMEN TOTAL'!AK177</f>
        <v>APAGADO</v>
      </c>
      <c r="AE144" s="70" t="str">
        <f>'RESUMEN TOTAL'!AL177</f>
        <v>APAGADO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 t="str">
        <f>'RESUMEN TOTAL'!AH178</f>
        <v>APAGADO</v>
      </c>
      <c r="AB145" s="70">
        <f>'RESUMEN TOTAL'!AI178</f>
        <v>0</v>
      </c>
      <c r="AC145" s="70" t="str">
        <f>'RESUMEN TOTAL'!AJ178</f>
        <v>APAGADO</v>
      </c>
      <c r="AD145" s="70" t="str">
        <f>'RESUMEN TOTAL'!AK178</f>
        <v>APAGADO</v>
      </c>
      <c r="AE145" s="70" t="str">
        <f>'RESUMEN TOTAL'!AL178</f>
        <v>APAGADO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 t="str">
        <f>'RESUMEN TOTAL'!AH184</f>
        <v>APAGADO</v>
      </c>
      <c r="AB148" s="70" t="str">
        <f>'RESUMEN TOTAL'!AI184</f>
        <v>APAGADO</v>
      </c>
      <c r="AC148" s="70" t="str">
        <f>'RESUMEN TOTAL'!AJ184</f>
        <v>APAGADO</v>
      </c>
      <c r="AD148" s="70" t="str">
        <f>'RESUMEN TOTAL'!AK184</f>
        <v>APAGADO</v>
      </c>
      <c r="AE148" s="70" t="str">
        <f>'RESUMEN TOTAL'!AL184</f>
        <v>APAGADO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 t="str">
        <f>'RESUMEN TOTAL'!AH190</f>
        <v>APAGADO</v>
      </c>
      <c r="AB154" s="70" t="str">
        <f>'RESUMEN TOTAL'!AI190</f>
        <v>APAGADO</v>
      </c>
      <c r="AC154" s="70" t="str">
        <f>'RESUMEN TOTAL'!AJ190</f>
        <v>APAGADO</v>
      </c>
      <c r="AD154" s="70" t="str">
        <f>'RESUMEN TOTAL'!AK190</f>
        <v>APAGADO</v>
      </c>
      <c r="AE154" s="70" t="str">
        <f>'RESUMEN TOTAL'!AL190</f>
        <v>APAGADO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 t="str">
        <f>'RESUMEN TOTAL'!AH191</f>
        <v>APAGADO</v>
      </c>
      <c r="AB155" s="70" t="str">
        <f>'RESUMEN TOTAL'!AI191</f>
        <v>APAGADO</v>
      </c>
      <c r="AC155" s="70">
        <f>'RESUMEN TOTAL'!AJ191</f>
        <v>0</v>
      </c>
      <c r="AD155" s="70">
        <f>'RESUMEN TOTAL'!AK191</f>
        <v>0</v>
      </c>
      <c r="AE155" s="70" t="str">
        <f>'RESUMEN TOTAL'!AL191</f>
        <v>APAGADO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 t="str">
        <f>'RESUMEN TOTAL'!AH192</f>
        <v>APAGADO</v>
      </c>
      <c r="AB156" s="70" t="str">
        <f>'RESUMEN TOTAL'!AI192</f>
        <v>APAGADO</v>
      </c>
      <c r="AC156" s="70">
        <f>'RESUMEN TOTAL'!AJ192</f>
        <v>0</v>
      </c>
      <c r="AD156" s="70" t="str">
        <f>'RESUMEN TOTAL'!AK192</f>
        <v>APAGADO</v>
      </c>
      <c r="AE156" s="70" t="str">
        <f>'RESUMEN TOTAL'!AL192</f>
        <v>APAGADO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 t="str">
        <f>'RESUMEN TOTAL'!AH208</f>
        <v>APAGADO</v>
      </c>
      <c r="AB170" s="70" t="str">
        <f>'RESUMEN TOTAL'!AI208</f>
        <v>APAGADO</v>
      </c>
      <c r="AC170" s="70" t="str">
        <f>'RESUMEN TOTAL'!AJ208</f>
        <v>APAGADO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 t="str">
        <f>'RESUMEN TOTAL'!AH209</f>
        <v>APAGADO</v>
      </c>
      <c r="AB171" s="70" t="str">
        <f>'RESUMEN TOTAL'!AI209</f>
        <v>APAGADO</v>
      </c>
      <c r="AC171" s="70" t="str">
        <f>'RESUMEN TOTAL'!AJ209</f>
        <v>APAGADO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 t="str">
        <f>'RESUMEN TOTAL'!AH235</f>
        <v>APAGADO</v>
      </c>
      <c r="AB194" s="70" t="str">
        <f>'RESUMEN TOTAL'!AI235</f>
        <v>APAGADO</v>
      </c>
      <c r="AC194" s="70" t="str">
        <f>'RESUMEN TOTAL'!AJ235</f>
        <v>APAGADO</v>
      </c>
      <c r="AD194" s="70" t="str">
        <f>'RESUMEN TOTAL'!AK235</f>
        <v>APAGADO</v>
      </c>
      <c r="AE194" s="70" t="str">
        <f>'RESUMEN TOTAL'!AL235</f>
        <v>APAGADO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 t="str">
        <f>'RESUMEN TOTAL'!AH237</f>
        <v>APAGADO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 t="str">
        <f>'RESUMEN TOTAL'!AH238</f>
        <v>APAGADO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 t="str">
        <f>'RESUMEN TOTAL'!AL238</f>
        <v>APAGADO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 t="str">
        <f>'RESUMEN TOTAL'!AH239</f>
        <v>APAGADO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 t="str">
        <f>'RESUMEN TOTAL'!AH240</f>
        <v>APAGADO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 t="str">
        <f>'RESUMEN TOTAL'!AI243</f>
        <v>APAGADO</v>
      </c>
      <c r="AC202" s="70" t="str">
        <f>'RESUMEN TOTAL'!AJ243</f>
        <v>APAGADO</v>
      </c>
      <c r="AD202" s="70" t="str">
        <f>'RESUMEN TOTAL'!AK243</f>
        <v>APAGADO</v>
      </c>
      <c r="AE202" s="70" t="str">
        <f>'RESUMEN TOTAL'!AL243</f>
        <v>APAGADO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 t="str">
        <f>'RESUMEN TOTAL'!AI245</f>
        <v>APAGADO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 t="str">
        <f>'RESUMEN TOTAL'!AH264</f>
        <v>APAGADO</v>
      </c>
      <c r="AB221" s="70" t="str">
        <f>'RESUMEN TOTAL'!AI264</f>
        <v>APAGADO</v>
      </c>
      <c r="AC221" s="70" t="str">
        <f>'RESUMEN TOTAL'!AJ264</f>
        <v>APAGADO</v>
      </c>
      <c r="AD221" s="70" t="str">
        <f>'RESUMEN TOTAL'!AK264</f>
        <v>APAGADO</v>
      </c>
      <c r="AE221" s="70" t="str">
        <f>'RESUMEN TOTAL'!AL264</f>
        <v>APAGADO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 t="str">
        <f>'RESUMEN TOTAL'!AH283</f>
        <v>APAGADO</v>
      </c>
      <c r="AB237" s="70" t="str">
        <f>'RESUMEN TOTAL'!AI283</f>
        <v>APAGADO</v>
      </c>
      <c r="AC237" s="70" t="str">
        <f>'RESUMEN TOTAL'!AJ283</f>
        <v>APAGADO</v>
      </c>
      <c r="AD237" s="70" t="str">
        <f>'RESUMEN TOTAL'!AK283</f>
        <v>APAGADO</v>
      </c>
      <c r="AE237" s="70" t="str">
        <f>'RESUMEN TOTAL'!AL283</f>
        <v>APAGADO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 t="str">
        <f>'RESUMEN TOTAL'!AI284</f>
        <v>APAGADO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 t="str">
        <f>'RESUMEN TOTAL'!AI285</f>
        <v>APAGADO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 t="str">
        <f>'RESUMEN TOTAL'!AI286</f>
        <v>APAGADO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 t="str">
        <f>'RESUMEN TOTAL'!AH287</f>
        <v>APAGADO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 t="str">
        <f>'RESUMEN TOTAL'!AH288</f>
        <v>APAGADO</v>
      </c>
      <c r="AB242" s="70">
        <f>'RESUMEN TOTAL'!AI288</f>
        <v>0</v>
      </c>
      <c r="AC242" s="70">
        <f>'RESUMEN TOTAL'!AJ288</f>
        <v>0</v>
      </c>
      <c r="AD242" s="70" t="str">
        <f>'RESUMEN TOTAL'!AK288</f>
        <v>APAGADO</v>
      </c>
      <c r="AE242" s="70" t="str">
        <f>'RESUMEN TOTAL'!AL288</f>
        <v>APAGADO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 t="str">
        <f>'RESUMEN TOTAL'!AH289</f>
        <v>APAGADO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 t="str">
        <f>'RESUMEN TOTAL'!AH294</f>
        <v>APAGADO</v>
      </c>
      <c r="AB248" s="70" t="str">
        <f>'RESUMEN TOTAL'!AI294</f>
        <v>APAGADO</v>
      </c>
      <c r="AC248" s="70" t="str">
        <f>'RESUMEN TOTAL'!AJ294</f>
        <v>APAGADO</v>
      </c>
      <c r="AD248" s="70" t="str">
        <f>'RESUMEN TOTAL'!AK294</f>
        <v>APAGADO</v>
      </c>
      <c r="AE248" s="70" t="str">
        <f>'RESUMEN TOTAL'!AL294</f>
        <v>APAGADO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 t="str">
        <f>'RESUMEN TOTAL'!AH296</f>
        <v>APAGADO</v>
      </c>
      <c r="AB250" s="70" t="str">
        <f>'RESUMEN TOTAL'!AI296</f>
        <v>APAGADO</v>
      </c>
      <c r="AC250" s="70" t="str">
        <f>'RESUMEN TOTAL'!AJ296</f>
        <v>APAGADO</v>
      </c>
      <c r="AD250" s="70" t="str">
        <f>'RESUMEN TOTAL'!AK296</f>
        <v>APAGADO</v>
      </c>
      <c r="AE250" s="70" t="str">
        <f>'RESUMEN TOTAL'!AL296</f>
        <v>APAGADO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 t="str">
        <f>'RESUMEN TOTAL'!AH306</f>
        <v>APAGADO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 t="str">
        <f>'RESUMEN TOTAL'!AH307</f>
        <v>APAGADO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 t="str">
        <f>'RESUMEN TOTAL'!AH308</f>
        <v>APAGADO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 t="str">
        <f>'RESUMEN TOTAL'!AH309</f>
        <v>APAGADO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 t="str">
        <f>'RESUMEN TOTAL'!AH310</f>
        <v>APAGADO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 t="str">
        <f>'RESUMEN TOTAL'!AH311</f>
        <v>APAGADO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 t="str">
        <f>'RESUMEN TOTAL'!AH316</f>
        <v>APAGADO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 t="str">
        <f>'RESUMEN TOTAL'!AH317</f>
        <v>APAGADO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 t="str">
        <f>'RESUMEN TOTAL'!AH318</f>
        <v>APAGADO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 t="str">
        <f>'RESUMEN TOTAL'!AH319</f>
        <v>APAGADO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 t="str">
        <f>'RESUMEN TOTAL'!AH320</f>
        <v>APAGADO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 t="str">
        <f>'RESUMEN TOTAL'!AL320</f>
        <v>APAGADO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 t="str">
        <f>'RESUMEN TOTAL'!AH321</f>
        <v>APAGADO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 t="str">
        <f>'RESUMEN TOTAL'!AH322</f>
        <v>APAGADO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 t="str">
        <f>'RESUMEN TOTAL'!AH323</f>
        <v>APAGADO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 t="str">
        <f>'RESUMEN TOTAL'!AH324</f>
        <v>APAGADO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 t="str">
        <f>'RESUMEN TOTAL'!AH325</f>
        <v>APAGADO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 t="str">
        <f>'RESUMEN TOTAL'!AH326</f>
        <v>APAGADO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 t="str">
        <f>'RESUMEN TOTAL'!AH327</f>
        <v>APAGADO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 t="str">
        <f>'RESUMEN TOTAL'!AH328</f>
        <v>APAGADO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 t="str">
        <f>'RESUMEN TOTAL'!AI335</f>
        <v>APAGADO</v>
      </c>
      <c r="AC282" s="70" t="str">
        <f>'RESUMEN TOTAL'!AJ335</f>
        <v>APAGADO</v>
      </c>
      <c r="AD282" s="70" t="str">
        <f>'RESUMEN TOTAL'!AK335</f>
        <v>APAGADO</v>
      </c>
      <c r="AE282" s="70" t="str">
        <f>'RESUMEN TOTAL'!AL335</f>
        <v>APAGADO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 t="str">
        <f>'RESUMEN TOTAL'!AI336</f>
        <v>APAGADO</v>
      </c>
      <c r="AC283" s="70" t="str">
        <f>'RESUMEN TOTAL'!AJ336</f>
        <v>APAGADO</v>
      </c>
      <c r="AD283" s="70" t="str">
        <f>'RESUMEN TOTAL'!AK336</f>
        <v>APAGADO</v>
      </c>
      <c r="AE283" s="70" t="str">
        <f>'RESUMEN TOTAL'!AL336</f>
        <v>APAGADO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 t="str">
        <f>'RESUMEN TOTAL'!AH338</f>
        <v>APAGADO</v>
      </c>
      <c r="AB285" s="70" t="str">
        <f>'RESUMEN TOTAL'!AI338</f>
        <v>APAGADO</v>
      </c>
      <c r="AC285" s="70">
        <f>'RESUMEN TOTAL'!AJ338</f>
        <v>0</v>
      </c>
      <c r="AD285" s="70" t="str">
        <f>'RESUMEN TOTAL'!AK338</f>
        <v>APAGADO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 t="str">
        <f>'RESUMEN TOTAL'!AH357</f>
        <v>APAGADO</v>
      </c>
      <c r="AB300" s="70" t="str">
        <f>'RESUMEN TOTAL'!AI357</f>
        <v>APAGADO</v>
      </c>
      <c r="AC300" s="70" t="str">
        <f>'RESUMEN TOTAL'!AJ357</f>
        <v>APAGADO</v>
      </c>
      <c r="AD300" s="70" t="str">
        <f>'RESUMEN TOTAL'!AK357</f>
        <v>APAGADO</v>
      </c>
      <c r="AE300" s="70" t="str">
        <f>'RESUMEN TOTAL'!AL357</f>
        <v>APAGADO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 t="str">
        <f>'RESUMEN TOTAL'!AH358</f>
        <v>APAGADO</v>
      </c>
      <c r="AB301" s="70" t="str">
        <f>'RESUMEN TOTAL'!AI358</f>
        <v>APAGADO</v>
      </c>
      <c r="AC301" s="70" t="str">
        <f>'RESUMEN TOTAL'!AJ358</f>
        <v>APAGADO</v>
      </c>
      <c r="AD301" s="70" t="str">
        <f>'RESUMEN TOTAL'!AK358</f>
        <v>APAGADO</v>
      </c>
      <c r="AE301" s="70" t="str">
        <f>'RESUMEN TOTAL'!AL358</f>
        <v>APAGADO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 t="str">
        <f>'RESUMEN TOTAL'!AH359</f>
        <v>APAGADO</v>
      </c>
      <c r="AB302" s="70" t="str">
        <f>'RESUMEN TOTAL'!AI359</f>
        <v>APAGADO</v>
      </c>
      <c r="AC302" s="70" t="str">
        <f>'RESUMEN TOTAL'!AJ359</f>
        <v>APAGADO</v>
      </c>
      <c r="AD302" s="70" t="str">
        <f>'RESUMEN TOTAL'!AK359</f>
        <v>APAGADO</v>
      </c>
      <c r="AE302" s="70" t="str">
        <f>'RESUMEN TOTAL'!AL359</f>
        <v>APAGADO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 t="str">
        <f>'RESUMEN TOTAL'!AH372</f>
        <v>APAGADO</v>
      </c>
      <c r="AB315" s="70" t="str">
        <f>'RESUMEN TOTAL'!AI372</f>
        <v>APAGADO</v>
      </c>
      <c r="AC315" s="70" t="str">
        <f>'RESUMEN TOTAL'!AJ372</f>
        <v>APAGADO</v>
      </c>
      <c r="AD315" s="70" t="str">
        <f>'RESUMEN TOTAL'!AK372</f>
        <v>APAGADO</v>
      </c>
      <c r="AE315" s="70" t="str">
        <f>'RESUMEN TOTAL'!AL372</f>
        <v>APAGADO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 t="str">
        <f>'RESUMEN TOTAL'!AH377</f>
        <v>APAGADO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 t="str">
        <f>'RESUMEN TOTAL'!AH383</f>
        <v>APAGADO</v>
      </c>
      <c r="AB322" s="70" t="str">
        <f>'RESUMEN TOTAL'!AI383</f>
        <v>APAGADO</v>
      </c>
      <c r="AC322" s="70" t="str">
        <f>'RESUMEN TOTAL'!AJ383</f>
        <v>APAGADO</v>
      </c>
      <c r="AD322" s="70" t="str">
        <f>'RESUMEN TOTAL'!AK383</f>
        <v>APAGADO</v>
      </c>
      <c r="AE322" s="70" t="str">
        <f>'RESUMEN TOTAL'!AL383</f>
        <v>APAGADO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 t="str">
        <f>'RESUMEN TOTAL'!AH384</f>
        <v>APAGADO</v>
      </c>
      <c r="AB323" s="70" t="str">
        <f>'RESUMEN TOTAL'!AI384</f>
        <v>APAGADO</v>
      </c>
      <c r="AC323" s="70" t="str">
        <f>'RESUMEN TOTAL'!AJ384</f>
        <v>APAGADO</v>
      </c>
      <c r="AD323" s="70" t="str">
        <f>'RESUMEN TOTAL'!AK384</f>
        <v>APAGADO</v>
      </c>
      <c r="AE323" s="70" t="str">
        <f>'RESUMEN TOTAL'!AL384</f>
        <v>APAGADO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 t="str">
        <f>'RESUMEN TOTAL'!AH390</f>
        <v>APAGADO</v>
      </c>
      <c r="AB326" s="70" t="str">
        <f>'RESUMEN TOTAL'!AI390</f>
        <v>APAGADO</v>
      </c>
      <c r="AC326" s="70" t="str">
        <f>'RESUMEN TOTAL'!AJ390</f>
        <v>APAGADO</v>
      </c>
      <c r="AD326" s="70" t="str">
        <f>'RESUMEN TOTAL'!AK390</f>
        <v>APAGADO</v>
      </c>
      <c r="AE326" s="70" t="str">
        <f>'RESUMEN TOTAL'!AL390</f>
        <v>APAGADO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 t="str">
        <f>'RESUMEN TOTAL'!AI393</f>
        <v>APAGADO</v>
      </c>
      <c r="AC327" s="70" t="str">
        <f>'RESUMEN TOTAL'!AJ393</f>
        <v>APAGADO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 t="str">
        <f>'RESUMEN TOTAL'!AH395</f>
        <v>APAGADO</v>
      </c>
      <c r="AB329" s="70" t="str">
        <f>'RESUMEN TOTAL'!AI395</f>
        <v>APAGADO</v>
      </c>
      <c r="AC329" s="70" t="str">
        <f>'RESUMEN TOTAL'!AJ395</f>
        <v>APAGADO</v>
      </c>
      <c r="AD329" s="70" t="str">
        <f>'RESUMEN TOTAL'!AK395</f>
        <v>APAGADO</v>
      </c>
      <c r="AE329" s="70" t="str">
        <f>'RESUMEN TOTAL'!AL395</f>
        <v>APAGADO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 t="str">
        <f>'RESUMEN TOTAL'!AI396</f>
        <v>APAGADO</v>
      </c>
      <c r="AC330" s="70" t="str">
        <f>'RESUMEN TOTAL'!AJ396</f>
        <v>APAGADO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 t="str">
        <f>'RESUMEN TOTAL'!AH416</f>
        <v>APAGADO</v>
      </c>
      <c r="AB348" s="70" t="str">
        <f>'RESUMEN TOTAL'!AI416</f>
        <v>APAGADO</v>
      </c>
      <c r="AC348" s="70" t="str">
        <f>'RESUMEN TOTAL'!AJ416</f>
        <v>APAGADO</v>
      </c>
      <c r="AD348" s="70" t="str">
        <f>'RESUMEN TOTAL'!AK416</f>
        <v>APAGADO</v>
      </c>
      <c r="AE348" s="70" t="str">
        <f>'RESUMEN TOTAL'!AL416</f>
        <v>APAGADO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 t="str">
        <f>'RESUMEN TOTAL'!AH418</f>
        <v>APAGADO</v>
      </c>
      <c r="AB350" s="70" t="str">
        <f>'RESUMEN TOTAL'!AI418</f>
        <v>APAGADO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 t="str">
        <f>'RESUMEN TOTAL'!AH428</f>
        <v>APAGADO</v>
      </c>
      <c r="AB360" s="70" t="str">
        <f>'RESUMEN TOTAL'!AI428</f>
        <v>APAGADO</v>
      </c>
      <c r="AC360" s="70" t="str">
        <f>'RESUMEN TOTAL'!AJ428</f>
        <v>APAGADO</v>
      </c>
      <c r="AD360" s="70" t="str">
        <f>'RESUMEN TOTAL'!AK428</f>
        <v>APAGADO</v>
      </c>
      <c r="AE360" s="70" t="str">
        <f>'RESUMEN TOTAL'!AL428</f>
        <v>APAGADO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 t="str">
        <f>'RESUMEN TOTAL'!AH437</f>
        <v>APAGADO</v>
      </c>
      <c r="AB364" s="70" t="str">
        <f>'RESUMEN TOTAL'!AI437</f>
        <v>APAGADO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 t="str">
        <f>'RESUMEN TOTAL'!AH438</f>
        <v>APAGADO</v>
      </c>
      <c r="AB365" s="70" t="str">
        <f>'RESUMEN TOTAL'!AI438</f>
        <v>APAGADO</v>
      </c>
      <c r="AC365" s="70" t="str">
        <f>'RESUMEN TOTAL'!AJ438</f>
        <v>APAGADO</v>
      </c>
      <c r="AD365" s="70" t="str">
        <f>'RESUMEN TOTAL'!AK438</f>
        <v>APAGADO</v>
      </c>
      <c r="AE365" s="70" t="str">
        <f>'RESUMEN TOTAL'!AL438</f>
        <v>APAGADO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 t="str">
        <f>'RESUMEN TOTAL'!AH461</f>
        <v>APAGADO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 t="str">
        <f>'RESUMEN TOTAL'!AH488</f>
        <v>APAGADO</v>
      </c>
      <c r="AB409" s="70">
        <f>'RESUMEN TOTAL'!AI488</f>
        <v>0</v>
      </c>
      <c r="AC409" s="70">
        <f>'RESUMEN TOTAL'!AJ488</f>
        <v>0</v>
      </c>
      <c r="AD409" s="70" t="str">
        <f>'RESUMEN TOTAL'!AK488</f>
        <v>APAGADO</v>
      </c>
      <c r="AE409" s="70" t="str">
        <f>'RESUMEN TOTAL'!AL488</f>
        <v>APAGADO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 t="str">
        <f>'RESUMEN TOTAL'!AH502</f>
        <v>APAGADO</v>
      </c>
      <c r="AB420" s="70" t="str">
        <f>'RESUMEN TOTAL'!AI502</f>
        <v>APAGADO</v>
      </c>
      <c r="AC420" s="70" t="str">
        <f>'RESUMEN TOTAL'!AJ502</f>
        <v>APAGADO</v>
      </c>
      <c r="AD420" s="70" t="str">
        <f>'RESUMEN TOTAL'!AK502</f>
        <v>APAGADO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 t="str">
        <f>'RESUMEN TOTAL'!AH503</f>
        <v>APAGADO</v>
      </c>
      <c r="AB421" s="70" t="str">
        <f>'RESUMEN TOTAL'!AI503</f>
        <v>APAGADO</v>
      </c>
      <c r="AC421" s="70" t="str">
        <f>'RESUMEN TOTAL'!AJ503</f>
        <v>APAGADO</v>
      </c>
      <c r="AD421" s="70" t="str">
        <f>'RESUMEN TOTAL'!AK503</f>
        <v>APAGADO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 t="str">
        <f>'RESUMEN TOTAL'!AH511</f>
        <v>APAGADO</v>
      </c>
      <c r="AB428" s="70" t="str">
        <f>'RESUMEN TOTAL'!AI511</f>
        <v>APAGADO</v>
      </c>
      <c r="AC428" s="70" t="str">
        <f>'RESUMEN TOTAL'!AJ511</f>
        <v>APAGADO</v>
      </c>
      <c r="AD428" s="70" t="str">
        <f>'RESUMEN TOTAL'!AK511</f>
        <v>APAGADO</v>
      </c>
      <c r="AE428" s="70" t="str">
        <f>'RESUMEN TOTAL'!AL511</f>
        <v>APAGADO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 t="str">
        <f>'RESUMEN TOTAL'!AH521</f>
        <v>APAGADO</v>
      </c>
      <c r="AB436" s="70" t="str">
        <f>'RESUMEN TOTAL'!AI521</f>
        <v>APAGADO</v>
      </c>
      <c r="AC436" s="70" t="str">
        <f>'RESUMEN TOTAL'!AJ521</f>
        <v>APAGADO</v>
      </c>
      <c r="AD436" s="70" t="str">
        <f>'RESUMEN TOTAL'!AK521</f>
        <v>APAGADO</v>
      </c>
      <c r="AE436" s="70" t="str">
        <f>'RESUMEN TOTAL'!AL521</f>
        <v>APAGADO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 t="str">
        <f>'RESUMEN TOTAL'!AH523</f>
        <v>APAGADO</v>
      </c>
      <c r="AB438" s="70" t="str">
        <f>'RESUMEN TOTAL'!AI523</f>
        <v>APAGADO</v>
      </c>
      <c r="AC438" s="70" t="str">
        <f>'RESUMEN TOTAL'!AJ523</f>
        <v>APAGADO</v>
      </c>
      <c r="AD438" s="70" t="str">
        <f>'RESUMEN TOTAL'!AK523</f>
        <v>APAGADO</v>
      </c>
      <c r="AE438" s="70" t="str">
        <f>'RESUMEN TOTAL'!AL523</f>
        <v>APAGADO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 t="str">
        <f>'RESUMEN TOTAL'!AH545</f>
        <v>APAGADO</v>
      </c>
      <c r="AB460" s="70" t="str">
        <f>'RESUMEN TOTAL'!AI545</f>
        <v>APAGADO</v>
      </c>
      <c r="AC460" s="70" t="str">
        <f>'RESUMEN TOTAL'!AJ545</f>
        <v>APAGADO</v>
      </c>
      <c r="AD460" s="70" t="str">
        <f>'RESUMEN TOTAL'!AK545</f>
        <v>APAGADO</v>
      </c>
      <c r="AE460" s="70" t="str">
        <f>'RESUMEN TOTAL'!AL545</f>
        <v>APAGADO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AD11" sqref="AD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35</v>
      </c>
      <c r="AB3" s="46">
        <f>COUNTIFS('RESUMEN TOTAL'!AI8:AI656,"=APAGADO",'RESUMEN TOTAL'!C8:C656,"=BONOMO")</f>
        <v>36</v>
      </c>
      <c r="AC3" s="46">
        <f>COUNTIFS('RESUMEN TOTAL'!AJ8:AJ656,"=APAGADO",'RESUMEN TOTAL'!C8:C656,"=BONOMO")</f>
        <v>29</v>
      </c>
      <c r="AD3" s="46">
        <f>COUNTIFS('RESUMEN TOTAL'!AK8:AK656,"=APAGADO",'RESUMEN TOTAL'!C8:C656,"=BONOMO")</f>
        <v>29</v>
      </c>
      <c r="AE3" s="46">
        <v>25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0.1206896551724138</v>
      </c>
      <c r="AB4" s="50">
        <f t="shared" si="0"/>
        <v>0.12413793103448276</v>
      </c>
      <c r="AC4" s="50">
        <v>0.11</v>
      </c>
      <c r="AD4" s="50">
        <f t="shared" si="0"/>
        <v>0.1</v>
      </c>
      <c r="AE4" s="50">
        <f t="shared" si="0"/>
        <v>8.6206896551724144E-2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60</v>
      </c>
      <c r="AB5" s="46">
        <f>COUNTIFS('RESUMEN TOTAL'!AI10:AI658,"=APAGADO",'RESUMEN TOTAL'!C10:C658,"=COSEIDI")</f>
        <v>26</v>
      </c>
      <c r="AC5" s="46">
        <f>COUNTIFS('RESUMEN TOTAL'!AJ10:AJ658,"=APAGADO",'RESUMEN TOTAL'!C10:C658,"=COSEIDI")</f>
        <v>24</v>
      </c>
      <c r="AD5" s="46">
        <f>COUNTIFS('RESUMEN TOTAL'!AK10:AK658,"=APAGADO",'RESUMEN TOTAL'!C10:C658,"=COSEIDI")</f>
        <v>22</v>
      </c>
      <c r="AE5" s="46">
        <f>COUNTIFS('RESUMEN TOTAL'!AL10:AL658,"=APAGADO",'RESUMEN TOTAL'!C10:C658,"=COSEIDI")</f>
        <v>23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0.23904382470119523</v>
      </c>
      <c r="AB6" s="50">
        <f t="shared" si="1"/>
        <v>0.10358565737051793</v>
      </c>
      <c r="AC6" s="50">
        <v>0.09</v>
      </c>
      <c r="AD6" s="50">
        <f t="shared" si="1"/>
        <v>8.7649402390438252E-2</v>
      </c>
      <c r="AE6" s="50">
        <f t="shared" si="1"/>
        <v>9.1633466135458169E-2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2025-09-26T11:44:14Z</dcterms:modified>
</cp:coreProperties>
</file>