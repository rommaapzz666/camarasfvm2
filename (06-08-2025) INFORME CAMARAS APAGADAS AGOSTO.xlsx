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EB57CBFD-BE55-4D79-9E15-4884AE590AFD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C20" i="24"/>
  <c r="E20" i="24" s="1"/>
  <c r="C86" i="24"/>
  <c r="E86" i="24" s="1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<sst xmlns="http://schemas.openxmlformats.org/spreadsheetml/2006/main" count="4443" uniqueCount="1567">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</sst>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5" zoomScaleNormal="55" workbookViewId="0">
      <pane xSplit="11" ySplit="7" topLeftCell="Q8" activePane="bottomRight" state="frozen"/>
      <selection pane="topRight" activeCell="M1" sqref="M1"/>
      <selection pane="bottomLeft" activeCell="A5" sqref="A5"/>
      <selection pane="bottomRight" activeCell="C376" sqref="C376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0</v>
      </c>
      <c r="S4" s="10">
        <f>COUNTIFS(S8:S619, "=APAGADO",F8:F619,"=Fibra Optica")</f>
        <v>0</v>
      </c>
      <c r="T4" s="10">
        <f>COUNTIFS(T8:T619, "=APAGADO",F8:F619,"=Fibra Optica")</f>
        <v>0</v>
      </c>
      <c r="U4" s="10">
        <f>COUNTIFS(U8:U619, "=APAGADO",F8:F619,"=Fibra Optica")</f>
        <v>0</v>
      </c>
      <c r="V4" s="10">
        <f>COUNTIFS(V8:V619, "=APAGADO",F8:F619,"=Fibra Optica")</f>
        <v>0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0</v>
      </c>
      <c r="S5" s="134">
        <f>COUNTIFS(S8:S619, "=APAGADO",F8:F619,"=RADIO")</f>
        <v>0</v>
      </c>
      <c r="T5" s="134">
        <f>COUNTIFS(T8:T619, "=APAGADO",F8:F619,"=RADIO")</f>
        <v>0</v>
      </c>
      <c r="U5" s="134">
        <f>COUNTIFS(U8:U619, "=APAGADO",F8:F619,"=RADIO")</f>
        <v>0</v>
      </c>
      <c r="V5" s="134">
        <f>COUNTIFS(V8:V619, "=APAGADO",F8:F619,"=RADIO")</f>
        <v>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0</v>
      </c>
      <c r="S6" s="10">
        <f>COUNTIFS(S8:S619, "=APAGADO",F8:F619,"=PTO A FO")</f>
        <v>0</v>
      </c>
      <c r="T6" s="10">
        <f>COUNTIFS(T8:T619, "=APAGADO",F8:F619,"=PTO A FO")</f>
        <v>0</v>
      </c>
      <c r="U6" s="10">
        <f>COUNTIFS(U8:U619, "=APAGADO",F8:F619,"=PTO A FO")</f>
        <v>0</v>
      </c>
      <c r="V6" s="10">
        <f>COUNTIFS(V8:V619, "=APAGADO",F8:F619,"=PTO A FO")</f>
        <v>0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24</v>
      </c>
      <c r="J12" s="31">
        <f t="shared" si="5"/>
        <v>4</v>
      </c>
      <c r="K12" s="32">
        <f t="shared" si="6"/>
        <v>0.8571428571428571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23</v>
      </c>
      <c r="J17" s="31">
        <f t="shared" si="5"/>
        <v>5</v>
      </c>
      <c r="K17" s="32">
        <f t="shared" si="6"/>
        <v>0.8214285714285714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23</v>
      </c>
      <c r="J18" s="31">
        <f t="shared" si="5"/>
        <v>5</v>
      </c>
      <c r="K18" s="32">
        <f t="shared" si="6"/>
        <v>0.8214285714285714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23</v>
      </c>
      <c r="J30" s="138">
        <f t="shared" si="5"/>
        <v>5</v>
      </c>
      <c r="K30" s="139">
        <f t="shared" si="6"/>
        <v>0.8214285714285714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23</v>
      </c>
      <c r="J39" s="31">
        <f t="shared" si="5"/>
        <v>5</v>
      </c>
      <c r="K39" s="32">
        <f t="shared" si="6"/>
        <v>0.8214285714285714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23</v>
      </c>
      <c r="J40" s="31">
        <f t="shared" si="5"/>
        <v>5</v>
      </c>
      <c r="K40" s="32">
        <f t="shared" si="6"/>
        <v>0.8214285714285714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23</v>
      </c>
      <c r="J55" s="31">
        <f t="shared" si="5"/>
        <v>5</v>
      </c>
      <c r="K55" s="32">
        <f t="shared" si="6"/>
        <v>0.8214285714285714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23</v>
      </c>
      <c r="J58" s="31">
        <f t="shared" si="5"/>
        <v>5</v>
      </c>
      <c r="K58" s="32">
        <f t="shared" si="6"/>
        <v>0.8214285714285714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26</v>
      </c>
      <c r="J90" s="31">
        <f t="shared" si="8"/>
        <v>2</v>
      </c>
      <c r="K90" s="32">
        <f t="shared" si="9"/>
        <v>0.9285714285714286</v>
      </c>
      <c r="L90" s="70"/>
      <c r="M90" s="70"/>
      <c r="N90" s="70"/>
      <c r="O90" s="70"/>
      <c r="P90" s="70" t="s">
        <v>1530</v>
      </c>
      <c r="Q90" s="70" t="s">
        <v>1530</v>
      </c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23</v>
      </c>
      <c r="J95" s="31">
        <f t="shared" si="8"/>
        <v>5</v>
      </c>
      <c r="K95" s="32">
        <f t="shared" si="9"/>
        <v>0.8214285714285714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23</v>
      </c>
      <c r="J108" s="31">
        <f t="shared" si="8"/>
        <v>5</v>
      </c>
      <c r="K108" s="32">
        <f t="shared" si="9"/>
        <v>0.8214285714285714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23</v>
      </c>
      <c r="J129" s="31">
        <f t="shared" si="8"/>
        <v>5</v>
      </c>
      <c r="K129" s="32">
        <f t="shared" si="9"/>
        <v>0.8214285714285714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23</v>
      </c>
      <c r="J136" s="145">
        <f t="shared" si="8"/>
        <v>5</v>
      </c>
      <c r="K136" s="146">
        <f t="shared" si="9"/>
        <v>0.8214285714285714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23</v>
      </c>
      <c r="J139" s="31">
        <f t="shared" si="8"/>
        <v>5</v>
      </c>
      <c r="K139" s="32">
        <f t="shared" si="9"/>
        <v>0.8214285714285714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23</v>
      </c>
      <c r="J140" s="31">
        <f t="shared" si="8"/>
        <v>5</v>
      </c>
      <c r="K140" s="32">
        <f t="shared" si="9"/>
        <v>0.8214285714285714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23</v>
      </c>
      <c r="J171" s="142">
        <f t="shared" si="11"/>
        <v>5</v>
      </c>
      <c r="K171" s="143">
        <f t="shared" si="12"/>
        <v>0.8214285714285714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26</v>
      </c>
      <c r="J177" s="31">
        <f t="shared" si="11"/>
        <v>2</v>
      </c>
      <c r="K177" s="32">
        <f t="shared" si="12"/>
        <v>0.9285714285714286</v>
      </c>
      <c r="L177" s="70" t="s">
        <v>1530</v>
      </c>
      <c r="M177" s="70"/>
      <c r="N177" s="70"/>
      <c r="O177" s="70"/>
      <c r="P177" s="70" t="s">
        <v>1530</v>
      </c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23</v>
      </c>
      <c r="J178" s="31">
        <f t="shared" si="11"/>
        <v>5</v>
      </c>
      <c r="K178" s="32">
        <f t="shared" si="12"/>
        <v>0.8214285714285714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23</v>
      </c>
      <c r="J220" s="31">
        <f t="shared" si="14"/>
        <v>5</v>
      </c>
      <c r="K220" s="32">
        <f t="shared" si="15"/>
        <v>0.8214285714285714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1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23</v>
      </c>
      <c r="J228" s="31">
        <f t="shared" si="14"/>
        <v>5</v>
      </c>
      <c r="K228" s="32">
        <f t="shared" si="15"/>
        <v>0.8214285714285714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23</v>
      </c>
      <c r="J231" s="31">
        <f t="shared" si="14"/>
        <v>5</v>
      </c>
      <c r="K231" s="32">
        <f t="shared" si="15"/>
        <v>0.8214285714285714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23</v>
      </c>
      <c r="J232" s="31">
        <f t="shared" si="14"/>
        <v>5</v>
      </c>
      <c r="K232" s="32">
        <f t="shared" si="15"/>
        <v>0.8214285714285714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24</v>
      </c>
      <c r="J265" s="31">
        <f t="shared" si="14"/>
        <v>4</v>
      </c>
      <c r="K265" s="32">
        <f t="shared" si="15"/>
        <v>0.8571428571428571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24</v>
      </c>
      <c r="J267" s="31">
        <f t="shared" si="14"/>
        <v>4</v>
      </c>
      <c r="K267" s="32">
        <f t="shared" si="15"/>
        <v>0.8571428571428571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23</v>
      </c>
      <c r="J268" s="31">
        <f t="shared" si="14"/>
        <v>5</v>
      </c>
      <c r="K268" s="32">
        <f t="shared" si="15"/>
        <v>0.8214285714285714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23</v>
      </c>
      <c r="J279" s="142">
        <f t="shared" si="14"/>
        <v>5</v>
      </c>
      <c r="K279" s="143">
        <f t="shared" si="15"/>
        <v>0.8214285714285714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23</v>
      </c>
      <c r="J284" s="31">
        <f t="shared" si="17"/>
        <v>5</v>
      </c>
      <c r="K284" s="32">
        <f t="shared" si="18"/>
        <v>0.8214285714285714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23</v>
      </c>
      <c r="J301" s="31">
        <f t="shared" si="17"/>
        <v>5</v>
      </c>
      <c r="K301" s="32">
        <f t="shared" si="18"/>
        <v>0.8214285714285714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23</v>
      </c>
      <c r="J307" s="31">
        <f t="shared" si="17"/>
        <v>5</v>
      </c>
      <c r="K307" s="32">
        <f t="shared" si="18"/>
        <v>0.8214285714285714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23</v>
      </c>
      <c r="J313" s="31">
        <f t="shared" si="17"/>
        <v>5</v>
      </c>
      <c r="K313" s="32">
        <f t="shared" si="18"/>
        <v>0.8214285714285714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23</v>
      </c>
      <c r="J314" s="31">
        <f t="shared" si="17"/>
        <v>5</v>
      </c>
      <c r="K314" s="32">
        <f t="shared" si="18"/>
        <v>0.8214285714285714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23</v>
      </c>
      <c r="J315" s="31">
        <f t="shared" si="17"/>
        <v>5</v>
      </c>
      <c r="K315" s="32">
        <f t="shared" si="18"/>
        <v>0.8214285714285714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/>
      <c r="M319" s="70"/>
      <c r="N319" s="70" t="s">
        <v>1530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/>
      <c r="M320" s="70"/>
      <c r="N320" s="70" t="s">
        <v>1530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24</v>
      </c>
      <c r="J322" s="31">
        <f t="shared" si="17"/>
        <v>4</v>
      </c>
      <c r="K322" s="32">
        <f t="shared" si="18"/>
        <v>0.8571428571428571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23</v>
      </c>
      <c r="J338" s="31">
        <f t="shared" si="17"/>
        <v>5</v>
      </c>
      <c r="K338" s="32">
        <f t="shared" si="18"/>
        <v>0.8214285714285714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23</v>
      </c>
      <c r="J339" s="142">
        <f t="shared" si="17"/>
        <v>5</v>
      </c>
      <c r="K339" s="143">
        <f t="shared" si="18"/>
        <v>0.8214285714285714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27</v>
      </c>
      <c r="J341" s="31">
        <f t="shared" si="17"/>
        <v>1</v>
      </c>
      <c r="K341" s="32">
        <f t="shared" si="18"/>
        <v>0.9642857142857143</v>
      </c>
      <c r="L341" s="70"/>
      <c r="M341" s="70"/>
      <c r="N341" s="70"/>
      <c r="O341" s="70"/>
      <c r="P341" s="70"/>
      <c r="Q341" s="70" t="s">
        <v>1530</v>
      </c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27</v>
      </c>
      <c r="J342" s="31">
        <f t="shared" si="17"/>
        <v>1</v>
      </c>
      <c r="K342" s="32">
        <f t="shared" si="18"/>
        <v>0.9642857142857143</v>
      </c>
      <c r="L342" s="70"/>
      <c r="M342" s="70"/>
      <c r="N342" s="70"/>
      <c r="O342" s="70"/>
      <c r="P342" s="70"/>
      <c r="Q342" s="70" t="s">
        <v>1530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1530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27</v>
      </c>
      <c r="J346" s="31">
        <f t="shared" si="20"/>
        <v>1</v>
      </c>
      <c r="K346" s="32">
        <f t="shared" si="21"/>
        <v>0.9642857142857143</v>
      </c>
      <c r="L346" s="70"/>
      <c r="M346" s="70"/>
      <c r="N346" s="70"/>
      <c r="O346" s="70"/>
      <c r="P346" s="70"/>
      <c r="Q346" s="70" t="s">
        <v>1530</v>
      </c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27</v>
      </c>
      <c r="J347" s="31">
        <f t="shared" si="20"/>
        <v>1</v>
      </c>
      <c r="K347" s="32">
        <f t="shared" si="21"/>
        <v>0.9642857142857143</v>
      </c>
      <c r="L347" s="70"/>
      <c r="M347" s="70"/>
      <c r="N347" s="70"/>
      <c r="O347" s="70"/>
      <c r="P347" s="70"/>
      <c r="Q347" s="70" t="s">
        <v>1530</v>
      </c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27</v>
      </c>
      <c r="J348" s="31">
        <f t="shared" si="20"/>
        <v>1</v>
      </c>
      <c r="K348" s="32">
        <f t="shared" si="21"/>
        <v>0.9642857142857143</v>
      </c>
      <c r="L348" s="70"/>
      <c r="M348" s="70"/>
      <c r="N348" s="70"/>
      <c r="O348" s="70"/>
      <c r="P348" s="70"/>
      <c r="Q348" s="70" t="s">
        <v>1530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27</v>
      </c>
      <c r="J349" s="31">
        <f t="shared" si="20"/>
        <v>1</v>
      </c>
      <c r="K349" s="32">
        <f t="shared" si="21"/>
        <v>0.9642857142857143</v>
      </c>
      <c r="L349" s="70"/>
      <c r="M349" s="70"/>
      <c r="N349" s="70"/>
      <c r="O349" s="70"/>
      <c r="P349" s="70"/>
      <c r="Q349" s="70" t="s">
        <v>1530</v>
      </c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27</v>
      </c>
      <c r="J351" s="31">
        <f t="shared" si="20"/>
        <v>1</v>
      </c>
      <c r="K351" s="32">
        <f t="shared" si="21"/>
        <v>0.9642857142857143</v>
      </c>
      <c r="L351" s="70"/>
      <c r="M351" s="70"/>
      <c r="N351" s="70"/>
      <c r="O351" s="70"/>
      <c r="P351" s="70"/>
      <c r="Q351" s="70" t="s">
        <v>1530</v>
      </c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24</v>
      </c>
      <c r="J356" s="31">
        <f t="shared" si="20"/>
        <v>4</v>
      </c>
      <c r="K356" s="32">
        <f t="shared" si="21"/>
        <v>0.8571428571428571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23</v>
      </c>
      <c r="J368" s="31">
        <f t="shared" si="20"/>
        <v>5</v>
      </c>
      <c r="K368" s="32">
        <f t="shared" si="21"/>
        <v>0.8214285714285714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23</v>
      </c>
      <c r="J369" s="31">
        <f t="shared" si="20"/>
        <v>5</v>
      </c>
      <c r="K369" s="32">
        <f t="shared" si="21"/>
        <v>0.8214285714285714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23</v>
      </c>
      <c r="J373" s="31">
        <f t="shared" si="20"/>
        <v>5</v>
      </c>
      <c r="K373" s="32">
        <f t="shared" si="21"/>
        <v>0.8214285714285714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23</v>
      </c>
      <c r="J376" s="31">
        <f t="shared" si="20"/>
        <v>5</v>
      </c>
      <c r="K376" s="32">
        <f t="shared" si="21"/>
        <v>0.8214285714285714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23</v>
      </c>
      <c r="J392" s="31">
        <f t="shared" si="20"/>
        <v>5</v>
      </c>
      <c r="K392" s="32">
        <f t="shared" si="21"/>
        <v>0.8214285714285714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24</v>
      </c>
      <c r="J393" s="31">
        <f t="shared" si="20"/>
        <v>4</v>
      </c>
      <c r="K393" s="32">
        <f t="shared" si="21"/>
        <v>0.8571428571428571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23</v>
      </c>
      <c r="J398" s="31">
        <f t="shared" si="20"/>
        <v>5</v>
      </c>
      <c r="K398" s="32">
        <f t="shared" si="21"/>
        <v>0.8214285714285714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23</v>
      </c>
      <c r="J404" s="31">
        <f t="shared" si="20"/>
        <v>5</v>
      </c>
      <c r="K404" s="32">
        <f t="shared" si="21"/>
        <v>0.8214285714285714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23</v>
      </c>
      <c r="J407" s="31">
        <f t="shared" si="20"/>
        <v>5</v>
      </c>
      <c r="K407" s="32">
        <f t="shared" si="21"/>
        <v>0.8214285714285714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26</v>
      </c>
      <c r="J409" s="31">
        <f t="shared" si="20"/>
        <v>2</v>
      </c>
      <c r="K409" s="32">
        <f t="shared" si="21"/>
        <v>0.9285714285714286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23</v>
      </c>
      <c r="J417" s="31">
        <f t="shared" si="23"/>
        <v>5</v>
      </c>
      <c r="K417" s="32">
        <f t="shared" si="24"/>
        <v>0.8214285714285714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23</v>
      </c>
      <c r="J418" s="31">
        <f t="shared" si="23"/>
        <v>5</v>
      </c>
      <c r="K418" s="32">
        <f t="shared" si="24"/>
        <v>0.8214285714285714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26</v>
      </c>
      <c r="J463" s="31">
        <f t="shared" si="23"/>
        <v>2</v>
      </c>
      <c r="K463" s="32">
        <f t="shared" si="24"/>
        <v>0.9285714285714286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27</v>
      </c>
      <c r="J467" s="31">
        <f t="shared" si="23"/>
        <v>1</v>
      </c>
      <c r="K467" s="32">
        <f t="shared" si="24"/>
        <v>0.9642857142857143</v>
      </c>
      <c r="L467" s="70"/>
      <c r="M467" s="70"/>
      <c r="N467" s="70"/>
      <c r="O467" s="70"/>
      <c r="P467" s="70"/>
      <c r="Q467" s="70" t="s">
        <v>1530</v>
      </c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27</v>
      </c>
      <c r="J468" s="31">
        <f t="shared" si="23"/>
        <v>1</v>
      </c>
      <c r="K468" s="32">
        <f t="shared" si="24"/>
        <v>0.9642857142857143</v>
      </c>
      <c r="L468" s="70"/>
      <c r="M468" s="70"/>
      <c r="N468" s="70"/>
      <c r="O468" s="70"/>
      <c r="P468" s="70"/>
      <c r="Q468" s="70" t="s">
        <v>1530</v>
      </c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23</v>
      </c>
      <c r="J484" s="31">
        <f t="shared" si="26"/>
        <v>5</v>
      </c>
      <c r="K484" s="32">
        <f t="shared" si="27"/>
        <v>0.8214285714285714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23</v>
      </c>
      <c r="J486" s="31">
        <f t="shared" si="26"/>
        <v>5</v>
      </c>
      <c r="K486" s="32">
        <f t="shared" si="27"/>
        <v>0.8214285714285714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24</v>
      </c>
      <c r="J508" s="31">
        <f t="shared" si="26"/>
        <v>4</v>
      </c>
      <c r="K508" s="32">
        <f t="shared" si="27"/>
        <v>0.8571428571428571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46" zoomScale="90" zoomScaleNormal="90" workbookViewId="0">
      <selection activeCell="B56" sqref="B56:F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1251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1252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1473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0</v>
      </c>
      <c r="E75" s="109">
        <f>D75/C75</f>
        <v>0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>
        <f>'RESUMEN TOTAL'!R40</f>
        <v>0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>
        <f>'RESUMEN TOTAL'!R55</f>
        <v>0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>
        <f>'RESUMEN TOTAL'!R58</f>
        <v>0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>
        <f>'RESUMEN TOTAL'!R129</f>
        <v>0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>
        <f>'RESUMEN TOTAL'!R136</f>
        <v>0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>
        <f>'RESUMEN TOTAL'!R139</f>
        <v>0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>
        <f>'RESUMEN TOTAL'!R140</f>
        <v>0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>
        <f>'RESUMEN TOTAL'!U152</f>
        <v>0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>
        <f>'RESUMEN TOTAL'!R171</f>
        <v>0</v>
      </c>
      <c r="M148" s="70">
        <f>'RESUMEN TOTAL'!S171</f>
        <v>0</v>
      </c>
      <c r="N148" s="70">
        <f>'RESUMEN TOTAL'!T171</f>
        <v>0</v>
      </c>
      <c r="O148" s="70">
        <f>'RESUMEN TOTAL'!U171</f>
        <v>0</v>
      </c>
      <c r="P148" s="70">
        <f>'RESUMEN TOTAL'!V171</f>
        <v>0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>
        <f>'RESUMEN TOTAL'!S175</f>
        <v>0</v>
      </c>
      <c r="N152" s="70">
        <f>'RESUMEN TOTAL'!T175</f>
        <v>0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>
        <f>'RESUMEN TOTAL'!S176</f>
        <v>0</v>
      </c>
      <c r="N153" s="70">
        <f>'RESUMEN TOTAL'!T176</f>
        <v>0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>
        <f>'RESUMEN TOTAL'!R177</f>
        <v>0</v>
      </c>
      <c r="M154" s="70">
        <f>'RESUMEN TOTAL'!S177</f>
        <v>0</v>
      </c>
      <c r="N154" s="70">
        <f>'RESUMEN TOTAL'!T177</f>
        <v>0</v>
      </c>
      <c r="O154" s="70">
        <f>'RESUMEN TOTAL'!U177</f>
        <v>0</v>
      </c>
      <c r="P154" s="70">
        <f>'RESUMEN TOTAL'!V177</f>
        <v>0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>
        <f>'RESUMEN TOTAL'!R178</f>
        <v>0</v>
      </c>
      <c r="M155" s="70">
        <f>'RESUMEN TOTAL'!S178</f>
        <v>0</v>
      </c>
      <c r="N155" s="70">
        <f>'RESUMEN TOTAL'!T178</f>
        <v>0</v>
      </c>
      <c r="O155" s="70">
        <f>'RESUMEN TOTAL'!U178</f>
        <v>0</v>
      </c>
      <c r="P155" s="70">
        <f>'RESUMEN TOTAL'!V178</f>
        <v>0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>
        <f>'RESUMEN TOTAL'!R220</f>
        <v>0</v>
      </c>
      <c r="M194" s="70">
        <f>'RESUMEN TOTAL'!S220</f>
        <v>0</v>
      </c>
      <c r="N194" s="70">
        <f>'RESUMEN TOTAL'!T220</f>
        <v>0</v>
      </c>
      <c r="O194" s="70">
        <f>'RESUMEN TOTAL'!U220</f>
        <v>0</v>
      </c>
      <c r="P194" s="70">
        <f>'RESUMEN TOTAL'!V220</f>
        <v>0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>
        <f>'RESUMEN TOTAL'!S221</f>
        <v>0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>
        <f>'RESUMEN TOTAL'!S222</f>
        <v>0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>
        <f>'RESUMEN TOTAL'!R228</f>
        <v>0</v>
      </c>
      <c r="M202" s="70">
        <f>'RESUMEN TOTAL'!S228</f>
        <v>0</v>
      </c>
      <c r="N202" s="70">
        <f>'RESUMEN TOTAL'!T228</f>
        <v>0</v>
      </c>
      <c r="O202" s="70">
        <f>'RESUMEN TOTAL'!U228</f>
        <v>0</v>
      </c>
      <c r="P202" s="70">
        <f>'RESUMEN TOTAL'!V228</f>
        <v>0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>
        <f>'RESUMEN TOTAL'!R231</f>
        <v>0</v>
      </c>
      <c r="M205" s="70">
        <f>'RESUMEN TOTAL'!S231</f>
        <v>0</v>
      </c>
      <c r="N205" s="70">
        <f>'RESUMEN TOTAL'!T231</f>
        <v>0</v>
      </c>
      <c r="O205" s="70">
        <f>'RESUMEN TOTAL'!U231</f>
        <v>0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>
        <f>'RESUMEN TOTAL'!R232</f>
        <v>0</v>
      </c>
      <c r="M206" s="70">
        <f>'RESUMEN TOTAL'!S232</f>
        <v>0</v>
      </c>
      <c r="N206" s="70">
        <f>'RESUMEN TOTAL'!T232</f>
        <v>0</v>
      </c>
      <c r="O206" s="70">
        <f>'RESUMEN TOTAL'!U232</f>
        <v>0</v>
      </c>
      <c r="P206" s="70">
        <f>'RESUMEN TOTAL'!V232</f>
        <v>0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>
        <f>'RESUMEN TOTAL'!R249</f>
        <v>0</v>
      </c>
      <c r="M221" s="70">
        <f>'RESUMEN TOTAL'!S249</f>
        <v>0</v>
      </c>
      <c r="N221" s="70">
        <f>'RESUMEN TOTAL'!T249</f>
        <v>0</v>
      </c>
      <c r="O221" s="70">
        <f>'RESUMEN TOTAL'!U249</f>
        <v>0</v>
      </c>
      <c r="P221" s="70">
        <f>'RESUMEN TOTAL'!V249</f>
        <v>0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>
        <f>'RESUMEN TOTAL'!R265</f>
        <v>0</v>
      </c>
      <c r="M235" s="70">
        <f>'RESUMEN TOTAL'!S265</f>
        <v>0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>
        <f>'RESUMEN TOTAL'!R267</f>
        <v>0</v>
      </c>
      <c r="M237" s="70">
        <f>'RESUMEN TOTAL'!S267</f>
        <v>0</v>
      </c>
      <c r="N237" s="70">
        <f>'RESUMEN TOTAL'!T267</f>
        <v>0</v>
      </c>
      <c r="O237" s="70">
        <f>'RESUMEN TOTAL'!U267</f>
        <v>0</v>
      </c>
      <c r="P237" s="70">
        <f>'RESUMEN TOTAL'!V267</f>
        <v>0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>
        <f>'RESUMEN TOTAL'!R268</f>
        <v>0</v>
      </c>
      <c r="M238" s="70">
        <f>'RESUMEN TOTAL'!S268</f>
        <v>0</v>
      </c>
      <c r="N238" s="70">
        <f>'RESUMEN TOTAL'!T268</f>
        <v>0</v>
      </c>
      <c r="O238" s="70">
        <f>'RESUMEN TOTAL'!U268</f>
        <v>0</v>
      </c>
      <c r="P238" s="70">
        <f>'RESUMEN TOTAL'!V268</f>
        <v>0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>
        <f>'RESUMEN TOTAL'!S271</f>
        <v>0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>
        <f>'RESUMEN TOTAL'!S272</f>
        <v>0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>
        <f>'RESUMEN TOTAL'!S273</f>
        <v>0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>
        <f>'RESUMEN TOTAL'!R279</f>
        <v>0</v>
      </c>
      <c r="M249" s="70">
        <f>'RESUMEN TOTAL'!S279</f>
        <v>0</v>
      </c>
      <c r="N249" s="70">
        <f>'RESUMEN TOTAL'!T279</f>
        <v>0</v>
      </c>
      <c r="O249" s="70">
        <f>'RESUMEN TOTAL'!U279</f>
        <v>0</v>
      </c>
      <c r="P249" s="70">
        <f>'RESUMEN TOTAL'!V279</f>
        <v>0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>
        <f>'RESUMEN TOTAL'!R284</f>
        <v>0</v>
      </c>
      <c r="M254" s="70">
        <f>'RESUMEN TOTAL'!S284</f>
        <v>0</v>
      </c>
      <c r="N254" s="70">
        <f>'RESUMEN TOTAL'!T284</f>
        <v>0</v>
      </c>
      <c r="O254" s="70">
        <f>'RESUMEN TOTAL'!U284</f>
        <v>0</v>
      </c>
      <c r="P254" s="70">
        <f>'RESUMEN TOTAL'!V284</f>
        <v>0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>
        <f>'RESUMEN TOTAL'!R301</f>
        <v>0</v>
      </c>
      <c r="M267" s="70">
        <f>'RESUMEN TOTAL'!S301</f>
        <v>0</v>
      </c>
      <c r="N267" s="70">
        <f>'RESUMEN TOTAL'!T301</f>
        <v>0</v>
      </c>
      <c r="O267" s="70">
        <f>'RESUMEN TOTAL'!U301</f>
        <v>0</v>
      </c>
      <c r="P267" s="70">
        <f>'RESUMEN TOTAL'!V301</f>
        <v>0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>
        <f>'RESUMEN TOTAL'!R307</f>
        <v>0</v>
      </c>
      <c r="M273" s="70">
        <f>'RESUMEN TOTAL'!S307</f>
        <v>0</v>
      </c>
      <c r="N273" s="70">
        <f>'RESUMEN TOTAL'!T307</f>
        <v>0</v>
      </c>
      <c r="O273" s="70">
        <f>'RESUMEN TOTAL'!U307</f>
        <v>0</v>
      </c>
      <c r="P273" s="70">
        <f>'RESUMEN TOTAL'!V307</f>
        <v>0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>
        <f>'RESUMEN TOTAL'!S319</f>
        <v>0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>
        <f>'RESUMEN TOTAL'!S320</f>
        <v>0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>
        <f>'RESUMEN TOTAL'!U322</f>
        <v>0</v>
      </c>
      <c r="P285" s="70">
        <f>'RESUMEN TOTAL'!V322</f>
        <v>0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>
        <f>'RESUMEN TOTAL'!R338</f>
        <v>0</v>
      </c>
      <c r="M301" s="70">
        <f>'RESUMEN TOTAL'!S338</f>
        <v>0</v>
      </c>
      <c r="N301" s="70">
        <f>'RESUMEN TOTAL'!T338</f>
        <v>0</v>
      </c>
      <c r="O301" s="70">
        <f>'RESUMEN TOTAL'!U338</f>
        <v>0</v>
      </c>
      <c r="P301" s="70">
        <f>'RESUMEN TOTAL'!V338</f>
        <v>0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>
        <f>'RESUMEN TOTAL'!R339</f>
        <v>0</v>
      </c>
      <c r="M302" s="70">
        <f>'RESUMEN TOTAL'!S339</f>
        <v>0</v>
      </c>
      <c r="N302" s="70">
        <f>'RESUMEN TOTAL'!T339</f>
        <v>0</v>
      </c>
      <c r="O302" s="70">
        <f>'RESUMEN TOTAL'!U339</f>
        <v>0</v>
      </c>
      <c r="P302" s="70">
        <f>'RESUMEN TOTAL'!V339</f>
        <v>0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>
        <f>'RESUMEN TOTAL'!R341</f>
        <v>0</v>
      </c>
      <c r="M304" s="70">
        <f>'RESUMEN TOTAL'!S341</f>
        <v>0</v>
      </c>
      <c r="N304" s="70">
        <f>'RESUMEN TOTAL'!T341</f>
        <v>0</v>
      </c>
      <c r="O304" s="70">
        <f>'RESUMEN TOTAL'!U341</f>
        <v>0</v>
      </c>
      <c r="P304" s="70">
        <f>'RESUMEN TOTAL'!V341</f>
        <v>0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>
        <f>'RESUMEN TOTAL'!R342</f>
        <v>0</v>
      </c>
      <c r="M305" s="70">
        <f>'RESUMEN TOTAL'!S342</f>
        <v>0</v>
      </c>
      <c r="N305" s="70">
        <f>'RESUMEN TOTAL'!T342</f>
        <v>0</v>
      </c>
      <c r="O305" s="70">
        <f>'RESUMEN TOTAL'!U342</f>
        <v>0</v>
      </c>
      <c r="P305" s="70">
        <f>'RESUMEN TOTAL'!V342</f>
        <v>0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>
        <f>'RESUMEN TOTAL'!R343</f>
        <v>0</v>
      </c>
      <c r="M306" s="70">
        <f>'RESUMEN TOTAL'!S343</f>
        <v>0</v>
      </c>
      <c r="N306" s="70">
        <f>'RESUMEN TOTAL'!T343</f>
        <v>0</v>
      </c>
      <c r="O306" s="70">
        <f>'RESUMEN TOTAL'!U343</f>
        <v>0</v>
      </c>
      <c r="P306" s="70">
        <f>'RESUMEN TOTAL'!V343</f>
        <v>0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>
        <f>'RESUMEN TOTAL'!R346</f>
        <v>0</v>
      </c>
      <c r="M309" s="70">
        <f>'RESUMEN TOTAL'!S346</f>
        <v>0</v>
      </c>
      <c r="N309" s="70">
        <f>'RESUMEN TOTAL'!T346</f>
        <v>0</v>
      </c>
      <c r="O309" s="70">
        <f>'RESUMEN TOTAL'!U346</f>
        <v>0</v>
      </c>
      <c r="P309" s="70">
        <f>'RESUMEN TOTAL'!V346</f>
        <v>0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>
        <f>'RESUMEN TOTAL'!R347</f>
        <v>0</v>
      </c>
      <c r="M310" s="70">
        <f>'RESUMEN TOTAL'!S347</f>
        <v>0</v>
      </c>
      <c r="N310" s="70">
        <f>'RESUMEN TOTAL'!T347</f>
        <v>0</v>
      </c>
      <c r="O310" s="70">
        <f>'RESUMEN TOTAL'!U347</f>
        <v>0</v>
      </c>
      <c r="P310" s="70">
        <f>'RESUMEN TOTAL'!V347</f>
        <v>0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>
        <f>'RESUMEN TOTAL'!R348</f>
        <v>0</v>
      </c>
      <c r="M311" s="70">
        <f>'RESUMEN TOTAL'!S348</f>
        <v>0</v>
      </c>
      <c r="N311" s="70">
        <f>'RESUMEN TOTAL'!T348</f>
        <v>0</v>
      </c>
      <c r="O311" s="70">
        <f>'RESUMEN TOTAL'!U348</f>
        <v>0</v>
      </c>
      <c r="P311" s="70">
        <f>'RESUMEN TOTAL'!V348</f>
        <v>0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>
        <f>'RESUMEN TOTAL'!R349</f>
        <v>0</v>
      </c>
      <c r="M312" s="70">
        <f>'RESUMEN TOTAL'!S349</f>
        <v>0</v>
      </c>
      <c r="N312" s="70">
        <f>'RESUMEN TOTAL'!T349</f>
        <v>0</v>
      </c>
      <c r="O312" s="70">
        <f>'RESUMEN TOTAL'!U349</f>
        <v>0</v>
      </c>
      <c r="P312" s="70">
        <f>'RESUMEN TOTAL'!V349</f>
        <v>0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>
        <f>'RESUMEN TOTAL'!R351</f>
        <v>0</v>
      </c>
      <c r="M314" s="70">
        <f>'RESUMEN TOTAL'!S351</f>
        <v>0</v>
      </c>
      <c r="N314" s="70">
        <f>'RESUMEN TOTAL'!T351</f>
        <v>0</v>
      </c>
      <c r="O314" s="70">
        <f>'RESUMEN TOTAL'!U351</f>
        <v>0</v>
      </c>
      <c r="P314" s="70">
        <f>'RESUMEN TOTAL'!V351</f>
        <v>0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>
        <f>'RESUMEN TOTAL'!S356</f>
        <v>0</v>
      </c>
      <c r="N316" s="70">
        <f>'RESUMEN TOTAL'!T356</f>
        <v>0</v>
      </c>
      <c r="O316" s="70">
        <f>'RESUMEN TOTAL'!U356</f>
        <v>0</v>
      </c>
      <c r="P316" s="70">
        <f>'RESUMEN TOTAL'!V356</f>
        <v>0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>
        <f>'RESUMEN TOTAL'!V362</f>
        <v>0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>
        <f>'RESUMEN TOTAL'!V363</f>
        <v>0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>
        <f>'RESUMEN TOTAL'!R368</f>
        <v>0</v>
      </c>
      <c r="M326" s="70">
        <f>'RESUMEN TOTAL'!S368</f>
        <v>0</v>
      </c>
      <c r="N326" s="70">
        <f>'RESUMEN TOTAL'!T368</f>
        <v>0</v>
      </c>
      <c r="O326" s="70">
        <f>'RESUMEN TOTAL'!U368</f>
        <v>0</v>
      </c>
      <c r="P326" s="70">
        <f>'RESUMEN TOTAL'!V368</f>
        <v>0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>
        <f>'RESUMEN TOTAL'!R373</f>
        <v>0</v>
      </c>
      <c r="M329" s="70">
        <f>'RESUMEN TOTAL'!S373</f>
        <v>0</v>
      </c>
      <c r="N329" s="70">
        <f>'RESUMEN TOTAL'!T373</f>
        <v>0</v>
      </c>
      <c r="O329" s="70">
        <f>'RESUMEN TOTAL'!U373</f>
        <v>0</v>
      </c>
      <c r="P329" s="70">
        <f>'RESUMEN TOTAL'!V373</f>
        <v>0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>
        <f>'RESUMEN TOTAL'!R376</f>
        <v>0</v>
      </c>
      <c r="M332" s="70">
        <f>'RESUMEN TOTAL'!S376</f>
        <v>0</v>
      </c>
      <c r="N332" s="70">
        <f>'RESUMEN TOTAL'!T376</f>
        <v>0</v>
      </c>
      <c r="O332" s="70">
        <f>'RESUMEN TOTAL'!U376</f>
        <v>0</v>
      </c>
      <c r="P332" s="70">
        <f>'RESUMEN TOTAL'!V376</f>
        <v>0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>
        <f>'RESUMEN TOTAL'!V384</f>
        <v>0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>
        <f>'RESUMEN TOTAL'!R392</f>
        <v>0</v>
      </c>
      <c r="M348" s="70">
        <f>'RESUMEN TOTAL'!S392</f>
        <v>0</v>
      </c>
      <c r="N348" s="70">
        <f>'RESUMEN TOTAL'!T392</f>
        <v>0</v>
      </c>
      <c r="O348" s="70">
        <f>'RESUMEN TOTAL'!U392</f>
        <v>0</v>
      </c>
      <c r="P348" s="70">
        <f>'RESUMEN TOTAL'!V392</f>
        <v>0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>
        <f>'RESUMEN TOTAL'!R393</f>
        <v>0</v>
      </c>
      <c r="M349" s="70">
        <f>'RESUMEN TOTAL'!S393</f>
        <v>0</v>
      </c>
      <c r="N349" s="70">
        <f>'RESUMEN TOTAL'!T393</f>
        <v>0</v>
      </c>
      <c r="O349" s="70">
        <f>'RESUMEN TOTAL'!U393</f>
        <v>0</v>
      </c>
      <c r="P349" s="70">
        <f>'RESUMEN TOTAL'!V393</f>
        <v>0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>
        <f>'RESUMEN TOTAL'!R398</f>
        <v>0</v>
      </c>
      <c r="M354" s="70">
        <f>'RESUMEN TOTAL'!S398</f>
        <v>0</v>
      </c>
      <c r="N354" s="70">
        <f>'RESUMEN TOTAL'!T398</f>
        <v>0</v>
      </c>
      <c r="O354" s="70">
        <f>'RESUMEN TOTAL'!U398</f>
        <v>0</v>
      </c>
      <c r="P354" s="70">
        <f>'RESUMEN TOTAL'!V398</f>
        <v>0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>
        <f>'RESUMEN TOTAL'!R404</f>
        <v>0</v>
      </c>
      <c r="M360" s="70">
        <f>'RESUMEN TOTAL'!S404</f>
        <v>0</v>
      </c>
      <c r="N360" s="70">
        <f>'RESUMEN TOTAL'!T404</f>
        <v>0</v>
      </c>
      <c r="O360" s="70">
        <f>'RESUMEN TOTAL'!U404</f>
        <v>0</v>
      </c>
      <c r="P360" s="70">
        <f>'RESUMEN TOTAL'!V404</f>
        <v>0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>
        <f>'RESUMEN TOTAL'!R407</f>
        <v>0</v>
      </c>
      <c r="M363" s="70">
        <f>'RESUMEN TOTAL'!S407</f>
        <v>0</v>
      </c>
      <c r="N363" s="70">
        <f>'RESUMEN TOTAL'!T407</f>
        <v>0</v>
      </c>
      <c r="O363" s="70">
        <f>'RESUMEN TOTAL'!U407</f>
        <v>0</v>
      </c>
      <c r="P363" s="70">
        <f>'RESUMEN TOTAL'!V407</f>
        <v>0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>
        <f>'RESUMEN TOTAL'!T409</f>
        <v>0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>
        <f>'RESUMEN TOTAL'!R417</f>
        <v>0</v>
      </c>
      <c r="M373" s="70">
        <f>'RESUMEN TOTAL'!S417</f>
        <v>0</v>
      </c>
      <c r="N373" s="70">
        <f>'RESUMEN TOTAL'!T417</f>
        <v>0</v>
      </c>
      <c r="O373" s="70">
        <f>'RESUMEN TOTAL'!U417</f>
        <v>0</v>
      </c>
      <c r="P373" s="70">
        <f>'RESUMEN TOTAL'!V417</f>
        <v>0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>
        <f>'RESUMEN TOTAL'!R418</f>
        <v>0</v>
      </c>
      <c r="M374" s="70">
        <f>'RESUMEN TOTAL'!S418</f>
        <v>0</v>
      </c>
      <c r="N374" s="70">
        <f>'RESUMEN TOTAL'!T418</f>
        <v>0</v>
      </c>
      <c r="O374" s="70">
        <f>'RESUMEN TOTAL'!U418</f>
        <v>0</v>
      </c>
      <c r="P374" s="70">
        <f>'RESUMEN TOTAL'!V418</f>
        <v>0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>
        <f>'RESUMEN TOTAL'!S429</f>
        <v>0</v>
      </c>
      <c r="N383" s="70">
        <f>'RESUMEN TOTAL'!T429</f>
        <v>0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>
        <f>'RESUMEN TOTAL'!R448</f>
        <v>0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>
        <f>'RESUMEN TOTAL'!R463</f>
        <v>0</v>
      </c>
      <c r="M417" s="70">
        <f>'RESUMEN TOTAL'!S463</f>
        <v>0</v>
      </c>
      <c r="N417" s="70">
        <f>'RESUMEN TOTAL'!T463</f>
        <v>0</v>
      </c>
      <c r="O417" s="70">
        <f>'RESUMEN TOTAL'!U463</f>
        <v>0</v>
      </c>
      <c r="P417" s="70">
        <f>'RESUMEN TOTAL'!V463</f>
        <v>0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>
        <f>'RESUMEN TOTAL'!R467</f>
        <v>0</v>
      </c>
      <c r="M420" s="70">
        <f>'RESUMEN TOTAL'!S467</f>
        <v>0</v>
      </c>
      <c r="N420" s="70">
        <f>'RESUMEN TOTAL'!T467</f>
        <v>0</v>
      </c>
      <c r="O420" s="70">
        <f>'RESUMEN TOTAL'!U467</f>
        <v>0</v>
      </c>
      <c r="P420" s="70">
        <f>'RESUMEN TOTAL'!V467</f>
        <v>0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>
        <f>'RESUMEN TOTAL'!R468</f>
        <v>0</v>
      </c>
      <c r="M421" s="70">
        <f>'RESUMEN TOTAL'!S468</f>
        <v>0</v>
      </c>
      <c r="N421" s="70">
        <f>'RESUMEN TOTAL'!T468</f>
        <v>0</v>
      </c>
      <c r="O421" s="70">
        <f>'RESUMEN TOTAL'!U468</f>
        <v>0</v>
      </c>
      <c r="P421" s="70">
        <f>'RESUMEN TOTAL'!V468</f>
        <v>0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>
        <f>'RESUMEN TOTAL'!R484</f>
        <v>0</v>
      </c>
      <c r="M436" s="70">
        <f>'RESUMEN TOTAL'!S484</f>
        <v>0</v>
      </c>
      <c r="N436" s="70">
        <f>'RESUMEN TOTAL'!T484</f>
        <v>0</v>
      </c>
      <c r="O436" s="70">
        <f>'RESUMEN TOTAL'!U484</f>
        <v>0</v>
      </c>
      <c r="P436" s="70">
        <f>'RESUMEN TOTAL'!V484</f>
        <v>0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>
        <f>'RESUMEN TOTAL'!R486</f>
        <v>0</v>
      </c>
      <c r="M438" s="70">
        <f>'RESUMEN TOTAL'!S486</f>
        <v>0</v>
      </c>
      <c r="N438" s="70">
        <f>'RESUMEN TOTAL'!T486</f>
        <v>0</v>
      </c>
      <c r="O438" s="70">
        <f>'RESUMEN TOTAL'!U486</f>
        <v>0</v>
      </c>
      <c r="P438" s="70">
        <f>'RESUMEN TOTAL'!V486</f>
        <v>0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>
        <f>'RESUMEN TOTAL'!R508</f>
        <v>0</v>
      </c>
      <c r="M460" s="70">
        <f>'RESUMEN TOTAL'!S508</f>
        <v>0</v>
      </c>
      <c r="N460" s="70">
        <f>'RESUMEN TOTAL'!T508</f>
        <v>0</v>
      </c>
      <c r="O460" s="70">
        <f>'RESUMEN TOTAL'!U508</f>
        <v>0</v>
      </c>
      <c r="P460" s="70">
        <f>'RESUMEN TOTAL'!V508</f>
        <v>0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0</v>
      </c>
      <c r="M3" s="46">
        <f>COUNTIFS('RESUMEN TOTAL'!S8:S619,"=APAGADO",'RESUMEN TOTAL'!C8:C619,"=BONOMO")</f>
        <v>0</v>
      </c>
      <c r="N3" s="46">
        <f>COUNTIFS('RESUMEN TOTAL'!T8:T619,"=APAGADO",'RESUMEN TOTAL'!C8:C619,"=BONOMO")</f>
        <v>0</v>
      </c>
      <c r="O3" s="46">
        <f>COUNTIFS('RESUMEN TOTAL'!U8:U619,"=APAGADO",'RESUMEN TOTAL'!C8:C619,"=BONOMO")</f>
        <v>0</v>
      </c>
      <c r="P3" s="46">
        <f>COUNTIFS('RESUMEN TOTAL'!V8:V619,"=APAGADO",'RESUMEN TOTAL'!C8:C619,"=BONOMO")</f>
        <v>0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0</v>
      </c>
      <c r="M5" s="46">
        <f>COUNTIFS('RESUMEN TOTAL'!S10:S621,"=APAGADO",'RESUMEN TOTAL'!C10:C621,"=COSEIDI")</f>
        <v>0</v>
      </c>
      <c r="N5" s="46">
        <f>COUNTIFS('RESUMEN TOTAL'!T10:T621,"=APAGADO",'RESUMEN TOTAL'!C10:C621,"=COSEIDI")</f>
        <v>0</v>
      </c>
      <c r="O5" s="46">
        <f>COUNTIFS('RESUMEN TOTAL'!U10:U621,"=APAGADO",'RESUMEN TOTAL'!C10:C621,"=COSEIDI")</f>
        <v>0</v>
      </c>
      <c r="P5" s="46">
        <f>COUNTIFS('RESUMEN TOTAL'!V10:V621,"=APAGADO",'RESUMEN TOTAL'!C10:C621,"=COSEIDI")</f>
        <v>0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2025-08-06T12:36:23Z</dcterms:modified>
</cp:coreProperties>
</file>