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36029995-E69F-4BF3-9E73-CCFDEE6074FE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<sst xmlns="http://schemas.openxmlformats.org/spreadsheetml/2006/main" count="5369" uniqueCount="2239">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</sst>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0.11153846153846154</c:v>
                      </c:pt>
                      <c:pt idx="9">
                        <c:v>0.1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0.11153846153846154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0.11153846153846154</c:v>
                      </c:pt>
                      <c:pt idx="9">
                        <c:v>0.1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0.11153846153846154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tabSelected="1" zoomScale="55" zoomScaleNormal="55" workbookViewId="0">
      <pane xSplit="12" ySplit="7" topLeftCell="U541" activePane="bottomRight" state="frozen"/>
      <selection pane="topRight" activeCell="M1" sqref="M1"/>
      <selection pane="bottomLeft" activeCell="A5" sqref="A5"/>
      <selection pane="bottomRight" activeCell="V566" sqref="V56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7.7429983525535415E-2</v>
      </c>
      <c r="S1" s="3">
        <f t="shared" si="0"/>
        <v>7.1310116086235484E-2</v>
      </c>
      <c r="T1" s="3">
        <f t="shared" si="0"/>
        <v>8.0459770114942528E-2</v>
      </c>
      <c r="U1" s="3">
        <f t="shared" si="0"/>
        <v>8.6460032626427402E-2</v>
      </c>
      <c r="V1" s="3">
        <f t="shared" si="0"/>
        <v>8.0459770114942528E-2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22</v>
      </c>
      <c r="S4" s="10">
        <f>COUNTIFS(S8:S675, "=APAGADO",F8:F675,"=Fibra Optica")</f>
        <v>21</v>
      </c>
      <c r="T4" s="10">
        <f>COUNTIFS(T8:T675, "=APAGADO",F8:F675,"=Fibra Optica")</f>
        <v>21</v>
      </c>
      <c r="U4" s="10">
        <f>COUNTIFS(U8:U675, "=APAGADO",F8:F675,"=Fibra Optica")</f>
        <v>22</v>
      </c>
      <c r="V4" s="10">
        <f>COUNTIFS(V8:V675, "=APAGADO",F8:F675,"=Fibra Optica")</f>
        <v>22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6</v>
      </c>
      <c r="S5" s="130">
        <f>COUNTIFS(S8:S675, "=APAGADO",F8:F675,"=RADIO")</f>
        <v>2</v>
      </c>
      <c r="T5" s="130">
        <f>COUNTIFS(T8:T675, "=APAGADO",F8:F675,"=RADIO")</f>
        <v>6</v>
      </c>
      <c r="U5" s="130">
        <f>COUNTIFS(U8:U675, "=APAGADO",F8:F675,"=RADIO")</f>
        <v>6</v>
      </c>
      <c r="V5" s="130">
        <f>COUNTIFS(V8:V675, "=APAGADO",F8:F675,"=RADIO")</f>
        <v>6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4</v>
      </c>
      <c r="S6" s="10">
        <f>COUNTIFS(S8:S675, "=APAGADO",F8:F675,"=PTO A FO")</f>
        <v>4</v>
      </c>
      <c r="T6" s="10">
        <f>COUNTIFS(T8:T675, "=APAGADO",F8:F675,"=PTO A FO")</f>
        <v>6</v>
      </c>
      <c r="U6" s="10">
        <f>COUNTIFS(U8:U675, "=APAGADO",F8:F675,"=PTO A FO")</f>
        <v>7</v>
      </c>
      <c r="V6" s="10">
        <f>COUNTIFS(V8:V675, "=APAGADO",F8:F675,"=PTO A FO")</f>
        <v>4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18</v>
      </c>
      <c r="J34" s="147" t="s">
        <v>1691</v>
      </c>
      <c r="K34" s="134">
        <f t="shared" si="5"/>
        <v>10</v>
      </c>
      <c r="L34" s="135">
        <f t="shared" si="6"/>
        <v>0.6428571428571429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 t="s">
        <v>2215</v>
      </c>
      <c r="S34" s="136" t="s">
        <v>2215</v>
      </c>
      <c r="T34" s="136" t="s">
        <v>2215</v>
      </c>
      <c r="U34" s="136" t="s">
        <v>2215</v>
      </c>
      <c r="V34" s="136" t="s">
        <v>2215</v>
      </c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27</v>
      </c>
      <c r="J86" s="147" t="s">
        <v>1734</v>
      </c>
      <c r="K86" s="31">
        <f t="shared" si="8"/>
        <v>1</v>
      </c>
      <c r="L86" s="32">
        <f t="shared" si="9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2215</v>
      </c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18</v>
      </c>
      <c r="J87" s="147" t="s">
        <v>1735</v>
      </c>
      <c r="K87" s="31">
        <f t="shared" si="8"/>
        <v>10</v>
      </c>
      <c r="L87" s="32">
        <f t="shared" si="9"/>
        <v>0.6428571428571429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 t="s">
        <v>2215</v>
      </c>
      <c r="S87" s="70" t="s">
        <v>2215</v>
      </c>
      <c r="T87" s="70" t="s">
        <v>2215</v>
      </c>
      <c r="U87" s="70" t="s">
        <v>2215</v>
      </c>
      <c r="V87" s="70" t="s">
        <v>2215</v>
      </c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18</v>
      </c>
      <c r="J97" s="147" t="s">
        <v>1745</v>
      </c>
      <c r="K97" s="142">
        <f t="shared" si="8"/>
        <v>10</v>
      </c>
      <c r="L97" s="143">
        <f t="shared" si="9"/>
        <v>0.6428571428571429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 t="s">
        <v>2215</v>
      </c>
      <c r="S97" s="70" t="s">
        <v>2215</v>
      </c>
      <c r="T97" s="70" t="s">
        <v>2215</v>
      </c>
      <c r="U97" s="70" t="s">
        <v>2215</v>
      </c>
      <c r="V97" s="70" t="s">
        <v>2215</v>
      </c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27</v>
      </c>
      <c r="J104" s="147" t="s">
        <v>1752</v>
      </c>
      <c r="K104" s="142">
        <f t="shared" si="8"/>
        <v>1</v>
      </c>
      <c r="L104" s="143">
        <f t="shared" si="9"/>
        <v>0.9642857142857143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2215</v>
      </c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18</v>
      </c>
      <c r="J116" s="147" t="s">
        <v>1763</v>
      </c>
      <c r="K116" s="31">
        <f t="shared" si="8"/>
        <v>10</v>
      </c>
      <c r="L116" s="32">
        <f t="shared" si="9"/>
        <v>0.6428571428571429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 t="s">
        <v>2215</v>
      </c>
      <c r="S116" s="70" t="s">
        <v>2215</v>
      </c>
      <c r="T116" s="70" t="s">
        <v>2215</v>
      </c>
      <c r="U116" s="70" t="s">
        <v>2215</v>
      </c>
      <c r="V116" s="70" t="s">
        <v>2215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1769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23</v>
      </c>
      <c r="J125" s="148" t="s">
        <v>1772</v>
      </c>
      <c r="K125" s="142">
        <f t="shared" si="8"/>
        <v>5</v>
      </c>
      <c r="L125" s="143">
        <f t="shared" si="9"/>
        <v>0.8214285714285714</v>
      </c>
      <c r="M125" s="70"/>
      <c r="N125" s="70"/>
      <c r="O125" s="70"/>
      <c r="P125" s="70"/>
      <c r="Q125" s="70"/>
      <c r="R125" s="70" t="s">
        <v>2215</v>
      </c>
      <c r="S125" s="70" t="s">
        <v>2215</v>
      </c>
      <c r="T125" s="70" t="s">
        <v>2215</v>
      </c>
      <c r="U125" s="70" t="s">
        <v>2215</v>
      </c>
      <c r="V125" s="70" t="s">
        <v>2215</v>
      </c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25</v>
      </c>
      <c r="J128" s="147" t="s">
        <v>1775</v>
      </c>
      <c r="K128" s="31">
        <f t="shared" si="8"/>
        <v>3</v>
      </c>
      <c r="L128" s="32">
        <f t="shared" si="9"/>
        <v>0.8928571428571429</v>
      </c>
      <c r="M128" s="70" t="s">
        <v>2215</v>
      </c>
      <c r="N128" s="70"/>
      <c r="O128" s="70"/>
      <c r="P128" s="70"/>
      <c r="Q128" s="70" t="s">
        <v>2215</v>
      </c>
      <c r="R128" s="70" t="s">
        <v>2215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24</v>
      </c>
      <c r="J135" s="147" t="s">
        <v>1782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2215</v>
      </c>
      <c r="T135" s="70" t="s">
        <v>2215</v>
      </c>
      <c r="U135" s="70" t="s">
        <v>2215</v>
      </c>
      <c r="V135" s="70" t="s">
        <v>2215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18</v>
      </c>
      <c r="J189" s="87"/>
      <c r="K189" s="138">
        <f t="shared" si="11"/>
        <v>10</v>
      </c>
      <c r="L189" s="139">
        <f t="shared" si="12"/>
        <v>0.6428571428571429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 t="s">
        <v>2215</v>
      </c>
      <c r="S189" s="140" t="s">
        <v>2215</v>
      </c>
      <c r="T189" s="140" t="s">
        <v>2215</v>
      </c>
      <c r="U189" s="140" t="s">
        <v>2215</v>
      </c>
      <c r="V189" s="140" t="s">
        <v>2215</v>
      </c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26</v>
      </c>
      <c r="J191" s="147" t="s">
        <v>1825</v>
      </c>
      <c r="K191" s="142">
        <f t="shared" si="11"/>
        <v>2</v>
      </c>
      <c r="L191" s="143">
        <f t="shared" si="12"/>
        <v>0.9285714285714286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 t="s">
        <v>2215</v>
      </c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26</v>
      </c>
      <c r="J193" s="147" t="s">
        <v>1827</v>
      </c>
      <c r="K193" s="31">
        <f t="shared" si="11"/>
        <v>2</v>
      </c>
      <c r="L193" s="32">
        <f t="shared" si="12"/>
        <v>0.9285714285714286</v>
      </c>
      <c r="M193" s="70"/>
      <c r="N193" s="70"/>
      <c r="O193" s="70"/>
      <c r="P193" s="70"/>
      <c r="Q193" s="70"/>
      <c r="R193" s="70"/>
      <c r="S193" s="70"/>
      <c r="T193" s="70" t="s">
        <v>2215</v>
      </c>
      <c r="U193" s="70" t="s">
        <v>2215</v>
      </c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25</v>
      </c>
      <c r="J196" s="147" t="s">
        <v>1829</v>
      </c>
      <c r="K196" s="142">
        <f t="shared" si="11"/>
        <v>3</v>
      </c>
      <c r="L196" s="143">
        <f t="shared" si="12"/>
        <v>0.8928571428571429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21</v>
      </c>
      <c r="J197" s="147" t="s">
        <v>1830</v>
      </c>
      <c r="K197" s="31">
        <f t="shared" si="11"/>
        <v>7</v>
      </c>
      <c r="L197" s="32">
        <f t="shared" si="12"/>
        <v>0.75</v>
      </c>
      <c r="M197" s="70"/>
      <c r="N197" s="70"/>
      <c r="O197" s="70"/>
      <c r="P197" s="70" t="s">
        <v>2215</v>
      </c>
      <c r="Q197" s="70" t="s">
        <v>2215</v>
      </c>
      <c r="R197" s="70" t="s">
        <v>2215</v>
      </c>
      <c r="S197" s="70" t="s">
        <v>2215</v>
      </c>
      <c r="T197" s="70" t="s">
        <v>2215</v>
      </c>
      <c r="U197" s="70" t="s">
        <v>2215</v>
      </c>
      <c r="V197" s="70" t="s">
        <v>2215</v>
      </c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22</v>
      </c>
      <c r="J214" s="87"/>
      <c r="K214" s="31">
        <f t="shared" si="11"/>
        <v>6</v>
      </c>
      <c r="L214" s="32">
        <f t="shared" si="12"/>
        <v>0.7857142857142857</v>
      </c>
      <c r="M214" s="70"/>
      <c r="N214" s="70"/>
      <c r="O214" s="70"/>
      <c r="P214" s="70" t="s">
        <v>2215</v>
      </c>
      <c r="Q214" s="70" t="s">
        <v>2215</v>
      </c>
      <c r="R214" s="70" t="s">
        <v>2215</v>
      </c>
      <c r="S214" s="70"/>
      <c r="T214" s="70" t="s">
        <v>2215</v>
      </c>
      <c r="U214" s="70" t="s">
        <v>2215</v>
      </c>
      <c r="V214" s="70" t="s">
        <v>2215</v>
      </c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22</v>
      </c>
      <c r="J215" s="87"/>
      <c r="K215" s="31">
        <f t="shared" si="11"/>
        <v>6</v>
      </c>
      <c r="L215" s="32">
        <f t="shared" si="12"/>
        <v>0.7857142857142857</v>
      </c>
      <c r="M215" s="70"/>
      <c r="N215" s="70"/>
      <c r="O215" s="70"/>
      <c r="P215" s="70" t="s">
        <v>2215</v>
      </c>
      <c r="Q215" s="70" t="s">
        <v>2215</v>
      </c>
      <c r="R215" s="70" t="s">
        <v>2215</v>
      </c>
      <c r="S215" s="70"/>
      <c r="T215" s="70" t="s">
        <v>2215</v>
      </c>
      <c r="U215" s="70" t="s">
        <v>2215</v>
      </c>
      <c r="V215" s="70" t="s">
        <v>2215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23</v>
      </c>
      <c r="J227" s="147" t="s">
        <v>1855</v>
      </c>
      <c r="K227" s="31">
        <f t="shared" si="11"/>
        <v>5</v>
      </c>
      <c r="L227" s="32">
        <f t="shared" si="12"/>
        <v>0.8214285714285714</v>
      </c>
      <c r="M227" s="70"/>
      <c r="N227" s="70"/>
      <c r="O227" s="70"/>
      <c r="P227" s="70"/>
      <c r="Q227" s="70"/>
      <c r="R227" s="70" t="s">
        <v>2215</v>
      </c>
      <c r="S227" s="70" t="s">
        <v>2215</v>
      </c>
      <c r="T227" s="70" t="s">
        <v>2215</v>
      </c>
      <c r="U227" s="70" t="s">
        <v>2215</v>
      </c>
      <c r="V227" s="70" t="s">
        <v>2215</v>
      </c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23</v>
      </c>
      <c r="J229" s="147" t="s">
        <v>1857</v>
      </c>
      <c r="K229" s="31">
        <f t="shared" si="11"/>
        <v>5</v>
      </c>
      <c r="L229" s="32">
        <f t="shared" si="12"/>
        <v>0.8214285714285714</v>
      </c>
      <c r="M229" s="70"/>
      <c r="N229" s="70"/>
      <c r="O229" s="70"/>
      <c r="P229" s="70"/>
      <c r="Q229" s="70"/>
      <c r="R229" s="70" t="s">
        <v>2215</v>
      </c>
      <c r="S229" s="70" t="s">
        <v>2215</v>
      </c>
      <c r="T229" s="70" t="s">
        <v>2215</v>
      </c>
      <c r="U229" s="70" t="s">
        <v>2215</v>
      </c>
      <c r="V229" s="70" t="s">
        <v>2215</v>
      </c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23</v>
      </c>
      <c r="J230" s="147" t="s">
        <v>1858</v>
      </c>
      <c r="K230" s="31">
        <f t="shared" si="11"/>
        <v>5</v>
      </c>
      <c r="L230" s="32">
        <f t="shared" si="12"/>
        <v>0.8214285714285714</v>
      </c>
      <c r="M230" s="70"/>
      <c r="N230" s="70"/>
      <c r="O230" s="70"/>
      <c r="P230" s="70"/>
      <c r="Q230" s="70"/>
      <c r="R230" s="70" t="s">
        <v>2215</v>
      </c>
      <c r="S230" s="70" t="s">
        <v>2215</v>
      </c>
      <c r="T230" s="70" t="s">
        <v>2215</v>
      </c>
      <c r="U230" s="70" t="s">
        <v>2215</v>
      </c>
      <c r="V230" s="70" t="s">
        <v>2215</v>
      </c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24</v>
      </c>
      <c r="J240" s="147" t="s">
        <v>1868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 t="s">
        <v>2215</v>
      </c>
      <c r="S240" s="70" t="s">
        <v>2215</v>
      </c>
      <c r="T240" s="70"/>
      <c r="U240" s="70" t="s">
        <v>2215</v>
      </c>
      <c r="V240" s="70" t="s">
        <v>2215</v>
      </c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18</v>
      </c>
      <c r="J241" s="87"/>
      <c r="K241" s="31">
        <f t="shared" si="14"/>
        <v>10</v>
      </c>
      <c r="L241" s="32">
        <f t="shared" si="15"/>
        <v>0.6428571428571429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 t="s">
        <v>2215</v>
      </c>
      <c r="S241" s="70" t="s">
        <v>2215</v>
      </c>
      <c r="T241" s="70" t="s">
        <v>2215</v>
      </c>
      <c r="U241" s="70" t="s">
        <v>2215</v>
      </c>
      <c r="V241" s="70" t="s">
        <v>2215</v>
      </c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25</v>
      </c>
      <c r="J260" s="147" t="s">
        <v>1883</v>
      </c>
      <c r="K260" s="31">
        <f t="shared" si="14"/>
        <v>3</v>
      </c>
      <c r="L260" s="32">
        <f t="shared" si="15"/>
        <v>0.8928571428571429</v>
      </c>
      <c r="M260" s="70"/>
      <c r="N260" s="70"/>
      <c r="O260" s="70"/>
      <c r="P260" s="70"/>
      <c r="Q260" s="70"/>
      <c r="R260" s="70" t="s">
        <v>2215</v>
      </c>
      <c r="S260" s="70"/>
      <c r="T260" s="70" t="s">
        <v>2215</v>
      </c>
      <c r="U260" s="70" t="s">
        <v>2215</v>
      </c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21</v>
      </c>
      <c r="J271" s="147" t="s">
        <v>1892</v>
      </c>
      <c r="K271" s="31">
        <f t="shared" si="14"/>
        <v>7</v>
      </c>
      <c r="L271" s="32">
        <f t="shared" si="15"/>
        <v>0.75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 t="s">
        <v>2215</v>
      </c>
      <c r="U271" s="70" t="s">
        <v>2215</v>
      </c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18</v>
      </c>
      <c r="J275" s="147" t="s">
        <v>1895</v>
      </c>
      <c r="K275" s="31">
        <f t="shared" si="14"/>
        <v>10</v>
      </c>
      <c r="L275" s="32">
        <f t="shared" si="15"/>
        <v>0.6428571428571429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 t="s">
        <v>2215</v>
      </c>
      <c r="S275" s="70" t="s">
        <v>2215</v>
      </c>
      <c r="T275" s="70" t="s">
        <v>2215</v>
      </c>
      <c r="U275" s="70" t="s">
        <v>2215</v>
      </c>
      <c r="V275" s="70" t="s">
        <v>2215</v>
      </c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18</v>
      </c>
      <c r="J290" s="147" t="s">
        <v>1909</v>
      </c>
      <c r="K290" s="31">
        <f t="shared" si="14"/>
        <v>10</v>
      </c>
      <c r="L290" s="32">
        <f t="shared" si="15"/>
        <v>0.6428571428571429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 t="s">
        <v>2215</v>
      </c>
      <c r="S290" s="70" t="s">
        <v>2215</v>
      </c>
      <c r="T290" s="70" t="s">
        <v>2215</v>
      </c>
      <c r="U290" s="70" t="s">
        <v>2215</v>
      </c>
      <c r="V290" s="70" t="s">
        <v>2215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18</v>
      </c>
      <c r="J291" s="147" t="s">
        <v>1910</v>
      </c>
      <c r="K291" s="31">
        <f t="shared" si="14"/>
        <v>10</v>
      </c>
      <c r="L291" s="32">
        <f t="shared" si="15"/>
        <v>0.6428571428571429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 t="s">
        <v>2215</v>
      </c>
      <c r="S291" s="70" t="s">
        <v>2215</v>
      </c>
      <c r="T291" s="70" t="s">
        <v>2215</v>
      </c>
      <c r="U291" s="70" t="s">
        <v>2215</v>
      </c>
      <c r="V291" s="70" t="s">
        <v>2215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18</v>
      </c>
      <c r="J302" s="147" t="s">
        <v>1920</v>
      </c>
      <c r="K302" s="142">
        <f t="shared" si="14"/>
        <v>10</v>
      </c>
      <c r="L302" s="143">
        <f t="shared" si="15"/>
        <v>0.6428571428571429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 t="s">
        <v>2215</v>
      </c>
      <c r="S302" s="70" t="s">
        <v>2215</v>
      </c>
      <c r="T302" s="70" t="s">
        <v>2215</v>
      </c>
      <c r="U302" s="70" t="s">
        <v>2215</v>
      </c>
      <c r="V302" s="70" t="s">
        <v>2215</v>
      </c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18</v>
      </c>
      <c r="J304" s="147" t="s">
        <v>1921</v>
      </c>
      <c r="K304" s="31">
        <f t="shared" ref="K304:K372" si="17">COUNTIF(M304:AN304,"APAGADO")</f>
        <v>10</v>
      </c>
      <c r="L304" s="32">
        <f t="shared" ref="L304:L372" si="18">(I304)/(K304+I304)</f>
        <v>0.6428571428571429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 t="s">
        <v>2215</v>
      </c>
      <c r="S304" s="70" t="s">
        <v>2215</v>
      </c>
      <c r="T304" s="70" t="s">
        <v>2215</v>
      </c>
      <c r="U304" s="70" t="s">
        <v>2215</v>
      </c>
      <c r="V304" s="70" t="s">
        <v>2215</v>
      </c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19</v>
      </c>
      <c r="J308" s="147" t="s">
        <v>1924</v>
      </c>
      <c r="K308" s="31">
        <f t="shared" si="17"/>
        <v>9</v>
      </c>
      <c r="L308" s="32">
        <f t="shared" si="18"/>
        <v>0.6785714285714286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 t="s">
        <v>2215</v>
      </c>
      <c r="S308" s="70" t="s">
        <v>2215</v>
      </c>
      <c r="T308" s="70" t="s">
        <v>2215</v>
      </c>
      <c r="U308" s="70" t="s">
        <v>2215</v>
      </c>
      <c r="V308" s="70" t="s">
        <v>2215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18</v>
      </c>
      <c r="J343" s="147" t="s">
        <v>1955</v>
      </c>
      <c r="K343" s="142">
        <f t="shared" si="17"/>
        <v>10</v>
      </c>
      <c r="L343" s="143">
        <f t="shared" si="18"/>
        <v>0.6428571428571429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 t="s">
        <v>2215</v>
      </c>
      <c r="S343" s="70" t="s">
        <v>2215</v>
      </c>
      <c r="T343" s="70" t="s">
        <v>2215</v>
      </c>
      <c r="U343" s="70" t="s">
        <v>2215</v>
      </c>
      <c r="V343" s="70" t="s">
        <v>2215</v>
      </c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18</v>
      </c>
      <c r="J344" s="147" t="s">
        <v>1956</v>
      </c>
      <c r="K344" s="142">
        <f t="shared" si="17"/>
        <v>10</v>
      </c>
      <c r="L344" s="143">
        <f t="shared" si="18"/>
        <v>0.6428571428571429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 t="s">
        <v>2215</v>
      </c>
      <c r="S344" s="70" t="s">
        <v>2215</v>
      </c>
      <c r="T344" s="70" t="s">
        <v>2215</v>
      </c>
      <c r="U344" s="70" t="s">
        <v>2215</v>
      </c>
      <c r="V344" s="70" t="s">
        <v>2215</v>
      </c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21</v>
      </c>
      <c r="J346" s="147" t="s">
        <v>1958</v>
      </c>
      <c r="K346" s="31">
        <f t="shared" si="17"/>
        <v>7</v>
      </c>
      <c r="L346" s="32">
        <f t="shared" si="18"/>
        <v>0.75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 t="s">
        <v>2215</v>
      </c>
      <c r="S346" s="70"/>
      <c r="T346" s="70" t="s">
        <v>2215</v>
      </c>
      <c r="U346" s="70" t="s">
        <v>2215</v>
      </c>
      <c r="V346" s="70" t="s">
        <v>2215</v>
      </c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21</v>
      </c>
      <c r="J354" s="147" t="s">
        <v>1966</v>
      </c>
      <c r="K354" s="31">
        <f t="shared" si="17"/>
        <v>7</v>
      </c>
      <c r="L354" s="32">
        <f t="shared" si="18"/>
        <v>0.75</v>
      </c>
      <c r="M354" s="70"/>
      <c r="N354" s="70"/>
      <c r="O354" s="70"/>
      <c r="P354" s="70" t="s">
        <v>2215</v>
      </c>
      <c r="Q354" s="70" t="s">
        <v>2215</v>
      </c>
      <c r="R354" s="70" t="s">
        <v>2215</v>
      </c>
      <c r="S354" s="70" t="s">
        <v>2215</v>
      </c>
      <c r="T354" s="70" t="s">
        <v>2215</v>
      </c>
      <c r="U354" s="70" t="s">
        <v>2215</v>
      </c>
      <c r="V354" s="70" t="s">
        <v>2215</v>
      </c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19</v>
      </c>
      <c r="J367" s="73"/>
      <c r="K367" s="31">
        <f t="shared" si="17"/>
        <v>9</v>
      </c>
      <c r="L367" s="32">
        <f t="shared" si="18"/>
        <v>0.6785714285714286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 t="s">
        <v>2215</v>
      </c>
      <c r="S367" s="70"/>
      <c r="T367" s="70" t="s">
        <v>2215</v>
      </c>
      <c r="U367" s="70" t="s">
        <v>2215</v>
      </c>
      <c r="V367" s="70" t="s">
        <v>2215</v>
      </c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18</v>
      </c>
      <c r="J380" s="147" t="s">
        <v>1987</v>
      </c>
      <c r="K380" s="31">
        <f t="shared" si="20"/>
        <v>10</v>
      </c>
      <c r="L380" s="32">
        <f t="shared" si="21"/>
        <v>0.6428571428571429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 t="s">
        <v>2215</v>
      </c>
      <c r="S380" s="70" t="s">
        <v>2215</v>
      </c>
      <c r="T380" s="70" t="s">
        <v>2215</v>
      </c>
      <c r="U380" s="70" t="s">
        <v>2215</v>
      </c>
      <c r="V380" s="70" t="s">
        <v>2215</v>
      </c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18</v>
      </c>
      <c r="J385" s="87"/>
      <c r="K385" s="31">
        <f t="shared" si="20"/>
        <v>10</v>
      </c>
      <c r="L385" s="32">
        <f t="shared" si="21"/>
        <v>0.6428571428571429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 t="s">
        <v>2215</v>
      </c>
      <c r="S385" s="84" t="s">
        <v>2215</v>
      </c>
      <c r="T385" s="84" t="s">
        <v>2215</v>
      </c>
      <c r="U385" s="84" t="s">
        <v>2215</v>
      </c>
      <c r="V385" s="84" t="s">
        <v>2215</v>
      </c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22</v>
      </c>
      <c r="J386" s="87"/>
      <c r="K386" s="31">
        <f t="shared" si="20"/>
        <v>6</v>
      </c>
      <c r="L386" s="32">
        <f t="shared" si="21"/>
        <v>0.7857142857142857</v>
      </c>
      <c r="M386" s="70"/>
      <c r="N386" s="70"/>
      <c r="O386" s="70"/>
      <c r="P386" s="70" t="s">
        <v>2215</v>
      </c>
      <c r="Q386" s="70" t="s">
        <v>2215</v>
      </c>
      <c r="R386" s="70" t="s">
        <v>2215</v>
      </c>
      <c r="S386" s="70"/>
      <c r="T386" s="70" t="s">
        <v>2215</v>
      </c>
      <c r="U386" s="70" t="s">
        <v>2215</v>
      </c>
      <c r="V386" s="70" t="s">
        <v>2215</v>
      </c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18</v>
      </c>
      <c r="J390" s="147" t="s">
        <v>1993</v>
      </c>
      <c r="K390" s="87">
        <f t="shared" si="20"/>
        <v>10</v>
      </c>
      <c r="L390" s="88">
        <f t="shared" si="21"/>
        <v>0.6428571428571429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 t="s">
        <v>2215</v>
      </c>
      <c r="S390" s="89" t="s">
        <v>2215</v>
      </c>
      <c r="T390" s="89" t="s">
        <v>2215</v>
      </c>
      <c r="U390" s="89" t="s">
        <v>2215</v>
      </c>
      <c r="V390" s="89" t="s">
        <v>2215</v>
      </c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18</v>
      </c>
      <c r="J392" s="147" t="s">
        <v>1994</v>
      </c>
      <c r="K392" s="31">
        <f t="shared" si="20"/>
        <v>10</v>
      </c>
      <c r="L392" s="32">
        <f t="shared" si="21"/>
        <v>0.6428571428571429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 t="s">
        <v>2215</v>
      </c>
      <c r="S392" s="70" t="s">
        <v>2215</v>
      </c>
      <c r="T392" s="70" t="s">
        <v>2215</v>
      </c>
      <c r="U392" s="70" t="s">
        <v>2215</v>
      </c>
      <c r="V392" s="70" t="s">
        <v>2215</v>
      </c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18</v>
      </c>
      <c r="J393" s="147" t="s">
        <v>1995</v>
      </c>
      <c r="K393" s="31">
        <f t="shared" si="20"/>
        <v>10</v>
      </c>
      <c r="L393" s="32">
        <f t="shared" si="21"/>
        <v>0.6428571428571429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 t="s">
        <v>2215</v>
      </c>
      <c r="S393" s="70" t="s">
        <v>2215</v>
      </c>
      <c r="T393" s="70" t="s">
        <v>2215</v>
      </c>
      <c r="U393" s="70" t="s">
        <v>2215</v>
      </c>
      <c r="V393" s="70" t="s">
        <v>2215</v>
      </c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18</v>
      </c>
      <c r="J405" s="87"/>
      <c r="K405" s="31">
        <f t="shared" si="20"/>
        <v>10</v>
      </c>
      <c r="L405" s="32">
        <f t="shared" si="21"/>
        <v>0.6428571428571429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 t="s">
        <v>2215</v>
      </c>
      <c r="S405" s="70" t="s">
        <v>2215</v>
      </c>
      <c r="T405" s="70" t="s">
        <v>2215</v>
      </c>
      <c r="U405" s="70" t="s">
        <v>2215</v>
      </c>
      <c r="V405" s="70" t="s">
        <v>2215</v>
      </c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19</v>
      </c>
      <c r="J419" s="147" t="s">
        <v>2014</v>
      </c>
      <c r="K419" s="31">
        <f t="shared" si="20"/>
        <v>9</v>
      </c>
      <c r="L419" s="32">
        <f t="shared" si="21"/>
        <v>0.6785714285714286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 t="s">
        <v>2215</v>
      </c>
      <c r="S419" s="70" t="s">
        <v>2215</v>
      </c>
      <c r="T419" s="70" t="s">
        <v>2215</v>
      </c>
      <c r="U419" s="70" t="s">
        <v>2215</v>
      </c>
      <c r="V419" s="70" t="s">
        <v>2215</v>
      </c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25</v>
      </c>
      <c r="J431" s="147" t="s">
        <v>2021</v>
      </c>
      <c r="K431" s="31">
        <f t="shared" si="20"/>
        <v>3</v>
      </c>
      <c r="L431" s="32">
        <f t="shared" si="21"/>
        <v>0.8928571428571429</v>
      </c>
      <c r="M431" s="70"/>
      <c r="N431" s="70"/>
      <c r="O431" s="70"/>
      <c r="P431" s="70"/>
      <c r="Q431" s="70"/>
      <c r="R431" s="70"/>
      <c r="S431" s="70" t="s">
        <v>2215</v>
      </c>
      <c r="T431" s="70"/>
      <c r="U431" s="70" t="s">
        <v>2215</v>
      </c>
      <c r="V431" s="70" t="s">
        <v>2215</v>
      </c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18</v>
      </c>
      <c r="J432" s="147" t="s">
        <v>2022</v>
      </c>
      <c r="K432" s="142">
        <f t="shared" si="20"/>
        <v>10</v>
      </c>
      <c r="L432" s="143">
        <f t="shared" si="21"/>
        <v>0.6428571428571429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 t="s">
        <v>2215</v>
      </c>
      <c r="S432" s="70" t="s">
        <v>2215</v>
      </c>
      <c r="T432" s="70" t="s">
        <v>2215</v>
      </c>
      <c r="U432" s="70" t="s">
        <v>2215</v>
      </c>
      <c r="V432" s="70" t="s">
        <v>2215</v>
      </c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26</v>
      </c>
      <c r="J433" s="147" t="s">
        <v>2023</v>
      </c>
      <c r="K433" s="142">
        <f t="shared" si="20"/>
        <v>2</v>
      </c>
      <c r="L433" s="143">
        <f t="shared" si="21"/>
        <v>0.9285714285714286</v>
      </c>
      <c r="M433" s="70"/>
      <c r="N433" s="70"/>
      <c r="O433" s="70"/>
      <c r="P433" s="70"/>
      <c r="Q433" s="70"/>
      <c r="R433" s="70"/>
      <c r="S433" s="70"/>
      <c r="T433" s="70" t="s">
        <v>2215</v>
      </c>
      <c r="U433" s="70" t="s">
        <v>2215</v>
      </c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26</v>
      </c>
      <c r="J434" s="147" t="s">
        <v>2024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2215</v>
      </c>
      <c r="U434" s="70" t="s">
        <v>2215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18</v>
      </c>
      <c r="J438" s="147" t="s">
        <v>2028</v>
      </c>
      <c r="K438" s="31">
        <f t="shared" si="20"/>
        <v>10</v>
      </c>
      <c r="L438" s="32">
        <f t="shared" si="21"/>
        <v>0.6428571428571429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 t="s">
        <v>2215</v>
      </c>
      <c r="S438" s="70" t="s">
        <v>2215</v>
      </c>
      <c r="T438" s="70" t="s">
        <v>2215</v>
      </c>
      <c r="U438" s="70" t="s">
        <v>2215</v>
      </c>
      <c r="V438" s="70" t="s">
        <v>2215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21</v>
      </c>
      <c r="J440" s="87"/>
      <c r="K440" s="31">
        <f t="shared" si="20"/>
        <v>7</v>
      </c>
      <c r="L440" s="32">
        <f t="shared" si="21"/>
        <v>0.75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 t="s">
        <v>2215</v>
      </c>
      <c r="S440" s="70" t="s">
        <v>2215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 t="s">
        <v>2215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21</v>
      </c>
      <c r="J447" s="87"/>
      <c r="K447" s="142">
        <f t="shared" si="20"/>
        <v>7</v>
      </c>
      <c r="L447" s="143">
        <f t="shared" si="21"/>
        <v>0.75</v>
      </c>
      <c r="M447" s="70"/>
      <c r="N447" s="70"/>
      <c r="O447" s="70"/>
      <c r="P447" s="70" t="s">
        <v>2215</v>
      </c>
      <c r="Q447" s="70" t="s">
        <v>2215</v>
      </c>
      <c r="R447" s="70" t="s">
        <v>2215</v>
      </c>
      <c r="S447" s="70" t="s">
        <v>2215</v>
      </c>
      <c r="T447" s="70" t="s">
        <v>2215</v>
      </c>
      <c r="U447" s="70" t="s">
        <v>2215</v>
      </c>
      <c r="V447" s="70" t="s">
        <v>2215</v>
      </c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18</v>
      </c>
      <c r="J465" s="87" t="s">
        <v>2169</v>
      </c>
      <c r="K465" s="87">
        <f t="shared" si="23"/>
        <v>10</v>
      </c>
      <c r="L465" s="88">
        <f t="shared" si="24"/>
        <v>0.6428571428571429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 t="s">
        <v>2215</v>
      </c>
      <c r="S465" s="89" t="s">
        <v>2215</v>
      </c>
      <c r="T465" s="89" t="s">
        <v>2215</v>
      </c>
      <c r="U465" s="89" t="s">
        <v>2215</v>
      </c>
      <c r="V465" s="89" t="s">
        <v>2215</v>
      </c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22</v>
      </c>
      <c r="J479" s="147" t="s">
        <v>2052</v>
      </c>
      <c r="K479" s="31">
        <f t="shared" si="23"/>
        <v>6</v>
      </c>
      <c r="L479" s="32">
        <f t="shared" si="24"/>
        <v>0.7857142857142857</v>
      </c>
      <c r="M479" s="70"/>
      <c r="N479" s="70"/>
      <c r="O479" s="70"/>
      <c r="P479" s="70"/>
      <c r="Q479" s="70" t="s">
        <v>2215</v>
      </c>
      <c r="R479" s="70" t="s">
        <v>2215</v>
      </c>
      <c r="S479" s="70" t="s">
        <v>2215</v>
      </c>
      <c r="T479" s="70" t="s">
        <v>2215</v>
      </c>
      <c r="U479" s="70" t="s">
        <v>2215</v>
      </c>
      <c r="V479" s="70" t="s">
        <v>2215</v>
      </c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18</v>
      </c>
      <c r="J493" s="147" t="s">
        <v>2066</v>
      </c>
      <c r="K493" s="31">
        <f t="shared" si="23"/>
        <v>10</v>
      </c>
      <c r="L493" s="32">
        <f t="shared" si="24"/>
        <v>0.6428571428571429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 t="s">
        <v>2215</v>
      </c>
      <c r="S493" s="70" t="s">
        <v>2215</v>
      </c>
      <c r="T493" s="70" t="s">
        <v>2215</v>
      </c>
      <c r="U493" s="70" t="s">
        <v>2215</v>
      </c>
      <c r="V493" s="70" t="s">
        <v>2215</v>
      </c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19</v>
      </c>
      <c r="J494" s="147" t="s">
        <v>2067</v>
      </c>
      <c r="K494" s="31">
        <f t="shared" si="23"/>
        <v>9</v>
      </c>
      <c r="L494" s="32">
        <f t="shared" si="24"/>
        <v>0.6785714285714286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 t="s">
        <v>2215</v>
      </c>
      <c r="S494" s="70" t="s">
        <v>2215</v>
      </c>
      <c r="T494" s="70" t="s">
        <v>2215</v>
      </c>
      <c r="U494" s="70" t="s">
        <v>2215</v>
      </c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18</v>
      </c>
      <c r="J508" s="147" t="s">
        <v>2080</v>
      </c>
      <c r="K508" s="142">
        <f t="shared" si="23"/>
        <v>10</v>
      </c>
      <c r="L508" s="143">
        <f t="shared" si="24"/>
        <v>0.6428571428571429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 t="s">
        <v>2215</v>
      </c>
      <c r="S508" s="70" t="s">
        <v>2215</v>
      </c>
      <c r="T508" s="70" t="s">
        <v>2215</v>
      </c>
      <c r="U508" s="70" t="s">
        <v>2215</v>
      </c>
      <c r="V508" s="70" t="s">
        <v>2215</v>
      </c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26</v>
      </c>
      <c r="J527" s="147" t="s">
        <v>2096</v>
      </c>
      <c r="K527" s="142">
        <f t="shared" si="26"/>
        <v>2</v>
      </c>
      <c r="L527" s="143">
        <f t="shared" si="27"/>
        <v>0.9285714285714286</v>
      </c>
      <c r="M527" s="70"/>
      <c r="N527" s="70"/>
      <c r="O527" s="70"/>
      <c r="P527" s="70"/>
      <c r="Q527" s="70"/>
      <c r="R527" s="70"/>
      <c r="S527" s="70"/>
      <c r="T527" s="70"/>
      <c r="U527" s="70" t="s">
        <v>2215</v>
      </c>
      <c r="V527" s="70" t="s">
        <v>2215</v>
      </c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26</v>
      </c>
      <c r="J535" s="87"/>
      <c r="K535" s="142">
        <f t="shared" si="26"/>
        <v>2</v>
      </c>
      <c r="L535" s="143">
        <f t="shared" si="27"/>
        <v>0.9285714285714286</v>
      </c>
      <c r="M535" s="70"/>
      <c r="N535" s="70"/>
      <c r="O535" s="70"/>
      <c r="P535" s="70"/>
      <c r="Q535" s="70"/>
      <c r="R535" s="70"/>
      <c r="S535" s="70"/>
      <c r="T535" s="70"/>
      <c r="U535" s="70" t="s">
        <v>2215</v>
      </c>
      <c r="V535" s="70" t="s">
        <v>2215</v>
      </c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24</v>
      </c>
      <c r="J545" s="147" t="s">
        <v>2105</v>
      </c>
      <c r="K545" s="31">
        <f t="shared" si="26"/>
        <v>4</v>
      </c>
      <c r="L545" s="32">
        <f t="shared" si="27"/>
        <v>0.8571428571428571</v>
      </c>
      <c r="M545" s="70"/>
      <c r="N545" s="70"/>
      <c r="O545" s="70"/>
      <c r="P545" s="70"/>
      <c r="Q545" s="70"/>
      <c r="R545" s="70"/>
      <c r="S545" s="70" t="s">
        <v>2215</v>
      </c>
      <c r="T545" s="70" t="s">
        <v>2215</v>
      </c>
      <c r="U545" s="70" t="s">
        <v>2215</v>
      </c>
      <c r="V545" s="70" t="s">
        <v>2215</v>
      </c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18</v>
      </c>
      <c r="J547" s="147" t="s">
        <v>2107</v>
      </c>
      <c r="K547" s="31">
        <f t="shared" si="26"/>
        <v>10</v>
      </c>
      <c r="L547" s="32">
        <f t="shared" si="27"/>
        <v>0.6428571428571429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 t="s">
        <v>2215</v>
      </c>
      <c r="S547" s="70" t="s">
        <v>2215</v>
      </c>
      <c r="T547" s="70" t="s">
        <v>2215</v>
      </c>
      <c r="U547" s="70" t="s">
        <v>2215</v>
      </c>
      <c r="V547" s="70" t="s">
        <v>2215</v>
      </c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19</v>
      </c>
      <c r="J563" s="147" t="s">
        <v>2118</v>
      </c>
      <c r="K563" s="142">
        <f t="shared" si="26"/>
        <v>9</v>
      </c>
      <c r="L563" s="143">
        <f t="shared" si="27"/>
        <v>0.6785714285714286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 t="s">
        <v>2215</v>
      </c>
      <c r="S563" s="70" t="s">
        <v>2215</v>
      </c>
      <c r="T563" s="70" t="s">
        <v>2215</v>
      </c>
      <c r="U563" s="70" t="s">
        <v>2215</v>
      </c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8" zoomScale="90" zoomScaleNormal="90" workbookViewId="0">
      <selection activeCell="B67" sqref="B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47</v>
      </c>
      <c r="D58" s="54"/>
      <c r="E58" s="55">
        <f>C58/C57</f>
        <v>8.3928571428571422E-2</v>
      </c>
      <c r="F58" s="155"/>
    </row>
    <row r="59" spans="1:6" x14ac:dyDescent="0.25">
      <c r="B59" s="53" t="s">
        <v>1245</v>
      </c>
      <c r="C59" s="67">
        <v>3</v>
      </c>
      <c r="D59" s="103">
        <v>44</v>
      </c>
      <c r="E59" s="55">
        <f>D59/C57</f>
        <v>7.857142857142857E-2</v>
      </c>
      <c r="F59" s="155"/>
    </row>
    <row r="60" spans="1:6" x14ac:dyDescent="0.25">
      <c r="B60" s="53" t="s">
        <v>1246</v>
      </c>
      <c r="C60" s="67">
        <v>3</v>
      </c>
      <c r="D60" s="103">
        <v>41</v>
      </c>
      <c r="E60" s="55">
        <f>D60/C57</f>
        <v>7.3214285714285718E-2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6</v>
      </c>
      <c r="D61" s="103">
        <v>35</v>
      </c>
      <c r="E61" s="55">
        <f>D61/C57</f>
        <v>6.25E-2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26</v>
      </c>
      <c r="E65" s="114">
        <f>D65/C65</f>
        <v>0.1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43</v>
      </c>
      <c r="D69" s="54"/>
      <c r="E69" s="55">
        <f>C69/C68</f>
        <v>7.678571428571429E-2</v>
      </c>
      <c r="F69" s="155"/>
    </row>
    <row r="70" spans="1:6" x14ac:dyDescent="0.25">
      <c r="B70" s="53" t="s">
        <v>1245</v>
      </c>
      <c r="C70" s="67">
        <v>1</v>
      </c>
      <c r="D70" s="103">
        <f>C69-C70</f>
        <v>42</v>
      </c>
      <c r="E70" s="55">
        <f>D70/C68</f>
        <v>7.4999999999999997E-2</v>
      </c>
      <c r="F70" s="155"/>
    </row>
    <row r="71" spans="1:6" x14ac:dyDescent="0.25">
      <c r="B71" s="53" t="s">
        <v>1246</v>
      </c>
      <c r="C71" s="67">
        <v>3</v>
      </c>
      <c r="D71" s="103">
        <f>D70-C71</f>
        <v>39</v>
      </c>
      <c r="E71" s="55">
        <f>D71/C68</f>
        <v>6.9642857142857145E-2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2</v>
      </c>
      <c r="D72" s="103">
        <f>D71-C72</f>
        <v>37</v>
      </c>
      <c r="E72" s="55">
        <f>D72/C68</f>
        <v>6.6071428571428573E-2</v>
      </c>
      <c r="F72" s="155"/>
    </row>
    <row r="73" spans="1:6" ht="15.75" thickBot="1" x14ac:dyDescent="0.3">
      <c r="B73" s="56"/>
      <c r="C73" s="131">
        <v>0</v>
      </c>
      <c r="D73" s="104">
        <f>D72-C73</f>
        <v>37</v>
      </c>
      <c r="E73" s="74">
        <f>D73/C68</f>
        <v>6.6071428571428573E-2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25</v>
      </c>
      <c r="E76" s="114">
        <f>D76/C76</f>
        <v>9.6153846153846159E-2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49</v>
      </c>
      <c r="D102" s="54"/>
      <c r="E102" s="55">
        <f>C102/C101</f>
        <v>8.7499999999999994E-2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49</v>
      </c>
      <c r="E103" s="55">
        <f>D103/C101</f>
        <v>8.7499999999999994E-2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49</v>
      </c>
      <c r="E104" s="55">
        <f>D104/C101</f>
        <v>8.7499999999999994E-2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6</v>
      </c>
      <c r="D105" s="103">
        <f>D104-C105</f>
        <v>43</v>
      </c>
      <c r="E105" s="55">
        <f>D105/C101</f>
        <v>7.678571428571429E-2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26</v>
      </c>
      <c r="E109" s="114">
        <f>D109/C109</f>
        <v>0.1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 t="str">
        <f>'RESUMEN TOTAL'!R189</f>
        <v>APAGADO</v>
      </c>
      <c r="L148" s="70" t="str">
        <f>'RESUMEN TOTAL'!S189</f>
        <v>APAGADO</v>
      </c>
      <c r="M148" s="70" t="str">
        <f>'RESUMEN TOTAL'!T189</f>
        <v>APAGADO</v>
      </c>
      <c r="N148" s="70" t="str">
        <f>'RESUMEN TOTAL'!U189</f>
        <v>APAGADO</v>
      </c>
      <c r="O148" s="70" t="str">
        <f>'RESUMEN TOTAL'!V189</f>
        <v>APAGADO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 t="str">
        <f>'RESUMEN TOTAL'!V191</f>
        <v>APAGADO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 t="str">
        <f>'RESUMEN TOTAL'!T193</f>
        <v>APAGADO</v>
      </c>
      <c r="N152" s="70" t="str">
        <f>'RESUMEN TOTAL'!U193</f>
        <v>APAGADO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 t="str">
        <f>'RESUMEN TOTAL'!R197</f>
        <v>APAGADO</v>
      </c>
      <c r="L156" s="70" t="str">
        <f>'RESUMEN TOTAL'!S197</f>
        <v>APAGADO</v>
      </c>
      <c r="M156" s="70" t="str">
        <f>'RESUMEN TOTAL'!T197</f>
        <v>APAGADO</v>
      </c>
      <c r="N156" s="70" t="str">
        <f>'RESUMEN TOTAL'!U197</f>
        <v>APAGADO</v>
      </c>
      <c r="O156" s="70" t="str">
        <f>'RESUMEN TOTAL'!V197</f>
        <v>APAGADO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 t="str">
        <f>'RESUMEN TOTAL'!R214</f>
        <v>APAGADO</v>
      </c>
      <c r="L170" s="70">
        <f>'RESUMEN TOTAL'!S214</f>
        <v>0</v>
      </c>
      <c r="M170" s="70" t="str">
        <f>'RESUMEN TOTAL'!T214</f>
        <v>APAGADO</v>
      </c>
      <c r="N170" s="70" t="str">
        <f>'RESUMEN TOTAL'!U214</f>
        <v>APAGADO</v>
      </c>
      <c r="O170" s="70" t="str">
        <f>'RESUMEN TOTAL'!V214</f>
        <v>APAGADO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 t="str">
        <f>'RESUMEN TOTAL'!R215</f>
        <v>APAGADO</v>
      </c>
      <c r="L171" s="70">
        <f>'RESUMEN TOTAL'!S215</f>
        <v>0</v>
      </c>
      <c r="M171" s="70" t="str">
        <f>'RESUMEN TOTAL'!T215</f>
        <v>APAGADO</v>
      </c>
      <c r="N171" s="70" t="str">
        <f>'RESUMEN TOTAL'!U215</f>
        <v>APAGADO</v>
      </c>
      <c r="O171" s="70" t="str">
        <f>'RESUMEN TOTAL'!V215</f>
        <v>APAGADO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 t="str">
        <f>'RESUMEN TOTAL'!R227</f>
        <v>APAGADO</v>
      </c>
      <c r="L180" s="70" t="str">
        <f>'RESUMEN TOTAL'!S227</f>
        <v>APAGADO</v>
      </c>
      <c r="M180" s="70" t="str">
        <f>'RESUMEN TOTAL'!T227</f>
        <v>APAGADO</v>
      </c>
      <c r="N180" s="70" t="str">
        <f>'RESUMEN TOTAL'!U227</f>
        <v>APAGADO</v>
      </c>
      <c r="O180" s="70" t="str">
        <f>'RESUMEN TOTAL'!V227</f>
        <v>APAGADO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 t="str">
        <f>'RESUMEN TOTAL'!R229</f>
        <v>APAGADO</v>
      </c>
      <c r="L182" s="70" t="str">
        <f>'RESUMEN TOTAL'!S229</f>
        <v>APAGADO</v>
      </c>
      <c r="M182" s="70" t="str">
        <f>'RESUMEN TOTAL'!T229</f>
        <v>APAGADO</v>
      </c>
      <c r="N182" s="70" t="str">
        <f>'RESUMEN TOTAL'!U229</f>
        <v>APAGADO</v>
      </c>
      <c r="O182" s="70" t="str">
        <f>'RESUMEN TOTAL'!V229</f>
        <v>APAGADO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 t="str">
        <f>'RESUMEN TOTAL'!R230</f>
        <v>APAGADO</v>
      </c>
      <c r="L183" s="70" t="str">
        <f>'RESUMEN TOTAL'!S230</f>
        <v>APAGADO</v>
      </c>
      <c r="M183" s="70" t="str">
        <f>'RESUMEN TOTAL'!T230</f>
        <v>APAGADO</v>
      </c>
      <c r="N183" s="70" t="str">
        <f>'RESUMEN TOTAL'!U230</f>
        <v>APAGADO</v>
      </c>
      <c r="O183" s="70" t="str">
        <f>'RESUMEN TOTAL'!V230</f>
        <v>APAGADO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 t="str">
        <f>'RESUMEN TOTAL'!R240</f>
        <v>APAGADO</v>
      </c>
      <c r="L193" s="70" t="str">
        <f>'RESUMEN TOTAL'!S240</f>
        <v>APAGADO</v>
      </c>
      <c r="M193" s="70">
        <f>'RESUMEN TOTAL'!T240</f>
        <v>0</v>
      </c>
      <c r="N193" s="70" t="str">
        <f>'RESUMEN TOTAL'!U240</f>
        <v>APAGADO</v>
      </c>
      <c r="O193" s="70" t="str">
        <f>'RESUMEN TOTAL'!V240</f>
        <v>APAGADO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 t="str">
        <f>'RESUMEN TOTAL'!R241</f>
        <v>APAGADO</v>
      </c>
      <c r="L194" s="70" t="str">
        <f>'RESUMEN TOTAL'!S241</f>
        <v>APAGADO</v>
      </c>
      <c r="M194" s="70" t="str">
        <f>'RESUMEN TOTAL'!T241</f>
        <v>APAGADO</v>
      </c>
      <c r="N194" s="70" t="str">
        <f>'RESUMEN TOTAL'!U241</f>
        <v>APAGADO</v>
      </c>
      <c r="O194" s="70" t="str">
        <f>'RESUMEN TOTAL'!V241</f>
        <v>APAGADO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 t="str">
        <f>'RESUMEN TOTAL'!R260</f>
        <v>APAGADO</v>
      </c>
      <c r="L213" s="70">
        <f>'RESUMEN TOTAL'!S260</f>
        <v>0</v>
      </c>
      <c r="M213" s="70" t="str">
        <f>'RESUMEN TOTAL'!T260</f>
        <v>APAGADO</v>
      </c>
      <c r="N213" s="70" t="str">
        <f>'RESUMEN TOTAL'!U260</f>
        <v>APAGADO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 t="str">
        <f>'RESUMEN TOTAL'!T271</f>
        <v>APAGADO</v>
      </c>
      <c r="N220" s="70" t="str">
        <f>'RESUMEN TOTAL'!U271</f>
        <v>APAGADO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 t="str">
        <f>'RESUMEN TOTAL'!R275</f>
        <v>APAGADO</v>
      </c>
      <c r="L224" s="70" t="str">
        <f>'RESUMEN TOTAL'!S275</f>
        <v>APAGADO</v>
      </c>
      <c r="M224" s="70" t="str">
        <f>'RESUMEN TOTAL'!T275</f>
        <v>APAGADO</v>
      </c>
      <c r="N224" s="70" t="str">
        <f>'RESUMEN TOTAL'!U275</f>
        <v>APAGADO</v>
      </c>
      <c r="O224" s="70" t="str">
        <f>'RESUMEN TOTAL'!V275</f>
        <v>APAGADO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 t="str">
        <f>'RESUMEN TOTAL'!R290</f>
        <v>APAGADO</v>
      </c>
      <c r="L236" s="70" t="str">
        <f>'RESUMEN TOTAL'!S290</f>
        <v>APAGADO</v>
      </c>
      <c r="M236" s="70" t="str">
        <f>'RESUMEN TOTAL'!T290</f>
        <v>APAGADO</v>
      </c>
      <c r="N236" s="70" t="str">
        <f>'RESUMEN TOTAL'!U290</f>
        <v>APAGADO</v>
      </c>
      <c r="O236" s="70" t="str">
        <f>'RESUMEN TOTAL'!V290</f>
        <v>APAGADO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 t="str">
        <f>'RESUMEN TOTAL'!R291</f>
        <v>APAGADO</v>
      </c>
      <c r="L237" s="70" t="str">
        <f>'RESUMEN TOTAL'!S291</f>
        <v>APAGADO</v>
      </c>
      <c r="M237" s="70" t="str">
        <f>'RESUMEN TOTAL'!T291</f>
        <v>APAGADO</v>
      </c>
      <c r="N237" s="70" t="str">
        <f>'RESUMEN TOTAL'!U291</f>
        <v>APAGADO</v>
      </c>
      <c r="O237" s="70" t="str">
        <f>'RESUMEN TOTAL'!V291</f>
        <v>APAGADO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 t="str">
        <f>'RESUMEN TOTAL'!R302</f>
        <v>APAGADO</v>
      </c>
      <c r="L248" s="70" t="str">
        <f>'RESUMEN TOTAL'!S302</f>
        <v>APAGADO</v>
      </c>
      <c r="M248" s="70" t="str">
        <f>'RESUMEN TOTAL'!T302</f>
        <v>APAGADO</v>
      </c>
      <c r="N248" s="70" t="str">
        <f>'RESUMEN TOTAL'!U302</f>
        <v>APAGADO</v>
      </c>
      <c r="O248" s="70" t="str">
        <f>'RESUMEN TOTAL'!V302</f>
        <v>APAGADO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 t="str">
        <f>'RESUMEN TOTAL'!R304</f>
        <v>APAGADO</v>
      </c>
      <c r="L250" s="70" t="str">
        <f>'RESUMEN TOTAL'!S304</f>
        <v>APAGADO</v>
      </c>
      <c r="M250" s="70" t="str">
        <f>'RESUMEN TOTAL'!T304</f>
        <v>APAGADO</v>
      </c>
      <c r="N250" s="70" t="str">
        <f>'RESUMEN TOTAL'!U304</f>
        <v>APAGADO</v>
      </c>
      <c r="O250" s="70" t="str">
        <f>'RESUMEN TOTAL'!V304</f>
        <v>APAGADO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 t="str">
        <f>'RESUMEN TOTAL'!R308</f>
        <v>APAGADO</v>
      </c>
      <c r="L254" s="70" t="str">
        <f>'RESUMEN TOTAL'!S308</f>
        <v>APAGADO</v>
      </c>
      <c r="M254" s="70" t="str">
        <f>'RESUMEN TOTAL'!T308</f>
        <v>APAGADO</v>
      </c>
      <c r="N254" s="70" t="str">
        <f>'RESUMEN TOTAL'!U308</f>
        <v>APAGADO</v>
      </c>
      <c r="O254" s="70" t="str">
        <f>'RESUMEN TOTAL'!V308</f>
        <v>APAGADO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 t="str">
        <f>'RESUMEN TOTAL'!R343</f>
        <v>APAGADO</v>
      </c>
      <c r="L282" s="70" t="str">
        <f>'RESUMEN TOTAL'!S343</f>
        <v>APAGADO</v>
      </c>
      <c r="M282" s="70" t="str">
        <f>'RESUMEN TOTAL'!T343</f>
        <v>APAGADO</v>
      </c>
      <c r="N282" s="70" t="str">
        <f>'RESUMEN TOTAL'!U343</f>
        <v>APAGADO</v>
      </c>
      <c r="O282" s="70" t="str">
        <f>'RESUMEN TOTAL'!V343</f>
        <v>APAGADO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 t="str">
        <f>'RESUMEN TOTAL'!R344</f>
        <v>APAGADO</v>
      </c>
      <c r="L283" s="70" t="str">
        <f>'RESUMEN TOTAL'!S344</f>
        <v>APAGADO</v>
      </c>
      <c r="M283" s="70" t="str">
        <f>'RESUMEN TOTAL'!T344</f>
        <v>APAGADO</v>
      </c>
      <c r="N283" s="70" t="str">
        <f>'RESUMEN TOTAL'!U344</f>
        <v>APAGADO</v>
      </c>
      <c r="O283" s="70" t="str">
        <f>'RESUMEN TOTAL'!V344</f>
        <v>APAGADO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 t="str">
        <f>'RESUMEN TOTAL'!R346</f>
        <v>APAGADO</v>
      </c>
      <c r="L285" s="70">
        <f>'RESUMEN TOTAL'!S346</f>
        <v>0</v>
      </c>
      <c r="M285" s="70" t="str">
        <f>'RESUMEN TOTAL'!T346</f>
        <v>APAGADO</v>
      </c>
      <c r="N285" s="70" t="str">
        <f>'RESUMEN TOTAL'!U346</f>
        <v>APAGADO</v>
      </c>
      <c r="O285" s="70" t="str">
        <f>'RESUMEN TOTAL'!V346</f>
        <v>APAGADO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 t="str">
        <f>'RESUMEN TOTAL'!R367</f>
        <v>APAGADO</v>
      </c>
      <c r="L301" s="70">
        <f>'RESUMEN TOTAL'!S367</f>
        <v>0</v>
      </c>
      <c r="M301" s="70" t="str">
        <f>'RESUMEN TOTAL'!T367</f>
        <v>APAGADO</v>
      </c>
      <c r="N301" s="70" t="str">
        <f>'RESUMEN TOTAL'!U367</f>
        <v>APAGADO</v>
      </c>
      <c r="O301" s="70" t="str">
        <f>'RESUMEN TOTAL'!V367</f>
        <v>APAGADO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 t="str">
        <f>'RESUMEN TOTAL'!R380</f>
        <v>APAGADO</v>
      </c>
      <c r="L314" s="70" t="str">
        <f>'RESUMEN TOTAL'!S380</f>
        <v>APAGADO</v>
      </c>
      <c r="M314" s="70" t="str">
        <f>'RESUMEN TOTAL'!T380</f>
        <v>APAGADO</v>
      </c>
      <c r="N314" s="70" t="str">
        <f>'RESUMEN TOTAL'!U380</f>
        <v>APAGADO</v>
      </c>
      <c r="O314" s="70" t="str">
        <f>'RESUMEN TOTAL'!V380</f>
        <v>APAGADO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 t="str">
        <f>'RESUMEN TOTAL'!R386</f>
        <v>APAGADO</v>
      </c>
      <c r="L316" s="70">
        <f>'RESUMEN TOTAL'!S386</f>
        <v>0</v>
      </c>
      <c r="M316" s="70" t="str">
        <f>'RESUMEN TOTAL'!T386</f>
        <v>APAGADO</v>
      </c>
      <c r="N316" s="70" t="str">
        <f>'RESUMEN TOTAL'!U386</f>
        <v>APAGADO</v>
      </c>
      <c r="O316" s="70" t="str">
        <f>'RESUMEN TOTAL'!V386</f>
        <v>APAGADO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 t="str">
        <f>'RESUMEN TOTAL'!R390</f>
        <v>APAGADO</v>
      </c>
      <c r="L320" s="70" t="str">
        <f>'RESUMEN TOTAL'!S390</f>
        <v>APAGADO</v>
      </c>
      <c r="M320" s="70" t="str">
        <f>'RESUMEN TOTAL'!T390</f>
        <v>APAGADO</v>
      </c>
      <c r="N320" s="70" t="str">
        <f>'RESUMEN TOTAL'!U390</f>
        <v>APAGADO</v>
      </c>
      <c r="O320" s="70" t="str">
        <f>'RESUMEN TOTAL'!V390</f>
        <v>APAGADO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 t="str">
        <f>'RESUMEN TOTAL'!R392</f>
        <v>APAGADO</v>
      </c>
      <c r="L322" s="70" t="str">
        <f>'RESUMEN TOTAL'!S392</f>
        <v>APAGADO</v>
      </c>
      <c r="M322" s="70" t="str">
        <f>'RESUMEN TOTAL'!T392</f>
        <v>APAGADO</v>
      </c>
      <c r="N322" s="70" t="str">
        <f>'RESUMEN TOTAL'!U392</f>
        <v>APAGADO</v>
      </c>
      <c r="O322" s="70" t="str">
        <f>'RESUMEN TOTAL'!V392</f>
        <v>APAGADO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 t="str">
        <f>'RESUMEN TOTAL'!R393</f>
        <v>APAGADO</v>
      </c>
      <c r="L323" s="70" t="str">
        <f>'RESUMEN TOTAL'!S393</f>
        <v>APAGADO</v>
      </c>
      <c r="M323" s="70" t="str">
        <f>'RESUMEN TOTAL'!T393</f>
        <v>APAGADO</v>
      </c>
      <c r="N323" s="70" t="str">
        <f>'RESUMEN TOTAL'!U393</f>
        <v>APAGADO</v>
      </c>
      <c r="O323" s="70" t="str">
        <f>'RESUMEN TOTAL'!V393</f>
        <v>APAGADO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 t="str">
        <f>'RESUMEN TOTAL'!R405</f>
        <v>APAGADO</v>
      </c>
      <c r="L329" s="70" t="str">
        <f>'RESUMEN TOTAL'!S405</f>
        <v>APAGADO</v>
      </c>
      <c r="M329" s="70" t="str">
        <f>'RESUMEN TOTAL'!T405</f>
        <v>APAGADO</v>
      </c>
      <c r="N329" s="70" t="str">
        <f>'RESUMEN TOTAL'!U405</f>
        <v>APAGADO</v>
      </c>
      <c r="O329" s="70" t="str">
        <f>'RESUMEN TOTAL'!V405</f>
        <v>APAGADO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 t="str">
        <f>'RESUMEN TOTAL'!R419</f>
        <v>APAGADO</v>
      </c>
      <c r="L341" s="70" t="str">
        <f>'RESUMEN TOTAL'!S419</f>
        <v>APAGADO</v>
      </c>
      <c r="M341" s="70" t="str">
        <f>'RESUMEN TOTAL'!T419</f>
        <v>APAGADO</v>
      </c>
      <c r="N341" s="70" t="str">
        <f>'RESUMEN TOTAL'!U419</f>
        <v>APAGADO</v>
      </c>
      <c r="O341" s="70" t="str">
        <f>'RESUMEN TOTAL'!V419</f>
        <v>APAGADO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 t="str">
        <f>'RESUMEN TOTAL'!S431</f>
        <v>APAGADO</v>
      </c>
      <c r="M353" s="70">
        <f>'RESUMEN TOTAL'!T431</f>
        <v>0</v>
      </c>
      <c r="N353" s="70" t="str">
        <f>'RESUMEN TOTAL'!U431</f>
        <v>APAGADO</v>
      </c>
      <c r="O353" s="70" t="str">
        <f>'RESUMEN TOTAL'!V431</f>
        <v>APAGADO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 t="str">
        <f>'RESUMEN TOTAL'!R432</f>
        <v>APAGADO</v>
      </c>
      <c r="L354" s="70" t="str">
        <f>'RESUMEN TOTAL'!S432</f>
        <v>APAGADO</v>
      </c>
      <c r="M354" s="70" t="str">
        <f>'RESUMEN TOTAL'!T432</f>
        <v>APAGADO</v>
      </c>
      <c r="N354" s="70" t="str">
        <f>'RESUMEN TOTAL'!U432</f>
        <v>APAGADO</v>
      </c>
      <c r="O354" s="70" t="str">
        <f>'RESUMEN TOTAL'!V432</f>
        <v>APAGADO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 t="str">
        <f>'RESUMEN TOTAL'!T433</f>
        <v>APAGADO</v>
      </c>
      <c r="N355" s="70" t="str">
        <f>'RESUMEN TOTAL'!U433</f>
        <v>APAGADO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 t="str">
        <f>'RESUMEN TOTAL'!T434</f>
        <v>APAGADO</v>
      </c>
      <c r="N356" s="70" t="str">
        <f>'RESUMEN TOTAL'!U434</f>
        <v>APAGADO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 t="str">
        <f>'RESUMEN TOTAL'!R438</f>
        <v>APAGADO</v>
      </c>
      <c r="L360" s="70" t="str">
        <f>'RESUMEN TOTAL'!S438</f>
        <v>APAGADO</v>
      </c>
      <c r="M360" s="70" t="str">
        <f>'RESUMEN TOTAL'!T438</f>
        <v>APAGADO</v>
      </c>
      <c r="N360" s="70" t="str">
        <f>'RESUMEN TOTAL'!U438</f>
        <v>APAGADO</v>
      </c>
      <c r="O360" s="70" t="str">
        <f>'RESUMEN TOTAL'!V438</f>
        <v>APAGADO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 t="str">
        <f>'RESUMEN TOTAL'!R447</f>
        <v>APAGADO</v>
      </c>
      <c r="L363" s="70" t="str">
        <f>'RESUMEN TOTAL'!S447</f>
        <v>APAGADO</v>
      </c>
      <c r="M363" s="70" t="str">
        <f>'RESUMEN TOTAL'!T447</f>
        <v>APAGADO</v>
      </c>
      <c r="N363" s="70" t="str">
        <f>'RESUMEN TOTAL'!U447</f>
        <v>APAGADO</v>
      </c>
      <c r="O363" s="70" t="str">
        <f>'RESUMEN TOTAL'!V447</f>
        <v>APAGADO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 t="str">
        <f>'RESUMEN TOTAL'!R479</f>
        <v>APAGADO</v>
      </c>
      <c r="L388" s="70" t="str">
        <f>'RESUMEN TOTAL'!S479</f>
        <v>APAGADO</v>
      </c>
      <c r="M388" s="70" t="str">
        <f>'RESUMEN TOTAL'!T479</f>
        <v>APAGADO</v>
      </c>
      <c r="N388" s="70" t="str">
        <f>'RESUMEN TOTAL'!U479</f>
        <v>APAGADO</v>
      </c>
      <c r="O388" s="70" t="str">
        <f>'RESUMEN TOTAL'!V479</f>
        <v>APAGADO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 t="str">
        <f>'RESUMEN TOTAL'!R493</f>
        <v>APAGADO</v>
      </c>
      <c r="L402" s="70" t="str">
        <f>'RESUMEN TOTAL'!S493</f>
        <v>APAGADO</v>
      </c>
      <c r="M402" s="70" t="str">
        <f>'RESUMEN TOTAL'!T493</f>
        <v>APAGADO</v>
      </c>
      <c r="N402" s="70" t="str">
        <f>'RESUMEN TOTAL'!U493</f>
        <v>APAGADO</v>
      </c>
      <c r="O402" s="70" t="str">
        <f>'RESUMEN TOTAL'!V493</f>
        <v>APAGADO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 t="str">
        <f>'RESUMEN TOTAL'!R494</f>
        <v>APAGADO</v>
      </c>
      <c r="L403" s="70" t="str">
        <f>'RESUMEN TOTAL'!S494</f>
        <v>APAGADO</v>
      </c>
      <c r="M403" s="70" t="str">
        <f>'RESUMEN TOTAL'!T494</f>
        <v>APAGADO</v>
      </c>
      <c r="N403" s="70" t="str">
        <f>'RESUMEN TOTAL'!U494</f>
        <v>APAGADO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 t="str">
        <f>'RESUMEN TOTAL'!R508</f>
        <v>APAGADO</v>
      </c>
      <c r="L417" s="70" t="str">
        <f>'RESUMEN TOTAL'!S508</f>
        <v>APAGADO</v>
      </c>
      <c r="M417" s="70" t="str">
        <f>'RESUMEN TOTAL'!T508</f>
        <v>APAGADO</v>
      </c>
      <c r="N417" s="70" t="str">
        <f>'RESUMEN TOTAL'!U508</f>
        <v>APAGADO</v>
      </c>
      <c r="O417" s="70" t="str">
        <f>'RESUMEN TOTAL'!V508</f>
        <v>APAGADO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 t="str">
        <f>'RESUMEN TOTAL'!U527</f>
        <v>APAGADO</v>
      </c>
      <c r="O430" s="70" t="str">
        <f>'RESUMEN TOTAL'!V527</f>
        <v>APAGADO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 t="str">
        <f>'RESUMEN TOTAL'!S545</f>
        <v>APAGADO</v>
      </c>
      <c r="M443" s="70" t="str">
        <f>'RESUMEN TOTAL'!T545</f>
        <v>APAGADO</v>
      </c>
      <c r="N443" s="70" t="str">
        <f>'RESUMEN TOTAL'!U545</f>
        <v>APAGADO</v>
      </c>
      <c r="O443" s="70" t="str">
        <f>'RESUMEN TOTAL'!V545</f>
        <v>APAGADO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 t="str">
        <f>'RESUMEN TOTAL'!R547</f>
        <v>APAGADO</v>
      </c>
      <c r="L445" s="70" t="str">
        <f>'RESUMEN TOTAL'!S547</f>
        <v>APAGADO</v>
      </c>
      <c r="M445" s="70" t="str">
        <f>'RESUMEN TOTAL'!T547</f>
        <v>APAGADO</v>
      </c>
      <c r="N445" s="70" t="str">
        <f>'RESUMEN TOTAL'!U547</f>
        <v>APAGADO</v>
      </c>
      <c r="O445" s="70" t="str">
        <f>'RESUMEN TOTAL'!V547</f>
        <v>APAGADO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 t="str">
        <f>'RESUMEN TOTAL'!R563</f>
        <v>APAGADO</v>
      </c>
      <c r="L460" s="70" t="str">
        <f>'RESUMEN TOTAL'!S563</f>
        <v>APAGADO</v>
      </c>
      <c r="M460" s="70" t="str">
        <f>'RESUMEN TOTAL'!T563</f>
        <v>APAGADO</v>
      </c>
      <c r="N460" s="70" t="str">
        <f>'RESUMEN TOTAL'!U563</f>
        <v>APAGADO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21</v>
      </c>
      <c r="L3" s="46">
        <f>COUNTIFS('RESUMEN TOTAL'!S8:S675,"=APAGADO",'RESUMEN TOTAL'!C8:C675,"=BONOMO")</f>
        <v>18</v>
      </c>
      <c r="M3" s="46">
        <v>18</v>
      </c>
      <c r="N3" s="46">
        <f>COUNTIFS('RESUMEN TOTAL'!U8:U675,"=APAGADO",'RESUMEN TOTAL'!C8:C675,"=BONOMO")</f>
        <v>24</v>
      </c>
      <c r="O3" s="46">
        <f>COUNTIFS('RESUMEN TOTAL'!V8:V675,"=APAGADO",'RESUMEN TOTAL'!C8:C675,"=BONOMO")</f>
        <v>23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26</v>
      </c>
      <c r="L5" s="46">
        <f>COUNTIFS('RESUMEN TOTAL'!S10:S677,"=APAGADO",'RESUMEN TOTAL'!C10:C677,"=COSEIDI")</f>
        <v>25</v>
      </c>
      <c r="M5" s="46">
        <v>25</v>
      </c>
      <c r="N5" s="46">
        <f>COUNTIFS('RESUMEN TOTAL'!U10:U677,"=APAGADO",'RESUMEN TOTAL'!C10:C677,"=COSEIDI")</f>
        <v>29</v>
      </c>
      <c r="O5" s="46">
        <f>COUNTIFS('RESUMEN TOTAL'!V10:V677,"=APAGADO",'RESUMEN TOTAL'!C10:C677,"=COSEIDI")</f>
        <v>26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0.1</v>
      </c>
      <c r="L6" s="50">
        <f t="shared" si="1"/>
        <v>9.6153846153846159E-2</v>
      </c>
      <c r="M6" s="50">
        <f t="shared" si="1"/>
        <v>9.6153846153846159E-2</v>
      </c>
      <c r="N6" s="50">
        <f t="shared" si="1"/>
        <v>0.11153846153846154</v>
      </c>
      <c r="O6" s="50">
        <f t="shared" si="1"/>
        <v>0.1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2025-11-11T11:27:30Z</dcterms:modified>
</cp:coreProperties>
</file>