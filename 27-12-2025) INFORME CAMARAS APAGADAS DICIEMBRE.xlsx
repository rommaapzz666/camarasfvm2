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6C82EFC2-A836-47B4-97DE-DA153D6168C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J191" i="24"/>
  <c r="J192" i="24" s="1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J193" i="24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<sst xmlns="http://schemas.openxmlformats.org/spreadsheetml/2006/main" count="7447" uniqueCount="2289">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</sst>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36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68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0.11881188118811881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0.25185185185185183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0.11881188118811881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0.25185185185185183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36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68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36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68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0.11881188118811881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0.25185185185185183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0.11881188118811881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0.25185185185185183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36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68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AL296" activePane="bottomRight" state="frozen"/>
      <selection pane="topRight" activeCell="M1" sqref="M1"/>
      <selection pane="bottomLeft" activeCell="A5" sqref="A5"/>
      <selection pane="bottomRight" activeCell="AM317" sqref="AM31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0.12898330804248861</v>
      </c>
      <c r="N1" s="3">
        <f t="shared" si="0"/>
        <v>0.10869565217391304</v>
      </c>
      <c r="O1" s="3">
        <f t="shared" si="0"/>
        <v>0.12232415902140673</v>
      </c>
      <c r="P1" s="3">
        <f t="shared" si="0"/>
        <v>0.17410071942446043</v>
      </c>
      <c r="Q1" s="3">
        <f t="shared" si="0"/>
        <v>0.16204379562043797</v>
      </c>
      <c r="R1" s="3">
        <f t="shared" si="0"/>
        <v>0.13423831070889894</v>
      </c>
      <c r="S1" s="3">
        <f t="shared" si="0"/>
        <v>0.1368421052631579</v>
      </c>
      <c r="T1" s="3">
        <f t="shared" si="0"/>
        <v>0.14200298953662183</v>
      </c>
      <c r="U1" s="3">
        <f t="shared" si="0"/>
        <v>0.13161875945537066</v>
      </c>
      <c r="V1" s="3">
        <f t="shared" si="0"/>
        <v>0.1196319018404908</v>
      </c>
      <c r="W1" s="3">
        <f t="shared" si="0"/>
        <v>0.13423831070889894</v>
      </c>
      <c r="X1" s="3">
        <f t="shared" si="0"/>
        <v>0.1368421052631579</v>
      </c>
      <c r="Y1" s="3">
        <f t="shared" si="0"/>
        <v>0.12633181126331811</v>
      </c>
      <c r="Z1" s="3"/>
      <c r="AA1" s="3">
        <f t="shared" ref="AA1:AP1" si="1">(AA3)/(AA2+AA3)</f>
        <v>0.13813813813813813</v>
      </c>
      <c r="AB1" s="3">
        <f t="shared" si="1"/>
        <v>0.12366412213740458</v>
      </c>
      <c r="AC1" s="3">
        <f t="shared" si="1"/>
        <v>0.14710252600297177</v>
      </c>
      <c r="AD1" s="3">
        <f t="shared" si="1"/>
        <v>0.16448326055312956</v>
      </c>
      <c r="AE1" s="3">
        <f t="shared" si="1"/>
        <v>0.12633181126331811</v>
      </c>
      <c r="AF1" s="3">
        <f t="shared" si="1"/>
        <v>0.11145510835913312</v>
      </c>
      <c r="AG1" s="3">
        <f t="shared" si="1"/>
        <v>0.11282843894899536</v>
      </c>
      <c r="AH1" s="3">
        <f t="shared" si="1"/>
        <v>0.11419753086419752</v>
      </c>
      <c r="AI1" s="3">
        <f t="shared" si="1"/>
        <v>0.11282843894899536</v>
      </c>
      <c r="AJ1" s="3">
        <f t="shared" si="1"/>
        <v>0.13554216867469879</v>
      </c>
      <c r="AK1" s="3">
        <f t="shared" si="1"/>
        <v>0.15712187958883994</v>
      </c>
      <c r="AL1" s="3">
        <f t="shared" si="1"/>
        <v>0.14200298953662183</v>
      </c>
      <c r="AM1" s="3">
        <f t="shared" si="1"/>
        <v>0.15339233038348082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73</v>
      </c>
      <c r="AH3" s="126">
        <f t="shared" si="4"/>
        <v>74</v>
      </c>
      <c r="AI3" s="126">
        <f t="shared" si="4"/>
        <v>73</v>
      </c>
      <c r="AJ3" s="126">
        <f t="shared" si="4"/>
        <v>90</v>
      </c>
      <c r="AK3" s="126">
        <f t="shared" si="4"/>
        <v>107</v>
      </c>
      <c r="AL3" s="126">
        <f t="shared" si="4"/>
        <v>95</v>
      </c>
      <c r="AM3" s="126">
        <f t="shared" si="4"/>
        <v>104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36</v>
      </c>
      <c r="N4" s="10">
        <f>COUNTIFS(N8:N689, "=APAGADO",F8:F689,"=Fibra Optica")</f>
        <v>31</v>
      </c>
      <c r="O4" s="10">
        <f>COUNTIFS(O8:O689, "=APAGADO",F8:F689,"=Fibra Optica")</f>
        <v>41</v>
      </c>
      <c r="P4" s="10">
        <f>COUNTIFS(P8:P689, "=APAGADO",F8:F689,"=Fibra Optica")</f>
        <v>57</v>
      </c>
      <c r="Q4" s="10">
        <f>COUNTIFS(Q8:Q689, "=APAGADO",F8:F689,"=Fibra Optica")</f>
        <v>48</v>
      </c>
      <c r="R4" s="10">
        <f>COUNTIFS(R8:R689, "=APAGADO",F8:F689,"=Fibra Optica")</f>
        <v>30</v>
      </c>
      <c r="S4" s="10">
        <f>COUNTIFS(S8:S689, "=APAGADO",F8:F689,"=Fibra Optica")</f>
        <v>30</v>
      </c>
      <c r="T4" s="10">
        <f>COUNTIFS(T8:T689, "=APAGADO",F8:F689,"=Fibra Optica")</f>
        <v>33</v>
      </c>
      <c r="U4" s="10">
        <f>COUNTIFS(U8:U689, "=APAGADO",F8:F689,"=Fibra Optica")</f>
        <v>27</v>
      </c>
      <c r="V4" s="10">
        <f>COUNTIFS(V8:V689, "=APAGADO",F8:F689,"=Fibra Optica")</f>
        <v>26</v>
      </c>
      <c r="W4" s="10">
        <f>COUNTIFS(W8:W689, "=APAGADO",F8:F689,"=Fibra Optica")</f>
        <v>35</v>
      </c>
      <c r="X4" s="10">
        <f>COUNTIFS(X8:X689, "=APAGADO",F8:F689,"=Fibra Optica")</f>
        <v>37</v>
      </c>
      <c r="Y4" s="10">
        <f>COUNTIFS(Y8:Y689, "=APAGADO",F8:F689,"=Fibra Optica")</f>
        <v>33</v>
      </c>
      <c r="Z4" s="10">
        <f>COUNTIFS(Z8:Z689, "=APAGADO",F8:F689,"=Fibra Optica")</f>
        <v>29</v>
      </c>
      <c r="AA4" s="10">
        <f>COUNTIFS(AA8:AA689, "=APAGADO",F8:F689,"=Fibra Optica")</f>
        <v>32</v>
      </c>
      <c r="AB4" s="10">
        <f>COUNTIFS(AB8:AB689, "=APAGADO",F8:F689,"=Fibra Optica")</f>
        <v>42</v>
      </c>
      <c r="AC4" s="10">
        <f>COUNTIFS(AC8:AC689, "=APAGADO",F8:F689,"=Fibra Optica")</f>
        <v>61</v>
      </c>
      <c r="AD4" s="10">
        <f>COUNTIFS(AD8:AD689, "=APAGADO",F8:F689,"=Fibra Optica")</f>
        <v>72</v>
      </c>
      <c r="AE4" s="10">
        <f>COUNTIFS(AE8:AE689, "=APAGADO",F8:F689,"=Fibra Optica")</f>
        <v>44</v>
      </c>
      <c r="AF4" s="10">
        <f>COUNTIFS(AF8:AF689, "=APAGADO",F8:F689,"=Fibra Optica")</f>
        <v>36</v>
      </c>
      <c r="AG4" s="10">
        <f>COUNTIFS(AG8:AG689, "=APAGADO",F8:F689,"=Fibra Optica")</f>
        <v>37</v>
      </c>
      <c r="AH4" s="10">
        <f>COUNTIFS(AH8:AH689, "=APAGADO",F8:F689,"=Fibra Optica")</f>
        <v>37</v>
      </c>
      <c r="AI4" s="10">
        <f>COUNTIFS(AI8:AI689, "=APAGADO",F8:F689,"=Fibra Optica")</f>
        <v>35</v>
      </c>
      <c r="AJ4" s="10">
        <f>COUNTIFS(AJ8:AJ689, "=APAGADO",F8:F689,"=Fibra Optica")</f>
        <v>38</v>
      </c>
      <c r="AK4" s="10">
        <f>COUNTIFS(AK8:AK689, "=APAGADO",F8:F689,"=Fibra Optica")</f>
        <v>57</v>
      </c>
      <c r="AL4" s="10">
        <f>COUNTIFS(AL8:AL689, "=APAGADO",F8:F689,"=Fibra Optica")</f>
        <v>46</v>
      </c>
      <c r="AM4" s="10">
        <f>COUNTIFS(AM8:AM689, "=APAGADO",F8:F689,"=Fibra Optica")</f>
        <v>61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9</v>
      </c>
      <c r="N5" s="130">
        <f>COUNTIFS(N8:N689, "=APAGADO",F8:F689,"=RADIO")</f>
        <v>9</v>
      </c>
      <c r="O5" s="130">
        <f>COUNTIFS(O8:O689, "=APAGADO",F8:F689,"=RADIO")</f>
        <v>9</v>
      </c>
      <c r="P5" s="130">
        <f>COUNTIFS(P8:P689, "=APAGADO",F8:F689,"=RADIO")</f>
        <v>16</v>
      </c>
      <c r="Q5" s="130">
        <f>COUNTIFS(Q8:Q689, "=APAGADO",F8:F689,"=RADIO")</f>
        <v>15</v>
      </c>
      <c r="R5" s="130">
        <f>COUNTIFS(R8:R689, "=APAGADO",F8:F689,"=RADIO")</f>
        <v>15</v>
      </c>
      <c r="S5" s="130">
        <f>COUNTIFS(S8:S689, "=APAGADO",F8:F689,"=RADIO")</f>
        <v>15</v>
      </c>
      <c r="T5" s="130">
        <f>COUNTIFS(T8:T689, "=APAGADO",F8:F689,"=RADIO")</f>
        <v>15</v>
      </c>
      <c r="U5" s="130">
        <f>COUNTIFS(U8:U689, "=APAGADO",F8:F689,"=RADIO")</f>
        <v>15</v>
      </c>
      <c r="V5" s="130">
        <f>COUNTIFS(V8:V689, "=APAGADO",F8:F689,"=RADIO")</f>
        <v>8</v>
      </c>
      <c r="W5" s="130">
        <f>COUNTIFS(W8:W689, "=APAGADO",F8:F689,"=RADIO")</f>
        <v>3</v>
      </c>
      <c r="X5" s="130">
        <f>COUNTIFS(X8:X689, "=APAGADO",F8:F689,"=RADIO")</f>
        <v>5</v>
      </c>
      <c r="Y5" s="130">
        <f>COUNTIFS(Y8:Y689, "=APAGADO",F8:F689,"=RADIO")</f>
        <v>2</v>
      </c>
      <c r="Z5" s="130">
        <f>COUNTIFS(Z8:Z689, "=APAGADO",F8:F689,"=RADIO")</f>
        <v>2</v>
      </c>
      <c r="AA5" s="130">
        <f>COUNTIFS(AA8:AA689, "=APAGADO",F8:F689,"=RADIO")</f>
        <v>11</v>
      </c>
      <c r="AB5" s="130">
        <f>COUNTIFS(AB8:AB689, "=APAGADO",F8:F689,"=RADIO")</f>
        <v>2</v>
      </c>
      <c r="AC5" s="130">
        <f>COUNTIFS(AC8:AC689, "=APAGADO",F8:F689,"=RADIO")</f>
        <v>4</v>
      </c>
      <c r="AD5" s="130">
        <f>COUNTIFS(AD8:AD689, "=APAGADO",F8:F689,"=RADIO")</f>
        <v>2</v>
      </c>
      <c r="AE5" s="130">
        <f>COUNTIFS(AE8:AE689, "=APAGADO",F8:F689,"=RADIO")</f>
        <v>5</v>
      </c>
      <c r="AF5" s="130">
        <f>COUNTIFS(AF8:AF689, "=APAGADO",F8:F689,"=RADIO")</f>
        <v>4</v>
      </c>
      <c r="AG5" s="130">
        <f>COUNTIFS(AG8:AG689, "=APAGADO",F8:F689,"=RADIO")</f>
        <v>5</v>
      </c>
      <c r="AH5" s="130">
        <f>COUNTIFS(AH8:AH689, "=APAGADO",F8:F689,"=RADIO")</f>
        <v>5</v>
      </c>
      <c r="AI5" s="130">
        <f>COUNTIFS(AI8:AI689, "=APAGADO",F8:F689,"=RADIO")</f>
        <v>5</v>
      </c>
      <c r="AJ5" s="130">
        <f>COUNTIFS(AJ8:AJ689, "=APAGADO",F8:F689,"=RADIO")</f>
        <v>5</v>
      </c>
      <c r="AK5" s="130">
        <f>COUNTIFS(AK8:AK689, "=APAGADO",F8:F689,"=RADIO")</f>
        <v>5</v>
      </c>
      <c r="AL5" s="130">
        <f>COUNTIFS(AL8:AL689, "=APAGADO",F8:F689,"=RADIO")</f>
        <v>5</v>
      </c>
      <c r="AM5" s="130">
        <f>COUNTIFS(AM8:AM689, "=APAGADO",F8:F689,"=RADIO")</f>
        <v>6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13</v>
      </c>
      <c r="N6" s="10">
        <f>COUNTIFS(N8:N689, "=APAGADO",F8:F689,"=PTO A FO")</f>
        <v>6</v>
      </c>
      <c r="O6" s="10">
        <f>COUNTIFS(O8:O689, "=APAGADO",F8:F689,"=PTO A FO")</f>
        <v>6</v>
      </c>
      <c r="P6" s="10">
        <f>COUNTIFS(P8:P689, "=APAGADO",F8:F689,"=PTO A FO")</f>
        <v>11</v>
      </c>
      <c r="Q6" s="10">
        <f>COUNTIFS(Q8:Q689, "=APAGADO",F8:F689,"=PTO A FO")</f>
        <v>8</v>
      </c>
      <c r="R6" s="10">
        <f>COUNTIFS(R8:R689, "=APAGADO",F8:F689,"=PTO A FO")</f>
        <v>5</v>
      </c>
      <c r="S6" s="10">
        <f>COUNTIFS(S8:S689, "=APAGADO",F8:F689,"=PTO A FO")</f>
        <v>5</v>
      </c>
      <c r="T6" s="10">
        <f>COUNTIFS(T8:T689, "=APAGADO",F8:F689,"=PTO A FO")</f>
        <v>7</v>
      </c>
      <c r="U6" s="10">
        <f>COUNTIFS(U8:U689, "=APAGADO",F8:F689,"=PTO A FO")</f>
        <v>5</v>
      </c>
      <c r="V6" s="10">
        <f>COUNTIFS(V8:V689, "=APAGADO",F8:F689,"=PTO A FO")</f>
        <v>5</v>
      </c>
      <c r="W6" s="10">
        <f>COUNTIFS(W8:W689, "=APAGADO",F8:F689,"=PTO A FO")</f>
        <v>8</v>
      </c>
      <c r="X6" s="10">
        <f>COUNTIFS(X8:X689, "=APAGADO",F8:F689,"=PTO A FO")</f>
        <v>8</v>
      </c>
      <c r="Y6" s="10">
        <f>COUNTIFS(Y8:Y689, "=APAGADO",F8:F689,"=PTO A FO")</f>
        <v>6</v>
      </c>
      <c r="Z6" s="10">
        <f>COUNTIFS(Z8:Z689, "=APAGADO",F8:F689,"=PTO A FO")</f>
        <v>6</v>
      </c>
      <c r="AA6" s="10">
        <f>COUNTIFS(AA8:AA689, "=APAGADO",F8:F689,"=PTO A FO")</f>
        <v>6</v>
      </c>
      <c r="AB6" s="10">
        <f>COUNTIFS(AB8:AB689, "=APAGADO",F8:F689,"=PTO A FO")</f>
        <v>6</v>
      </c>
      <c r="AC6" s="10">
        <f>COUNTIFS(AC8:AC689, "=APAGADO",F8:F689,"=PTO A FO")</f>
        <v>8</v>
      </c>
      <c r="AD6" s="10">
        <f>COUNTIFS(AD8:AD689, "=APAGADO",F8:F689,"=PTO A FO")</f>
        <v>11</v>
      </c>
      <c r="AE6" s="10">
        <f>COUNTIFS(AE8:AE689, "=APAGADO",F8:F689,"=PTO A FO")</f>
        <v>3</v>
      </c>
      <c r="AF6" s="10">
        <f>COUNTIFS(AF8:AF689, "=APAGADO",F8:F689,"=PTO A FO")</f>
        <v>4</v>
      </c>
      <c r="AG6" s="10">
        <f>COUNTIFS(AG8:AG689, "=APAGADO",F8:F689,"=PTO A FO")</f>
        <v>3</v>
      </c>
      <c r="AH6" s="10">
        <f>COUNTIFS(AH8:AH689, "=APAGADO",F8:F689,"=PTO A FO")</f>
        <v>4</v>
      </c>
      <c r="AI6" s="10">
        <f>COUNTIFS(AI8:AI689, "=APAGADO",F8:F689,"=PTO A FO")</f>
        <v>6</v>
      </c>
      <c r="AJ6" s="10">
        <f>COUNTIFS(AJ8:AJ689, "=APAGADO",F8:F689,"=PTO A FO")</f>
        <v>14</v>
      </c>
      <c r="AK6" s="10">
        <f>COUNTIFS(AK8:AK689, "=APAGADO",F8:F689,"=PTO A FO")</f>
        <v>12</v>
      </c>
      <c r="AL6" s="10">
        <f>COUNTIFS(AL8:AL689, "=APAGADO",F8:F689,"=PTO A FO")</f>
        <v>12</v>
      </c>
      <c r="AM6" s="10">
        <f>COUNTIFS(AM8:AM689, "=APAGADO",F8:F689,"=PTO A FO")</f>
        <v>11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16</v>
      </c>
      <c r="J8" s="147" t="s">
        <v>1667</v>
      </c>
      <c r="K8" s="31">
        <f t="shared" ref="K8:K85" si="6">COUNTIF(M8:AN8,"APAGADO")</f>
        <v>12</v>
      </c>
      <c r="L8" s="32">
        <f t="shared" ref="L8:L85" si="7">(I8)/(K8+I8)</f>
        <v>0.5714285714285714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 t="s">
        <v>2213</v>
      </c>
      <c r="AJ8" s="70" t="s">
        <v>2213</v>
      </c>
      <c r="AK8" s="70" t="s">
        <v>2213</v>
      </c>
      <c r="AL8" s="70" t="s">
        <v>2213</v>
      </c>
      <c r="AM8" s="70" t="s">
        <v>2213</v>
      </c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16</v>
      </c>
      <c r="J9" s="147" t="s">
        <v>1668</v>
      </c>
      <c r="K9" s="31">
        <f t="shared" si="6"/>
        <v>12</v>
      </c>
      <c r="L9" s="32">
        <f t="shared" si="7"/>
        <v>0.5714285714285714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 t="s">
        <v>2213</v>
      </c>
      <c r="AJ9" s="70" t="s">
        <v>2213</v>
      </c>
      <c r="AK9" s="70" t="s">
        <v>2213</v>
      </c>
      <c r="AL9" s="70" t="s">
        <v>2213</v>
      </c>
      <c r="AM9" s="70" t="s">
        <v>2213</v>
      </c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16</v>
      </c>
      <c r="J14" s="147" t="s">
        <v>1673</v>
      </c>
      <c r="K14" s="31">
        <f t="shared" si="6"/>
        <v>12</v>
      </c>
      <c r="L14" s="32">
        <f t="shared" si="7"/>
        <v>0.5714285714285714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 t="s">
        <v>2213</v>
      </c>
      <c r="AJ14" s="70" t="s">
        <v>2213</v>
      </c>
      <c r="AK14" s="70" t="s">
        <v>2213</v>
      </c>
      <c r="AL14" s="70" t="s">
        <v>2213</v>
      </c>
      <c r="AM14" s="70" t="s">
        <v>2213</v>
      </c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</v>
      </c>
      <c r="J17" s="150" t="s">
        <v>1676</v>
      </c>
      <c r="K17" s="142">
        <f t="shared" si="6"/>
        <v>26</v>
      </c>
      <c r="L17" s="143">
        <f t="shared" si="7"/>
        <v>7.1428571428571425E-2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 t="s">
        <v>2213</v>
      </c>
      <c r="AH17" s="70" t="s">
        <v>2213</v>
      </c>
      <c r="AI17" s="70" t="s">
        <v>2213</v>
      </c>
      <c r="AJ17" s="70" t="s">
        <v>2213</v>
      </c>
      <c r="AK17" s="70" t="s">
        <v>2213</v>
      </c>
      <c r="AL17" s="70" t="s">
        <v>2213</v>
      </c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</v>
      </c>
      <c r="J19" s="147" t="s">
        <v>1677</v>
      </c>
      <c r="K19" s="31">
        <f t="shared" si="6"/>
        <v>26</v>
      </c>
      <c r="L19" s="32">
        <f t="shared" si="7"/>
        <v>7.1428571428571425E-2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 t="s">
        <v>2213</v>
      </c>
      <c r="AH19" s="70" t="s">
        <v>2213</v>
      </c>
      <c r="AI19" s="70"/>
      <c r="AJ19" s="70" t="s">
        <v>2213</v>
      </c>
      <c r="AK19" s="70" t="s">
        <v>2213</v>
      </c>
      <c r="AL19" s="70" t="s">
        <v>2213</v>
      </c>
      <c r="AM19" s="70" t="s">
        <v>2213</v>
      </c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</v>
      </c>
      <c r="J20" s="147" t="s">
        <v>1678</v>
      </c>
      <c r="K20" s="31">
        <f t="shared" si="6"/>
        <v>26</v>
      </c>
      <c r="L20" s="32">
        <f t="shared" si="7"/>
        <v>7.1428571428571425E-2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 t="s">
        <v>2213</v>
      </c>
      <c r="AH20" s="70" t="s">
        <v>2213</v>
      </c>
      <c r="AI20" s="70"/>
      <c r="AJ20" s="70" t="s">
        <v>2213</v>
      </c>
      <c r="AK20" s="70" t="s">
        <v>2213</v>
      </c>
      <c r="AL20" s="70" t="s">
        <v>2213</v>
      </c>
      <c r="AM20" s="70" t="s">
        <v>2213</v>
      </c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27</v>
      </c>
      <c r="J21" s="147" t="s">
        <v>1679</v>
      </c>
      <c r="K21" s="31">
        <f t="shared" si="6"/>
        <v>1</v>
      </c>
      <c r="L21" s="32">
        <f t="shared" si="7"/>
        <v>0.9642857142857143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 t="s">
        <v>2213</v>
      </c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27</v>
      </c>
      <c r="J24" s="147" t="s">
        <v>1682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2213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27</v>
      </c>
      <c r="J25" s="147" t="s">
        <v>1683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2213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27</v>
      </c>
      <c r="J26" s="147" t="s">
        <v>1684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2213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27</v>
      </c>
      <c r="J27" s="147" t="s">
        <v>1685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2213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</v>
      </c>
      <c r="J34" s="147" t="s">
        <v>1689</v>
      </c>
      <c r="K34" s="134">
        <f t="shared" si="6"/>
        <v>27</v>
      </c>
      <c r="L34" s="135">
        <f t="shared" si="7"/>
        <v>3.5714285714285712E-2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 t="s">
        <v>2213</v>
      </c>
      <c r="AH34" s="136" t="s">
        <v>2213</v>
      </c>
      <c r="AI34" s="136" t="s">
        <v>2213</v>
      </c>
      <c r="AJ34" s="136" t="s">
        <v>2213</v>
      </c>
      <c r="AK34" s="136" t="s">
        <v>2213</v>
      </c>
      <c r="AL34" s="136" t="s">
        <v>2213</v>
      </c>
      <c r="AM34" s="136" t="s">
        <v>2213</v>
      </c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</v>
      </c>
      <c r="J36" s="87" t="s">
        <v>2157</v>
      </c>
      <c r="K36" s="142">
        <f t="shared" si="6"/>
        <v>27</v>
      </c>
      <c r="L36" s="143">
        <f t="shared" si="7"/>
        <v>3.5714285714285712E-2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 t="s">
        <v>2213</v>
      </c>
      <c r="AH36" s="70" t="s">
        <v>2213</v>
      </c>
      <c r="AI36" s="70" t="s">
        <v>2213</v>
      </c>
      <c r="AJ36" s="70" t="s">
        <v>2213</v>
      </c>
      <c r="AK36" s="70" t="s">
        <v>2213</v>
      </c>
      <c r="AL36" s="70" t="s">
        <v>2213</v>
      </c>
      <c r="AM36" s="70" t="s">
        <v>2213</v>
      </c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20</v>
      </c>
      <c r="J38" s="147" t="s">
        <v>1690</v>
      </c>
      <c r="K38" s="31">
        <f t="shared" si="6"/>
        <v>8</v>
      </c>
      <c r="L38" s="32">
        <f t="shared" si="7"/>
        <v>0.7142857142857143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 t="s">
        <v>2213</v>
      </c>
      <c r="AH38" s="70" t="s">
        <v>2213</v>
      </c>
      <c r="AI38" s="70"/>
      <c r="AJ38" s="70"/>
      <c r="AK38" s="70" t="s">
        <v>2213</v>
      </c>
      <c r="AL38" s="70"/>
      <c r="AM38" s="70" t="s">
        <v>2213</v>
      </c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20</v>
      </c>
      <c r="J39" s="147" t="s">
        <v>1691</v>
      </c>
      <c r="K39" s="31">
        <f t="shared" si="6"/>
        <v>8</v>
      </c>
      <c r="L39" s="32">
        <f t="shared" si="7"/>
        <v>0.7142857142857143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 t="s">
        <v>2213</v>
      </c>
      <c r="AH39" s="70" t="s">
        <v>2213</v>
      </c>
      <c r="AI39" s="70"/>
      <c r="AJ39" s="70"/>
      <c r="AK39" s="70" t="s">
        <v>2213</v>
      </c>
      <c r="AL39" s="70"/>
      <c r="AM39" s="70" t="s">
        <v>2213</v>
      </c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18</v>
      </c>
      <c r="J43" s="87" t="s">
        <v>2192</v>
      </c>
      <c r="K43" s="31">
        <f t="shared" si="6"/>
        <v>10</v>
      </c>
      <c r="L43" s="32">
        <f t="shared" si="7"/>
        <v>0.6428571428571429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 t="s">
        <v>2213</v>
      </c>
      <c r="AH43" s="70" t="s">
        <v>2213</v>
      </c>
      <c r="AI43" s="70" t="s">
        <v>2213</v>
      </c>
      <c r="AJ43" s="70"/>
      <c r="AK43" s="70" t="s">
        <v>2213</v>
      </c>
      <c r="AL43" s="70"/>
      <c r="AM43" s="70" t="s">
        <v>2213</v>
      </c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27</v>
      </c>
      <c r="J44" s="153" t="s">
        <v>2248</v>
      </c>
      <c r="K44" s="31">
        <f t="shared" si="6"/>
        <v>1</v>
      </c>
      <c r="L44" s="32">
        <f t="shared" si="7"/>
        <v>0.9642857142857143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 t="s">
        <v>2213</v>
      </c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27</v>
      </c>
      <c r="J45" s="153" t="s">
        <v>2253</v>
      </c>
      <c r="K45" s="31">
        <f t="shared" si="6"/>
        <v>1</v>
      </c>
      <c r="L45" s="32">
        <f t="shared" si="7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 t="s">
        <v>2213</v>
      </c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1718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 t="s">
        <v>2213</v>
      </c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25</v>
      </c>
      <c r="J88" s="147" t="s">
        <v>1732</v>
      </c>
      <c r="K88" s="31">
        <f t="shared" si="9"/>
        <v>3</v>
      </c>
      <c r="L88" s="32">
        <f t="shared" si="10"/>
        <v>0.8928571428571429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 t="s">
        <v>2213</v>
      </c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3</v>
      </c>
      <c r="J89" s="147" t="s">
        <v>1733</v>
      </c>
      <c r="K89" s="31">
        <f t="shared" si="9"/>
        <v>25</v>
      </c>
      <c r="L89" s="32">
        <f t="shared" si="10"/>
        <v>0.10714285714285714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 t="s">
        <v>2213</v>
      </c>
      <c r="AH89" s="70" t="s">
        <v>2213</v>
      </c>
      <c r="AI89" s="70" t="s">
        <v>2213</v>
      </c>
      <c r="AJ89" s="70" t="s">
        <v>2213</v>
      </c>
      <c r="AK89" s="70" t="s">
        <v>2213</v>
      </c>
      <c r="AL89" s="70" t="s">
        <v>2213</v>
      </c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25</v>
      </c>
      <c r="J95" s="147" t="s">
        <v>1739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 t="s">
        <v>2213</v>
      </c>
      <c r="AK95" s="70" t="s">
        <v>2213</v>
      </c>
      <c r="AL95" s="70" t="s">
        <v>2213</v>
      </c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</v>
      </c>
      <c r="J99" s="147" t="s">
        <v>1743</v>
      </c>
      <c r="K99" s="142">
        <f t="shared" si="9"/>
        <v>26</v>
      </c>
      <c r="L99" s="143">
        <f t="shared" si="10"/>
        <v>7.1428571428571425E-2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 t="s">
        <v>2213</v>
      </c>
      <c r="AH99" s="70" t="s">
        <v>2213</v>
      </c>
      <c r="AI99" s="70" t="s">
        <v>2213</v>
      </c>
      <c r="AJ99" s="70" t="s">
        <v>2213</v>
      </c>
      <c r="AK99" s="70" t="s">
        <v>2213</v>
      </c>
      <c r="AL99" s="70" t="s">
        <v>2213</v>
      </c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24</v>
      </c>
      <c r="J112" s="147" t="s">
        <v>1756</v>
      </c>
      <c r="K112" s="142">
        <f t="shared" si="9"/>
        <v>4</v>
      </c>
      <c r="L112" s="143">
        <f t="shared" si="10"/>
        <v>0.8571428571428571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 t="s">
        <v>2213</v>
      </c>
      <c r="AK112" s="70" t="s">
        <v>2213</v>
      </c>
      <c r="AL112" s="70" t="s">
        <v>2213</v>
      </c>
      <c r="AM112" s="70" t="s">
        <v>2213</v>
      </c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24</v>
      </c>
      <c r="J113" s="147" t="s">
        <v>1755</v>
      </c>
      <c r="K113" s="142">
        <f t="shared" si="9"/>
        <v>4</v>
      </c>
      <c r="L113" s="143">
        <f t="shared" si="10"/>
        <v>0.8571428571428571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 t="s">
        <v>2213</v>
      </c>
      <c r="AK113" s="70" t="s">
        <v>2213</v>
      </c>
      <c r="AL113" s="70" t="s">
        <v>2213</v>
      </c>
      <c r="AM113" s="70" t="s">
        <v>2213</v>
      </c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16</v>
      </c>
      <c r="J130" s="147" t="s">
        <v>1773</v>
      </c>
      <c r="K130" s="31">
        <f t="shared" si="9"/>
        <v>12</v>
      </c>
      <c r="L130" s="32">
        <f t="shared" si="10"/>
        <v>0.5714285714285714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 t="s">
        <v>2213</v>
      </c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25</v>
      </c>
      <c r="J132" s="147" t="s">
        <v>1775</v>
      </c>
      <c r="K132" s="142">
        <f t="shared" si="9"/>
        <v>3</v>
      </c>
      <c r="L132" s="143">
        <f t="shared" si="10"/>
        <v>0.8928571428571429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 t="s">
        <v>2213</v>
      </c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16</v>
      </c>
      <c r="J151" s="87"/>
      <c r="K151" s="31">
        <f t="shared" si="9"/>
        <v>12</v>
      </c>
      <c r="L151" s="32">
        <f t="shared" si="10"/>
        <v>0.5714285714285714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 t="s">
        <v>2213</v>
      </c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</v>
      </c>
      <c r="J168" s="147" t="s">
        <v>1801</v>
      </c>
      <c r="K168" s="31">
        <f t="shared" si="12"/>
        <v>27</v>
      </c>
      <c r="L168" s="32">
        <f t="shared" si="13"/>
        <v>3.5714285714285712E-2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 t="s">
        <v>2213</v>
      </c>
      <c r="AH168" s="70" t="s">
        <v>2213</v>
      </c>
      <c r="AI168" s="70" t="s">
        <v>2213</v>
      </c>
      <c r="AJ168" s="70" t="s">
        <v>2213</v>
      </c>
      <c r="AK168" s="70" t="s">
        <v>2213</v>
      </c>
      <c r="AL168" s="70" t="s">
        <v>2213</v>
      </c>
      <c r="AM168" s="70" t="s">
        <v>2213</v>
      </c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18</v>
      </c>
      <c r="J169" s="147" t="s">
        <v>1802</v>
      </c>
      <c r="K169" s="31">
        <f t="shared" si="12"/>
        <v>10</v>
      </c>
      <c r="L169" s="32">
        <f t="shared" si="13"/>
        <v>0.6428571428571429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 t="s">
        <v>2213</v>
      </c>
      <c r="AH169" s="70" t="s">
        <v>2213</v>
      </c>
      <c r="AI169" s="70" t="s">
        <v>2213</v>
      </c>
      <c r="AJ169" s="70" t="s">
        <v>2213</v>
      </c>
      <c r="AK169" s="70" t="s">
        <v>2213</v>
      </c>
      <c r="AL169" s="70" t="s">
        <v>2213</v>
      </c>
      <c r="AM169" s="70" t="s">
        <v>2213</v>
      </c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17</v>
      </c>
      <c r="J180" s="147" t="s">
        <v>1812</v>
      </c>
      <c r="K180" s="31">
        <f t="shared" si="12"/>
        <v>11</v>
      </c>
      <c r="L180" s="32">
        <f t="shared" si="13"/>
        <v>0.6071428571428571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 t="s">
        <v>2213</v>
      </c>
      <c r="AH180" s="70" t="s">
        <v>2213</v>
      </c>
      <c r="AI180" s="70" t="s">
        <v>2213</v>
      </c>
      <c r="AJ180" s="70" t="s">
        <v>2213</v>
      </c>
      <c r="AK180" s="70" t="s">
        <v>2213</v>
      </c>
      <c r="AL180" s="70" t="s">
        <v>2213</v>
      </c>
      <c r="AM180" s="70" t="s">
        <v>2213</v>
      </c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17</v>
      </c>
      <c r="J181" s="147" t="s">
        <v>1813</v>
      </c>
      <c r="K181" s="31">
        <f t="shared" si="12"/>
        <v>11</v>
      </c>
      <c r="L181" s="32">
        <f t="shared" si="13"/>
        <v>0.6071428571428571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 t="s">
        <v>2213</v>
      </c>
      <c r="AH181" s="70" t="s">
        <v>2213</v>
      </c>
      <c r="AI181" s="70" t="s">
        <v>2213</v>
      </c>
      <c r="AJ181" s="70" t="s">
        <v>2213</v>
      </c>
      <c r="AK181" s="70" t="s">
        <v>2213</v>
      </c>
      <c r="AL181" s="70" t="s">
        <v>2213</v>
      </c>
      <c r="AM181" s="70" t="s">
        <v>2213</v>
      </c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17</v>
      </c>
      <c r="J182" s="147" t="s">
        <v>1814</v>
      </c>
      <c r="K182" s="31">
        <f t="shared" si="12"/>
        <v>11</v>
      </c>
      <c r="L182" s="32">
        <f t="shared" si="13"/>
        <v>0.6071428571428571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 t="s">
        <v>2213</v>
      </c>
      <c r="AH182" s="70" t="s">
        <v>2213</v>
      </c>
      <c r="AI182" s="70" t="s">
        <v>2213</v>
      </c>
      <c r="AJ182" s="70" t="s">
        <v>2213</v>
      </c>
      <c r="AK182" s="70" t="s">
        <v>2213</v>
      </c>
      <c r="AL182" s="70" t="s">
        <v>2213</v>
      </c>
      <c r="AM182" s="70" t="s">
        <v>2213</v>
      </c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15</v>
      </c>
      <c r="J183" s="147" t="s">
        <v>1815</v>
      </c>
      <c r="K183" s="31">
        <f t="shared" si="12"/>
        <v>13</v>
      </c>
      <c r="L183" s="32">
        <f t="shared" si="13"/>
        <v>0.5357142857142857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 t="s">
        <v>2213</v>
      </c>
      <c r="AH183" s="70" t="s">
        <v>2213</v>
      </c>
      <c r="AI183" s="70" t="s">
        <v>2213</v>
      </c>
      <c r="AJ183" s="70" t="s">
        <v>2213</v>
      </c>
      <c r="AK183" s="70" t="s">
        <v>2213</v>
      </c>
      <c r="AL183" s="70" t="s">
        <v>2213</v>
      </c>
      <c r="AM183" s="70" t="s">
        <v>2213</v>
      </c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27</v>
      </c>
      <c r="J191" s="147" t="s">
        <v>1820</v>
      </c>
      <c r="K191" s="31">
        <f t="shared" si="12"/>
        <v>1</v>
      </c>
      <c r="L191" s="32">
        <f t="shared" si="13"/>
        <v>0.9642857142857143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 t="s">
        <v>2213</v>
      </c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27</v>
      </c>
      <c r="J192" s="147" t="s">
        <v>1821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 t="s">
        <v>2213</v>
      </c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2</v>
      </c>
      <c r="J193" s="87"/>
      <c r="K193" s="138">
        <f t="shared" si="12"/>
        <v>26</v>
      </c>
      <c r="L193" s="139">
        <f t="shared" si="13"/>
        <v>7.1428571428571425E-2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 t="s">
        <v>2213</v>
      </c>
      <c r="AH193" s="140" t="s">
        <v>2213</v>
      </c>
      <c r="AI193" s="140" t="s">
        <v>2213</v>
      </c>
      <c r="AJ193" s="140" t="s">
        <v>2213</v>
      </c>
      <c r="AK193" s="140" t="s">
        <v>2213</v>
      </c>
      <c r="AL193" s="140" t="s">
        <v>2213</v>
      </c>
      <c r="AM193" s="140" t="s">
        <v>2213</v>
      </c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12</v>
      </c>
      <c r="J194" s="147" t="s">
        <v>1822</v>
      </c>
      <c r="K194" s="142">
        <f t="shared" si="12"/>
        <v>16</v>
      </c>
      <c r="L194" s="143">
        <f t="shared" si="13"/>
        <v>0.42857142857142855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 t="s">
        <v>2213</v>
      </c>
      <c r="AH194" s="70" t="s">
        <v>2213</v>
      </c>
      <c r="AI194" s="70" t="s">
        <v>2213</v>
      </c>
      <c r="AJ194" s="70" t="s">
        <v>2213</v>
      </c>
      <c r="AK194" s="70" t="s">
        <v>2213</v>
      </c>
      <c r="AL194" s="70" t="s">
        <v>2213</v>
      </c>
      <c r="AM194" s="70" t="s">
        <v>2213</v>
      </c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9</v>
      </c>
      <c r="J195" s="147" t="s">
        <v>1823</v>
      </c>
      <c r="K195" s="142">
        <f t="shared" si="12"/>
        <v>19</v>
      </c>
      <c r="L195" s="143">
        <f t="shared" si="13"/>
        <v>0.32142857142857145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 t="s">
        <v>2213</v>
      </c>
      <c r="AH195" s="70"/>
      <c r="AI195" s="70" t="s">
        <v>2213</v>
      </c>
      <c r="AJ195" s="70" t="s">
        <v>2213</v>
      </c>
      <c r="AK195" s="70" t="s">
        <v>2213</v>
      </c>
      <c r="AL195" s="70" t="s">
        <v>2213</v>
      </c>
      <c r="AM195" s="70" t="s">
        <v>2213</v>
      </c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19</v>
      </c>
      <c r="J200" s="147" t="s">
        <v>1827</v>
      </c>
      <c r="K200" s="142">
        <f t="shared" si="12"/>
        <v>9</v>
      </c>
      <c r="L200" s="143">
        <f t="shared" si="13"/>
        <v>0.6785714285714286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 t="s">
        <v>2213</v>
      </c>
      <c r="AK200" s="70"/>
      <c r="AL200" s="70" t="s">
        <v>2213</v>
      </c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1</v>
      </c>
      <c r="J201" s="147" t="s">
        <v>1828</v>
      </c>
      <c r="K201" s="31">
        <f t="shared" si="12"/>
        <v>27</v>
      </c>
      <c r="L201" s="32">
        <f t="shared" si="13"/>
        <v>3.5714285714285712E-2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 t="s">
        <v>2213</v>
      </c>
      <c r="AH201" s="70" t="s">
        <v>2213</v>
      </c>
      <c r="AI201" s="70" t="s">
        <v>2213</v>
      </c>
      <c r="AJ201" s="70" t="s">
        <v>2213</v>
      </c>
      <c r="AK201" s="70" t="s">
        <v>2213</v>
      </c>
      <c r="AL201" s="70" t="s">
        <v>2213</v>
      </c>
      <c r="AM201" s="70" t="s">
        <v>2213</v>
      </c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26</v>
      </c>
      <c r="J205" s="147" t="s">
        <v>1832</v>
      </c>
      <c r="K205" s="31">
        <f t="shared" si="12"/>
        <v>2</v>
      </c>
      <c r="L205" s="32">
        <f t="shared" si="13"/>
        <v>0.9285714285714286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 t="s">
        <v>2213</v>
      </c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26</v>
      </c>
      <c r="J206" s="147" t="s">
        <v>1833</v>
      </c>
      <c r="K206" s="31">
        <f t="shared" si="12"/>
        <v>2</v>
      </c>
      <c r="L206" s="32">
        <f t="shared" si="13"/>
        <v>0.9285714285714286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 t="s">
        <v>2213</v>
      </c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11</v>
      </c>
      <c r="J211" s="147" t="s">
        <v>1837</v>
      </c>
      <c r="K211" s="142">
        <f t="shared" si="12"/>
        <v>17</v>
      </c>
      <c r="L211" s="143">
        <f t="shared" si="13"/>
        <v>0.39285714285714285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 t="s">
        <v>2213</v>
      </c>
      <c r="AH211" s="70" t="s">
        <v>2213</v>
      </c>
      <c r="AI211" s="70" t="s">
        <v>2213</v>
      </c>
      <c r="AJ211" s="70" t="s">
        <v>2213</v>
      </c>
      <c r="AK211" s="70" t="s">
        <v>2213</v>
      </c>
      <c r="AL211" s="70" t="s">
        <v>2213</v>
      </c>
      <c r="AM211" s="70" t="s">
        <v>2213</v>
      </c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6</v>
      </c>
      <c r="J217" s="147" t="s">
        <v>1842</v>
      </c>
      <c r="K217" s="142">
        <f t="shared" si="12"/>
        <v>22</v>
      </c>
      <c r="L217" s="143">
        <f t="shared" si="13"/>
        <v>0.21428571428571427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 t="s">
        <v>2213</v>
      </c>
      <c r="AH217" s="70" t="s">
        <v>2213</v>
      </c>
      <c r="AI217" s="70" t="s">
        <v>2213</v>
      </c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9</v>
      </c>
      <c r="J219" s="87"/>
      <c r="K219" s="31">
        <f t="shared" si="12"/>
        <v>19</v>
      </c>
      <c r="L219" s="32">
        <f t="shared" si="13"/>
        <v>0.32142857142857145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 t="s">
        <v>2213</v>
      </c>
      <c r="AH219" s="70" t="s">
        <v>2213</v>
      </c>
      <c r="AI219" s="70" t="s">
        <v>2213</v>
      </c>
      <c r="AJ219" s="70" t="s">
        <v>2213</v>
      </c>
      <c r="AK219" s="70" t="s">
        <v>2213</v>
      </c>
      <c r="AL219" s="70" t="s">
        <v>2213</v>
      </c>
      <c r="AM219" s="70" t="s">
        <v>2213</v>
      </c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9</v>
      </c>
      <c r="J220" s="87"/>
      <c r="K220" s="31">
        <f t="shared" si="12"/>
        <v>19</v>
      </c>
      <c r="L220" s="32">
        <f t="shared" si="13"/>
        <v>0.32142857142857145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 t="s">
        <v>2213</v>
      </c>
      <c r="AH220" s="70" t="s">
        <v>2213</v>
      </c>
      <c r="AI220" s="70" t="s">
        <v>2213</v>
      </c>
      <c r="AJ220" s="70" t="s">
        <v>2213</v>
      </c>
      <c r="AK220" s="70" t="s">
        <v>2213</v>
      </c>
      <c r="AL220" s="70" t="s">
        <v>2213</v>
      </c>
      <c r="AM220" s="70" t="s">
        <v>2213</v>
      </c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16</v>
      </c>
      <c r="J232" s="147" t="s">
        <v>1852</v>
      </c>
      <c r="K232" s="31">
        <f t="shared" si="12"/>
        <v>12</v>
      </c>
      <c r="L232" s="32">
        <f t="shared" si="13"/>
        <v>0.5714285714285714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 t="s">
        <v>2213</v>
      </c>
      <c r="AJ232" s="70" t="s">
        <v>2213</v>
      </c>
      <c r="AK232" s="70" t="s">
        <v>2213</v>
      </c>
      <c r="AL232" s="70" t="s">
        <v>2213</v>
      </c>
      <c r="AM232" s="70" t="s">
        <v>2213</v>
      </c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1853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 t="s">
        <v>2213</v>
      </c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2</v>
      </c>
      <c r="J234" s="147" t="s">
        <v>1854</v>
      </c>
      <c r="K234" s="31">
        <f t="shared" si="12"/>
        <v>26</v>
      </c>
      <c r="L234" s="32">
        <f t="shared" si="13"/>
        <v>7.1428571428571425E-2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 t="s">
        <v>2213</v>
      </c>
      <c r="AH234" s="70" t="s">
        <v>2213</v>
      </c>
      <c r="AI234" s="70" t="s">
        <v>2213</v>
      </c>
      <c r="AJ234" s="70" t="s">
        <v>2213</v>
      </c>
      <c r="AK234" s="70" t="s">
        <v>2213</v>
      </c>
      <c r="AL234" s="70" t="s">
        <v>2213</v>
      </c>
      <c r="AM234" s="70" t="s">
        <v>2213</v>
      </c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 t="s">
        <v>2213</v>
      </c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1863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 t="s">
        <v>2213</v>
      </c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23</v>
      </c>
      <c r="J246" s="147" t="s">
        <v>1866</v>
      </c>
      <c r="K246" s="31">
        <f t="shared" si="15"/>
        <v>5</v>
      </c>
      <c r="L246" s="32">
        <f t="shared" si="16"/>
        <v>0.8214285714285714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 t="s">
        <v>2213</v>
      </c>
      <c r="AL246" s="70" t="s">
        <v>2213</v>
      </c>
      <c r="AM246" s="70" t="s">
        <v>2213</v>
      </c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24</v>
      </c>
      <c r="J260" s="147" t="s">
        <v>1876</v>
      </c>
      <c r="K260" s="31">
        <f t="shared" si="15"/>
        <v>4</v>
      </c>
      <c r="L260" s="32">
        <f t="shared" si="16"/>
        <v>0.8571428571428571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 t="s">
        <v>2213</v>
      </c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24</v>
      </c>
      <c r="J262" s="147" t="s">
        <v>1864</v>
      </c>
      <c r="K262" s="31">
        <f t="shared" si="15"/>
        <v>4</v>
      </c>
      <c r="L262" s="32">
        <f t="shared" si="16"/>
        <v>0.8571428571428571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 t="s">
        <v>2213</v>
      </c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2</v>
      </c>
      <c r="J281" s="147" t="s">
        <v>1893</v>
      </c>
      <c r="K281" s="31">
        <f t="shared" si="15"/>
        <v>26</v>
      </c>
      <c r="L281" s="32">
        <f t="shared" si="16"/>
        <v>7.1428571428571425E-2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 t="s">
        <v>2213</v>
      </c>
      <c r="AH281" s="70" t="s">
        <v>2213</v>
      </c>
      <c r="AI281" s="70" t="s">
        <v>2213</v>
      </c>
      <c r="AJ281" s="70" t="s">
        <v>2213</v>
      </c>
      <c r="AK281" s="70" t="s">
        <v>2213</v>
      </c>
      <c r="AL281" s="70" t="s">
        <v>2213</v>
      </c>
      <c r="AM281" s="70" t="s">
        <v>2213</v>
      </c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12</v>
      </c>
      <c r="J290" s="147" t="s">
        <v>1901</v>
      </c>
      <c r="K290" s="31">
        <f t="shared" si="15"/>
        <v>16</v>
      </c>
      <c r="L290" s="32">
        <f t="shared" si="16"/>
        <v>0.42857142857142855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 t="s">
        <v>2213</v>
      </c>
      <c r="AH290" s="70" t="s">
        <v>2213</v>
      </c>
      <c r="AI290" s="70" t="s">
        <v>2213</v>
      </c>
      <c r="AJ290" s="70" t="s">
        <v>2213</v>
      </c>
      <c r="AK290" s="70" t="s">
        <v>2213</v>
      </c>
      <c r="AL290" s="70" t="s">
        <v>2213</v>
      </c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12</v>
      </c>
      <c r="J291" s="147" t="s">
        <v>1902</v>
      </c>
      <c r="K291" s="31">
        <f t="shared" si="15"/>
        <v>16</v>
      </c>
      <c r="L291" s="32">
        <f t="shared" si="16"/>
        <v>0.42857142857142855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 t="s">
        <v>2213</v>
      </c>
      <c r="AH291" s="70" t="s">
        <v>2213</v>
      </c>
      <c r="AI291" s="70" t="s">
        <v>2213</v>
      </c>
      <c r="AJ291" s="70" t="s">
        <v>2213</v>
      </c>
      <c r="AK291" s="70" t="s">
        <v>2213</v>
      </c>
      <c r="AL291" s="70" t="s">
        <v>2213</v>
      </c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</v>
      </c>
      <c r="J296" s="147" t="s">
        <v>1907</v>
      </c>
      <c r="K296" s="31">
        <f t="shared" si="15"/>
        <v>27</v>
      </c>
      <c r="L296" s="32">
        <f t="shared" si="16"/>
        <v>3.5714285714285712E-2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 t="s">
        <v>2213</v>
      </c>
      <c r="AH296" s="70" t="s">
        <v>2213</v>
      </c>
      <c r="AI296" s="70" t="s">
        <v>2213</v>
      </c>
      <c r="AJ296" s="70" t="s">
        <v>2213</v>
      </c>
      <c r="AK296" s="70" t="s">
        <v>2213</v>
      </c>
      <c r="AL296" s="70" t="s">
        <v>2213</v>
      </c>
      <c r="AM296" s="70" t="s">
        <v>2213</v>
      </c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</v>
      </c>
      <c r="J308" s="147" t="s">
        <v>1918</v>
      </c>
      <c r="K308" s="142">
        <f t="shared" si="15"/>
        <v>27</v>
      </c>
      <c r="L308" s="143">
        <f t="shared" si="16"/>
        <v>3.5714285714285712E-2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 t="s">
        <v>2213</v>
      </c>
      <c r="AH308" s="70" t="s">
        <v>2213</v>
      </c>
      <c r="AI308" s="70" t="s">
        <v>2213</v>
      </c>
      <c r="AJ308" s="70" t="s">
        <v>2213</v>
      </c>
      <c r="AK308" s="70" t="s">
        <v>2213</v>
      </c>
      <c r="AL308" s="70" t="s">
        <v>2213</v>
      </c>
      <c r="AM308" s="70" t="s">
        <v>2213</v>
      </c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</v>
      </c>
      <c r="J310" s="147" t="s">
        <v>1919</v>
      </c>
      <c r="K310" s="31">
        <f t="shared" ref="K310:K380" si="18">COUNTIF(M310:AN310,"APAGADO")</f>
        <v>27</v>
      </c>
      <c r="L310" s="32">
        <f t="shared" ref="L310:L380" si="19">(I310)/(K310+I310)</f>
        <v>3.5714285714285712E-2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 t="s">
        <v>2213</v>
      </c>
      <c r="AH310" s="70" t="s">
        <v>2213</v>
      </c>
      <c r="AI310" s="70" t="s">
        <v>2213</v>
      </c>
      <c r="AJ310" s="70" t="s">
        <v>2213</v>
      </c>
      <c r="AK310" s="70" t="s">
        <v>2213</v>
      </c>
      <c r="AL310" s="70" t="s">
        <v>2213</v>
      </c>
      <c r="AM310" s="70" t="s">
        <v>2213</v>
      </c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1</v>
      </c>
      <c r="J311" s="147" t="s">
        <v>1920</v>
      </c>
      <c r="K311" s="142">
        <f t="shared" si="18"/>
        <v>27</v>
      </c>
      <c r="L311" s="143">
        <f t="shared" si="19"/>
        <v>3.5714285714285712E-2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 t="s">
        <v>2213</v>
      </c>
      <c r="AH311" s="70" t="s">
        <v>2213</v>
      </c>
      <c r="AI311" s="70" t="s">
        <v>2213</v>
      </c>
      <c r="AJ311" s="70" t="s">
        <v>2213</v>
      </c>
      <c r="AK311" s="70" t="s">
        <v>2213</v>
      </c>
      <c r="AL311" s="70" t="s">
        <v>2213</v>
      </c>
      <c r="AM311" s="70" t="s">
        <v>2213</v>
      </c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1</v>
      </c>
      <c r="J312" s="87" t="s">
        <v>2197</v>
      </c>
      <c r="K312" s="142">
        <f t="shared" si="18"/>
        <v>27</v>
      </c>
      <c r="L312" s="143">
        <f t="shared" si="19"/>
        <v>3.5714285714285712E-2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 t="s">
        <v>2213</v>
      </c>
      <c r="AH312" s="70" t="s">
        <v>2213</v>
      </c>
      <c r="AI312" s="70" t="s">
        <v>2213</v>
      </c>
      <c r="AJ312" s="70" t="s">
        <v>2213</v>
      </c>
      <c r="AK312" s="70" t="s">
        <v>2213</v>
      </c>
      <c r="AL312" s="70" t="s">
        <v>2213</v>
      </c>
      <c r="AM312" s="70" t="s">
        <v>2213</v>
      </c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1</v>
      </c>
      <c r="J313" s="147" t="s">
        <v>1921</v>
      </c>
      <c r="K313" s="142">
        <f t="shared" si="18"/>
        <v>27</v>
      </c>
      <c r="L313" s="143">
        <f t="shared" si="19"/>
        <v>3.5714285714285712E-2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 t="s">
        <v>2213</v>
      </c>
      <c r="AH313" s="70" t="s">
        <v>2213</v>
      </c>
      <c r="AI313" s="70" t="s">
        <v>2213</v>
      </c>
      <c r="AJ313" s="70" t="s">
        <v>2213</v>
      </c>
      <c r="AK313" s="70" t="s">
        <v>2213</v>
      </c>
      <c r="AL313" s="70" t="s">
        <v>2213</v>
      </c>
      <c r="AM313" s="70" t="s">
        <v>2213</v>
      </c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3</v>
      </c>
      <c r="J314" s="147" t="s">
        <v>1922</v>
      </c>
      <c r="K314" s="31">
        <f t="shared" si="18"/>
        <v>25</v>
      </c>
      <c r="L314" s="32">
        <f t="shared" si="19"/>
        <v>0.10714285714285714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 t="s">
        <v>2213</v>
      </c>
      <c r="AH314" s="70" t="s">
        <v>2213</v>
      </c>
      <c r="AI314" s="70" t="s">
        <v>2213</v>
      </c>
      <c r="AJ314" s="70" t="s">
        <v>2213</v>
      </c>
      <c r="AK314" s="70" t="s">
        <v>2213</v>
      </c>
      <c r="AL314" s="70" t="s">
        <v>2213</v>
      </c>
      <c r="AM314" s="70" t="s">
        <v>2213</v>
      </c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14</v>
      </c>
      <c r="J315" s="147" t="s">
        <v>1923</v>
      </c>
      <c r="K315" s="31">
        <f t="shared" si="18"/>
        <v>14</v>
      </c>
      <c r="L315" s="32">
        <f t="shared" si="19"/>
        <v>0.5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 t="s">
        <v>2213</v>
      </c>
      <c r="AK315" s="70" t="s">
        <v>2213</v>
      </c>
      <c r="AL315" s="70" t="s">
        <v>2213</v>
      </c>
      <c r="AM315" s="70" t="s">
        <v>2213</v>
      </c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21</v>
      </c>
      <c r="J316" s="147" t="s">
        <v>1924</v>
      </c>
      <c r="K316" s="31">
        <f t="shared" si="18"/>
        <v>7</v>
      </c>
      <c r="L316" s="32">
        <f t="shared" si="19"/>
        <v>0.75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 t="s">
        <v>2213</v>
      </c>
      <c r="AK316" s="70" t="s">
        <v>2213</v>
      </c>
      <c r="AL316" s="70" t="s">
        <v>2213</v>
      </c>
      <c r="AM316" s="70" t="s">
        <v>2213</v>
      </c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19</v>
      </c>
      <c r="J326" s="147" t="s">
        <v>1934</v>
      </c>
      <c r="K326" s="31">
        <f t="shared" si="18"/>
        <v>9</v>
      </c>
      <c r="L326" s="32">
        <f t="shared" si="19"/>
        <v>0.6785714285714286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 t="s">
        <v>2213</v>
      </c>
      <c r="AH326" s="70" t="s">
        <v>2213</v>
      </c>
      <c r="AI326" s="70"/>
      <c r="AJ326" s="70"/>
      <c r="AK326" s="70" t="s">
        <v>2213</v>
      </c>
      <c r="AL326" s="70"/>
      <c r="AM326" s="70" t="s">
        <v>2213</v>
      </c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18</v>
      </c>
      <c r="J327" s="147" t="s">
        <v>1935</v>
      </c>
      <c r="K327" s="31">
        <f t="shared" si="18"/>
        <v>10</v>
      </c>
      <c r="L327" s="32">
        <f t="shared" si="19"/>
        <v>0.6428571428571429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 t="s">
        <v>2213</v>
      </c>
      <c r="AH327" s="70" t="s">
        <v>2213</v>
      </c>
      <c r="AI327" s="70" t="s">
        <v>2213</v>
      </c>
      <c r="AJ327" s="70"/>
      <c r="AK327" s="70" t="s">
        <v>2213</v>
      </c>
      <c r="AL327" s="70"/>
      <c r="AM327" s="70" t="s">
        <v>2213</v>
      </c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18</v>
      </c>
      <c r="J328" s="147" t="s">
        <v>1936</v>
      </c>
      <c r="K328" s="31">
        <f t="shared" si="18"/>
        <v>10</v>
      </c>
      <c r="L328" s="32">
        <f t="shared" si="19"/>
        <v>0.6428571428571429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 t="s">
        <v>2213</v>
      </c>
      <c r="AH328" s="70" t="s">
        <v>2213</v>
      </c>
      <c r="AI328" s="70" t="s">
        <v>2213</v>
      </c>
      <c r="AJ328" s="70"/>
      <c r="AK328" s="70" t="s">
        <v>2213</v>
      </c>
      <c r="AL328" s="70"/>
      <c r="AM328" s="70" t="s">
        <v>2213</v>
      </c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18</v>
      </c>
      <c r="J329" s="147" t="s">
        <v>1937</v>
      </c>
      <c r="K329" s="31">
        <f t="shared" si="18"/>
        <v>10</v>
      </c>
      <c r="L329" s="32">
        <f t="shared" si="19"/>
        <v>0.6428571428571429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 t="s">
        <v>2213</v>
      </c>
      <c r="AH329" s="70" t="s">
        <v>2213</v>
      </c>
      <c r="AI329" s="70" t="s">
        <v>2213</v>
      </c>
      <c r="AJ329" s="70"/>
      <c r="AK329" s="70" t="s">
        <v>2213</v>
      </c>
      <c r="AL329" s="70"/>
      <c r="AM329" s="70" t="s">
        <v>2213</v>
      </c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18</v>
      </c>
      <c r="J330" s="153" t="s">
        <v>2241</v>
      </c>
      <c r="K330" s="31">
        <f t="shared" si="18"/>
        <v>10</v>
      </c>
      <c r="L330" s="32">
        <f t="shared" si="19"/>
        <v>0.6428571428571429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 t="s">
        <v>2213</v>
      </c>
      <c r="AH330" s="70" t="s">
        <v>2213</v>
      </c>
      <c r="AI330" s="70" t="s">
        <v>2213</v>
      </c>
      <c r="AJ330" s="70"/>
      <c r="AK330" s="70" t="s">
        <v>2213</v>
      </c>
      <c r="AL330" s="70"/>
      <c r="AM330" s="70" t="s">
        <v>2213</v>
      </c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18</v>
      </c>
      <c r="J331" s="147" t="s">
        <v>2245</v>
      </c>
      <c r="K331" s="31">
        <f t="shared" si="18"/>
        <v>10</v>
      </c>
      <c r="L331" s="32">
        <f t="shared" si="19"/>
        <v>0.6428571428571429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 t="s">
        <v>2213</v>
      </c>
      <c r="AH331" s="70" t="s">
        <v>2213</v>
      </c>
      <c r="AI331" s="70" t="s">
        <v>2213</v>
      </c>
      <c r="AJ331" s="70"/>
      <c r="AK331" s="70" t="s">
        <v>2213</v>
      </c>
      <c r="AL331" s="70"/>
      <c r="AM331" s="70" t="s">
        <v>2213</v>
      </c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27</v>
      </c>
      <c r="J337" s="147" t="s">
        <v>1943</v>
      </c>
      <c r="K337" s="31">
        <f t="shared" si="18"/>
        <v>1</v>
      </c>
      <c r="L337" s="32">
        <f t="shared" si="19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 t="s">
        <v>2213</v>
      </c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1952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 t="s">
        <v>2213</v>
      </c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</v>
      </c>
      <c r="J351" s="147" t="s">
        <v>1953</v>
      </c>
      <c r="K351" s="142">
        <f t="shared" si="18"/>
        <v>26</v>
      </c>
      <c r="L351" s="143">
        <f t="shared" si="19"/>
        <v>7.1428571428571425E-2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 t="s">
        <v>2213</v>
      </c>
      <c r="AH351" s="70" t="s">
        <v>2213</v>
      </c>
      <c r="AI351" s="70" t="s">
        <v>2213</v>
      </c>
      <c r="AJ351" s="70" t="s">
        <v>2213</v>
      </c>
      <c r="AK351" s="70" t="s">
        <v>2213</v>
      </c>
      <c r="AL351" s="70" t="s">
        <v>2213</v>
      </c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</v>
      </c>
      <c r="J352" s="147" t="s">
        <v>1954</v>
      </c>
      <c r="K352" s="142">
        <f t="shared" si="18"/>
        <v>26</v>
      </c>
      <c r="L352" s="143">
        <f t="shared" si="19"/>
        <v>7.1428571428571425E-2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 t="s">
        <v>2213</v>
      </c>
      <c r="AH352" s="70" t="s">
        <v>2213</v>
      </c>
      <c r="AI352" s="70" t="s">
        <v>2213</v>
      </c>
      <c r="AJ352" s="70" t="s">
        <v>2213</v>
      </c>
      <c r="AK352" s="70" t="s">
        <v>2213</v>
      </c>
      <c r="AL352" s="70" t="s">
        <v>2213</v>
      </c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2</v>
      </c>
      <c r="J375" s="73"/>
      <c r="K375" s="31">
        <f t="shared" si="18"/>
        <v>26</v>
      </c>
      <c r="L375" s="32">
        <f t="shared" si="19"/>
        <v>7.1428571428571425E-2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 t="s">
        <v>2213</v>
      </c>
      <c r="AH375" s="93" t="s">
        <v>2213</v>
      </c>
      <c r="AI375" s="93" t="s">
        <v>2213</v>
      </c>
      <c r="AJ375" s="93" t="s">
        <v>2213</v>
      </c>
      <c r="AK375" s="93" t="s">
        <v>2213</v>
      </c>
      <c r="AL375" s="93" t="s">
        <v>2213</v>
      </c>
      <c r="AM375" s="93" t="s">
        <v>2213</v>
      </c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20</v>
      </c>
      <c r="J378" s="147" t="s">
        <v>1975</v>
      </c>
      <c r="K378" s="31">
        <f t="shared" si="18"/>
        <v>8</v>
      </c>
      <c r="L378" s="32">
        <f t="shared" si="19"/>
        <v>0.7142857142857143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 t="s">
        <v>2213</v>
      </c>
      <c r="AL378" s="70" t="s">
        <v>2213</v>
      </c>
      <c r="AM378" s="70" t="s">
        <v>2213</v>
      </c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20</v>
      </c>
      <c r="J379" s="147" t="s">
        <v>1976</v>
      </c>
      <c r="K379" s="31">
        <f t="shared" si="18"/>
        <v>8</v>
      </c>
      <c r="L379" s="32">
        <f t="shared" si="19"/>
        <v>0.7142857142857143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 t="s">
        <v>2213</v>
      </c>
      <c r="AL379" s="70" t="s">
        <v>2213</v>
      </c>
      <c r="AM379" s="70" t="s">
        <v>2213</v>
      </c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20</v>
      </c>
      <c r="J380" s="147" t="s">
        <v>1977</v>
      </c>
      <c r="K380" s="31">
        <f t="shared" si="18"/>
        <v>8</v>
      </c>
      <c r="L380" s="32">
        <f t="shared" si="19"/>
        <v>0.7142857142857143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 t="s">
        <v>2213</v>
      </c>
      <c r="AL380" s="70" t="s">
        <v>2213</v>
      </c>
      <c r="AM380" s="70" t="s">
        <v>2213</v>
      </c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25</v>
      </c>
      <c r="J381" s="147" t="s">
        <v>1978</v>
      </c>
      <c r="K381" s="31">
        <f t="shared" ref="K381:K462" si="21">COUNTIF(M381:AN381,"APAGADO")</f>
        <v>3</v>
      </c>
      <c r="L381" s="32">
        <f t="shared" ref="L381:L462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21</v>
      </c>
      <c r="J383" s="147" t="s">
        <v>1980</v>
      </c>
      <c r="K383" s="31">
        <f t="shared" si="21"/>
        <v>7</v>
      </c>
      <c r="L383" s="32">
        <f t="shared" si="22"/>
        <v>0.75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 t="s">
        <v>2213</v>
      </c>
      <c r="AL383" s="70" t="s">
        <v>2213</v>
      </c>
      <c r="AM383" s="70" t="s">
        <v>2213</v>
      </c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21</v>
      </c>
      <c r="J384" s="147" t="s">
        <v>1981</v>
      </c>
      <c r="K384" s="31">
        <f t="shared" si="21"/>
        <v>7</v>
      </c>
      <c r="L384" s="32">
        <f t="shared" si="22"/>
        <v>0.75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 t="s">
        <v>2213</v>
      </c>
      <c r="AL384" s="70" t="s">
        <v>2213</v>
      </c>
      <c r="AM384" s="70" t="s">
        <v>2213</v>
      </c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22</v>
      </c>
      <c r="J385" s="147" t="s">
        <v>1982</v>
      </c>
      <c r="K385" s="31">
        <f t="shared" si="21"/>
        <v>6</v>
      </c>
      <c r="L385" s="32">
        <f t="shared" si="22"/>
        <v>0.7857142857142857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 t="s">
        <v>2213</v>
      </c>
      <c r="AL385" s="70" t="s">
        <v>2213</v>
      </c>
      <c r="AM385" s="70" t="s">
        <v>2213</v>
      </c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22</v>
      </c>
      <c r="J386" s="147" t="s">
        <v>1983</v>
      </c>
      <c r="K386" s="31">
        <f t="shared" si="21"/>
        <v>6</v>
      </c>
      <c r="L386" s="32">
        <f t="shared" si="22"/>
        <v>0.7857142857142857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 t="s">
        <v>2213</v>
      </c>
      <c r="AL386" s="70" t="s">
        <v>2213</v>
      </c>
      <c r="AM386" s="70" t="s">
        <v>2213</v>
      </c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</v>
      </c>
      <c r="J388" s="147" t="s">
        <v>1985</v>
      </c>
      <c r="K388" s="31">
        <f t="shared" si="21"/>
        <v>27</v>
      </c>
      <c r="L388" s="32">
        <f t="shared" si="22"/>
        <v>3.5714285714285712E-2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 t="s">
        <v>2213</v>
      </c>
      <c r="AH388" s="70" t="s">
        <v>2213</v>
      </c>
      <c r="AI388" s="70" t="s">
        <v>2213</v>
      </c>
      <c r="AJ388" s="70" t="s">
        <v>2213</v>
      </c>
      <c r="AK388" s="70" t="s">
        <v>2213</v>
      </c>
      <c r="AL388" s="70" t="s">
        <v>2213</v>
      </c>
      <c r="AM388" s="70" t="s">
        <v>2213</v>
      </c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</v>
      </c>
      <c r="J389" s="147" t="s">
        <v>1986</v>
      </c>
      <c r="K389" s="31">
        <f t="shared" si="21"/>
        <v>27</v>
      </c>
      <c r="L389" s="32">
        <f t="shared" si="22"/>
        <v>3.5714285714285712E-2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 t="s">
        <v>2213</v>
      </c>
      <c r="AH389" s="70" t="s">
        <v>2213</v>
      </c>
      <c r="AI389" s="70" t="s">
        <v>2213</v>
      </c>
      <c r="AJ389" s="70" t="s">
        <v>2213</v>
      </c>
      <c r="AK389" s="70" t="s">
        <v>2213</v>
      </c>
      <c r="AL389" s="70" t="s">
        <v>2213</v>
      </c>
      <c r="AM389" s="70" t="s">
        <v>2213</v>
      </c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1</v>
      </c>
      <c r="J393" s="87"/>
      <c r="K393" s="31">
        <f t="shared" si="21"/>
        <v>27</v>
      </c>
      <c r="L393" s="32">
        <f t="shared" si="22"/>
        <v>3.5714285714285712E-2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 t="s">
        <v>2213</v>
      </c>
      <c r="AH393" s="84" t="s">
        <v>2213</v>
      </c>
      <c r="AI393" s="84" t="s">
        <v>2213</v>
      </c>
      <c r="AJ393" s="84" t="s">
        <v>2213</v>
      </c>
      <c r="AK393" s="84" t="s">
        <v>2213</v>
      </c>
      <c r="AL393" s="84" t="s">
        <v>2213</v>
      </c>
      <c r="AM393" s="84" t="s">
        <v>2213</v>
      </c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11</v>
      </c>
      <c r="J395" s="87"/>
      <c r="K395" s="31">
        <f t="shared" si="21"/>
        <v>17</v>
      </c>
      <c r="L395" s="32">
        <f t="shared" si="22"/>
        <v>0.39285714285714285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 t="s">
        <v>2213</v>
      </c>
      <c r="AH395" s="70" t="s">
        <v>2213</v>
      </c>
      <c r="AI395" s="70" t="s">
        <v>2213</v>
      </c>
      <c r="AJ395" s="70" t="s">
        <v>2213</v>
      </c>
      <c r="AK395" s="70" t="s">
        <v>2213</v>
      </c>
      <c r="AL395" s="70" t="s">
        <v>2213</v>
      </c>
      <c r="AM395" s="70" t="s">
        <v>2213</v>
      </c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</v>
      </c>
      <c r="J399" s="147" t="s">
        <v>1991</v>
      </c>
      <c r="K399" s="87">
        <f t="shared" si="21"/>
        <v>27</v>
      </c>
      <c r="L399" s="88">
        <f t="shared" si="22"/>
        <v>3.5714285714285712E-2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 t="s">
        <v>2213</v>
      </c>
      <c r="AH399" s="89" t="s">
        <v>2213</v>
      </c>
      <c r="AI399" s="89" t="s">
        <v>2213</v>
      </c>
      <c r="AJ399" s="89" t="s">
        <v>2213</v>
      </c>
      <c r="AK399" s="89" t="s">
        <v>2213</v>
      </c>
      <c r="AL399" s="89" t="s">
        <v>2213</v>
      </c>
      <c r="AM399" s="89" t="s">
        <v>2213</v>
      </c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</v>
      </c>
      <c r="J401" s="147" t="s">
        <v>1992</v>
      </c>
      <c r="K401" s="31">
        <f t="shared" si="21"/>
        <v>27</v>
      </c>
      <c r="L401" s="32">
        <f t="shared" si="22"/>
        <v>3.5714285714285712E-2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 t="s">
        <v>2213</v>
      </c>
      <c r="AH401" s="70" t="s">
        <v>2213</v>
      </c>
      <c r="AI401" s="70" t="s">
        <v>2213</v>
      </c>
      <c r="AJ401" s="70" t="s">
        <v>2213</v>
      </c>
      <c r="AK401" s="70" t="s">
        <v>2213</v>
      </c>
      <c r="AL401" s="70" t="s">
        <v>2213</v>
      </c>
      <c r="AM401" s="70" t="s">
        <v>2213</v>
      </c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</v>
      </c>
      <c r="J402" s="147" t="s">
        <v>1993</v>
      </c>
      <c r="K402" s="31">
        <f t="shared" si="21"/>
        <v>27</v>
      </c>
      <c r="L402" s="32">
        <f t="shared" si="22"/>
        <v>3.5714285714285712E-2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 t="s">
        <v>2213</v>
      </c>
      <c r="AH402" s="70" t="s">
        <v>2213</v>
      </c>
      <c r="AI402" s="70" t="s">
        <v>2213</v>
      </c>
      <c r="AJ402" s="70" t="s">
        <v>2213</v>
      </c>
      <c r="AK402" s="70" t="s">
        <v>2213</v>
      </c>
      <c r="AL402" s="70" t="s">
        <v>2213</v>
      </c>
      <c r="AM402" s="70" t="s">
        <v>2213</v>
      </c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8</v>
      </c>
      <c r="J407" s="87" t="s">
        <v>2152</v>
      </c>
      <c r="K407" s="142">
        <f t="shared" si="21"/>
        <v>20</v>
      </c>
      <c r="L407" s="143">
        <f t="shared" si="22"/>
        <v>0.2857142857142857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 t="s">
        <v>2213</v>
      </c>
      <c r="AH407" s="70" t="s">
        <v>2213</v>
      </c>
      <c r="AI407" s="70" t="s">
        <v>2213</v>
      </c>
      <c r="AJ407" s="70" t="s">
        <v>2213</v>
      </c>
      <c r="AK407" s="70" t="s">
        <v>2213</v>
      </c>
      <c r="AL407" s="70" t="s">
        <v>2213</v>
      </c>
      <c r="AM407" s="70" t="s">
        <v>2213</v>
      </c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4</v>
      </c>
      <c r="J413" s="147" t="s">
        <v>1998</v>
      </c>
      <c r="K413" s="142">
        <f t="shared" si="21"/>
        <v>24</v>
      </c>
      <c r="L413" s="143">
        <f t="shared" si="22"/>
        <v>0.14285714285714285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 t="s">
        <v>2213</v>
      </c>
      <c r="AH413" s="70" t="s">
        <v>2213</v>
      </c>
      <c r="AI413" s="70" t="s">
        <v>2213</v>
      </c>
      <c r="AJ413" s="70" t="s">
        <v>2213</v>
      </c>
      <c r="AK413" s="70" t="s">
        <v>2213</v>
      </c>
      <c r="AL413" s="70" t="s">
        <v>2213</v>
      </c>
      <c r="AM413" s="70" t="s">
        <v>2213</v>
      </c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</v>
      </c>
      <c r="J415" s="87"/>
      <c r="K415" s="31">
        <f t="shared" si="21"/>
        <v>27</v>
      </c>
      <c r="L415" s="32">
        <f t="shared" si="22"/>
        <v>3.5714285714285712E-2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 t="s">
        <v>2213</v>
      </c>
      <c r="AH415" s="93" t="s">
        <v>2213</v>
      </c>
      <c r="AI415" s="93" t="s">
        <v>2213</v>
      </c>
      <c r="AJ415" s="93" t="s">
        <v>2213</v>
      </c>
      <c r="AK415" s="93" t="s">
        <v>2213</v>
      </c>
      <c r="AL415" s="93" t="s">
        <v>2213</v>
      </c>
      <c r="AM415" s="93" t="s">
        <v>2213</v>
      </c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6</v>
      </c>
      <c r="J416" s="147" t="s">
        <v>2000</v>
      </c>
      <c r="K416" s="142">
        <f t="shared" si="21"/>
        <v>22</v>
      </c>
      <c r="L416" s="143">
        <f t="shared" si="22"/>
        <v>0.21428571428571427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 t="s">
        <v>2213</v>
      </c>
      <c r="AH416" s="70" t="s">
        <v>2213</v>
      </c>
      <c r="AI416" s="70" t="s">
        <v>2213</v>
      </c>
      <c r="AJ416" s="70" t="s">
        <v>2213</v>
      </c>
      <c r="AK416" s="70" t="s">
        <v>2213</v>
      </c>
      <c r="AL416" s="70" t="s">
        <v>2213</v>
      </c>
      <c r="AM416" s="70" t="s">
        <v>2213</v>
      </c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27</v>
      </c>
      <c r="J417" s="147" t="s">
        <v>2001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 t="s">
        <v>2213</v>
      </c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3</v>
      </c>
      <c r="J420" s="147" t="s">
        <v>2003</v>
      </c>
      <c r="K420" s="31">
        <f t="shared" si="21"/>
        <v>25</v>
      </c>
      <c r="L420" s="32">
        <f t="shared" si="22"/>
        <v>0.10714285714285714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 t="s">
        <v>2213</v>
      </c>
      <c r="AH420" s="70" t="s">
        <v>2213</v>
      </c>
      <c r="AI420" s="70" t="s">
        <v>2213</v>
      </c>
      <c r="AJ420" s="70" t="s">
        <v>2213</v>
      </c>
      <c r="AK420" s="70" t="s">
        <v>2213</v>
      </c>
      <c r="AL420" s="70" t="s">
        <v>2213</v>
      </c>
      <c r="AM420" s="70" t="s">
        <v>2213</v>
      </c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3</v>
      </c>
      <c r="J421" s="147" t="s">
        <v>2004</v>
      </c>
      <c r="K421" s="31">
        <f t="shared" si="21"/>
        <v>25</v>
      </c>
      <c r="L421" s="32">
        <f t="shared" si="22"/>
        <v>0.10714285714285714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 t="s">
        <v>2213</v>
      </c>
      <c r="AH421" s="70" t="s">
        <v>2213</v>
      </c>
      <c r="AI421" s="70" t="s">
        <v>2213</v>
      </c>
      <c r="AJ421" s="70" t="s">
        <v>2213</v>
      </c>
      <c r="AK421" s="70" t="s">
        <v>2213</v>
      </c>
      <c r="AL421" s="70" t="s">
        <v>2213</v>
      </c>
      <c r="AM421" s="70" t="s">
        <v>2213</v>
      </c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15</v>
      </c>
      <c r="J429" s="147" t="s">
        <v>2011</v>
      </c>
      <c r="K429" s="31">
        <f t="shared" si="21"/>
        <v>13</v>
      </c>
      <c r="L429" s="32">
        <f t="shared" si="22"/>
        <v>0.5357142857142857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 t="s">
        <v>2213</v>
      </c>
      <c r="AK429" s="70" t="s">
        <v>2213</v>
      </c>
      <c r="AL429" s="70" t="s">
        <v>2213</v>
      </c>
      <c r="AM429" s="70" t="s">
        <v>2213</v>
      </c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10</v>
      </c>
      <c r="J430" s="147" t="s">
        <v>2012</v>
      </c>
      <c r="K430" s="31">
        <f t="shared" si="21"/>
        <v>18</v>
      </c>
      <c r="L430" s="32">
        <f t="shared" si="22"/>
        <v>0.35714285714285715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 t="s">
        <v>2213</v>
      </c>
      <c r="AI430" s="70" t="s">
        <v>2213</v>
      </c>
      <c r="AJ430" s="70" t="s">
        <v>2213</v>
      </c>
      <c r="AK430" s="70" t="s">
        <v>2213</v>
      </c>
      <c r="AL430" s="70" t="s">
        <v>2213</v>
      </c>
      <c r="AM430" s="70" t="s">
        <v>2213</v>
      </c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3</v>
      </c>
      <c r="J436" s="147" t="s">
        <v>2017</v>
      </c>
      <c r="K436" s="31">
        <f t="shared" si="21"/>
        <v>25</v>
      </c>
      <c r="L436" s="32">
        <f t="shared" si="22"/>
        <v>0.10714285714285714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 t="s">
        <v>2213</v>
      </c>
      <c r="AH436" s="70" t="s">
        <v>2213</v>
      </c>
      <c r="AI436" s="70" t="s">
        <v>2213</v>
      </c>
      <c r="AJ436" s="70" t="s">
        <v>2213</v>
      </c>
      <c r="AK436" s="70" t="s">
        <v>2213</v>
      </c>
      <c r="AL436" s="70" t="s">
        <v>2213</v>
      </c>
      <c r="AM436" s="70" t="s">
        <v>2213</v>
      </c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11</v>
      </c>
      <c r="J441" s="147" t="s">
        <v>2018</v>
      </c>
      <c r="K441" s="31">
        <f t="shared" si="21"/>
        <v>17</v>
      </c>
      <c r="L441" s="32">
        <f t="shared" si="22"/>
        <v>0.39285714285714285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 t="s">
        <v>2213</v>
      </c>
      <c r="AK441" s="70" t="s">
        <v>2213</v>
      </c>
      <c r="AL441" s="70" t="s">
        <v>2213</v>
      </c>
      <c r="AM441" s="70" t="s">
        <v>2213</v>
      </c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</v>
      </c>
      <c r="J442" s="147" t="s">
        <v>2019</v>
      </c>
      <c r="K442" s="31">
        <f t="shared" si="21"/>
        <v>27</v>
      </c>
      <c r="L442" s="32">
        <f t="shared" si="22"/>
        <v>3.5714285714285712E-2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 t="s">
        <v>2213</v>
      </c>
      <c r="AH442" s="70" t="s">
        <v>2213</v>
      </c>
      <c r="AI442" s="70" t="s">
        <v>2213</v>
      </c>
      <c r="AJ442" s="70" t="s">
        <v>2213</v>
      </c>
      <c r="AK442" s="70" t="s">
        <v>2213</v>
      </c>
      <c r="AL442" s="70" t="s">
        <v>2213</v>
      </c>
      <c r="AM442" s="70" t="s">
        <v>2213</v>
      </c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15</v>
      </c>
      <c r="J446" s="147" t="s">
        <v>2023</v>
      </c>
      <c r="K446" s="31">
        <f t="shared" si="21"/>
        <v>13</v>
      </c>
      <c r="L446" s="32">
        <f t="shared" si="22"/>
        <v>0.5357142857142857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 t="s">
        <v>2213</v>
      </c>
      <c r="AK446" s="70" t="s">
        <v>2213</v>
      </c>
      <c r="AL446" s="70" t="s">
        <v>2213</v>
      </c>
      <c r="AM446" s="70" t="s">
        <v>2213</v>
      </c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14</v>
      </c>
      <c r="J447" s="147" t="s">
        <v>2024</v>
      </c>
      <c r="K447" s="31">
        <f t="shared" si="21"/>
        <v>14</v>
      </c>
      <c r="L447" s="32">
        <f t="shared" si="22"/>
        <v>0.5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 t="s">
        <v>2213</v>
      </c>
      <c r="AK447" s="70" t="s">
        <v>2213</v>
      </c>
      <c r="AL447" s="70" t="s">
        <v>2213</v>
      </c>
      <c r="AM447" s="70" t="s">
        <v>2213</v>
      </c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23</v>
      </c>
      <c r="J451" s="87"/>
      <c r="K451" s="31">
        <f t="shared" si="21"/>
        <v>5</v>
      </c>
      <c r="L451" s="32">
        <f t="shared" si="22"/>
        <v>0.8214285714285714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 t="s">
        <v>2213</v>
      </c>
      <c r="AH451" s="70" t="s">
        <v>2213</v>
      </c>
      <c r="AI451" s="70" t="s">
        <v>2213</v>
      </c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23</v>
      </c>
      <c r="J452" s="87"/>
      <c r="K452" s="31">
        <f t="shared" si="21"/>
        <v>5</v>
      </c>
      <c r="L452" s="32">
        <f t="shared" si="22"/>
        <v>0.8214285714285714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 t="s">
        <v>2213</v>
      </c>
      <c r="AH452" s="70" t="s">
        <v>2213</v>
      </c>
      <c r="AI452" s="70" t="s">
        <v>2213</v>
      </c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</v>
      </c>
      <c r="J456" s="147" t="s">
        <v>2027</v>
      </c>
      <c r="K456" s="142">
        <f t="shared" si="21"/>
        <v>27</v>
      </c>
      <c r="L456" s="143">
        <f t="shared" si="22"/>
        <v>3.5714285714285712E-2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 t="s">
        <v>2213</v>
      </c>
      <c r="AH456" s="70" t="s">
        <v>2213</v>
      </c>
      <c r="AI456" s="70" t="s">
        <v>2213</v>
      </c>
      <c r="AJ456" s="70" t="s">
        <v>2213</v>
      </c>
      <c r="AK456" s="70" t="s">
        <v>2213</v>
      </c>
      <c r="AL456" s="70" t="s">
        <v>2213</v>
      </c>
      <c r="AM456" s="70" t="s">
        <v>2213</v>
      </c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</v>
      </c>
      <c r="J457" s="147" t="s">
        <v>2028</v>
      </c>
      <c r="K457" s="142">
        <f t="shared" si="21"/>
        <v>27</v>
      </c>
      <c r="L457" s="143">
        <f t="shared" si="22"/>
        <v>3.5714285714285712E-2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 t="s">
        <v>2213</v>
      </c>
      <c r="AH457" s="70" t="s">
        <v>2213</v>
      </c>
      <c r="AI457" s="70" t="s">
        <v>2213</v>
      </c>
      <c r="AJ457" s="70" t="s">
        <v>2213</v>
      </c>
      <c r="AK457" s="70" t="s">
        <v>2213</v>
      </c>
      <c r="AL457" s="70" t="s">
        <v>2213</v>
      </c>
      <c r="AM457" s="70" t="s">
        <v>2213</v>
      </c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</v>
      </c>
      <c r="J458" s="87"/>
      <c r="K458" s="142">
        <f t="shared" si="21"/>
        <v>27</v>
      </c>
      <c r="L458" s="143">
        <f t="shared" si="22"/>
        <v>3.5714285714285712E-2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 t="s">
        <v>2213</v>
      </c>
      <c r="AH458" s="70" t="s">
        <v>2213</v>
      </c>
      <c r="AI458" s="70" t="s">
        <v>2213</v>
      </c>
      <c r="AJ458" s="70" t="s">
        <v>2213</v>
      </c>
      <c r="AK458" s="70" t="s">
        <v>2213</v>
      </c>
      <c r="AL458" s="70" t="s">
        <v>2213</v>
      </c>
      <c r="AM458" s="70" t="s">
        <v>2213</v>
      </c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2288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22</v>
      </c>
      <c r="J460" s="153"/>
      <c r="K460" s="142">
        <f t="shared" si="21"/>
        <v>6</v>
      </c>
      <c r="L460" s="143">
        <f t="shared" si="22"/>
        <v>0.7857142857142857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 t="s">
        <v>2213</v>
      </c>
      <c r="AI460" s="70" t="s">
        <v>2213</v>
      </c>
      <c r="AJ460" s="70" t="s">
        <v>2213</v>
      </c>
      <c r="AK460" s="70" t="s">
        <v>2213</v>
      </c>
      <c r="AL460" s="70" t="s">
        <v>2213</v>
      </c>
      <c r="AM460" s="70" t="s">
        <v>2213</v>
      </c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24</v>
      </c>
      <c r="J461" s="147" t="s">
        <v>2029</v>
      </c>
      <c r="K461" s="31">
        <f t="shared" si="21"/>
        <v>4</v>
      </c>
      <c r="L461" s="32">
        <f t="shared" si="22"/>
        <v>0.8571428571428571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 t="s">
        <v>2213</v>
      </c>
      <c r="AD461" s="70" t="s">
        <v>2213</v>
      </c>
      <c r="AE461" s="70"/>
      <c r="AF461" s="70" t="s">
        <v>2213</v>
      </c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26</v>
      </c>
      <c r="J462" s="147" t="s">
        <v>2030</v>
      </c>
      <c r="K462" s="31">
        <f t="shared" si="21"/>
        <v>2</v>
      </c>
      <c r="L462" s="32">
        <f t="shared" si="22"/>
        <v>0.9285714285714286</v>
      </c>
      <c r="M462" s="70" t="s">
        <v>2213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 t="s">
        <v>2213</v>
      </c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17</v>
      </c>
      <c r="J481" s="87"/>
      <c r="K481" s="31">
        <f t="shared" si="24"/>
        <v>11</v>
      </c>
      <c r="L481" s="32">
        <f t="shared" si="25"/>
        <v>0.6071428571428571</v>
      </c>
      <c r="M481" s="70" t="s">
        <v>2213</v>
      </c>
      <c r="N481" s="70" t="s">
        <v>2213</v>
      </c>
      <c r="O481" s="70" t="s">
        <v>2213</v>
      </c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 t="s">
        <v>2213</v>
      </c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21</v>
      </c>
      <c r="J485" s="87"/>
      <c r="K485" s="31">
        <f t="shared" si="24"/>
        <v>7</v>
      </c>
      <c r="L485" s="32">
        <f t="shared" si="25"/>
        <v>0.75</v>
      </c>
      <c r="M485" s="70"/>
      <c r="N485" s="70"/>
      <c r="O485" s="70"/>
      <c r="P485" s="70" t="s">
        <v>2213</v>
      </c>
      <c r="Q485" s="70" t="s">
        <v>2213</v>
      </c>
      <c r="R485" s="70" t="s">
        <v>2213</v>
      </c>
      <c r="S485" s="70" t="s">
        <v>2213</v>
      </c>
      <c r="T485" s="70" t="s">
        <v>2213</v>
      </c>
      <c r="U485" s="70" t="s">
        <v>2213</v>
      </c>
      <c r="V485" s="70"/>
      <c r="W485" s="70"/>
      <c r="X485" s="70"/>
      <c r="Y485" s="70"/>
      <c r="Z485" s="70"/>
      <c r="AA485" s="70" t="s">
        <v>2213</v>
      </c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27</v>
      </c>
      <c r="J486" s="147" t="s">
        <v>2045</v>
      </c>
      <c r="K486" s="31">
        <f t="shared" si="24"/>
        <v>1</v>
      </c>
      <c r="L486" s="32">
        <f t="shared" si="25"/>
        <v>0.9642857142857143</v>
      </c>
      <c r="M486" s="70" t="s">
        <v>2213</v>
      </c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26</v>
      </c>
      <c r="J491" s="147" t="s">
        <v>2050</v>
      </c>
      <c r="K491" s="31">
        <f t="shared" si="24"/>
        <v>2</v>
      </c>
      <c r="L491" s="32">
        <f t="shared" si="25"/>
        <v>0.9285714285714286</v>
      </c>
      <c r="M491" s="70" t="s">
        <v>2213</v>
      </c>
      <c r="N491" s="70" t="s">
        <v>2213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27</v>
      </c>
      <c r="J493" s="147" t="s">
        <v>2052</v>
      </c>
      <c r="K493" s="31">
        <f t="shared" si="24"/>
        <v>1</v>
      </c>
      <c r="L493" s="32">
        <f t="shared" si="25"/>
        <v>0.9642857142857143</v>
      </c>
      <c r="M493" s="70" t="s">
        <v>2213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2257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27</v>
      </c>
      <c r="J494" s="147" t="s">
        <v>2053</v>
      </c>
      <c r="K494" s="31">
        <f t="shared" si="24"/>
        <v>1</v>
      </c>
      <c r="L494" s="32">
        <f t="shared" si="25"/>
        <v>0.9642857142857143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2213</v>
      </c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22</v>
      </c>
      <c r="J496" s="147" t="s">
        <v>2055</v>
      </c>
      <c r="K496" s="31">
        <f t="shared" si="24"/>
        <v>6</v>
      </c>
      <c r="L496" s="32">
        <f t="shared" si="25"/>
        <v>0.7857142857142857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 t="s">
        <v>2213</v>
      </c>
      <c r="X496" s="70" t="s">
        <v>2213</v>
      </c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 t="s">
        <v>2213</v>
      </c>
      <c r="AK496" s="70" t="s">
        <v>2213</v>
      </c>
      <c r="AL496" s="70" t="s">
        <v>2213</v>
      </c>
      <c r="AM496" s="70" t="s">
        <v>2213</v>
      </c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27</v>
      </c>
      <c r="J502" s="147" t="s">
        <v>2061</v>
      </c>
      <c r="K502" s="31">
        <f t="shared" si="24"/>
        <v>1</v>
      </c>
      <c r="L502" s="32">
        <f t="shared" si="25"/>
        <v>0.9642857142857143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 t="s">
        <v>2213</v>
      </c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22</v>
      </c>
      <c r="J503" s="147" t="s">
        <v>2062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 t="s">
        <v>2213</v>
      </c>
      <c r="X503" s="70" t="s">
        <v>2213</v>
      </c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 t="s">
        <v>2213</v>
      </c>
      <c r="AK503" s="70" t="s">
        <v>2213</v>
      </c>
      <c r="AL503" s="70" t="s">
        <v>2213</v>
      </c>
      <c r="AM503" s="70" t="s">
        <v>2213</v>
      </c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17</v>
      </c>
      <c r="J505" s="147" t="s">
        <v>2064</v>
      </c>
      <c r="K505" s="31">
        <f t="shared" si="24"/>
        <v>11</v>
      </c>
      <c r="L505" s="32">
        <f t="shared" si="25"/>
        <v>0.6071428571428571</v>
      </c>
      <c r="M505" s="70" t="s">
        <v>2213</v>
      </c>
      <c r="N505" s="70" t="s">
        <v>2213</v>
      </c>
      <c r="O505" s="70" t="s">
        <v>2213</v>
      </c>
      <c r="P505" s="70" t="s">
        <v>2213</v>
      </c>
      <c r="Q505" s="70" t="s">
        <v>2213</v>
      </c>
      <c r="R505" s="70" t="s">
        <v>2213</v>
      </c>
      <c r="S505" s="70" t="s">
        <v>2213</v>
      </c>
      <c r="T505" s="70" t="s">
        <v>2213</v>
      </c>
      <c r="U505" s="70" t="s">
        <v>2213</v>
      </c>
      <c r="V505" s="70" t="s">
        <v>2213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 t="s">
        <v>2213</v>
      </c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26</v>
      </c>
      <c r="J506" s="147" t="s">
        <v>2065</v>
      </c>
      <c r="K506" s="31">
        <f t="shared" si="24"/>
        <v>2</v>
      </c>
      <c r="L506" s="32">
        <f t="shared" si="25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 t="s">
        <v>2213</v>
      </c>
      <c r="AE506" s="70" t="s">
        <v>2213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22</v>
      </c>
      <c r="J508" s="147" t="s">
        <v>2067</v>
      </c>
      <c r="K508" s="31">
        <f t="shared" si="24"/>
        <v>6</v>
      </c>
      <c r="L508" s="32">
        <f t="shared" si="25"/>
        <v>0.7857142857142857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 t="s">
        <v>2213</v>
      </c>
      <c r="AK508" s="70" t="s">
        <v>2213</v>
      </c>
      <c r="AL508" s="70" t="s">
        <v>2213</v>
      </c>
      <c r="AM508" s="70" t="s">
        <v>2213</v>
      </c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27</v>
      </c>
      <c r="J509" s="147" t="s">
        <v>2068</v>
      </c>
      <c r="K509" s="31">
        <f t="shared" si="24"/>
        <v>1</v>
      </c>
      <c r="L509" s="32">
        <f t="shared" si="25"/>
        <v>0.9642857142857143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 t="s">
        <v>2213</v>
      </c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1</v>
      </c>
      <c r="J510" s="147" t="s">
        <v>2069</v>
      </c>
      <c r="K510" s="31">
        <f t="shared" si="24"/>
        <v>27</v>
      </c>
      <c r="L510" s="32">
        <f t="shared" si="25"/>
        <v>3.5714285714285712E-2</v>
      </c>
      <c r="M510" s="70" t="s">
        <v>2213</v>
      </c>
      <c r="N510" s="70" t="s">
        <v>2213</v>
      </c>
      <c r="O510" s="70" t="s">
        <v>2213</v>
      </c>
      <c r="P510" s="70" t="s">
        <v>2213</v>
      </c>
      <c r="Q510" s="70" t="s">
        <v>2213</v>
      </c>
      <c r="R510" s="70" t="s">
        <v>2213</v>
      </c>
      <c r="S510" s="70" t="s">
        <v>2213</v>
      </c>
      <c r="T510" s="70" t="s">
        <v>2213</v>
      </c>
      <c r="U510" s="70" t="s">
        <v>2213</v>
      </c>
      <c r="V510" s="70" t="s">
        <v>2213</v>
      </c>
      <c r="W510" s="70" t="s">
        <v>2213</v>
      </c>
      <c r="X510" s="70" t="s">
        <v>2213</v>
      </c>
      <c r="Y510" s="70" t="s">
        <v>2213</v>
      </c>
      <c r="Z510" s="70" t="s">
        <v>2213</v>
      </c>
      <c r="AA510" s="70" t="s">
        <v>2213</v>
      </c>
      <c r="AB510" s="70" t="s">
        <v>2213</v>
      </c>
      <c r="AC510" s="70" t="s">
        <v>2213</v>
      </c>
      <c r="AD510" s="70" t="s">
        <v>2213</v>
      </c>
      <c r="AE510" s="70" t="s">
        <v>2213</v>
      </c>
      <c r="AF510" s="70" t="s">
        <v>2213</v>
      </c>
      <c r="AG510" s="70" t="s">
        <v>2213</v>
      </c>
      <c r="AH510" s="70" t="s">
        <v>2213</v>
      </c>
      <c r="AI510" s="70" t="s">
        <v>2213</v>
      </c>
      <c r="AJ510" s="70" t="s">
        <v>2213</v>
      </c>
      <c r="AK510" s="70" t="s">
        <v>2213</v>
      </c>
      <c r="AL510" s="70" t="s">
        <v>2213</v>
      </c>
      <c r="AM510" s="70" t="s">
        <v>2213</v>
      </c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22</v>
      </c>
      <c r="J511" s="147" t="s">
        <v>2070</v>
      </c>
      <c r="K511" s="31">
        <f t="shared" si="24"/>
        <v>6</v>
      </c>
      <c r="L511" s="32">
        <f t="shared" si="25"/>
        <v>0.7857142857142857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 t="s">
        <v>2213</v>
      </c>
      <c r="AK511" s="70" t="s">
        <v>2213</v>
      </c>
      <c r="AL511" s="70" t="s">
        <v>2213</v>
      </c>
      <c r="AM511" s="70" t="s">
        <v>2213</v>
      </c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22</v>
      </c>
      <c r="J514" s="147" t="s">
        <v>2072</v>
      </c>
      <c r="K514" s="31">
        <f t="shared" si="24"/>
        <v>6</v>
      </c>
      <c r="L514" s="32">
        <f t="shared" si="25"/>
        <v>0.7857142857142857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 t="s">
        <v>2213</v>
      </c>
      <c r="AK514" s="70" t="s">
        <v>2213</v>
      </c>
      <c r="AL514" s="70" t="s">
        <v>2213</v>
      </c>
      <c r="AM514" s="70" t="s">
        <v>2213</v>
      </c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22</v>
      </c>
      <c r="J515" s="147" t="s">
        <v>2073</v>
      </c>
      <c r="K515" s="31">
        <f t="shared" si="24"/>
        <v>6</v>
      </c>
      <c r="L515" s="32">
        <f t="shared" si="25"/>
        <v>0.7857142857142857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 t="s">
        <v>2213</v>
      </c>
      <c r="X515" s="70" t="s">
        <v>2213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 t="s">
        <v>2213</v>
      </c>
      <c r="AK515" s="70" t="s">
        <v>2213</v>
      </c>
      <c r="AL515" s="70" t="s">
        <v>2213</v>
      </c>
      <c r="AM515" s="70" t="s">
        <v>2213</v>
      </c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27</v>
      </c>
      <c r="J518" s="147" t="s">
        <v>2076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27</v>
      </c>
      <c r="J519" s="147" t="s">
        <v>2077</v>
      </c>
      <c r="K519" s="31">
        <f t="shared" si="24"/>
        <v>1</v>
      </c>
      <c r="L519" s="32">
        <f t="shared" si="25"/>
        <v>0.9642857142857143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 t="s">
        <v>2213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4</v>
      </c>
      <c r="J520" s="147" t="s">
        <v>2078</v>
      </c>
      <c r="K520" s="142">
        <f t="shared" si="24"/>
        <v>24</v>
      </c>
      <c r="L520" s="143">
        <f t="shared" si="25"/>
        <v>0.14285714285714285</v>
      </c>
      <c r="M520" s="70" t="s">
        <v>2213</v>
      </c>
      <c r="N520" s="70" t="s">
        <v>2213</v>
      </c>
      <c r="O520" s="70" t="s">
        <v>2213</v>
      </c>
      <c r="P520" s="70" t="s">
        <v>2213</v>
      </c>
      <c r="Q520" s="70" t="s">
        <v>2213</v>
      </c>
      <c r="R520" s="70" t="s">
        <v>2213</v>
      </c>
      <c r="S520" s="70" t="s">
        <v>2213</v>
      </c>
      <c r="T520" s="70" t="s">
        <v>2213</v>
      </c>
      <c r="U520" s="70" t="s">
        <v>2213</v>
      </c>
      <c r="V520" s="70" t="s">
        <v>2213</v>
      </c>
      <c r="W520" s="70" t="s">
        <v>2213</v>
      </c>
      <c r="X520" s="70" t="s">
        <v>2213</v>
      </c>
      <c r="Y520" s="70" t="s">
        <v>2213</v>
      </c>
      <c r="Z520" s="70" t="s">
        <v>2213</v>
      </c>
      <c r="AA520" s="70" t="s">
        <v>2213</v>
      </c>
      <c r="AB520" s="70" t="s">
        <v>2213</v>
      </c>
      <c r="AC520" s="70" t="s">
        <v>2213</v>
      </c>
      <c r="AD520" s="70" t="s">
        <v>2213</v>
      </c>
      <c r="AE520" s="70" t="s">
        <v>2213</v>
      </c>
      <c r="AF520" s="70"/>
      <c r="AG520" s="70"/>
      <c r="AH520" s="70"/>
      <c r="AI520" s="70" t="s">
        <v>2213</v>
      </c>
      <c r="AJ520" s="70" t="s">
        <v>2213</v>
      </c>
      <c r="AK520" s="70" t="s">
        <v>2213</v>
      </c>
      <c r="AL520" s="70" t="s">
        <v>2213</v>
      </c>
      <c r="AM520" s="70" t="s">
        <v>2213</v>
      </c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27</v>
      </c>
      <c r="J521" s="147" t="s">
        <v>2079</v>
      </c>
      <c r="K521" s="142">
        <f t="shared" si="24"/>
        <v>1</v>
      </c>
      <c r="L521" s="143">
        <f t="shared" si="25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 t="s">
        <v>2213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26</v>
      </c>
      <c r="J523" s="147" t="s">
        <v>2081</v>
      </c>
      <c r="K523" s="142">
        <f t="shared" si="24"/>
        <v>2</v>
      </c>
      <c r="L523" s="143">
        <f t="shared" si="25"/>
        <v>0.9285714285714286</v>
      </c>
      <c r="M523" s="70"/>
      <c r="N523" s="70"/>
      <c r="O523" s="70"/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2227</v>
      </c>
      <c r="C524" s="85" t="s">
        <v>1063</v>
      </c>
      <c r="D524" s="73" t="s">
        <v>2228</v>
      </c>
      <c r="E524" s="30" t="s">
        <v>73</v>
      </c>
      <c r="F524" s="85" t="s">
        <v>1301</v>
      </c>
      <c r="G524" s="85"/>
      <c r="H524" s="85" t="s">
        <v>2229</v>
      </c>
      <c r="I524" s="142">
        <f t="shared" si="23"/>
        <v>28</v>
      </c>
      <c r="J524" s="147" t="s">
        <v>2230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2231</v>
      </c>
      <c r="C525" s="85" t="s">
        <v>1063</v>
      </c>
      <c r="D525" s="73" t="s">
        <v>2232</v>
      </c>
      <c r="E525" s="85" t="s">
        <v>15</v>
      </c>
      <c r="F525" s="85" t="s">
        <v>1301</v>
      </c>
      <c r="G525" s="85"/>
      <c r="H525" s="85" t="s">
        <v>2233</v>
      </c>
      <c r="I525" s="142">
        <f t="shared" si="23"/>
        <v>12</v>
      </c>
      <c r="J525" s="147" t="s">
        <v>2234</v>
      </c>
      <c r="K525" s="142">
        <f t="shared" si="24"/>
        <v>16</v>
      </c>
      <c r="L525" s="143">
        <f t="shared" si="25"/>
        <v>0.42857142857142855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 t="s">
        <v>2213</v>
      </c>
      <c r="X525" s="70" t="s">
        <v>2213</v>
      </c>
      <c r="Y525" s="70" t="s">
        <v>2213</v>
      </c>
      <c r="Z525" s="70" t="s">
        <v>2213</v>
      </c>
      <c r="AA525" s="70" t="s">
        <v>2213</v>
      </c>
      <c r="AB525" s="70" t="s">
        <v>2213</v>
      </c>
      <c r="AC525" s="70" t="s">
        <v>2213</v>
      </c>
      <c r="AD525" s="70" t="s">
        <v>2213</v>
      </c>
      <c r="AE525" s="70" t="s">
        <v>2213</v>
      </c>
      <c r="AF525" s="70" t="s">
        <v>2213</v>
      </c>
      <c r="AG525" s="70" t="s">
        <v>2213</v>
      </c>
      <c r="AH525" s="70" t="s">
        <v>2213</v>
      </c>
      <c r="AI525" s="70" t="s">
        <v>2213</v>
      </c>
      <c r="AJ525" s="70" t="s">
        <v>2213</v>
      </c>
      <c r="AK525" s="70" t="s">
        <v>2213</v>
      </c>
      <c r="AL525" s="70" t="s">
        <v>2213</v>
      </c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25</v>
      </c>
      <c r="J526" s="147" t="s">
        <v>2082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25</v>
      </c>
      <c r="J527" s="147" t="s">
        <v>2083</v>
      </c>
      <c r="K527" s="31">
        <f t="shared" si="24"/>
        <v>3</v>
      </c>
      <c r="L527" s="32">
        <f t="shared" si="25"/>
        <v>0.8928571428571429</v>
      </c>
      <c r="M527" s="70"/>
      <c r="N527" s="70"/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24</v>
      </c>
      <c r="J530" s="147" t="s">
        <v>2086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24</v>
      </c>
      <c r="J531" s="147" t="s">
        <v>2087</v>
      </c>
      <c r="K531" s="31">
        <f t="shared" si="24"/>
        <v>4</v>
      </c>
      <c r="L531" s="32">
        <f t="shared" si="25"/>
        <v>0.8571428571428571</v>
      </c>
      <c r="M531" s="70"/>
      <c r="N531" s="70" t="s">
        <v>2213</v>
      </c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25</v>
      </c>
      <c r="J532" s="73"/>
      <c r="K532" s="31">
        <f t="shared" si="24"/>
        <v>3</v>
      </c>
      <c r="L532" s="32">
        <f t="shared" si="25"/>
        <v>0.8928571428571429</v>
      </c>
      <c r="M532" s="70"/>
      <c r="N532" s="70"/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24</v>
      </c>
      <c r="J533" s="147" t="s">
        <v>2088</v>
      </c>
      <c r="K533" s="31">
        <f t="shared" si="24"/>
        <v>4</v>
      </c>
      <c r="L533" s="32">
        <f t="shared" si="25"/>
        <v>0.8571428571428571</v>
      </c>
      <c r="M533" s="70"/>
      <c r="N533" s="70" t="s">
        <v>2213</v>
      </c>
      <c r="O533" s="70" t="s">
        <v>2213</v>
      </c>
      <c r="P533" s="70" t="s">
        <v>2213</v>
      </c>
      <c r="Q533" s="70" t="s">
        <v>2213</v>
      </c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3</v>
      </c>
      <c r="J539" s="147" t="s">
        <v>2094</v>
      </c>
      <c r="K539" s="142">
        <f t="shared" si="27"/>
        <v>25</v>
      </c>
      <c r="L539" s="143">
        <f t="shared" si="28"/>
        <v>0.10714285714285714</v>
      </c>
      <c r="M539" s="70" t="s">
        <v>2213</v>
      </c>
      <c r="N539" s="70" t="s">
        <v>2213</v>
      </c>
      <c r="O539" s="70" t="s">
        <v>2213</v>
      </c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 t="s">
        <v>2213</v>
      </c>
      <c r="AB539" s="70" t="s">
        <v>2213</v>
      </c>
      <c r="AC539" s="70" t="s">
        <v>2213</v>
      </c>
      <c r="AD539" s="70" t="s">
        <v>2213</v>
      </c>
      <c r="AE539" s="70" t="s">
        <v>2213</v>
      </c>
      <c r="AF539" s="70" t="s">
        <v>2213</v>
      </c>
      <c r="AG539" s="70" t="s">
        <v>2213</v>
      </c>
      <c r="AH539" s="70" t="s">
        <v>2213</v>
      </c>
      <c r="AI539" s="70"/>
      <c r="AJ539" s="70" t="s">
        <v>2213</v>
      </c>
      <c r="AK539" s="70" t="s">
        <v>2213</v>
      </c>
      <c r="AL539" s="70" t="s">
        <v>2213</v>
      </c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28</v>
      </c>
      <c r="J540" s="147" t="s">
        <v>2200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16</v>
      </c>
      <c r="J542" s="147" t="s">
        <v>2095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16</v>
      </c>
      <c r="J543" s="147" t="s">
        <v>2096</v>
      </c>
      <c r="K543" s="142">
        <f t="shared" si="27"/>
        <v>12</v>
      </c>
      <c r="L543" s="143">
        <f t="shared" si="28"/>
        <v>0.5714285714285714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12</v>
      </c>
      <c r="J544" s="147" t="s">
        <v>2097</v>
      </c>
      <c r="K544" s="142">
        <f t="shared" si="27"/>
        <v>16</v>
      </c>
      <c r="L544" s="143">
        <f t="shared" si="28"/>
        <v>0.42857142857142855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 t="s">
        <v>2213</v>
      </c>
      <c r="AC544" s="70" t="s">
        <v>2213</v>
      </c>
      <c r="AD544" s="70" t="s">
        <v>2213</v>
      </c>
      <c r="AE544" s="70" t="s">
        <v>2213</v>
      </c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16</v>
      </c>
      <c r="J545" s="147" t="s">
        <v>2098</v>
      </c>
      <c r="K545" s="142">
        <f t="shared" si="27"/>
        <v>12</v>
      </c>
      <c r="L545" s="143">
        <f t="shared" si="28"/>
        <v>0.5714285714285714</v>
      </c>
      <c r="M545" s="70"/>
      <c r="N545" s="70"/>
      <c r="O545" s="70"/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 t="s">
        <v>2213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24</v>
      </c>
      <c r="J547" s="87"/>
      <c r="K547" s="142">
        <f t="shared" si="27"/>
        <v>4</v>
      </c>
      <c r="L547" s="143">
        <f t="shared" si="28"/>
        <v>0.8571428571428571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 t="s">
        <v>2213</v>
      </c>
      <c r="AK547" s="70" t="s">
        <v>2213</v>
      </c>
      <c r="AL547" s="70" t="s">
        <v>2213</v>
      </c>
      <c r="AM547" s="70" t="s">
        <v>2213</v>
      </c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1</v>
      </c>
      <c r="J548" s="87" t="s">
        <v>2189</v>
      </c>
      <c r="K548" s="142">
        <f t="shared" si="27"/>
        <v>27</v>
      </c>
      <c r="L548" s="143">
        <f t="shared" si="28"/>
        <v>3.5714285714285712E-2</v>
      </c>
      <c r="M548" s="70" t="s">
        <v>2213</v>
      </c>
      <c r="N548" s="70" t="s">
        <v>2213</v>
      </c>
      <c r="O548" s="70" t="s">
        <v>2213</v>
      </c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 t="s">
        <v>2213</v>
      </c>
      <c r="AC548" s="70" t="s">
        <v>2213</v>
      </c>
      <c r="AD548" s="70" t="s">
        <v>2213</v>
      </c>
      <c r="AE548" s="70" t="s">
        <v>2213</v>
      </c>
      <c r="AF548" s="70" t="s">
        <v>2213</v>
      </c>
      <c r="AG548" s="70" t="s">
        <v>2213</v>
      </c>
      <c r="AH548" s="70" t="s">
        <v>2213</v>
      </c>
      <c r="AI548" s="70" t="s">
        <v>2213</v>
      </c>
      <c r="AJ548" s="70" t="s">
        <v>2213</v>
      </c>
      <c r="AK548" s="70" t="s">
        <v>2213</v>
      </c>
      <c r="AL548" s="70" t="s">
        <v>2213</v>
      </c>
      <c r="AM548" s="70" t="s">
        <v>2213</v>
      </c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16</v>
      </c>
      <c r="J549" s="87" t="s">
        <v>2185</v>
      </c>
      <c r="K549" s="31">
        <f t="shared" si="27"/>
        <v>12</v>
      </c>
      <c r="L549" s="32">
        <f t="shared" si="28"/>
        <v>0.5714285714285714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4</v>
      </c>
      <c r="J550" s="147" t="s">
        <v>2099</v>
      </c>
      <c r="K550" s="31">
        <f t="shared" si="27"/>
        <v>24</v>
      </c>
      <c r="L550" s="32">
        <f t="shared" si="28"/>
        <v>0.14285714285714285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 t="s">
        <v>2213</v>
      </c>
      <c r="AC550" s="70" t="s">
        <v>2213</v>
      </c>
      <c r="AD550" s="70" t="s">
        <v>2213</v>
      </c>
      <c r="AE550" s="70" t="s">
        <v>2213</v>
      </c>
      <c r="AF550" s="70" t="s">
        <v>2213</v>
      </c>
      <c r="AG550" s="70" t="s">
        <v>2213</v>
      </c>
      <c r="AH550" s="70" t="s">
        <v>2213</v>
      </c>
      <c r="AI550" s="70" t="s">
        <v>2213</v>
      </c>
      <c r="AJ550" s="70" t="s">
        <v>2213</v>
      </c>
      <c r="AK550" s="70" t="s">
        <v>2213</v>
      </c>
      <c r="AL550" s="70" t="s">
        <v>2213</v>
      </c>
      <c r="AM550" s="70" t="s">
        <v>2213</v>
      </c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16</v>
      </c>
      <c r="J551" s="87" t="s">
        <v>2186</v>
      </c>
      <c r="K551" s="31">
        <f t="shared" si="27"/>
        <v>12</v>
      </c>
      <c r="L551" s="32">
        <f t="shared" si="28"/>
        <v>0.5714285714285714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4</v>
      </c>
      <c r="J552" s="147" t="s">
        <v>2100</v>
      </c>
      <c r="K552" s="31">
        <f t="shared" si="27"/>
        <v>24</v>
      </c>
      <c r="L552" s="32">
        <f t="shared" si="28"/>
        <v>0.14285714285714285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 t="s">
        <v>2213</v>
      </c>
      <c r="AH552" s="70" t="s">
        <v>2213</v>
      </c>
      <c r="AI552" s="70" t="s">
        <v>2213</v>
      </c>
      <c r="AJ552" s="70" t="s">
        <v>2213</v>
      </c>
      <c r="AK552" s="70" t="s">
        <v>2213</v>
      </c>
      <c r="AL552" s="70" t="s">
        <v>2213</v>
      </c>
      <c r="AM552" s="70" t="s">
        <v>2213</v>
      </c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5</v>
      </c>
      <c r="J553" s="147" t="s">
        <v>2101</v>
      </c>
      <c r="K553" s="142">
        <f t="shared" si="27"/>
        <v>23</v>
      </c>
      <c r="L553" s="143">
        <f t="shared" si="28"/>
        <v>0.17857142857142858</v>
      </c>
      <c r="M553" s="70"/>
      <c r="N553" s="70"/>
      <c r="O553" s="70"/>
      <c r="P553" s="70" t="s">
        <v>2213</v>
      </c>
      <c r="Q553" s="70" t="s">
        <v>2213</v>
      </c>
      <c r="R553" s="70" t="s">
        <v>2213</v>
      </c>
      <c r="S553" s="70" t="s">
        <v>2213</v>
      </c>
      <c r="T553" s="70" t="s">
        <v>2213</v>
      </c>
      <c r="U553" s="70" t="s">
        <v>2213</v>
      </c>
      <c r="V553" s="70" t="s">
        <v>2213</v>
      </c>
      <c r="W553" s="70" t="s">
        <v>2213</v>
      </c>
      <c r="X553" s="70" t="s">
        <v>2213</v>
      </c>
      <c r="Y553" s="70" t="s">
        <v>2213</v>
      </c>
      <c r="Z553" s="70" t="s">
        <v>2213</v>
      </c>
      <c r="AA553" s="70" t="s">
        <v>2213</v>
      </c>
      <c r="AB553" s="70" t="s">
        <v>2213</v>
      </c>
      <c r="AC553" s="70" t="s">
        <v>2213</v>
      </c>
      <c r="AD553" s="70" t="s">
        <v>2213</v>
      </c>
      <c r="AE553" s="70" t="s">
        <v>2213</v>
      </c>
      <c r="AF553" s="70" t="s">
        <v>2213</v>
      </c>
      <c r="AG553" s="70" t="s">
        <v>2213</v>
      </c>
      <c r="AH553" s="70" t="s">
        <v>2213</v>
      </c>
      <c r="AI553" s="70" t="s">
        <v>2213</v>
      </c>
      <c r="AJ553" s="70" t="s">
        <v>2213</v>
      </c>
      <c r="AK553" s="70" t="s">
        <v>2213</v>
      </c>
      <c r="AL553" s="70"/>
      <c r="AM553" s="70" t="s">
        <v>2213</v>
      </c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27</v>
      </c>
      <c r="J555" s="87" t="s">
        <v>2187</v>
      </c>
      <c r="K555" s="31">
        <f t="shared" si="27"/>
        <v>1</v>
      </c>
      <c r="L555" s="32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 t="s">
        <v>2213</v>
      </c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1</v>
      </c>
      <c r="J559" s="147" t="s">
        <v>2105</v>
      </c>
      <c r="K559" s="31">
        <f t="shared" si="27"/>
        <v>27</v>
      </c>
      <c r="L559" s="32">
        <f t="shared" si="28"/>
        <v>3.5714285714285712E-2</v>
      </c>
      <c r="M559" s="70" t="s">
        <v>2213</v>
      </c>
      <c r="N559" s="70" t="s">
        <v>2213</v>
      </c>
      <c r="O559" s="70" t="s">
        <v>2213</v>
      </c>
      <c r="P559" s="70" t="s">
        <v>2213</v>
      </c>
      <c r="Q559" s="70" t="s">
        <v>2213</v>
      </c>
      <c r="R559" s="70" t="s">
        <v>2213</v>
      </c>
      <c r="S559" s="70" t="s">
        <v>2213</v>
      </c>
      <c r="T559" s="70" t="s">
        <v>2213</v>
      </c>
      <c r="U559" s="70" t="s">
        <v>2213</v>
      </c>
      <c r="V559" s="70" t="s">
        <v>2213</v>
      </c>
      <c r="W559" s="70" t="s">
        <v>2213</v>
      </c>
      <c r="X559" s="70" t="s">
        <v>2213</v>
      </c>
      <c r="Y559" s="70" t="s">
        <v>2213</v>
      </c>
      <c r="Z559" s="70" t="s">
        <v>2213</v>
      </c>
      <c r="AA559" s="70" t="s">
        <v>2213</v>
      </c>
      <c r="AB559" s="70" t="s">
        <v>2213</v>
      </c>
      <c r="AC559" s="70" t="s">
        <v>2213</v>
      </c>
      <c r="AD559" s="70" t="s">
        <v>2213</v>
      </c>
      <c r="AE559" s="70" t="s">
        <v>2213</v>
      </c>
      <c r="AF559" s="70" t="s">
        <v>2213</v>
      </c>
      <c r="AG559" s="70" t="s">
        <v>2213</v>
      </c>
      <c r="AH559" s="70" t="s">
        <v>2213</v>
      </c>
      <c r="AI559" s="70" t="s">
        <v>2213</v>
      </c>
      <c r="AJ559" s="70" t="s">
        <v>2213</v>
      </c>
      <c r="AK559" s="70" t="s">
        <v>2213</v>
      </c>
      <c r="AL559" s="70" t="s">
        <v>2213</v>
      </c>
      <c r="AM559" s="70" t="s">
        <v>2213</v>
      </c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27</v>
      </c>
      <c r="J562" s="147" t="s">
        <v>2108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27</v>
      </c>
      <c r="J563" s="147" t="s">
        <v>2109</v>
      </c>
      <c r="K563" s="31">
        <f t="shared" si="27"/>
        <v>1</v>
      </c>
      <c r="L563" s="32">
        <f t="shared" si="28"/>
        <v>0.9642857142857143</v>
      </c>
      <c r="M563" s="70"/>
      <c r="N563" s="70" t="s">
        <v>2213</v>
      </c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15</v>
      </c>
      <c r="J564" s="87" t="s">
        <v>2203</v>
      </c>
      <c r="K564" s="142">
        <f t="shared" si="27"/>
        <v>13</v>
      </c>
      <c r="L564" s="143">
        <f t="shared" si="28"/>
        <v>0.5357142857142857</v>
      </c>
      <c r="M564" s="70" t="s">
        <v>2213</v>
      </c>
      <c r="N564" s="70"/>
      <c r="O564" s="70"/>
      <c r="P564" s="70" t="s">
        <v>2213</v>
      </c>
      <c r="Q564" s="70" t="s">
        <v>2213</v>
      </c>
      <c r="R564" s="70" t="s">
        <v>2213</v>
      </c>
      <c r="S564" s="70" t="s">
        <v>2213</v>
      </c>
      <c r="T564" s="70" t="s">
        <v>2213</v>
      </c>
      <c r="U564" s="70" t="s">
        <v>2213</v>
      </c>
      <c r="V564" s="70" t="s">
        <v>2213</v>
      </c>
      <c r="W564" s="70" t="s">
        <v>2213</v>
      </c>
      <c r="X564" s="70" t="s">
        <v>2213</v>
      </c>
      <c r="Y564" s="70" t="s">
        <v>2213</v>
      </c>
      <c r="Z564" s="70" t="s">
        <v>2213</v>
      </c>
      <c r="AA564" s="70" t="s">
        <v>2213</v>
      </c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2265</v>
      </c>
      <c r="C565" s="73" t="s">
        <v>1063</v>
      </c>
      <c r="D565" s="73" t="s">
        <v>2266</v>
      </c>
      <c r="E565" s="85" t="s">
        <v>15</v>
      </c>
      <c r="F565" s="85" t="s">
        <v>1301</v>
      </c>
      <c r="G565" s="85"/>
      <c r="H565" s="85" t="s">
        <v>2267</v>
      </c>
      <c r="I565" s="142">
        <f t="shared" si="26"/>
        <v>28</v>
      </c>
      <c r="J565" s="87" t="s">
        <v>2268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2278</v>
      </c>
      <c r="C566" s="73" t="s">
        <v>1063</v>
      </c>
      <c r="D566" s="73" t="s">
        <v>2279</v>
      </c>
      <c r="E566" s="85" t="s">
        <v>15</v>
      </c>
      <c r="F566" s="85"/>
      <c r="G566" s="85"/>
      <c r="H566" s="85" t="s">
        <v>2280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2</v>
      </c>
      <c r="J577" s="147" t="s">
        <v>2116</v>
      </c>
      <c r="K577" s="142">
        <f t="shared" si="27"/>
        <v>26</v>
      </c>
      <c r="L577" s="143">
        <f t="shared" si="28"/>
        <v>7.1428571428571425E-2</v>
      </c>
      <c r="M577" s="70" t="s">
        <v>2213</v>
      </c>
      <c r="N577" s="70" t="s">
        <v>2213</v>
      </c>
      <c r="O577" s="70" t="s">
        <v>2213</v>
      </c>
      <c r="P577" s="70" t="s">
        <v>2213</v>
      </c>
      <c r="Q577" s="70" t="s">
        <v>2213</v>
      </c>
      <c r="R577" s="70" t="s">
        <v>2213</v>
      </c>
      <c r="S577" s="70" t="s">
        <v>2213</v>
      </c>
      <c r="T577" s="70" t="s">
        <v>2213</v>
      </c>
      <c r="U577" s="70" t="s">
        <v>2213</v>
      </c>
      <c r="V577" s="70" t="s">
        <v>2213</v>
      </c>
      <c r="W577" s="70" t="s">
        <v>2213</v>
      </c>
      <c r="X577" s="70" t="s">
        <v>2213</v>
      </c>
      <c r="Y577" s="70" t="s">
        <v>2213</v>
      </c>
      <c r="Z577" s="70" t="s">
        <v>2213</v>
      </c>
      <c r="AA577" s="70" t="s">
        <v>2213</v>
      </c>
      <c r="AB577" s="70" t="s">
        <v>2213</v>
      </c>
      <c r="AC577" s="70" t="s">
        <v>2213</v>
      </c>
      <c r="AD577" s="70" t="s">
        <v>2213</v>
      </c>
      <c r="AE577" s="70" t="s">
        <v>2213</v>
      </c>
      <c r="AF577" s="70" t="s">
        <v>2213</v>
      </c>
      <c r="AG577" s="70" t="s">
        <v>2213</v>
      </c>
      <c r="AH577" s="70" t="s">
        <v>2213</v>
      </c>
      <c r="AI577" s="70"/>
      <c r="AJ577" s="70" t="s">
        <v>2213</v>
      </c>
      <c r="AK577" s="70" t="s">
        <v>2213</v>
      </c>
      <c r="AL577" s="70" t="s">
        <v>2213</v>
      </c>
      <c r="AM577" s="70" t="s">
        <v>2213</v>
      </c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34" zoomScale="84" zoomScaleNormal="84" workbookViewId="0">
      <selection activeCell="B246" sqref="B24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0.1480836236933798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303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0.12195121951219512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0.11846689895470383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0.1132404181184669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9.7560975609756101E-2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303</v>
      </c>
      <c r="D20" s="115">
        <f>Hoja1!G3</f>
        <v>29</v>
      </c>
      <c r="E20" s="105">
        <f>D20/C20</f>
        <v>9.5709570957095716E-2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0.13937282229965156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0.13937282229965156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0.13414634146341464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0.11846689895470383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0.11846689895470383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303</v>
      </c>
      <c r="D31" s="115">
        <f>Hoja1!H3</f>
        <v>37</v>
      </c>
      <c r="E31" s="105">
        <f>D31/C31</f>
        <v>0.12211221122112212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0.21080139372822299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0.19686411149825783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0.19163763066202091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0.16376306620209058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303</v>
      </c>
      <c r="D42" s="115">
        <v>48</v>
      </c>
      <c r="E42" s="105">
        <f>D42/C42</f>
        <v>0.15841584158415842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0.19337979094076654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0.18989547038327526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0.18466898954703834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0.15853658536585366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303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0.15505226480836237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7.6655052264808357E-2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7.1428571428571425E-2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6.097560975609756E-2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303</v>
      </c>
      <c r="D64" s="115">
        <f>Hoja1!K3</f>
        <v>22</v>
      </c>
      <c r="E64" s="105">
        <f>D64/C64</f>
        <v>7.2607260726072612E-2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0.15853658536585366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0.156794425087108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0.15156794425087108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0.12543554006968641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0.12543554006968641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303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303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0.15156794425087108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0.14982578397212543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0.14459930313588851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0.11846689895470383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303</v>
      </c>
      <c r="D97" s="115">
        <f>Hoja1!N3</f>
        <v>20</v>
      </c>
      <c r="E97" s="105">
        <f>D97/C97</f>
        <v>6.6006600660066E-2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0.13588850174216027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0.12369337979094076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0.10975609756097561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303</v>
      </c>
      <c r="D108" s="115">
        <f>Hoja1!O3</f>
        <v>20</v>
      </c>
      <c r="E108" s="105">
        <f>D108/C108</f>
        <v>6.6006600660066E-2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0.15505226480836237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0.14982578397212543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0.14459930313588851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0.13937282229965156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303</v>
      </c>
      <c r="D119" s="115">
        <f>Hoja1!P3</f>
        <v>22</v>
      </c>
      <c r="E119" s="105">
        <f>D119/C119</f>
        <v>7.2607260726072612E-2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0.15853658536585366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0.14982578397212543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0.14459930313588851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0.13414634146341464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0.13414634146341464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303</v>
      </c>
      <c r="D130" s="115">
        <f>Hoja1!Q3</f>
        <v>22</v>
      </c>
      <c r="E130" s="105">
        <f>D130/C130</f>
        <v>7.2607260726072612E-2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0.14459930313588851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0.13588850174216027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0.13066202090592335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0.10801393728222997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303</v>
      </c>
      <c r="D141" s="115">
        <v>23</v>
      </c>
      <c r="E141" s="105">
        <f>D141/C141</f>
        <v>7.590759075907591E-2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0.13937282229965156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0.12717770034843207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0.12195121951219512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9.5818815331010457E-2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9.5818815331010457E-2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303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0.16027874564459929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0.16027874564459929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0.14111498257839722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0.14111498257839722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303</v>
      </c>
      <c r="D163" s="115">
        <f>Hoja1!T3</f>
        <v>26</v>
      </c>
      <c r="E163" s="105">
        <f>D163/C163</f>
        <v>8.5808580858085806E-2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0.14111498257839722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0.14111498257839722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0.13588850174216027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0.13240418118466898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0.13240418118466898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303</v>
      </c>
      <c r="D174" s="115">
        <v>27</v>
      </c>
      <c r="E174" s="105">
        <f>D174/C174</f>
        <v>8.9108910891089105E-2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0.17247386759581881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0.17247386759581881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0.1672473867595819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0.16027874564459929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303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46009</v>
      </c>
      <c r="H189" s="52" t="s">
        <v>1242</v>
      </c>
      <c r="I189" s="100">
        <f>CANTIDAD_DE_CAMARAS</f>
        <v>574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0.19686411149825783</v>
      </c>
      <c r="F190" s="155"/>
      <c r="H190" s="53" t="s">
        <v>6</v>
      </c>
      <c r="I190" s="66">
        <v>85</v>
      </c>
      <c r="J190" s="54"/>
      <c r="K190" s="55">
        <f>I190/I189</f>
        <v>0.1480836236933798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0.1951219512195122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0.14634146341463414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0.18989547038327526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0.14111498257839722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0.18641114982578397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0.13763066202090593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303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0.14459930313588851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0.13066202090592335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0.12543554006968641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0.11672473867595819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9.5818815331010457E-2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8.3623693379790948E-2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7.8397212543554001E-2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6.7944250871080136E-2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6.7944250871080136E-2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303</v>
      </c>
      <c r="D218" s="115">
        <v>17</v>
      </c>
      <c r="E218" s="105">
        <f>D218/C218</f>
        <v>5.6105610561056105E-2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73</v>
      </c>
      <c r="D224" s="54">
        <v>0</v>
      </c>
      <c r="E224" s="55">
        <f>C224/C223</f>
        <v>0.12717770034843207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73</v>
      </c>
      <c r="E225" s="55">
        <f>D225/C223</f>
        <v>0.12717770034843207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5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303</v>
      </c>
      <c r="D230" s="115">
        <f>Hoja1!Z3</f>
        <v>21</v>
      </c>
      <c r="E230" s="105">
        <f>D230/C230</f>
        <v>6.9306930693069313E-2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52</v>
      </c>
      <c r="E231" s="114">
        <f>D231/C231</f>
        <v>0.19259259259259259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74</v>
      </c>
      <c r="D236" s="54"/>
      <c r="E236" s="55">
        <f>C236/C235</f>
        <v>0.1289198606271777</v>
      </c>
      <c r="F236" s="155"/>
    </row>
    <row r="237" spans="2:6" x14ac:dyDescent="0.25">
      <c r="B237" s="53" t="s">
        <v>1243</v>
      </c>
      <c r="C237" s="67">
        <v>2</v>
      </c>
      <c r="D237" s="103">
        <v>72</v>
      </c>
      <c r="E237" s="55">
        <f>D237/C235</f>
        <v>0.12543554006968641</v>
      </c>
      <c r="F237" s="155"/>
    </row>
    <row r="238" spans="2:6" x14ac:dyDescent="0.25">
      <c r="B238" s="53" t="s">
        <v>1244</v>
      </c>
      <c r="C238" s="67">
        <v>3</v>
      </c>
      <c r="D238" s="103">
        <v>69</v>
      </c>
      <c r="E238" s="55">
        <f>D238/C235</f>
        <v>0.12020905923344948</v>
      </c>
      <c r="F238" s="155"/>
    </row>
    <row r="239" spans="2:6" x14ac:dyDescent="0.25">
      <c r="B239" s="53" t="s">
        <v>16</v>
      </c>
      <c r="C239" s="94">
        <v>5</v>
      </c>
      <c r="D239" s="103">
        <v>64</v>
      </c>
      <c r="E239" s="55">
        <f>D239/C235</f>
        <v>0.11149825783972125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303</v>
      </c>
      <c r="D242" s="115">
        <v>21</v>
      </c>
      <c r="E242" s="105">
        <f>D242/C242</f>
        <v>6.9306930693069313E-2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53</v>
      </c>
      <c r="E243" s="114">
        <v>0.2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72</v>
      </c>
      <c r="D248" s="54"/>
      <c r="E248" s="55">
        <f>C248/C247</f>
        <v>0.12543554006968641</v>
      </c>
      <c r="F248" s="155"/>
    </row>
    <row r="249" spans="2:6" x14ac:dyDescent="0.25">
      <c r="B249" s="53" t="s">
        <v>1243</v>
      </c>
      <c r="C249" s="67">
        <v>3</v>
      </c>
      <c r="D249" s="103">
        <v>69</v>
      </c>
      <c r="E249" s="55">
        <f>D249/C247</f>
        <v>0.12020905923344948</v>
      </c>
      <c r="F249" s="155"/>
    </row>
    <row r="250" spans="2:6" x14ac:dyDescent="0.25">
      <c r="B250" s="53" t="s">
        <v>1244</v>
      </c>
      <c r="C250" s="67">
        <v>3</v>
      </c>
      <c r="D250" s="103">
        <v>66</v>
      </c>
      <c r="E250" s="55">
        <f>D250/C247</f>
        <v>0.11498257839721254</v>
      </c>
      <c r="F250" s="155"/>
    </row>
    <row r="251" spans="2:6" x14ac:dyDescent="0.25">
      <c r="B251" s="53" t="s">
        <v>16</v>
      </c>
      <c r="C251" s="94">
        <v>5</v>
      </c>
      <c r="D251" s="103">
        <v>61</v>
      </c>
      <c r="E251" s="55">
        <f>D251/C247</f>
        <v>0.10627177700348432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303</v>
      </c>
      <c r="D254" s="115">
        <v>21</v>
      </c>
      <c r="E254" s="105">
        <f>D254/C254</f>
        <v>6.9306930693069313E-2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52</v>
      </c>
      <c r="E255" s="114">
        <f>D255/C255</f>
        <v>0.19259259259259259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303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303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303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303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303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303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303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303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 t="str">
        <f>'RESUMEN TOTAL'!AK8</f>
        <v>APAGADO</v>
      </c>
      <c r="AE5" s="70" t="str">
        <f>'RESUMEN TOTAL'!AL8</f>
        <v>APAGADO</v>
      </c>
      <c r="AF5" s="70" t="str">
        <f>'RESUMEN TOTAL'!AM8</f>
        <v>APAGADO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 t="str">
        <f>'RESUMEN TOTAL'!AM9</f>
        <v>APAGADO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 t="str">
        <f>'RESUMEN TOTAL'!AK14</f>
        <v>APAGADO</v>
      </c>
      <c r="AE11" s="70" t="str">
        <f>'RESUMEN TOTAL'!AL14</f>
        <v>APAGADO</v>
      </c>
      <c r="AF11" s="70" t="str">
        <f>'RESUMEN TOTAL'!AM14</f>
        <v>APAGADO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 t="str">
        <f>'RESUMEN TOTAL'!AG17</f>
        <v>APAGADO</v>
      </c>
      <c r="AA14" s="70" t="str">
        <f>'RESUMEN TOTAL'!AH17</f>
        <v>APAGADO</v>
      </c>
      <c r="AB14" s="70" t="str">
        <f>'RESUMEN TOTAL'!AI17</f>
        <v>APAGADO</v>
      </c>
      <c r="AC14" s="70" t="str">
        <f>'RESUMEN TOTAL'!AJ17</f>
        <v>APAGADO</v>
      </c>
      <c r="AD14" s="70" t="str">
        <f>'RESUMEN TOTAL'!AK17</f>
        <v>APAGADO</v>
      </c>
      <c r="AE14" s="70" t="str">
        <f>'RESUMEN TOTAL'!AL17</f>
        <v>APAGADO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>
        <f>'RESUMEN TOTAL'!AI19</f>
        <v>0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 t="str">
        <f>'RESUMEN TOTAL'!AK74</f>
        <v>APAGADO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 t="str">
        <f>'RESUMEN TOTAL'!AK88</f>
        <v>APAGADO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 t="str">
        <f>'RESUMEN TOTAL'!AI89</f>
        <v>APAGADO</v>
      </c>
      <c r="AC68" s="70" t="str">
        <f>'RESUMEN TOTAL'!AJ89</f>
        <v>APAGADO</v>
      </c>
      <c r="AD68" s="70" t="str">
        <f>'RESUMEN TOTAL'!AK89</f>
        <v>APAGADO</v>
      </c>
      <c r="AE68" s="70" t="str">
        <f>'RESUMEN TOTAL'!AL89</f>
        <v>APAGADO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 t="str">
        <f>'RESUMEN TOTAL'!AJ95</f>
        <v>APAGADO</v>
      </c>
      <c r="AD74" s="70" t="str">
        <f>'RESUMEN TOTAL'!AK95</f>
        <v>APAGADO</v>
      </c>
      <c r="AE74" s="70" t="str">
        <f>'RESUMEN TOTAL'!AL95</f>
        <v>APAGADO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 t="str">
        <f>'RESUMEN TOTAL'!AK99</f>
        <v>APAGADO</v>
      </c>
      <c r="AE78" s="70" t="str">
        <f>'RESUMEN TOTAL'!AL99</f>
        <v>APAGADO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 t="str">
        <f>'RESUMEN TOTAL'!AJ112</f>
        <v>APAGADO</v>
      </c>
      <c r="AD91" s="70" t="str">
        <f>'RESUMEN TOTAL'!AK112</f>
        <v>APAGADO</v>
      </c>
      <c r="AE91" s="70" t="str">
        <f>'RESUMEN TOTAL'!AL112</f>
        <v>APAGADO</v>
      </c>
      <c r="AF91" s="70" t="str">
        <f>'RESUMEN TOTAL'!AM112</f>
        <v>APAGADO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 t="str">
        <f>'RESUMEN TOTAL'!AJ113</f>
        <v>APAGADO</v>
      </c>
      <c r="AD92" s="70" t="str">
        <f>'RESUMEN TOTAL'!AK113</f>
        <v>APAGADO</v>
      </c>
      <c r="AE92" s="70" t="str">
        <f>'RESUMEN TOTAL'!AL113</f>
        <v>APAGADO</v>
      </c>
      <c r="AF92" s="70" t="str">
        <f>'RESUMEN TOTAL'!AM113</f>
        <v>APAGADO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 t="str">
        <f>'RESUMEN TOTAL'!AL130</f>
        <v>APAGADO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 t="str">
        <f>'RESUMEN TOTAL'!AM151</f>
        <v>APAGADO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 t="str">
        <f>'RESUMEN TOTAL'!AG180</f>
        <v>APAGADO</v>
      </c>
      <c r="AA140" s="70" t="str">
        <f>'RESUMEN TOTAL'!AH180</f>
        <v>APAGADO</v>
      </c>
      <c r="AB140" s="70" t="str">
        <f>'RESUMEN TOTAL'!AI180</f>
        <v>APAGADO</v>
      </c>
      <c r="AC140" s="70" t="str">
        <f>'RESUMEN TOTAL'!AJ180</f>
        <v>APAGADO</v>
      </c>
      <c r="AD140" s="70" t="str">
        <f>'RESUMEN TOTAL'!AK180</f>
        <v>APAGADO</v>
      </c>
      <c r="AE140" s="70" t="str">
        <f>'RESUMEN TOTAL'!AL180</f>
        <v>APAGADO</v>
      </c>
      <c r="AF140" s="70" t="str">
        <f>'RESUMEN TOTAL'!AM180</f>
        <v>APAGADO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 t="str">
        <f>'RESUMEN TOTAL'!AG181</f>
        <v>APAGADO</v>
      </c>
      <c r="AA141" s="70" t="str">
        <f>'RESUMEN TOTAL'!AH181</f>
        <v>APAGADO</v>
      </c>
      <c r="AB141" s="70" t="str">
        <f>'RESUMEN TOTAL'!AI181</f>
        <v>APAGADO</v>
      </c>
      <c r="AC141" s="70" t="str">
        <f>'RESUMEN TOTAL'!AJ181</f>
        <v>APAGADO</v>
      </c>
      <c r="AD141" s="70" t="str">
        <f>'RESUMEN TOTAL'!AK181</f>
        <v>APAGADO</v>
      </c>
      <c r="AE141" s="70" t="str">
        <f>'RESUMEN TOTAL'!AL181</f>
        <v>APAGADO</v>
      </c>
      <c r="AF141" s="70" t="str">
        <f>'RESUMEN TOTAL'!AM181</f>
        <v>APAGADO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 t="str">
        <f>'RESUMEN TOTAL'!AG182</f>
        <v>APAGADO</v>
      </c>
      <c r="AA142" s="70" t="str">
        <f>'RESUMEN TOTAL'!AH182</f>
        <v>APAGADO</v>
      </c>
      <c r="AB142" s="70" t="str">
        <f>'RESUMEN TOTAL'!AI182</f>
        <v>APAGADO</v>
      </c>
      <c r="AC142" s="70" t="str">
        <f>'RESUMEN TOTAL'!AJ182</f>
        <v>APAGADO</v>
      </c>
      <c r="AD142" s="70" t="str">
        <f>'RESUMEN TOTAL'!AK182</f>
        <v>APAGADO</v>
      </c>
      <c r="AE142" s="70" t="str">
        <f>'RESUMEN TOTAL'!AL182</f>
        <v>APAGADO</v>
      </c>
      <c r="AF142" s="70" t="str">
        <f>'RESUMEN TOTAL'!AM182</f>
        <v>APAGADO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 t="str">
        <f>'RESUMEN TOTAL'!AG183</f>
        <v>APAGADO</v>
      </c>
      <c r="AA143" s="70" t="str">
        <f>'RESUMEN TOTAL'!AH183</f>
        <v>APAGADO</v>
      </c>
      <c r="AB143" s="70" t="str">
        <f>'RESUMEN TOTAL'!AI183</f>
        <v>APAGADO</v>
      </c>
      <c r="AC143" s="70" t="str">
        <f>'RESUMEN TOTAL'!AJ183</f>
        <v>APAGADO</v>
      </c>
      <c r="AD143" s="70" t="str">
        <f>'RESUMEN TOTAL'!AK183</f>
        <v>APAGADO</v>
      </c>
      <c r="AE143" s="70" t="str">
        <f>'RESUMEN TOTAL'!AL183</f>
        <v>APAGADO</v>
      </c>
      <c r="AF143" s="70" t="str">
        <f>'RESUMEN TOTAL'!AM183</f>
        <v>APAGADO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 t="str">
        <f>'RESUMEN TOTAL'!AM191</f>
        <v>APAGADO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 t="str">
        <f>'RESUMEN TOTAL'!AM192</f>
        <v>APAGADO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 t="str">
        <f>'RESUMEN TOTAL'!AK193</f>
        <v>APAGADO</v>
      </c>
      <c r="AE148" s="70" t="str">
        <f>'RESUMEN TOTAL'!AL193</f>
        <v>APAGADO</v>
      </c>
      <c r="AF148" s="70" t="str">
        <f>'RESUMEN TOTAL'!AM193</f>
        <v>APAGADO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 t="str">
        <f>'RESUMEN TOTAL'!AK194</f>
        <v>APAGADO</v>
      </c>
      <c r="AE149" s="70" t="str">
        <f>'RESUMEN TOTAL'!AL194</f>
        <v>APAGADO</v>
      </c>
      <c r="AF149" s="70" t="str">
        <f>'RESUMEN TOTAL'!AM194</f>
        <v>APAGADO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 t="str">
        <f>'RESUMEN TOTAL'!AG195</f>
        <v>APAGADO</v>
      </c>
      <c r="AA150" s="70">
        <f>'RESUMEN TOTAL'!AH195</f>
        <v>0</v>
      </c>
      <c r="AB150" s="70" t="str">
        <f>'RESUMEN TOTAL'!AI195</f>
        <v>APAGADO</v>
      </c>
      <c r="AC150" s="70" t="str">
        <f>'RESUMEN TOTAL'!AJ195</f>
        <v>APAGADO</v>
      </c>
      <c r="AD150" s="70" t="str">
        <f>'RESUMEN TOTAL'!AK195</f>
        <v>APAGADO</v>
      </c>
      <c r="AE150" s="70" t="str">
        <f>'RESUMEN TOTAL'!AL195</f>
        <v>APAGADO</v>
      </c>
      <c r="AF150" s="70" t="str">
        <f>'RESUMEN TOTAL'!AM195</f>
        <v>APAGADO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>
        <f>'RESUMEN TOTAL'!AK200</f>
        <v>0</v>
      </c>
      <c r="AE155" s="70" t="str">
        <f>'RESUMEN TOTAL'!AL200</f>
        <v>APAGADO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 t="str">
        <f>'RESUMEN TOTAL'!AG201</f>
        <v>APAGADO</v>
      </c>
      <c r="AA156" s="70" t="str">
        <f>'RESUMEN TOTAL'!AH201</f>
        <v>APAGADO</v>
      </c>
      <c r="AB156" s="70" t="str">
        <f>'RESUMEN TOTAL'!AI201</f>
        <v>APAGADO</v>
      </c>
      <c r="AC156" s="70" t="str">
        <f>'RESUMEN TOTAL'!AJ201</f>
        <v>APAGADO</v>
      </c>
      <c r="AD156" s="70" t="str">
        <f>'RESUMEN TOTAL'!AK201</f>
        <v>APAGADO</v>
      </c>
      <c r="AE156" s="70" t="str">
        <f>'RESUMEN TOTAL'!AL201</f>
        <v>APAGADO</v>
      </c>
      <c r="AF156" s="70" t="str">
        <f>'RESUMEN TOTAL'!AM201</f>
        <v>APAGADO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 t="str">
        <f>'RESUMEN TOTAL'!AL205</f>
        <v>APAGADO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 t="str">
        <f>'RESUMEN TOTAL'!AL206</f>
        <v>APAGADO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 t="str">
        <f>'RESUMEN TOTAL'!AG211</f>
        <v>APAGADO</v>
      </c>
      <c r="AA166" s="70" t="str">
        <f>'RESUMEN TOTAL'!AH211</f>
        <v>APAGADO</v>
      </c>
      <c r="AB166" s="70" t="str">
        <f>'RESUMEN TOTAL'!AI211</f>
        <v>APAGADO</v>
      </c>
      <c r="AC166" s="70" t="str">
        <f>'RESUMEN TOTAL'!AJ211</f>
        <v>APAGADO</v>
      </c>
      <c r="AD166" s="70" t="str">
        <f>'RESUMEN TOTAL'!AK211</f>
        <v>APAGADO</v>
      </c>
      <c r="AE166" s="70" t="str">
        <f>'RESUMEN TOTAL'!AL211</f>
        <v>APAGADO</v>
      </c>
      <c r="AF166" s="70" t="str">
        <f>'RESUMEN TOTAL'!AM211</f>
        <v>APAGADO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 t="str">
        <f>'RESUMEN TOTAL'!AG219</f>
        <v>APAGADO</v>
      </c>
      <c r="AA170" s="70" t="str">
        <f>'RESUMEN TOTAL'!AH219</f>
        <v>APAGADO</v>
      </c>
      <c r="AB170" s="70" t="str">
        <f>'RESUMEN TOTAL'!AI219</f>
        <v>APAGADO</v>
      </c>
      <c r="AC170" s="70" t="str">
        <f>'RESUMEN TOTAL'!AJ219</f>
        <v>APAGADO</v>
      </c>
      <c r="AD170" s="70" t="str">
        <f>'RESUMEN TOTAL'!AK219</f>
        <v>APAGADO</v>
      </c>
      <c r="AE170" s="70" t="str">
        <f>'RESUMEN TOTAL'!AL219</f>
        <v>APAGADO</v>
      </c>
      <c r="AF170" s="70" t="str">
        <f>'RESUMEN TOTAL'!AM219</f>
        <v>APAGADO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 t="str">
        <f>'RESUMEN TOTAL'!AG220</f>
        <v>APAGADO</v>
      </c>
      <c r="AA171" s="70" t="str">
        <f>'RESUMEN TOTAL'!AH220</f>
        <v>APAGADO</v>
      </c>
      <c r="AB171" s="70" t="str">
        <f>'RESUMEN TOTAL'!AI220</f>
        <v>APAGADO</v>
      </c>
      <c r="AC171" s="70" t="str">
        <f>'RESUMEN TOTAL'!AJ220</f>
        <v>APAGADO</v>
      </c>
      <c r="AD171" s="70" t="str">
        <f>'RESUMEN TOTAL'!AK220</f>
        <v>APAGADO</v>
      </c>
      <c r="AE171" s="70" t="str">
        <f>'RESUMEN TOTAL'!AL220</f>
        <v>APAGADO</v>
      </c>
      <c r="AF171" s="70" t="str">
        <f>'RESUMEN TOTAL'!AM220</f>
        <v>APAGADO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 t="str">
        <f>'RESUMEN TOTAL'!AI232</f>
        <v>APAGADO</v>
      </c>
      <c r="AC179" s="70" t="str">
        <f>'RESUMEN TOTAL'!AJ232</f>
        <v>APAGADO</v>
      </c>
      <c r="AD179" s="70" t="str">
        <f>'RESUMEN TOTAL'!AK232</f>
        <v>APAGADO</v>
      </c>
      <c r="AE179" s="70" t="str">
        <f>'RESUMEN TOTAL'!AL232</f>
        <v>APAGADO</v>
      </c>
      <c r="AF179" s="70" t="str">
        <f>'RESUMEN TOTAL'!AM232</f>
        <v>APAGADO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 t="str">
        <f>'RESUMEN TOTAL'!AM233</f>
        <v>APAGADO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 t="str">
        <f>'RESUMEN TOTAL'!AJ234</f>
        <v>APAGADO</v>
      </c>
      <c r="AD181" s="70" t="str">
        <f>'RESUMEN TOTAL'!AK234</f>
        <v>APAGADO</v>
      </c>
      <c r="AE181" s="70" t="str">
        <f>'RESUMEN TOTAL'!AL234</f>
        <v>APAGADO</v>
      </c>
      <c r="AF181" s="70" t="str">
        <f>'RESUMEN TOTAL'!AM234</f>
        <v>APAGADO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 t="str">
        <f>'RESUMEN TOTAL'!AM242</f>
        <v>APAGADO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 t="str">
        <f>'RESUMEN TOTAL'!AM243</f>
        <v>APAGADO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 t="str">
        <f>'RESUMEN TOTAL'!AK246</f>
        <v>APAGADO</v>
      </c>
      <c r="AE193" s="70" t="str">
        <f>'RESUMEN TOTAL'!AL246</f>
        <v>APAGADO</v>
      </c>
      <c r="AF193" s="70" t="str">
        <f>'RESUMEN TOTAL'!AM246</f>
        <v>APAGADO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 t="str">
        <f>'RESUMEN TOTAL'!AM260</f>
        <v>APAGADO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 t="str">
        <f>'RESUMEN TOTAL'!AM262</f>
        <v>APAGADO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 t="str">
        <f>'RESUMEN TOTAL'!AJ281</f>
        <v>APAGADO</v>
      </c>
      <c r="AD224" s="70" t="str">
        <f>'RESUMEN TOTAL'!AK281</f>
        <v>APAGADO</v>
      </c>
      <c r="AE224" s="70" t="str">
        <f>'RESUMEN TOTAL'!AL281</f>
        <v>APAGADO</v>
      </c>
      <c r="AF224" s="70" t="str">
        <f>'RESUMEN TOTAL'!AM281</f>
        <v>APAGADO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 t="str">
        <f>'RESUMEN TOTAL'!AG290</f>
        <v>APAGADO</v>
      </c>
      <c r="AA230" s="70" t="str">
        <f>'RESUMEN TOTAL'!AH290</f>
        <v>APAGADO</v>
      </c>
      <c r="AB230" s="70" t="str">
        <f>'RESUMEN TOTAL'!AI290</f>
        <v>APAGADO</v>
      </c>
      <c r="AC230" s="70" t="str">
        <f>'RESUMEN TOTAL'!AJ290</f>
        <v>APAGADO</v>
      </c>
      <c r="AD230" s="70" t="str">
        <f>'RESUMEN TOTAL'!AK290</f>
        <v>APAGADO</v>
      </c>
      <c r="AE230" s="70" t="str">
        <f>'RESUMEN TOTAL'!AL290</f>
        <v>APAGADO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 t="str">
        <f>'RESUMEN TOTAL'!AG291</f>
        <v>APAGADO</v>
      </c>
      <c r="AA231" s="70" t="str">
        <f>'RESUMEN TOTAL'!AH291</f>
        <v>APAGADO</v>
      </c>
      <c r="AB231" s="70" t="str">
        <f>'RESUMEN TOTAL'!AI291</f>
        <v>APAGADO</v>
      </c>
      <c r="AC231" s="70" t="str">
        <f>'RESUMEN TOTAL'!AJ291</f>
        <v>APAGADO</v>
      </c>
      <c r="AD231" s="70" t="str">
        <f>'RESUMEN TOTAL'!AK291</f>
        <v>APAGADO</v>
      </c>
      <c r="AE231" s="70" t="str">
        <f>'RESUMEN TOTAL'!AL291</f>
        <v>APAGADO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 t="str">
        <f>'RESUMEN TOTAL'!AJ296</f>
        <v>APAGADO</v>
      </c>
      <c r="AD236" s="70" t="str">
        <f>'RESUMEN TOTAL'!AK296</f>
        <v>APAGADO</v>
      </c>
      <c r="AE236" s="70" t="str">
        <f>'RESUMEN TOTAL'!AL296</f>
        <v>APAGADO</v>
      </c>
      <c r="AF236" s="70" t="str">
        <f>'RESUMEN TOTAL'!AM296</f>
        <v>APAGADO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 t="str">
        <f>'RESUMEN TOTAL'!AJ308</f>
        <v>APAGADO</v>
      </c>
      <c r="AD248" s="70" t="str">
        <f>'RESUMEN TOTAL'!AK308</f>
        <v>APAGADO</v>
      </c>
      <c r="AE248" s="70" t="str">
        <f>'RESUMEN TOTAL'!AL308</f>
        <v>APAGADO</v>
      </c>
      <c r="AF248" s="70" t="str">
        <f>'RESUMEN TOTAL'!AM308</f>
        <v>APAGADO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 t="str">
        <f>'RESUMEN TOTAL'!AJ310</f>
        <v>APAGADO</v>
      </c>
      <c r="AD250" s="70" t="str">
        <f>'RESUMEN TOTAL'!AK310</f>
        <v>APAGADO</v>
      </c>
      <c r="AE250" s="70" t="str">
        <f>'RESUMEN TOTAL'!AL310</f>
        <v>APAGADO</v>
      </c>
      <c r="AF250" s="70" t="str">
        <f>'RESUMEN TOTAL'!AM310</f>
        <v>APAGADO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 t="str">
        <f>'RESUMEN TOTAL'!AJ311</f>
        <v>APAGADO</v>
      </c>
      <c r="AD251" s="70" t="str">
        <f>'RESUMEN TOTAL'!AK311</f>
        <v>APAGADO</v>
      </c>
      <c r="AE251" s="70" t="str">
        <f>'RESUMEN TOTAL'!AL311</f>
        <v>APAGADO</v>
      </c>
      <c r="AF251" s="70" t="str">
        <f>'RESUMEN TOTAL'!AM311</f>
        <v>APAGADO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 t="str">
        <f>'RESUMEN TOTAL'!AJ312</f>
        <v>APAGADO</v>
      </c>
      <c r="AD252" s="70" t="str">
        <f>'RESUMEN TOTAL'!AK312</f>
        <v>APAGADO</v>
      </c>
      <c r="AE252" s="70" t="str">
        <f>'RESUMEN TOTAL'!AL312</f>
        <v>APAGADO</v>
      </c>
      <c r="AF252" s="70" t="str">
        <f>'RESUMEN TOTAL'!AM312</f>
        <v>APAGADO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 t="str">
        <f>'RESUMEN TOTAL'!AJ313</f>
        <v>APAGADO</v>
      </c>
      <c r="AD253" s="70" t="str">
        <f>'RESUMEN TOTAL'!AK313</f>
        <v>APAGADO</v>
      </c>
      <c r="AE253" s="70" t="str">
        <f>'RESUMEN TOTAL'!AL313</f>
        <v>APAGADO</v>
      </c>
      <c r="AF253" s="70" t="str">
        <f>'RESUMEN TOTAL'!AM313</f>
        <v>APAGADO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 t="str">
        <f>'RESUMEN TOTAL'!AJ314</f>
        <v>APAGADO</v>
      </c>
      <c r="AD254" s="70" t="str">
        <f>'RESUMEN TOTAL'!AK314</f>
        <v>APAGADO</v>
      </c>
      <c r="AE254" s="70" t="str">
        <f>'RESUMEN TOTAL'!AL314</f>
        <v>APAGADO</v>
      </c>
      <c r="AF254" s="70" t="str">
        <f>'RESUMEN TOTAL'!AM314</f>
        <v>APAGADO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 t="str">
        <f>'RESUMEN TOTAL'!AJ315</f>
        <v>APAGADO</v>
      </c>
      <c r="AD255" s="70" t="str">
        <f>'RESUMEN TOTAL'!AK315</f>
        <v>APAGADO</v>
      </c>
      <c r="AE255" s="70" t="str">
        <f>'RESUMEN TOTAL'!AL315</f>
        <v>APAGADO</v>
      </c>
      <c r="AF255" s="70" t="str">
        <f>'RESUMEN TOTAL'!AM315</f>
        <v>APAGADO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 t="str">
        <f>'RESUMEN TOTAL'!AJ316</f>
        <v>APAGADO</v>
      </c>
      <c r="AD256" s="70" t="str">
        <f>'RESUMEN TOTAL'!AK316</f>
        <v>APAGADO</v>
      </c>
      <c r="AE256" s="70" t="str">
        <f>'RESUMEN TOTAL'!AL316</f>
        <v>APAGADO</v>
      </c>
      <c r="AF256" s="70" t="str">
        <f>'RESUMEN TOTAL'!AM316</f>
        <v>APAGADO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 t="str">
        <f>'RESUMEN TOTAL'!AJ337</f>
        <v>APAGADO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 t="str">
        <f>'RESUMEN TOTAL'!AM350</f>
        <v>APAGADO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 t="str">
        <f>'RESUMEN TOTAL'!AG351</f>
        <v>APAGADO</v>
      </c>
      <c r="AA282" s="70" t="str">
        <f>'RESUMEN TOTAL'!AH351</f>
        <v>APAGADO</v>
      </c>
      <c r="AB282" s="70" t="str">
        <f>'RESUMEN TOTAL'!AI351</f>
        <v>APAGADO</v>
      </c>
      <c r="AC282" s="70" t="str">
        <f>'RESUMEN TOTAL'!AJ351</f>
        <v>APAGADO</v>
      </c>
      <c r="AD282" s="70" t="str">
        <f>'RESUMEN TOTAL'!AK351</f>
        <v>APAGADO</v>
      </c>
      <c r="AE282" s="70" t="str">
        <f>'RESUMEN TOTAL'!AL351</f>
        <v>APAGADO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 t="str">
        <f>'RESUMEN TOTAL'!AG352</f>
        <v>APAGADO</v>
      </c>
      <c r="AA283" s="70" t="str">
        <f>'RESUMEN TOTAL'!AH352</f>
        <v>APAGADO</v>
      </c>
      <c r="AB283" s="70" t="str">
        <f>'RESUMEN TOTAL'!AI352</f>
        <v>APAGADO</v>
      </c>
      <c r="AC283" s="70" t="str">
        <f>'RESUMEN TOTAL'!AJ352</f>
        <v>APAGADO</v>
      </c>
      <c r="AD283" s="70" t="str">
        <f>'RESUMEN TOTAL'!AK352</f>
        <v>APAGADO</v>
      </c>
      <c r="AE283" s="70" t="str">
        <f>'RESUMEN TOTAL'!AL352</f>
        <v>APAGADO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 t="str">
        <f>'RESUMEN TOTAL'!AJ375</f>
        <v>APAGADO</v>
      </c>
      <c r="AD301" s="70" t="str">
        <f>'RESUMEN TOTAL'!AK375</f>
        <v>APAGADO</v>
      </c>
      <c r="AE301" s="70" t="str">
        <f>'RESUMEN TOTAL'!AL375</f>
        <v>APAGADO</v>
      </c>
      <c r="AF301" s="70" t="str">
        <f>'RESUMEN TOTAL'!AM375</f>
        <v>APAGADO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 t="str">
        <f>'RESUMEN TOTAL'!AK378</f>
        <v>APAGADO</v>
      </c>
      <c r="AE304" s="70" t="str">
        <f>'RESUMEN TOTAL'!AL378</f>
        <v>APAGADO</v>
      </c>
      <c r="AF304" s="70" t="str">
        <f>'RESUMEN TOTAL'!AM378</f>
        <v>APAGADO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 t="str">
        <f>'RESUMEN TOTAL'!AK379</f>
        <v>APAGADO</v>
      </c>
      <c r="AE305" s="70" t="str">
        <f>'RESUMEN TOTAL'!AL379</f>
        <v>APAGADO</v>
      </c>
      <c r="AF305" s="70" t="str">
        <f>'RESUMEN TOTAL'!AM379</f>
        <v>APAGADO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 t="str">
        <f>'RESUMEN TOTAL'!AK380</f>
        <v>APAGADO</v>
      </c>
      <c r="AE306" s="70" t="str">
        <f>'RESUMEN TOTAL'!AL380</f>
        <v>APAGADO</v>
      </c>
      <c r="AF306" s="70" t="str">
        <f>'RESUMEN TOTAL'!AM380</f>
        <v>APAGADO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 t="str">
        <f>'RESUMEN TOTAL'!AK383</f>
        <v>APAGADO</v>
      </c>
      <c r="AE309" s="70" t="str">
        <f>'RESUMEN TOTAL'!AL383</f>
        <v>APAGADO</v>
      </c>
      <c r="AF309" s="70" t="str">
        <f>'RESUMEN TOTAL'!AM383</f>
        <v>APAGADO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 t="str">
        <f>'RESUMEN TOTAL'!AK384</f>
        <v>APAGADO</v>
      </c>
      <c r="AE310" s="70" t="str">
        <f>'RESUMEN TOTAL'!AL384</f>
        <v>APAGADO</v>
      </c>
      <c r="AF310" s="70" t="str">
        <f>'RESUMEN TOTAL'!AM384</f>
        <v>APAGADO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 t="str">
        <f>'RESUMEN TOTAL'!AK385</f>
        <v>APAGADO</v>
      </c>
      <c r="AE311" s="70" t="str">
        <f>'RESUMEN TOTAL'!AL385</f>
        <v>APAGADO</v>
      </c>
      <c r="AF311" s="70" t="str">
        <f>'RESUMEN TOTAL'!AM385</f>
        <v>APAGADO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 t="str">
        <f>'RESUMEN TOTAL'!AK386</f>
        <v>APAGADO</v>
      </c>
      <c r="AE312" s="70" t="str">
        <f>'RESUMEN TOTAL'!AL386</f>
        <v>APAGADO</v>
      </c>
      <c r="AF312" s="70" t="str">
        <f>'RESUMEN TOTAL'!AM386</f>
        <v>APAGADO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 t="str">
        <f>'RESUMEN TOTAL'!AJ388</f>
        <v>APAGADO</v>
      </c>
      <c r="AD314" s="70" t="str">
        <f>'RESUMEN TOTAL'!AK388</f>
        <v>APAGADO</v>
      </c>
      <c r="AE314" s="70" t="str">
        <f>'RESUMEN TOTAL'!AL388</f>
        <v>APAGADO</v>
      </c>
      <c r="AF314" s="70" t="str">
        <f>'RESUMEN TOTAL'!AM388</f>
        <v>APAGADO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 t="str">
        <f>'RESUMEN TOTAL'!AJ389</f>
        <v>APAGADO</v>
      </c>
      <c r="AD315" s="70" t="str">
        <f>'RESUMEN TOTAL'!AK389</f>
        <v>APAGADO</v>
      </c>
      <c r="AE315" s="70" t="str">
        <f>'RESUMEN TOTAL'!AL389</f>
        <v>APAGADO</v>
      </c>
      <c r="AF315" s="70" t="str">
        <f>'RESUMEN TOTAL'!AM389</f>
        <v>APAGADO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 t="str">
        <f>'RESUMEN TOTAL'!AG395</f>
        <v>APAGADO</v>
      </c>
      <c r="AA316" s="70" t="str">
        <f>'RESUMEN TOTAL'!AH395</f>
        <v>APAGADO</v>
      </c>
      <c r="AB316" s="70" t="str">
        <f>'RESUMEN TOTAL'!AI395</f>
        <v>APAGADO</v>
      </c>
      <c r="AC316" s="70" t="str">
        <f>'RESUMEN TOTAL'!AJ395</f>
        <v>APAGADO</v>
      </c>
      <c r="AD316" s="70" t="str">
        <f>'RESUMEN TOTAL'!AK395</f>
        <v>APAGADO</v>
      </c>
      <c r="AE316" s="70" t="str">
        <f>'RESUMEN TOTAL'!AL395</f>
        <v>APAGADO</v>
      </c>
      <c r="AF316" s="70" t="str">
        <f>'RESUMEN TOTAL'!AM395</f>
        <v>APAGADO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 t="str">
        <f>'RESUMEN TOTAL'!AJ399</f>
        <v>APAGADO</v>
      </c>
      <c r="AD320" s="70" t="str">
        <f>'RESUMEN TOTAL'!AK399</f>
        <v>APAGADO</v>
      </c>
      <c r="AE320" s="70" t="str">
        <f>'RESUMEN TOTAL'!AL399</f>
        <v>APAGADO</v>
      </c>
      <c r="AF320" s="70" t="str">
        <f>'RESUMEN TOTAL'!AM399</f>
        <v>APAGADO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 t="str">
        <f>'RESUMEN TOTAL'!AJ401</f>
        <v>APAGADO</v>
      </c>
      <c r="AD322" s="70" t="str">
        <f>'RESUMEN TOTAL'!AK401</f>
        <v>APAGADO</v>
      </c>
      <c r="AE322" s="70" t="str">
        <f>'RESUMEN TOTAL'!AL401</f>
        <v>APAGADO</v>
      </c>
      <c r="AF322" s="70" t="str">
        <f>'RESUMEN TOTAL'!AM401</f>
        <v>APAGADO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 t="str">
        <f>'RESUMEN TOTAL'!AJ402</f>
        <v>APAGADO</v>
      </c>
      <c r="AD323" s="70" t="str">
        <f>'RESUMEN TOTAL'!AK402</f>
        <v>APAGADO</v>
      </c>
      <c r="AE323" s="70" t="str">
        <f>'RESUMEN TOTAL'!AL402</f>
        <v>APAGADO</v>
      </c>
      <c r="AF323" s="70" t="str">
        <f>'RESUMEN TOTAL'!AM402</f>
        <v>APAGADO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 t="str">
        <f>'RESUMEN TOTAL'!AG413</f>
        <v>APAGADO</v>
      </c>
      <c r="AA327" s="70" t="str">
        <f>'RESUMEN TOTAL'!AH413</f>
        <v>APAGADO</v>
      </c>
      <c r="AB327" s="70" t="str">
        <f>'RESUMEN TOTAL'!AI413</f>
        <v>APAGADO</v>
      </c>
      <c r="AC327" s="70" t="str">
        <f>'RESUMEN TOTAL'!AJ413</f>
        <v>APAGADO</v>
      </c>
      <c r="AD327" s="70" t="str">
        <f>'RESUMEN TOTAL'!AK413</f>
        <v>APAGADO</v>
      </c>
      <c r="AE327" s="70" t="str">
        <f>'RESUMEN TOTAL'!AL413</f>
        <v>APAGADO</v>
      </c>
      <c r="AF327" s="70" t="str">
        <f>'RESUMEN TOTAL'!AM413</f>
        <v>APAGADO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 t="str">
        <f>'RESUMEN TOTAL'!AJ415</f>
        <v>APAGADO</v>
      </c>
      <c r="AD329" s="70" t="str">
        <f>'RESUMEN TOTAL'!AK415</f>
        <v>APAGADO</v>
      </c>
      <c r="AE329" s="70" t="str">
        <f>'RESUMEN TOTAL'!AL415</f>
        <v>APAGADO</v>
      </c>
      <c r="AF329" s="70" t="str">
        <f>'RESUMEN TOTAL'!AM415</f>
        <v>APAGADO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 t="str">
        <f>'RESUMEN TOTAL'!AG416</f>
        <v>APAGADO</v>
      </c>
      <c r="AA330" s="70" t="str">
        <f>'RESUMEN TOTAL'!AH416</f>
        <v>APAGADO</v>
      </c>
      <c r="AB330" s="70" t="str">
        <f>'RESUMEN TOTAL'!AI416</f>
        <v>APAGADO</v>
      </c>
      <c r="AC330" s="70" t="str">
        <f>'RESUMEN TOTAL'!AJ416</f>
        <v>APAGADO</v>
      </c>
      <c r="AD330" s="70" t="str">
        <f>'RESUMEN TOTAL'!AK416</f>
        <v>APAGADO</v>
      </c>
      <c r="AE330" s="70" t="str">
        <f>'RESUMEN TOTAL'!AL416</f>
        <v>APAGADO</v>
      </c>
      <c r="AF330" s="70" t="str">
        <f>'RESUMEN TOTAL'!AM416</f>
        <v>APAGADO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 t="str">
        <f>'RESUMEN TOTAL'!AK417</f>
        <v>APAGADO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 t="str">
        <f>'RESUMEN TOTAL'!AG420</f>
        <v>APAGADO</v>
      </c>
      <c r="AA334" s="70" t="str">
        <f>'RESUMEN TOTAL'!AH420</f>
        <v>APAGADO</v>
      </c>
      <c r="AB334" s="70" t="str">
        <f>'RESUMEN TOTAL'!AI420</f>
        <v>APAGADO</v>
      </c>
      <c r="AC334" s="70" t="str">
        <f>'RESUMEN TOTAL'!AJ420</f>
        <v>APAGADO</v>
      </c>
      <c r="AD334" s="70" t="str">
        <f>'RESUMEN TOTAL'!AK420</f>
        <v>APAGADO</v>
      </c>
      <c r="AE334" s="70" t="str">
        <f>'RESUMEN TOTAL'!AL420</f>
        <v>APAGADO</v>
      </c>
      <c r="AF334" s="70" t="str">
        <f>'RESUMEN TOTAL'!AM420</f>
        <v>APAGADO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 t="str">
        <f>'RESUMEN TOTAL'!AG421</f>
        <v>APAGADO</v>
      </c>
      <c r="AA335" s="70" t="str">
        <f>'RESUMEN TOTAL'!AH421</f>
        <v>APAGADO</v>
      </c>
      <c r="AB335" s="70" t="str">
        <f>'RESUMEN TOTAL'!AI421</f>
        <v>APAGADO</v>
      </c>
      <c r="AC335" s="70" t="str">
        <f>'RESUMEN TOTAL'!AJ421</f>
        <v>APAGADO</v>
      </c>
      <c r="AD335" s="70" t="str">
        <f>'RESUMEN TOTAL'!AK421</f>
        <v>APAGADO</v>
      </c>
      <c r="AE335" s="70" t="str">
        <f>'RESUMEN TOTAL'!AL421</f>
        <v>APAGADO</v>
      </c>
      <c r="AF335" s="70" t="str">
        <f>'RESUMEN TOTAL'!AM421</f>
        <v>APAGADO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 t="str">
        <f>'RESUMEN TOTAL'!AJ429</f>
        <v>APAGADO</v>
      </c>
      <c r="AD340" s="70" t="str">
        <f>'RESUMEN TOTAL'!AK429</f>
        <v>APAGADO</v>
      </c>
      <c r="AE340" s="70" t="str">
        <f>'RESUMEN TOTAL'!AL429</f>
        <v>APAGADO</v>
      </c>
      <c r="AF340" s="70" t="str">
        <f>'RESUMEN TOTAL'!AM429</f>
        <v>APAGADO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 t="str">
        <f>'RESUMEN TOTAL'!AH430</f>
        <v>APAGADO</v>
      </c>
      <c r="AB341" s="70" t="str">
        <f>'RESUMEN TOTAL'!AI430</f>
        <v>APAGADO</v>
      </c>
      <c r="AC341" s="70" t="str">
        <f>'RESUMEN TOTAL'!AJ430</f>
        <v>APAGADO</v>
      </c>
      <c r="AD341" s="70" t="str">
        <f>'RESUMEN TOTAL'!AK430</f>
        <v>APAGADO</v>
      </c>
      <c r="AE341" s="70" t="str">
        <f>'RESUMEN TOTAL'!AL430</f>
        <v>APAGADO</v>
      </c>
      <c r="AF341" s="70" t="str">
        <f>'RESUMEN TOTAL'!AM430</f>
        <v>APAGADO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 t="str">
        <f>'RESUMEN TOTAL'!AH436</f>
        <v>APAGADO</v>
      </c>
      <c r="AB347" s="70" t="str">
        <f>'RESUMEN TOTAL'!AI436</f>
        <v>APAGADO</v>
      </c>
      <c r="AC347" s="70" t="str">
        <f>'RESUMEN TOTAL'!AJ436</f>
        <v>APAGADO</v>
      </c>
      <c r="AD347" s="70" t="str">
        <f>'RESUMEN TOTAL'!AK436</f>
        <v>APAGADO</v>
      </c>
      <c r="AE347" s="70" t="str">
        <f>'RESUMEN TOTAL'!AL436</f>
        <v>APAGADO</v>
      </c>
      <c r="AF347" s="70" t="str">
        <f>'RESUMEN TOTAL'!AM436</f>
        <v>APAGADO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 t="str">
        <f>'RESUMEN TOTAL'!AJ441</f>
        <v>APAGADO</v>
      </c>
      <c r="AD352" s="70" t="str">
        <f>'RESUMEN TOTAL'!AK441</f>
        <v>APAGADO</v>
      </c>
      <c r="AE352" s="70" t="str">
        <f>'RESUMEN TOTAL'!AL441</f>
        <v>APAGADO</v>
      </c>
      <c r="AF352" s="70" t="str">
        <f>'RESUMEN TOTAL'!AM441</f>
        <v>APAGADO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 t="str">
        <f>'RESUMEN TOTAL'!AJ442</f>
        <v>APAGADO</v>
      </c>
      <c r="AD353" s="70" t="str">
        <f>'RESUMEN TOTAL'!AK442</f>
        <v>APAGADO</v>
      </c>
      <c r="AE353" s="70" t="str">
        <f>'RESUMEN TOTAL'!AL442</f>
        <v>APAGADO</v>
      </c>
      <c r="AF353" s="70" t="str">
        <f>'RESUMEN TOTAL'!AM442</f>
        <v>APAGADO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 t="str">
        <f>'RESUMEN TOTAL'!AJ446</f>
        <v>APAGADO</v>
      </c>
      <c r="AD357" s="70" t="str">
        <f>'RESUMEN TOTAL'!AK446</f>
        <v>APAGADO</v>
      </c>
      <c r="AE357" s="70" t="str">
        <f>'RESUMEN TOTAL'!AL446</f>
        <v>APAGADO</v>
      </c>
      <c r="AF357" s="70" t="str">
        <f>'RESUMEN TOTAL'!AM446</f>
        <v>APAGADO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 t="str">
        <f>'RESUMEN TOTAL'!AJ447</f>
        <v>APAGADO</v>
      </c>
      <c r="AD358" s="70" t="str">
        <f>'RESUMEN TOTAL'!AK447</f>
        <v>APAGADO</v>
      </c>
      <c r="AE358" s="70" t="str">
        <f>'RESUMEN TOTAL'!AL447</f>
        <v>APAGADO</v>
      </c>
      <c r="AF358" s="70" t="str">
        <f>'RESUMEN TOTAL'!AM447</f>
        <v>APAGADO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 t="str">
        <f>'RESUMEN TOTAL'!AJ456</f>
        <v>APAGADO</v>
      </c>
      <c r="AD361" s="70" t="str">
        <f>'RESUMEN TOTAL'!AK456</f>
        <v>APAGADO</v>
      </c>
      <c r="AE361" s="70" t="str">
        <f>'RESUMEN TOTAL'!AL456</f>
        <v>APAGADO</v>
      </c>
      <c r="AF361" s="70" t="str">
        <f>'RESUMEN TOTAL'!AM456</f>
        <v>APAGADO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 t="str">
        <f>'RESUMEN TOTAL'!AJ457</f>
        <v>APAGADO</v>
      </c>
      <c r="AD362" s="70" t="str">
        <f>'RESUMEN TOTAL'!AK457</f>
        <v>APAGADO</v>
      </c>
      <c r="AE362" s="70" t="str">
        <f>'RESUMEN TOTAL'!AL457</f>
        <v>APAGADO</v>
      </c>
      <c r="AF362" s="70" t="str">
        <f>'RESUMEN TOTAL'!AM457</f>
        <v>APAGADO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 t="str">
        <f>'RESUMEN TOTAL'!AJ458</f>
        <v>APAGADO</v>
      </c>
      <c r="AD363" s="70" t="str">
        <f>'RESUMEN TOTAL'!AK458</f>
        <v>APAGADO</v>
      </c>
      <c r="AE363" s="70" t="str">
        <f>'RESUMEN TOTAL'!AL458</f>
        <v>APAGADO</v>
      </c>
      <c r="AF363" s="70" t="str">
        <f>'RESUMEN TOTAL'!AM458</f>
        <v>APAGADO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 t="str">
        <f>'RESUMEN TOTAL'!M461</f>
        <v>APAGADO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>
        <f>'RESUMEN TOTAL'!AE461</f>
        <v>0</v>
      </c>
      <c r="Y364" s="70" t="str">
        <f>'RESUMEN TOTAL'!AF461</f>
        <v>APAGADO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 t="str">
        <f>'RESUMEN TOTAL'!M462</f>
        <v>APAGADO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 t="str">
        <f>'RESUMEN TOTAL'!AD462</f>
        <v>APAGADO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 t="str">
        <f>'RESUMEN TOTAL'!M481</f>
        <v>APAGADO</v>
      </c>
      <c r="G378" s="70" t="str">
        <f>'RESUMEN TOTAL'!N481</f>
        <v>APAGADO</v>
      </c>
      <c r="H378" s="70" t="str">
        <f>'RESUMEN TOTAL'!O481</f>
        <v>APAGADO</v>
      </c>
      <c r="I378" s="70" t="str">
        <f>'RESUMEN TOTAL'!P481</f>
        <v>APAGADO</v>
      </c>
      <c r="J378" s="70" t="str">
        <f>'RESUMEN TOTAL'!Q481</f>
        <v>APAGADO</v>
      </c>
      <c r="K378" s="70" t="str">
        <f>'RESUMEN TOTAL'!R481</f>
        <v>APAGADO</v>
      </c>
      <c r="L378" s="70" t="str">
        <f>'RESUMEN TOTAL'!S481</f>
        <v>APAGADO</v>
      </c>
      <c r="M378" s="70" t="str">
        <f>'RESUMEN TOTAL'!T481</f>
        <v>APAGADO</v>
      </c>
      <c r="N378" s="70" t="str">
        <f>'RESUMEN TOTAL'!U481</f>
        <v>APAGADO</v>
      </c>
      <c r="O378" s="70" t="str">
        <f>'RESUMEN TOTAL'!V481</f>
        <v>APAGADO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 t="str">
        <f>'RESUMEN TOTAL'!AA481</f>
        <v>APAGADO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 t="str">
        <f>'RESUMEN TOTAL'!P482</f>
        <v>APAGADO</v>
      </c>
      <c r="J379" s="70" t="str">
        <f>'RESUMEN TOTAL'!Q482</f>
        <v>APAGADO</v>
      </c>
      <c r="K379" s="70" t="str">
        <f>'RESUMEN TOTAL'!R482</f>
        <v>APAGADO</v>
      </c>
      <c r="L379" s="70" t="str">
        <f>'RESUMEN TOTAL'!S482</f>
        <v>APAGADO</v>
      </c>
      <c r="M379" s="70" t="str">
        <f>'RESUMEN TOTAL'!T482</f>
        <v>APAGADO</v>
      </c>
      <c r="N379" s="70" t="str">
        <f>'RESUMEN TOTAL'!U482</f>
        <v>APAGADO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 t="str">
        <f>'RESUMEN TOTAL'!AA482</f>
        <v>APAGADO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 t="str">
        <f>'RESUMEN TOTAL'!P483</f>
        <v>APAGADO</v>
      </c>
      <c r="J380" s="70" t="str">
        <f>'RESUMEN TOTAL'!Q483</f>
        <v>APAGADO</v>
      </c>
      <c r="K380" s="70" t="str">
        <f>'RESUMEN TOTAL'!R483</f>
        <v>APAGADO</v>
      </c>
      <c r="L380" s="70" t="str">
        <f>'RESUMEN TOTAL'!S483</f>
        <v>APAGADO</v>
      </c>
      <c r="M380" s="70" t="str">
        <f>'RESUMEN TOTAL'!T483</f>
        <v>APAGADO</v>
      </c>
      <c r="N380" s="70" t="str">
        <f>'RESUMEN TOTAL'!U483</f>
        <v>APAGADO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 t="str">
        <f>'RESUMEN TOTAL'!AA483</f>
        <v>APAGADO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 t="str">
        <f>'RESUMEN TOTAL'!P484</f>
        <v>APAGADO</v>
      </c>
      <c r="J381" s="70" t="str">
        <f>'RESUMEN TOTAL'!Q484</f>
        <v>APAGADO</v>
      </c>
      <c r="K381" s="70" t="str">
        <f>'RESUMEN TOTAL'!R484</f>
        <v>APAGADO</v>
      </c>
      <c r="L381" s="70" t="str">
        <f>'RESUMEN TOTAL'!S484</f>
        <v>APAGADO</v>
      </c>
      <c r="M381" s="70" t="str">
        <f>'RESUMEN TOTAL'!T484</f>
        <v>APAGADO</v>
      </c>
      <c r="N381" s="70" t="str">
        <f>'RESUMEN TOTAL'!U484</f>
        <v>APAGADO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 t="str">
        <f>'RESUMEN TOTAL'!AA484</f>
        <v>APAGADO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 t="str">
        <f>'RESUMEN TOTAL'!P485</f>
        <v>APAGADO</v>
      </c>
      <c r="J382" s="70" t="str">
        <f>'RESUMEN TOTAL'!Q485</f>
        <v>APAGADO</v>
      </c>
      <c r="K382" s="70" t="str">
        <f>'RESUMEN TOTAL'!R485</f>
        <v>APAGADO</v>
      </c>
      <c r="L382" s="70" t="str">
        <f>'RESUMEN TOTAL'!S485</f>
        <v>APAGADO</v>
      </c>
      <c r="M382" s="70" t="str">
        <f>'RESUMEN TOTAL'!T485</f>
        <v>APAGADO</v>
      </c>
      <c r="N382" s="70" t="str">
        <f>'RESUMEN TOTAL'!U485</f>
        <v>APAGADO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 t="str">
        <f>'RESUMEN TOTAL'!AA485</f>
        <v>APAGADO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 t="str">
        <f>'RESUMEN TOTAL'!M486</f>
        <v>APAGADO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 t="str">
        <f>'RESUMEN TOTAL'!M491</f>
        <v>APAGADO</v>
      </c>
      <c r="G388" s="70" t="str">
        <f>'RESUMEN TOTAL'!N491</f>
        <v>APAGADO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 t="str">
        <f>'RESUMEN TOTAL'!M493</f>
        <v>APAGADO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 t="str">
        <f>'RESUMEN TOTAL'!AD494</f>
        <v>APAGADO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>
        <f>'RESUMEN TOTAL'!M496</f>
        <v>0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 t="str">
        <f>'RESUMEN TOTAL'!W496</f>
        <v>APAGADO</v>
      </c>
      <c r="Q393" s="70" t="str">
        <f>'RESUMEN TOTAL'!X496</f>
        <v>APAGADO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 t="str">
        <f>'RESUMEN TOTAL'!AJ496</f>
        <v>APAGADO</v>
      </c>
      <c r="AD393" s="70" t="str">
        <f>'RESUMEN TOTAL'!AK496</f>
        <v>APAGADO</v>
      </c>
      <c r="AE393" s="70" t="str">
        <f>'RESUMEN TOTAL'!AL496</f>
        <v>APAGADO</v>
      </c>
      <c r="AF393" s="70" t="str">
        <f>'RESUMEN TOTAL'!AM496</f>
        <v>APAGADO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 t="str">
        <f>'RESUMEN TOTAL'!AK502</f>
        <v>APAGADO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>
        <f>'RESUMEN TOTAL'!M503</f>
        <v>0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 t="str">
        <f>'RESUMEN TOTAL'!W503</f>
        <v>APAGADO</v>
      </c>
      <c r="Q400" s="70" t="str">
        <f>'RESUMEN TOTAL'!X503</f>
        <v>APAGADO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 t="str">
        <f>'RESUMEN TOTAL'!AJ503</f>
        <v>APAGADO</v>
      </c>
      <c r="AD400" s="70" t="str">
        <f>'RESUMEN TOTAL'!AK503</f>
        <v>APAGADO</v>
      </c>
      <c r="AE400" s="70" t="str">
        <f>'RESUMEN TOTAL'!AL503</f>
        <v>APAGADO</v>
      </c>
      <c r="AF400" s="70" t="str">
        <f>'RESUMEN TOTAL'!AM503</f>
        <v>APAGADO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 t="str">
        <f>'RESUMEN TOTAL'!M505</f>
        <v>APAGADO</v>
      </c>
      <c r="G402" s="70" t="str">
        <f>'RESUMEN TOTAL'!N505</f>
        <v>APAGADO</v>
      </c>
      <c r="H402" s="70" t="str">
        <f>'RESUMEN TOTAL'!O505</f>
        <v>APAGADO</v>
      </c>
      <c r="I402" s="70" t="str">
        <f>'RESUMEN TOTAL'!P505</f>
        <v>APAGADO</v>
      </c>
      <c r="J402" s="70" t="str">
        <f>'RESUMEN TOTAL'!Q505</f>
        <v>APAGADO</v>
      </c>
      <c r="K402" s="70" t="str">
        <f>'RESUMEN TOTAL'!R505</f>
        <v>APAGADO</v>
      </c>
      <c r="L402" s="70" t="str">
        <f>'RESUMEN TOTAL'!S505</f>
        <v>APAGADO</v>
      </c>
      <c r="M402" s="70" t="str">
        <f>'RESUMEN TOTAL'!T505</f>
        <v>APAGADO</v>
      </c>
      <c r="N402" s="70" t="str">
        <f>'RESUMEN TOTAL'!U505</f>
        <v>APAGADO</v>
      </c>
      <c r="O402" s="70" t="str">
        <f>'RESUMEN TOTAL'!V505</f>
        <v>APAGADO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 t="str">
        <f>'RESUMEN TOTAL'!AM505</f>
        <v>APAGADO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 t="str">
        <f>'RESUMEN TOTAL'!AD506</f>
        <v>APAGADO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>
        <f>'RESUMEN TOTAL'!M508</f>
        <v>0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 t="str">
        <f>'RESUMEN TOTAL'!W508</f>
        <v>APAGADO</v>
      </c>
      <c r="Q405" s="70" t="str">
        <f>'RESUMEN TOTAL'!X508</f>
        <v>APAGADO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 t="str">
        <f>'RESUMEN TOTAL'!AJ508</f>
        <v>APAGADO</v>
      </c>
      <c r="AD405" s="70" t="str">
        <f>'RESUMEN TOTAL'!AK508</f>
        <v>APAGADO</v>
      </c>
      <c r="AE405" s="70" t="str">
        <f>'RESUMEN TOTAL'!AL508</f>
        <v>APAGADO</v>
      </c>
      <c r="AF405" s="70" t="str">
        <f>'RESUMEN TOTAL'!AM508</f>
        <v>APAGADO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 t="str">
        <f>'RESUMEN TOTAL'!AK509</f>
        <v>APAGADO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 t="str">
        <f>'RESUMEN TOTAL'!W510</f>
        <v>APAGADO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 t="str">
        <f>'RESUMEN TOTAL'!AJ510</f>
        <v>APAGADO</v>
      </c>
      <c r="AD407" s="70" t="str">
        <f>'RESUMEN TOTAL'!AK510</f>
        <v>APAGADO</v>
      </c>
      <c r="AE407" s="70" t="str">
        <f>'RESUMEN TOTAL'!AL510</f>
        <v>APAGADO</v>
      </c>
      <c r="AF407" s="70" t="str">
        <f>'RESUMEN TOTAL'!AM510</f>
        <v>APAGADO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>
        <f>'RESUMEN TOTAL'!M511</f>
        <v>0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 t="str">
        <f>'RESUMEN TOTAL'!W511</f>
        <v>APAGADO</v>
      </c>
      <c r="Q408" s="70" t="str">
        <f>'RESUMEN TOTAL'!X511</f>
        <v>APAGADO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 t="str">
        <f>'RESUMEN TOTAL'!AJ511</f>
        <v>APAGADO</v>
      </c>
      <c r="AD408" s="70" t="str">
        <f>'RESUMEN TOTAL'!AK511</f>
        <v>APAGADO</v>
      </c>
      <c r="AE408" s="70" t="str">
        <f>'RESUMEN TOTAL'!AL511</f>
        <v>APAGADO</v>
      </c>
      <c r="AF408" s="70" t="str">
        <f>'RESUMEN TOTAL'!AM511</f>
        <v>APAGADO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>
        <f>'RESUMEN TOTAL'!M514</f>
        <v>0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 t="str">
        <f>'RESUMEN TOTAL'!W514</f>
        <v>APAGADO</v>
      </c>
      <c r="Q411" s="70" t="str">
        <f>'RESUMEN TOTAL'!X514</f>
        <v>APAGADO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 t="str">
        <f>'RESUMEN TOTAL'!AJ514</f>
        <v>APAGADO</v>
      </c>
      <c r="AD411" s="70" t="str">
        <f>'RESUMEN TOTAL'!AK514</f>
        <v>APAGADO</v>
      </c>
      <c r="AE411" s="70" t="str">
        <f>'RESUMEN TOTAL'!AL514</f>
        <v>APAGADO</v>
      </c>
      <c r="AF411" s="70" t="str">
        <f>'RESUMEN TOTAL'!AM514</f>
        <v>APAGADO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>
        <f>'RESUMEN TOTAL'!M515</f>
        <v>0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 t="str">
        <f>'RESUMEN TOTAL'!W515</f>
        <v>APAGADO</v>
      </c>
      <c r="Q412" s="70" t="str">
        <f>'RESUMEN TOTAL'!X515</f>
        <v>APAGADO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 t="str">
        <f>'RESUMEN TOTAL'!AJ515</f>
        <v>APAGADO</v>
      </c>
      <c r="AD412" s="70" t="str">
        <f>'RESUMEN TOTAL'!AK515</f>
        <v>APAGADO</v>
      </c>
      <c r="AE412" s="70" t="str">
        <f>'RESUMEN TOTAL'!AL515</f>
        <v>APAGADO</v>
      </c>
      <c r="AF412" s="70" t="str">
        <f>'RESUMEN TOTAL'!AM515</f>
        <v>APAGADO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 t="str">
        <f>'RESUMEN TOTAL'!AD518</f>
        <v>APAGADO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 t="str">
        <f>'RESUMEN TOTAL'!AD519</f>
        <v>APAGADO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 t="str">
        <f>'RESUMEN TOTAL'!W520</f>
        <v>APAGADO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 t="str">
        <f>'RESUMEN TOTAL'!AI520</f>
        <v>APAGADO</v>
      </c>
      <c r="AC417" s="70" t="str">
        <f>'RESUMEN TOTAL'!AJ520</f>
        <v>APAGADO</v>
      </c>
      <c r="AD417" s="70" t="str">
        <f>'RESUMEN TOTAL'!AK520</f>
        <v>APAGADO</v>
      </c>
      <c r="AE417" s="70" t="str">
        <f>'RESUMEN TOTAL'!AL520</f>
        <v>APAGADO</v>
      </c>
      <c r="AF417" s="70" t="str">
        <f>'RESUMEN TOTAL'!AM520</f>
        <v>APAGADO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 t="str">
        <f>'RESUMEN TOTAL'!O526</f>
        <v>APAGADO</v>
      </c>
      <c r="I418" s="70" t="str">
        <f>'RESUMEN TOTAL'!P526</f>
        <v>APAGADO</v>
      </c>
      <c r="J418" s="70" t="str">
        <f>'RESUMEN TOTAL'!Q526</f>
        <v>APAGADO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 t="str">
        <f>'RESUMEN TOTAL'!O527</f>
        <v>APAGADO</v>
      </c>
      <c r="I419" s="70" t="str">
        <f>'RESUMEN TOTAL'!P527</f>
        <v>APAGADO</v>
      </c>
      <c r="J419" s="70" t="str">
        <f>'RESUMEN TOTAL'!Q527</f>
        <v>APAGADO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>
        <f>'RESUMEN TOTAL'!M530</f>
        <v>0</v>
      </c>
      <c r="G422" s="70" t="str">
        <f>'RESUMEN TOTAL'!N530</f>
        <v>APAGADO</v>
      </c>
      <c r="H422" s="70" t="str">
        <f>'RESUMEN TOTAL'!O530</f>
        <v>APAGADO</v>
      </c>
      <c r="I422" s="70" t="str">
        <f>'RESUMEN TOTAL'!P530</f>
        <v>APAGADO</v>
      </c>
      <c r="J422" s="70" t="str">
        <f>'RESUMEN TOTAL'!Q530</f>
        <v>APAGADO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>
        <f>'RESUMEN TOTAL'!M531</f>
        <v>0</v>
      </c>
      <c r="G423" s="70" t="str">
        <f>'RESUMEN TOTAL'!N531</f>
        <v>APAGADO</v>
      </c>
      <c r="H423" s="70" t="str">
        <f>'RESUMEN TOTAL'!O531</f>
        <v>APAGADO</v>
      </c>
      <c r="I423" s="70" t="str">
        <f>'RESUMEN TOTAL'!P531</f>
        <v>APAGADO</v>
      </c>
      <c r="J423" s="70" t="str">
        <f>'RESUMEN TOTAL'!Q531</f>
        <v>APAGADO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>
        <f>'RESUMEN TOTAL'!M532</f>
        <v>0</v>
      </c>
      <c r="G424" s="70">
        <f>'RESUMEN TOTAL'!N532</f>
        <v>0</v>
      </c>
      <c r="H424" s="70" t="str">
        <f>'RESUMEN TOTAL'!O532</f>
        <v>APAGADO</v>
      </c>
      <c r="I424" s="70" t="str">
        <f>'RESUMEN TOTAL'!P532</f>
        <v>APAGADO</v>
      </c>
      <c r="J424" s="70" t="str">
        <f>'RESUMEN TOTAL'!Q532</f>
        <v>APAGADO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>
        <f>'RESUMEN TOTAL'!M533</f>
        <v>0</v>
      </c>
      <c r="G425" s="70" t="str">
        <f>'RESUMEN TOTAL'!N533</f>
        <v>APAGADO</v>
      </c>
      <c r="H425" s="70" t="str">
        <f>'RESUMEN TOTAL'!O533</f>
        <v>APAGADO</v>
      </c>
      <c r="I425" s="70" t="str">
        <f>'RESUMEN TOTAL'!P533</f>
        <v>APAGADO</v>
      </c>
      <c r="J425" s="70" t="str">
        <f>'RESUMEN TOTAL'!Q533</f>
        <v>APAGADO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 t="str">
        <f>'RESUMEN TOTAL'!M539</f>
        <v>APAGADO</v>
      </c>
      <c r="G430" s="70" t="str">
        <f>'RESUMEN TOTAL'!N539</f>
        <v>APAGADO</v>
      </c>
      <c r="H430" s="70" t="str">
        <f>'RESUMEN TOTAL'!O539</f>
        <v>APAGADO</v>
      </c>
      <c r="I430" s="70" t="str">
        <f>'RESUMEN TOTAL'!P539</f>
        <v>APAGADO</v>
      </c>
      <c r="J430" s="70" t="str">
        <f>'RESUMEN TOTAL'!Q539</f>
        <v>APAGADO</v>
      </c>
      <c r="K430" s="70" t="str">
        <f>'RESUMEN TOTAL'!R539</f>
        <v>APAGADO</v>
      </c>
      <c r="L430" s="70" t="str">
        <f>'RESUMEN TOTAL'!S539</f>
        <v>APAGADO</v>
      </c>
      <c r="M430" s="70" t="str">
        <f>'RESUMEN TOTAL'!T539</f>
        <v>APAGADO</v>
      </c>
      <c r="N430" s="70" t="str">
        <f>'RESUMEN TOTAL'!U539</f>
        <v>APAGADO</v>
      </c>
      <c r="O430" s="70" t="str">
        <f>'RESUMEN TOTAL'!V539</f>
        <v>APAGADO</v>
      </c>
      <c r="P430" s="70" t="str">
        <f>'RESUMEN TOTAL'!W539</f>
        <v>APAGADO</v>
      </c>
      <c r="Q430" s="70" t="str">
        <f>'RESUMEN TOTAL'!X539</f>
        <v>APAGADO</v>
      </c>
      <c r="R430" s="70" t="str">
        <f>'RESUMEN TOTAL'!Y539</f>
        <v>APAGADO</v>
      </c>
      <c r="S430" s="70" t="str">
        <f>'RESUMEN TOTAL'!Z539</f>
        <v>APAGADO</v>
      </c>
      <c r="T430" s="70" t="str">
        <f>'RESUMEN TOTAL'!AA539</f>
        <v>APAGADO</v>
      </c>
      <c r="U430" s="70" t="str">
        <f>'RESUMEN TOTAL'!AB539</f>
        <v>APAGADO</v>
      </c>
      <c r="V430" s="70" t="str">
        <f>'RESUMEN TOTAL'!AC539</f>
        <v>APAGADO</v>
      </c>
      <c r="W430" s="70" t="str">
        <f>'RESUMEN TOTAL'!AD539</f>
        <v>APAGADO</v>
      </c>
      <c r="X430" s="70" t="str">
        <f>'RESUMEN TOTAL'!AE539</f>
        <v>APAGADO</v>
      </c>
      <c r="Y430" s="70" t="str">
        <f>'RESUMEN TOTAL'!AF539</f>
        <v>APAGADO</v>
      </c>
      <c r="Z430" s="70" t="str">
        <f>'RESUMEN TOTAL'!AG539</f>
        <v>APAGADO</v>
      </c>
      <c r="AA430" s="70" t="str">
        <f>'RESUMEN TOTAL'!AH539</f>
        <v>APAGADO</v>
      </c>
      <c r="AB430" s="70">
        <f>'RESUMEN TOTAL'!AI539</f>
        <v>0</v>
      </c>
      <c r="AC430" s="70" t="str">
        <f>'RESUMEN TOTAL'!AJ539</f>
        <v>APAGADO</v>
      </c>
      <c r="AD430" s="70" t="str">
        <f>'RESUMEN TOTAL'!AK539</f>
        <v>APAGADO</v>
      </c>
      <c r="AE430" s="70" t="str">
        <f>'RESUMEN TOTAL'!AL539</f>
        <v>APAGADO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>
        <f>'RESUMEN TOTAL'!M540</f>
        <v>0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 t="str">
        <f>'RESUMEN TOTAL'!P542</f>
        <v>APAGADO</v>
      </c>
      <c r="J432" s="70" t="str">
        <f>'RESUMEN TOTAL'!Q542</f>
        <v>APAGADO</v>
      </c>
      <c r="K432" s="70" t="str">
        <f>'RESUMEN TOTAL'!R542</f>
        <v>APAGADO</v>
      </c>
      <c r="L432" s="70" t="str">
        <f>'RESUMEN TOTAL'!S542</f>
        <v>APAGADO</v>
      </c>
      <c r="M432" s="70" t="str">
        <f>'RESUMEN TOTAL'!T542</f>
        <v>APAGADO</v>
      </c>
      <c r="N432" s="70" t="str">
        <f>'RESUMEN TOTAL'!U542</f>
        <v>APAGADO</v>
      </c>
      <c r="O432" s="70" t="str">
        <f>'RESUMEN TOTAL'!V542</f>
        <v>APAGADO</v>
      </c>
      <c r="P432" s="70" t="str">
        <f>'RESUMEN TOTAL'!W542</f>
        <v>APAGADO</v>
      </c>
      <c r="Q432" s="70" t="str">
        <f>'RESUMEN TOTAL'!X542</f>
        <v>APAGADO</v>
      </c>
      <c r="R432" s="70" t="str">
        <f>'RESUMEN TOTAL'!Y542</f>
        <v>APAGADO</v>
      </c>
      <c r="S432" s="70" t="str">
        <f>'RESUMEN TOTAL'!Z542</f>
        <v>APAGADO</v>
      </c>
      <c r="T432" s="70" t="str">
        <f>'RESUMEN TOTAL'!AA542</f>
        <v>APAGADO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 t="str">
        <f>'RESUMEN TOTAL'!P543</f>
        <v>APAGADO</v>
      </c>
      <c r="J433" s="70" t="str">
        <f>'RESUMEN TOTAL'!Q543</f>
        <v>APAGADO</v>
      </c>
      <c r="K433" s="70" t="str">
        <f>'RESUMEN TOTAL'!R543</f>
        <v>APAGADO</v>
      </c>
      <c r="L433" s="70" t="str">
        <f>'RESUMEN TOTAL'!S543</f>
        <v>APAGADO</v>
      </c>
      <c r="M433" s="70" t="str">
        <f>'RESUMEN TOTAL'!T543</f>
        <v>APAGADO</v>
      </c>
      <c r="N433" s="70" t="str">
        <f>'RESUMEN TOTAL'!U543</f>
        <v>APAGADO</v>
      </c>
      <c r="O433" s="70" t="str">
        <f>'RESUMEN TOTAL'!V543</f>
        <v>APAGADO</v>
      </c>
      <c r="P433" s="70" t="str">
        <f>'RESUMEN TOTAL'!W543</f>
        <v>APAGADO</v>
      </c>
      <c r="Q433" s="70" t="str">
        <f>'RESUMEN TOTAL'!X543</f>
        <v>APAGADO</v>
      </c>
      <c r="R433" s="70" t="str">
        <f>'RESUMEN TOTAL'!Y543</f>
        <v>APAGADO</v>
      </c>
      <c r="S433" s="70" t="str">
        <f>'RESUMEN TOTAL'!Z543</f>
        <v>APAGADO</v>
      </c>
      <c r="T433" s="70" t="str">
        <f>'RESUMEN TOTAL'!AA543</f>
        <v>APAGADO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 t="str">
        <f>'RESUMEN TOTAL'!P544</f>
        <v>APAGADO</v>
      </c>
      <c r="J434" s="70" t="str">
        <f>'RESUMEN TOTAL'!Q544</f>
        <v>APAGADO</v>
      </c>
      <c r="K434" s="70" t="str">
        <f>'RESUMEN TOTAL'!R544</f>
        <v>APAGADO</v>
      </c>
      <c r="L434" s="70" t="str">
        <f>'RESUMEN TOTAL'!S544</f>
        <v>APAGADO</v>
      </c>
      <c r="M434" s="70" t="str">
        <f>'RESUMEN TOTAL'!T544</f>
        <v>APAGADO</v>
      </c>
      <c r="N434" s="70" t="str">
        <f>'RESUMEN TOTAL'!U544</f>
        <v>APAGADO</v>
      </c>
      <c r="O434" s="70" t="str">
        <f>'RESUMEN TOTAL'!V544</f>
        <v>APAGADO</v>
      </c>
      <c r="P434" s="70" t="str">
        <f>'RESUMEN TOTAL'!W544</f>
        <v>APAGADO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 t="str">
        <f>'RESUMEN TOTAL'!AC544</f>
        <v>APAGADO</v>
      </c>
      <c r="W434" s="70" t="str">
        <f>'RESUMEN TOTAL'!AD544</f>
        <v>APAGADO</v>
      </c>
      <c r="X434" s="70" t="str">
        <f>'RESUMEN TOTAL'!AE544</f>
        <v>APAGADO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 t="str">
        <f>'RESUMEN TOTAL'!P545</f>
        <v>APAGADO</v>
      </c>
      <c r="J435" s="70" t="str">
        <f>'RESUMEN TOTAL'!Q545</f>
        <v>APAGADO</v>
      </c>
      <c r="K435" s="70" t="str">
        <f>'RESUMEN TOTAL'!R545</f>
        <v>APAGADO</v>
      </c>
      <c r="L435" s="70" t="str">
        <f>'RESUMEN TOTAL'!S545</f>
        <v>APAGADO</v>
      </c>
      <c r="M435" s="70" t="str">
        <f>'RESUMEN TOTAL'!T545</f>
        <v>APAGADO</v>
      </c>
      <c r="N435" s="70" t="str">
        <f>'RESUMEN TOTAL'!U545</f>
        <v>APAGADO</v>
      </c>
      <c r="O435" s="70" t="str">
        <f>'RESUMEN TOTAL'!V545</f>
        <v>APAGADO</v>
      </c>
      <c r="P435" s="70" t="str">
        <f>'RESUMEN TOTAL'!W545</f>
        <v>APAGADO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>
        <f>'RESUMEN TOTAL'!M549</f>
        <v>0</v>
      </c>
      <c r="G436" s="70">
        <f>'RESUMEN TOTAL'!N549</f>
        <v>0</v>
      </c>
      <c r="H436" s="70">
        <f>'RESUMEN TOTAL'!O549</f>
        <v>0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 t="str">
        <f>'RESUMEN TOTAL'!S549</f>
        <v>APAGADO</v>
      </c>
      <c r="M436" s="70" t="str">
        <f>'RESUMEN TOTAL'!T549</f>
        <v>APAGADO</v>
      </c>
      <c r="N436" s="70" t="str">
        <f>'RESUMEN TOTAL'!U549</f>
        <v>APAGADO</v>
      </c>
      <c r="O436" s="70" t="str">
        <f>'RESUMEN TOTAL'!V549</f>
        <v>APAGADO</v>
      </c>
      <c r="P436" s="70" t="str">
        <f>'RESUMEN TOTAL'!W549</f>
        <v>APAGADO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>
        <f>'RESUMEN TOTAL'!M550</f>
        <v>0</v>
      </c>
      <c r="G437" s="70">
        <f>'RESUMEN TOTAL'!N550</f>
        <v>0</v>
      </c>
      <c r="H437" s="70">
        <f>'RESUMEN TOTAL'!O550</f>
        <v>0</v>
      </c>
      <c r="I437" s="70" t="str">
        <f>'RESUMEN TOTAL'!P550</f>
        <v>APAGADO</v>
      </c>
      <c r="J437" s="70" t="str">
        <f>'RESUMEN TOTAL'!Q550</f>
        <v>APAGADO</v>
      </c>
      <c r="K437" s="70" t="str">
        <f>'RESUMEN TOTAL'!R550</f>
        <v>APAGADO</v>
      </c>
      <c r="L437" s="70" t="str">
        <f>'RESUMEN TOTAL'!S550</f>
        <v>APAGADO</v>
      </c>
      <c r="M437" s="70" t="str">
        <f>'RESUMEN TOTAL'!T550</f>
        <v>APAGADO</v>
      </c>
      <c r="N437" s="70" t="str">
        <f>'RESUMEN TOTAL'!U550</f>
        <v>APAGADO</v>
      </c>
      <c r="O437" s="70" t="str">
        <f>'RESUMEN TOTAL'!V550</f>
        <v>APAGADO</v>
      </c>
      <c r="P437" s="70" t="str">
        <f>'RESUMEN TOTAL'!W550</f>
        <v>APAGADO</v>
      </c>
      <c r="Q437" s="70" t="str">
        <f>'RESUMEN TOTAL'!X550</f>
        <v>APAGADO</v>
      </c>
      <c r="R437" s="70" t="str">
        <f>'RESUMEN TOTAL'!Y550</f>
        <v>APAGADO</v>
      </c>
      <c r="S437" s="70" t="str">
        <f>'RESUMEN TOTAL'!Z550</f>
        <v>APAGADO</v>
      </c>
      <c r="T437" s="70" t="str">
        <f>'RESUMEN TOTAL'!AA550</f>
        <v>APAGADO</v>
      </c>
      <c r="U437" s="70" t="str">
        <f>'RESUMEN TOTAL'!AB550</f>
        <v>APAGADO</v>
      </c>
      <c r="V437" s="70" t="str">
        <f>'RESUMEN TOTAL'!AC550</f>
        <v>APAGADO</v>
      </c>
      <c r="W437" s="70" t="str">
        <f>'RESUMEN TOTAL'!AD550</f>
        <v>APAGADO</v>
      </c>
      <c r="X437" s="70" t="str">
        <f>'RESUMEN TOTAL'!AE550</f>
        <v>APAGADO</v>
      </c>
      <c r="Y437" s="70" t="str">
        <f>'RESUMEN TOTAL'!AF550</f>
        <v>APAGADO</v>
      </c>
      <c r="Z437" s="70" t="str">
        <f>'RESUMEN TOTAL'!AG550</f>
        <v>APAGADO</v>
      </c>
      <c r="AA437" s="70" t="str">
        <f>'RESUMEN TOTAL'!AH550</f>
        <v>APAGADO</v>
      </c>
      <c r="AB437" s="70" t="str">
        <f>'RESUMEN TOTAL'!AI550</f>
        <v>APAGADO</v>
      </c>
      <c r="AC437" s="70" t="str">
        <f>'RESUMEN TOTAL'!AJ550</f>
        <v>APAGADO</v>
      </c>
      <c r="AD437" s="70" t="str">
        <f>'RESUMEN TOTAL'!AK550</f>
        <v>APAGADO</v>
      </c>
      <c r="AE437" s="70" t="str">
        <f>'RESUMEN TOTAL'!AL550</f>
        <v>APAGADO</v>
      </c>
      <c r="AF437" s="70" t="str">
        <f>'RESUMEN TOTAL'!AM550</f>
        <v>APAGADO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>
        <f>'RESUMEN TOTAL'!M551</f>
        <v>0</v>
      </c>
      <c r="G438" s="70">
        <f>'RESUMEN TOTAL'!N551</f>
        <v>0</v>
      </c>
      <c r="H438" s="70">
        <f>'RESUMEN TOTAL'!O551</f>
        <v>0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 t="str">
        <f>'RESUMEN TOTAL'!S551</f>
        <v>APAGADO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 t="str">
        <f>'RESUMEN TOTAL'!W551</f>
        <v>APAGADO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>
        <f>'RESUMEN TOTAL'!M552</f>
        <v>0</v>
      </c>
      <c r="G439" s="70">
        <f>'RESUMEN TOTAL'!N552</f>
        <v>0</v>
      </c>
      <c r="H439" s="70">
        <f>'RESUMEN TOTAL'!O552</f>
        <v>0</v>
      </c>
      <c r="I439" s="70" t="str">
        <f>'RESUMEN TOTAL'!P552</f>
        <v>APAGADO</v>
      </c>
      <c r="J439" s="70" t="str">
        <f>'RESUMEN TOTAL'!Q552</f>
        <v>APAGADO</v>
      </c>
      <c r="K439" s="70" t="str">
        <f>'RESUMEN TOTAL'!R552</f>
        <v>APAGADO</v>
      </c>
      <c r="L439" s="70" t="str">
        <f>'RESUMEN TOTAL'!S552</f>
        <v>APAGADO</v>
      </c>
      <c r="M439" s="70" t="str">
        <f>'RESUMEN TOTAL'!T552</f>
        <v>APAGADO</v>
      </c>
      <c r="N439" s="70" t="str">
        <f>'RESUMEN TOTAL'!U552</f>
        <v>APAGADO</v>
      </c>
      <c r="O439" s="70" t="str">
        <f>'RESUMEN TOTAL'!V552</f>
        <v>APAGADO</v>
      </c>
      <c r="P439" s="70" t="str">
        <f>'RESUMEN TOTAL'!W552</f>
        <v>APAGADO</v>
      </c>
      <c r="Q439" s="70" t="str">
        <f>'RESUMEN TOTAL'!X552</f>
        <v>APAGADO</v>
      </c>
      <c r="R439" s="70" t="str">
        <f>'RESUMEN TOTAL'!Y552</f>
        <v>APAGADO</v>
      </c>
      <c r="S439" s="70" t="str">
        <f>'RESUMEN TOTAL'!Z552</f>
        <v>APAGADO</v>
      </c>
      <c r="T439" s="70" t="str">
        <f>'RESUMEN TOTAL'!AA552</f>
        <v>APAGADO</v>
      </c>
      <c r="U439" s="70" t="str">
        <f>'RESUMEN TOTAL'!AB552</f>
        <v>APAGADO</v>
      </c>
      <c r="V439" s="70" t="str">
        <f>'RESUMEN TOTAL'!AC552</f>
        <v>APAGADO</v>
      </c>
      <c r="W439" s="70" t="str">
        <f>'RESUMEN TOTAL'!AD552</f>
        <v>APAGADO</v>
      </c>
      <c r="X439" s="70" t="str">
        <f>'RESUMEN TOTAL'!AE552</f>
        <v>APAGADO</v>
      </c>
      <c r="Y439" s="70" t="str">
        <f>'RESUMEN TOTAL'!AF552</f>
        <v>APAGADO</v>
      </c>
      <c r="Z439" s="70" t="str">
        <f>'RESUMEN TOTAL'!AG552</f>
        <v>APAGADO</v>
      </c>
      <c r="AA439" s="70" t="str">
        <f>'RESUMEN TOTAL'!AH552</f>
        <v>APAGADO</v>
      </c>
      <c r="AB439" s="70" t="str">
        <f>'RESUMEN TOTAL'!AI552</f>
        <v>APAGADO</v>
      </c>
      <c r="AC439" s="70" t="str">
        <f>'RESUMEN TOTAL'!AJ552</f>
        <v>APAGADO</v>
      </c>
      <c r="AD439" s="70" t="str">
        <f>'RESUMEN TOTAL'!AK552</f>
        <v>APAGADO</v>
      </c>
      <c r="AE439" s="70" t="str">
        <f>'RESUMEN TOTAL'!AL552</f>
        <v>APAGADO</v>
      </c>
      <c r="AF439" s="70" t="str">
        <f>'RESUMEN TOTAL'!AM552</f>
        <v>APAGADO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>
        <f>'RESUMEN TOTAL'!M553</f>
        <v>0</v>
      </c>
      <c r="G440" s="70">
        <f>'RESUMEN TOTAL'!N553</f>
        <v>0</v>
      </c>
      <c r="H440" s="70">
        <f>'RESUMEN TOTAL'!O553</f>
        <v>0</v>
      </c>
      <c r="I440" s="70" t="str">
        <f>'RESUMEN TOTAL'!P553</f>
        <v>APAGADO</v>
      </c>
      <c r="J440" s="70" t="str">
        <f>'RESUMEN TOTAL'!Q553</f>
        <v>APAGADO</v>
      </c>
      <c r="K440" s="70" t="str">
        <f>'RESUMEN TOTAL'!R553</f>
        <v>APAGADO</v>
      </c>
      <c r="L440" s="70" t="str">
        <f>'RESUMEN TOTAL'!S553</f>
        <v>APAGADO</v>
      </c>
      <c r="M440" s="70" t="str">
        <f>'RESUMEN TOTAL'!T553</f>
        <v>APAGADO</v>
      </c>
      <c r="N440" s="70" t="str">
        <f>'RESUMEN TOTAL'!U553</f>
        <v>APAGADO</v>
      </c>
      <c r="O440" s="70" t="str">
        <f>'RESUMEN TOTAL'!V553</f>
        <v>APAGADO</v>
      </c>
      <c r="P440" s="70" t="str">
        <f>'RESUMEN TOTAL'!W553</f>
        <v>APAGADO</v>
      </c>
      <c r="Q440" s="70" t="str">
        <f>'RESUMEN TOTAL'!X553</f>
        <v>APAGADO</v>
      </c>
      <c r="R440" s="70" t="str">
        <f>'RESUMEN TOTAL'!Y553</f>
        <v>APAGADO</v>
      </c>
      <c r="S440" s="70" t="str">
        <f>'RESUMEN TOTAL'!Z553</f>
        <v>APAGADO</v>
      </c>
      <c r="T440" s="70" t="str">
        <f>'RESUMEN TOTAL'!AA553</f>
        <v>APAGADO</v>
      </c>
      <c r="U440" s="70" t="str">
        <f>'RESUMEN TOTAL'!AB553</f>
        <v>APAGADO</v>
      </c>
      <c r="V440" s="70" t="str">
        <f>'RESUMEN TOTAL'!AC553</f>
        <v>APAGADO</v>
      </c>
      <c r="W440" s="70" t="str">
        <f>'RESUMEN TOTAL'!AD553</f>
        <v>APAGADO</v>
      </c>
      <c r="X440" s="70" t="str">
        <f>'RESUMEN TOTAL'!AE553</f>
        <v>APAGADO</v>
      </c>
      <c r="Y440" s="70" t="str">
        <f>'RESUMEN TOTAL'!AF553</f>
        <v>APAGADO</v>
      </c>
      <c r="Z440" s="70" t="str">
        <f>'RESUMEN TOTAL'!AG553</f>
        <v>APAGADO</v>
      </c>
      <c r="AA440" s="70" t="str">
        <f>'RESUMEN TOTAL'!AH553</f>
        <v>APAGADO</v>
      </c>
      <c r="AB440" s="70" t="str">
        <f>'RESUMEN TOTAL'!AI553</f>
        <v>APAGADO</v>
      </c>
      <c r="AC440" s="70" t="str">
        <f>'RESUMEN TOTAL'!AJ553</f>
        <v>APAGADO</v>
      </c>
      <c r="AD440" s="70" t="str">
        <f>'RESUMEN TOTAL'!AK553</f>
        <v>APAGADO</v>
      </c>
      <c r="AE440" s="70">
        <f>'RESUMEN TOTAL'!AL553</f>
        <v>0</v>
      </c>
      <c r="AF440" s="70" t="str">
        <f>'RESUMEN TOTAL'!AM553</f>
        <v>APAGADO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 t="str">
        <f>'RESUMEN TOTAL'!V555</f>
        <v>APAGADO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 t="str">
        <f>'RESUMEN TOTAL'!W559</f>
        <v>APAGADO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 t="str">
        <f>'RESUMEN TOTAL'!AJ559</f>
        <v>APAGADO</v>
      </c>
      <c r="AD445" s="70" t="str">
        <f>'RESUMEN TOTAL'!AK559</f>
        <v>APAGADO</v>
      </c>
      <c r="AE445" s="70" t="str">
        <f>'RESUMEN TOTAL'!AL559</f>
        <v>APAGADO</v>
      </c>
      <c r="AF445" s="70" t="str">
        <f>'RESUMEN TOTAL'!AM559</f>
        <v>APAGADO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 t="str">
        <f>'RESUMEN TOTAL'!N562</f>
        <v>APAGADO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 t="str">
        <f>'RESUMEN TOTAL'!N563</f>
        <v>APAGADO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 t="str">
        <f>'RESUMEN TOTAL'!M564</f>
        <v>APAGADO</v>
      </c>
      <c r="G450" s="70">
        <f>'RESUMEN TOTAL'!N564</f>
        <v>0</v>
      </c>
      <c r="H450" s="70">
        <f>'RESUMEN TOTAL'!O564</f>
        <v>0</v>
      </c>
      <c r="I450" s="70" t="str">
        <f>'RESUMEN TOTAL'!P564</f>
        <v>APAGADO</v>
      </c>
      <c r="J450" s="70" t="str">
        <f>'RESUMEN TOTAL'!Q564</f>
        <v>APAGADO</v>
      </c>
      <c r="K450" s="70" t="str">
        <f>'RESUMEN TOTAL'!R564</f>
        <v>APAGADO</v>
      </c>
      <c r="L450" s="70" t="str">
        <f>'RESUMEN TOTAL'!S564</f>
        <v>APAGADO</v>
      </c>
      <c r="M450" s="70" t="str">
        <f>'RESUMEN TOTAL'!T564</f>
        <v>APAGADO</v>
      </c>
      <c r="N450" s="70" t="str">
        <f>'RESUMEN TOTAL'!U564</f>
        <v>APAGADO</v>
      </c>
      <c r="O450" s="70" t="str">
        <f>'RESUMEN TOTAL'!V564</f>
        <v>APAGADO</v>
      </c>
      <c r="P450" s="70" t="str">
        <f>'RESUMEN TOTAL'!W564</f>
        <v>APAGADO</v>
      </c>
      <c r="Q450" s="70" t="str">
        <f>'RESUMEN TOTAL'!X564</f>
        <v>APAGADO</v>
      </c>
      <c r="R450" s="70" t="str">
        <f>'RESUMEN TOTAL'!Y564</f>
        <v>APAGADO</v>
      </c>
      <c r="S450" s="70" t="str">
        <f>'RESUMEN TOTAL'!Z564</f>
        <v>APAGADO</v>
      </c>
      <c r="T450" s="70" t="str">
        <f>'RESUMEN TOTAL'!AA564</f>
        <v>APAGADO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 t="str">
        <f>'RESUMEN TOTAL'!W577</f>
        <v>APAGADO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>
        <f>'RESUMEN TOTAL'!AI577</f>
        <v>0</v>
      </c>
      <c r="AC460" s="70" t="str">
        <f>'RESUMEN TOTAL'!AJ577</f>
        <v>APAGADO</v>
      </c>
      <c r="AD460" s="70" t="str">
        <f>'RESUMEN TOTAL'!AK577</f>
        <v>APAGADO</v>
      </c>
      <c r="AE460" s="70" t="str">
        <f>'RESUMEN TOTAL'!AL577</f>
        <v>APAGADO</v>
      </c>
      <c r="AF460" s="70" t="str">
        <f>'RESUMEN TOTAL'!AM577</f>
        <v>APAGADO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F1" zoomScale="90" zoomScaleNormal="90" workbookViewId="0">
      <selection activeCell="AB3" sqref="AB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29</v>
      </c>
      <c r="H3" s="46">
        <v>37</v>
      </c>
      <c r="I3" s="46">
        <v>48</v>
      </c>
      <c r="J3" s="46">
        <f>COUNTIFS('RESUMEN TOTAL'!Q8:Q689,"=APAGADO",'RESUMEN TOTAL'!C8:C689,"=BONOMO")</f>
        <v>41</v>
      </c>
      <c r="K3" s="46">
        <f>COUNTIFS('RESUMEN TOTAL'!R8:R689,"=APAGADO",'RESUMEN TOTAL'!C8:C689,"=BONOMO")</f>
        <v>22</v>
      </c>
      <c r="L3" s="46">
        <v>0</v>
      </c>
      <c r="M3" s="46">
        <v>0</v>
      </c>
      <c r="N3" s="46">
        <f>COUNTIFS('RESUMEN TOTAL'!U8:U689,"=APAGADO",'RESUMEN TOTAL'!C8:C689,"=BONOMO")</f>
        <v>20</v>
      </c>
      <c r="O3" s="46">
        <f>COUNTIFS('RESUMEN TOTAL'!V8:V689,"=APAGADO",'RESUMEN TOTAL'!C8:C689,"=BONOMO")</f>
        <v>20</v>
      </c>
      <c r="P3" s="46">
        <f>COUNTIFS('RESUMEN TOTAL'!W8:W689,"=APAGADO",'RESUMEN TOTAL'!C8:C689,"=BONOMO")</f>
        <v>22</v>
      </c>
      <c r="Q3" s="46">
        <f>COUNTIFS('RESUMEN TOTAL'!X8:X689,"=APAGADO",'RESUMEN TOTAL'!C8:C689,"=BONOMO")</f>
        <v>22</v>
      </c>
      <c r="R3" s="46">
        <f>COUNTIFS('RESUMEN TOTAL'!Y8:Y689,"=APAGADO",'RESUMEN TOTAL'!C8:C689,"=BONOMO")</f>
        <v>23</v>
      </c>
      <c r="S3" s="46">
        <f>COUNTIFS('RESUMEN TOTAL'!Z8:Z689,"=APAGADO",'RESUMEN TOTAL'!C8:C689,"=BONOMO")</f>
        <v>23</v>
      </c>
      <c r="T3" s="46">
        <f>COUNTIFS('RESUMEN TOTAL'!AA8:AA689,"=APAGADO",'RESUMEN TOTAL'!C8:C689,"=BONOMO")</f>
        <v>26</v>
      </c>
      <c r="U3" s="46">
        <f>COUNTIFS('RESUMEN TOTAL'!AB8:AB689,"=APAGADO",'RESUMEN TOTAL'!C8:C689,"=BONOMO")</f>
        <v>27</v>
      </c>
      <c r="V3" s="46">
        <f>COUNTIFS('RESUMEN TOTAL'!AC8:AC689,"=APAGADO",'RESUMEN TOTAL'!C8:C689,"=BONOMO")</f>
        <v>46</v>
      </c>
      <c r="W3" s="46">
        <v>24</v>
      </c>
      <c r="X3" s="46">
        <f>COUNTIFS('RESUMEN TOTAL'!AE8:AE689,"=APAGADO",'RESUMEN TOTAL'!C8:C689,"=BONOMO")</f>
        <v>26</v>
      </c>
      <c r="Y3" s="46">
        <f>COUNTIFS('RESUMEN TOTAL'!AF8:AF689,"=APAGADO",'RESUMEN TOTAL'!C8:C689,"=BONOMO")</f>
        <v>23</v>
      </c>
      <c r="Z3" s="46">
        <f>COUNTIFS('RESUMEN TOTAL'!AG8:AG689,"=APAGADO",'RESUMEN TOTAL'!C8:C689,"=BONOMO")</f>
        <v>21</v>
      </c>
      <c r="AA3" s="46">
        <f>COUNTIFS('RESUMEN TOTAL'!AH8:AH689,"=APAGADO",'RESUMEN TOTAL'!C8:C689,"=BONOMO")</f>
        <v>21</v>
      </c>
      <c r="AB3" s="46">
        <f>COUNTIFS('RESUMEN TOTAL'!AI8:AI689,"=APAGADO",'RESUMEN TOTAL'!C8:C689,"=BONOMO")</f>
        <v>21</v>
      </c>
      <c r="AC3" s="46">
        <f>COUNTIFS('RESUMEN TOTAL'!AJ8:AJ689,"=APAGADO",'RESUMEN TOTAL'!C8:C689,"=BONOMO")</f>
        <v>28</v>
      </c>
      <c r="AD3" s="46">
        <f>COUNTIFS('RESUMEN TOTAL'!AK8:AK689,"=APAGADO",'RESUMEN TOTAL'!C8:C689,"=BONOMO")</f>
        <v>39</v>
      </c>
      <c r="AE3" s="46">
        <v>0</v>
      </c>
      <c r="AF3" s="46">
        <f>COUNTIFS('RESUMEN TOTAL'!AM8:AM689,"=APAGADO",'RESUMEN TOTAL'!C8:C689,"=BONOMO")</f>
        <v>36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9.5709570957095716E-2</v>
      </c>
      <c r="H4" s="50">
        <f t="shared" si="0"/>
        <v>0.12211221122112212</v>
      </c>
      <c r="I4" s="50">
        <f t="shared" si="0"/>
        <v>0.15841584158415842</v>
      </c>
      <c r="J4" s="50">
        <v>0.14000000000000001</v>
      </c>
      <c r="K4" s="50">
        <f t="shared" si="0"/>
        <v>7.2607260726072612E-2</v>
      </c>
      <c r="L4" s="50">
        <f t="shared" si="0"/>
        <v>0</v>
      </c>
      <c r="M4" s="50">
        <v>0</v>
      </c>
      <c r="N4" s="50">
        <f t="shared" si="0"/>
        <v>6.6006600660066E-2</v>
      </c>
      <c r="O4" s="50">
        <f t="shared" si="0"/>
        <v>6.6006600660066E-2</v>
      </c>
      <c r="P4" s="50">
        <f t="shared" si="0"/>
        <v>7.2607260726072612E-2</v>
      </c>
      <c r="Q4" s="50">
        <f t="shared" si="0"/>
        <v>7.2607260726072612E-2</v>
      </c>
      <c r="R4" s="50">
        <f t="shared" si="0"/>
        <v>7.590759075907591E-2</v>
      </c>
      <c r="S4" s="50">
        <f t="shared" si="0"/>
        <v>7.590759075907591E-2</v>
      </c>
      <c r="T4" s="50">
        <f t="shared" si="0"/>
        <v>8.5808580858085806E-2</v>
      </c>
      <c r="U4" s="50">
        <f t="shared" si="0"/>
        <v>8.9108910891089105E-2</v>
      </c>
      <c r="V4" s="50">
        <f t="shared" si="0"/>
        <v>0.15181518151815182</v>
      </c>
      <c r="W4" s="50">
        <f t="shared" si="0"/>
        <v>7.9207920792079209E-2</v>
      </c>
      <c r="X4" s="50">
        <f t="shared" si="0"/>
        <v>8.5808580858085806E-2</v>
      </c>
      <c r="Y4" s="50">
        <f t="shared" si="0"/>
        <v>7.590759075907591E-2</v>
      </c>
      <c r="Z4" s="50">
        <f t="shared" si="0"/>
        <v>6.9306930693069313E-2</v>
      </c>
      <c r="AA4" s="50">
        <f t="shared" si="0"/>
        <v>6.9306930693069313E-2</v>
      </c>
      <c r="AB4" s="50">
        <f t="shared" si="0"/>
        <v>6.9306930693069313E-2</v>
      </c>
      <c r="AC4" s="50">
        <v>0</v>
      </c>
      <c r="AD4" s="50">
        <f t="shared" si="0"/>
        <v>0.12871287128712872</v>
      </c>
      <c r="AE4" s="50">
        <f t="shared" si="0"/>
        <v>0</v>
      </c>
      <c r="AF4" s="50">
        <f t="shared" si="0"/>
        <v>0.11881188118811881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51</v>
      </c>
      <c r="G5" s="46">
        <f>COUNTIFS('RESUMEN TOTAL'!N8:N689,"=APAGADO",'RESUMEN TOTAL'!C8:C689,"=COSEIDI")</f>
        <v>41</v>
      </c>
      <c r="H5" s="46">
        <v>37</v>
      </c>
      <c r="I5" s="46">
        <f>COUNTIFS('RESUMEN TOTAL'!P10:P691,"=APAGADO",'RESUMEN TOTAL'!C10:C691,"=COSEIDI")</f>
        <v>73</v>
      </c>
      <c r="J5" s="46">
        <f>COUNTIFS('RESUMEN TOTAL'!Q10:Q691,"=APAGADO",'RESUMEN TOTAL'!C10:C691,"=COSEIDI")</f>
        <v>70</v>
      </c>
      <c r="K5" s="46">
        <f>COUNTIFS('RESUMEN TOTAL'!R10:R691,"=APAGADO",'RESUMEN TOTAL'!C10:C691,"=COSEIDI")</f>
        <v>67</v>
      </c>
      <c r="L5" s="46">
        <f>COUNTIFS('RESUMEN TOTAL'!S10:S691,"=APAGADO",'RESUMEN TOTAL'!C10:C691,"=COSEIDI")</f>
        <v>67</v>
      </c>
      <c r="M5" s="46">
        <v>0</v>
      </c>
      <c r="N5" s="46">
        <f>COUNTIFS('RESUMEN TOTAL'!U10:U691,"=APAGADO",'RESUMEN TOTAL'!C10:C691,"=COSEIDI")</f>
        <v>67</v>
      </c>
      <c r="O5" s="46">
        <v>58</v>
      </c>
      <c r="P5" s="46">
        <f>COUNTIFS('RESUMEN TOTAL'!W10:W691,"=APAGADO",'RESUMEN TOTAL'!C10:C691,"=COSEIDI")</f>
        <v>67</v>
      </c>
      <c r="Q5" s="46">
        <f>COUNTIFS('RESUMEN TOTAL'!X10:X691,"=APAGADO",'RESUMEN TOTAL'!C10:C691,"=COSEIDI")</f>
        <v>69</v>
      </c>
      <c r="R5" s="46">
        <f>COUNTIFS('RESUMEN TOTAL'!Y10:Y691,"=APAGADO",'RESUMEN TOTAL'!C10:C691,"=COSEIDI")</f>
        <v>60</v>
      </c>
      <c r="S5" s="46">
        <f>COUNTIFS('RESUMEN TOTAL'!Z10:Z691,"=APAGADO",'RESUMEN TOTAL'!C10:C691,"=COSEIDI")</f>
        <v>57</v>
      </c>
      <c r="T5" s="46">
        <v>66</v>
      </c>
      <c r="U5" s="46">
        <v>54</v>
      </c>
      <c r="V5" s="46">
        <f>COUNTIFS('RESUMEN TOTAL'!AC10:AC691,"=APAGADO",'RESUMEN TOTAL'!C10:C691,"=COSEIDI")</f>
        <v>53</v>
      </c>
      <c r="W5" s="46">
        <f>COUNTIFS('RESUMEN TOTAL'!AD10:AD691,"=APAGADO",'RESUMEN TOTAL'!C10:C691,"=COSEIDI")</f>
        <v>61</v>
      </c>
      <c r="X5" s="46">
        <f>COUNTIFS('RESUMEN TOTAL'!AE10:AE691,"=APAGADO",'RESUMEN TOTAL'!C10:C691,"=COSEIDI")</f>
        <v>57</v>
      </c>
      <c r="Y5" s="46">
        <f>COUNTIFS('RESUMEN TOTAL'!AF10:AF691,"=APAGADO",'RESUMEN TOTAL'!C10:C691,"=COSEIDI")</f>
        <v>49</v>
      </c>
      <c r="Z5" s="46">
        <f>COUNTIFS('RESUMEN TOTAL'!AG10:AG691,"=APAGADO",'RESUMEN TOTAL'!C10:C691,"=COSEIDI")</f>
        <v>52</v>
      </c>
      <c r="AA5" s="46">
        <f>COUNTIFS('RESUMEN TOTAL'!AH10:AH691,"=APAGADO",'RESUMEN TOTAL'!C10:C691,"=COSEIDI")</f>
        <v>53</v>
      </c>
      <c r="AB5" s="46">
        <f>COUNTIFS('RESUMEN TOTAL'!AI10:AI691,"=APAGADO",'RESUMEN TOTAL'!C10:C691,"=COSEIDI")</f>
        <v>52</v>
      </c>
      <c r="AC5" s="46">
        <f>COUNTIFS('RESUMEN TOTAL'!AJ10:AJ691,"=APAGADO",'RESUMEN TOTAL'!C10:C691,"=COSEIDI")</f>
        <v>62</v>
      </c>
      <c r="AD5" s="46">
        <f>COUNTIFS('RESUMEN TOTAL'!AK10:AK691,"=APAGADO",'RESUMEN TOTAL'!C10:C691,"=COSEIDI")</f>
        <v>68</v>
      </c>
      <c r="AE5" s="46">
        <f>COUNTIFS('RESUMEN TOTAL'!AL10:AL691,"=APAGADO",'RESUMEN TOTAL'!C10:C691,"=COSEIDI")</f>
        <v>56</v>
      </c>
      <c r="AF5" s="46">
        <f>COUNTIFS('RESUMEN TOTAL'!AM10:AM691,"=APAGADO",'RESUMEN TOTAL'!C10:C691,"=COSEIDI")</f>
        <v>68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0.19259259259259259</v>
      </c>
      <c r="AA6" s="50">
        <f t="shared" si="1"/>
        <v>0.1962962962962963</v>
      </c>
      <c r="AB6" s="50">
        <f t="shared" si="1"/>
        <v>0.19259259259259259</v>
      </c>
      <c r="AC6" s="50">
        <v>0</v>
      </c>
      <c r="AD6" s="50">
        <f t="shared" si="1"/>
        <v>0.25185185185185183</v>
      </c>
      <c r="AE6" s="50">
        <f t="shared" si="1"/>
        <v>0.2074074074074074</v>
      </c>
      <c r="AF6" s="50">
        <f t="shared" si="1"/>
        <v>0.25185185185185183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2025-12-29T12:31:13Z</dcterms:modified>
</cp:coreProperties>
</file>